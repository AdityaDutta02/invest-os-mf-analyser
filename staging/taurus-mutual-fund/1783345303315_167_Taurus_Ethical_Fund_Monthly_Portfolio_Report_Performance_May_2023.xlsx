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Performance'!$C$8:$C$54</definedName>
    <definedName name="XDO_?FINAL_ISIN?5?">'TEF-Risk-O-Meter &amp; Performance'!$D$10:$D$54</definedName>
    <definedName name="XDO_?FINAL_ISIN?6?">'TEF-Risk-O-Meter &amp; Performance'!$D$10:$D$96</definedName>
    <definedName name="XDO_?FINAL_MV?5?">'TEF-Risk-O-Meter &amp; Performance'!$H$10:$H$54</definedName>
    <definedName name="XDO_?FINAL_MV?6?">'TEF-Risk-O-Meter &amp; Performance'!$H$10:$H$96</definedName>
    <definedName name="XDO_?FINAL_NAME?5?">'TEF-Risk-O-Meter &amp; Performance'!$C$10:$C$54</definedName>
    <definedName name="XDO_?FINAL_NAME?6?">'TEF-Risk-O-Meter &amp; Performance'!$C$10:$C$96</definedName>
    <definedName name="XDO_?FINAL_PER_NET?5?">'TEF-Risk-O-Meter &amp; Performance'!$I$10:$I$54</definedName>
    <definedName name="XDO_?FINAL_PER_NET?6?">'TEF-Risk-O-Meter &amp; Performance'!$I$10:$I$96</definedName>
    <definedName name="XDO_?FINAL_QUANTITE?5?">'TEF-Risk-O-Meter &amp; Performance'!$G$10:$G$54</definedName>
    <definedName name="XDO_?FINAL_QUANTITE?6?">'TEF-Risk-O-Meter &amp; Performance'!$G$10:$G$96</definedName>
    <definedName name="XDO_?IND_01?5?">'TEF-Risk-O-Meter &amp; Performance'!$F$10:$F$54</definedName>
    <definedName name="XDO_?IND_01?6?">'TEF-Risk-O-Meter &amp; Performance'!$F$10:$F$96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Performance'!$C$2:$C$54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Performance'!$B$10:$B$54</definedName>
    <definedName name="XDO_?NOVAL?6?">'TEF-Risk-O-Meter &amp; Performance'!$B$10:$B$96</definedName>
    <definedName name="XDO_?NPTF?3?">'TEF-Risk-O-Meter &amp; Performance'!$D$2:$D$54</definedName>
    <definedName name="XDO_?RATING?5?">'TEF-Risk-O-Meter &amp; Performance'!$E$10:$E$54</definedName>
    <definedName name="XDO_?RATING?6?">'TEF-Risk-O-Meter &amp; Performance'!$E$10:$E$96</definedName>
    <definedName name="XDO_?REMARKS?5?">'TEF-Risk-O-Meter &amp; Performance'!$J$10:$J$54</definedName>
    <definedName name="XDO_?REMARKS?6?">'TEF-Risk-O-Meter &amp; Performance'!$J$10:$J$96</definedName>
    <definedName name="XDO_?TITL?3?">'TEF-Risk-O-Meter &amp; Performance'!$A$8:$A$54</definedName>
    <definedName name="XDO_GROUP_?G_2?3?">'TEF-Risk-O-Meter &amp; Performance'!$2:$99</definedName>
    <definedName name="XDO_GROUP_?G_3?3?">'TEF-Risk-O-Meter &amp; Performance'!$8:$98</definedName>
    <definedName name="XDO_GROUP_?G_4?5?">'TEF-Risk-O-Meter &amp; Performance'!$B$10:$IV$54</definedName>
    <definedName name="XDO_GROUP_?G_4?6?">'TEF-Risk-O-Meter &amp; Performance'!$B$96:$IV$96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<sst xmlns="http://schemas.openxmlformats.org/spreadsheetml/2006/main" count="291" uniqueCount="215">
  <si>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</si>
  <si>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</si>
  <si>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</si>
  <si>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</si>
  <si>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</si>
  <si>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</si>
  <si>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</si>
  <si>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</si>
  <si>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</si>
  <si>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</si>
  <si>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</si>
  <si>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</si>
  <si>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</si>
  <si>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</si>
  <si>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</si>
  <si>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</si>
  <si>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</si>
  <si>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</si>
  <si>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</si>
  <si>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</si>
  <si>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</si>
  <si>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</si>
  <si>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</si>
  <si>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</si>
  <si>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</si>
  <si>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</si>
  <si>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</si>
  <si>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</si>
  <si>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</si>
  <si>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100147</t>
  </si>
  <si>
    <t>Tech Mahindra Ltd.</t>
  </si>
  <si>
    <t>INE669C01036</t>
  </si>
  <si>
    <t>101670</t>
  </si>
  <si>
    <t>Patanjali Foods Ltd.</t>
  </si>
  <si>
    <t>INE619A01035</t>
  </si>
  <si>
    <t>Agricultural Food &amp; other Products</t>
  </si>
  <si>
    <t>100944</t>
  </si>
  <si>
    <t>Mishra Dhatu Nigam Ltd.</t>
  </si>
  <si>
    <t>INE099Z01011</t>
  </si>
  <si>
    <t>Aerospace &amp; Defense</t>
  </si>
  <si>
    <t>100172</t>
  </si>
  <si>
    <t>ACC Ltd.</t>
  </si>
  <si>
    <t>INE012A01025</t>
  </si>
  <si>
    <t>Cement &amp; Cement Products</t>
  </si>
  <si>
    <t>100153</t>
  </si>
  <si>
    <t>Cipla Ltd.</t>
  </si>
  <si>
    <t>INE059A01026</t>
  </si>
  <si>
    <t>Pharmaceuticals &amp; Biotechnology</t>
  </si>
  <si>
    <t>100474</t>
  </si>
  <si>
    <t>Narayana Hrudayalaya Ltd.</t>
  </si>
  <si>
    <t>INE410P01011</t>
  </si>
  <si>
    <t>Healthcare Services</t>
  </si>
  <si>
    <t>100370</t>
  </si>
  <si>
    <t>Biocon Ltd.</t>
  </si>
  <si>
    <t>INE376G01013</t>
  </si>
  <si>
    <t>100008</t>
  </si>
  <si>
    <t>Sun Pharmaceutical Industries Ltd.</t>
  </si>
  <si>
    <t>INE044A01036</t>
  </si>
  <si>
    <t>100945</t>
  </si>
  <si>
    <t>Indian Railway Catering &amp; Tourism Corporation Ltd.</t>
  </si>
  <si>
    <t>INE335Y01020</t>
  </si>
  <si>
    <t>Leisure Services</t>
  </si>
  <si>
    <t>100821</t>
  </si>
  <si>
    <t>TTK Prestige Ltd.</t>
  </si>
  <si>
    <t>INE690A01028</t>
  </si>
  <si>
    <t>Consumer Durables</t>
  </si>
  <si>
    <t>100089</t>
  </si>
  <si>
    <t>Bharat Electronics Ltd.</t>
  </si>
  <si>
    <t>INE263A01024</t>
  </si>
  <si>
    <t>100155</t>
  </si>
  <si>
    <t>Divi's Laboratories Ltd.</t>
  </si>
  <si>
    <t>INE361B01024</t>
  </si>
  <si>
    <t>100029</t>
  </si>
  <si>
    <t>Mphasis Ltd.</t>
  </si>
  <si>
    <t>INE356A01018</t>
  </si>
  <si>
    <t>100017</t>
  </si>
  <si>
    <t>National Aluminium Company Ltd.</t>
  </si>
  <si>
    <t>INE139A01034</t>
  </si>
  <si>
    <t>Non - Ferrous Metals</t>
  </si>
  <si>
    <t>101178</t>
  </si>
  <si>
    <t>Computer Age Management Services Ltd.</t>
  </si>
  <si>
    <t>INE596I01012</t>
  </si>
  <si>
    <t>Capital Markets</t>
  </si>
  <si>
    <t>101229</t>
  </si>
  <si>
    <t>Jubilant Ingrevia Ltd.</t>
  </si>
  <si>
    <t>INE0BY001018</t>
  </si>
  <si>
    <t>Chemicals &amp; Petrochemicals</t>
  </si>
  <si>
    <t>100099</t>
  </si>
  <si>
    <t>Hindustan Unilever Ltd.</t>
  </si>
  <si>
    <t>INE030A01027</t>
  </si>
  <si>
    <t>Diversified FMCG</t>
  </si>
  <si>
    <t>100284</t>
  </si>
  <si>
    <t>Dr. Lal Path labs Ltd.</t>
  </si>
  <si>
    <t>INE600L01024</t>
  </si>
  <si>
    <t>100179</t>
  </si>
  <si>
    <t>Hero MotoCorp Ltd.</t>
  </si>
  <si>
    <t>INE158A01026</t>
  </si>
  <si>
    <t>Automobiles</t>
  </si>
  <si>
    <t>100161</t>
  </si>
  <si>
    <t>Cummins India Ltd.</t>
  </si>
  <si>
    <t>INE298A01020</t>
  </si>
  <si>
    <t>Industrial Products</t>
  </si>
  <si>
    <t>100164</t>
  </si>
  <si>
    <t>Petronet LNG Ltd.</t>
  </si>
  <si>
    <t>INE347G01014</t>
  </si>
  <si>
    <t>Gas</t>
  </si>
  <si>
    <t>100737</t>
  </si>
  <si>
    <t>Hindustan Copper Ltd.</t>
  </si>
  <si>
    <t>INE531E01026</t>
  </si>
  <si>
    <t>100096</t>
  </si>
  <si>
    <t>Container Corporation of India Ltd.</t>
  </si>
  <si>
    <t>INE111A01025</t>
  </si>
  <si>
    <t>Transport Services</t>
  </si>
  <si>
    <t>100090</t>
  </si>
  <si>
    <t>Bharat Forge Ltd.</t>
  </si>
  <si>
    <t>INE465A01025</t>
  </si>
  <si>
    <t>100293</t>
  </si>
  <si>
    <t>AIA Engineering Ltd.</t>
  </si>
  <si>
    <t>INE212H01026</t>
  </si>
  <si>
    <t>100054</t>
  </si>
  <si>
    <t>Oberoi Realty Ltd.</t>
  </si>
  <si>
    <t>INE093I01010</t>
  </si>
  <si>
    <t>Realty</t>
  </si>
  <si>
    <t>100080</t>
  </si>
  <si>
    <t>Dr. Reddy's Laboratories Ltd.</t>
  </si>
  <si>
    <t>INE089A01023</t>
  </si>
  <si>
    <t>100367</t>
  </si>
  <si>
    <t>Exide Industries Ltd.</t>
  </si>
  <si>
    <t>INE302A01020</t>
  </si>
  <si>
    <t>Auto Components</t>
  </si>
  <si>
    <t>100747</t>
  </si>
  <si>
    <t>Mahindra Logistics Ltd.</t>
  </si>
  <si>
    <t>INE766P01016</t>
  </si>
  <si>
    <t>100570</t>
  </si>
  <si>
    <t>K.P.R. Mill Ltd.</t>
  </si>
  <si>
    <t>INE930H01031</t>
  </si>
  <si>
    <t>Textiles &amp; Apparels</t>
  </si>
  <si>
    <t>100035</t>
  </si>
  <si>
    <t>NMDC Ltd.</t>
  </si>
  <si>
    <t>INE584A01023</t>
  </si>
  <si>
    <t>Minerals &amp; Mining</t>
  </si>
  <si>
    <t>100132</t>
  </si>
  <si>
    <t>Info Edge (India) Ltd.</t>
  </si>
  <si>
    <t>INE663F01024</t>
  </si>
  <si>
    <t>Retailing</t>
  </si>
  <si>
    <t>100566</t>
  </si>
  <si>
    <t>Laurus Labs Ltd.</t>
  </si>
  <si>
    <t>INE947Q01028</t>
  </si>
  <si>
    <t>101457</t>
  </si>
  <si>
    <t>Motherson Sumi Wiring India Ltd.</t>
  </si>
  <si>
    <t>INE0FS801015</t>
  </si>
  <si>
    <t>100689</t>
  </si>
  <si>
    <t>Godrej Agrovet Ltd.</t>
  </si>
  <si>
    <t>INE850D01014</t>
  </si>
  <si>
    <t>Food Products</t>
  </si>
  <si>
    <t>100159</t>
  </si>
  <si>
    <t>Sanofi India Ltd.</t>
  </si>
  <si>
    <t>INE058A01010</t>
  </si>
  <si>
    <t>100163</t>
  </si>
  <si>
    <t>Bosch Ltd.</t>
  </si>
  <si>
    <t>INE323A01026</t>
  </si>
  <si>
    <t>100576</t>
  </si>
  <si>
    <t>Gujarat Alkalies and Chemicals Ltd.</t>
  </si>
  <si>
    <t>INE186A01019</t>
  </si>
  <si>
    <t>100670</t>
  </si>
  <si>
    <t>Tube Investments of India Ltd.</t>
  </si>
  <si>
    <t>INE974X01010</t>
  </si>
  <si>
    <t>100257</t>
  </si>
  <si>
    <t>Whirlpool of India Ltd.</t>
  </si>
  <si>
    <t>INE716A01013</t>
  </si>
  <si>
    <t>100743</t>
  </si>
  <si>
    <t>HeidelbergCement India Ltd.</t>
  </si>
  <si>
    <t>INE578A01017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</si>
  <si>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</si>
  <si>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</si>
  <si>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</si>
  <si>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</si>
  <si>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</si>
  <si>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</si>
  <si>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</si>
  <si>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</si>
  <si>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</si>
  <si>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</si>
  <si>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</si>
  <si>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</si>
  <si>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</si>
  <si>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</si>
  <si>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</si>
  <si>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</si>
  <si>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</si>
  <si>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</si>
  <si>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</si>
  <si>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</si>
  <si>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</si>
  <si>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</si>
  <si>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</si>
  <si>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</si>
  <si>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</si>
  <si>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</si>
  <si>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</si>
  <si>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</si>
  <si>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</si>
  <si>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</si>
  <si>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</si>
  <si>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</si>
  <si>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</si>
  <si>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</si>
  <si>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</si>
  <si>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</si>
  <si>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</si>
  <si>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</si>
  <si>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</si>
  <si>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May 31, 2023 : 84.73)</t>
  </si>
  <si>
    <t>Taurus Ethical Fund - Direct Plan Growth Option</t>
  </si>
  <si>
    <t>NAV [Rs.] Per Unit  (as on May 31, 2023 : 92.92)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</si>
</sst>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51801</v>
      </c>
      <c r="H10" s="32">
        <v>684.86</v>
      </c>
      <c r="I10" s="32">
        <v>7.46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26487</v>
      </c>
      <c r="H11" s="32">
        <v>655.47</v>
      </c>
      <c r="I11" s="32">
        <v>7.14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56967</v>
      </c>
      <c r="H12" s="32">
        <v>652.61</v>
      </c>
      <c r="I12" s="32">
        <v>7.11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15245</v>
      </c>
      <c r="H13" s="32">
        <v>501.71</v>
      </c>
      <c r="I13" s="32">
        <v>5.46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18</v>
      </c>
      <c r="G14" s="31">
        <v>40750</v>
      </c>
      <c r="H14" s="32">
        <v>455.48</v>
      </c>
      <c r="I14" s="32">
        <v>4.96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35</v>
      </c>
      <c r="G15" s="31">
        <v>38727</v>
      </c>
      <c r="H15" s="32">
        <v>405.8</v>
      </c>
      <c r="I15" s="32">
        <v>4.42</v>
      </c>
      <c r="J15" s="33"/>
    </row>
    <row r="16" spans="1:54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182179</v>
      </c>
      <c r="H16" s="32">
        <v>394.69</v>
      </c>
      <c r="I16" s="32">
        <v>4.3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17097</v>
      </c>
      <c r="H17" s="32">
        <v>304.98</v>
      </c>
      <c r="I17" s="32">
        <v>3.32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29372</v>
      </c>
      <c r="H18" s="32">
        <v>280.27</v>
      </c>
      <c r="I18" s="32">
        <v>3.05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29770</v>
      </c>
      <c r="H19" s="32">
        <v>265.82</v>
      </c>
      <c r="I19" s="32">
        <v>2.9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47</v>
      </c>
      <c r="G20" s="31">
        <v>101850</v>
      </c>
      <c r="H20" s="32">
        <v>249.74</v>
      </c>
      <c r="I20" s="32">
        <v>2.72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47</v>
      </c>
      <c r="G21" s="31">
        <v>25000</v>
      </c>
      <c r="H21" s="32">
        <v>244.14</v>
      </c>
      <c r="I21" s="32">
        <v>2.66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35500</v>
      </c>
      <c r="H22" s="32">
        <v>230.55</v>
      </c>
      <c r="I22" s="32">
        <v>2.5099999999999998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33400</v>
      </c>
      <c r="H23" s="32">
        <v>229.57</v>
      </c>
      <c r="I23" s="32">
        <v>2.5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39</v>
      </c>
      <c r="G24" s="31">
        <v>202568</v>
      </c>
      <c r="H24" s="32">
        <v>227.08</v>
      </c>
      <c r="I24" s="32">
        <v>2.4700000000000002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47</v>
      </c>
      <c r="G25" s="31">
        <v>6330</v>
      </c>
      <c r="H25" s="32">
        <v>218.5</v>
      </c>
      <c r="I25" s="32">
        <v>2.38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18</v>
      </c>
      <c r="G26" s="31">
        <v>11133</v>
      </c>
      <c r="H26" s="32">
        <v>218.04</v>
      </c>
      <c r="I26" s="32">
        <v>2.37</v>
      </c>
      <c r="J26" s="33"/>
    </row>
    <row r="27" spans="2:10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251800</v>
      </c>
      <c r="H27" s="32">
        <v>211.01</v>
      </c>
      <c r="I27" s="32">
        <v>2.2999999999999998</v>
      </c>
      <c r="J27" s="33"/>
    </row>
    <row r="28" spans="2:10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9295</v>
      </c>
      <c r="H28" s="32">
        <v>205.9</v>
      </c>
      <c r="I28" s="32">
        <v>2.2400000000000002</v>
      </c>
      <c r="J28" s="33"/>
    </row>
    <row r="29" spans="2:10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49260</v>
      </c>
      <c r="H29" s="32">
        <v>193.32</v>
      </c>
      <c r="I29" s="32">
        <v>2.11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7250</v>
      </c>
      <c r="H30" s="32">
        <v>192.9</v>
      </c>
      <c r="I30" s="32">
        <v>2.1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51</v>
      </c>
      <c r="G31" s="31">
        <v>8000</v>
      </c>
      <c r="H31" s="32">
        <v>162.59</v>
      </c>
      <c r="I31" s="32">
        <v>1.77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5252</v>
      </c>
      <c r="H32" s="32">
        <v>145.12</v>
      </c>
      <c r="I32" s="32">
        <v>1.58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8185</v>
      </c>
      <c r="H33" s="32">
        <v>144.31</v>
      </c>
      <c r="I33" s="32">
        <v>1.57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62200</v>
      </c>
      <c r="H34" s="32">
        <v>140.41999999999999</v>
      </c>
      <c r="I34" s="32">
        <v>1.53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78</v>
      </c>
      <c r="G35" s="31">
        <v>105464</v>
      </c>
      <c r="H35" s="32">
        <v>119.39</v>
      </c>
      <c r="I35" s="32">
        <v>1.3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15600</v>
      </c>
      <c r="H36" s="32">
        <v>104.77</v>
      </c>
      <c r="I36" s="32">
        <v>1.1399999999999999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101</v>
      </c>
      <c r="G37" s="31">
        <v>13000</v>
      </c>
      <c r="H37" s="32">
        <v>102.86</v>
      </c>
      <c r="I37" s="32">
        <v>1.1200000000000001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101</v>
      </c>
      <c r="G38" s="31">
        <v>3242</v>
      </c>
      <c r="H38" s="32">
        <v>99.2</v>
      </c>
      <c r="I38" s="32">
        <v>1.08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10480</v>
      </c>
      <c r="H39" s="32">
        <v>97.52</v>
      </c>
      <c r="I39" s="32">
        <v>1.06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47</v>
      </c>
      <c r="G40" s="31">
        <v>2025</v>
      </c>
      <c r="H40" s="32">
        <v>91.2</v>
      </c>
      <c r="I40" s="32">
        <v>0.99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42875</v>
      </c>
      <c r="H41" s="32">
        <v>90.53</v>
      </c>
      <c r="I41" s="32">
        <v>0.99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112</v>
      </c>
      <c r="G42" s="31">
        <v>24000</v>
      </c>
      <c r="H42" s="32">
        <v>86.51</v>
      </c>
      <c r="I42" s="32">
        <v>0.94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14700</v>
      </c>
      <c r="H43" s="32">
        <v>84.44</v>
      </c>
      <c r="I43" s="32">
        <v>0.92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68967</v>
      </c>
      <c r="H44" s="32">
        <v>73.62</v>
      </c>
      <c r="I44" s="32">
        <v>0.8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1692</v>
      </c>
      <c r="H45" s="32">
        <v>68.97</v>
      </c>
      <c r="I45" s="32">
        <v>0.75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47</v>
      </c>
      <c r="G46" s="31">
        <v>20574</v>
      </c>
      <c r="H46" s="32">
        <v>68.010000000000005</v>
      </c>
      <c r="I46" s="32">
        <v>0.74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129</v>
      </c>
      <c r="G47" s="31">
        <v>95855</v>
      </c>
      <c r="H47" s="32">
        <v>55.21</v>
      </c>
      <c r="I47" s="32">
        <v>0.6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10000</v>
      </c>
      <c r="H48" s="32">
        <v>42.96</v>
      </c>
      <c r="I48" s="32">
        <v>0.47</v>
      </c>
      <c r="J48" s="33"/>
    </row>
    <row r="49" spans="2:10">
      <c r="B49" s="1" t="s">
        <v>155</v>
      </c>
      <c r="C49" s="20" t="s">
        <v>156</v>
      </c>
      <c r="D49" s="29" t="s">
        <v>157</v>
      </c>
      <c r="E49" s="30"/>
      <c r="F49" s="30" t="s">
        <v>47</v>
      </c>
      <c r="G49" s="31">
        <v>600</v>
      </c>
      <c r="H49" s="32">
        <v>40.76</v>
      </c>
      <c r="I49" s="32">
        <v>0.44</v>
      </c>
      <c r="J49" s="33"/>
    </row>
    <row r="50" spans="2:10">
      <c r="B50" s="1" t="s">
        <v>158</v>
      </c>
      <c r="C50" s="20" t="s">
        <v>159</v>
      </c>
      <c r="D50" s="29" t="s">
        <v>160</v>
      </c>
      <c r="E50" s="30"/>
      <c r="F50" s="30" t="s">
        <v>129</v>
      </c>
      <c r="G50" s="31">
        <v>162</v>
      </c>
      <c r="H50" s="32">
        <v>30.07</v>
      </c>
      <c r="I50" s="32">
        <v>0.33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86</v>
      </c>
      <c r="G51" s="31">
        <v>3801</v>
      </c>
      <c r="H51" s="32">
        <v>24.66</v>
      </c>
      <c r="I51" s="32">
        <v>0.27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129</v>
      </c>
      <c r="G52" s="31">
        <v>820</v>
      </c>
      <c r="H52" s="32">
        <v>23.41</v>
      </c>
      <c r="I52" s="32">
        <v>0.25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65</v>
      </c>
      <c r="G53" s="31">
        <v>1504</v>
      </c>
      <c r="H53" s="32">
        <v>21.46</v>
      </c>
      <c r="I53" s="32">
        <v>0.23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43</v>
      </c>
      <c r="G54" s="31">
        <v>10745</v>
      </c>
      <c r="H54" s="32">
        <v>18.43</v>
      </c>
      <c r="I54" s="32">
        <v>0.2</v>
      </c>
      <c r="J54" s="33"/>
    </row>
    <row r="55" spans="2:10">
      <c r="C55" s="28" t="s">
        <v>173</v>
      </c>
      <c r="D55" s="29"/>
      <c r="E55" s="30"/>
      <c r="F55" s="30"/>
      <c r="G55" s="31"/>
      <c r="H55" s="35">
        <v>8958.86</v>
      </c>
      <c r="I55" s="35">
        <v>97.55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174</v>
      </c>
      <c r="D57" s="29"/>
      <c r="E57" s="30"/>
      <c r="F57" s="30"/>
      <c r="G57" s="31"/>
      <c r="H57" s="32" t="s">
        <v>175</v>
      </c>
      <c r="I57" s="32" t="s">
        <v>175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176</v>
      </c>
      <c r="D59" s="29"/>
      <c r="E59" s="30"/>
      <c r="F59" s="30"/>
      <c r="G59" s="31"/>
      <c r="H59" s="32" t="s">
        <v>175</v>
      </c>
      <c r="I59" s="32" t="s">
        <v>175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177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178</v>
      </c>
      <c r="D63" s="29"/>
      <c r="E63" s="30"/>
      <c r="F63" s="30"/>
      <c r="G63" s="31"/>
      <c r="H63" s="32" t="s">
        <v>175</v>
      </c>
      <c r="I63" s="32" t="s">
        <v>175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179</v>
      </c>
      <c r="D65" s="29"/>
      <c r="E65" s="30"/>
      <c r="F65" s="30"/>
      <c r="G65" s="31"/>
      <c r="H65" s="32" t="s">
        <v>175</v>
      </c>
      <c r="I65" s="32" t="s">
        <v>175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180</v>
      </c>
      <c r="D67" s="29"/>
      <c r="E67" s="30"/>
      <c r="F67" s="30"/>
      <c r="G67" s="31"/>
      <c r="H67" s="32" t="s">
        <v>175</v>
      </c>
      <c r="I67" s="32" t="s">
        <v>175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181</v>
      </c>
      <c r="D69" s="29"/>
      <c r="E69" s="30"/>
      <c r="F69" s="30"/>
      <c r="G69" s="31"/>
      <c r="H69" s="32" t="s">
        <v>175</v>
      </c>
      <c r="I69" s="32" t="s">
        <v>175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182</v>
      </c>
      <c r="D71" s="29"/>
      <c r="E71" s="30"/>
      <c r="F71" s="30"/>
      <c r="G71" s="31"/>
      <c r="H71" s="32" t="s">
        <v>175</v>
      </c>
      <c r="I71" s="32" t="s">
        <v>175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183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184</v>
      </c>
      <c r="D75" s="29"/>
      <c r="E75" s="30"/>
      <c r="F75" s="30"/>
      <c r="G75" s="31"/>
      <c r="H75" s="32" t="s">
        <v>175</v>
      </c>
      <c r="I75" s="32" t="s">
        <v>175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185</v>
      </c>
      <c r="D77" s="29"/>
      <c r="E77" s="30"/>
      <c r="F77" s="30"/>
      <c r="G77" s="31"/>
      <c r="H77" s="32" t="s">
        <v>175</v>
      </c>
      <c r="I77" s="32" t="s">
        <v>175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186</v>
      </c>
      <c r="D79" s="29"/>
      <c r="E79" s="30"/>
      <c r="F79" s="30"/>
      <c r="G79" s="31"/>
      <c r="H79" s="32" t="s">
        <v>175</v>
      </c>
      <c r="I79" s="32" t="s">
        <v>175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187</v>
      </c>
      <c r="D81" s="29"/>
      <c r="E81" s="30"/>
      <c r="F81" s="30"/>
      <c r="G81" s="31"/>
      <c r="H81" s="32" t="s">
        <v>175</v>
      </c>
      <c r="I81" s="32" t="s">
        <v>175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188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189</v>
      </c>
      <c r="D85" s="29"/>
      <c r="E85" s="30"/>
      <c r="F85" s="30"/>
      <c r="G85" s="31"/>
      <c r="H85" s="32" t="s">
        <v>175</v>
      </c>
      <c r="I85" s="32" t="s">
        <v>175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190</v>
      </c>
      <c r="D87" s="29"/>
      <c r="E87" s="30"/>
      <c r="F87" s="30"/>
      <c r="G87" s="31"/>
      <c r="H87" s="32" t="s">
        <v>175</v>
      </c>
      <c r="I87" s="32" t="s">
        <v>175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191</v>
      </c>
      <c r="D89" s="29"/>
      <c r="E89" s="30"/>
      <c r="F89" s="30"/>
      <c r="G89" s="31"/>
      <c r="H89" s="32" t="s">
        <v>175</v>
      </c>
      <c r="I89" s="32" t="s">
        <v>175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192</v>
      </c>
      <c r="D91" s="29"/>
      <c r="E91" s="30"/>
      <c r="F91" s="30"/>
      <c r="G91" s="31"/>
      <c r="H91" s="32" t="s">
        <v>175</v>
      </c>
      <c r="I91" s="32" t="s">
        <v>175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193</v>
      </c>
      <c r="D93" s="29"/>
      <c r="E93" s="30"/>
      <c r="F93" s="30"/>
      <c r="G93" s="31"/>
      <c r="H93" s="32" t="s">
        <v>175</v>
      </c>
      <c r="I93" s="32" t="s">
        <v>175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194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195</v>
      </c>
      <c r="D96" s="29"/>
      <c r="E96" s="30"/>
      <c r="F96" s="30"/>
      <c r="G96" s="31"/>
      <c r="H96" s="32">
        <v>222.08</v>
      </c>
      <c r="I96" s="32">
        <v>2.4499999999999997</v>
      </c>
      <c r="J96" s="33"/>
    </row>
    <row r="97" spans="3:10">
      <c r="C97" s="28" t="s">
        <v>173</v>
      </c>
      <c r="D97" s="29"/>
      <c r="E97" s="30"/>
      <c r="F97" s="30"/>
      <c r="G97" s="31"/>
      <c r="H97" s="35">
        <v>222.08</v>
      </c>
      <c r="I97" s="35">
        <v>2.4499999999999997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5" thickBot="1">
      <c r="C99" s="36" t="s">
        <v>196</v>
      </c>
      <c r="D99" s="37"/>
      <c r="E99" s="38"/>
      <c r="F99" s="39"/>
      <c r="G99" s="40"/>
      <c r="H99" s="41">
        <v>9180.94</v>
      </c>
      <c r="I99" s="41">
        <f>SUMIFS(I:I,C:C,"Total")</f>
        <v>100</v>
      </c>
      <c r="J99" s="42"/>
    </row>
    <row r="102" spans="3:10">
      <c r="C102" s="11" t="s">
        <v>197</v>
      </c>
    </row>
    <row r="103" spans="3:10">
      <c r="C103" s="2" t="s">
        <v>198</v>
      </c>
    </row>
    <row r="104" spans="3:10">
      <c r="C104" s="2" t="s">
        <v>199</v>
      </c>
    </row>
    <row r="105" spans="3:10">
      <c r="C105" s="2" t="s">
        <v>200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201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202</v>
      </c>
      <c r="C5" s="46" t="s">
        <v>203</v>
      </c>
      <c r="D5" s="46"/>
      <c r="E5" s="46" t="s">
        <v>204</v>
      </c>
      <c r="F5" s="46"/>
      <c r="G5" s="46" t="s">
        <v>205</v>
      </c>
      <c r="H5" s="46"/>
      <c r="I5" s="46" t="s">
        <v>206</v>
      </c>
      <c r="J5" s="46"/>
    </row>
    <row r="6" spans="2:10" ht="63.75">
      <c r="B6" s="47"/>
      <c r="C6" s="48" t="s">
        <v>207</v>
      </c>
      <c r="D6" s="48" t="s">
        <v>208</v>
      </c>
      <c r="E6" s="48" t="s">
        <v>207</v>
      </c>
      <c r="F6" s="48" t="s">
        <v>208</v>
      </c>
      <c r="G6" s="48" t="s">
        <v>207</v>
      </c>
      <c r="H6" s="48" t="s">
        <v>208</v>
      </c>
      <c r="I6" s="48" t="s">
        <v>207</v>
      </c>
      <c r="J6" s="48" t="s">
        <v>208</v>
      </c>
    </row>
    <row r="7" spans="2:10">
      <c r="B7" s="49" t="s">
        <v>209</v>
      </c>
      <c r="C7" s="50">
        <v>5.9654827413706979</v>
      </c>
      <c r="D7" s="50">
        <v>10596.548274137071</v>
      </c>
      <c r="E7" s="50">
        <v>19.75210233315179</v>
      </c>
      <c r="F7" s="50">
        <v>17190.099411645366</v>
      </c>
      <c r="G7" s="50">
        <v>11.119006788637043</v>
      </c>
      <c r="H7" s="50">
        <v>16946</v>
      </c>
      <c r="I7" s="50">
        <v>16.287154369272237</v>
      </c>
      <c r="J7" s="50">
        <v>84730</v>
      </c>
    </row>
    <row r="8" spans="2:10">
      <c r="B8" s="49" t="s">
        <v>210</v>
      </c>
      <c r="C8" s="50">
        <v>4.1399249397929161</v>
      </c>
      <c r="D8" s="50">
        <v>10413.992493979291</v>
      </c>
      <c r="E8" s="50">
        <v>23.447151384582376</v>
      </c>
      <c r="F8" s="50">
        <v>18812.357287665487</v>
      </c>
      <c r="G8" s="50">
        <v>13.662624697620473</v>
      </c>
      <c r="H8" s="50">
        <v>18970.920442887567</v>
      </c>
      <c r="I8" s="50">
        <v>16.006218663191941</v>
      </c>
      <c r="J8" s="50">
        <v>81843.487968500805</v>
      </c>
    </row>
    <row r="9" spans="2:10">
      <c r="B9" s="49" t="s">
        <v>211</v>
      </c>
      <c r="C9" s="50">
        <v>12.936501642450771</v>
      </c>
      <c r="D9" s="50">
        <v>11293.650164245077</v>
      </c>
      <c r="E9" s="50">
        <v>26.017411031737048</v>
      </c>
      <c r="F9" s="50">
        <v>20012.053672132919</v>
      </c>
      <c r="G9" s="50">
        <v>12.893398277148327</v>
      </c>
      <c r="H9" s="50">
        <v>18337.609960208683</v>
      </c>
      <c r="I9" s="50">
        <v>14.430803307344098</v>
      </c>
      <c r="J9" s="50">
        <v>67437.889246998137</v>
      </c>
    </row>
    <row r="10" spans="2:10">
      <c r="B10" s="49" t="s">
        <v>212</v>
      </c>
      <c r="C10" s="51">
        <v>79.959999999999994</v>
      </c>
      <c r="D10" s="52"/>
      <c r="E10" s="51">
        <v>49.29</v>
      </c>
      <c r="F10" s="52"/>
      <c r="G10" s="51">
        <v>50</v>
      </c>
      <c r="H10" s="52"/>
      <c r="I10" s="51">
        <v>10</v>
      </c>
      <c r="J10" s="52"/>
    </row>
    <row r="12" spans="2:10" ht="15.75">
      <c r="B12" s="43" t="s">
        <v>213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202</v>
      </c>
      <c r="C13" s="46" t="s">
        <v>203</v>
      </c>
      <c r="D13" s="46"/>
      <c r="E13" s="46" t="s">
        <v>204</v>
      </c>
      <c r="F13" s="46"/>
      <c r="G13" s="46" t="s">
        <v>205</v>
      </c>
      <c r="H13" s="46"/>
      <c r="I13" s="46" t="s">
        <v>206</v>
      </c>
      <c r="J13" s="46"/>
    </row>
    <row r="14" spans="2:10" ht="63.75">
      <c r="B14" s="47"/>
      <c r="C14" s="48" t="s">
        <v>207</v>
      </c>
      <c r="D14" s="48" t="s">
        <v>208</v>
      </c>
      <c r="E14" s="48" t="s">
        <v>207</v>
      </c>
      <c r="F14" s="48" t="s">
        <v>208</v>
      </c>
      <c r="G14" s="48" t="s">
        <v>207</v>
      </c>
      <c r="H14" s="48" t="s">
        <v>208</v>
      </c>
      <c r="I14" s="48" t="s">
        <v>207</v>
      </c>
      <c r="J14" s="48" t="s">
        <v>208</v>
      </c>
    </row>
    <row r="15" spans="2:10">
      <c r="B15" s="49" t="s">
        <v>209</v>
      </c>
      <c r="C15" s="50">
        <v>7.2483841181902209</v>
      </c>
      <c r="D15" s="50">
        <v>10724.838411819021</v>
      </c>
      <c r="E15" s="50">
        <v>20.99705070884368</v>
      </c>
      <c r="F15" s="50">
        <v>17732.824427480915</v>
      </c>
      <c r="G15" s="50">
        <v>12.273374430469675</v>
      </c>
      <c r="H15" s="50">
        <v>17845.208373343576</v>
      </c>
      <c r="I15" s="50">
        <v>14.126960858998206</v>
      </c>
      <c r="J15" s="50">
        <v>39607.843137254902</v>
      </c>
    </row>
    <row r="16" spans="2:10">
      <c r="B16" s="49" t="s">
        <v>210</v>
      </c>
      <c r="C16" s="50">
        <v>4.1399249397929161</v>
      </c>
      <c r="D16" s="50">
        <v>10413.992493979291</v>
      </c>
      <c r="E16" s="50">
        <v>23.447151384582376</v>
      </c>
      <c r="F16" s="50">
        <v>18812.357287665487</v>
      </c>
      <c r="G16" s="50">
        <v>13.662624697620473</v>
      </c>
      <c r="H16" s="50">
        <v>18970.920442887567</v>
      </c>
      <c r="I16" s="50">
        <v>15.207841661675637</v>
      </c>
      <c r="J16" s="50">
        <v>43694.209319046895</v>
      </c>
    </row>
    <row r="17" spans="2:10">
      <c r="B17" s="49" t="s">
        <v>211</v>
      </c>
      <c r="C17" s="50">
        <v>12.936501642450771</v>
      </c>
      <c r="D17" s="50">
        <v>11293.650164245077</v>
      </c>
      <c r="E17" s="50">
        <v>26.017411031737048</v>
      </c>
      <c r="F17" s="50">
        <v>20012.053672132919</v>
      </c>
      <c r="G17" s="50">
        <v>12.893398277148327</v>
      </c>
      <c r="H17" s="50">
        <v>18337.609960208683</v>
      </c>
      <c r="I17" s="50">
        <v>12.892401427699873</v>
      </c>
      <c r="J17" s="50">
        <v>35365.411812067206</v>
      </c>
    </row>
    <row r="18" spans="2:10">
      <c r="B18" s="49" t="s">
        <v>214</v>
      </c>
      <c r="C18" s="51">
        <v>86.64</v>
      </c>
      <c r="D18" s="52"/>
      <c r="E18" s="51">
        <v>52.4</v>
      </c>
      <c r="F18" s="52"/>
      <c r="G18" s="51">
        <v>52.07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2023-06-02T17:10:24Z</dcterms:created>
  <dcterms:modified xsi:type="dcterms:W3CDTF">2023-06-07T10:43:50Z</dcterms:modified>
</cp:coreProperties>
</file>