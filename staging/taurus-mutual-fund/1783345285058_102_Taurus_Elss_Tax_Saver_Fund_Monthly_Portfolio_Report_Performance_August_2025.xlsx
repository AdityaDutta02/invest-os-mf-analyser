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6. Sep 2025\Monthly Portfolio Aug 2025\Ops\"/>
    </mc:Choice>
  </mc:AlternateContent>
  <xr:revisionPtr revIDLastSave="0" documentId="13_ncr:1_{3E318B91-2CBB-4CB5-A805-96676BB49F02}" xr6:coauthVersionLast="47" xr6:coauthVersionMax="47" xr10:uidLastSave="{00000000-0000-0000-0000-000000000000}"/>
  <bookViews>
    <workbookView xWindow="-120" yWindow="-120" windowWidth="20730" windowHeight="11040" xr2:uid="{E94A2549-211E-4B01-BC29-84FC392D5D64}"/>
  </bookViews>
  <sheets>
    <sheet name="TTS" sheetId="1" r:id="rId1"/>
    <sheet name="TTS Performance" sheetId="2" r:id="rId2"/>
  </sheets>
  <externalReferences>
    <externalReference r:id="rId3"/>
  </externalReferences>
  <definedNames>
    <definedName name="XDO_?CLASS_3?7?">TTS!$C$8:$C$41</definedName>
    <definedName name="XDO_?FINAL_ISIN?16?">TTS!$D$10:$D$41</definedName>
    <definedName name="XDO_?FINAL_ISIN?17?">TTS!$D$10:$D$82</definedName>
    <definedName name="XDO_?FINAL_ISIN?18?">TTS!$D$10:$D$86</definedName>
    <definedName name="XDO_?FINAL_MV?16?">TTS!$H$10:$H$41</definedName>
    <definedName name="XDO_?FINAL_MV?17?">TTS!$H$10:$H$82</definedName>
    <definedName name="XDO_?FINAL_MV?18?">TTS!$H$10:$H$86</definedName>
    <definedName name="XDO_?FINAL_NAME?16?">TTS!$C$10:$C$41</definedName>
    <definedName name="XDO_?FINAL_NAME?17?">TTS!$C$10:$C$82</definedName>
    <definedName name="XDO_?FINAL_NAME?18?">TTS!$C$10:$C$86</definedName>
    <definedName name="XDO_?FINAL_PER_NET?16?">TTS!$I$10:$I$41</definedName>
    <definedName name="XDO_?FINAL_PER_NET?17?">TTS!$I$10:$I$82</definedName>
    <definedName name="XDO_?FINAL_PER_NET?18?">TTS!$I$10:$I$86</definedName>
    <definedName name="XDO_?FINAL_QUANTITE?16?">TTS!$G$10:$G$41</definedName>
    <definedName name="XDO_?FINAL_QUANTITE?17?">TTS!$G$10:$G$82</definedName>
    <definedName name="XDO_?FINAL_QUANTITE?18?">TTS!$G$10:$G$86</definedName>
    <definedName name="XDO_?IND_01?16?">TTS!$F$10:$F$41</definedName>
    <definedName name="XDO_?IND_01?17?">TTS!$F$10:$F$82</definedName>
    <definedName name="XDO_?IND_01?18?">TTS!$F$10:$F$86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TTS!#REF!</definedName>
    <definedName name="XDO_?NAMCNAME?7?">TTS!$C$2:$C$41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TTS!#REF!</definedName>
    <definedName name="XDO_?NOVAL?16?">TTS!$B$10:$B$41</definedName>
    <definedName name="XDO_?NOVAL?17?">TTS!$B$10:$B$82</definedName>
    <definedName name="XDO_?NOVAL?18?">TTS!$B$10:$B$86</definedName>
    <definedName name="XDO_?NPTF?7?">TTS!$D$2:$D$41</definedName>
    <definedName name="XDO_?RATING?16?">TTS!$E$10:$E$41</definedName>
    <definedName name="XDO_?RATING?17?">TTS!$E$10:$E$82</definedName>
    <definedName name="XDO_?RATING?18?">TTS!$E$10:$E$86</definedName>
    <definedName name="XDO_?REMARKS?16?">TTS!$J$10:$J$41</definedName>
    <definedName name="XDO_?REMARKS?17?">TTS!$J$10:$J$82</definedName>
    <definedName name="XDO_?REMARKS?18?">TTS!$J$10:$J$86</definedName>
    <definedName name="XDO_?TITL?7?">TTS!$A$8:$A$41</definedName>
    <definedName name="XDO_GROUP_?G_2?7?">TTS!$2:$89</definedName>
    <definedName name="XDO_GROUP_?G_3?7?">TTS!$8:$88</definedName>
    <definedName name="XDO_GROUP_?G_4?16?">TTS!$B$10:$IV$41</definedName>
    <definedName name="XDO_GROUP_?G_4?17?">TTS!$B$82:$IV$82</definedName>
    <definedName name="XDO_GROUP_?G_4?18?">TTS!$B$86:$IV$86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" i="1" l="1"/>
</calcChain>
</file>

<file path=xl/sharedStrings.xml><?xml version="1.0" encoding="utf-8"?>
<sst xmlns="http://schemas.openxmlformats.org/spreadsheetml/2006/main" count="273" uniqueCount="201">
  <si>
    <t>TAURUS MUTUAL FUND</t>
  </si>
  <si>
    <t>TTS</t>
  </si>
  <si>
    <t>SCHEME NAME :</t>
  </si>
  <si>
    <t>Taurus Elss Tax Saver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</si>
  <si>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</si>
  <si>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</si>
  <si>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</si>
  <si>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</si>
  <si>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</si>
  <si>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</si>
  <si>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</si>
  <si>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</si>
  <si>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</si>
  <si>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</si>
  <si>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</si>
  <si>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</si>
  <si>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</si>
  <si>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</si>
  <si>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</si>
  <si>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100325</t>
  </si>
  <si>
    <t>Bajaj Holdings &amp; Investment Ltd.</t>
  </si>
  <si>
    <t>INE118A01012</t>
  </si>
  <si>
    <t>Finance</t>
  </si>
  <si>
    <t>100019</t>
  </si>
  <si>
    <t>ITC Ltd.</t>
  </si>
  <si>
    <t>INE154A01025</t>
  </si>
  <si>
    <t>Diversified FMCG</t>
  </si>
  <si>
    <t>100012</t>
  </si>
  <si>
    <t>ICICI Bank Ltd.</t>
  </si>
  <si>
    <t>INE090A01021</t>
  </si>
  <si>
    <t>100474</t>
  </si>
  <si>
    <t>Narayana Hrudayalaya Ltd.</t>
  </si>
  <si>
    <t>INE410P01011</t>
  </si>
  <si>
    <t>Healthcare Services</t>
  </si>
  <si>
    <t>100182</t>
  </si>
  <si>
    <t>Power Grid Corporation of India Ltd.</t>
  </si>
  <si>
    <t>INE752E01010</t>
  </si>
  <si>
    <t>Power</t>
  </si>
  <si>
    <t>102644</t>
  </si>
  <si>
    <t>Vikram Solar Ltd.</t>
  </si>
  <si>
    <t>INE078V01014</t>
  </si>
  <si>
    <t>Electrical Equipment</t>
  </si>
  <si>
    <t>100024</t>
  </si>
  <si>
    <t>Axis Bank Ltd.</t>
  </si>
  <si>
    <t>INE238A01034</t>
  </si>
  <si>
    <t>101345</t>
  </si>
  <si>
    <t>CarTrade Tech Ltd.</t>
  </si>
  <si>
    <t>INE290S01011</t>
  </si>
  <si>
    <t>Retailing</t>
  </si>
  <si>
    <t>100097</t>
  </si>
  <si>
    <t>Coal India Ltd.</t>
  </si>
  <si>
    <t>INE522F01014</t>
  </si>
  <si>
    <t>Consumable Fuels</t>
  </si>
  <si>
    <t>100014</t>
  </si>
  <si>
    <t>Mahindra &amp; Mahindra Ltd.</t>
  </si>
  <si>
    <t>INE101A01026</t>
  </si>
  <si>
    <t>Automobiles</t>
  </si>
  <si>
    <t>100389</t>
  </si>
  <si>
    <t>Zydus Wellness Ltd.</t>
  </si>
  <si>
    <t>INE768C01010</t>
  </si>
  <si>
    <t>Food Products</t>
  </si>
  <si>
    <t>100153</t>
  </si>
  <si>
    <t>Cipla Ltd.</t>
  </si>
  <si>
    <t>INE059A01026</t>
  </si>
  <si>
    <t>Pharmaceuticals &amp; Biotechnology</t>
  </si>
  <si>
    <t>100037</t>
  </si>
  <si>
    <t>HCL Technologies Ltd.</t>
  </si>
  <si>
    <t>INE860A01027</t>
  </si>
  <si>
    <t>IT - Software</t>
  </si>
  <si>
    <t>102528</t>
  </si>
  <si>
    <t>DAM Capital Advisors Ltd.</t>
  </si>
  <si>
    <t>INE284H01025</t>
  </si>
  <si>
    <t>Capital Markets</t>
  </si>
  <si>
    <t>100095</t>
  </si>
  <si>
    <t>Bharti Airtel Ltd.</t>
  </si>
  <si>
    <t>INE397D01024</t>
  </si>
  <si>
    <t>Telecom - Services</t>
  </si>
  <si>
    <t>100133</t>
  </si>
  <si>
    <t>Oracle Financial Services Software Ltd.</t>
  </si>
  <si>
    <t>INE881D01027</t>
  </si>
  <si>
    <t>100003</t>
  </si>
  <si>
    <t>Infosys Ltd.</t>
  </si>
  <si>
    <t>INE009A01021</t>
  </si>
  <si>
    <t>101178</t>
  </si>
  <si>
    <t>Computer Age Management Services Ltd.</t>
  </si>
  <si>
    <t>INE596I01012</t>
  </si>
  <si>
    <t>100194</t>
  </si>
  <si>
    <t>Power Finance Corporation Ltd.</t>
  </si>
  <si>
    <t>INE134E01011</t>
  </si>
  <si>
    <t>100566</t>
  </si>
  <si>
    <t>Laurus Labs Ltd.</t>
  </si>
  <si>
    <t>INE947Q01028</t>
  </si>
  <si>
    <t>100100</t>
  </si>
  <si>
    <t>Hindustan Petroleum Corporation Ltd.</t>
  </si>
  <si>
    <t>INE094A01015</t>
  </si>
  <si>
    <t>Petroleum Products</t>
  </si>
  <si>
    <t>100155</t>
  </si>
  <si>
    <t>Divi's Laboratories Ltd.</t>
  </si>
  <si>
    <t>INE361B01024</t>
  </si>
  <si>
    <t>102094</t>
  </si>
  <si>
    <t>HBL Engineering Ltd.</t>
  </si>
  <si>
    <t>INE292B01021</t>
  </si>
  <si>
    <t>Industrial Products</t>
  </si>
  <si>
    <t>100177</t>
  </si>
  <si>
    <t>Grasim Industries Ltd.</t>
  </si>
  <si>
    <t>INE047A01021</t>
  </si>
  <si>
    <t>Cement &amp; Cement Products</t>
  </si>
  <si>
    <t>100083</t>
  </si>
  <si>
    <t>Samvardhana Motherson International Ltd.</t>
  </si>
  <si>
    <t>INE775A01035</t>
  </si>
  <si>
    <t>Auto Components</t>
  </si>
  <si>
    <t>101550</t>
  </si>
  <si>
    <t>Life Insurance Corporation of India</t>
  </si>
  <si>
    <t>INE0J1Y01017</t>
  </si>
  <si>
    <t>Insurance</t>
  </si>
  <si>
    <t>102042</t>
  </si>
  <si>
    <t>Associated Alcohols &amp; Breweries Ltd.</t>
  </si>
  <si>
    <t>INE073G01016</t>
  </si>
  <si>
    <t>Beverages</t>
  </si>
  <si>
    <t>100292</t>
  </si>
  <si>
    <t>Steel Authority of India Ltd.</t>
  </si>
  <si>
    <t>INE114A01011</t>
  </si>
  <si>
    <t>Ferrous Metals</t>
  </si>
  <si>
    <t>102206</t>
  </si>
  <si>
    <t>Chemtech Industrial Valves Ltd.</t>
  </si>
  <si>
    <t>INE212P01011</t>
  </si>
  <si>
    <t>Industrial Manufacturing</t>
  </si>
  <si>
    <t>100156</t>
  </si>
  <si>
    <t>Finolex Cables Ltd.</t>
  </si>
  <si>
    <t>INE235A01022</t>
  </si>
  <si>
    <t>100147</t>
  </si>
  <si>
    <t>Tech Mahindra Ltd.</t>
  </si>
  <si>
    <t>INE669C01036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</si>
  <si>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</si>
  <si>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</si>
  <si>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</si>
  <si>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</si>
  <si>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</si>
  <si>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</si>
  <si>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</si>
  <si>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</si>
  <si>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</si>
  <si>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</si>
  <si>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</si>
  <si>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</si>
  <si>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</si>
  <si>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</si>
  <si>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</si>
  <si>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</si>
  <si>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</si>
  <si>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</si>
  <si>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</si>
  <si>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</si>
  <si>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</si>
  <si>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</si>
  <si>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109250100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</si>
  <si>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</si>
  <si>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</si>
  <si>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</si>
  <si>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</si>
  <si>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</si>
  <si>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</si>
  <si>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</si>
  <si>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</si>
  <si>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Total NPAs provided for and its percentage to NAV is Nil.</t>
  </si>
  <si>
    <t>4. Total Value and percentage of illiquid equity shares is Nil.</t>
  </si>
  <si>
    <t>5. Net Assets Value per unit (in Rupees) are as follows:</t>
  </si>
  <si>
    <t>NAV per unit</t>
  </si>
  <si>
    <t>Plan/Option</t>
  </si>
  <si>
    <t>As on</t>
  </si>
  <si>
    <t>July 31, 2025</t>
  </si>
  <si>
    <t>August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</si>
  <si>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</si>
  <si>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</si>
  <si>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</si>
  <si>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</si>
  <si>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August 31, 2025.</t>
  </si>
  <si>
    <t>7. The Scheme did not declare any bonus during the month ended As on August 31, 2025.</t>
  </si>
  <si>
    <t>8. Total outstanding exposure in derivative instruments as on As on August 31, 2025 is Nil</t>
  </si>
  <si>
    <t>9. Total investments in Foreign Securities /ADRs/GDRs /Overseas ETFs as at As on August 31, 2025 and its percentage to NAV is Nil.</t>
  </si>
  <si>
    <t>10. During the period, the portfolio turnover ratio is 0.79 times.</t>
  </si>
  <si>
    <t>      Portfolio Turnover Ratio = Lower of sales or purchase of securities divided by average AUM for 12 months ended As on August 31, 2025</t>
  </si>
  <si>
    <t>11. The Scheme did not invest in repo transactions of corporate debt securities during the month ended As on August 31, 2025.</t>
  </si>
  <si>
    <t>12. The Scheme did not invest in credit default swaps during the month ended As on August 31, 2025.</t>
  </si>
  <si>
    <t>13. There are Nil instances of deviation from the valuation principles/guidelilys during the month ended as on August 31st, 2025.</t>
  </si>
  <si>
    <t>Taurus Elss Tax Saver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</si>
  <si>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</si>
  <si>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</si>
  <si>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</si>
  <si>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</si>
  <si>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</si>
  <si>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</si>
  <si>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</si>
  <si>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</si>
  <si>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</si>
  <si>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</si>
  <si>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</si>
  <si>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August 29,2025 :181.19)</t>
  </si>
  <si>
    <t>Taurus Elss Tax Saver Fund - Direct Plan Growth Option</t>
  </si>
  <si>
    <t>NAV [Rs.] Per Unit (as on August 29,2025 :197.62)</t>
  </si>
  <si>
    <t>10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</si>
</sst>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  <xf numFmtId="0" fontId="13" fillId="3" borderId="19" xfId="0" applyFont="1" applyFill="1" applyBorder="1" applyAlignment="1">
      <alignment horizontal="center"/>
    </xf>
    <xf numFmtId="0" fontId="13" fillId="3" borderId="20" xfId="0" applyFont="1" applyFill="1" applyBorder="1" applyAlignment="1">
      <alignment horizontal="center"/>
    </xf>
  </cellXfs>
  <cellStyles count="6">
    <cellStyle name="Comma" xfId="1" builtinId="3"/>
    <cellStyle name="Comma 2" xfId="5" xr:uid="{62223C56-2D13-4C9E-8C66-B34C2D1E00DF}"/>
    <cellStyle name="Hyperlink" xfId="2" builtinId="8"/>
    <cellStyle name="Normal" xfId="0" builtinId="0"/>
    <cellStyle name="Normal 2" xfId="4" xr:uid="{69E24B69-8057-4D82-81B9-CE4235C0EA50}"/>
    <cellStyle name="Style 1" xfId="3" xr:uid="{612E1527-9BE9-46AA-83D8-69515C429B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247480</xdr:colOff>
      <xdr:row>0</xdr:row>
      <xdr:rowOff>1920240</xdr:rowOff>
    </xdr:to>
    <xdr:pic>
      <xdr:nvPicPr>
        <xdr:cNvPr id="2" name="Picture 1" descr="Product Label - 9th Dec 2024 - ELSS.jpg">
          <a:extLst>
            <a:ext uri="{FF2B5EF4-FFF2-40B4-BE49-F238E27FC236}">
              <a16:creationId xmlns:a16="http://schemas.microsoft.com/office/drawing/2014/main" id="{253EDFDC-E487-42CA-8BAB-279C0F580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99647" cy="1920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Aug_2025\Final\TMF_Monthly_Portfolio_Report_Aug_25.xls" TargetMode="External"/><Relationship Id="rId1" Type="http://schemas.openxmlformats.org/officeDocument/2006/relationships/externalLinkPath" Target="file:///Q:\5.TMF\Reporting\Monthly%20Reports\Monthly%20Portfolio\2025-26\Aug_2025\Final\TMF_Monthly_Portfolio_Report_Aug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7086A-6579-41F9-BDF7-CC4E28A48BD5}">
  <dimension ref="A1:BB115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45900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76490</v>
      </c>
      <c r="H10" s="32">
        <v>727.76</v>
      </c>
      <c r="I10" s="32">
        <v>9.5399999999999991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5200</v>
      </c>
      <c r="H11" s="32">
        <v>664.1</v>
      </c>
      <c r="I11" s="32">
        <v>8.6999999999999993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147908</v>
      </c>
      <c r="H12" s="32">
        <v>606.04999999999995</v>
      </c>
      <c r="I12" s="32">
        <v>7.94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41805</v>
      </c>
      <c r="H13" s="32">
        <v>584.42999999999995</v>
      </c>
      <c r="I13" s="32">
        <v>7.66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23293</v>
      </c>
      <c r="H14" s="32">
        <v>408.17</v>
      </c>
      <c r="I14" s="32">
        <v>5.35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114996</v>
      </c>
      <c r="H15" s="32">
        <v>316.64</v>
      </c>
      <c r="I15" s="32">
        <v>4.1500000000000004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90825</v>
      </c>
      <c r="H16" s="32">
        <v>305.58</v>
      </c>
      <c r="I16" s="32">
        <v>4.01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18</v>
      </c>
      <c r="G17" s="31">
        <v>28650</v>
      </c>
      <c r="H17" s="32">
        <v>299.55</v>
      </c>
      <c r="I17" s="32">
        <v>3.93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11296</v>
      </c>
      <c r="H18" s="32">
        <v>270.75</v>
      </c>
      <c r="I18" s="32">
        <v>3.55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65000</v>
      </c>
      <c r="H19" s="32">
        <v>243.39</v>
      </c>
      <c r="I19" s="32">
        <v>3.19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7337</v>
      </c>
      <c r="H20" s="32">
        <v>234.65</v>
      </c>
      <c r="I20" s="32">
        <v>3.08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10995</v>
      </c>
      <c r="H21" s="32">
        <v>221.73</v>
      </c>
      <c r="I21" s="32">
        <v>2.91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13798</v>
      </c>
      <c r="H22" s="32">
        <v>219.34</v>
      </c>
      <c r="I22" s="32">
        <v>2.87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68</v>
      </c>
      <c r="G23" s="31">
        <v>14191</v>
      </c>
      <c r="H23" s="32">
        <v>206.54</v>
      </c>
      <c r="I23" s="32">
        <v>2.71</v>
      </c>
      <c r="J23" s="33"/>
    </row>
    <row r="24" spans="2:10" x14ac:dyDescent="0.25">
      <c r="B24" s="1" t="s">
        <v>69</v>
      </c>
      <c r="C24" s="20" t="s">
        <v>70</v>
      </c>
      <c r="D24" s="29" t="s">
        <v>71</v>
      </c>
      <c r="E24" s="30"/>
      <c r="F24" s="30" t="s">
        <v>72</v>
      </c>
      <c r="G24" s="31">
        <v>81333</v>
      </c>
      <c r="H24" s="32">
        <v>178.57</v>
      </c>
      <c r="I24" s="32">
        <v>2.34</v>
      </c>
      <c r="J24" s="33"/>
    </row>
    <row r="25" spans="2:10" x14ac:dyDescent="0.25">
      <c r="B25" s="1" t="s">
        <v>73</v>
      </c>
      <c r="C25" s="20" t="s">
        <v>74</v>
      </c>
      <c r="D25" s="29" t="s">
        <v>75</v>
      </c>
      <c r="E25" s="30"/>
      <c r="F25" s="30" t="s">
        <v>76</v>
      </c>
      <c r="G25" s="31">
        <v>8882</v>
      </c>
      <c r="H25" s="32">
        <v>167.79</v>
      </c>
      <c r="I25" s="32">
        <v>2.2000000000000002</v>
      </c>
      <c r="J25" s="33"/>
    </row>
    <row r="26" spans="2:10" x14ac:dyDescent="0.25">
      <c r="B26" s="1" t="s">
        <v>77</v>
      </c>
      <c r="C26" s="20" t="s">
        <v>78</v>
      </c>
      <c r="D26" s="29" t="s">
        <v>79</v>
      </c>
      <c r="E26" s="30"/>
      <c r="F26" s="30" t="s">
        <v>68</v>
      </c>
      <c r="G26" s="31">
        <v>1912</v>
      </c>
      <c r="H26" s="32">
        <v>158.54</v>
      </c>
      <c r="I26" s="32">
        <v>2.08</v>
      </c>
      <c r="J26" s="33"/>
    </row>
    <row r="27" spans="2:10" x14ac:dyDescent="0.25">
      <c r="B27" s="1" t="s">
        <v>80</v>
      </c>
      <c r="C27" s="20" t="s">
        <v>81</v>
      </c>
      <c r="D27" s="29" t="s">
        <v>82</v>
      </c>
      <c r="E27" s="30"/>
      <c r="F27" s="30" t="s">
        <v>68</v>
      </c>
      <c r="G27" s="31">
        <v>10579</v>
      </c>
      <c r="H27" s="32">
        <v>155.44999999999999</v>
      </c>
      <c r="I27" s="32">
        <v>2.04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72</v>
      </c>
      <c r="G28" s="31">
        <v>4035</v>
      </c>
      <c r="H28" s="32">
        <v>149.52000000000001</v>
      </c>
      <c r="I28" s="32">
        <v>1.96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22</v>
      </c>
      <c r="G29" s="31">
        <v>34916</v>
      </c>
      <c r="H29" s="32">
        <v>132.56</v>
      </c>
      <c r="I29" s="32">
        <v>1.74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64</v>
      </c>
      <c r="G30" s="31">
        <v>14250</v>
      </c>
      <c r="H30" s="32">
        <v>122.03</v>
      </c>
      <c r="I30" s="32">
        <v>1.6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31987</v>
      </c>
      <c r="H31" s="32">
        <v>120.24</v>
      </c>
      <c r="I31" s="32">
        <v>1.58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64</v>
      </c>
      <c r="G32" s="31">
        <v>1928</v>
      </c>
      <c r="H32" s="32">
        <v>117.96</v>
      </c>
      <c r="I32" s="32">
        <v>1.55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14581</v>
      </c>
      <c r="H33" s="32">
        <v>117.81</v>
      </c>
      <c r="I33" s="32">
        <v>1.54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106</v>
      </c>
      <c r="G34" s="31">
        <v>3981</v>
      </c>
      <c r="H34" s="32">
        <v>110.37</v>
      </c>
      <c r="I34" s="32">
        <v>1.45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110</v>
      </c>
      <c r="G35" s="31">
        <v>107347</v>
      </c>
      <c r="H35" s="32">
        <v>99.61</v>
      </c>
      <c r="I35" s="32">
        <v>1.31</v>
      </c>
      <c r="J35" s="33"/>
    </row>
    <row r="36" spans="2:10" x14ac:dyDescent="0.25">
      <c r="B36" s="1" t="s">
        <v>111</v>
      </c>
      <c r="C36" s="20" t="s">
        <v>112</v>
      </c>
      <c r="D36" s="29" t="s">
        <v>113</v>
      </c>
      <c r="E36" s="30"/>
      <c r="F36" s="30" t="s">
        <v>114</v>
      </c>
      <c r="G36" s="31">
        <v>8000</v>
      </c>
      <c r="H36" s="32">
        <v>68.180000000000007</v>
      </c>
      <c r="I36" s="32">
        <v>0.89</v>
      </c>
      <c r="J36" s="33"/>
    </row>
    <row r="37" spans="2:10" x14ac:dyDescent="0.25">
      <c r="B37" s="1" t="s">
        <v>115</v>
      </c>
      <c r="C37" s="20" t="s">
        <v>116</v>
      </c>
      <c r="D37" s="29" t="s">
        <v>117</v>
      </c>
      <c r="E37" s="30"/>
      <c r="F37" s="30" t="s">
        <v>118</v>
      </c>
      <c r="G37" s="31">
        <v>5252</v>
      </c>
      <c r="H37" s="32">
        <v>54.81</v>
      </c>
      <c r="I37" s="32">
        <v>0.72</v>
      </c>
      <c r="J37" s="33"/>
    </row>
    <row r="38" spans="2:10" x14ac:dyDescent="0.25">
      <c r="B38" s="1" t="s">
        <v>119</v>
      </c>
      <c r="C38" s="20" t="s">
        <v>120</v>
      </c>
      <c r="D38" s="29" t="s">
        <v>121</v>
      </c>
      <c r="E38" s="30"/>
      <c r="F38" s="30" t="s">
        <v>122</v>
      </c>
      <c r="G38" s="31">
        <v>45110</v>
      </c>
      <c r="H38" s="32">
        <v>53.52</v>
      </c>
      <c r="I38" s="32">
        <v>0.7</v>
      </c>
      <c r="J38" s="33"/>
    </row>
    <row r="39" spans="2:10" x14ac:dyDescent="0.25">
      <c r="B39" s="1" t="s">
        <v>123</v>
      </c>
      <c r="C39" s="20" t="s">
        <v>124</v>
      </c>
      <c r="D39" s="29" t="s">
        <v>125</v>
      </c>
      <c r="E39" s="30"/>
      <c r="F39" s="30" t="s">
        <v>126</v>
      </c>
      <c r="G39" s="31">
        <v>50000</v>
      </c>
      <c r="H39" s="32">
        <v>51.93</v>
      </c>
      <c r="I39" s="32">
        <v>0.68</v>
      </c>
      <c r="J39" s="33"/>
    </row>
    <row r="40" spans="2:10" x14ac:dyDescent="0.25">
      <c r="B40" s="1" t="s">
        <v>127</v>
      </c>
      <c r="C40" s="20" t="s">
        <v>128</v>
      </c>
      <c r="D40" s="29" t="s">
        <v>129</v>
      </c>
      <c r="E40" s="30"/>
      <c r="F40" s="30" t="s">
        <v>102</v>
      </c>
      <c r="G40" s="31">
        <v>5000</v>
      </c>
      <c r="H40" s="32">
        <v>41.02</v>
      </c>
      <c r="I40" s="32">
        <v>0.54</v>
      </c>
      <c r="J40" s="33"/>
    </row>
    <row r="41" spans="2:10" x14ac:dyDescent="0.25">
      <c r="B41" s="1" t="s">
        <v>130</v>
      </c>
      <c r="C41" s="20" t="s">
        <v>131</v>
      </c>
      <c r="D41" s="29" t="s">
        <v>132</v>
      </c>
      <c r="E41" s="30"/>
      <c r="F41" s="30" t="s">
        <v>68</v>
      </c>
      <c r="G41" s="31">
        <v>2739</v>
      </c>
      <c r="H41" s="32">
        <v>40.57</v>
      </c>
      <c r="I41" s="32">
        <v>0.53</v>
      </c>
      <c r="J41" s="33"/>
    </row>
    <row r="42" spans="2:10" x14ac:dyDescent="0.25">
      <c r="C42" s="28" t="s">
        <v>133</v>
      </c>
      <c r="D42" s="29"/>
      <c r="E42" s="30"/>
      <c r="F42" s="30"/>
      <c r="G42" s="31"/>
      <c r="H42" s="35">
        <v>7249.16</v>
      </c>
      <c r="I42" s="35">
        <v>95.04</v>
      </c>
      <c r="J42" s="33"/>
    </row>
    <row r="43" spans="2:10" x14ac:dyDescent="0.25">
      <c r="C43" s="20"/>
      <c r="D43" s="29"/>
      <c r="E43" s="30"/>
      <c r="F43" s="30"/>
      <c r="G43" s="31"/>
      <c r="H43" s="32"/>
      <c r="I43" s="32"/>
      <c r="J43" s="33"/>
    </row>
    <row r="44" spans="2:10" x14ac:dyDescent="0.25">
      <c r="C44" s="28" t="s">
        <v>134</v>
      </c>
      <c r="D44" s="29"/>
      <c r="E44" s="30"/>
      <c r="F44" s="30"/>
      <c r="G44" s="31"/>
      <c r="H44" s="32" t="s">
        <v>135</v>
      </c>
      <c r="I44" s="32" t="s">
        <v>135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136</v>
      </c>
      <c r="D46" s="29"/>
      <c r="E46" s="30"/>
      <c r="F46" s="30"/>
      <c r="G46" s="31"/>
      <c r="H46" s="32" t="s">
        <v>135</v>
      </c>
      <c r="I46" s="32" t="s">
        <v>135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137</v>
      </c>
      <c r="D48" s="29"/>
      <c r="E48" s="30"/>
      <c r="F48" s="30"/>
      <c r="G48" s="31"/>
      <c r="H48" s="32"/>
      <c r="I48" s="32"/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138</v>
      </c>
      <c r="D50" s="29"/>
      <c r="E50" s="30"/>
      <c r="F50" s="30"/>
      <c r="G50" s="31"/>
      <c r="H50" s="32" t="s">
        <v>135</v>
      </c>
      <c r="I50" s="32" t="s">
        <v>135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139</v>
      </c>
      <c r="D52" s="29"/>
      <c r="E52" s="30"/>
      <c r="F52" s="30"/>
      <c r="G52" s="31"/>
      <c r="H52" s="32" t="s">
        <v>135</v>
      </c>
      <c r="I52" s="32" t="s">
        <v>135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140</v>
      </c>
      <c r="D54" s="29"/>
      <c r="E54" s="30"/>
      <c r="F54" s="30"/>
      <c r="G54" s="31"/>
      <c r="H54" s="32" t="s">
        <v>135</v>
      </c>
      <c r="I54" s="32" t="s">
        <v>135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141</v>
      </c>
      <c r="D56" s="29"/>
      <c r="E56" s="30"/>
      <c r="F56" s="30"/>
      <c r="G56" s="31"/>
      <c r="H56" s="32" t="s">
        <v>135</v>
      </c>
      <c r="I56" s="32" t="s">
        <v>135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142</v>
      </c>
      <c r="D58" s="29"/>
      <c r="E58" s="30"/>
      <c r="F58" s="30"/>
      <c r="G58" s="31"/>
      <c r="H58" s="32" t="s">
        <v>135</v>
      </c>
      <c r="I58" s="32" t="s">
        <v>135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143</v>
      </c>
      <c r="D60" s="29"/>
      <c r="E60" s="30"/>
      <c r="F60" s="30"/>
      <c r="G60" s="31"/>
      <c r="H60" s="32"/>
      <c r="I60" s="32"/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144</v>
      </c>
      <c r="D62" s="29"/>
      <c r="E62" s="30"/>
      <c r="F62" s="30"/>
      <c r="G62" s="31"/>
      <c r="H62" s="32" t="s">
        <v>135</v>
      </c>
      <c r="I62" s="32" t="s">
        <v>135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145</v>
      </c>
      <c r="D64" s="29"/>
      <c r="E64" s="30"/>
      <c r="F64" s="30"/>
      <c r="G64" s="31"/>
      <c r="H64" s="32" t="s">
        <v>135</v>
      </c>
      <c r="I64" s="32" t="s">
        <v>135</v>
      </c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C66" s="28" t="s">
        <v>146</v>
      </c>
      <c r="D66" s="29"/>
      <c r="E66" s="30"/>
      <c r="F66" s="30"/>
      <c r="G66" s="31"/>
      <c r="H66" s="32" t="s">
        <v>135</v>
      </c>
      <c r="I66" s="32" t="s">
        <v>135</v>
      </c>
      <c r="J66" s="33"/>
    </row>
    <row r="67" spans="1:10" x14ac:dyDescent="0.25">
      <c r="C67" s="20"/>
      <c r="D67" s="29"/>
      <c r="E67" s="30"/>
      <c r="F67" s="30"/>
      <c r="G67" s="31"/>
      <c r="H67" s="32"/>
      <c r="I67" s="32"/>
      <c r="J67" s="33"/>
    </row>
    <row r="68" spans="1:10" x14ac:dyDescent="0.25">
      <c r="C68" s="28" t="s">
        <v>147</v>
      </c>
      <c r="D68" s="29"/>
      <c r="E68" s="30"/>
      <c r="F68" s="30"/>
      <c r="G68" s="31"/>
      <c r="H68" s="32" t="s">
        <v>135</v>
      </c>
      <c r="I68" s="32" t="s">
        <v>135</v>
      </c>
      <c r="J68" s="33"/>
    </row>
    <row r="69" spans="1:10" x14ac:dyDescent="0.25">
      <c r="C69" s="20"/>
      <c r="D69" s="29"/>
      <c r="E69" s="30"/>
      <c r="F69" s="30"/>
      <c r="G69" s="31"/>
      <c r="H69" s="32"/>
      <c r="I69" s="32"/>
      <c r="J69" s="33"/>
    </row>
    <row r="70" spans="1:10" x14ac:dyDescent="0.25">
      <c r="A70" s="26"/>
      <c r="B70" s="27"/>
      <c r="C70" s="28" t="s">
        <v>148</v>
      </c>
      <c r="D70" s="29"/>
      <c r="E70" s="30"/>
      <c r="F70" s="30"/>
      <c r="G70" s="31"/>
      <c r="H70" s="32"/>
      <c r="I70" s="32"/>
      <c r="J70" s="33"/>
    </row>
    <row r="71" spans="1:10" x14ac:dyDescent="0.25">
      <c r="A71" s="27"/>
      <c r="B71" s="27"/>
      <c r="C71" s="28" t="s">
        <v>149</v>
      </c>
      <c r="D71" s="29"/>
      <c r="E71" s="30"/>
      <c r="F71" s="30"/>
      <c r="G71" s="31"/>
      <c r="H71" s="32" t="s">
        <v>135</v>
      </c>
      <c r="I71" s="32" t="s">
        <v>135</v>
      </c>
      <c r="J71" s="33"/>
    </row>
    <row r="72" spans="1:10" x14ac:dyDescent="0.25">
      <c r="A72" s="27"/>
      <c r="B72" s="27"/>
      <c r="C72" s="28"/>
      <c r="D72" s="29"/>
      <c r="E72" s="30"/>
      <c r="F72" s="30"/>
      <c r="G72" s="31"/>
      <c r="H72" s="32"/>
      <c r="I72" s="32"/>
      <c r="J72" s="33"/>
    </row>
    <row r="73" spans="1:10" x14ac:dyDescent="0.25">
      <c r="A73" s="27"/>
      <c r="B73" s="27"/>
      <c r="C73" s="28" t="s">
        <v>150</v>
      </c>
      <c r="D73" s="29"/>
      <c r="E73" s="30"/>
      <c r="F73" s="30"/>
      <c r="G73" s="31"/>
      <c r="H73" s="32" t="s">
        <v>135</v>
      </c>
      <c r="I73" s="32" t="s">
        <v>135</v>
      </c>
      <c r="J73" s="33"/>
    </row>
    <row r="74" spans="1:10" x14ac:dyDescent="0.25">
      <c r="A74" s="27"/>
      <c r="B74" s="27"/>
      <c r="C74" s="28"/>
      <c r="D74" s="29"/>
      <c r="E74" s="30"/>
      <c r="F74" s="30"/>
      <c r="G74" s="31"/>
      <c r="H74" s="32"/>
      <c r="I74" s="32"/>
      <c r="J74" s="33"/>
    </row>
    <row r="75" spans="1:10" x14ac:dyDescent="0.25">
      <c r="A75" s="27"/>
      <c r="B75" s="27"/>
      <c r="C75" s="28" t="s">
        <v>151</v>
      </c>
      <c r="D75" s="29"/>
      <c r="E75" s="30"/>
      <c r="F75" s="30"/>
      <c r="G75" s="31"/>
      <c r="H75" s="32" t="s">
        <v>135</v>
      </c>
      <c r="I75" s="32" t="s">
        <v>135</v>
      </c>
      <c r="J75" s="33"/>
    </row>
    <row r="76" spans="1:10" x14ac:dyDescent="0.25">
      <c r="A76" s="27"/>
      <c r="B76" s="27"/>
      <c r="C76" s="28"/>
      <c r="D76" s="29"/>
      <c r="E76" s="30"/>
      <c r="F76" s="30"/>
      <c r="G76" s="31"/>
      <c r="H76" s="32"/>
      <c r="I76" s="32"/>
      <c r="J76" s="33"/>
    </row>
    <row r="77" spans="1:10" x14ac:dyDescent="0.25">
      <c r="A77" s="27"/>
      <c r="B77" s="27"/>
      <c r="C77" s="28" t="s">
        <v>152</v>
      </c>
      <c r="D77" s="29"/>
      <c r="E77" s="30"/>
      <c r="F77" s="30"/>
      <c r="G77" s="31"/>
      <c r="H77" s="32" t="s">
        <v>135</v>
      </c>
      <c r="I77" s="32" t="s">
        <v>135</v>
      </c>
      <c r="J77" s="33"/>
    </row>
    <row r="78" spans="1:10" x14ac:dyDescent="0.25">
      <c r="A78" s="27"/>
      <c r="B78" s="27"/>
      <c r="C78" s="28"/>
      <c r="D78" s="29"/>
      <c r="E78" s="30"/>
      <c r="F78" s="30"/>
      <c r="G78" s="31"/>
      <c r="H78" s="32"/>
      <c r="I78" s="32"/>
      <c r="J78" s="33"/>
    </row>
    <row r="79" spans="1:10" x14ac:dyDescent="0.25">
      <c r="A79" s="27"/>
      <c r="B79" s="27"/>
      <c r="C79" s="28" t="s">
        <v>153</v>
      </c>
      <c r="D79" s="29"/>
      <c r="E79" s="30"/>
      <c r="F79" s="30"/>
      <c r="G79" s="31"/>
      <c r="H79" s="32" t="s">
        <v>135</v>
      </c>
      <c r="I79" s="32" t="s">
        <v>135</v>
      </c>
      <c r="J79" s="33"/>
    </row>
    <row r="80" spans="1:10" x14ac:dyDescent="0.25">
      <c r="A80" s="27"/>
      <c r="B80" s="27"/>
      <c r="C80" s="28"/>
      <c r="D80" s="29"/>
      <c r="E80" s="30"/>
      <c r="F80" s="30"/>
      <c r="G80" s="31"/>
      <c r="H80" s="32"/>
      <c r="I80" s="32"/>
      <c r="J80" s="33"/>
    </row>
    <row r="81" spans="1:10" x14ac:dyDescent="0.25">
      <c r="C81" s="34" t="s">
        <v>154</v>
      </c>
      <c r="D81" s="29"/>
      <c r="E81" s="30"/>
      <c r="F81" s="30"/>
      <c r="G81" s="31"/>
      <c r="H81" s="32"/>
      <c r="I81" s="32"/>
      <c r="J81" s="33"/>
    </row>
    <row r="82" spans="1:10" x14ac:dyDescent="0.25">
      <c r="B82" s="1" t="s">
        <v>155</v>
      </c>
      <c r="C82" s="20" t="s">
        <v>156</v>
      </c>
      <c r="D82" s="29"/>
      <c r="E82" s="30"/>
      <c r="F82" s="30"/>
      <c r="G82" s="31"/>
      <c r="H82" s="32">
        <v>250</v>
      </c>
      <c r="I82" s="32">
        <v>3.28</v>
      </c>
      <c r="J82" s="33"/>
    </row>
    <row r="83" spans="1:10" x14ac:dyDescent="0.25">
      <c r="C83" s="28" t="s">
        <v>133</v>
      </c>
      <c r="D83" s="29"/>
      <c r="E83" s="30"/>
      <c r="F83" s="30"/>
      <c r="G83" s="31"/>
      <c r="H83" s="35">
        <v>250</v>
      </c>
      <c r="I83" s="35">
        <v>3.28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A85" s="26"/>
      <c r="B85" s="27"/>
      <c r="C85" s="28" t="s">
        <v>157</v>
      </c>
      <c r="D85" s="29"/>
      <c r="E85" s="30"/>
      <c r="F85" s="30"/>
      <c r="G85" s="31"/>
      <c r="H85" s="32"/>
      <c r="I85" s="32"/>
      <c r="J85" s="33"/>
    </row>
    <row r="86" spans="1:10" x14ac:dyDescent="0.25">
      <c r="B86" s="1"/>
      <c r="C86" s="20" t="s">
        <v>158</v>
      </c>
      <c r="D86" s="29"/>
      <c r="E86" s="30"/>
      <c r="F86" s="30"/>
      <c r="G86" s="31"/>
      <c r="H86" s="32">
        <v>130.13999999999999</v>
      </c>
      <c r="I86" s="32">
        <v>1.68</v>
      </c>
      <c r="J86" s="33"/>
    </row>
    <row r="87" spans="1:10" x14ac:dyDescent="0.25">
      <c r="C87" s="28" t="s">
        <v>133</v>
      </c>
      <c r="D87" s="29"/>
      <c r="E87" s="30"/>
      <c r="F87" s="30"/>
      <c r="G87" s="31"/>
      <c r="H87" s="35">
        <v>130.13999999999999</v>
      </c>
      <c r="I87" s="35">
        <v>1.68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ht="14.25" thickBot="1" x14ac:dyDescent="0.3">
      <c r="C89" s="36" t="s">
        <v>159</v>
      </c>
      <c r="D89" s="37"/>
      <c r="E89" s="38"/>
      <c r="F89" s="39"/>
      <c r="G89" s="40"/>
      <c r="H89" s="41">
        <v>7629.3</v>
      </c>
      <c r="I89" s="41">
        <f>SUMIFS(I:I,C:C,"Total")</f>
        <v>100.00000000000001</v>
      </c>
      <c r="J89" s="42"/>
    </row>
    <row r="92" spans="1:10" x14ac:dyDescent="0.25">
      <c r="C92" s="11" t="s">
        <v>160</v>
      </c>
    </row>
    <row r="93" spans="1:10" x14ac:dyDescent="0.25">
      <c r="C93" s="2" t="s">
        <v>161</v>
      </c>
    </row>
    <row r="94" spans="1:10" x14ac:dyDescent="0.25">
      <c r="C94" s="2" t="s">
        <v>162</v>
      </c>
    </row>
    <row r="95" spans="1:10" x14ac:dyDescent="0.25">
      <c r="C95" s="2" t="s">
        <v>163</v>
      </c>
    </row>
    <row r="96" spans="1:10" x14ac:dyDescent="0.25">
      <c r="C96" s="2" t="s">
        <v>164</v>
      </c>
    </row>
    <row r="97" spans="3:5" x14ac:dyDescent="0.25">
      <c r="C97" s="2" t="s">
        <v>165</v>
      </c>
    </row>
    <row r="98" spans="3:5" x14ac:dyDescent="0.25">
      <c r="C98" s="2" t="s">
        <v>166</v>
      </c>
    </row>
    <row r="99" spans="3:5" x14ac:dyDescent="0.25">
      <c r="D99" s="2" t="s">
        <v>167</v>
      </c>
    </row>
    <row r="100" spans="3:5" x14ac:dyDescent="0.25">
      <c r="C100" s="2" t="s">
        <v>168</v>
      </c>
      <c r="D100" s="2" t="s">
        <v>169</v>
      </c>
      <c r="E100" s="2" t="s">
        <v>169</v>
      </c>
    </row>
    <row r="101" spans="3:5" x14ac:dyDescent="0.25">
      <c r="D101" s="2" t="s">
        <v>170</v>
      </c>
      <c r="E101" s="2" t="s">
        <v>171</v>
      </c>
    </row>
    <row r="102" spans="3:5" x14ac:dyDescent="0.25">
      <c r="C102" s="2" t="s">
        <v>172</v>
      </c>
      <c r="D102" s="2">
        <v>87.04</v>
      </c>
      <c r="E102" s="2">
        <v>84.87</v>
      </c>
    </row>
    <row r="103" spans="3:5" x14ac:dyDescent="0.25">
      <c r="C103" s="2" t="s">
        <v>173</v>
      </c>
      <c r="D103" s="2">
        <v>185.8</v>
      </c>
      <c r="E103" s="2">
        <v>181.17</v>
      </c>
    </row>
    <row r="104" spans="3:5" x14ac:dyDescent="0.25">
      <c r="C104" s="2" t="s">
        <v>174</v>
      </c>
      <c r="D104" s="2">
        <v>93.35</v>
      </c>
      <c r="E104" s="2">
        <v>91.07</v>
      </c>
    </row>
    <row r="105" spans="3:5" x14ac:dyDescent="0.25">
      <c r="C105" s="2" t="s">
        <v>175</v>
      </c>
      <c r="D105" s="2">
        <v>202.54</v>
      </c>
      <c r="E105" s="2">
        <v>197.61</v>
      </c>
    </row>
    <row r="107" spans="3:5" x14ac:dyDescent="0.25">
      <c r="C107" s="2" t="s">
        <v>176</v>
      </c>
    </row>
    <row r="108" spans="3:5" x14ac:dyDescent="0.25">
      <c r="C108" s="2" t="s">
        <v>177</v>
      </c>
    </row>
    <row r="109" spans="3:5" x14ac:dyDescent="0.25">
      <c r="C109" s="2" t="s">
        <v>178</v>
      </c>
    </row>
    <row r="110" spans="3:5" x14ac:dyDescent="0.25">
      <c r="C110" s="2" t="s">
        <v>179</v>
      </c>
    </row>
    <row r="111" spans="3:5" x14ac:dyDescent="0.25">
      <c r="C111" s="2" t="s">
        <v>180</v>
      </c>
    </row>
    <row r="112" spans="3:5" x14ac:dyDescent="0.25">
      <c r="C112" s="2" t="s">
        <v>181</v>
      </c>
    </row>
    <row r="113" spans="3:3" x14ac:dyDescent="0.25">
      <c r="C113" s="2" t="s">
        <v>182</v>
      </c>
    </row>
    <row r="114" spans="3:3" x14ac:dyDescent="0.25">
      <c r="C114" s="2" t="s">
        <v>183</v>
      </c>
    </row>
    <row r="115" spans="3:3" x14ac:dyDescent="0.25">
      <c r="C115" s="2" t="s">
        <v>184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4ABD9-45D5-4543-BAD1-E0E71BACA919}">
  <dimension ref="C3:M17"/>
  <sheetViews>
    <sheetView workbookViewId="0"/>
  </sheetViews>
  <sheetFormatPr defaultRowHeight="15" x14ac:dyDescent="0.25"/>
  <cols>
    <col min="3" max="3" width="45.7109375" customWidth="1"/>
    <col min="4" max="4" width="7.140625" bestFit="1" customWidth="1"/>
    <col min="5" max="5" width="10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  <col min="13" max="13" width="12" bestFit="1" customWidth="1"/>
  </cols>
  <sheetData>
    <row r="3" spans="3:13" ht="15.75" x14ac:dyDescent="0.25">
      <c r="C3" s="43" t="s">
        <v>185</v>
      </c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3:13" x14ac:dyDescent="0.25">
      <c r="C4" s="45" t="s">
        <v>186</v>
      </c>
      <c r="D4" s="51" t="s">
        <v>187</v>
      </c>
      <c r="E4" s="51"/>
      <c r="F4" s="51" t="s">
        <v>188</v>
      </c>
      <c r="G4" s="51"/>
      <c r="H4" s="51" t="s">
        <v>189</v>
      </c>
      <c r="I4" s="51"/>
      <c r="J4" s="55" t="s">
        <v>200</v>
      </c>
      <c r="K4" s="56"/>
      <c r="L4" s="52" t="s">
        <v>190</v>
      </c>
      <c r="M4" s="52"/>
    </row>
    <row r="5" spans="3:13" ht="63.75" x14ac:dyDescent="0.25">
      <c r="C5" s="46"/>
      <c r="D5" s="47" t="s">
        <v>191</v>
      </c>
      <c r="E5" s="47" t="s">
        <v>192</v>
      </c>
      <c r="F5" s="47" t="s">
        <v>191</v>
      </c>
      <c r="G5" s="47" t="s">
        <v>192</v>
      </c>
      <c r="H5" s="47" t="s">
        <v>191</v>
      </c>
      <c r="I5" s="47" t="s">
        <v>192</v>
      </c>
      <c r="J5" s="47" t="s">
        <v>191</v>
      </c>
      <c r="K5" s="47" t="s">
        <v>192</v>
      </c>
      <c r="L5" s="48" t="s">
        <v>191</v>
      </c>
      <c r="M5" s="48" t="s">
        <v>192</v>
      </c>
    </row>
    <row r="6" spans="3:13" x14ac:dyDescent="0.25">
      <c r="C6" s="49" t="s">
        <v>193</v>
      </c>
      <c r="D6" s="50">
        <v>-2.9980000000000002</v>
      </c>
      <c r="E6" s="50">
        <v>9700.1980834091773</v>
      </c>
      <c r="F6" s="50">
        <v>17.935099999999998</v>
      </c>
      <c r="G6" s="50">
        <v>16410.65120912961</v>
      </c>
      <c r="H6" s="50">
        <v>17.777200000000001</v>
      </c>
      <c r="I6" s="50">
        <v>22682.774161241865</v>
      </c>
      <c r="J6" s="50">
        <v>13.116099999999999</v>
      </c>
      <c r="K6" s="50">
        <v>34342.304776345714</v>
      </c>
      <c r="L6" s="50">
        <v>11.9207</v>
      </c>
      <c r="M6" s="50">
        <v>181190</v>
      </c>
    </row>
    <row r="7" spans="3:13" x14ac:dyDescent="0.25">
      <c r="C7" s="49" t="s">
        <v>194</v>
      </c>
      <c r="D7" s="50">
        <v>-4.3052659999999996</v>
      </c>
      <c r="E7" s="50">
        <v>9569.4734000000008</v>
      </c>
      <c r="F7" s="50">
        <v>15.288233999999999</v>
      </c>
      <c r="G7" s="50">
        <v>15323.393700955172</v>
      </c>
      <c r="H7" s="50">
        <v>19.629201999999999</v>
      </c>
      <c r="I7" s="50">
        <v>24501.125150796637</v>
      </c>
      <c r="J7" s="50">
        <v>13.9748</v>
      </c>
      <c r="K7" s="50">
        <v>19232.874332301493</v>
      </c>
      <c r="L7" s="50" t="s">
        <v>195</v>
      </c>
      <c r="M7" s="50" t="s">
        <v>195</v>
      </c>
    </row>
    <row r="8" spans="3:13" x14ac:dyDescent="0.25">
      <c r="C8" s="49" t="s">
        <v>196</v>
      </c>
      <c r="D8" s="50">
        <v>-1.6821999999999999</v>
      </c>
      <c r="E8" s="50">
        <v>9831.7800000000007</v>
      </c>
      <c r="F8" s="50">
        <v>13.438800000000001</v>
      </c>
      <c r="G8" s="50">
        <v>14597.714689930986</v>
      </c>
      <c r="H8" s="50">
        <v>17.353899999999999</v>
      </c>
      <c r="I8" s="50">
        <v>22258.076719107466</v>
      </c>
      <c r="J8" s="50">
        <v>13.1793</v>
      </c>
      <c r="K8" s="50">
        <v>18570.988358352177</v>
      </c>
      <c r="L8" s="50">
        <v>13.0792</v>
      </c>
      <c r="M8" s="50">
        <v>372569.44262853195</v>
      </c>
    </row>
    <row r="9" spans="3:13" x14ac:dyDescent="0.25">
      <c r="C9" s="49" t="s">
        <v>197</v>
      </c>
      <c r="D9" s="53">
        <v>186.79</v>
      </c>
      <c r="E9" s="54"/>
      <c r="F9" s="53">
        <v>110.41</v>
      </c>
      <c r="G9" s="54"/>
      <c r="H9" s="53">
        <v>79.88</v>
      </c>
      <c r="I9" s="54"/>
      <c r="J9" s="53">
        <v>52.76</v>
      </c>
      <c r="K9" s="54"/>
      <c r="L9" s="53">
        <v>10</v>
      </c>
      <c r="M9" s="54"/>
    </row>
    <row r="11" spans="3:13" ht="15.75" x14ac:dyDescent="0.25">
      <c r="C11" s="43" t="s">
        <v>198</v>
      </c>
      <c r="D11" s="44"/>
      <c r="E11" s="44"/>
      <c r="F11" s="44"/>
      <c r="G11" s="44"/>
      <c r="H11" s="44"/>
      <c r="I11" s="44"/>
      <c r="J11" s="44"/>
      <c r="K11" s="44"/>
      <c r="L11" s="44"/>
      <c r="M11" s="44"/>
    </row>
    <row r="12" spans="3:13" x14ac:dyDescent="0.25">
      <c r="C12" s="45" t="s">
        <v>186</v>
      </c>
      <c r="D12" s="51" t="s">
        <v>187</v>
      </c>
      <c r="E12" s="51"/>
      <c r="F12" s="51" t="s">
        <v>188</v>
      </c>
      <c r="G12" s="51"/>
      <c r="H12" s="51" t="s">
        <v>189</v>
      </c>
      <c r="I12" s="51"/>
      <c r="J12" s="55" t="s">
        <v>200</v>
      </c>
      <c r="K12" s="56"/>
      <c r="L12" s="52" t="s">
        <v>190</v>
      </c>
      <c r="M12" s="52"/>
    </row>
    <row r="13" spans="3:13" ht="63.75" x14ac:dyDescent="0.25">
      <c r="C13" s="46"/>
      <c r="D13" s="47" t="s">
        <v>191</v>
      </c>
      <c r="E13" s="47" t="s">
        <v>192</v>
      </c>
      <c r="F13" s="47" t="s">
        <v>191</v>
      </c>
      <c r="G13" s="47" t="s">
        <v>192</v>
      </c>
      <c r="H13" s="47" t="s">
        <v>191</v>
      </c>
      <c r="I13" s="47" t="s">
        <v>192</v>
      </c>
      <c r="J13" s="47" t="s">
        <v>191</v>
      </c>
      <c r="K13" s="47" t="s">
        <v>192</v>
      </c>
      <c r="L13" s="48" t="s">
        <v>191</v>
      </c>
      <c r="M13" s="48" t="s">
        <v>192</v>
      </c>
    </row>
    <row r="14" spans="3:13" x14ac:dyDescent="0.25">
      <c r="C14" s="49" t="s">
        <v>193</v>
      </c>
      <c r="D14" s="50">
        <v>-2.4243000000000001</v>
      </c>
      <c r="E14" s="50">
        <v>9757.5667802300904</v>
      </c>
      <c r="F14" s="50">
        <v>18.6889</v>
      </c>
      <c r="G14" s="50">
        <v>16727.611308616895</v>
      </c>
      <c r="H14" s="50">
        <v>18.535299999999999</v>
      </c>
      <c r="I14" s="50">
        <v>23423.017660305795</v>
      </c>
      <c r="J14" s="50">
        <v>13.9702</v>
      </c>
      <c r="K14" s="50">
        <v>37028.293048529136</v>
      </c>
      <c r="L14" s="50">
        <v>13.6633</v>
      </c>
      <c r="M14" s="50">
        <v>51077.7978805893</v>
      </c>
    </row>
    <row r="15" spans="3:13" x14ac:dyDescent="0.25">
      <c r="C15" s="49" t="s">
        <v>194</v>
      </c>
      <c r="D15" s="50">
        <v>-4.3052659999999996</v>
      </c>
      <c r="E15" s="50">
        <v>9569.4734000000008</v>
      </c>
      <c r="F15" s="50">
        <v>15.288233999999999</v>
      </c>
      <c r="G15" s="50">
        <v>15323.393700955172</v>
      </c>
      <c r="H15" s="50">
        <v>19.629201999999999</v>
      </c>
      <c r="I15" s="50">
        <v>24501.125150796637</v>
      </c>
      <c r="J15" s="50">
        <v>13.9748</v>
      </c>
      <c r="K15" s="50">
        <v>19232.874332301493</v>
      </c>
      <c r="L15" s="50">
        <v>14.254752</v>
      </c>
      <c r="M15" s="50">
        <v>54058.339176587528</v>
      </c>
    </row>
    <row r="16" spans="3:13" x14ac:dyDescent="0.25">
      <c r="C16" s="49" t="s">
        <v>196</v>
      </c>
      <c r="D16" s="50">
        <v>-1.6821999999999999</v>
      </c>
      <c r="E16" s="50">
        <v>9831.7800000000007</v>
      </c>
      <c r="F16" s="50">
        <v>13.438800000000001</v>
      </c>
      <c r="G16" s="50">
        <v>14597.714689930986</v>
      </c>
      <c r="H16" s="50">
        <v>17.353899999999999</v>
      </c>
      <c r="I16" s="50">
        <v>22258.076719107466</v>
      </c>
      <c r="J16" s="50">
        <v>13.1793</v>
      </c>
      <c r="K16" s="50">
        <v>18570.988358352177</v>
      </c>
      <c r="L16" s="50">
        <v>13.120200000000001</v>
      </c>
      <c r="M16" s="50">
        <v>47640.886470268299</v>
      </c>
    </row>
    <row r="17" spans="3:13" x14ac:dyDescent="0.25">
      <c r="C17" s="49" t="s">
        <v>199</v>
      </c>
      <c r="D17" s="53">
        <v>202.53</v>
      </c>
      <c r="E17" s="54"/>
      <c r="F17" s="53">
        <v>118.14</v>
      </c>
      <c r="G17" s="54"/>
      <c r="H17" s="53">
        <v>84.37</v>
      </c>
      <c r="I17" s="54"/>
      <c r="J17" s="53">
        <v>53.37</v>
      </c>
      <c r="K17" s="54"/>
      <c r="L17" s="53">
        <v>38.69</v>
      </c>
      <c r="M17" s="54"/>
    </row>
  </sheetData>
  <mergeCells count="20">
    <mergeCell ref="L4:M4"/>
    <mergeCell ref="L9:M9"/>
    <mergeCell ref="L12:M12"/>
    <mergeCell ref="L17:M17"/>
    <mergeCell ref="D4:E4"/>
    <mergeCell ref="F4:G4"/>
    <mergeCell ref="H4:I4"/>
    <mergeCell ref="J4:K4"/>
    <mergeCell ref="D9:E9"/>
    <mergeCell ref="F9:G9"/>
    <mergeCell ref="H9:I9"/>
    <mergeCell ref="J9:K9"/>
    <mergeCell ref="D12:E12"/>
    <mergeCell ref="F12:G12"/>
    <mergeCell ref="H12:I12"/>
    <mergeCell ref="J12:K12"/>
    <mergeCell ref="D17:E17"/>
    <mergeCell ref="F17:G17"/>
    <mergeCell ref="H17:I17"/>
    <mergeCell ref="J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TTS</vt:lpstr>
      <vt:lpstr>TTS Performance</vt:lpstr>
      <vt:lpstr>XDO_?CLASS_3?7?</vt:lpstr>
      <vt:lpstr>XDO_?FINAL_ISIN?16?</vt:lpstr>
      <vt:lpstr>XDO_?FINAL_ISIN?17?</vt:lpstr>
      <vt:lpstr>XDO_?FINAL_ISIN?18?</vt:lpstr>
      <vt:lpstr>XDO_?FINAL_MV?16?</vt:lpstr>
      <vt:lpstr>XDO_?FINAL_MV?17?</vt:lpstr>
      <vt:lpstr>XDO_?FINAL_MV?18?</vt:lpstr>
      <vt:lpstr>XDO_?FINAL_NAME?16?</vt:lpstr>
      <vt:lpstr>XDO_?FINAL_NAME?17?</vt:lpstr>
      <vt:lpstr>XDO_?FINAL_NAME?18?</vt:lpstr>
      <vt:lpstr>XDO_?FINAL_PER_NET?16?</vt:lpstr>
      <vt:lpstr>XDO_?FINAL_PER_NET?17?</vt:lpstr>
      <vt:lpstr>XDO_?FINAL_PER_NET?18?</vt:lpstr>
      <vt:lpstr>XDO_?FINAL_QUANTITE?16?</vt:lpstr>
      <vt:lpstr>XDO_?FINAL_QUANTITE?17?</vt:lpstr>
      <vt:lpstr>XDO_?FINAL_QUANTITE?18?</vt:lpstr>
      <vt:lpstr>XDO_?IND_01?16?</vt:lpstr>
      <vt:lpstr>XDO_?IND_01?17?</vt:lpstr>
      <vt:lpstr>XDO_?IND_01?18?</vt:lpstr>
      <vt:lpstr>XDO_?NAMCNAME?7?</vt:lpstr>
      <vt:lpstr>XDO_?NOVAL?16?</vt:lpstr>
      <vt:lpstr>XDO_?NOVAL?17?</vt:lpstr>
      <vt:lpstr>XDO_?NOVAL?18?</vt:lpstr>
      <vt:lpstr>XDO_?NPTF?7?</vt:lpstr>
      <vt:lpstr>XDO_?RATING?16?</vt:lpstr>
      <vt:lpstr>XDO_?RATING?17?</vt:lpstr>
      <vt:lpstr>XDO_?RATING?18?</vt:lpstr>
      <vt:lpstr>XDO_?REMARKS?16?</vt:lpstr>
      <vt:lpstr>XDO_?REMARKS?17?</vt:lpstr>
      <vt:lpstr>XDO_?REMARKS?18?</vt:lpstr>
      <vt:lpstr>XDO_?TITL?7?</vt:lpstr>
      <vt:lpstr>XDO_GROUP_?G_2?7?</vt:lpstr>
      <vt:lpstr>XDO_GROUP_?G_3?7?</vt:lpstr>
      <vt:lpstr>XDO_GROUP_?G_4?16?</vt:lpstr>
      <vt:lpstr>XDO_GROUP_?G_4?17?</vt:lpstr>
      <vt:lpstr>XDO_GROUP_?G_4?18?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2025-09-05T12:01:34Z</dcterms:created>
  <dcterms:modified xsi:type="dcterms:W3CDTF">2025-09-09T10:32:12Z</dcterms:modified>
</cp:coreProperties>
</file>