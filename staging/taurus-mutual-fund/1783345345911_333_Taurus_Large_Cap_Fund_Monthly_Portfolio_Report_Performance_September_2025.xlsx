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20" yWindow="-120" windowWidth="20736" windowHeight="11040"/>
  </bookViews>
  <sheets>
    <sheet name="TBF" sheetId="1" r:id="rId1"/>
    <sheet name="TBF Performance" sheetId="2" r:id="rId2"/>
  </sheets>
  <externalReferences>
    <externalReference r:id="rId3"/>
  </externalReferences>
  <definedNames>
    <definedName name="XDO_?AUM?">TBF!$H$13</definedName>
    <definedName name="XDO_?CLASS_3?">TBF!$C$8:$C$45</definedName>
    <definedName name="XDO_?CLASS_4?">TBF!$C$9</definedName>
    <definedName name="XDO_?CS_1?">TBF!$H$11</definedName>
    <definedName name="XDO_?CS_2?">TBF!$I$11</definedName>
    <definedName name="XDO_?FINAL_ISIN?">TBF!$D$10:$D$89</definedName>
    <definedName name="XDO_?FINAL_MV?">TBF!$H$10:$H$89</definedName>
    <definedName name="XDO_?FINAL_NAME?">TBF!$C$10:$C$89</definedName>
    <definedName name="XDO_?FINAL_PER_NET?">TBF!$I$10:$I$89</definedName>
    <definedName name="XDO_?FINAL_QUANTITE?">TBF!$G$10:$G$89</definedName>
    <definedName name="XDO_?IND_01?">TBF!$F$10:$F$89</definedName>
    <definedName name="XDO_?LONG_DESC?">TBF!$D$3</definedName>
    <definedName name="XDO_?NAMC?">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TBF!$C$2:$C$45</definedName>
    <definedName name="XDO_?NDATE?">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TBF!$B$10:$B$89</definedName>
    <definedName name="XDO_?NPTF?">TBF!$D$2:$D$45</definedName>
    <definedName name="XDO_?RATING?">TBF!$E$10:$E$89</definedName>
    <definedName name="XDO_?REMARKS?">TBF!$J$10:$J$89</definedName>
    <definedName name="XDO_?TDATE?">TBF!$D$4</definedName>
    <definedName name="XDO_?TITL?">TBF!$A$8:$A$45</definedName>
    <definedName name="XDO_GROUP_?G_2?">TBF!$2:$92</definedName>
    <definedName name="XDO_GROUP_?G_3?">TBF!$8:$91</definedName>
    <definedName name="XDO_GROUP_?G_4?">TBF!$B$89:$IV$89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2" i="1"/>
</calcChain>
</file>

<file path=xl/sharedStrings.xml><?xml version="1.0" encoding="utf-8"?>
<sst xmlns="http://schemas.openxmlformats.org/spreadsheetml/2006/main" count="287" uniqueCount="211">
  <si>
    <t>TAURUS MUTUAL FUND</t>
  </si>
  <si>
    <t>TBF</t>
  </si>
  <si>
    <t>SCHEME NAME :</t>
  </si>
  <si>
    <t>Taurus Large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</si>
  <si>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</si>
  <si>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</si>
  <si>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</si>
  <si>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</si>
  <si>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</si>
  <si>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</si>
  <si>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</si>
  <si>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</si>
  <si>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</si>
  <si>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</si>
  <si>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</si>
  <si>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100019</t>
  </si>
  <si>
    <t>ITC Ltd.</t>
  </si>
  <si>
    <t>INE154A01025</t>
  </si>
  <si>
    <t>Diversified FMCG</t>
  </si>
  <si>
    <t>100006</t>
  </si>
  <si>
    <t>HDFC Bank Ltd.</t>
  </si>
  <si>
    <t>INE040A01034</t>
  </si>
  <si>
    <t>Banks</t>
  </si>
  <si>
    <t>100014</t>
  </si>
  <si>
    <t>Mahindra &amp; Mahindra Ltd.</t>
  </si>
  <si>
    <t>INE101A01026</t>
  </si>
  <si>
    <t>Automobiles</t>
  </si>
  <si>
    <t>100012</t>
  </si>
  <si>
    <t>ICICI Bank Ltd.</t>
  </si>
  <si>
    <t>INE090A01021</t>
  </si>
  <si>
    <t>100010</t>
  </si>
  <si>
    <t>State Bank of India</t>
  </si>
  <si>
    <t>INE062A01020</t>
  </si>
  <si>
    <t>100002</t>
  </si>
  <si>
    <t>Reliance Industries Ltd.</t>
  </si>
  <si>
    <t>INE002A01018</t>
  </si>
  <si>
    <t>Petroleum Products</t>
  </si>
  <si>
    <t>100095</t>
  </si>
  <si>
    <t>Bharti Airtel Ltd.</t>
  </si>
  <si>
    <t>INE397D01024</t>
  </si>
  <si>
    <t>Telecom - Services</t>
  </si>
  <si>
    <t>100169</t>
  </si>
  <si>
    <t>Indian Oil Corporation Ltd.</t>
  </si>
  <si>
    <t>INE242A01010</t>
  </si>
  <si>
    <t>100024</t>
  </si>
  <si>
    <t>Axis Bank Ltd.</t>
  </si>
  <si>
    <t>INE238A01034</t>
  </si>
  <si>
    <t>100182</t>
  </si>
  <si>
    <t>Power Grid Corporation of India Ltd.</t>
  </si>
  <si>
    <t>INE752E01010</t>
  </si>
  <si>
    <t>Power</t>
  </si>
  <si>
    <t>100380</t>
  </si>
  <si>
    <t>Bajaj Finserv Ltd.</t>
  </si>
  <si>
    <t>INE918I01026</t>
  </si>
  <si>
    <t>Finance</t>
  </si>
  <si>
    <t>100153</t>
  </si>
  <si>
    <t>Cipla Ltd.</t>
  </si>
  <si>
    <t>INE059A01026</t>
  </si>
  <si>
    <t>Pharmaceuticals &amp; Biotechnology</t>
  </si>
  <si>
    <t>100155</t>
  </si>
  <si>
    <t>Divi's Laboratories Ltd.</t>
  </si>
  <si>
    <t>INE361B01024</t>
  </si>
  <si>
    <t>100566</t>
  </si>
  <si>
    <t>Laurus Labs Ltd.</t>
  </si>
  <si>
    <t>INE947Q01028</t>
  </si>
  <si>
    <t>100097</t>
  </si>
  <si>
    <t>Coal India Ltd.</t>
  </si>
  <si>
    <t>INE522F01014</t>
  </si>
  <si>
    <t>Consumable Fuels</t>
  </si>
  <si>
    <t>100092</t>
  </si>
  <si>
    <t>Bank of Baroda</t>
  </si>
  <si>
    <t>INE028A01039</t>
  </si>
  <si>
    <t>100111</t>
  </si>
  <si>
    <t>Oil &amp; Natural Gas Corporation Ltd.</t>
  </si>
  <si>
    <t>INE213A01029</t>
  </si>
  <si>
    <t>Oil</t>
  </si>
  <si>
    <t>102644</t>
  </si>
  <si>
    <t>Vikram Solar Ltd.</t>
  </si>
  <si>
    <t>INE078V01014</t>
  </si>
  <si>
    <t>Electrical Equipment</t>
  </si>
  <si>
    <t>100177</t>
  </si>
  <si>
    <t>Grasim Industries Ltd.</t>
  </si>
  <si>
    <t>INE047A01021</t>
  </si>
  <si>
    <t>Cement &amp; Cement Products</t>
  </si>
  <si>
    <t>100194</t>
  </si>
  <si>
    <t>Power Finance Corporation Ltd.</t>
  </si>
  <si>
    <t>INE134E01011</t>
  </si>
  <si>
    <t>100083</t>
  </si>
  <si>
    <t>Samvardhana Motherson International Ltd.</t>
  </si>
  <si>
    <t>INE775A01035</t>
  </si>
  <si>
    <t>Auto Components</t>
  </si>
  <si>
    <t>100302</t>
  </si>
  <si>
    <t>DLF Ltd.</t>
  </si>
  <si>
    <t>INE271C01023</t>
  </si>
  <si>
    <t>Realty</t>
  </si>
  <si>
    <t>100003</t>
  </si>
  <si>
    <t>Infosys Ltd.</t>
  </si>
  <si>
    <t>INE009A01021</t>
  </si>
  <si>
    <t>IT - Software</t>
  </si>
  <si>
    <t>100008</t>
  </si>
  <si>
    <t>Sun Pharmaceutical Industries Ltd.</t>
  </si>
  <si>
    <t>INE044A01036</t>
  </si>
  <si>
    <t>100106</t>
  </si>
  <si>
    <t>Maruti Suzuki India Ltd.</t>
  </si>
  <si>
    <t>INE585B01010</t>
  </si>
  <si>
    <t>100005</t>
  </si>
  <si>
    <t>Larsen &amp; Toubro Ltd.</t>
  </si>
  <si>
    <t>INE018A01030</t>
  </si>
  <si>
    <t>Construction</t>
  </si>
  <si>
    <t>100037</t>
  </si>
  <si>
    <t>HCL Technologies Ltd.</t>
  </si>
  <si>
    <t>INE860A01027</t>
  </si>
  <si>
    <t>100830</t>
  </si>
  <si>
    <t>Varun Beverages Ltd.</t>
  </si>
  <si>
    <t>INE200M01039</t>
  </si>
  <si>
    <t>Beverages</t>
  </si>
  <si>
    <t>102005</t>
  </si>
  <si>
    <t>Tata Technologies Ltd.</t>
  </si>
  <si>
    <t>INE142M01025</t>
  </si>
  <si>
    <t>IT - Services</t>
  </si>
  <si>
    <t>100156</t>
  </si>
  <si>
    <t>Finolex Cables Ltd.</t>
  </si>
  <si>
    <t>INE235A01022</t>
  </si>
  <si>
    <t>Industrial Products</t>
  </si>
  <si>
    <t>100179</t>
  </si>
  <si>
    <t>Hero MotoCorp Ltd.</t>
  </si>
  <si>
    <t>INE158A01026</t>
  </si>
  <si>
    <t>102528</t>
  </si>
  <si>
    <t>DAM Capital Advisors Ltd.</t>
  </si>
  <si>
    <t>INE284H01025</t>
  </si>
  <si>
    <t>Capital Markets</t>
  </si>
  <si>
    <t>100084</t>
  </si>
  <si>
    <t>ABB India Ltd.</t>
  </si>
  <si>
    <t>INE117A01022</t>
  </si>
  <si>
    <t>100081</t>
  </si>
  <si>
    <t>Titan Company Ltd.</t>
  </si>
  <si>
    <t>INE280A01028</t>
  </si>
  <si>
    <t>Consumer Durables</t>
  </si>
  <si>
    <t>100733</t>
  </si>
  <si>
    <t>General Insurance Corporation of India</t>
  </si>
  <si>
    <t>INE481Y01014</t>
  </si>
  <si>
    <t>Insurance</t>
  </si>
  <si>
    <t>100032</t>
  </si>
  <si>
    <t>Tata Consultancy Services Ltd.</t>
  </si>
  <si>
    <t>INE467B01029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</si>
  <si>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</si>
  <si>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</si>
  <si>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</si>
  <si>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</si>
  <si>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</si>
  <si>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</si>
  <si>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</si>
  <si>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</si>
  <si>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</si>
  <si>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</si>
  <si>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</si>
  <si>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</si>
  <si>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</si>
  <si>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</si>
  <si>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</si>
  <si>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</si>
  <si>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</si>
  <si>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</si>
  <si>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</si>
  <si>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</si>
  <si>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</si>
  <si>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</si>
  <si>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</si>
  <si>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</si>
  <si>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</si>
  <si>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</si>
  <si>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</si>
  <si>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</si>
  <si>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</si>
  <si>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</si>
  <si>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</si>
  <si>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 Net Assets Value per unit (in Rupees) are as follows:</t>
  </si>
  <si>
    <t>NAV per unit</t>
  </si>
  <si>
    <t>Plan/Option</t>
  </si>
  <si>
    <t>As on</t>
  </si>
  <si>
    <t>September 30,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</si>
  <si>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</si>
  <si>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</si>
  <si>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</si>
  <si>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</si>
  <si>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  September 30, 2025.</t>
  </si>
  <si>
    <t>7. The Scheme did not declare any bonus during the month ended As on  September 30, 2025.</t>
  </si>
  <si>
    <t>8. Total outstanding exposure in derivative instruments as on As on  September 30, 2025 is Nil</t>
  </si>
  <si>
    <t>9. Total investments in Foreign Securities /ADRs/GDRs /Overseas ETFs as at As on  September 30, 2025 and its percentage to NAV is Nil.</t>
  </si>
  <si>
    <t>10. During the period, the portfolio turnover ratio is 0.90 times.</t>
  </si>
  <si>
    <t>      Portfolio Turnover Ratio = Lower of sales or purchase of securities divided by average AUM for 12 months ended As on  September 30, 2025</t>
  </si>
  <si>
    <t>11. The Scheme did not invest in repo transactions of corporate debt securities during the month ended As on September 30, 2025.</t>
  </si>
  <si>
    <t>12. The Scheme did not invest in credit default swaps during the month ended As on September 30, 2025.</t>
  </si>
  <si>
    <t>13. There are Nil instances of deviation from the valuation principles/guidelines during the month ended as on September 30th, 2025</t>
  </si>
  <si>
    <t>Taurus Largecap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</si>
  <si>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</si>
  <si>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</si>
  <si>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</si>
  <si>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</si>
  <si>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</si>
  <si>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</si>
  <si>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</si>
  <si>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</si>
  <si>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</si>
  <si>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100 TRI (Benchmark)</t>
  </si>
  <si>
    <t>Nifty 50 TRI (Additional Benchmark)</t>
  </si>
  <si>
    <t>NAV [Rs.] Per Unit (as on September 30,2025 :154.62)</t>
  </si>
  <si>
    <t>NAV [Rs.] Per Unit (as on September 30,2025 :163.64)</t>
  </si>
  <si>
    <t>*NIL</t>
  </si>
  <si>
    <t>Taurus Largecap Fund - Direct Plan Growth Option</t>
  </si>
  <si>
    <t>August 31, 2025</t>
  </si>
</sst>
</file>

<file path=xl/styles.xml><?xml version="1.0" encoding="utf-8"?>
<styleSheet xmlns="http://schemas.openxmlformats.org/spreadsheetml/2006/main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  <numFmt numFmtId="169" formatCode="_(\ #,##0.00_);_(\ \(#,##0.00\);_(\ \-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168" fontId="3" fillId="0" borderId="24" xfId="0" applyNumberFormat="1" applyFont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9" fontId="1" fillId="0" borderId="13" xfId="1" applyNumberFormat="1" applyBorder="1" applyAlignment="1">
      <alignment horizontal="center"/>
    </xf>
    <xf numFmtId="0" fontId="14" fillId="0" borderId="13" xfId="0" applyFont="1" applyBorder="1"/>
    <xf numFmtId="0" fontId="15" fillId="0" borderId="9" xfId="0" applyFont="1" applyBorder="1" applyAlignment="1">
      <alignment horizontal="center" vertical="center"/>
    </xf>
    <xf numFmtId="15" fontId="10" fillId="0" borderId="24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3" fillId="3" borderId="13" xfId="0" applyFont="1" applyFill="1" applyBorder="1" applyAlignment="1">
      <alignment horizontal="center"/>
    </xf>
    <xf numFmtId="0" fontId="13" fillId="3" borderId="25" xfId="0" applyFont="1" applyFill="1" applyBorder="1" applyAlignment="1">
      <alignment horizontal="center"/>
    </xf>
    <xf numFmtId="0" fontId="13" fillId="3" borderId="26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169" fontId="1" fillId="0" borderId="25" xfId="1" applyNumberFormat="1" applyBorder="1" applyAlignment="1">
      <alignment horizontal="center"/>
    </xf>
    <xf numFmtId="169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32681</xdr:colOff>
      <xdr:row>0</xdr:row>
      <xdr:rowOff>1908048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BC2AA12A-6C39-4DED-87E1-6B6096BDD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69333" y="0"/>
          <a:ext cx="7089648" cy="1908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5.TMF\Reporting\Monthly%20Reports\Monthly%20Portfolio\2025-26\Sep_2025\Final\TMF_Monthly_Portfolio_Report_Sep_25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18"/>
  <sheetViews>
    <sheetView showGridLines="0" tabSelected="1" zoomScale="90" zoomScaleNormal="90" workbookViewId="0">
      <selection activeCell="C4" sqref="C4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23.88671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59.9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.600000000000001">
      <c r="C2" s="6" t="s">
        <v>0</v>
      </c>
      <c r="D2" s="1" t="s">
        <v>1</v>
      </c>
      <c r="J2" s="9"/>
    </row>
    <row r="3" spans="1:54" ht="16.2">
      <c r="C3" s="11" t="s">
        <v>2</v>
      </c>
      <c r="D3" s="12" t="s">
        <v>3</v>
      </c>
    </row>
    <row r="4" spans="1:54" ht="15">
      <c r="C4" s="11" t="s">
        <v>4</v>
      </c>
      <c r="D4" s="13">
        <v>45930</v>
      </c>
    </row>
    <row r="5" spans="1:54" ht="14.4" thickBot="1">
      <c r="C5" s="11"/>
    </row>
    <row r="6" spans="1:54" ht="27.6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103545</v>
      </c>
      <c r="H10" s="32">
        <v>415.84</v>
      </c>
      <c r="I10" s="32">
        <v>8.39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43124</v>
      </c>
      <c r="H11" s="32">
        <v>410.17</v>
      </c>
      <c r="I11" s="32">
        <v>8.2799999999999994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9520</v>
      </c>
      <c r="H12" s="32">
        <v>326.22000000000003</v>
      </c>
      <c r="I12" s="32">
        <v>6.58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22</v>
      </c>
      <c r="G13" s="31">
        <v>22452</v>
      </c>
      <c r="H13" s="32">
        <v>302.66000000000003</v>
      </c>
      <c r="I13" s="32">
        <v>6.11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22</v>
      </c>
      <c r="G14" s="31">
        <v>32804</v>
      </c>
      <c r="H14" s="32">
        <v>286.23</v>
      </c>
      <c r="I14" s="32">
        <v>5.78</v>
      </c>
      <c r="J14" s="33"/>
    </row>
    <row r="15" spans="1:54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16131</v>
      </c>
      <c r="H15" s="32">
        <v>219.99</v>
      </c>
      <c r="I15" s="32">
        <v>4.4400000000000004</v>
      </c>
      <c r="J15" s="33"/>
    </row>
    <row r="16" spans="1:54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10564</v>
      </c>
      <c r="H16" s="32">
        <v>198.39</v>
      </c>
      <c r="I16" s="32">
        <v>4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36</v>
      </c>
      <c r="G17" s="31">
        <v>132331</v>
      </c>
      <c r="H17" s="32">
        <v>198.17</v>
      </c>
      <c r="I17" s="32">
        <v>4</v>
      </c>
      <c r="J17" s="33"/>
    </row>
    <row r="18" spans="2:10">
      <c r="B18" s="1" t="s">
        <v>44</v>
      </c>
      <c r="C18" s="20" t="s">
        <v>45</v>
      </c>
      <c r="D18" s="29" t="s">
        <v>46</v>
      </c>
      <c r="E18" s="30"/>
      <c r="F18" s="30" t="s">
        <v>22</v>
      </c>
      <c r="G18" s="31">
        <v>14966</v>
      </c>
      <c r="H18" s="32">
        <v>169.39</v>
      </c>
      <c r="I18" s="32">
        <v>3.42</v>
      </c>
      <c r="J18" s="33"/>
    </row>
    <row r="19" spans="2:10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58197</v>
      </c>
      <c r="H19" s="32">
        <v>163.01</v>
      </c>
      <c r="I19" s="32">
        <v>3.29</v>
      </c>
      <c r="J19" s="33"/>
    </row>
    <row r="20" spans="2:10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8025</v>
      </c>
      <c r="H20" s="32">
        <v>161.05000000000001</v>
      </c>
      <c r="I20" s="32">
        <v>3.25</v>
      </c>
      <c r="J20" s="33"/>
    </row>
    <row r="21" spans="2:10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9475</v>
      </c>
      <c r="H21" s="32">
        <v>142.28</v>
      </c>
      <c r="I21" s="32">
        <v>2.87</v>
      </c>
      <c r="J21" s="33"/>
    </row>
    <row r="22" spans="2:10">
      <c r="B22" s="1" t="s">
        <v>59</v>
      </c>
      <c r="C22" s="20" t="s">
        <v>60</v>
      </c>
      <c r="D22" s="29" t="s">
        <v>61</v>
      </c>
      <c r="E22" s="30"/>
      <c r="F22" s="30" t="s">
        <v>58</v>
      </c>
      <c r="G22" s="31">
        <v>2313</v>
      </c>
      <c r="H22" s="32">
        <v>131.55000000000001</v>
      </c>
      <c r="I22" s="32">
        <v>2.65</v>
      </c>
      <c r="J22" s="33"/>
    </row>
    <row r="23" spans="2:10">
      <c r="B23" s="1" t="s">
        <v>62</v>
      </c>
      <c r="C23" s="20" t="s">
        <v>63</v>
      </c>
      <c r="D23" s="29" t="s">
        <v>64</v>
      </c>
      <c r="E23" s="30"/>
      <c r="F23" s="30" t="s">
        <v>58</v>
      </c>
      <c r="G23" s="31">
        <v>15489</v>
      </c>
      <c r="H23" s="32">
        <v>130.41</v>
      </c>
      <c r="I23" s="32">
        <v>2.63</v>
      </c>
      <c r="J23" s="33"/>
    </row>
    <row r="24" spans="2:10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32167</v>
      </c>
      <c r="H24" s="32">
        <v>125.47</v>
      </c>
      <c r="I24" s="32">
        <v>2.5299999999999998</v>
      </c>
      <c r="J24" s="33"/>
    </row>
    <row r="25" spans="2:10">
      <c r="B25" s="1" t="s">
        <v>69</v>
      </c>
      <c r="C25" s="20" t="s">
        <v>70</v>
      </c>
      <c r="D25" s="29" t="s">
        <v>71</v>
      </c>
      <c r="E25" s="30"/>
      <c r="F25" s="30" t="s">
        <v>22</v>
      </c>
      <c r="G25" s="31">
        <v>42068</v>
      </c>
      <c r="H25" s="32">
        <v>108.79</v>
      </c>
      <c r="I25" s="32">
        <v>2.2000000000000002</v>
      </c>
      <c r="J25" s="33"/>
    </row>
    <row r="26" spans="2:10">
      <c r="B26" s="1" t="s">
        <v>72</v>
      </c>
      <c r="C26" s="20" t="s">
        <v>73</v>
      </c>
      <c r="D26" s="29" t="s">
        <v>74</v>
      </c>
      <c r="E26" s="30"/>
      <c r="F26" s="30" t="s">
        <v>75</v>
      </c>
      <c r="G26" s="31">
        <v>42238</v>
      </c>
      <c r="H26" s="32">
        <v>101.18</v>
      </c>
      <c r="I26" s="32">
        <v>2.04</v>
      </c>
      <c r="J26" s="33"/>
    </row>
    <row r="27" spans="2:10">
      <c r="B27" s="1" t="s">
        <v>76</v>
      </c>
      <c r="C27" s="20" t="s">
        <v>77</v>
      </c>
      <c r="D27" s="29" t="s">
        <v>78</v>
      </c>
      <c r="E27" s="30"/>
      <c r="F27" s="30" t="s">
        <v>79</v>
      </c>
      <c r="G27" s="31">
        <v>31249</v>
      </c>
      <c r="H27" s="32">
        <v>98.7</v>
      </c>
      <c r="I27" s="32">
        <v>1.99</v>
      </c>
      <c r="J27" s="33"/>
    </row>
    <row r="28" spans="2:10">
      <c r="B28" s="1" t="s">
        <v>80</v>
      </c>
      <c r="C28" s="20" t="s">
        <v>81</v>
      </c>
      <c r="D28" s="29" t="s">
        <v>82</v>
      </c>
      <c r="E28" s="30"/>
      <c r="F28" s="30" t="s">
        <v>83</v>
      </c>
      <c r="G28" s="31">
        <v>3430</v>
      </c>
      <c r="H28" s="32">
        <v>94.56</v>
      </c>
      <c r="I28" s="32">
        <v>1.91</v>
      </c>
      <c r="J28" s="33"/>
    </row>
    <row r="29" spans="2:10">
      <c r="B29" s="1" t="s">
        <v>84</v>
      </c>
      <c r="C29" s="20" t="s">
        <v>85</v>
      </c>
      <c r="D29" s="29" t="s">
        <v>86</v>
      </c>
      <c r="E29" s="30"/>
      <c r="F29" s="30" t="s">
        <v>54</v>
      </c>
      <c r="G29" s="31">
        <v>22408</v>
      </c>
      <c r="H29" s="32">
        <v>91.95</v>
      </c>
      <c r="I29" s="32">
        <v>1.86</v>
      </c>
      <c r="J29" s="33"/>
    </row>
    <row r="30" spans="2:10">
      <c r="B30" s="1" t="s">
        <v>87</v>
      </c>
      <c r="C30" s="20" t="s">
        <v>88</v>
      </c>
      <c r="D30" s="29" t="s">
        <v>89</v>
      </c>
      <c r="E30" s="30"/>
      <c r="F30" s="30" t="s">
        <v>90</v>
      </c>
      <c r="G30" s="31">
        <v>86238</v>
      </c>
      <c r="H30" s="32">
        <v>91.09</v>
      </c>
      <c r="I30" s="32">
        <v>1.84</v>
      </c>
      <c r="J30" s="33"/>
    </row>
    <row r="31" spans="2:10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11979</v>
      </c>
      <c r="H31" s="32">
        <v>85.43</v>
      </c>
      <c r="I31" s="32">
        <v>1.72</v>
      </c>
      <c r="J31" s="33"/>
    </row>
    <row r="32" spans="2:10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5821</v>
      </c>
      <c r="H32" s="32">
        <v>83.94</v>
      </c>
      <c r="I32" s="32">
        <v>1.69</v>
      </c>
      <c r="J32" s="33"/>
    </row>
    <row r="33" spans="2:10">
      <c r="B33" s="1" t="s">
        <v>99</v>
      </c>
      <c r="C33" s="20" t="s">
        <v>100</v>
      </c>
      <c r="D33" s="29" t="s">
        <v>101</v>
      </c>
      <c r="E33" s="30"/>
      <c r="F33" s="30" t="s">
        <v>58</v>
      </c>
      <c r="G33" s="31">
        <v>5074</v>
      </c>
      <c r="H33" s="32">
        <v>80.930000000000007</v>
      </c>
      <c r="I33" s="32">
        <v>1.63</v>
      </c>
      <c r="J33" s="33"/>
    </row>
    <row r="34" spans="2:10">
      <c r="B34" s="1" t="s">
        <v>102</v>
      </c>
      <c r="C34" s="20" t="s">
        <v>103</v>
      </c>
      <c r="D34" s="29" t="s">
        <v>104</v>
      </c>
      <c r="E34" s="30"/>
      <c r="F34" s="30" t="s">
        <v>26</v>
      </c>
      <c r="G34" s="31">
        <v>443</v>
      </c>
      <c r="H34" s="32">
        <v>71.010000000000005</v>
      </c>
      <c r="I34" s="32">
        <v>1.43</v>
      </c>
      <c r="J34" s="33"/>
    </row>
    <row r="35" spans="2:10">
      <c r="B35" s="1" t="s">
        <v>105</v>
      </c>
      <c r="C35" s="20" t="s">
        <v>106</v>
      </c>
      <c r="D35" s="29" t="s">
        <v>107</v>
      </c>
      <c r="E35" s="30"/>
      <c r="F35" s="30" t="s">
        <v>108</v>
      </c>
      <c r="G35" s="31">
        <v>1868</v>
      </c>
      <c r="H35" s="32">
        <v>68.349999999999994</v>
      </c>
      <c r="I35" s="32">
        <v>1.38</v>
      </c>
      <c r="J35" s="33"/>
    </row>
    <row r="36" spans="2:10">
      <c r="B36" s="1" t="s">
        <v>109</v>
      </c>
      <c r="C36" s="20" t="s">
        <v>110</v>
      </c>
      <c r="D36" s="29" t="s">
        <v>111</v>
      </c>
      <c r="E36" s="30"/>
      <c r="F36" s="30" t="s">
        <v>98</v>
      </c>
      <c r="G36" s="31">
        <v>4885</v>
      </c>
      <c r="H36" s="32">
        <v>67.66</v>
      </c>
      <c r="I36" s="32">
        <v>1.37</v>
      </c>
      <c r="J36" s="33"/>
    </row>
    <row r="37" spans="2:10">
      <c r="B37" s="1" t="s">
        <v>112</v>
      </c>
      <c r="C37" s="20" t="s">
        <v>113</v>
      </c>
      <c r="D37" s="29" t="s">
        <v>114</v>
      </c>
      <c r="E37" s="30"/>
      <c r="F37" s="30" t="s">
        <v>115</v>
      </c>
      <c r="G37" s="31">
        <v>14155</v>
      </c>
      <c r="H37" s="32">
        <v>62.78</v>
      </c>
      <c r="I37" s="32">
        <v>1.27</v>
      </c>
      <c r="J37" s="33"/>
    </row>
    <row r="38" spans="2:10">
      <c r="B38" s="1" t="s">
        <v>116</v>
      </c>
      <c r="C38" s="20" t="s">
        <v>117</v>
      </c>
      <c r="D38" s="29" t="s">
        <v>118</v>
      </c>
      <c r="E38" s="30"/>
      <c r="F38" s="30" t="s">
        <v>119</v>
      </c>
      <c r="G38" s="31">
        <v>8814</v>
      </c>
      <c r="H38" s="32">
        <v>59</v>
      </c>
      <c r="I38" s="32">
        <v>1.19</v>
      </c>
      <c r="J38" s="33"/>
    </row>
    <row r="39" spans="2:10">
      <c r="B39" s="1" t="s">
        <v>120</v>
      </c>
      <c r="C39" s="20" t="s">
        <v>121</v>
      </c>
      <c r="D39" s="29" t="s">
        <v>122</v>
      </c>
      <c r="E39" s="30"/>
      <c r="F39" s="30" t="s">
        <v>123</v>
      </c>
      <c r="G39" s="31">
        <v>6963</v>
      </c>
      <c r="H39" s="32">
        <v>56.94</v>
      </c>
      <c r="I39" s="32">
        <v>1.1499999999999999</v>
      </c>
      <c r="J39" s="33"/>
    </row>
    <row r="40" spans="2:10">
      <c r="B40" s="1" t="s">
        <v>124</v>
      </c>
      <c r="C40" s="20" t="s">
        <v>125</v>
      </c>
      <c r="D40" s="29" t="s">
        <v>126</v>
      </c>
      <c r="E40" s="30"/>
      <c r="F40" s="30" t="s">
        <v>26</v>
      </c>
      <c r="G40" s="31">
        <v>1040</v>
      </c>
      <c r="H40" s="32">
        <v>56.93</v>
      </c>
      <c r="I40" s="32">
        <v>1.1499999999999999</v>
      </c>
      <c r="J40" s="33"/>
    </row>
    <row r="41" spans="2:10">
      <c r="B41" s="1" t="s">
        <v>127</v>
      </c>
      <c r="C41" s="20" t="s">
        <v>128</v>
      </c>
      <c r="D41" s="29" t="s">
        <v>129</v>
      </c>
      <c r="E41" s="30"/>
      <c r="F41" s="30" t="s">
        <v>130</v>
      </c>
      <c r="G41" s="31">
        <v>20945</v>
      </c>
      <c r="H41" s="32">
        <v>48.81</v>
      </c>
      <c r="I41" s="32">
        <v>0.98</v>
      </c>
      <c r="J41" s="33"/>
    </row>
    <row r="42" spans="2:10">
      <c r="B42" s="1" t="s">
        <v>131</v>
      </c>
      <c r="C42" s="20" t="s">
        <v>132</v>
      </c>
      <c r="D42" s="29" t="s">
        <v>133</v>
      </c>
      <c r="E42" s="30"/>
      <c r="F42" s="30" t="s">
        <v>79</v>
      </c>
      <c r="G42" s="31">
        <v>928</v>
      </c>
      <c r="H42" s="32">
        <v>48.12</v>
      </c>
      <c r="I42" s="32">
        <v>0.97</v>
      </c>
      <c r="J42" s="33"/>
    </row>
    <row r="43" spans="2:10">
      <c r="B43" s="1" t="s">
        <v>134</v>
      </c>
      <c r="C43" s="20" t="s">
        <v>135</v>
      </c>
      <c r="D43" s="29" t="s">
        <v>136</v>
      </c>
      <c r="E43" s="30"/>
      <c r="F43" s="30" t="s">
        <v>137</v>
      </c>
      <c r="G43" s="31">
        <v>1393</v>
      </c>
      <c r="H43" s="32">
        <v>46.91</v>
      </c>
      <c r="I43" s="32">
        <v>0.95</v>
      </c>
      <c r="J43" s="33"/>
    </row>
    <row r="44" spans="2:10">
      <c r="B44" s="1" t="s">
        <v>138</v>
      </c>
      <c r="C44" s="20" t="s">
        <v>139</v>
      </c>
      <c r="D44" s="29" t="s">
        <v>140</v>
      </c>
      <c r="E44" s="30"/>
      <c r="F44" s="30" t="s">
        <v>141</v>
      </c>
      <c r="G44" s="31">
        <v>11705</v>
      </c>
      <c r="H44" s="32">
        <v>43.13</v>
      </c>
      <c r="I44" s="32">
        <v>0.87</v>
      </c>
      <c r="J44" s="33"/>
    </row>
    <row r="45" spans="2:10">
      <c r="B45" s="1" t="s">
        <v>142</v>
      </c>
      <c r="C45" s="20" t="s">
        <v>143</v>
      </c>
      <c r="D45" s="29" t="s">
        <v>144</v>
      </c>
      <c r="E45" s="30"/>
      <c r="F45" s="30" t="s">
        <v>98</v>
      </c>
      <c r="G45" s="31">
        <v>1350</v>
      </c>
      <c r="H45" s="32">
        <v>39</v>
      </c>
      <c r="I45" s="32">
        <v>0.79</v>
      </c>
      <c r="J45" s="33"/>
    </row>
    <row r="46" spans="2:10">
      <c r="C46" s="28" t="s">
        <v>145</v>
      </c>
      <c r="D46" s="29"/>
      <c r="E46" s="30"/>
      <c r="F46" s="30"/>
      <c r="G46" s="31"/>
      <c r="H46" s="35">
        <v>4886.04</v>
      </c>
      <c r="I46" s="35">
        <v>98.6</v>
      </c>
      <c r="J46" s="33"/>
    </row>
    <row r="47" spans="2:10">
      <c r="C47" s="20"/>
      <c r="D47" s="29"/>
      <c r="E47" s="30"/>
      <c r="F47" s="30"/>
      <c r="G47" s="31"/>
      <c r="H47" s="32"/>
      <c r="I47" s="32"/>
      <c r="J47" s="33"/>
    </row>
    <row r="48" spans="2:10">
      <c r="C48" s="28" t="s">
        <v>146</v>
      </c>
      <c r="D48" s="29"/>
      <c r="E48" s="30"/>
      <c r="F48" s="30"/>
      <c r="G48" s="31"/>
      <c r="H48" s="32" t="s">
        <v>147</v>
      </c>
      <c r="I48" s="32" t="s">
        <v>147</v>
      </c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148</v>
      </c>
      <c r="D50" s="29"/>
      <c r="E50" s="30"/>
      <c r="F50" s="30"/>
      <c r="G50" s="31"/>
      <c r="H50" s="32" t="s">
        <v>147</v>
      </c>
      <c r="I50" s="32" t="s">
        <v>147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149</v>
      </c>
      <c r="D52" s="29"/>
      <c r="E52" s="30"/>
      <c r="F52" s="30"/>
      <c r="G52" s="31"/>
      <c r="H52" s="32"/>
      <c r="I52" s="32"/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150</v>
      </c>
      <c r="D54" s="29"/>
      <c r="E54" s="30"/>
      <c r="F54" s="30"/>
      <c r="G54" s="31"/>
      <c r="H54" s="32" t="s">
        <v>147</v>
      </c>
      <c r="I54" s="32" t="s">
        <v>147</v>
      </c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151</v>
      </c>
      <c r="D56" s="29"/>
      <c r="E56" s="30"/>
      <c r="F56" s="30"/>
      <c r="G56" s="31"/>
      <c r="H56" s="32" t="s">
        <v>147</v>
      </c>
      <c r="I56" s="32" t="s">
        <v>147</v>
      </c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152</v>
      </c>
      <c r="D58" s="29"/>
      <c r="E58" s="30"/>
      <c r="F58" s="30"/>
      <c r="G58" s="31"/>
      <c r="H58" s="32" t="s">
        <v>147</v>
      </c>
      <c r="I58" s="32" t="s">
        <v>147</v>
      </c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153</v>
      </c>
      <c r="D60" s="29"/>
      <c r="E60" s="30"/>
      <c r="F60" s="30"/>
      <c r="G60" s="31"/>
      <c r="H60" s="32" t="s">
        <v>147</v>
      </c>
      <c r="I60" s="32" t="s">
        <v>147</v>
      </c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154</v>
      </c>
      <c r="D62" s="29"/>
      <c r="E62" s="30"/>
      <c r="F62" s="30"/>
      <c r="G62" s="31"/>
      <c r="H62" s="32" t="s">
        <v>147</v>
      </c>
      <c r="I62" s="32" t="s">
        <v>147</v>
      </c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155</v>
      </c>
      <c r="D64" s="29"/>
      <c r="E64" s="30"/>
      <c r="F64" s="30"/>
      <c r="G64" s="31"/>
      <c r="H64" s="32"/>
      <c r="I64" s="32"/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156</v>
      </c>
      <c r="D66" s="29"/>
      <c r="E66" s="30"/>
      <c r="F66" s="30"/>
      <c r="G66" s="31"/>
      <c r="H66" s="32" t="s">
        <v>147</v>
      </c>
      <c r="I66" s="32" t="s">
        <v>147</v>
      </c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157</v>
      </c>
      <c r="D68" s="29"/>
      <c r="E68" s="30"/>
      <c r="F68" s="30"/>
      <c r="G68" s="31"/>
      <c r="H68" s="32" t="s">
        <v>147</v>
      </c>
      <c r="I68" s="32" t="s">
        <v>147</v>
      </c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158</v>
      </c>
      <c r="D70" s="29"/>
      <c r="E70" s="30"/>
      <c r="F70" s="30"/>
      <c r="G70" s="31"/>
      <c r="H70" s="32" t="s">
        <v>147</v>
      </c>
      <c r="I70" s="32" t="s">
        <v>147</v>
      </c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159</v>
      </c>
      <c r="D72" s="29"/>
      <c r="E72" s="30"/>
      <c r="F72" s="30"/>
      <c r="G72" s="31"/>
      <c r="H72" s="32" t="s">
        <v>147</v>
      </c>
      <c r="I72" s="32" t="s">
        <v>147</v>
      </c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160</v>
      </c>
      <c r="D74" s="29"/>
      <c r="E74" s="30"/>
      <c r="F74" s="30"/>
      <c r="G74" s="31"/>
      <c r="H74" s="32"/>
      <c r="I74" s="32"/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161</v>
      </c>
      <c r="D76" s="29"/>
      <c r="E76" s="30"/>
      <c r="F76" s="30"/>
      <c r="G76" s="31"/>
      <c r="H76" s="32" t="s">
        <v>147</v>
      </c>
      <c r="I76" s="32" t="s">
        <v>147</v>
      </c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162</v>
      </c>
      <c r="D78" s="29"/>
      <c r="E78" s="30"/>
      <c r="F78" s="30"/>
      <c r="G78" s="31"/>
      <c r="H78" s="32" t="s">
        <v>147</v>
      </c>
      <c r="I78" s="32" t="s">
        <v>147</v>
      </c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163</v>
      </c>
      <c r="D80" s="29"/>
      <c r="E80" s="30"/>
      <c r="F80" s="30"/>
      <c r="G80" s="31"/>
      <c r="H80" s="32" t="s">
        <v>147</v>
      </c>
      <c r="I80" s="32" t="s">
        <v>147</v>
      </c>
      <c r="J80" s="33"/>
    </row>
    <row r="81" spans="1:10">
      <c r="C81" s="20"/>
      <c r="D81" s="29"/>
      <c r="E81" s="30"/>
      <c r="F81" s="30"/>
      <c r="G81" s="31"/>
      <c r="H81" s="32"/>
      <c r="I81" s="32"/>
      <c r="J81" s="33"/>
    </row>
    <row r="82" spans="1:10">
      <c r="C82" s="28" t="s">
        <v>164</v>
      </c>
      <c r="D82" s="29"/>
      <c r="E82" s="30"/>
      <c r="F82" s="30"/>
      <c r="G82" s="31"/>
      <c r="H82" s="32" t="s">
        <v>147</v>
      </c>
      <c r="I82" s="32" t="s">
        <v>147</v>
      </c>
      <c r="J82" s="33"/>
    </row>
    <row r="83" spans="1:10">
      <c r="C83" s="20"/>
      <c r="D83" s="29"/>
      <c r="E83" s="30"/>
      <c r="F83" s="30"/>
      <c r="G83" s="31"/>
      <c r="H83" s="32"/>
      <c r="I83" s="32"/>
      <c r="J83" s="33"/>
    </row>
    <row r="84" spans="1:10">
      <c r="C84" s="28" t="s">
        <v>165</v>
      </c>
      <c r="D84" s="29"/>
      <c r="E84" s="30"/>
      <c r="F84" s="30"/>
      <c r="G84" s="31"/>
      <c r="H84" s="32" t="s">
        <v>147</v>
      </c>
      <c r="I84" s="32" t="s">
        <v>147</v>
      </c>
      <c r="J84" s="33"/>
    </row>
    <row r="85" spans="1:10">
      <c r="C85" s="20"/>
      <c r="D85" s="29"/>
      <c r="E85" s="30"/>
      <c r="F85" s="30"/>
      <c r="G85" s="31"/>
      <c r="H85" s="32"/>
      <c r="I85" s="32"/>
      <c r="J85" s="33"/>
    </row>
    <row r="86" spans="1:10">
      <c r="C86" s="28" t="s">
        <v>166</v>
      </c>
      <c r="D86" s="29"/>
      <c r="E86" s="30"/>
      <c r="F86" s="30"/>
      <c r="G86" s="31"/>
      <c r="H86" s="32" t="s">
        <v>147</v>
      </c>
      <c r="I86" s="32" t="s">
        <v>147</v>
      </c>
      <c r="J86" s="33"/>
    </row>
    <row r="87" spans="1:10">
      <c r="C87" s="20"/>
      <c r="D87" s="29"/>
      <c r="E87" s="30"/>
      <c r="F87" s="30"/>
      <c r="G87" s="31"/>
      <c r="H87" s="32"/>
      <c r="I87" s="32"/>
      <c r="J87" s="33"/>
    </row>
    <row r="88" spans="1:10">
      <c r="A88" s="26"/>
      <c r="B88" s="27"/>
      <c r="C88" s="28" t="s">
        <v>167</v>
      </c>
      <c r="D88" s="29"/>
      <c r="E88" s="30"/>
      <c r="F88" s="30"/>
      <c r="G88" s="31"/>
      <c r="H88" s="32"/>
      <c r="I88" s="32"/>
      <c r="J88" s="33"/>
    </row>
    <row r="89" spans="1:10">
      <c r="B89" s="1"/>
      <c r="C89" s="20" t="s">
        <v>168</v>
      </c>
      <c r="D89" s="29"/>
      <c r="E89" s="30"/>
      <c r="F89" s="30"/>
      <c r="G89" s="31"/>
      <c r="H89" s="32">
        <v>69.569999999999993</v>
      </c>
      <c r="I89" s="32">
        <v>1.4</v>
      </c>
      <c r="J89" s="33"/>
    </row>
    <row r="90" spans="1:10">
      <c r="C90" s="28" t="s">
        <v>145</v>
      </c>
      <c r="D90" s="29"/>
      <c r="E90" s="30"/>
      <c r="F90" s="30"/>
      <c r="G90" s="31"/>
      <c r="H90" s="35">
        <v>69.569999999999993</v>
      </c>
      <c r="I90" s="35">
        <v>1.4</v>
      </c>
      <c r="J90" s="33"/>
    </row>
    <row r="91" spans="1:10">
      <c r="C91" s="20"/>
      <c r="D91" s="29"/>
      <c r="E91" s="30"/>
      <c r="F91" s="30"/>
      <c r="G91" s="31"/>
      <c r="H91" s="32"/>
      <c r="I91" s="32"/>
      <c r="J91" s="33"/>
    </row>
    <row r="92" spans="1:10" ht="14.4" thickBot="1">
      <c r="C92" s="36" t="s">
        <v>169</v>
      </c>
      <c r="D92" s="37"/>
      <c r="E92" s="38"/>
      <c r="F92" s="39"/>
      <c r="G92" s="40"/>
      <c r="H92" s="41">
        <v>4955.6099999999997</v>
      </c>
      <c r="I92" s="41">
        <f>SUMIFS(I:I,C:C,"Total")</f>
        <v>100</v>
      </c>
      <c r="J92" s="42"/>
    </row>
    <row r="95" spans="1:10">
      <c r="C95" s="11" t="s">
        <v>170</v>
      </c>
    </row>
    <row r="96" spans="1:10">
      <c r="C96" s="2" t="s">
        <v>171</v>
      </c>
    </row>
    <row r="97" spans="3:5">
      <c r="C97" s="2" t="s">
        <v>172</v>
      </c>
    </row>
    <row r="98" spans="3:5">
      <c r="C98" s="2" t="s">
        <v>173</v>
      </c>
    </row>
    <row r="99" spans="3:5">
      <c r="C99" s="2" t="s">
        <v>174</v>
      </c>
    </row>
    <row r="100" spans="3:5">
      <c r="C100" s="2" t="s">
        <v>175</v>
      </c>
    </row>
    <row r="101" spans="3:5" ht="14.4" thickBot="1">
      <c r="C101" s="2" t="s">
        <v>176</v>
      </c>
    </row>
    <row r="102" spans="3:5" ht="14.4" thickBot="1">
      <c r="C102" s="43"/>
      <c r="D102" s="61" t="s">
        <v>177</v>
      </c>
      <c r="E102" s="62"/>
    </row>
    <row r="103" spans="3:5">
      <c r="C103" s="44" t="s">
        <v>178</v>
      </c>
      <c r="D103" s="59" t="s">
        <v>179</v>
      </c>
      <c r="E103" s="45" t="s">
        <v>179</v>
      </c>
    </row>
    <row r="104" spans="3:5" ht="14.4" thickBot="1">
      <c r="C104" s="46"/>
      <c r="D104" s="60" t="s">
        <v>210</v>
      </c>
      <c r="E104" s="47" t="s">
        <v>180</v>
      </c>
    </row>
    <row r="105" spans="3:5" ht="14.4" thickBot="1">
      <c r="C105" s="48" t="s">
        <v>181</v>
      </c>
      <c r="D105" s="49">
        <v>66.930000000000007</v>
      </c>
      <c r="E105" s="49">
        <v>67.73</v>
      </c>
    </row>
    <row r="106" spans="3:5" ht="14.4" thickBot="1">
      <c r="C106" s="48" t="s">
        <v>182</v>
      </c>
      <c r="D106" s="49">
        <v>152.79</v>
      </c>
      <c r="E106" s="49">
        <v>154.62</v>
      </c>
    </row>
    <row r="107" spans="3:5" ht="14.4" thickBot="1">
      <c r="C107" s="48" t="s">
        <v>183</v>
      </c>
      <c r="D107" s="49">
        <v>71.22</v>
      </c>
      <c r="E107" s="49">
        <v>72.08</v>
      </c>
    </row>
    <row r="108" spans="3:5" ht="14.4" thickBot="1">
      <c r="C108" s="48" t="s">
        <v>184</v>
      </c>
      <c r="D108" s="49">
        <v>161.68</v>
      </c>
      <c r="E108" s="49">
        <v>163.63999999999999</v>
      </c>
    </row>
    <row r="110" spans="3:5">
      <c r="C110" s="2" t="s">
        <v>185</v>
      </c>
    </row>
    <row r="111" spans="3:5">
      <c r="C111" s="2" t="s">
        <v>186</v>
      </c>
    </row>
    <row r="112" spans="3:5">
      <c r="C112" s="2" t="s">
        <v>187</v>
      </c>
    </row>
    <row r="113" spans="3:3">
      <c r="C113" s="2" t="s">
        <v>188</v>
      </c>
    </row>
    <row r="114" spans="3:3">
      <c r="C114" s="2" t="s">
        <v>189</v>
      </c>
    </row>
    <row r="115" spans="3:3">
      <c r="C115" s="2" t="s">
        <v>190</v>
      </c>
    </row>
    <row r="116" spans="3:3">
      <c r="C116" s="2" t="s">
        <v>191</v>
      </c>
    </row>
    <row r="117" spans="3:3">
      <c r="C117" s="2" t="s">
        <v>192</v>
      </c>
    </row>
    <row r="118" spans="3:3">
      <c r="C118" s="2" t="s">
        <v>193</v>
      </c>
    </row>
  </sheetData>
  <mergeCells count="1">
    <mergeCell ref="D102:E102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C3:M17"/>
  <sheetViews>
    <sheetView workbookViewId="0">
      <selection activeCell="M5" sqref="M5"/>
    </sheetView>
  </sheetViews>
  <sheetFormatPr defaultRowHeight="14.4"/>
  <cols>
    <col min="3" max="3" width="48.6640625" customWidth="1"/>
    <col min="4" max="4" width="7.109375" bestFit="1" customWidth="1"/>
    <col min="5" max="5" width="11" bestFit="1" customWidth="1"/>
    <col min="6" max="6" width="7.44140625" bestFit="1" customWidth="1"/>
    <col min="7" max="7" width="11" bestFit="1" customWidth="1"/>
    <col min="8" max="8" width="7.44140625" bestFit="1" customWidth="1"/>
    <col min="9" max="9" width="11" bestFit="1" customWidth="1"/>
    <col min="10" max="10" width="7.44140625" bestFit="1" customWidth="1"/>
    <col min="11" max="11" width="11" bestFit="1" customWidth="1"/>
    <col min="12" max="12" width="7.44140625" bestFit="1" customWidth="1"/>
    <col min="13" max="13" width="16.88671875" customWidth="1"/>
  </cols>
  <sheetData>
    <row r="3" spans="3:13" ht="15.6">
      <c r="C3" s="50" t="s">
        <v>194</v>
      </c>
      <c r="D3" s="51"/>
      <c r="E3" s="51"/>
      <c r="F3" s="51"/>
      <c r="G3" s="51"/>
      <c r="H3" s="51"/>
      <c r="I3" s="51"/>
      <c r="J3" s="51"/>
      <c r="K3" s="51"/>
      <c r="L3" s="51"/>
      <c r="M3" s="51"/>
    </row>
    <row r="4" spans="3:13">
      <c r="C4" s="52" t="s">
        <v>195</v>
      </c>
      <c r="D4" s="63" t="s">
        <v>196</v>
      </c>
      <c r="E4" s="63"/>
      <c r="F4" s="63" t="s">
        <v>197</v>
      </c>
      <c r="G4" s="63"/>
      <c r="H4" s="63" t="s">
        <v>198</v>
      </c>
      <c r="I4" s="63"/>
      <c r="J4" s="64" t="s">
        <v>199</v>
      </c>
      <c r="K4" s="65"/>
      <c r="L4" s="66" t="s">
        <v>200</v>
      </c>
      <c r="M4" s="66"/>
    </row>
    <row r="5" spans="3:13" ht="66">
      <c r="C5" s="53"/>
      <c r="D5" s="54" t="s">
        <v>201</v>
      </c>
      <c r="E5" s="54" t="s">
        <v>202</v>
      </c>
      <c r="F5" s="54" t="s">
        <v>201</v>
      </c>
      <c r="G5" s="54" t="s">
        <v>202</v>
      </c>
      <c r="H5" s="54" t="s">
        <v>201</v>
      </c>
      <c r="I5" s="54" t="s">
        <v>202</v>
      </c>
      <c r="J5" s="54" t="s">
        <v>201</v>
      </c>
      <c r="K5" s="54" t="s">
        <v>202</v>
      </c>
      <c r="L5" s="55" t="s">
        <v>201</v>
      </c>
      <c r="M5" s="55" t="s">
        <v>202</v>
      </c>
    </row>
    <row r="6" spans="3:13">
      <c r="C6" s="56" t="s">
        <v>203</v>
      </c>
      <c r="D6" s="57">
        <v>-6.1943000000000001</v>
      </c>
      <c r="E6" s="57">
        <v>9380.5739246496396</v>
      </c>
      <c r="F6" s="57">
        <v>13.0822</v>
      </c>
      <c r="G6" s="57">
        <v>14465.338198147629</v>
      </c>
      <c r="H6" s="57">
        <v>16.819600000000001</v>
      </c>
      <c r="I6" s="57">
        <v>21765.202702702703</v>
      </c>
      <c r="J6" s="57">
        <v>9.7550000000000008</v>
      </c>
      <c r="K6" s="57">
        <v>25384.994253817109</v>
      </c>
      <c r="L6" s="57">
        <v>10.6934</v>
      </c>
      <c r="M6" s="57">
        <v>154620</v>
      </c>
    </row>
    <row r="7" spans="3:13">
      <c r="C7" s="56" t="s">
        <v>204</v>
      </c>
      <c r="D7" s="57">
        <v>-4.3899999999999997</v>
      </c>
      <c r="E7" s="57">
        <v>10370.289999999999</v>
      </c>
      <c r="F7" s="57">
        <v>15.15</v>
      </c>
      <c r="G7" s="57">
        <v>17361.343304846723</v>
      </c>
      <c r="H7" s="57">
        <v>19.32</v>
      </c>
      <c r="I7" s="57">
        <v>26862.552078416651</v>
      </c>
      <c r="J7" s="57">
        <v>13.8</v>
      </c>
      <c r="K7" s="57">
        <v>18692.399103519179</v>
      </c>
      <c r="L7" s="57" t="s">
        <v>208</v>
      </c>
      <c r="M7" s="57">
        <v>350784.89694918395</v>
      </c>
    </row>
    <row r="8" spans="3:13">
      <c r="C8" s="56" t="s">
        <v>205</v>
      </c>
      <c r="D8" s="57">
        <v>-3.4517000000000002</v>
      </c>
      <c r="E8" s="57">
        <v>9654.83</v>
      </c>
      <c r="F8" s="57">
        <v>14.212199999999999</v>
      </c>
      <c r="G8" s="57">
        <v>14898.326630184003</v>
      </c>
      <c r="H8" s="57">
        <v>18.361999999999998</v>
      </c>
      <c r="I8" s="57">
        <v>23230.656052809176</v>
      </c>
      <c r="J8" s="57">
        <v>13.3378</v>
      </c>
      <c r="K8" s="57">
        <v>18701.390188053683</v>
      </c>
      <c r="L8" s="57">
        <v>12.466799999999999</v>
      </c>
      <c r="M8" s="57">
        <v>364555.90170959139</v>
      </c>
    </row>
    <row r="9" spans="3:13">
      <c r="C9" s="56" t="s">
        <v>206</v>
      </c>
      <c r="D9" s="67">
        <v>164.83</v>
      </c>
      <c r="E9" s="68"/>
      <c r="F9" s="67">
        <v>106.89</v>
      </c>
      <c r="G9" s="68"/>
      <c r="H9" s="67">
        <v>71.040000000000006</v>
      </c>
      <c r="I9" s="68"/>
      <c r="J9" s="67">
        <v>60.91</v>
      </c>
      <c r="K9" s="68"/>
      <c r="L9" s="67">
        <v>10</v>
      </c>
      <c r="M9" s="68"/>
    </row>
    <row r="11" spans="3:13" ht="15.6">
      <c r="C11" s="50" t="s">
        <v>209</v>
      </c>
      <c r="D11" s="51"/>
      <c r="E11" s="51"/>
      <c r="F11" s="51"/>
      <c r="G11" s="51"/>
      <c r="H11" s="51"/>
      <c r="I11" s="51"/>
      <c r="J11" s="51"/>
      <c r="K11" s="51"/>
      <c r="L11" s="51"/>
      <c r="M11" s="51"/>
    </row>
    <row r="12" spans="3:13">
      <c r="C12" s="52" t="s">
        <v>195</v>
      </c>
      <c r="D12" s="63" t="s">
        <v>196</v>
      </c>
      <c r="E12" s="63"/>
      <c r="F12" s="63" t="s">
        <v>197</v>
      </c>
      <c r="G12" s="63"/>
      <c r="H12" s="63" t="s">
        <v>198</v>
      </c>
      <c r="I12" s="63"/>
      <c r="J12" s="64" t="s">
        <v>199</v>
      </c>
      <c r="K12" s="65"/>
      <c r="L12" s="66" t="s">
        <v>200</v>
      </c>
      <c r="M12" s="66"/>
    </row>
    <row r="13" spans="3:13" ht="66">
      <c r="C13" s="53"/>
      <c r="D13" s="54" t="s">
        <v>201</v>
      </c>
      <c r="E13" s="54" t="s">
        <v>202</v>
      </c>
      <c r="F13" s="54" t="s">
        <v>201</v>
      </c>
      <c r="G13" s="54" t="s">
        <v>202</v>
      </c>
      <c r="H13" s="54" t="s">
        <v>201</v>
      </c>
      <c r="I13" s="54" t="s">
        <v>202</v>
      </c>
      <c r="J13" s="54" t="s">
        <v>201</v>
      </c>
      <c r="K13" s="54" t="s">
        <v>202</v>
      </c>
      <c r="L13" s="55" t="s">
        <v>201</v>
      </c>
      <c r="M13" s="55" t="s">
        <v>202</v>
      </c>
    </row>
    <row r="14" spans="3:13">
      <c r="C14" s="56" t="s">
        <v>203</v>
      </c>
      <c r="D14" s="57">
        <v>-6.0350000000000001</v>
      </c>
      <c r="E14" s="57">
        <v>9396.4972724662639</v>
      </c>
      <c r="F14" s="57">
        <v>13.217499999999999</v>
      </c>
      <c r="G14" s="57">
        <v>14517.388218594746</v>
      </c>
      <c r="H14" s="57">
        <v>16.942399999999999</v>
      </c>
      <c r="I14" s="57">
        <v>21879.930471988231</v>
      </c>
      <c r="J14" s="57">
        <v>10.2241</v>
      </c>
      <c r="K14" s="57">
        <v>26491.824510280068</v>
      </c>
      <c r="L14" s="57">
        <v>10.708</v>
      </c>
      <c r="M14" s="57">
        <v>36756.513926325242</v>
      </c>
    </row>
    <row r="15" spans="3:13">
      <c r="C15" s="56" t="s">
        <v>204</v>
      </c>
      <c r="D15" s="57">
        <v>-4.3899999999999997</v>
      </c>
      <c r="E15" s="57">
        <v>10370.289999999999</v>
      </c>
      <c r="F15" s="57">
        <v>15.15</v>
      </c>
      <c r="G15" s="57">
        <v>17361.343304846723</v>
      </c>
      <c r="H15" s="57">
        <v>19.32</v>
      </c>
      <c r="I15" s="57">
        <v>26862.552078416651</v>
      </c>
      <c r="J15" s="57">
        <v>13.8</v>
      </c>
      <c r="K15" s="57">
        <v>18692.399103519179</v>
      </c>
      <c r="L15" s="57">
        <v>13.53</v>
      </c>
      <c r="M15" s="57">
        <v>51118.30164538465</v>
      </c>
    </row>
    <row r="16" spans="3:13">
      <c r="C16" s="56" t="s">
        <v>205</v>
      </c>
      <c r="D16" s="57">
        <v>-3.4517000000000002</v>
      </c>
      <c r="E16" s="57">
        <v>9654.83</v>
      </c>
      <c r="F16" s="57">
        <v>14.212199999999999</v>
      </c>
      <c r="G16" s="57">
        <v>14898.326630184003</v>
      </c>
      <c r="H16" s="57">
        <v>18.361999999999998</v>
      </c>
      <c r="I16" s="57">
        <v>23230.656052809176</v>
      </c>
      <c r="J16" s="57">
        <v>13.3378</v>
      </c>
      <c r="K16" s="57">
        <v>18701.390188053683</v>
      </c>
      <c r="L16" s="57">
        <v>13.0716</v>
      </c>
      <c r="M16" s="57">
        <v>47879.320038417558</v>
      </c>
    </row>
    <row r="17" spans="3:13">
      <c r="C17" s="58" t="s">
        <v>207</v>
      </c>
      <c r="D17" s="67">
        <v>174.15</v>
      </c>
      <c r="E17" s="68"/>
      <c r="F17" s="67">
        <v>112.72</v>
      </c>
      <c r="G17" s="68"/>
      <c r="H17" s="67">
        <v>74.790000000000006</v>
      </c>
      <c r="I17" s="68"/>
      <c r="J17" s="67">
        <v>61.77</v>
      </c>
      <c r="K17" s="68"/>
      <c r="L17" s="67">
        <v>44.52</v>
      </c>
      <c r="M17" s="68"/>
    </row>
  </sheetData>
  <mergeCells count="20">
    <mergeCell ref="D9:E9"/>
    <mergeCell ref="F9:G9"/>
    <mergeCell ref="H9:I9"/>
    <mergeCell ref="J9:K9"/>
    <mergeCell ref="L9:M9"/>
    <mergeCell ref="D4:E4"/>
    <mergeCell ref="F4:G4"/>
    <mergeCell ref="H4:I4"/>
    <mergeCell ref="J4:K4"/>
    <mergeCell ref="L4:M4"/>
    <mergeCell ref="D17:E17"/>
    <mergeCell ref="F17:G17"/>
    <mergeCell ref="H17:I17"/>
    <mergeCell ref="J17:K17"/>
    <mergeCell ref="L17:M17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</vt:lpstr>
      <vt:lpstr>TBF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HP</cp:lastModifiedBy>
  <dcterms:created xsi:type="dcterms:W3CDTF">2025-10-06T12:45:06Z</dcterms:created>
  <dcterms:modified xsi:type="dcterms:W3CDTF">2025-10-09T11:37:24Z</dcterms:modified>
</cp:coreProperties>
</file>