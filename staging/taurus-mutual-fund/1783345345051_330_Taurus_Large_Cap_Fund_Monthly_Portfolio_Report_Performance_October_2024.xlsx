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88BAA731-C687-477D-91A3-EA5A1897B342}" xr6:coauthVersionLast="47" xr6:coauthVersionMax="47" xr10:uidLastSave="{00000000-0000-0000-0000-000000000000}"/>
  <bookViews>
    <workbookView xWindow="-120" yWindow="-120" windowWidth="20730" windowHeight="11040" xr2:uid="{4D4EE589-7994-4900-A134-F832FC495275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<sst xmlns="http://schemas.openxmlformats.org/spreadsheetml/2006/main" count="280" uniqueCount="209">
  <si>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</si>
  <si>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</si>
  <si>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</si>
  <si>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</si>
  <si>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</si>
  <si>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</si>
  <si>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</si>
  <si>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</si>
  <si>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</si>
  <si>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</si>
  <si>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</si>
  <si>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</si>
  <si>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</si>
  <si>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</si>
  <si>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</si>
  <si>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</si>
  <si>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</si>
  <si>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</si>
  <si>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</si>
  <si>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</si>
  <si>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</si>
  <si>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</si>
  <si>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</si>
  <si>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</si>
  <si>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</si>
  <si>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</si>
  <si>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</si>
  <si>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</si>
  <si>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</si>
  <si>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</si>
  <si>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100012</t>
  </si>
  <si>
    <t>ICICI Bank Ltd.</t>
  </si>
  <si>
    <t>INE090A01021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</si>
  <si>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</si>
  <si>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</si>
  <si>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</si>
  <si>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</si>
  <si>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</si>
  <si>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</si>
  <si>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</si>
  <si>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</si>
  <si>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</si>
  <si>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</si>
  <si>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</si>
  <si>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</si>
  <si>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</si>
  <si>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</si>
  <si>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100106</t>
  </si>
  <si>
    <t>Maruti Suzuki India Ltd.</t>
  </si>
  <si>
    <t>INE585B01010</t>
  </si>
  <si>
    <t>100097</t>
  </si>
  <si>
    <t>Coal India Ltd.</t>
  </si>
  <si>
    <t>INE522F01014</t>
  </si>
  <si>
    <t>Consumable Fuels</t>
  </si>
  <si>
    <t>100830</t>
  </si>
  <si>
    <t>Varun Beverages Ltd.</t>
  </si>
  <si>
    <t>INE200M01039</t>
  </si>
  <si>
    <t>Beverages</t>
  </si>
  <si>
    <t>101178</t>
  </si>
  <si>
    <t>Computer Age Management Services Ltd.</t>
  </si>
  <si>
    <t>INE596I01012</t>
  </si>
  <si>
    <t>Capital Markets</t>
  </si>
  <si>
    <t>100181</t>
  </si>
  <si>
    <t>NTPC Ltd.</t>
  </si>
  <si>
    <t>INE733E01010</t>
  </si>
  <si>
    <t>Power</t>
  </si>
  <si>
    <t>102135</t>
  </si>
  <si>
    <t>Le Travenues Technology Pvt. Ltd.</t>
  </si>
  <si>
    <t>INE0HV901016</t>
  </si>
  <si>
    <t>Leisure Services</t>
  </si>
  <si>
    <t>100169</t>
  </si>
  <si>
    <t>Indian Oil Corporation Ltd.</t>
  </si>
  <si>
    <t>INE242A01010</t>
  </si>
  <si>
    <t>Petroleum Products</t>
  </si>
  <si>
    <t>100111</t>
  </si>
  <si>
    <t>Oil &amp; Natural Gas Corporation Ltd.</t>
  </si>
  <si>
    <t>INE213A01029</t>
  </si>
  <si>
    <t>Oil</t>
  </si>
  <si>
    <t>100008</t>
  </si>
  <si>
    <t>Sun Pharmaceutical Industries Ltd.</t>
  </si>
  <si>
    <t>INE044A01036</t>
  </si>
  <si>
    <t>Pharmaceuticals &amp; Biotechnology</t>
  </si>
  <si>
    <t>100182</t>
  </si>
  <si>
    <t>Power Grid Corporation of India Ltd.</t>
  </si>
  <si>
    <t>INE752E01010</t>
  </si>
  <si>
    <t>100153</t>
  </si>
  <si>
    <t>Cipla Ltd.</t>
  </si>
  <si>
    <t>INE059A01026</t>
  </si>
  <si>
    <t>100399</t>
  </si>
  <si>
    <t>Cholamandalam Investment &amp; Finance Co. Ltd.</t>
  </si>
  <si>
    <t>INE121A01024</t>
  </si>
  <si>
    <t>Finance</t>
  </si>
  <si>
    <t>100002</t>
  </si>
  <si>
    <t>Reliance Industries Ltd.</t>
  </si>
  <si>
    <t>INE002A01018</t>
  </si>
  <si>
    <t>100147</t>
  </si>
  <si>
    <t>Tech Mahindra Ltd.</t>
  </si>
  <si>
    <t>INE669C01036</t>
  </si>
  <si>
    <t>100184</t>
  </si>
  <si>
    <t>Tata Steel Ltd.</t>
  </si>
  <si>
    <t>INE081A01020</t>
  </si>
  <si>
    <t>Ferrous Metals</t>
  </si>
  <si>
    <t>100083</t>
  </si>
  <si>
    <t>Samvardhana Motherson International Ltd.</t>
  </si>
  <si>
    <t>INE775A01035</t>
  </si>
  <si>
    <t>Auto Components</t>
  </si>
  <si>
    <t>100302</t>
  </si>
  <si>
    <t>DLF Ltd.</t>
  </si>
  <si>
    <t>INE271C01023</t>
  </si>
  <si>
    <t>Realty</t>
  </si>
  <si>
    <t>100380</t>
  </si>
  <si>
    <t>Bajaj Finserv Ltd.</t>
  </si>
  <si>
    <t>INE918I01026</t>
  </si>
  <si>
    <t>101698</t>
  </si>
  <si>
    <t>Swan Energy Ltd.</t>
  </si>
  <si>
    <t>INE665A01038</t>
  </si>
  <si>
    <t>Diversified</t>
  </si>
  <si>
    <t>100150</t>
  </si>
  <si>
    <t>Apollo Hospitals Enterprise Ltd.</t>
  </si>
  <si>
    <t>INE437A01024</t>
  </si>
  <si>
    <t>Healthcare Services</t>
  </si>
  <si>
    <t>100263</t>
  </si>
  <si>
    <t>BEML Ltd.</t>
  </si>
  <si>
    <t>INE258A01016</t>
  </si>
  <si>
    <t>Agricultural, Commercial &amp; Construction Vehicles</t>
  </si>
  <si>
    <t>101949</t>
  </si>
  <si>
    <t>Samhi Hotels Ltd.</t>
  </si>
  <si>
    <t>INE08U801020</t>
  </si>
  <si>
    <t>100292</t>
  </si>
  <si>
    <t>Steel Authority of India Ltd.</t>
  </si>
  <si>
    <t>INE114A01011</t>
  </si>
  <si>
    <t>102005</t>
  </si>
  <si>
    <t>Tata Technologies Ltd.</t>
  </si>
  <si>
    <t>INE142M01025</t>
  </si>
  <si>
    <t>IT - Services</t>
  </si>
  <si>
    <t>101433</t>
  </si>
  <si>
    <t>Metro Brands Ltd.</t>
  </si>
  <si>
    <t>INE317I01021</t>
  </si>
  <si>
    <t>Consumer Durables</t>
  </si>
  <si>
    <t>100081</t>
  </si>
  <si>
    <t>Titan Company Ltd.</t>
  </si>
  <si>
    <t>INE280A01028</t>
  </si>
  <si>
    <t>100112</t>
  </si>
  <si>
    <t>Punjab National Bank</t>
  </si>
  <si>
    <t>INE160A01022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</si>
  <si>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</si>
  <si>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</si>
  <si>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</si>
  <si>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</si>
  <si>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</si>
  <si>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</si>
  <si>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</si>
  <si>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</si>
  <si>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</si>
  <si>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</si>
  <si>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</si>
  <si>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</si>
  <si>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</si>
  <si>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</si>
  <si>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</si>
  <si>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</si>
  <si>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</si>
  <si>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</si>
  <si>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</si>
  <si>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</si>
  <si>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</si>
  <si>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</si>
  <si>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</si>
  <si>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</si>
  <si>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</si>
  <si>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</si>
  <si>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</si>
  <si>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</si>
  <si>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</si>
  <si>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</si>
  <si>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</si>
  <si>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</si>
  <si>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</si>
  <si>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</si>
  <si>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</si>
  <si>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</si>
  <si>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</si>
  <si>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</si>
  <si>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</si>
  <si>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</si>
  <si>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</si>
  <si>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</si>
  <si>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</si>
  <si>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</si>
  <si>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</si>
  <si>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0.68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</si>
  <si>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</si>
  <si>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</si>
  <si>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</si>
  <si>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</si>
  <si>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</si>
  <si>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</si>
  <si>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</si>
  <si>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</si>
  <si>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</si>
  <si>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</si>
  <si>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</si>
  <si>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</si>
  <si>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</si>
  <si>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</si>
  <si>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</si>
  <si>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October 31,2024 :154.55)</t>
  </si>
  <si>
    <t>Taurus Largecap Equity Fund - Direct Plan Growth Option</t>
  </si>
  <si>
    <t>NAV [Rs.] Per Unit (as on October 31,2024 :163.3)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</si>
</sst>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13" xfId="0" applyFont="1" applyBorder="1"/>
  </cellXfs>
  <cellStyles count="6">
    <cellStyle name="Comma" xfId="1" builtinId="3"/>
    <cellStyle name="Comma 2" xfId="5" xr:uid="{9A5C0624-1F0D-4112-9F8E-28B171FE9E45}"/>
    <cellStyle name="Hyperlink" xfId="2" builtinId="8"/>
    <cellStyle name="Normal" xfId="0" builtinId="0"/>
    <cellStyle name="Normal 2" xfId="4" xr:uid="{D6CE23D1-E65C-42F4-919B-C99C01184E33}"/>
    <cellStyle name="Style 1" xfId="3" xr:uid="{D1F36118-96EA-4498-A02D-1AF0C1E97A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753533</xdr:colOff>
      <xdr:row>0</xdr:row>
      <xdr:rowOff>2053166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C238B-7BFC-4CB7-877A-33EDECA06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505700" cy="205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26F9-D1AB-49AC-A2D5-F934BA72EC23}">
  <sheetPr codeName="Sheet1"/>
  <dimension ref="A1:BB11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26985</v>
      </c>
      <c r="H10" s="32">
        <v>468.18</v>
      </c>
      <c r="I10" s="32">
        <v>9.4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32804</v>
      </c>
      <c r="H11" s="32">
        <v>269.16000000000003</v>
      </c>
      <c r="I11" s="32">
        <v>5.41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54880</v>
      </c>
      <c r="H12" s="32">
        <v>268.08999999999997</v>
      </c>
      <c r="I12" s="32">
        <v>5.38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14147</v>
      </c>
      <c r="H13" s="32">
        <v>250.11</v>
      </c>
      <c r="I13" s="32">
        <v>5.0199999999999996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19245</v>
      </c>
      <c r="H14" s="32">
        <v>248.56</v>
      </c>
      <c r="I14" s="32">
        <v>4.99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19761</v>
      </c>
      <c r="H15" s="32">
        <v>228.93</v>
      </c>
      <c r="I15" s="32">
        <v>4.5999999999999996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7910</v>
      </c>
      <c r="H16" s="32">
        <v>215.73</v>
      </c>
      <c r="I16" s="32">
        <v>4.33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5056</v>
      </c>
      <c r="H17" s="32">
        <v>183.25</v>
      </c>
      <c r="I17" s="32">
        <v>3.68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29</v>
      </c>
      <c r="G18" s="31">
        <v>9839</v>
      </c>
      <c r="H18" s="32">
        <v>172.89</v>
      </c>
      <c r="I18" s="32">
        <v>3.47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39</v>
      </c>
      <c r="G19" s="31">
        <v>1553</v>
      </c>
      <c r="H19" s="32">
        <v>172.08</v>
      </c>
      <c r="I19" s="32">
        <v>3.46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37649</v>
      </c>
      <c r="H20" s="32">
        <v>170.29</v>
      </c>
      <c r="I20" s="32">
        <v>3.42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28215</v>
      </c>
      <c r="H21" s="32">
        <v>168.77</v>
      </c>
      <c r="I21" s="32">
        <v>3.39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3057</v>
      </c>
      <c r="H22" s="32">
        <v>135.76</v>
      </c>
      <c r="I22" s="32">
        <v>2.73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31179</v>
      </c>
      <c r="H23" s="32">
        <v>127.24</v>
      </c>
      <c r="I23" s="32">
        <v>2.56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81978</v>
      </c>
      <c r="H24" s="32">
        <v>120.18</v>
      </c>
      <c r="I24" s="32">
        <v>2.41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84070</v>
      </c>
      <c r="H25" s="32">
        <v>119.97</v>
      </c>
      <c r="I25" s="32">
        <v>2.41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42238</v>
      </c>
      <c r="H26" s="32">
        <v>112.44</v>
      </c>
      <c r="I26" s="32">
        <v>2.2599999999999998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5849</v>
      </c>
      <c r="H27" s="32">
        <v>108.15</v>
      </c>
      <c r="I27" s="32">
        <v>2.17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65</v>
      </c>
      <c r="G28" s="31">
        <v>33010</v>
      </c>
      <c r="H28" s="32">
        <v>106.03</v>
      </c>
      <c r="I28" s="32">
        <v>2.13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81</v>
      </c>
      <c r="G29" s="31">
        <v>6725</v>
      </c>
      <c r="H29" s="32">
        <v>104.45</v>
      </c>
      <c r="I29" s="32">
        <v>2.1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8050</v>
      </c>
      <c r="H30" s="32">
        <v>102.47</v>
      </c>
      <c r="I30" s="32">
        <v>2.06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73</v>
      </c>
      <c r="G31" s="31">
        <v>7590</v>
      </c>
      <c r="H31" s="32">
        <v>101.14</v>
      </c>
      <c r="I31" s="32">
        <v>2.0299999999999998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29</v>
      </c>
      <c r="G32" s="31">
        <v>6281</v>
      </c>
      <c r="H32" s="32">
        <v>101.01</v>
      </c>
      <c r="I32" s="32">
        <v>2.0299999999999998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67885</v>
      </c>
      <c r="H33" s="32">
        <v>100.91</v>
      </c>
      <c r="I33" s="32">
        <v>2.0299999999999998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51757</v>
      </c>
      <c r="H34" s="32">
        <v>93.6</v>
      </c>
      <c r="I34" s="32">
        <v>1.88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10345</v>
      </c>
      <c r="H35" s="32">
        <v>84.91</v>
      </c>
      <c r="I35" s="32">
        <v>1.71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91</v>
      </c>
      <c r="G36" s="31">
        <v>4712</v>
      </c>
      <c r="H36" s="32">
        <v>82.54</v>
      </c>
      <c r="I36" s="32">
        <v>1.66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14538</v>
      </c>
      <c r="H37" s="32">
        <v>72.69</v>
      </c>
      <c r="I37" s="32">
        <v>1.46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1017</v>
      </c>
      <c r="H38" s="32">
        <v>71.400000000000006</v>
      </c>
      <c r="I38" s="32">
        <v>1.43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1520</v>
      </c>
      <c r="H39" s="32">
        <v>61.83</v>
      </c>
      <c r="I39" s="32">
        <v>1.24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69</v>
      </c>
      <c r="G40" s="31">
        <v>31683</v>
      </c>
      <c r="H40" s="32">
        <v>57.92</v>
      </c>
      <c r="I40" s="32">
        <v>1.1599999999999999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101</v>
      </c>
      <c r="G41" s="31">
        <v>46227</v>
      </c>
      <c r="H41" s="32">
        <v>53.51</v>
      </c>
      <c r="I41" s="32">
        <v>1.07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4776</v>
      </c>
      <c r="H42" s="32">
        <v>48.07</v>
      </c>
      <c r="I42" s="32">
        <v>0.97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3825</v>
      </c>
      <c r="H43" s="32">
        <v>45.93</v>
      </c>
      <c r="I43" s="32">
        <v>0.92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138</v>
      </c>
      <c r="G44" s="31">
        <v>1393</v>
      </c>
      <c r="H44" s="32">
        <v>45.54</v>
      </c>
      <c r="I44" s="32">
        <v>0.91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18</v>
      </c>
      <c r="G45" s="31">
        <v>38299</v>
      </c>
      <c r="H45" s="32">
        <v>37.479999999999997</v>
      </c>
      <c r="I45" s="32">
        <v>0.75</v>
      </c>
      <c r="J45" s="33"/>
    </row>
    <row r="46" spans="2:10" x14ac:dyDescent="0.25">
      <c r="C46" s="28" t="s">
        <v>145</v>
      </c>
      <c r="D46" s="29"/>
      <c r="E46" s="30"/>
      <c r="F46" s="30"/>
      <c r="G46" s="31"/>
      <c r="H46" s="35">
        <v>4911.21</v>
      </c>
      <c r="I46" s="35">
        <v>98.63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146</v>
      </c>
      <c r="D48" s="29"/>
      <c r="E48" s="30"/>
      <c r="F48" s="30"/>
      <c r="G48" s="31"/>
      <c r="H48" s="32" t="s">
        <v>147</v>
      </c>
      <c r="I48" s="32" t="s">
        <v>147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148</v>
      </c>
      <c r="D50" s="29"/>
      <c r="E50" s="30"/>
      <c r="F50" s="30"/>
      <c r="G50" s="31"/>
      <c r="H50" s="32" t="s">
        <v>147</v>
      </c>
      <c r="I50" s="32" t="s">
        <v>147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149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150</v>
      </c>
      <c r="D54" s="29"/>
      <c r="E54" s="30"/>
      <c r="F54" s="30"/>
      <c r="G54" s="31"/>
      <c r="H54" s="32" t="s">
        <v>147</v>
      </c>
      <c r="I54" s="32" t="s">
        <v>147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151</v>
      </c>
      <c r="D56" s="29"/>
      <c r="E56" s="30"/>
      <c r="F56" s="30"/>
      <c r="G56" s="31"/>
      <c r="H56" s="32" t="s">
        <v>147</v>
      </c>
      <c r="I56" s="32" t="s">
        <v>147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152</v>
      </c>
      <c r="D58" s="29"/>
      <c r="E58" s="30"/>
      <c r="F58" s="30"/>
      <c r="G58" s="31"/>
      <c r="H58" s="32" t="s">
        <v>147</v>
      </c>
      <c r="I58" s="32" t="s">
        <v>147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153</v>
      </c>
      <c r="D60" s="29"/>
      <c r="E60" s="30"/>
      <c r="F60" s="30"/>
      <c r="G60" s="31"/>
      <c r="H60" s="32" t="s">
        <v>147</v>
      </c>
      <c r="I60" s="32" t="s">
        <v>147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154</v>
      </c>
      <c r="D62" s="29"/>
      <c r="E62" s="30"/>
      <c r="F62" s="30"/>
      <c r="G62" s="31"/>
      <c r="H62" s="32" t="s">
        <v>147</v>
      </c>
      <c r="I62" s="32" t="s">
        <v>147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155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156</v>
      </c>
      <c r="D66" s="29"/>
      <c r="E66" s="30"/>
      <c r="F66" s="30"/>
      <c r="G66" s="31"/>
      <c r="H66" s="32" t="s">
        <v>147</v>
      </c>
      <c r="I66" s="32" t="s">
        <v>147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157</v>
      </c>
      <c r="D68" s="29"/>
      <c r="E68" s="30"/>
      <c r="F68" s="30"/>
      <c r="G68" s="31"/>
      <c r="H68" s="32" t="s">
        <v>147</v>
      </c>
      <c r="I68" s="32" t="s">
        <v>147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158</v>
      </c>
      <c r="D70" s="29"/>
      <c r="E70" s="30"/>
      <c r="F70" s="30"/>
      <c r="G70" s="31"/>
      <c r="H70" s="32" t="s">
        <v>147</v>
      </c>
      <c r="I70" s="32" t="s">
        <v>147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159</v>
      </c>
      <c r="D72" s="29"/>
      <c r="E72" s="30"/>
      <c r="F72" s="30"/>
      <c r="G72" s="31"/>
      <c r="H72" s="32" t="s">
        <v>147</v>
      </c>
      <c r="I72" s="32" t="s">
        <v>147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160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161</v>
      </c>
      <c r="D76" s="29"/>
      <c r="E76" s="30"/>
      <c r="F76" s="30"/>
      <c r="G76" s="31"/>
      <c r="H76" s="32" t="s">
        <v>147</v>
      </c>
      <c r="I76" s="32" t="s">
        <v>147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162</v>
      </c>
      <c r="D78" s="29"/>
      <c r="E78" s="30"/>
      <c r="F78" s="30"/>
      <c r="G78" s="31"/>
      <c r="H78" s="32" t="s">
        <v>147</v>
      </c>
      <c r="I78" s="32" t="s">
        <v>147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163</v>
      </c>
      <c r="D80" s="29"/>
      <c r="E80" s="30"/>
      <c r="F80" s="30"/>
      <c r="G80" s="31"/>
      <c r="H80" s="32" t="s">
        <v>147</v>
      </c>
      <c r="I80" s="32" t="s">
        <v>147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164</v>
      </c>
      <c r="D82" s="29"/>
      <c r="E82" s="30"/>
      <c r="F82" s="30"/>
      <c r="G82" s="31"/>
      <c r="H82" s="32" t="s">
        <v>147</v>
      </c>
      <c r="I82" s="32" t="s">
        <v>147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165</v>
      </c>
      <c r="D84" s="29"/>
      <c r="E84" s="30"/>
      <c r="F84" s="30"/>
      <c r="G84" s="31"/>
      <c r="H84" s="32" t="s">
        <v>147</v>
      </c>
      <c r="I84" s="32" t="s">
        <v>147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166</v>
      </c>
      <c r="D86" s="29"/>
      <c r="E86" s="30"/>
      <c r="F86" s="30"/>
      <c r="G86" s="31"/>
      <c r="H86" s="32" t="s">
        <v>147</v>
      </c>
      <c r="I86" s="32" t="s">
        <v>147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167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168</v>
      </c>
      <c r="D89" s="29"/>
      <c r="E89" s="30"/>
      <c r="F89" s="30"/>
      <c r="G89" s="31"/>
      <c r="H89" s="32">
        <v>67.48</v>
      </c>
      <c r="I89" s="32">
        <v>1.37</v>
      </c>
      <c r="J89" s="33"/>
    </row>
    <row r="90" spans="1:10" x14ac:dyDescent="0.25">
      <c r="C90" s="28" t="s">
        <v>145</v>
      </c>
      <c r="D90" s="29"/>
      <c r="E90" s="30"/>
      <c r="F90" s="30"/>
      <c r="G90" s="31"/>
      <c r="H90" s="35">
        <v>67.48</v>
      </c>
      <c r="I90" s="35">
        <v>1.37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169</v>
      </c>
      <c r="D92" s="37"/>
      <c r="E92" s="38"/>
      <c r="F92" s="39"/>
      <c r="G92" s="40"/>
      <c r="H92" s="41">
        <v>4978.6899999999996</v>
      </c>
      <c r="I92" s="41">
        <f>SUMIFS(I:I,C:C,"Total")</f>
        <v>100</v>
      </c>
      <c r="J92" s="42"/>
    </row>
    <row r="95" spans="1:10" x14ac:dyDescent="0.25">
      <c r="C95" s="11" t="s">
        <v>170</v>
      </c>
    </row>
    <row r="96" spans="1:10" x14ac:dyDescent="0.25">
      <c r="C96" s="2" t="s">
        <v>171</v>
      </c>
    </row>
    <row r="97" spans="3:5" x14ac:dyDescent="0.25">
      <c r="C97" s="2" t="s">
        <v>172</v>
      </c>
    </row>
    <row r="98" spans="3:5" x14ac:dyDescent="0.25">
      <c r="C98" s="2" t="s">
        <v>173</v>
      </c>
    </row>
    <row r="99" spans="3:5" x14ac:dyDescent="0.25">
      <c r="C99" s="2" t="s">
        <v>174</v>
      </c>
    </row>
    <row r="100" spans="3:5" x14ac:dyDescent="0.25">
      <c r="C100" s="2" t="s">
        <v>175</v>
      </c>
    </row>
    <row r="101" spans="3:5" x14ac:dyDescent="0.25">
      <c r="C101" s="2" t="s">
        <v>176</v>
      </c>
    </row>
    <row r="102" spans="3:5" x14ac:dyDescent="0.25">
      <c r="D102" s="2" t="s">
        <v>177</v>
      </c>
    </row>
    <row r="103" spans="3:5" x14ac:dyDescent="0.25">
      <c r="C103" s="2" t="s">
        <v>178</v>
      </c>
      <c r="D103" s="2" t="s">
        <v>179</v>
      </c>
      <c r="E103" s="2" t="s">
        <v>179</v>
      </c>
    </row>
    <row r="104" spans="3:5" x14ac:dyDescent="0.25">
      <c r="D104" s="2" t="s">
        <v>180</v>
      </c>
      <c r="E104" s="2" t="s">
        <v>181</v>
      </c>
    </row>
    <row r="105" spans="3:5" x14ac:dyDescent="0.25">
      <c r="C105" s="2" t="s">
        <v>182</v>
      </c>
      <c r="D105" s="2">
        <v>72.209999999999994</v>
      </c>
      <c r="E105" s="2">
        <v>67.7</v>
      </c>
    </row>
    <row r="106" spans="3:5" x14ac:dyDescent="0.25">
      <c r="C106" s="2" t="s">
        <v>183</v>
      </c>
      <c r="D106" s="2">
        <v>164.83</v>
      </c>
      <c r="E106" s="2">
        <v>154.55000000000001</v>
      </c>
    </row>
    <row r="107" spans="3:5" x14ac:dyDescent="0.25">
      <c r="C107" s="2" t="s">
        <v>184</v>
      </c>
      <c r="D107" s="2">
        <v>76.709999999999994</v>
      </c>
      <c r="E107" s="2">
        <v>71.930000000000007</v>
      </c>
    </row>
    <row r="108" spans="3:5" x14ac:dyDescent="0.25">
      <c r="C108" s="2" t="s">
        <v>185</v>
      </c>
      <c r="D108" s="2">
        <v>174.15</v>
      </c>
      <c r="E108" s="2">
        <v>163.30000000000001</v>
      </c>
    </row>
    <row r="110" spans="3:5" x14ac:dyDescent="0.25">
      <c r="C110" s="2" t="s">
        <v>186</v>
      </c>
    </row>
    <row r="111" spans="3:5" x14ac:dyDescent="0.25">
      <c r="C111" s="2" t="s">
        <v>187</v>
      </c>
    </row>
    <row r="112" spans="3:5" x14ac:dyDescent="0.25">
      <c r="C112" s="2" t="s">
        <v>188</v>
      </c>
    </row>
    <row r="113" spans="3:3" x14ac:dyDescent="0.25">
      <c r="C113" s="2" t="s">
        <v>189</v>
      </c>
    </row>
    <row r="114" spans="3:3" x14ac:dyDescent="0.25">
      <c r="C114" s="2" t="s">
        <v>190</v>
      </c>
    </row>
    <row r="115" spans="3:3" x14ac:dyDescent="0.25">
      <c r="C115" s="2" t="s">
        <v>191</v>
      </c>
    </row>
    <row r="116" spans="3:3" x14ac:dyDescent="0.25">
      <c r="C116" s="2" t="s">
        <v>192</v>
      </c>
    </row>
    <row r="117" spans="3:3" x14ac:dyDescent="0.25">
      <c r="C117" s="2" t="s">
        <v>193</v>
      </c>
    </row>
    <row r="118" spans="3:3" x14ac:dyDescent="0.25">
      <c r="C118" s="2" t="s">
        <v>194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E0AD-CA5B-4CE0-A212-235A11D73976}">
  <dimension ref="C3:K17"/>
  <sheetViews>
    <sheetView workbookViewId="0"/>
  </sheetViews>
  <sheetFormatPr defaultRowHeight="15" x14ac:dyDescent="0.25"/>
  <cols>
    <col min="3" max="3" width="46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195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196</v>
      </c>
      <c r="D4" s="46" t="s">
        <v>197</v>
      </c>
      <c r="E4" s="46"/>
      <c r="F4" s="46" t="s">
        <v>198</v>
      </c>
      <c r="G4" s="46"/>
      <c r="H4" s="46" t="s">
        <v>199</v>
      </c>
      <c r="I4" s="46"/>
      <c r="J4" s="47" t="s">
        <v>200</v>
      </c>
      <c r="K4" s="47"/>
    </row>
    <row r="5" spans="3:11" ht="63.75" x14ac:dyDescent="0.25">
      <c r="C5" s="48"/>
      <c r="D5" s="49" t="s">
        <v>201</v>
      </c>
      <c r="E5" s="49" t="s">
        <v>202</v>
      </c>
      <c r="F5" s="49" t="s">
        <v>201</v>
      </c>
      <c r="G5" s="49" t="s">
        <v>202</v>
      </c>
      <c r="H5" s="49" t="s">
        <v>201</v>
      </c>
      <c r="I5" s="49" t="s">
        <v>202</v>
      </c>
      <c r="J5" s="50" t="s">
        <v>201</v>
      </c>
      <c r="K5" s="50" t="s">
        <v>202</v>
      </c>
    </row>
    <row r="6" spans="3:11" x14ac:dyDescent="0.25">
      <c r="C6" s="51" t="s">
        <v>203</v>
      </c>
      <c r="D6" s="52">
        <v>37.353400000000001</v>
      </c>
      <c r="E6" s="52">
        <v>13735.335940277286</v>
      </c>
      <c r="F6" s="52">
        <v>14.169499999999999</v>
      </c>
      <c r="G6" s="52">
        <v>14897.821476768848</v>
      </c>
      <c r="H6" s="52">
        <v>15.1562</v>
      </c>
      <c r="I6" s="52">
        <v>20266.194597429847</v>
      </c>
      <c r="J6" s="52">
        <v>11.0388</v>
      </c>
      <c r="K6" s="52">
        <v>154550</v>
      </c>
    </row>
    <row r="7" spans="3:11" x14ac:dyDescent="0.25">
      <c r="C7" s="51" t="s">
        <v>204</v>
      </c>
      <c r="D7" s="52">
        <v>32.195</v>
      </c>
      <c r="E7" s="52">
        <v>13219.5</v>
      </c>
      <c r="F7" s="52">
        <v>14.0097</v>
      </c>
      <c r="G7" s="52">
        <v>14819.222157796923</v>
      </c>
      <c r="H7" s="52">
        <v>17.812899999999999</v>
      </c>
      <c r="I7" s="52">
        <v>22696.779163813007</v>
      </c>
      <c r="J7" s="52">
        <v>12.6022</v>
      </c>
      <c r="K7" s="52">
        <v>339304.13263742492</v>
      </c>
    </row>
    <row r="8" spans="3:11" x14ac:dyDescent="0.25">
      <c r="C8" s="51" t="s">
        <v>205</v>
      </c>
      <c r="D8" s="52">
        <v>28.3888</v>
      </c>
      <c r="E8" s="52">
        <v>12838.88</v>
      </c>
      <c r="F8" s="52">
        <v>12.3499</v>
      </c>
      <c r="G8" s="52">
        <v>14181.366161216205</v>
      </c>
      <c r="H8" s="52">
        <v>16.612400000000001</v>
      </c>
      <c r="I8" s="52">
        <v>21563.719221139781</v>
      </c>
      <c r="J8" s="52">
        <v>12.7684</v>
      </c>
      <c r="K8" s="52">
        <v>354493.99495165388</v>
      </c>
    </row>
    <row r="9" spans="3:11" x14ac:dyDescent="0.25">
      <c r="C9" s="51" t="s">
        <v>206</v>
      </c>
      <c r="D9" s="53">
        <v>112.52</v>
      </c>
      <c r="E9" s="54"/>
      <c r="F9" s="53">
        <v>103.74</v>
      </c>
      <c r="G9" s="54"/>
      <c r="H9" s="53">
        <v>76.260000000000005</v>
      </c>
      <c r="I9" s="54"/>
      <c r="J9" s="53">
        <v>10</v>
      </c>
      <c r="K9" s="54"/>
    </row>
    <row r="11" spans="3:11" ht="15.75" x14ac:dyDescent="0.25">
      <c r="C11" s="43" t="s">
        <v>207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196</v>
      </c>
      <c r="D12" s="46" t="s">
        <v>197</v>
      </c>
      <c r="E12" s="46"/>
      <c r="F12" s="46" t="s">
        <v>198</v>
      </c>
      <c r="G12" s="46"/>
      <c r="H12" s="46" t="s">
        <v>199</v>
      </c>
      <c r="I12" s="46"/>
      <c r="J12" s="47" t="s">
        <v>200</v>
      </c>
      <c r="K12" s="47"/>
    </row>
    <row r="13" spans="3:11" ht="63.75" x14ac:dyDescent="0.25">
      <c r="C13" s="48"/>
      <c r="D13" s="49" t="s">
        <v>201</v>
      </c>
      <c r="E13" s="49" t="s">
        <v>202</v>
      </c>
      <c r="F13" s="49" t="s">
        <v>201</v>
      </c>
      <c r="G13" s="49" t="s">
        <v>202</v>
      </c>
      <c r="H13" s="49" t="s">
        <v>201</v>
      </c>
      <c r="I13" s="49" t="s">
        <v>202</v>
      </c>
      <c r="J13" s="50" t="s">
        <v>201</v>
      </c>
      <c r="K13" s="50" t="s">
        <v>202</v>
      </c>
    </row>
    <row r="14" spans="3:11" x14ac:dyDescent="0.25">
      <c r="C14" s="51" t="s">
        <v>203</v>
      </c>
      <c r="D14" s="52">
        <v>37.492600000000003</v>
      </c>
      <c r="E14" s="52">
        <v>13749.263281973565</v>
      </c>
      <c r="F14" s="52">
        <v>14.2712</v>
      </c>
      <c r="G14" s="52">
        <v>14937.797292352729</v>
      </c>
      <c r="H14" s="52">
        <v>15.281499999999999</v>
      </c>
      <c r="I14" s="52">
        <v>20376.840529074121</v>
      </c>
      <c r="J14" s="52">
        <v>11.562799999999999</v>
      </c>
      <c r="K14" s="52">
        <v>36680.143755615456</v>
      </c>
    </row>
    <row r="15" spans="3:11" x14ac:dyDescent="0.25">
      <c r="C15" s="51" t="s">
        <v>204</v>
      </c>
      <c r="D15" s="52">
        <v>32.195</v>
      </c>
      <c r="E15" s="52">
        <v>13219.5</v>
      </c>
      <c r="F15" s="52">
        <v>14.0097</v>
      </c>
      <c r="G15" s="52">
        <v>14819.222157796923</v>
      </c>
      <c r="H15" s="52">
        <v>17.812899999999999</v>
      </c>
      <c r="I15" s="52">
        <v>22696.779163813007</v>
      </c>
      <c r="J15" s="52">
        <v>14.4307</v>
      </c>
      <c r="K15" s="52">
        <v>49286.369812884266</v>
      </c>
    </row>
    <row r="16" spans="3:11" x14ac:dyDescent="0.25">
      <c r="C16" s="51" t="s">
        <v>205</v>
      </c>
      <c r="D16" s="52">
        <v>28.3888</v>
      </c>
      <c r="E16" s="52">
        <v>12838.88</v>
      </c>
      <c r="F16" s="52">
        <v>12.3499</v>
      </c>
      <c r="G16" s="52">
        <v>14181.366161216205</v>
      </c>
      <c r="H16" s="52">
        <v>16.612400000000001</v>
      </c>
      <c r="I16" s="52">
        <v>21563.719221139781</v>
      </c>
      <c r="J16" s="52">
        <v>13.8811</v>
      </c>
      <c r="K16" s="52">
        <v>46557.050107084506</v>
      </c>
    </row>
    <row r="17" spans="3:11" x14ac:dyDescent="0.25">
      <c r="C17" s="55" t="s">
        <v>208</v>
      </c>
      <c r="D17" s="53">
        <v>118.77</v>
      </c>
      <c r="E17" s="54"/>
      <c r="F17" s="53">
        <v>109.32</v>
      </c>
      <c r="G17" s="54"/>
      <c r="H17" s="53">
        <v>80.14</v>
      </c>
      <c r="I17" s="54"/>
      <c r="J17" s="53">
        <v>44.52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2024-11-06T11:46:33Z</dcterms:created>
  <dcterms:modified xsi:type="dcterms:W3CDTF">2024-11-07T05:31:28Z</dcterms:modified>
</cp:coreProperties>
</file>