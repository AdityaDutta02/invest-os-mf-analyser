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BF-Risk-o-meter &amp; Portfolio" sheetId="1" r:id="rId1"/>
    <sheet name="TBF - 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Portfolio'!$C$8:$C$38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Portfolio'!$D$10:$D$80</definedName>
    <definedName name="XDO_?FINAL_MV?">'TBF-Risk-o-meter &amp; Portfolio'!$H$10:$H$80</definedName>
    <definedName name="XDO_?FINAL_NAME?">'TBF-Risk-o-meter &amp; Portfolio'!$C$10:$C$80</definedName>
    <definedName name="XDO_?FINAL_PER_NET?">'TBF-Risk-o-meter &amp; Portfolio'!$I$10:$I$80</definedName>
    <definedName name="XDO_?FINAL_QUANTITE?">'TBF-Risk-o-meter &amp; Portfolio'!$G$10:$G$80</definedName>
    <definedName name="XDO_?IND_01?">'TBF-Risk-o-meter &amp; Portfolio'!$F$10:$F$80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Portfolio'!$C$2:$C$38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Portfolio'!$B$10:$B$80</definedName>
    <definedName name="XDO_?NPTF?">'TBF-Risk-o-meter &amp; Portfolio'!$D$2:$D$38</definedName>
    <definedName name="XDO_?RATING?">'TBF-Risk-o-meter &amp; Portfolio'!$E$10:$E$80</definedName>
    <definedName name="XDO_?REMARKS?">'TBF-Risk-o-meter &amp; Portfolio'!$J$10:$J$80</definedName>
    <definedName name="XDO_?TDATE?">'TBF-Risk-o-meter &amp; Portfolio'!$D$4</definedName>
    <definedName name="XDO_?TITL?">'TBF-Risk-o-meter &amp; Portfolio'!$A$8:$A$38</definedName>
    <definedName name="XDO_GROUP_?G_2?">'TBF-Risk-o-meter &amp; Portfolio'!$2:$83</definedName>
    <definedName name="XDO_GROUP_?G_3?">'TBF-Risk-o-meter &amp; Portfolio'!$8:$82</definedName>
    <definedName name="XDO_GROUP_?G_4?">'TBF-Risk-o-meter &amp; Portfolio'!$B$80:$IV$80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83" i="1"/>
</calcChain>
</file>

<file path=xl/sharedStrings.xml><?xml version="1.0" encoding="utf-8"?>
<sst xmlns="http://schemas.openxmlformats.org/spreadsheetml/2006/main" count="227" uniqueCount="165">
  <si>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</si>
  <si>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</si>
  <si>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</si>
  <si>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</si>
  <si>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</si>
  <si>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</si>
  <si>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</si>
  <si>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</si>
  <si>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</si>
  <si>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</si>
  <si>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</si>
  <si>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</si>
  <si>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</si>
  <si>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</si>
  <si>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</si>
  <si>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100108</t>
  </si>
  <si>
    <t>Adani Ports and Special Economic Zone Ltd.</t>
  </si>
  <si>
    <t>INE742F01042</t>
  </si>
  <si>
    <t>Transport Infrastructure</t>
  </si>
  <si>
    <t>100014</t>
  </si>
  <si>
    <t>Mahindra &amp; Mahindra Ltd.</t>
  </si>
  <si>
    <t>INE101A01026</t>
  </si>
  <si>
    <t>Automobiles</t>
  </si>
  <si>
    <t>100027</t>
  </si>
  <si>
    <t>Pidilite Industries Ltd.</t>
  </si>
  <si>
    <t>INE318A01026</t>
  </si>
  <si>
    <t>Chemicals &amp; Petrochemicals</t>
  </si>
  <si>
    <t>100418</t>
  </si>
  <si>
    <t>Adani Enterprises Ltd.</t>
  </si>
  <si>
    <t>INE423A01024</t>
  </si>
  <si>
    <t>Metals &amp; Minerals Trading</t>
  </si>
  <si>
    <t>100012</t>
  </si>
  <si>
    <t>ICICI Bank Ltd.</t>
  </si>
  <si>
    <t>INE090A01021</t>
  </si>
  <si>
    <t>Banks</t>
  </si>
  <si>
    <t>100115</t>
  </si>
  <si>
    <t>Siemens Ltd.</t>
  </si>
  <si>
    <t>INE003A01024</t>
  </si>
  <si>
    <t>Electrical Equipment</t>
  </si>
  <si>
    <t>100302</t>
  </si>
  <si>
    <t>DLF Ltd.</t>
  </si>
  <si>
    <t>INE271C01023</t>
  </si>
  <si>
    <t>Realty</t>
  </si>
  <si>
    <t>100001</t>
  </si>
  <si>
    <t>Housing Development Finance Corporation Ltd.</t>
  </si>
  <si>
    <t>INE001A01036</t>
  </si>
  <si>
    <t>Finance</t>
  </si>
  <si>
    <t>100008</t>
  </si>
  <si>
    <t>Sun Pharmaceutical Industries Ltd.</t>
  </si>
  <si>
    <t>INE044A01036</t>
  </si>
  <si>
    <t>Pharmaceuticals &amp; Biotechnology</t>
  </si>
  <si>
    <t>100095</t>
  </si>
  <si>
    <t>Bharti Airtel Ltd.</t>
  </si>
  <si>
    <t>INE397D01024</t>
  </si>
  <si>
    <t>Telecom - Services</t>
  </si>
  <si>
    <t>100273</t>
  </si>
  <si>
    <t>Havells India Ltd.</t>
  </si>
  <si>
    <t>INE176B01034</t>
  </si>
  <si>
    <t>Consumer Durables</t>
  </si>
  <si>
    <t>100183</t>
  </si>
  <si>
    <t>Vedanta Ltd.</t>
  </si>
  <si>
    <t>INE205A01025</t>
  </si>
  <si>
    <t>Diversified Metals</t>
  </si>
  <si>
    <t>100003</t>
  </si>
  <si>
    <t>Infosys Ltd.</t>
  </si>
  <si>
    <t>INE009A01021</t>
  </si>
  <si>
    <t>IT - Software</t>
  </si>
  <si>
    <t>100109</t>
  </si>
  <si>
    <t>Piramal Enterprises Ltd.</t>
  </si>
  <si>
    <t>INE140A01024</t>
  </si>
  <si>
    <t>100180</t>
  </si>
  <si>
    <t>Hindalco Industries Ltd.</t>
  </si>
  <si>
    <t>INE038A01020</t>
  </si>
  <si>
    <t>Non - Ferrous Metals</t>
  </si>
  <si>
    <t>100104</t>
  </si>
  <si>
    <t>Kotak Mahindra Bank Ltd.</t>
  </si>
  <si>
    <t>INE237A01028</t>
  </si>
  <si>
    <t>100010</t>
  </si>
  <si>
    <t>State Bank of India</t>
  </si>
  <si>
    <t>INE062A01020</t>
  </si>
  <si>
    <t>100235</t>
  </si>
  <si>
    <t>CRISIL Ltd.</t>
  </si>
  <si>
    <t>INE007A01025</t>
  </si>
  <si>
    <t>100002</t>
  </si>
  <si>
    <t>Reliance Industries Ltd.</t>
  </si>
  <si>
    <t>INE002A01018</t>
  </si>
  <si>
    <t>Petroleum Products</t>
  </si>
  <si>
    <t>100505</t>
  </si>
  <si>
    <t>ICICI Prudential Life Insurance Company Ltd.</t>
  </si>
  <si>
    <t>INE726G01019</t>
  </si>
  <si>
    <t>Insurance</t>
  </si>
  <si>
    <t>100006</t>
  </si>
  <si>
    <t>HDFC Bank Ltd.</t>
  </si>
  <si>
    <t>INE040A01034</t>
  </si>
  <si>
    <t>100315</t>
  </si>
  <si>
    <t>Prestige Estates Projects Ltd.</t>
  </si>
  <si>
    <t>INE811K01011</t>
  </si>
  <si>
    <t>101412</t>
  </si>
  <si>
    <t>Punjab Chemicals &amp; Crop Protection Ltd.</t>
  </si>
  <si>
    <t>INE277B01014</t>
  </si>
  <si>
    <t>Fertilizers &amp; Agrochemicals</t>
  </si>
  <si>
    <t>101348</t>
  </si>
  <si>
    <t>Ami Organics Ltd.</t>
  </si>
  <si>
    <t>INE00FF01017</t>
  </si>
  <si>
    <t>100081</t>
  </si>
  <si>
    <t>Titan Company Ltd.</t>
  </si>
  <si>
    <t>INE280A01028</t>
  </si>
  <si>
    <t>100553</t>
  </si>
  <si>
    <t>Kennametal India Ltd.</t>
  </si>
  <si>
    <t>INE717A01029</t>
  </si>
  <si>
    <t>Industrial Manufacturing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</si>
  <si>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</si>
  <si>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</si>
  <si>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</si>
  <si>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</si>
  <si>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</si>
  <si>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</si>
  <si>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</si>
  <si>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</si>
  <si>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101415</t>
  </si>
  <si>
    <t>HINDUSTAN OIL EXPLORATION CO.LTD.</t>
  </si>
  <si>
    <t>INE345A01011</t>
  </si>
  <si>
    <t>Oil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</si>
  <si>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</si>
  <si>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</si>
  <si>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</si>
  <si>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</si>
  <si>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</si>
  <si>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</si>
  <si>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</si>
  <si>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</si>
  <si>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</si>
  <si>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</si>
  <si>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</si>
  <si>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</si>
  <si>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</si>
  <si>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</si>
  <si>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</si>
  <si>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</si>
  <si>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</si>
  <si>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</si>
  <si>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</si>
  <si>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</si>
  <si>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</si>
  <si>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</si>
  <si>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</si>
  <si>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</si>
  <si>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</si>
  <si>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</si>
  <si>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</si>
  <si>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</si>
  <si>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</si>
  <si>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</si>
  <si>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</si>
  <si>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</si>
  <si>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</si>
  <si>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</si>
  <si>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</si>
  <si>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</si>
  <si>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</si>
  <si>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</si>
  <si>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</si>
  <si>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April 29, 2022 : 103.18)</t>
  </si>
  <si>
    <t>Taurus Largecap Equity Fund - Direct Plan Growth Option</t>
  </si>
  <si>
    <t>NAV [Rs.] Per Unit (as on April 29, 2022 : 108.77)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</si>
</sst>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2316480</xdr:rowOff>
    </xdr:from>
    <xdr:to>
      <xdr:col>5</xdr:col>
      <xdr:colOff>89747</xdr:colOff>
      <xdr:row>0</xdr:row>
      <xdr:rowOff>4651248</xdr:rowOff>
    </xdr:to>
    <xdr:pic>
      <xdr:nvPicPr>
        <xdr:cNvPr id="2" name="Picture 1" descr="for half yearly - Taurus Largecap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1648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pril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89"/>
  <sheetViews>
    <sheetView showGridLines="0" tabSelected="1" zoomScale="90" zoomScaleNormal="90" workbookViewId="0">
      <pane ySplit="6" topLeftCell="A7" activePane="bottomLeft" state="frozen"/>
      <selection pane="bottomLeft"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9.2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44681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22403</v>
      </c>
      <c r="H10" s="32">
        <v>191.85</v>
      </c>
      <c r="I10" s="32">
        <v>5.74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20621</v>
      </c>
      <c r="H11" s="32">
        <v>190.13</v>
      </c>
      <c r="I11" s="32">
        <v>5.68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7019</v>
      </c>
      <c r="H12" s="32">
        <v>170.24</v>
      </c>
      <c r="I12" s="32">
        <v>5.09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7277</v>
      </c>
      <c r="H13" s="32">
        <v>169.78</v>
      </c>
      <c r="I13" s="32">
        <v>5.08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22475</v>
      </c>
      <c r="H14" s="32">
        <v>167.11</v>
      </c>
      <c r="I14" s="32">
        <v>5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7097</v>
      </c>
      <c r="H15" s="32">
        <v>161.08000000000001</v>
      </c>
      <c r="I15" s="32">
        <v>4.82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42817</v>
      </c>
      <c r="H16" s="32">
        <v>159.38999999999999</v>
      </c>
      <c r="I16" s="32">
        <v>4.7699999999999996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7137</v>
      </c>
      <c r="H17" s="32">
        <v>159.02000000000001</v>
      </c>
      <c r="I17" s="32">
        <v>4.75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16841</v>
      </c>
      <c r="H18" s="32">
        <v>156.4</v>
      </c>
      <c r="I18" s="32">
        <v>4.68</v>
      </c>
      <c r="J18" s="33"/>
    </row>
    <row r="19" spans="2:10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20938</v>
      </c>
      <c r="H19" s="32">
        <v>154.88</v>
      </c>
      <c r="I19" s="32">
        <v>4.63</v>
      </c>
      <c r="J19" s="33"/>
    </row>
    <row r="20" spans="2:10">
      <c r="B20" s="1" t="s">
        <v>55</v>
      </c>
      <c r="C20" s="20" t="s">
        <v>56</v>
      </c>
      <c r="D20" s="29" t="s">
        <v>57</v>
      </c>
      <c r="E20" s="30"/>
      <c r="F20" s="30" t="s">
        <v>58</v>
      </c>
      <c r="G20" s="31">
        <v>11708</v>
      </c>
      <c r="H20" s="32">
        <v>153.65</v>
      </c>
      <c r="I20" s="32">
        <v>4.59</v>
      </c>
      <c r="J20" s="33"/>
    </row>
    <row r="21" spans="2:10">
      <c r="B21" s="1" t="s">
        <v>59</v>
      </c>
      <c r="C21" s="20" t="s">
        <v>60</v>
      </c>
      <c r="D21" s="29" t="s">
        <v>61</v>
      </c>
      <c r="E21" s="30"/>
      <c r="F21" s="30" t="s">
        <v>62</v>
      </c>
      <c r="G21" s="31">
        <v>35330</v>
      </c>
      <c r="H21" s="32">
        <v>144.29</v>
      </c>
      <c r="I21" s="32">
        <v>4.3099999999999996</v>
      </c>
      <c r="J21" s="33"/>
    </row>
    <row r="22" spans="2:10">
      <c r="B22" s="1" t="s">
        <v>63</v>
      </c>
      <c r="C22" s="20" t="s">
        <v>64</v>
      </c>
      <c r="D22" s="29" t="s">
        <v>65</v>
      </c>
      <c r="E22" s="30"/>
      <c r="F22" s="30" t="s">
        <v>66</v>
      </c>
      <c r="G22" s="31">
        <v>8718</v>
      </c>
      <c r="H22" s="32">
        <v>136.69</v>
      </c>
      <c r="I22" s="32">
        <v>4.09</v>
      </c>
      <c r="J22" s="33"/>
    </row>
    <row r="23" spans="2:10">
      <c r="B23" s="1" t="s">
        <v>67</v>
      </c>
      <c r="C23" s="20" t="s">
        <v>68</v>
      </c>
      <c r="D23" s="29" t="s">
        <v>69</v>
      </c>
      <c r="E23" s="30"/>
      <c r="F23" s="30" t="s">
        <v>46</v>
      </c>
      <c r="G23" s="31">
        <v>6210</v>
      </c>
      <c r="H23" s="32">
        <v>134.22</v>
      </c>
      <c r="I23" s="32">
        <v>4.01</v>
      </c>
      <c r="J23" s="33"/>
    </row>
    <row r="24" spans="2:10">
      <c r="B24" s="1" t="s">
        <v>70</v>
      </c>
      <c r="C24" s="20" t="s">
        <v>71</v>
      </c>
      <c r="D24" s="29" t="s">
        <v>72</v>
      </c>
      <c r="E24" s="30"/>
      <c r="F24" s="30" t="s">
        <v>73</v>
      </c>
      <c r="G24" s="31">
        <v>26622</v>
      </c>
      <c r="H24" s="32">
        <v>128.76</v>
      </c>
      <c r="I24" s="32">
        <v>3.85</v>
      </c>
      <c r="J24" s="33"/>
    </row>
    <row r="25" spans="2:10">
      <c r="B25" s="1" t="s">
        <v>74</v>
      </c>
      <c r="C25" s="20" t="s">
        <v>75</v>
      </c>
      <c r="D25" s="29" t="s">
        <v>76</v>
      </c>
      <c r="E25" s="30"/>
      <c r="F25" s="30" t="s">
        <v>34</v>
      </c>
      <c r="G25" s="31">
        <v>6761</v>
      </c>
      <c r="H25" s="32">
        <v>120.95</v>
      </c>
      <c r="I25" s="32">
        <v>3.62</v>
      </c>
      <c r="J25" s="33"/>
    </row>
    <row r="26" spans="2:10">
      <c r="B26" s="1" t="s">
        <v>77</v>
      </c>
      <c r="C26" s="20" t="s">
        <v>78</v>
      </c>
      <c r="D26" s="29" t="s">
        <v>79</v>
      </c>
      <c r="E26" s="30"/>
      <c r="F26" s="30" t="s">
        <v>34</v>
      </c>
      <c r="G26" s="31">
        <v>24275</v>
      </c>
      <c r="H26" s="32">
        <v>120.53</v>
      </c>
      <c r="I26" s="32">
        <v>3.6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46</v>
      </c>
      <c r="G27" s="31">
        <v>2451</v>
      </c>
      <c r="H27" s="32">
        <v>90.33</v>
      </c>
      <c r="I27" s="32">
        <v>2.7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3153</v>
      </c>
      <c r="H28" s="32">
        <v>87.99</v>
      </c>
      <c r="I28" s="32">
        <v>2.63</v>
      </c>
      <c r="J28" s="33"/>
    </row>
    <row r="29" spans="2:10">
      <c r="B29" s="1" t="s">
        <v>87</v>
      </c>
      <c r="C29" s="20" t="s">
        <v>88</v>
      </c>
      <c r="D29" s="29" t="s">
        <v>89</v>
      </c>
      <c r="E29" s="30"/>
      <c r="F29" s="30" t="s">
        <v>90</v>
      </c>
      <c r="G29" s="31">
        <v>15260</v>
      </c>
      <c r="H29" s="32">
        <v>80.31</v>
      </c>
      <c r="I29" s="32">
        <v>2.4</v>
      </c>
      <c r="J29" s="33"/>
    </row>
    <row r="30" spans="2:10">
      <c r="B30" s="1" t="s">
        <v>91</v>
      </c>
      <c r="C30" s="20" t="s">
        <v>92</v>
      </c>
      <c r="D30" s="29" t="s">
        <v>93</v>
      </c>
      <c r="E30" s="30"/>
      <c r="F30" s="30" t="s">
        <v>34</v>
      </c>
      <c r="G30" s="31">
        <v>5486</v>
      </c>
      <c r="H30" s="32">
        <v>75.97</v>
      </c>
      <c r="I30" s="32">
        <v>2.27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42</v>
      </c>
      <c r="G31" s="31">
        <v>15092</v>
      </c>
      <c r="H31" s="32">
        <v>71.58</v>
      </c>
      <c r="I31" s="32">
        <v>2.14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3489</v>
      </c>
      <c r="H32" s="32">
        <v>49.5</v>
      </c>
      <c r="I32" s="32">
        <v>1.48</v>
      </c>
      <c r="J32" s="33"/>
    </row>
    <row r="33" spans="2:10">
      <c r="B33" s="1" t="s">
        <v>101</v>
      </c>
      <c r="C33" s="20" t="s">
        <v>102</v>
      </c>
      <c r="D33" s="29" t="s">
        <v>103</v>
      </c>
      <c r="E33" s="30"/>
      <c r="F33" s="30" t="s">
        <v>50</v>
      </c>
      <c r="G33" s="31">
        <v>4225</v>
      </c>
      <c r="H33" s="32">
        <v>47.95</v>
      </c>
      <c r="I33" s="32">
        <v>1.43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58</v>
      </c>
      <c r="G34" s="31">
        <v>1795</v>
      </c>
      <c r="H34" s="32">
        <v>44.14</v>
      </c>
      <c r="I34" s="32">
        <v>1.32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1981</v>
      </c>
      <c r="H35" s="32">
        <v>37.76</v>
      </c>
      <c r="I35" s="32">
        <v>1.1299999999999999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12803</v>
      </c>
      <c r="H36" s="32">
        <v>33.200000000000003</v>
      </c>
      <c r="I36" s="32">
        <v>0.99</v>
      </c>
      <c r="J36" s="33"/>
    </row>
    <row r="37" spans="2:10">
      <c r="B37" s="1" t="s">
        <v>115</v>
      </c>
      <c r="C37" s="20" t="s">
        <v>116</v>
      </c>
      <c r="D37" s="29" t="s">
        <v>117</v>
      </c>
      <c r="E37" s="30"/>
      <c r="F37" s="30" t="s">
        <v>118</v>
      </c>
      <c r="G37" s="31">
        <v>1943</v>
      </c>
      <c r="H37" s="32">
        <v>32.950000000000003</v>
      </c>
      <c r="I37" s="32">
        <v>0.99</v>
      </c>
      <c r="J37" s="33"/>
    </row>
    <row r="38" spans="2:10">
      <c r="B38" s="1" t="s">
        <v>119</v>
      </c>
      <c r="C38" s="20" t="s">
        <v>120</v>
      </c>
      <c r="D38" s="29" t="s">
        <v>121</v>
      </c>
      <c r="E38" s="30"/>
      <c r="F38" s="30" t="s">
        <v>122</v>
      </c>
      <c r="G38" s="31">
        <v>11070</v>
      </c>
      <c r="H38" s="32">
        <v>22.39</v>
      </c>
      <c r="I38" s="32">
        <v>0.67</v>
      </c>
      <c r="J38" s="33"/>
    </row>
    <row r="39" spans="2:10">
      <c r="C39" s="28" t="s">
        <v>123</v>
      </c>
      <c r="D39" s="29"/>
      <c r="E39" s="30"/>
      <c r="F39" s="30"/>
      <c r="G39" s="31"/>
      <c r="H39" s="35">
        <v>3293.04</v>
      </c>
      <c r="I39" s="35">
        <v>98.46</v>
      </c>
      <c r="J39" s="33"/>
    </row>
    <row r="40" spans="2:10">
      <c r="C40" s="20"/>
      <c r="D40" s="29"/>
      <c r="E40" s="30"/>
      <c r="F40" s="30"/>
      <c r="G40" s="31"/>
      <c r="H40" s="32"/>
      <c r="I40" s="32"/>
      <c r="J40" s="33"/>
    </row>
    <row r="41" spans="2:10">
      <c r="C41" s="28" t="s">
        <v>124</v>
      </c>
      <c r="D41" s="29"/>
      <c r="E41" s="30"/>
      <c r="F41" s="30"/>
      <c r="G41" s="31"/>
      <c r="H41" s="32" t="s">
        <v>125</v>
      </c>
      <c r="I41" s="32" t="s">
        <v>125</v>
      </c>
      <c r="J41" s="33"/>
    </row>
    <row r="42" spans="2:10">
      <c r="C42" s="20"/>
      <c r="D42" s="29"/>
      <c r="E42" s="30"/>
      <c r="F42" s="30"/>
      <c r="G42" s="31"/>
      <c r="H42" s="32"/>
      <c r="I42" s="32"/>
      <c r="J42" s="33"/>
    </row>
    <row r="43" spans="2:10">
      <c r="C43" s="28" t="s">
        <v>126</v>
      </c>
      <c r="D43" s="29"/>
      <c r="E43" s="30"/>
      <c r="F43" s="30"/>
      <c r="G43" s="31"/>
      <c r="H43" s="32" t="s">
        <v>125</v>
      </c>
      <c r="I43" s="32" t="s">
        <v>125</v>
      </c>
      <c r="J43" s="33"/>
    </row>
    <row r="44" spans="2:10">
      <c r="C44" s="20"/>
      <c r="D44" s="29"/>
      <c r="E44" s="30"/>
      <c r="F44" s="30"/>
      <c r="G44" s="31"/>
      <c r="H44" s="32"/>
      <c r="I44" s="32"/>
      <c r="J44" s="33"/>
    </row>
    <row r="45" spans="2:10">
      <c r="C45" s="28" t="s">
        <v>127</v>
      </c>
      <c r="D45" s="29"/>
      <c r="E45" s="30"/>
      <c r="F45" s="30"/>
      <c r="G45" s="31"/>
      <c r="H45" s="32"/>
      <c r="I45" s="32"/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128</v>
      </c>
      <c r="D47" s="29"/>
      <c r="E47" s="30"/>
      <c r="F47" s="30"/>
      <c r="G47" s="31"/>
      <c r="H47" s="32" t="s">
        <v>125</v>
      </c>
      <c r="I47" s="32" t="s">
        <v>125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129</v>
      </c>
      <c r="D49" s="29"/>
      <c r="E49" s="30"/>
      <c r="F49" s="30"/>
      <c r="G49" s="31"/>
      <c r="H49" s="32" t="s">
        <v>125</v>
      </c>
      <c r="I49" s="32" t="s">
        <v>125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130</v>
      </c>
      <c r="D51" s="29"/>
      <c r="E51" s="30"/>
      <c r="F51" s="30"/>
      <c r="G51" s="31"/>
      <c r="H51" s="32" t="s">
        <v>125</v>
      </c>
      <c r="I51" s="32" t="s">
        <v>125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131</v>
      </c>
      <c r="D53" s="29"/>
      <c r="E53" s="30"/>
      <c r="F53" s="30"/>
      <c r="G53" s="31"/>
      <c r="H53" s="32" t="s">
        <v>125</v>
      </c>
      <c r="I53" s="32" t="s">
        <v>125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132</v>
      </c>
      <c r="D55" s="29"/>
      <c r="E55" s="30"/>
      <c r="F55" s="30"/>
      <c r="G55" s="31"/>
      <c r="H55" s="32" t="s">
        <v>125</v>
      </c>
      <c r="I55" s="32" t="s">
        <v>125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133</v>
      </c>
      <c r="D57" s="29"/>
      <c r="E57" s="30"/>
      <c r="F57" s="30"/>
      <c r="G57" s="31"/>
      <c r="H57" s="32"/>
      <c r="I57" s="32"/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134</v>
      </c>
      <c r="D59" s="29"/>
      <c r="E59" s="30"/>
      <c r="F59" s="30"/>
      <c r="G59" s="31"/>
      <c r="H59" s="32" t="s">
        <v>125</v>
      </c>
      <c r="I59" s="32" t="s">
        <v>125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135</v>
      </c>
      <c r="D61" s="29"/>
      <c r="E61" s="30"/>
      <c r="F61" s="30"/>
      <c r="G61" s="31"/>
      <c r="H61" s="32" t="s">
        <v>125</v>
      </c>
      <c r="I61" s="32" t="s">
        <v>125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136</v>
      </c>
      <c r="D63" s="29"/>
      <c r="E63" s="30"/>
      <c r="F63" s="30"/>
      <c r="G63" s="31"/>
      <c r="H63" s="32" t="s">
        <v>125</v>
      </c>
      <c r="I63" s="32" t="s">
        <v>125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C65" s="28" t="s">
        <v>137</v>
      </c>
      <c r="D65" s="29"/>
      <c r="E65" s="30"/>
      <c r="F65" s="30"/>
      <c r="G65" s="31"/>
      <c r="H65" s="32" t="s">
        <v>125</v>
      </c>
      <c r="I65" s="32" t="s">
        <v>125</v>
      </c>
      <c r="J65" s="33"/>
    </row>
    <row r="66" spans="1:10">
      <c r="C66" s="20"/>
      <c r="D66" s="29"/>
      <c r="E66" s="30"/>
      <c r="F66" s="30"/>
      <c r="G66" s="31"/>
      <c r="H66" s="32"/>
      <c r="I66" s="32"/>
      <c r="J66" s="33"/>
    </row>
    <row r="67" spans="1:10">
      <c r="C67" s="28" t="s">
        <v>138</v>
      </c>
      <c r="D67" s="29"/>
      <c r="E67" s="30"/>
      <c r="F67" s="30"/>
      <c r="G67" s="31"/>
      <c r="H67" s="32"/>
      <c r="I67" s="32"/>
      <c r="J67" s="33"/>
    </row>
    <row r="68" spans="1:10">
      <c r="C68" s="20"/>
      <c r="D68" s="29"/>
      <c r="E68" s="30"/>
      <c r="F68" s="30"/>
      <c r="G68" s="31"/>
      <c r="H68" s="32"/>
      <c r="I68" s="32"/>
      <c r="J68" s="33"/>
    </row>
    <row r="69" spans="1:10">
      <c r="C69" s="28" t="s">
        <v>139</v>
      </c>
      <c r="D69" s="29"/>
      <c r="E69" s="30"/>
      <c r="F69" s="30"/>
      <c r="G69" s="31"/>
      <c r="H69" s="32" t="s">
        <v>125</v>
      </c>
      <c r="I69" s="32" t="s">
        <v>125</v>
      </c>
      <c r="J69" s="33"/>
    </row>
    <row r="70" spans="1:10">
      <c r="C70" s="20"/>
      <c r="D70" s="29"/>
      <c r="E70" s="30"/>
      <c r="F70" s="30"/>
      <c r="G70" s="31"/>
      <c r="H70" s="32"/>
      <c r="I70" s="32"/>
      <c r="J70" s="33"/>
    </row>
    <row r="71" spans="1:10">
      <c r="C71" s="28" t="s">
        <v>140</v>
      </c>
      <c r="D71" s="29"/>
      <c r="E71" s="30"/>
      <c r="F71" s="30"/>
      <c r="G71" s="31"/>
      <c r="H71" s="32" t="s">
        <v>125</v>
      </c>
      <c r="I71" s="32" t="s">
        <v>125</v>
      </c>
      <c r="J71" s="33"/>
    </row>
    <row r="72" spans="1:10">
      <c r="C72" s="20"/>
      <c r="D72" s="29"/>
      <c r="E72" s="30"/>
      <c r="F72" s="30"/>
      <c r="G72" s="31"/>
      <c r="H72" s="32"/>
      <c r="I72" s="32"/>
      <c r="J72" s="33"/>
    </row>
    <row r="73" spans="1:10">
      <c r="C73" s="28" t="s">
        <v>141</v>
      </c>
      <c r="D73" s="29"/>
      <c r="E73" s="30"/>
      <c r="F73" s="30"/>
      <c r="G73" s="31"/>
      <c r="H73" s="32" t="s">
        <v>125</v>
      </c>
      <c r="I73" s="32" t="s">
        <v>125</v>
      </c>
      <c r="J73" s="33"/>
    </row>
    <row r="74" spans="1:10">
      <c r="C74" s="20"/>
      <c r="D74" s="29"/>
      <c r="E74" s="30"/>
      <c r="F74" s="30"/>
      <c r="G74" s="31"/>
      <c r="H74" s="32"/>
      <c r="I74" s="32"/>
      <c r="J74" s="33"/>
    </row>
    <row r="75" spans="1:10">
      <c r="C75" s="28" t="s">
        <v>142</v>
      </c>
      <c r="D75" s="29"/>
      <c r="E75" s="30"/>
      <c r="F75" s="30"/>
      <c r="G75" s="31"/>
      <c r="H75" s="32" t="s">
        <v>125</v>
      </c>
      <c r="I75" s="32" t="s">
        <v>125</v>
      </c>
      <c r="J75" s="33"/>
    </row>
    <row r="76" spans="1:10">
      <c r="C76" s="20"/>
      <c r="D76" s="29"/>
      <c r="E76" s="30"/>
      <c r="F76" s="30"/>
      <c r="G76" s="31"/>
      <c r="H76" s="32"/>
      <c r="I76" s="32"/>
      <c r="J76" s="33"/>
    </row>
    <row r="77" spans="1:10">
      <c r="C77" s="28" t="s">
        <v>143</v>
      </c>
      <c r="D77" s="29"/>
      <c r="E77" s="30"/>
      <c r="F77" s="30"/>
      <c r="G77" s="31"/>
      <c r="H77" s="32" t="s">
        <v>125</v>
      </c>
      <c r="I77" s="32" t="s">
        <v>125</v>
      </c>
      <c r="J77" s="33"/>
    </row>
    <row r="78" spans="1:10">
      <c r="C78" s="20"/>
      <c r="D78" s="29"/>
      <c r="E78" s="30"/>
      <c r="F78" s="30"/>
      <c r="G78" s="31"/>
      <c r="H78" s="32"/>
      <c r="I78" s="32"/>
      <c r="J78" s="33"/>
    </row>
    <row r="79" spans="1:10">
      <c r="A79" s="26"/>
      <c r="B79" s="27"/>
      <c r="C79" s="28" t="s">
        <v>144</v>
      </c>
      <c r="D79" s="29"/>
      <c r="E79" s="30"/>
      <c r="F79" s="30"/>
      <c r="G79" s="31"/>
      <c r="H79" s="32"/>
      <c r="I79" s="32"/>
      <c r="J79" s="33"/>
    </row>
    <row r="80" spans="1:10">
      <c r="B80" s="1"/>
      <c r="C80" s="20" t="s">
        <v>145</v>
      </c>
      <c r="D80" s="29"/>
      <c r="E80" s="30"/>
      <c r="F80" s="30"/>
      <c r="G80" s="31"/>
      <c r="H80" s="32">
        <v>51.72</v>
      </c>
      <c r="I80" s="32">
        <v>1.54</v>
      </c>
      <c r="J80" s="33"/>
    </row>
    <row r="81" spans="3:10">
      <c r="C81" s="28" t="s">
        <v>123</v>
      </c>
      <c r="D81" s="29"/>
      <c r="E81" s="30"/>
      <c r="F81" s="30"/>
      <c r="G81" s="31"/>
      <c r="H81" s="35">
        <v>51.72</v>
      </c>
      <c r="I81" s="35">
        <v>1.54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 ht="13.8" thickBot="1">
      <c r="C83" s="36" t="s">
        <v>146</v>
      </c>
      <c r="D83" s="37"/>
      <c r="E83" s="38"/>
      <c r="F83" s="39"/>
      <c r="G83" s="40"/>
      <c r="H83" s="41">
        <v>3344.76</v>
      </c>
      <c r="I83" s="41">
        <f>SUMIFS(I:I,C:C,"Total")</f>
        <v>100</v>
      </c>
      <c r="J83" s="42"/>
    </row>
    <row r="86" spans="3:10">
      <c r="C86" s="11" t="s">
        <v>147</v>
      </c>
    </row>
    <row r="87" spans="3:10">
      <c r="C87" s="2" t="s">
        <v>148</v>
      </c>
    </row>
    <row r="88" spans="3:10">
      <c r="C88" s="2" t="s">
        <v>149</v>
      </c>
    </row>
    <row r="89" spans="3:10">
      <c r="C89" s="2" t="s">
        <v>150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:I18"/>
    </sheetView>
  </sheetViews>
  <sheetFormatPr defaultRowHeight="14.4"/>
  <cols>
    <col min="1" max="1" width="44.664062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3" t="s">
        <v>151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152</v>
      </c>
      <c r="B5" s="46" t="s">
        <v>153</v>
      </c>
      <c r="C5" s="46"/>
      <c r="D5" s="46" t="s">
        <v>154</v>
      </c>
      <c r="E5" s="46"/>
      <c r="F5" s="46" t="s">
        <v>155</v>
      </c>
      <c r="G5" s="46"/>
      <c r="H5" s="46" t="s">
        <v>156</v>
      </c>
      <c r="I5" s="46"/>
    </row>
    <row r="6" spans="1:9" ht="66">
      <c r="A6" s="47"/>
      <c r="B6" s="48" t="s">
        <v>157</v>
      </c>
      <c r="C6" s="48" t="s">
        <v>158</v>
      </c>
      <c r="D6" s="48" t="s">
        <v>157</v>
      </c>
      <c r="E6" s="48" t="s">
        <v>158</v>
      </c>
      <c r="F6" s="48" t="s">
        <v>157</v>
      </c>
      <c r="G6" s="48" t="s">
        <v>158</v>
      </c>
      <c r="H6" s="48" t="s">
        <v>157</v>
      </c>
      <c r="I6" s="48" t="s">
        <v>158</v>
      </c>
    </row>
    <row r="7" spans="1:9">
      <c r="A7" s="49" t="s">
        <v>159</v>
      </c>
      <c r="B7" s="50">
        <v>17.436831322558621</v>
      </c>
      <c r="C7" s="50">
        <v>11743.683132255861</v>
      </c>
      <c r="D7" s="50">
        <v>11.223713222845898</v>
      </c>
      <c r="E7" s="50">
        <v>13759.167889051874</v>
      </c>
      <c r="F7" s="50">
        <v>8.3830430239729239</v>
      </c>
      <c r="G7" s="50">
        <v>14962.296983758704</v>
      </c>
      <c r="H7" s="50">
        <v>10.462188092538005</v>
      </c>
      <c r="I7" s="50">
        <v>103180</v>
      </c>
    </row>
    <row r="8" spans="1:9">
      <c r="A8" s="49" t="s">
        <v>160</v>
      </c>
      <c r="B8" s="50">
        <v>19.893160110968267</v>
      </c>
      <c r="C8" s="50">
        <v>11989.316011096827</v>
      </c>
      <c r="D8" s="50">
        <v>15.425134116734785</v>
      </c>
      <c r="E8" s="50">
        <v>15378.046278807131</v>
      </c>
      <c r="F8" s="50">
        <v>14.119563114777911</v>
      </c>
      <c r="G8" s="50">
        <v>19355.326506704787</v>
      </c>
      <c r="H8" s="50">
        <v>12.136942282003904</v>
      </c>
      <c r="I8" s="50">
        <v>225085.2918290651</v>
      </c>
    </row>
    <row r="9" spans="1:9">
      <c r="A9" s="49" t="s">
        <v>161</v>
      </c>
      <c r="B9" s="50">
        <v>18.238557925494668</v>
      </c>
      <c r="C9" s="50">
        <v>11823.855792549466</v>
      </c>
      <c r="D9" s="50">
        <v>14.671835507293384</v>
      </c>
      <c r="E9" s="50">
        <v>15078.921921285202</v>
      </c>
      <c r="F9" s="50">
        <v>14.338153723198266</v>
      </c>
      <c r="G9" s="50">
        <v>19541.409054914937</v>
      </c>
      <c r="H9" s="50">
        <v>12.21115163437425</v>
      </c>
      <c r="I9" s="50">
        <v>229169.71423026235</v>
      </c>
    </row>
    <row r="10" spans="1:9">
      <c r="A10" s="49" t="s">
        <v>162</v>
      </c>
      <c r="B10" s="51">
        <v>87.86</v>
      </c>
      <c r="C10" s="52"/>
      <c r="D10" s="51">
        <v>74.989999999999995</v>
      </c>
      <c r="E10" s="52"/>
      <c r="F10" s="51">
        <v>68.959999999999994</v>
      </c>
      <c r="G10" s="52"/>
      <c r="H10" s="51">
        <v>10</v>
      </c>
      <c r="I10" s="52"/>
    </row>
    <row r="12" spans="1:9" ht="15.6">
      <c r="A12" s="43" t="s">
        <v>163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152</v>
      </c>
      <c r="B13" s="46" t="s">
        <v>153</v>
      </c>
      <c r="C13" s="46"/>
      <c r="D13" s="46" t="s">
        <v>154</v>
      </c>
      <c r="E13" s="46"/>
      <c r="F13" s="46" t="s">
        <v>155</v>
      </c>
      <c r="G13" s="46"/>
      <c r="H13" s="46" t="s">
        <v>156</v>
      </c>
      <c r="I13" s="46"/>
    </row>
    <row r="14" spans="1:9" ht="66">
      <c r="A14" s="47"/>
      <c r="B14" s="48" t="s">
        <v>157</v>
      </c>
      <c r="C14" s="48" t="s">
        <v>158</v>
      </c>
      <c r="D14" s="48" t="s">
        <v>157</v>
      </c>
      <c r="E14" s="48" t="s">
        <v>158</v>
      </c>
      <c r="F14" s="48" t="s">
        <v>157</v>
      </c>
      <c r="G14" s="48" t="s">
        <v>158</v>
      </c>
      <c r="H14" s="48" t="s">
        <v>157</v>
      </c>
      <c r="I14" s="48" t="s">
        <v>158</v>
      </c>
    </row>
    <row r="15" spans="1:9">
      <c r="A15" s="49" t="s">
        <v>159</v>
      </c>
      <c r="B15" s="50">
        <v>17.538361789496413</v>
      </c>
      <c r="C15" s="50">
        <v>11753.836178949643</v>
      </c>
      <c r="D15" s="50">
        <v>11.389639582471967</v>
      </c>
      <c r="E15" s="50">
        <v>13820.838627700126</v>
      </c>
      <c r="F15" s="50">
        <v>8.7580522905774227</v>
      </c>
      <c r="G15" s="50">
        <v>15223.233030090971</v>
      </c>
      <c r="H15" s="50">
        <v>10.052283930730056</v>
      </c>
      <c r="I15" s="50">
        <v>24431.716082659477</v>
      </c>
    </row>
    <row r="16" spans="1:9">
      <c r="A16" s="49" t="s">
        <v>160</v>
      </c>
      <c r="B16" s="50">
        <v>19.893160110968267</v>
      </c>
      <c r="C16" s="50">
        <v>11989.316011096827</v>
      </c>
      <c r="D16" s="50">
        <v>15.425134116734785</v>
      </c>
      <c r="E16" s="50">
        <v>15378.046278807131</v>
      </c>
      <c r="F16" s="50">
        <v>14.119563114777911</v>
      </c>
      <c r="G16" s="50">
        <v>19355.326506704787</v>
      </c>
      <c r="H16" s="50">
        <v>13.581003850489083</v>
      </c>
      <c r="I16" s="50">
        <v>32793.101934612772</v>
      </c>
    </row>
    <row r="17" spans="1:9">
      <c r="A17" s="49" t="s">
        <v>161</v>
      </c>
      <c r="B17" s="50">
        <v>18.238557925494668</v>
      </c>
      <c r="C17" s="50">
        <v>11823.855792549466</v>
      </c>
      <c r="D17" s="50">
        <v>14.671835507293384</v>
      </c>
      <c r="E17" s="50">
        <v>15078.921921285202</v>
      </c>
      <c r="F17" s="50">
        <v>14.338153723198266</v>
      </c>
      <c r="G17" s="50">
        <v>19541.409054914937</v>
      </c>
      <c r="H17" s="50">
        <v>13.25838922860283</v>
      </c>
      <c r="I17" s="50">
        <v>31934.627324356032</v>
      </c>
    </row>
    <row r="18" spans="1:9">
      <c r="A18" s="49" t="s">
        <v>164</v>
      </c>
      <c r="B18" s="51">
        <v>92.54</v>
      </c>
      <c r="C18" s="52"/>
      <c r="D18" s="51">
        <v>78.7</v>
      </c>
      <c r="E18" s="52"/>
      <c r="F18" s="51">
        <v>71.45</v>
      </c>
      <c r="G18" s="52"/>
      <c r="H18" s="51">
        <v>44.52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 -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2022-05-01T15:11:12Z</dcterms:created>
  <dcterms:modified xsi:type="dcterms:W3CDTF">2022-05-06T05:01:47Z</dcterms:modified>
</cp:coreProperties>
</file>