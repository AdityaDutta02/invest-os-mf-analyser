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B9CE37F8-18AC-49F2-A0C7-E77A95F06058}" xr6:coauthVersionLast="47" xr6:coauthVersionMax="47" xr10:uidLastSave="{00000000-0000-0000-0000-000000000000}"/>
  <bookViews>
    <workbookView xWindow="-120" yWindow="-120" windowWidth="20730" windowHeight="11040" xr2:uid="{872094A4-E970-4928-9C95-B64F4E01AB54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TISF!$C$8:$C$39</definedName>
    <definedName name="XDO_?FINAL_ISIN?8?">TISF!$D$10:$D$39</definedName>
    <definedName name="XDO_?FINAL_ISIN?9?">TISF!$D$10:$D$83</definedName>
    <definedName name="XDO_?FINAL_MV?8?">TISF!$H$10:$H$39</definedName>
    <definedName name="XDO_?FINAL_MV?9?">TISF!$H$10:$H$83</definedName>
    <definedName name="XDO_?FINAL_NAME?8?">TISF!$C$10:$C$39</definedName>
    <definedName name="XDO_?FINAL_NAME?9?">TISF!$C$10:$C$83</definedName>
    <definedName name="XDO_?FINAL_PER_NET?8?">TISF!$I$10:$I$39</definedName>
    <definedName name="XDO_?FINAL_PER_NET?9?">TISF!$I$10:$I$83</definedName>
    <definedName name="XDO_?FINAL_QUANTITE?8?">TISF!$G$10:$G$39</definedName>
    <definedName name="XDO_?FINAL_QUANTITE?9?">TISF!$G$10:$G$83</definedName>
    <definedName name="XDO_?IND_01?8?">TISF!$F$10:$F$39</definedName>
    <definedName name="XDO_?IND_01?9?">TISF!$F$10:$F$83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TISF!$C$2:$C$39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8?">TISF!$B$10:$B$39</definedName>
    <definedName name="XDO_?NOVAL?9?">TISF!$B$10:$B$83</definedName>
    <definedName name="XDO_?NPTF?4?">TISF!$D$2:$D$39</definedName>
    <definedName name="XDO_?RATING?8?">TISF!$E$10:$E$39</definedName>
    <definedName name="XDO_?RATING?9?">TISF!$E$10:$E$83</definedName>
    <definedName name="XDO_?REMARKS?8?">TISF!$J$10:$J$39</definedName>
    <definedName name="XDO_?REMARKS?9?">TISF!$J$10:$J$83</definedName>
    <definedName name="XDO_?TITL?4?">TISF!$A$8:$A$39</definedName>
    <definedName name="XDO_GROUP_?G_2?4?">TISF!$2:$86</definedName>
    <definedName name="XDO_GROUP_?G_3?4?">TISF!$8:$85</definedName>
    <definedName name="XDO_GROUP_?G_4?8?">TISF!$B$10:$IV$39</definedName>
    <definedName name="XDO_GROUP_?G_4?9?">TISF!$B$83:$IV$83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<sst xmlns="http://schemas.openxmlformats.org/spreadsheetml/2006/main" count="262" uniqueCount="188">
  <si>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</si>
  <si>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</si>
  <si>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</si>
  <si>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</si>
  <si>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</si>
  <si>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</si>
  <si>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</si>
  <si>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</si>
  <si>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</si>
  <si>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</si>
  <si>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</si>
  <si>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</si>
  <si>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</si>
  <si>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</si>
  <si>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</si>
  <si>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</si>
  <si>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</si>
  <si>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</si>
  <si>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</si>
  <si>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</si>
  <si>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</si>
  <si>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</si>
  <si>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</si>
  <si>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</si>
  <si>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</si>
  <si>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</si>
  <si>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</si>
  <si>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100182</t>
  </si>
  <si>
    <t>Power Grid Corporation of India Ltd.</t>
  </si>
  <si>
    <t>INE752E01010</t>
  </si>
  <si>
    <t>Power</t>
  </si>
  <si>
    <t>100292</t>
  </si>
  <si>
    <t>Steel Authority of India Ltd.</t>
  </si>
  <si>
    <t>INE114A01011</t>
  </si>
  <si>
    <t>Ferrous Metals</t>
  </si>
  <si>
    <t>102447</t>
  </si>
  <si>
    <t>Afcons Infrastructure Ltd.</t>
  </si>
  <si>
    <t>INE101I01011</t>
  </si>
  <si>
    <t>100082</t>
  </si>
  <si>
    <t>Ultratech Cement Ltd.</t>
  </si>
  <si>
    <t>INE481G01011</t>
  </si>
  <si>
    <t>Cement &amp; Cement Products</t>
  </si>
  <si>
    <t>100181</t>
  </si>
  <si>
    <t>NTPC Ltd.</t>
  </si>
  <si>
    <t>INE733E01010</t>
  </si>
  <si>
    <t>100177</t>
  </si>
  <si>
    <t>Grasim Industries Ltd.</t>
  </si>
  <si>
    <t>INE047A01021</t>
  </si>
  <si>
    <t>100174</t>
  </si>
  <si>
    <t>Vodafone Idea Ltd.</t>
  </si>
  <si>
    <t>INE669E01016</t>
  </si>
  <si>
    <t>100111</t>
  </si>
  <si>
    <t>Oil &amp; Natural Gas Corporation Ltd.</t>
  </si>
  <si>
    <t>INE213A01029</t>
  </si>
  <si>
    <t>Oil</t>
  </si>
  <si>
    <t>102135</t>
  </si>
  <si>
    <t>Le Travenues Technology Ltd.</t>
  </si>
  <si>
    <t>INE0HV901016</t>
  </si>
  <si>
    <t>Leisure Services</t>
  </si>
  <si>
    <t>100094</t>
  </si>
  <si>
    <t>Bharat Petroleum Corporation Ltd.</t>
  </si>
  <si>
    <t>INE029A01011</t>
  </si>
  <si>
    <t>100418</t>
  </si>
  <si>
    <t>Adani Enterprises Ltd.</t>
  </si>
  <si>
    <t>INE423A01024</t>
  </si>
  <si>
    <t>Metals &amp; Minerals Trading</t>
  </si>
  <si>
    <t>100263</t>
  </si>
  <si>
    <t>BEML Ltd.</t>
  </si>
  <si>
    <t>INE258A01024</t>
  </si>
  <si>
    <t>Agricultural, Commercial &amp; Construction Vehicles</t>
  </si>
  <si>
    <t>100169</t>
  </si>
  <si>
    <t>Indian Oil Corporation Ltd.</t>
  </si>
  <si>
    <t>INE242A01010</t>
  </si>
  <si>
    <t>100465</t>
  </si>
  <si>
    <t>Interglobe Aviation Ltd.</t>
  </si>
  <si>
    <t>INE646L01027</t>
  </si>
  <si>
    <t>Transport Services</t>
  </si>
  <si>
    <t>100100</t>
  </si>
  <si>
    <t>Hindustan Petroleum Corporation Ltd.</t>
  </si>
  <si>
    <t>INE094A01015</t>
  </si>
  <si>
    <t>101365</t>
  </si>
  <si>
    <t>Voltamp Transformers Ltd.</t>
  </si>
  <si>
    <t>INE540H01012</t>
  </si>
  <si>
    <t>Electrical Equipment</t>
  </si>
  <si>
    <t>100430</t>
  </si>
  <si>
    <t>Salzer Electronics Ltd.</t>
  </si>
  <si>
    <t>INE457F01013</t>
  </si>
  <si>
    <t>100694</t>
  </si>
  <si>
    <t>Indian Energy Exchange Ltd.</t>
  </si>
  <si>
    <t>INE022Q01020</t>
  </si>
  <si>
    <t>Capital Markets</t>
  </si>
  <si>
    <t>100809</t>
  </si>
  <si>
    <t>Rites Ltd.</t>
  </si>
  <si>
    <t>INE320J01015</t>
  </si>
  <si>
    <t>102206</t>
  </si>
  <si>
    <t>Chemtech Industrial Valves Ltd.</t>
  </si>
  <si>
    <t>INE212P01011</t>
  </si>
  <si>
    <t>Industrial Manufacturing</t>
  </si>
  <si>
    <t>101184</t>
  </si>
  <si>
    <t>Mazagon Dock Shipbuilders Ltd.</t>
  </si>
  <si>
    <t>INE249Z01020</t>
  </si>
  <si>
    <t>100498</t>
  </si>
  <si>
    <t>Ahluwalia Contracts (India) Ltd.</t>
  </si>
  <si>
    <t>INE758C01029</t>
  </si>
  <si>
    <t>100014</t>
  </si>
  <si>
    <t>Mahindra &amp; Mahindra Ltd.</t>
  </si>
  <si>
    <t>INE101A01026</t>
  </si>
  <si>
    <t>Automobiles</t>
  </si>
  <si>
    <t>101949</t>
  </si>
  <si>
    <t>Samhi Hotels Ltd.</t>
  </si>
  <si>
    <t>INE08U801020</t>
  </si>
  <si>
    <t>100156</t>
  </si>
  <si>
    <t>Finolex Cables Ltd.</t>
  </si>
  <si>
    <t>INE235A01022</t>
  </si>
  <si>
    <t>Industrial Products</t>
  </si>
  <si>
    <t>100560</t>
  </si>
  <si>
    <t>NESCO Ltd.</t>
  </si>
  <si>
    <t>INE317F01035</t>
  </si>
  <si>
    <t>Commercial Services &amp; Supplies</t>
  </si>
  <si>
    <t>102611</t>
  </si>
  <si>
    <t>Kalpataru Ltd.</t>
  </si>
  <si>
    <t>INE227J01012</t>
  </si>
  <si>
    <t>Realty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</si>
  <si>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</si>
  <si>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</si>
  <si>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</si>
  <si>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</si>
  <si>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</si>
  <si>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</si>
  <si>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</si>
  <si>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</si>
  <si>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</si>
  <si>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</si>
  <si>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</si>
  <si>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</si>
  <si>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</si>
  <si>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</si>
  <si>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</si>
  <si>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</si>
  <si>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</si>
  <si>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</si>
  <si>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</si>
  <si>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</si>
  <si>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</si>
  <si>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</si>
  <si>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</si>
  <si>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</si>
  <si>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</si>
  <si>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</si>
  <si>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</si>
  <si>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</si>
  <si>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</si>
  <si>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</si>
  <si>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</si>
  <si>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</si>
  <si>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</si>
  <si>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</si>
  <si>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</si>
  <si>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</si>
  <si>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</si>
  <si>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</si>
  <si>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</si>
  <si>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</si>
  <si>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</si>
  <si>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December 31, 2025.</t>
  </si>
  <si>
    <t>7. The Scheme did not declare any bonus during the month ended as on December 31, 2025.</t>
  </si>
  <si>
    <t>8. Total outstanding exposure in derivative instruments as on December 31, 2025 is Nil</t>
  </si>
  <si>
    <t>9. Total investments in Foreign Securities /ADRs/GDRs /Overseas ETFs as on December 31, 2025 and its percentage to NAV is Nil.</t>
  </si>
  <si>
    <t>10. During the period, the portfolio turnover ratio is 0.67 times.</t>
  </si>
  <si>
    <t>      Portfolio Turnover Ratio = Lower of sales or purchase of securities divided by average AUM for 12 months ended as on 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</si>
  <si>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</si>
  <si>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</si>
  <si>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</si>
  <si>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Infrastructure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</si>
  <si>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</si>
  <si>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</si>
  <si>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</si>
  <si>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</si>
  <si>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</si>
  <si>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</si>
  <si>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</si>
  <si>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</si>
  <si>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</si>
  <si>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</si>
  <si>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</si>
  <si>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December 31,2025 :67.46)</t>
  </si>
  <si>
    <t>Taurus Infrastructure Fund - Direct Plan Growth Option</t>
  </si>
  <si>
    <t>NAV [Rs.] Per Unit (as on December 31,2025 :72.57)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</si>
</sst>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AF950C3D-AEF3-41CE-9683-00829F6B0A9E}"/>
    <cellStyle name="Hyperlink" xfId="2" builtinId="8"/>
    <cellStyle name="Normal" xfId="0" builtinId="0"/>
    <cellStyle name="Normal 2" xfId="4" xr:uid="{E341C0CC-DE8A-4644-BB83-452A3FE13546}"/>
    <cellStyle name="Style 1" xfId="3" xr:uid="{4634F12C-A302-45CA-9227-4BE2B36E92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385064</xdr:colOff>
      <xdr:row>0</xdr:row>
      <xdr:rowOff>2002536</xdr:rowOff>
    </xdr:to>
    <xdr:pic>
      <xdr:nvPicPr>
        <xdr:cNvPr id="2" name="Picture 1" descr="Product Label - 9th Dec 2024 - Infra.jpg">
          <a:extLst>
            <a:ext uri="{FF2B5EF4-FFF2-40B4-BE49-F238E27FC236}">
              <a16:creationId xmlns:a16="http://schemas.microsoft.com/office/drawing/2014/main" id="{CB6C1BE6-46F0-48E5-8E77-47748CD9F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9AA0-878B-4898-957C-18D0DFFEC9C5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103.18</v>
      </c>
      <c r="I10" s="32">
        <v>11.14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4802</v>
      </c>
      <c r="H11" s="32">
        <v>75.36</v>
      </c>
      <c r="I11" s="32">
        <v>8.14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70.19</v>
      </c>
      <c r="I12" s="32">
        <v>7.58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16885</v>
      </c>
      <c r="H13" s="32">
        <v>44.67</v>
      </c>
      <c r="I13" s="32">
        <v>4.82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24533</v>
      </c>
      <c r="H14" s="32">
        <v>36.04</v>
      </c>
      <c r="I14" s="32">
        <v>3.89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26</v>
      </c>
      <c r="G15" s="31">
        <v>8600</v>
      </c>
      <c r="H15" s="32">
        <v>33.270000000000003</v>
      </c>
      <c r="I15" s="32">
        <v>3.59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280</v>
      </c>
      <c r="H16" s="32">
        <v>33</v>
      </c>
      <c r="I16" s="32">
        <v>3.56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30</v>
      </c>
      <c r="G17" s="31">
        <v>8787</v>
      </c>
      <c r="H17" s="32">
        <v>28.95</v>
      </c>
      <c r="I17" s="32">
        <v>3.13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41</v>
      </c>
      <c r="G18" s="31">
        <v>1015</v>
      </c>
      <c r="H18" s="32">
        <v>28.72</v>
      </c>
      <c r="I18" s="32">
        <v>3.1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255518</v>
      </c>
      <c r="H19" s="32">
        <v>27.49</v>
      </c>
      <c r="I19" s="32">
        <v>2.97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11318</v>
      </c>
      <c r="H20" s="32">
        <v>27.19</v>
      </c>
      <c r="I20" s="32">
        <v>2.94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10669</v>
      </c>
      <c r="H21" s="32">
        <v>27.16</v>
      </c>
      <c r="I21" s="32">
        <v>2.93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22</v>
      </c>
      <c r="G22" s="31">
        <v>6894</v>
      </c>
      <c r="H22" s="32">
        <v>26.47</v>
      </c>
      <c r="I22" s="32">
        <v>2.86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1171</v>
      </c>
      <c r="H23" s="32">
        <v>26.22</v>
      </c>
      <c r="I23" s="32">
        <v>2.83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1330</v>
      </c>
      <c r="H24" s="32">
        <v>24.74</v>
      </c>
      <c r="I24" s="32">
        <v>2.67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22</v>
      </c>
      <c r="G25" s="31">
        <v>14625</v>
      </c>
      <c r="H25" s="32">
        <v>24.34</v>
      </c>
      <c r="I25" s="32">
        <v>2.63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469</v>
      </c>
      <c r="H26" s="32">
        <v>23.73</v>
      </c>
      <c r="I26" s="32">
        <v>2.56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22</v>
      </c>
      <c r="G27" s="31">
        <v>4702</v>
      </c>
      <c r="H27" s="32">
        <v>23.46</v>
      </c>
      <c r="I27" s="32">
        <v>2.5299999999999998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293</v>
      </c>
      <c r="H28" s="32">
        <v>22.98</v>
      </c>
      <c r="I28" s="32">
        <v>2.48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83</v>
      </c>
      <c r="G29" s="31">
        <v>3336</v>
      </c>
      <c r="H29" s="32">
        <v>22.86</v>
      </c>
      <c r="I29" s="32">
        <v>2.4700000000000002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15410</v>
      </c>
      <c r="H30" s="32">
        <v>20.69</v>
      </c>
      <c r="I30" s="32">
        <v>2.23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26</v>
      </c>
      <c r="G31" s="31">
        <v>8404</v>
      </c>
      <c r="H31" s="32">
        <v>20.38</v>
      </c>
      <c r="I31" s="32">
        <v>2.2000000000000002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25000</v>
      </c>
      <c r="H32" s="32">
        <v>20.12</v>
      </c>
      <c r="I32" s="32">
        <v>2.17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97</v>
      </c>
      <c r="G33" s="31">
        <v>795</v>
      </c>
      <c r="H33" s="32">
        <v>19.8</v>
      </c>
      <c r="I33" s="32">
        <v>2.14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26</v>
      </c>
      <c r="G34" s="31">
        <v>2005</v>
      </c>
      <c r="H34" s="32">
        <v>19.66</v>
      </c>
      <c r="I34" s="32">
        <v>2.12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523</v>
      </c>
      <c r="H35" s="32">
        <v>19.399999999999999</v>
      </c>
      <c r="I35" s="32">
        <v>2.09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58</v>
      </c>
      <c r="G36" s="31">
        <v>10392</v>
      </c>
      <c r="H36" s="32">
        <v>19</v>
      </c>
      <c r="I36" s="32">
        <v>2.0499999999999998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1903</v>
      </c>
      <c r="H37" s="32">
        <v>14.26</v>
      </c>
      <c r="I37" s="32">
        <v>1.54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815</v>
      </c>
      <c r="H38" s="32">
        <v>10</v>
      </c>
      <c r="I38" s="32">
        <v>1.08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1926</v>
      </c>
      <c r="H39" s="32">
        <v>6.46</v>
      </c>
      <c r="I39" s="32">
        <v>0.7</v>
      </c>
      <c r="J39" s="33"/>
    </row>
    <row r="40" spans="2:10" x14ac:dyDescent="0.25">
      <c r="C40" s="28" t="s">
        <v>123</v>
      </c>
      <c r="D40" s="29"/>
      <c r="E40" s="30"/>
      <c r="F40" s="30"/>
      <c r="G40" s="31"/>
      <c r="H40" s="35">
        <v>899.79</v>
      </c>
      <c r="I40" s="35">
        <v>97.14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124</v>
      </c>
      <c r="D42" s="29"/>
      <c r="E42" s="30"/>
      <c r="F42" s="30"/>
      <c r="G42" s="31"/>
      <c r="H42" s="32" t="s">
        <v>125</v>
      </c>
      <c r="I42" s="32" t="s">
        <v>125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126</v>
      </c>
      <c r="D44" s="29"/>
      <c r="E44" s="30"/>
      <c r="F44" s="30"/>
      <c r="G44" s="31"/>
      <c r="H44" s="32" t="s">
        <v>125</v>
      </c>
      <c r="I44" s="32" t="s">
        <v>125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127</v>
      </c>
      <c r="D46" s="29"/>
      <c r="E46" s="30"/>
      <c r="F46" s="30"/>
      <c r="G46" s="31"/>
      <c r="H46" s="32"/>
      <c r="I46" s="32"/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128</v>
      </c>
      <c r="D48" s="29"/>
      <c r="E48" s="30"/>
      <c r="F48" s="30"/>
      <c r="G48" s="31"/>
      <c r="H48" s="32" t="s">
        <v>125</v>
      </c>
      <c r="I48" s="32" t="s">
        <v>125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129</v>
      </c>
      <c r="D50" s="29"/>
      <c r="E50" s="30"/>
      <c r="F50" s="30"/>
      <c r="G50" s="31"/>
      <c r="H50" s="32" t="s">
        <v>125</v>
      </c>
      <c r="I50" s="32" t="s">
        <v>125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130</v>
      </c>
      <c r="D52" s="29"/>
      <c r="E52" s="30"/>
      <c r="F52" s="30"/>
      <c r="G52" s="31"/>
      <c r="H52" s="32" t="s">
        <v>125</v>
      </c>
      <c r="I52" s="32" t="s">
        <v>125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131</v>
      </c>
      <c r="D54" s="29"/>
      <c r="E54" s="30"/>
      <c r="F54" s="30"/>
      <c r="G54" s="31"/>
      <c r="H54" s="32" t="s">
        <v>125</v>
      </c>
      <c r="I54" s="32" t="s">
        <v>125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132</v>
      </c>
      <c r="D56" s="29"/>
      <c r="E56" s="30"/>
      <c r="F56" s="30"/>
      <c r="G56" s="31"/>
      <c r="H56" s="32" t="s">
        <v>125</v>
      </c>
      <c r="I56" s="32" t="s">
        <v>125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133</v>
      </c>
      <c r="D58" s="29"/>
      <c r="E58" s="30"/>
      <c r="F58" s="30"/>
      <c r="G58" s="31"/>
      <c r="H58" s="32"/>
      <c r="I58" s="32"/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134</v>
      </c>
      <c r="D60" s="29"/>
      <c r="E60" s="30"/>
      <c r="F60" s="30"/>
      <c r="G60" s="31"/>
      <c r="H60" s="32" t="s">
        <v>125</v>
      </c>
      <c r="I60" s="32" t="s">
        <v>125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135</v>
      </c>
      <c r="D62" s="29"/>
      <c r="E62" s="30"/>
      <c r="F62" s="30"/>
      <c r="G62" s="31"/>
      <c r="H62" s="32" t="s">
        <v>125</v>
      </c>
      <c r="I62" s="32" t="s">
        <v>125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136</v>
      </c>
      <c r="D64" s="29"/>
      <c r="E64" s="30"/>
      <c r="F64" s="30"/>
      <c r="G64" s="31"/>
      <c r="H64" s="32" t="s">
        <v>125</v>
      </c>
      <c r="I64" s="32" t="s">
        <v>125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137</v>
      </c>
      <c r="D66" s="29"/>
      <c r="E66" s="30"/>
      <c r="F66" s="30"/>
      <c r="G66" s="31"/>
      <c r="H66" s="32" t="s">
        <v>125</v>
      </c>
      <c r="I66" s="32" t="s">
        <v>125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138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139</v>
      </c>
      <c r="D70" s="29"/>
      <c r="E70" s="30"/>
      <c r="F70" s="30"/>
      <c r="G70" s="31"/>
      <c r="H70" s="32" t="s">
        <v>125</v>
      </c>
      <c r="I70" s="32" t="s">
        <v>125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140</v>
      </c>
      <c r="D72" s="29"/>
      <c r="E72" s="30"/>
      <c r="F72" s="30"/>
      <c r="G72" s="31"/>
      <c r="H72" s="32" t="s">
        <v>125</v>
      </c>
      <c r="I72" s="32" t="s">
        <v>125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141</v>
      </c>
      <c r="D74" s="29"/>
      <c r="E74" s="30"/>
      <c r="F74" s="30"/>
      <c r="G74" s="31"/>
      <c r="H74" s="32" t="s">
        <v>125</v>
      </c>
      <c r="I74" s="32" t="s">
        <v>125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142</v>
      </c>
      <c r="D76" s="29"/>
      <c r="E76" s="30"/>
      <c r="F76" s="30"/>
      <c r="G76" s="31"/>
      <c r="H76" s="32" t="s">
        <v>125</v>
      </c>
      <c r="I76" s="32" t="s">
        <v>125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143</v>
      </c>
      <c r="D78" s="29"/>
      <c r="E78" s="30"/>
      <c r="F78" s="30"/>
      <c r="G78" s="31"/>
      <c r="H78" s="32" t="s">
        <v>125</v>
      </c>
      <c r="I78" s="32" t="s">
        <v>125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144</v>
      </c>
      <c r="D80" s="29"/>
      <c r="E80" s="30"/>
      <c r="F80" s="30"/>
      <c r="G80" s="31"/>
      <c r="H80" s="32" t="s">
        <v>125</v>
      </c>
      <c r="I80" s="32" t="s">
        <v>125</v>
      </c>
      <c r="J80" s="33"/>
    </row>
    <row r="81" spans="1:11" x14ac:dyDescent="0.25">
      <c r="C81" s="20"/>
      <c r="D81" s="29"/>
      <c r="E81" s="30"/>
      <c r="F81" s="30"/>
      <c r="G81" s="31"/>
      <c r="H81" s="32"/>
      <c r="I81" s="32"/>
      <c r="J81" s="33"/>
    </row>
    <row r="82" spans="1:11" x14ac:dyDescent="0.25">
      <c r="A82" s="26"/>
      <c r="B82" s="27"/>
      <c r="C82" s="28" t="s">
        <v>145</v>
      </c>
      <c r="D82" s="29"/>
      <c r="E82" s="30"/>
      <c r="F82" s="30"/>
      <c r="G82" s="31"/>
      <c r="H82" s="32"/>
      <c r="I82" s="32"/>
      <c r="J82" s="33"/>
    </row>
    <row r="83" spans="1:11" x14ac:dyDescent="0.25">
      <c r="B83" s="1"/>
      <c r="C83" s="20" t="s">
        <v>146</v>
      </c>
      <c r="D83" s="29"/>
      <c r="E83" s="30"/>
      <c r="F83" s="30"/>
      <c r="G83" s="31"/>
      <c r="H83" s="32">
        <v>26.43</v>
      </c>
      <c r="I83" s="32">
        <v>2.86</v>
      </c>
      <c r="J83" s="33"/>
    </row>
    <row r="84" spans="1:11" x14ac:dyDescent="0.25">
      <c r="C84" s="28" t="s">
        <v>123</v>
      </c>
      <c r="D84" s="29"/>
      <c r="E84" s="30"/>
      <c r="F84" s="30"/>
      <c r="G84" s="31"/>
      <c r="H84" s="35">
        <v>26.43</v>
      </c>
      <c r="I84" s="35">
        <v>2.86</v>
      </c>
      <c r="J84" s="33"/>
    </row>
    <row r="85" spans="1:11" x14ac:dyDescent="0.25">
      <c r="C85" s="20"/>
      <c r="D85" s="29"/>
      <c r="E85" s="30"/>
      <c r="F85" s="30"/>
      <c r="G85" s="31"/>
      <c r="H85" s="32"/>
      <c r="I85" s="32"/>
      <c r="J85" s="33"/>
    </row>
    <row r="86" spans="1:11" ht="14.25" thickBot="1" x14ac:dyDescent="0.3">
      <c r="C86" s="36" t="s">
        <v>147</v>
      </c>
      <c r="D86" s="37"/>
      <c r="E86" s="38"/>
      <c r="F86" s="39"/>
      <c r="G86" s="40"/>
      <c r="H86" s="41">
        <v>926.22</v>
      </c>
      <c r="I86" s="41">
        <f>SUMIFS(I:I,C:C,"Total")</f>
        <v>100</v>
      </c>
      <c r="J86" s="42"/>
    </row>
    <row r="89" spans="1:11" x14ac:dyDescent="0.25">
      <c r="C89" s="11" t="s">
        <v>148</v>
      </c>
    </row>
    <row r="90" spans="1:11" ht="28.5" customHeight="1" x14ac:dyDescent="0.25">
      <c r="C90" s="60" t="s">
        <v>149</v>
      </c>
      <c r="D90" s="60"/>
      <c r="E90" s="60"/>
      <c r="F90" s="60"/>
      <c r="G90" s="60"/>
      <c r="H90" s="60"/>
      <c r="I90" s="60"/>
      <c r="J90" s="60"/>
      <c r="K90" s="60"/>
    </row>
    <row r="91" spans="1:11" x14ac:dyDescent="0.25">
      <c r="C91" s="2" t="s">
        <v>150</v>
      </c>
    </row>
    <row r="92" spans="1:11" x14ac:dyDescent="0.25">
      <c r="C92" s="2" t="s">
        <v>151</v>
      </c>
    </row>
    <row r="93" spans="1:11" x14ac:dyDescent="0.25">
      <c r="C93" s="2" t="s">
        <v>152</v>
      </c>
    </row>
    <row r="94" spans="1:11" x14ac:dyDescent="0.25">
      <c r="C94" s="2" t="s">
        <v>153</v>
      </c>
    </row>
    <row r="95" spans="1:11" ht="14.25" thickBot="1" x14ac:dyDescent="0.3">
      <c r="C95" s="2" t="s">
        <v>154</v>
      </c>
    </row>
    <row r="96" spans="1:11" ht="14.25" thickBot="1" x14ac:dyDescent="0.3">
      <c r="C96" s="43"/>
      <c r="D96" s="61" t="s">
        <v>155</v>
      </c>
      <c r="E96" s="62"/>
    </row>
    <row r="97" spans="3:5" x14ac:dyDescent="0.25">
      <c r="C97" s="44" t="s">
        <v>156</v>
      </c>
      <c r="D97" s="45" t="s">
        <v>157</v>
      </c>
      <c r="E97" s="46" t="s">
        <v>157</v>
      </c>
    </row>
    <row r="98" spans="3:5" ht="14.25" thickBot="1" x14ac:dyDescent="0.3">
      <c r="C98" s="47"/>
      <c r="D98" s="48" t="s">
        <v>158</v>
      </c>
      <c r="E98" s="49" t="s">
        <v>159</v>
      </c>
    </row>
    <row r="99" spans="3:5" ht="14.25" thickBot="1" x14ac:dyDescent="0.3">
      <c r="C99" s="50" t="s">
        <v>160</v>
      </c>
      <c r="D99" s="51">
        <v>63.84</v>
      </c>
      <c r="E99" s="51">
        <v>63.37</v>
      </c>
    </row>
    <row r="100" spans="3:5" ht="14.25" thickBot="1" x14ac:dyDescent="0.3">
      <c r="C100" s="50" t="s">
        <v>161</v>
      </c>
      <c r="D100" s="51">
        <v>67.97</v>
      </c>
      <c r="E100" s="51">
        <v>67.459999999999994</v>
      </c>
    </row>
    <row r="101" spans="3:5" ht="14.25" thickBot="1" x14ac:dyDescent="0.3">
      <c r="C101" s="50" t="s">
        <v>162</v>
      </c>
      <c r="D101" s="51">
        <v>68.06</v>
      </c>
      <c r="E101" s="51">
        <v>67.58</v>
      </c>
    </row>
    <row r="102" spans="3:5" ht="14.25" thickBot="1" x14ac:dyDescent="0.3">
      <c r="C102" s="50" t="s">
        <v>163</v>
      </c>
      <c r="D102" s="51">
        <v>73.069999999999993</v>
      </c>
      <c r="E102" s="51">
        <v>72.569999999999993</v>
      </c>
    </row>
    <row r="104" spans="3:5" x14ac:dyDescent="0.25">
      <c r="C104" s="2" t="s">
        <v>164</v>
      </c>
    </row>
    <row r="105" spans="3:5" x14ac:dyDescent="0.25">
      <c r="C105" s="2" t="s">
        <v>165</v>
      </c>
    </row>
    <row r="106" spans="3:5" x14ac:dyDescent="0.25">
      <c r="C106" s="2" t="s">
        <v>166</v>
      </c>
    </row>
    <row r="107" spans="3:5" x14ac:dyDescent="0.25">
      <c r="C107" s="2" t="s">
        <v>167</v>
      </c>
    </row>
    <row r="108" spans="3:5" x14ac:dyDescent="0.25">
      <c r="C108" s="2" t="s">
        <v>168</v>
      </c>
    </row>
    <row r="109" spans="3:5" x14ac:dyDescent="0.25">
      <c r="C109" s="2" t="s">
        <v>169</v>
      </c>
    </row>
    <row r="110" spans="3:5" x14ac:dyDescent="0.25">
      <c r="C110" s="2" t="s">
        <v>170</v>
      </c>
    </row>
    <row r="111" spans="3:5" x14ac:dyDescent="0.25">
      <c r="C111" s="2" t="s">
        <v>171</v>
      </c>
    </row>
    <row r="112" spans="3:5" x14ac:dyDescent="0.25">
      <c r="C112" s="2" t="s">
        <v>172</v>
      </c>
    </row>
  </sheetData>
  <mergeCells count="2">
    <mergeCell ref="C90:K90"/>
    <mergeCell ref="D96:E96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07EE-7928-4EB8-93A4-92CFD1435534}">
  <dimension ref="C3:M17"/>
  <sheetViews>
    <sheetView workbookViewId="0"/>
  </sheetViews>
  <sheetFormatPr defaultRowHeight="15" x14ac:dyDescent="0.25"/>
  <cols>
    <col min="3" max="3" width="46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2" t="s">
        <v>173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174</v>
      </c>
      <c r="D4" s="63" t="s">
        <v>175</v>
      </c>
      <c r="E4" s="63"/>
      <c r="F4" s="63" t="s">
        <v>176</v>
      </c>
      <c r="G4" s="63"/>
      <c r="H4" s="63" t="s">
        <v>177</v>
      </c>
      <c r="I4" s="63"/>
      <c r="J4" s="64" t="s">
        <v>178</v>
      </c>
      <c r="K4" s="65"/>
      <c r="L4" s="66" t="s">
        <v>179</v>
      </c>
      <c r="M4" s="66"/>
    </row>
    <row r="5" spans="3:13" ht="63.75" x14ac:dyDescent="0.25">
      <c r="C5" s="55"/>
      <c r="D5" s="56" t="s">
        <v>180</v>
      </c>
      <c r="E5" s="56" t="s">
        <v>181</v>
      </c>
      <c r="F5" s="56" t="s">
        <v>180</v>
      </c>
      <c r="G5" s="56" t="s">
        <v>181</v>
      </c>
      <c r="H5" s="56" t="s">
        <v>180</v>
      </c>
      <c r="I5" s="56" t="s">
        <v>181</v>
      </c>
      <c r="J5" s="56" t="s">
        <v>180</v>
      </c>
      <c r="K5" s="56" t="s">
        <v>181</v>
      </c>
      <c r="L5" s="57" t="s">
        <v>180</v>
      </c>
      <c r="M5" s="57" t="s">
        <v>181</v>
      </c>
    </row>
    <row r="6" spans="3:13" x14ac:dyDescent="0.25">
      <c r="C6" s="58" t="s">
        <v>182</v>
      </c>
      <c r="D6" s="59">
        <v>0.5665</v>
      </c>
      <c r="E6" s="59">
        <v>10056.64877757901</v>
      </c>
      <c r="F6" s="59">
        <v>18.757100000000001</v>
      </c>
      <c r="G6" s="59">
        <v>16764.413518886679</v>
      </c>
      <c r="H6" s="59">
        <v>19.464700000000001</v>
      </c>
      <c r="I6" s="59">
        <v>24345.001804402738</v>
      </c>
      <c r="J6" s="59">
        <v>14.7788</v>
      </c>
      <c r="K6" s="59">
        <v>39729.093050647818</v>
      </c>
      <c r="L6" s="59">
        <v>10.6645</v>
      </c>
      <c r="M6" s="59">
        <v>67460</v>
      </c>
    </row>
    <row r="7" spans="3:13" x14ac:dyDescent="0.25">
      <c r="C7" s="58" t="s">
        <v>183</v>
      </c>
      <c r="D7" s="59">
        <v>14.638</v>
      </c>
      <c r="E7" s="59">
        <v>11463.8</v>
      </c>
      <c r="F7" s="59">
        <v>23.273800000000001</v>
      </c>
      <c r="G7" s="59">
        <v>18733.21643742171</v>
      </c>
      <c r="H7" s="59">
        <v>22.652999999999999</v>
      </c>
      <c r="I7" s="59">
        <v>27758.172859935323</v>
      </c>
      <c r="J7" s="59">
        <v>14.8071</v>
      </c>
      <c r="K7" s="59">
        <v>19945.445197530778</v>
      </c>
      <c r="L7" s="59">
        <v>7.9889999999999999</v>
      </c>
      <c r="M7" s="59">
        <v>42541.742803598019</v>
      </c>
    </row>
    <row r="8" spans="3:13" x14ac:dyDescent="0.25">
      <c r="C8" s="58" t="s">
        <v>184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12.4655</v>
      </c>
      <c r="M8" s="59">
        <v>91436.60466100357</v>
      </c>
    </row>
    <row r="9" spans="3:13" x14ac:dyDescent="0.25">
      <c r="C9" s="58" t="s">
        <v>185</v>
      </c>
      <c r="D9" s="67">
        <v>67.08</v>
      </c>
      <c r="E9" s="68"/>
      <c r="F9" s="67">
        <v>40.24</v>
      </c>
      <c r="G9" s="68"/>
      <c r="H9" s="67">
        <v>27.71</v>
      </c>
      <c r="I9" s="68"/>
      <c r="J9" s="67">
        <v>16.98</v>
      </c>
      <c r="K9" s="68"/>
      <c r="L9" s="67">
        <v>10</v>
      </c>
      <c r="M9" s="68"/>
    </row>
    <row r="11" spans="3:13" ht="15.75" x14ac:dyDescent="0.25">
      <c r="C11" s="52" t="s">
        <v>186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174</v>
      </c>
      <c r="D12" s="63" t="s">
        <v>175</v>
      </c>
      <c r="E12" s="63"/>
      <c r="F12" s="63" t="s">
        <v>176</v>
      </c>
      <c r="G12" s="63"/>
      <c r="H12" s="63" t="s">
        <v>177</v>
      </c>
      <c r="I12" s="63"/>
      <c r="J12" s="64" t="s">
        <v>178</v>
      </c>
      <c r="K12" s="65"/>
      <c r="L12" s="66" t="s">
        <v>179</v>
      </c>
      <c r="M12" s="66"/>
    </row>
    <row r="13" spans="3:13" ht="63.75" x14ac:dyDescent="0.25">
      <c r="C13" s="55"/>
      <c r="D13" s="56" t="s">
        <v>180</v>
      </c>
      <c r="E13" s="56" t="s">
        <v>181</v>
      </c>
      <c r="F13" s="56" t="s">
        <v>180</v>
      </c>
      <c r="G13" s="56" t="s">
        <v>181</v>
      </c>
      <c r="H13" s="56" t="s">
        <v>180</v>
      </c>
      <c r="I13" s="56" t="s">
        <v>181</v>
      </c>
      <c r="J13" s="56" t="s">
        <v>180</v>
      </c>
      <c r="K13" s="56" t="s">
        <v>181</v>
      </c>
      <c r="L13" s="57" t="s">
        <v>180</v>
      </c>
      <c r="M13" s="57" t="s">
        <v>181</v>
      </c>
    </row>
    <row r="14" spans="3:13" x14ac:dyDescent="0.25">
      <c r="C14" s="58" t="s">
        <v>182</v>
      </c>
      <c r="D14" s="59">
        <v>1.1147</v>
      </c>
      <c r="E14" s="59">
        <v>10111.467186846872</v>
      </c>
      <c r="F14" s="59">
        <v>19.336099999999998</v>
      </c>
      <c r="G14" s="59">
        <v>17011.251758087201</v>
      </c>
      <c r="H14" s="59">
        <v>20.007999999999999</v>
      </c>
      <c r="I14" s="59">
        <v>24903.912148249823</v>
      </c>
      <c r="J14" s="59">
        <v>15.3971</v>
      </c>
      <c r="K14" s="59">
        <v>41923.743500866549</v>
      </c>
      <c r="L14" s="59">
        <v>14.2003</v>
      </c>
      <c r="M14" s="59">
        <v>56606.864274570973</v>
      </c>
    </row>
    <row r="15" spans="3:13" x14ac:dyDescent="0.25">
      <c r="C15" s="58" t="s">
        <v>183</v>
      </c>
      <c r="D15" s="59">
        <v>14.638</v>
      </c>
      <c r="E15" s="59">
        <v>11463.8</v>
      </c>
      <c r="F15" s="59">
        <v>23.273800000000001</v>
      </c>
      <c r="G15" s="59">
        <v>18733.21643742171</v>
      </c>
      <c r="H15" s="59">
        <v>22.652999999999999</v>
      </c>
      <c r="I15" s="59">
        <v>27758.172859935323</v>
      </c>
      <c r="J15" s="59">
        <v>14.8071</v>
      </c>
      <c r="K15" s="59">
        <v>19945.445197530778</v>
      </c>
      <c r="L15" s="59">
        <v>11.972200000000001</v>
      </c>
      <c r="M15" s="59">
        <v>43507.817089750366</v>
      </c>
    </row>
    <row r="16" spans="3:13" x14ac:dyDescent="0.25">
      <c r="C16" s="58" t="s">
        <v>184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13.3569</v>
      </c>
      <c r="M16" s="59">
        <v>51047.286428949112</v>
      </c>
    </row>
    <row r="17" spans="3:13" x14ac:dyDescent="0.25">
      <c r="C17" s="58" t="s">
        <v>187</v>
      </c>
      <c r="D17" s="67">
        <v>71.77</v>
      </c>
      <c r="E17" s="68"/>
      <c r="F17" s="67">
        <v>42.66</v>
      </c>
      <c r="G17" s="68"/>
      <c r="H17" s="67">
        <v>29.14</v>
      </c>
      <c r="I17" s="68"/>
      <c r="J17" s="67">
        <v>17.309999999999999</v>
      </c>
      <c r="K17" s="68"/>
      <c r="L17" s="67">
        <v>12.82</v>
      </c>
      <c r="M17" s="68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XDO_?FINAL_ISIN?8?</vt:lpstr>
      <vt:lpstr>XDO_?FINAL_ISIN?9?</vt:lpstr>
      <vt:lpstr>XDO_?FINAL_MV?8?</vt:lpstr>
      <vt:lpstr>XDO_?FINAL_MV?9?</vt:lpstr>
      <vt:lpstr>XDO_?FINAL_NAME?8?</vt:lpstr>
      <vt:lpstr>XDO_?FINAL_NAME?9?</vt:lpstr>
      <vt:lpstr>XDO_?FINAL_PER_NET?8?</vt:lpstr>
      <vt:lpstr>XDO_?FINAL_PER_NET?9?</vt:lpstr>
      <vt:lpstr>XDO_?FINAL_QUANTITE?8?</vt:lpstr>
      <vt:lpstr>XDO_?FINAL_QUANTITE?9?</vt:lpstr>
      <vt:lpstr>XDO_?IND_01?8?</vt:lpstr>
      <vt:lpstr>XDO_?IND_01?9?</vt:lpstr>
      <vt:lpstr>XDO_?NAMCNAME?4?</vt:lpstr>
      <vt:lpstr>XDO_?NOVAL?8?</vt:lpstr>
      <vt:lpstr>XDO_?NOVAL?9?</vt:lpstr>
      <vt:lpstr>XDO_?NPTF?4?</vt:lpstr>
      <vt:lpstr>XDO_?RATING?8?</vt:lpstr>
      <vt:lpstr>XDO_?RATING?9?</vt:lpstr>
      <vt:lpstr>XDO_?REMARKS?8?</vt:lpstr>
      <vt:lpstr>XDO_?REMARKS?9?</vt:lpstr>
      <vt:lpstr>XDO_?TITL?4?</vt:lpstr>
      <vt:lpstr>XDO_GROUP_?G_2?4?</vt:lpstr>
      <vt:lpstr>XDO_GROUP_?G_3?4?</vt:lpstr>
      <vt:lpstr>XDO_GROUP_?G_4?8?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2026-01-06T06:54:53Z</dcterms:created>
  <dcterms:modified xsi:type="dcterms:W3CDTF">2026-01-07T12:21:09Z</dcterms:modified>
</cp:coreProperties>
</file>