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JAN 2024\Portfolio\OPS\TMF_Monthly_Portfolio_Report_Dec 23\"/>
    </mc:Choice>
  </mc:AlternateContent>
  <xr:revisionPtr revIDLastSave="0" documentId="13_ncr:1_{5FEB6C18-AE9E-463C-B4FB-01A00829AE00}" xr6:coauthVersionLast="47" xr6:coauthVersionMax="47" xr10:uidLastSave="{00000000-0000-0000-0000-000000000000}"/>
  <bookViews>
    <workbookView xWindow="-120" yWindow="-120" windowWidth="20730" windowHeight="11040" xr2:uid="{71A28972-C9C7-4686-8065-C89C0F6901BE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TBFS!$C$8:$C$27</definedName>
    <definedName name="XDO_?FINAL_ISIN?1?">TBFS!$D$10:$D$27</definedName>
    <definedName name="XDO_?FINAL_ISIN?2?">TBFS!$D$10:$D$69</definedName>
    <definedName name="XDO_?FINAL_MV?1?">TBFS!$H$10:$H$27</definedName>
    <definedName name="XDO_?FINAL_MV?2?">TBFS!$H$10:$H$69</definedName>
    <definedName name="XDO_?FINAL_NAME?1?">TBFS!$C$10:$C$27</definedName>
    <definedName name="XDO_?FINAL_NAME?2?">TBFS!$C$10:$C$69</definedName>
    <definedName name="XDO_?FINAL_PER_NET?1?">TBFS!$I$10:$I$27</definedName>
    <definedName name="XDO_?FINAL_PER_NET?2?">TBFS!$I$10:$I$69</definedName>
    <definedName name="XDO_?FINAL_QUANTITE?1?">TBFS!$G$10:$G$27</definedName>
    <definedName name="XDO_?FINAL_QUANTITE?2?">TBFS!$G$10:$G$69</definedName>
    <definedName name="XDO_?IND_01?1?">TBFS!$F$10:$F$27</definedName>
    <definedName name="XDO_?IND_01?2?">TBFS!$F$10:$F$69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TBFS!$C$2:$C$27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TBFS!$B$10:$B$27</definedName>
    <definedName name="XDO_?NOVAL?2?">TBFS!$B$10:$B$69</definedName>
    <definedName name="XDO_?NPTF?1?">TBFS!$D$2:$D$27</definedName>
    <definedName name="XDO_?RATING?1?">TBFS!$E$10:$E$27</definedName>
    <definedName name="XDO_?RATING?2?">TBFS!$E$10:$E$69</definedName>
    <definedName name="XDO_?REMARKS?1?">TBFS!$J$10:$J$27</definedName>
    <definedName name="XDO_?REMARKS?2?">TBFS!$J$10:$J$69</definedName>
    <definedName name="XDO_?TITL?1?">TBFS!$A$8:$A$27</definedName>
    <definedName name="XDO_GROUP_?G_2?1?">TBFS!$2:$72</definedName>
    <definedName name="XDO_GROUP_?G_3?1?">TBFS!$8:$71</definedName>
    <definedName name="XDO_GROUP_?G_4?1?">TBFS!$B$10:$IV$27</definedName>
    <definedName name="XDO_GROUP_?G_4?2?">TBFS!$B$69:$IV$69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1" l="1"/>
</calcChain>
</file>

<file path=xl/sharedStrings.xml><?xml version="1.0" encoding="utf-8"?>
<sst xmlns="http://schemas.openxmlformats.org/spreadsheetml/2006/main" count="183" uniqueCount="115">
  <si>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</si>
  <si>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</si>
  <si>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</si>
  <si>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</si>
  <si>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</si>
  <si>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</si>
  <si>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</si>
  <si>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</si>
  <si>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</si>
  <si>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</si>
  <si>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</si>
  <si>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</si>
  <si>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</si>
  <si>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</si>
  <si>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</si>
  <si>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</si>
  <si>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</si>
  <si>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</si>
  <si>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</si>
  <si>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</si>
  <si>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</si>
  <si>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</si>
  <si>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</si>
  <si>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</si>
  <si>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</si>
  <si>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</si>
  <si>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</si>
  <si>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</si>
  <si>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100361</t>
  </si>
  <si>
    <t>Bank of India</t>
  </si>
  <si>
    <t>INE084A01016</t>
  </si>
  <si>
    <t>100104</t>
  </si>
  <si>
    <t>Kotak Mahindra Bank Ltd.</t>
  </si>
  <si>
    <t>INE237A01028</t>
  </si>
  <si>
    <t>100013</t>
  </si>
  <si>
    <t>IndusInd Bank Ltd.</t>
  </si>
  <si>
    <t>INE095A01012</t>
  </si>
  <si>
    <t>100122</t>
  </si>
  <si>
    <t>Union Bank of India</t>
  </si>
  <si>
    <t>INE692A01016</t>
  </si>
  <si>
    <t>100325</t>
  </si>
  <si>
    <t>Bajaj Holdings &amp; Investment Ltd.</t>
  </si>
  <si>
    <t>INE118A01012</t>
  </si>
  <si>
    <t>Finance</t>
  </si>
  <si>
    <t>100399</t>
  </si>
  <si>
    <t>Cholamandalam Investment &amp; Finance Co. Ltd.</t>
  </si>
  <si>
    <t>INE121A01024</t>
  </si>
  <si>
    <t>100055</t>
  </si>
  <si>
    <t>The Federal Bank Ltd.</t>
  </si>
  <si>
    <t>INE171A01029</t>
  </si>
  <si>
    <t>101366</t>
  </si>
  <si>
    <t>Aditya Birla Sun Life Amc Ltd.</t>
  </si>
  <si>
    <t>INE404A01024</t>
  </si>
  <si>
    <t>Capital Markets</t>
  </si>
  <si>
    <t>100191</t>
  </si>
  <si>
    <t>Canara Bank</t>
  </si>
  <si>
    <t>INE476A01014</t>
  </si>
  <si>
    <t>101181</t>
  </si>
  <si>
    <t>UTI Asset Management Co. Ltd.</t>
  </si>
  <si>
    <t>INE094J01016</t>
  </si>
  <si>
    <t>101178</t>
  </si>
  <si>
    <t>Computer Age Management Services Ltd.</t>
  </si>
  <si>
    <t>INE596I01012</t>
  </si>
  <si>
    <t>100256</t>
  </si>
  <si>
    <t>City Union Bank Ltd.</t>
  </si>
  <si>
    <t>INE491A01021</t>
  </si>
  <si>
    <t>100684</t>
  </si>
  <si>
    <t>SBI Life Insurance Co. Ltd.</t>
  </si>
  <si>
    <t>INE123W01016</t>
  </si>
  <si>
    <t>Insurance</t>
  </si>
  <si>
    <t>101210</t>
  </si>
  <si>
    <t>Credit Access Grameen Ltd.</t>
  </si>
  <si>
    <t>INE741K01010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</si>
  <si>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</si>
  <si>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</si>
  <si>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</si>
  <si>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</si>
  <si>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</si>
  <si>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</si>
  <si>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</si>
  <si>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</si>
  <si>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</si>
  <si>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</si>
  <si>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</si>
  <si>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</si>
  <si>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</si>
  <si>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</si>
  <si>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</si>
  <si>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</si>
  <si>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</si>
  <si>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</si>
  <si>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</si>
  <si>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</si>
  <si>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</si>
  <si>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</si>
  <si>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</si>
  <si>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</si>
  <si>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</si>
  <si>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</si>
  <si>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</si>
  <si>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</si>
  <si>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</si>
  <si>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</si>
  <si>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</si>
  <si>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</si>
  <si>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</si>
  <si>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</si>
  <si>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</si>
  <si>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</si>
  <si>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</si>
  <si>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</si>
  <si>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</si>
  <si>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December 29, 2023 : 45.63)</t>
  </si>
  <si>
    <t>Taurus Banking &amp; Financial Services Fund - Direct Plan Growth Option</t>
  </si>
  <si>
    <t>NAV [Rs.] Per Unit (as on December 29, 2023 : 50.40)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</si>
</sst>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93892702-F050-49EA-AB27-12D28CBDD8EE}"/>
    <cellStyle name="Hyperlink" xfId="2" builtinId="8"/>
    <cellStyle name="Normal" xfId="0" builtinId="0"/>
    <cellStyle name="Normal 2" xfId="4" xr:uid="{3E9E0AAC-8F68-406B-859F-6F83AC4E7967}"/>
    <cellStyle name="Style 1" xfId="3" xr:uid="{257C43D2-C2C4-4AA0-BF0D-8CC488CFE7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1873250</xdr:rowOff>
    </xdr:to>
    <xdr:pic>
      <xdr:nvPicPr>
        <xdr:cNvPr id="2" name="Picture 1" descr="banking Prodcut label - 9th Dec 2022.jpg">
          <a:extLst>
            <a:ext uri="{FF2B5EF4-FFF2-40B4-BE49-F238E27FC236}">
              <a16:creationId xmlns:a16="http://schemas.microsoft.com/office/drawing/2014/main" id="{5257CD38-6E58-4B12-9459-61040E696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7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Dec%2023\Client%20Report\TMF_Monthly_Portfolio_Report_Dec%2023.xls" TargetMode="External"/><Relationship Id="rId1" Type="http://schemas.openxmlformats.org/officeDocument/2006/relationships/externalLinkPath" Target="TMF_Monthly_Portfolio_Report_Dec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B4410-6104-4E2F-BA05-7EC2D45CF0F5}">
  <dimension ref="A1:IV78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52.2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45291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11000</v>
      </c>
      <c r="H10" s="32">
        <v>188.06</v>
      </c>
      <c r="I10" s="32">
        <v>18.399999999999999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167.4</v>
      </c>
      <c r="I11" s="32">
        <v>16.38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16568</v>
      </c>
      <c r="H12" s="32">
        <v>106.36</v>
      </c>
      <c r="I12" s="32">
        <v>10.41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9110</v>
      </c>
      <c r="H13" s="32">
        <v>100.48</v>
      </c>
      <c r="I13" s="32">
        <v>9.83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87256</v>
      </c>
      <c r="H14" s="32">
        <v>98.25</v>
      </c>
      <c r="I14" s="32">
        <v>9.61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3916</v>
      </c>
      <c r="H15" s="32">
        <v>74.72</v>
      </c>
      <c r="I15" s="32">
        <v>7.31</v>
      </c>
      <c r="J15" s="33"/>
    </row>
    <row r="16" spans="1:54" x14ac:dyDescent="0.25">
      <c r="B16" s="1" t="s">
        <v>34</v>
      </c>
      <c r="C16" s="20" t="s">
        <v>35</v>
      </c>
      <c r="D16" s="29" t="s">
        <v>36</v>
      </c>
      <c r="E16" s="30"/>
      <c r="F16" s="30" t="s">
        <v>18</v>
      </c>
      <c r="G16" s="31">
        <v>2636</v>
      </c>
      <c r="H16" s="32">
        <v>42.12</v>
      </c>
      <c r="I16" s="32">
        <v>4.12</v>
      </c>
      <c r="J16" s="33"/>
    </row>
    <row r="17" spans="2:10" x14ac:dyDescent="0.25">
      <c r="B17" s="1" t="s">
        <v>37</v>
      </c>
      <c r="C17" s="20" t="s">
        <v>38</v>
      </c>
      <c r="D17" s="29" t="s">
        <v>39</v>
      </c>
      <c r="E17" s="30"/>
      <c r="F17" s="30" t="s">
        <v>18</v>
      </c>
      <c r="G17" s="31">
        <v>26696</v>
      </c>
      <c r="H17" s="32">
        <v>31.79</v>
      </c>
      <c r="I17" s="32">
        <v>3.11</v>
      </c>
      <c r="J17" s="33"/>
    </row>
    <row r="18" spans="2:10" x14ac:dyDescent="0.25">
      <c r="B18" s="1" t="s">
        <v>40</v>
      </c>
      <c r="C18" s="20" t="s">
        <v>41</v>
      </c>
      <c r="D18" s="29" t="s">
        <v>42</v>
      </c>
      <c r="E18" s="30"/>
      <c r="F18" s="30" t="s">
        <v>43</v>
      </c>
      <c r="G18" s="31">
        <v>346</v>
      </c>
      <c r="H18" s="32">
        <v>26.54</v>
      </c>
      <c r="I18" s="32">
        <v>2.6</v>
      </c>
      <c r="J18" s="33"/>
    </row>
    <row r="19" spans="2:10" x14ac:dyDescent="0.25">
      <c r="B19" s="1" t="s">
        <v>44</v>
      </c>
      <c r="C19" s="20" t="s">
        <v>45</v>
      </c>
      <c r="D19" s="29" t="s">
        <v>46</v>
      </c>
      <c r="E19" s="30"/>
      <c r="F19" s="30" t="s">
        <v>43</v>
      </c>
      <c r="G19" s="31">
        <v>2089</v>
      </c>
      <c r="H19" s="32">
        <v>26.33</v>
      </c>
      <c r="I19" s="32">
        <v>2.58</v>
      </c>
      <c r="J19" s="33"/>
    </row>
    <row r="20" spans="2:10" x14ac:dyDescent="0.25">
      <c r="B20" s="1" t="s">
        <v>47</v>
      </c>
      <c r="C20" s="20" t="s">
        <v>48</v>
      </c>
      <c r="D20" s="29" t="s">
        <v>49</v>
      </c>
      <c r="E20" s="30"/>
      <c r="F20" s="30" t="s">
        <v>18</v>
      </c>
      <c r="G20" s="31">
        <v>15735</v>
      </c>
      <c r="H20" s="32">
        <v>24.55</v>
      </c>
      <c r="I20" s="32">
        <v>2.4</v>
      </c>
      <c r="J20" s="33"/>
    </row>
    <row r="21" spans="2:10" x14ac:dyDescent="0.25">
      <c r="B21" s="1" t="s">
        <v>50</v>
      </c>
      <c r="C21" s="20" t="s">
        <v>51</v>
      </c>
      <c r="D21" s="29" t="s">
        <v>52</v>
      </c>
      <c r="E21" s="30"/>
      <c r="F21" s="30" t="s">
        <v>53</v>
      </c>
      <c r="G21" s="31">
        <v>4091</v>
      </c>
      <c r="H21" s="32">
        <v>19.2</v>
      </c>
      <c r="I21" s="32">
        <v>1.88</v>
      </c>
      <c r="J21" s="33"/>
    </row>
    <row r="22" spans="2:10" x14ac:dyDescent="0.25">
      <c r="B22" s="1" t="s">
        <v>54</v>
      </c>
      <c r="C22" s="20" t="s">
        <v>55</v>
      </c>
      <c r="D22" s="29" t="s">
        <v>56</v>
      </c>
      <c r="E22" s="30"/>
      <c r="F22" s="30" t="s">
        <v>18</v>
      </c>
      <c r="G22" s="31">
        <v>3775</v>
      </c>
      <c r="H22" s="32">
        <v>16.52</v>
      </c>
      <c r="I22" s="32">
        <v>1.62</v>
      </c>
      <c r="J22" s="33"/>
    </row>
    <row r="23" spans="2:10" x14ac:dyDescent="0.25">
      <c r="B23" s="1" t="s">
        <v>57</v>
      </c>
      <c r="C23" s="20" t="s">
        <v>58</v>
      </c>
      <c r="D23" s="29" t="s">
        <v>59</v>
      </c>
      <c r="E23" s="30"/>
      <c r="F23" s="30" t="s">
        <v>53</v>
      </c>
      <c r="G23" s="31">
        <v>1899</v>
      </c>
      <c r="H23" s="32">
        <v>16.46</v>
      </c>
      <c r="I23" s="32">
        <v>1.61</v>
      </c>
      <c r="J23" s="33"/>
    </row>
    <row r="24" spans="2:10" x14ac:dyDescent="0.25">
      <c r="B24" s="1" t="s">
        <v>60</v>
      </c>
      <c r="C24" s="20" t="s">
        <v>61</v>
      </c>
      <c r="D24" s="29" t="s">
        <v>62</v>
      </c>
      <c r="E24" s="30"/>
      <c r="F24" s="30" t="s">
        <v>53</v>
      </c>
      <c r="G24" s="31">
        <v>536</v>
      </c>
      <c r="H24" s="32">
        <v>14.22</v>
      </c>
      <c r="I24" s="32">
        <v>1.39</v>
      </c>
      <c r="J24" s="33"/>
    </row>
    <row r="25" spans="2:10" x14ac:dyDescent="0.25">
      <c r="B25" s="1" t="s">
        <v>63</v>
      </c>
      <c r="C25" s="20" t="s">
        <v>64</v>
      </c>
      <c r="D25" s="29" t="s">
        <v>65</v>
      </c>
      <c r="E25" s="30"/>
      <c r="F25" s="30" t="s">
        <v>18</v>
      </c>
      <c r="G25" s="31">
        <v>7688</v>
      </c>
      <c r="H25" s="32">
        <v>11.45</v>
      </c>
      <c r="I25" s="32">
        <v>1.1200000000000001</v>
      </c>
      <c r="J25" s="33"/>
    </row>
    <row r="26" spans="2:10" x14ac:dyDescent="0.25">
      <c r="B26" s="1" t="s">
        <v>66</v>
      </c>
      <c r="C26" s="20" t="s">
        <v>67</v>
      </c>
      <c r="D26" s="29" t="s">
        <v>68</v>
      </c>
      <c r="E26" s="30"/>
      <c r="F26" s="30" t="s">
        <v>69</v>
      </c>
      <c r="G26" s="31">
        <v>796</v>
      </c>
      <c r="H26" s="32">
        <v>11.4</v>
      </c>
      <c r="I26" s="32">
        <v>1.1200000000000001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43</v>
      </c>
      <c r="G27" s="31">
        <v>622</v>
      </c>
      <c r="H27" s="32">
        <v>9.94</v>
      </c>
      <c r="I27" s="32">
        <v>0.97</v>
      </c>
      <c r="J27" s="33"/>
    </row>
    <row r="28" spans="2:10" x14ac:dyDescent="0.25">
      <c r="C28" s="28" t="s">
        <v>73</v>
      </c>
      <c r="D28" s="29"/>
      <c r="E28" s="30"/>
      <c r="F28" s="30"/>
      <c r="G28" s="31"/>
      <c r="H28" s="35">
        <v>985.79</v>
      </c>
      <c r="I28" s="35">
        <v>96.46</v>
      </c>
      <c r="J28" s="33"/>
    </row>
    <row r="29" spans="2:10" x14ac:dyDescent="0.25">
      <c r="C29" s="20"/>
      <c r="D29" s="29"/>
      <c r="E29" s="30"/>
      <c r="F29" s="30"/>
      <c r="G29" s="31"/>
      <c r="H29" s="32"/>
      <c r="I29" s="32"/>
      <c r="J29" s="33"/>
    </row>
    <row r="30" spans="2:10" x14ac:dyDescent="0.25">
      <c r="C30" s="28" t="s">
        <v>74</v>
      </c>
      <c r="D30" s="29"/>
      <c r="E30" s="30"/>
      <c r="F30" s="30"/>
      <c r="G30" s="31"/>
      <c r="H30" s="32" t="s">
        <v>75</v>
      </c>
      <c r="I30" s="32" t="s">
        <v>75</v>
      </c>
      <c r="J30" s="33"/>
    </row>
    <row r="31" spans="2:10" x14ac:dyDescent="0.25">
      <c r="C31" s="20"/>
      <c r="D31" s="29"/>
      <c r="E31" s="30"/>
      <c r="F31" s="30"/>
      <c r="G31" s="31"/>
      <c r="H31" s="32"/>
      <c r="I31" s="32"/>
      <c r="J31" s="33"/>
    </row>
    <row r="32" spans="2:10" x14ac:dyDescent="0.25">
      <c r="C32" s="28" t="s">
        <v>76</v>
      </c>
      <c r="D32" s="29"/>
      <c r="E32" s="30"/>
      <c r="F32" s="30"/>
      <c r="G32" s="31"/>
      <c r="H32" s="32" t="s">
        <v>75</v>
      </c>
      <c r="I32" s="32" t="s">
        <v>75</v>
      </c>
      <c r="J32" s="33"/>
    </row>
    <row r="33" spans="3:10" x14ac:dyDescent="0.25">
      <c r="C33" s="20"/>
      <c r="D33" s="29"/>
      <c r="E33" s="30"/>
      <c r="F33" s="30"/>
      <c r="G33" s="31"/>
      <c r="H33" s="32"/>
      <c r="I33" s="32"/>
      <c r="J33" s="33"/>
    </row>
    <row r="34" spans="3:10" x14ac:dyDescent="0.25">
      <c r="C34" s="28" t="s">
        <v>77</v>
      </c>
      <c r="D34" s="29"/>
      <c r="E34" s="30"/>
      <c r="F34" s="30"/>
      <c r="G34" s="31"/>
      <c r="H34" s="32"/>
      <c r="I34" s="32"/>
      <c r="J34" s="33"/>
    </row>
    <row r="35" spans="3:10" x14ac:dyDescent="0.25">
      <c r="C35" s="20"/>
      <c r="D35" s="29"/>
      <c r="E35" s="30"/>
      <c r="F35" s="30"/>
      <c r="G35" s="31"/>
      <c r="H35" s="32"/>
      <c r="I35" s="32"/>
      <c r="J35" s="33"/>
    </row>
    <row r="36" spans="3:10" x14ac:dyDescent="0.25">
      <c r="C36" s="28" t="s">
        <v>78</v>
      </c>
      <c r="D36" s="29"/>
      <c r="E36" s="30"/>
      <c r="F36" s="30"/>
      <c r="G36" s="31"/>
      <c r="H36" s="32" t="s">
        <v>75</v>
      </c>
      <c r="I36" s="32" t="s">
        <v>75</v>
      </c>
      <c r="J36" s="33"/>
    </row>
    <row r="37" spans="3:10" x14ac:dyDescent="0.25">
      <c r="C37" s="20"/>
      <c r="D37" s="29"/>
      <c r="E37" s="30"/>
      <c r="F37" s="30"/>
      <c r="G37" s="31"/>
      <c r="H37" s="32"/>
      <c r="I37" s="32"/>
      <c r="J37" s="33"/>
    </row>
    <row r="38" spans="3:10" x14ac:dyDescent="0.25">
      <c r="C38" s="28" t="s">
        <v>79</v>
      </c>
      <c r="D38" s="29"/>
      <c r="E38" s="30"/>
      <c r="F38" s="30"/>
      <c r="G38" s="31"/>
      <c r="H38" s="32" t="s">
        <v>75</v>
      </c>
      <c r="I38" s="32" t="s">
        <v>75</v>
      </c>
      <c r="J38" s="33"/>
    </row>
    <row r="39" spans="3:10" x14ac:dyDescent="0.25">
      <c r="C39" s="20"/>
      <c r="D39" s="29"/>
      <c r="E39" s="30"/>
      <c r="F39" s="30"/>
      <c r="G39" s="31"/>
      <c r="H39" s="32"/>
      <c r="I39" s="32"/>
      <c r="J39" s="33"/>
    </row>
    <row r="40" spans="3:10" x14ac:dyDescent="0.25">
      <c r="C40" s="28" t="s">
        <v>80</v>
      </c>
      <c r="D40" s="29"/>
      <c r="E40" s="30"/>
      <c r="F40" s="30"/>
      <c r="G40" s="31"/>
      <c r="H40" s="32" t="s">
        <v>75</v>
      </c>
      <c r="I40" s="32" t="s">
        <v>75</v>
      </c>
      <c r="J40" s="33"/>
    </row>
    <row r="41" spans="3:10" x14ac:dyDescent="0.25">
      <c r="C41" s="20"/>
      <c r="D41" s="29"/>
      <c r="E41" s="30"/>
      <c r="F41" s="30"/>
      <c r="G41" s="31"/>
      <c r="H41" s="32"/>
      <c r="I41" s="32"/>
      <c r="J41" s="33"/>
    </row>
    <row r="42" spans="3:10" x14ac:dyDescent="0.25">
      <c r="C42" s="28" t="s">
        <v>81</v>
      </c>
      <c r="D42" s="29"/>
      <c r="E42" s="30"/>
      <c r="F42" s="30"/>
      <c r="G42" s="31"/>
      <c r="H42" s="32" t="s">
        <v>75</v>
      </c>
      <c r="I42" s="32" t="s">
        <v>75</v>
      </c>
      <c r="J42" s="33"/>
    </row>
    <row r="43" spans="3:10" x14ac:dyDescent="0.25">
      <c r="C43" s="20"/>
      <c r="D43" s="29"/>
      <c r="E43" s="30"/>
      <c r="F43" s="30"/>
      <c r="G43" s="31"/>
      <c r="H43" s="32"/>
      <c r="I43" s="32"/>
      <c r="J43" s="33"/>
    </row>
    <row r="44" spans="3:10" x14ac:dyDescent="0.25">
      <c r="C44" s="28" t="s">
        <v>82</v>
      </c>
      <c r="D44" s="29"/>
      <c r="E44" s="30"/>
      <c r="F44" s="30"/>
      <c r="G44" s="31"/>
      <c r="H44" s="32" t="s">
        <v>75</v>
      </c>
      <c r="I44" s="32" t="s">
        <v>75</v>
      </c>
      <c r="J44" s="33"/>
    </row>
    <row r="45" spans="3:10" x14ac:dyDescent="0.25">
      <c r="C45" s="20"/>
      <c r="D45" s="29"/>
      <c r="E45" s="30"/>
      <c r="F45" s="30"/>
      <c r="G45" s="31"/>
      <c r="H45" s="32"/>
      <c r="I45" s="32"/>
      <c r="J45" s="33"/>
    </row>
    <row r="46" spans="3:10" x14ac:dyDescent="0.25">
      <c r="C46" s="28" t="s">
        <v>83</v>
      </c>
      <c r="D46" s="29"/>
      <c r="E46" s="30"/>
      <c r="F46" s="30"/>
      <c r="G46" s="31"/>
      <c r="H46" s="32"/>
      <c r="I46" s="32"/>
      <c r="J46" s="33"/>
    </row>
    <row r="47" spans="3:10" x14ac:dyDescent="0.25">
      <c r="C47" s="20"/>
      <c r="D47" s="29"/>
      <c r="E47" s="30"/>
      <c r="F47" s="30"/>
      <c r="G47" s="31"/>
      <c r="H47" s="32"/>
      <c r="I47" s="32"/>
      <c r="J47" s="33"/>
    </row>
    <row r="48" spans="3:10" x14ac:dyDescent="0.25">
      <c r="C48" s="28" t="s">
        <v>84</v>
      </c>
      <c r="D48" s="29"/>
      <c r="E48" s="30"/>
      <c r="F48" s="30"/>
      <c r="G48" s="31"/>
      <c r="H48" s="32" t="s">
        <v>75</v>
      </c>
      <c r="I48" s="32" t="s">
        <v>75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85</v>
      </c>
      <c r="D50" s="29"/>
      <c r="E50" s="30"/>
      <c r="F50" s="30"/>
      <c r="G50" s="31"/>
      <c r="H50" s="32" t="s">
        <v>75</v>
      </c>
      <c r="I50" s="32" t="s">
        <v>75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86</v>
      </c>
      <c r="D52" s="29"/>
      <c r="E52" s="30"/>
      <c r="F52" s="30"/>
      <c r="G52" s="31"/>
      <c r="H52" s="32" t="s">
        <v>75</v>
      </c>
      <c r="I52" s="32" t="s">
        <v>75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87</v>
      </c>
      <c r="D54" s="29"/>
      <c r="E54" s="30"/>
      <c r="F54" s="30"/>
      <c r="G54" s="31"/>
      <c r="H54" s="32" t="s">
        <v>75</v>
      </c>
      <c r="I54" s="32" t="s">
        <v>75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88</v>
      </c>
      <c r="D56" s="29"/>
      <c r="E56" s="30"/>
      <c r="F56" s="30"/>
      <c r="G56" s="31"/>
      <c r="H56" s="32"/>
      <c r="I56" s="32"/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89</v>
      </c>
      <c r="D58" s="29"/>
      <c r="E58" s="30"/>
      <c r="F58" s="30"/>
      <c r="G58" s="31"/>
      <c r="H58" s="32" t="s">
        <v>75</v>
      </c>
      <c r="I58" s="32" t="s">
        <v>75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90</v>
      </c>
      <c r="D60" s="29"/>
      <c r="E60" s="30"/>
      <c r="F60" s="30"/>
      <c r="G60" s="31"/>
      <c r="H60" s="32" t="s">
        <v>75</v>
      </c>
      <c r="I60" s="32" t="s">
        <v>75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91</v>
      </c>
      <c r="D62" s="29"/>
      <c r="E62" s="30"/>
      <c r="F62" s="30"/>
      <c r="G62" s="31"/>
      <c r="H62" s="32" t="s">
        <v>75</v>
      </c>
      <c r="I62" s="32" t="s">
        <v>75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92</v>
      </c>
      <c r="D64" s="29"/>
      <c r="E64" s="30"/>
      <c r="F64" s="30"/>
      <c r="G64" s="31"/>
      <c r="H64" s="32" t="s">
        <v>75</v>
      </c>
      <c r="I64" s="32" t="s">
        <v>75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93</v>
      </c>
      <c r="D66" s="29"/>
      <c r="E66" s="30"/>
      <c r="F66" s="30"/>
      <c r="G66" s="31"/>
      <c r="H66" s="32" t="s">
        <v>75</v>
      </c>
      <c r="I66" s="32" t="s">
        <v>75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A68" s="26"/>
      <c r="B68" s="27"/>
      <c r="C68" s="28" t="s">
        <v>94</v>
      </c>
      <c r="D68" s="29"/>
      <c r="E68" s="30"/>
      <c r="F68" s="30"/>
      <c r="G68" s="31"/>
      <c r="H68" s="32"/>
      <c r="I68" s="32"/>
      <c r="J68" s="33"/>
    </row>
    <row r="69" spans="1:10" x14ac:dyDescent="0.25">
      <c r="B69" s="1"/>
      <c r="C69" s="20" t="s">
        <v>95</v>
      </c>
      <c r="D69" s="29"/>
      <c r="E69" s="30"/>
      <c r="F69" s="30"/>
      <c r="G69" s="31"/>
      <c r="H69" s="32">
        <v>36.31</v>
      </c>
      <c r="I69" s="32">
        <v>3.54</v>
      </c>
      <c r="J69" s="33"/>
    </row>
    <row r="70" spans="1:10" x14ac:dyDescent="0.25">
      <c r="C70" s="28" t="s">
        <v>73</v>
      </c>
      <c r="D70" s="29"/>
      <c r="E70" s="30"/>
      <c r="F70" s="30"/>
      <c r="G70" s="31"/>
      <c r="H70" s="35">
        <v>36.31</v>
      </c>
      <c r="I70" s="35">
        <v>3.54</v>
      </c>
      <c r="J70" s="33"/>
    </row>
    <row r="71" spans="1:10" x14ac:dyDescent="0.25">
      <c r="C71" s="20"/>
      <c r="D71" s="29"/>
      <c r="E71" s="30"/>
      <c r="F71" s="30"/>
      <c r="G71" s="31"/>
      <c r="H71" s="32"/>
      <c r="I71" s="32"/>
      <c r="J71" s="33"/>
    </row>
    <row r="72" spans="1:10" ht="15.75" thickBot="1" x14ac:dyDescent="0.3">
      <c r="C72" s="36" t="s">
        <v>96</v>
      </c>
      <c r="D72" s="37"/>
      <c r="E72" s="38"/>
      <c r="F72" s="39"/>
      <c r="G72" s="40"/>
      <c r="H72" s="41">
        <v>1022.1</v>
      </c>
      <c r="I72" s="41">
        <f>SUMIFS(I:I,C:C,"Total")</f>
        <v>100</v>
      </c>
      <c r="J72" s="42"/>
    </row>
    <row r="75" spans="1:10" x14ac:dyDescent="0.25">
      <c r="C75" s="11" t="s">
        <v>97</v>
      </c>
    </row>
    <row r="76" spans="1:10" x14ac:dyDescent="0.25">
      <c r="C76" s="2" t="s">
        <v>98</v>
      </c>
    </row>
    <row r="77" spans="1:10" x14ac:dyDescent="0.25">
      <c r="C77" s="2" t="s">
        <v>99</v>
      </c>
    </row>
    <row r="78" spans="1:10" x14ac:dyDescent="0.25">
      <c r="C78" s="2" t="s">
        <v>100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B978-260C-461C-9A77-CC7CAA6EB80D}">
  <dimension ref="B3:J17"/>
  <sheetViews>
    <sheetView workbookViewId="0">
      <selection activeCell="B1" sqref="B1"/>
    </sheetView>
  </sheetViews>
  <sheetFormatPr defaultRowHeight="15" x14ac:dyDescent="0.25"/>
  <cols>
    <col min="2" max="2" width="52.42578125" customWidth="1"/>
    <col min="4" max="4" width="12.7109375" customWidth="1"/>
    <col min="6" max="6" width="12" customWidth="1"/>
    <col min="8" max="8" width="12.85546875" customWidth="1"/>
    <col min="10" max="10" width="14" customWidth="1"/>
  </cols>
  <sheetData>
    <row r="3" spans="2:10" ht="15.75" x14ac:dyDescent="0.25">
      <c r="B3" s="43" t="s">
        <v>101</v>
      </c>
      <c r="C3" s="44"/>
      <c r="D3" s="44"/>
      <c r="E3" s="44"/>
      <c r="F3" s="44"/>
      <c r="G3" s="44"/>
      <c r="H3" s="44"/>
      <c r="I3" s="44"/>
      <c r="J3" s="44"/>
    </row>
    <row r="4" spans="2:10" x14ac:dyDescent="0.25">
      <c r="B4" s="45" t="s">
        <v>102</v>
      </c>
      <c r="C4" s="50" t="s">
        <v>103</v>
      </c>
      <c r="D4" s="50"/>
      <c r="E4" s="50" t="s">
        <v>104</v>
      </c>
      <c r="F4" s="50"/>
      <c r="G4" s="50" t="s">
        <v>105</v>
      </c>
      <c r="H4" s="50"/>
      <c r="I4" s="50" t="s">
        <v>106</v>
      </c>
      <c r="J4" s="50"/>
    </row>
    <row r="5" spans="2:10" ht="63.75" x14ac:dyDescent="0.25">
      <c r="B5" s="46"/>
      <c r="C5" s="47" t="s">
        <v>107</v>
      </c>
      <c r="D5" s="47" t="s">
        <v>108</v>
      </c>
      <c r="E5" s="47" t="s">
        <v>107</v>
      </c>
      <c r="F5" s="47" t="s">
        <v>108</v>
      </c>
      <c r="G5" s="47" t="s">
        <v>107</v>
      </c>
      <c r="H5" s="47" t="s">
        <v>108</v>
      </c>
      <c r="I5" s="47" t="s">
        <v>107</v>
      </c>
      <c r="J5" s="47" t="s">
        <v>108</v>
      </c>
    </row>
    <row r="6" spans="2:10" x14ac:dyDescent="0.25">
      <c r="B6" s="48" t="s">
        <v>109</v>
      </c>
      <c r="C6" s="49">
        <v>15.959339263024152</v>
      </c>
      <c r="D6" s="49">
        <v>11595.933926302414</v>
      </c>
      <c r="E6" s="49">
        <v>15.045378584420099</v>
      </c>
      <c r="F6" s="49">
        <v>15215.071690563522</v>
      </c>
      <c r="G6" s="49">
        <v>14.113210077214845</v>
      </c>
      <c r="H6" s="49">
        <v>19342.941924544299</v>
      </c>
      <c r="I6" s="49">
        <v>13.963270053524489</v>
      </c>
      <c r="J6" s="49">
        <v>45630</v>
      </c>
    </row>
    <row r="7" spans="2:10" x14ac:dyDescent="0.25">
      <c r="B7" s="48" t="s">
        <v>110</v>
      </c>
      <c r="C7" s="49">
        <v>12.122921820761491</v>
      </c>
      <c r="D7" s="49">
        <v>11212.292182076149</v>
      </c>
      <c r="E7" s="49">
        <v>15.616673234852897</v>
      </c>
      <c r="F7" s="49">
        <v>15454.72943733023</v>
      </c>
      <c r="G7" s="49">
        <v>12.86333106596742</v>
      </c>
      <c r="H7" s="49">
        <v>18313.203432149698</v>
      </c>
      <c r="I7" s="49">
        <v>15.980300063678786</v>
      </c>
      <c r="J7" s="49">
        <v>55919.415797756767</v>
      </c>
    </row>
    <row r="8" spans="2:10" x14ac:dyDescent="0.25">
      <c r="B8" s="48" t="s">
        <v>111</v>
      </c>
      <c r="C8" s="49">
        <v>21.300164056039627</v>
      </c>
      <c r="D8" s="49">
        <v>12130.016405603963</v>
      </c>
      <c r="E8" s="49">
        <v>17.240979467859585</v>
      </c>
      <c r="F8" s="49">
        <v>16115.297007580128</v>
      </c>
      <c r="G8" s="49">
        <v>16.247838958951345</v>
      </c>
      <c r="H8" s="49">
        <v>21228.750880739215</v>
      </c>
      <c r="I8" s="49">
        <v>15.196950066664773</v>
      </c>
      <c r="J8" s="49">
        <v>51687.878207566784</v>
      </c>
    </row>
    <row r="9" spans="2:10" x14ac:dyDescent="0.25">
      <c r="B9" s="48" t="s">
        <v>112</v>
      </c>
      <c r="C9" s="51">
        <v>39.35</v>
      </c>
      <c r="D9" s="52"/>
      <c r="E9" s="51">
        <v>29.99</v>
      </c>
      <c r="F9" s="52"/>
      <c r="G9" s="51">
        <v>23.59</v>
      </c>
      <c r="H9" s="52"/>
      <c r="I9" s="51">
        <v>10</v>
      </c>
      <c r="J9" s="52"/>
    </row>
    <row r="11" spans="2:10" ht="15.75" x14ac:dyDescent="0.25">
      <c r="B11" s="43" t="s">
        <v>113</v>
      </c>
      <c r="C11" s="44"/>
      <c r="D11" s="44"/>
      <c r="E11" s="44"/>
      <c r="F11" s="44"/>
      <c r="G11" s="44"/>
      <c r="H11" s="44"/>
      <c r="I11" s="44"/>
      <c r="J11" s="44"/>
    </row>
    <row r="12" spans="2:10" x14ac:dyDescent="0.25">
      <c r="B12" s="45" t="s">
        <v>102</v>
      </c>
      <c r="C12" s="50" t="s">
        <v>103</v>
      </c>
      <c r="D12" s="50"/>
      <c r="E12" s="50" t="s">
        <v>104</v>
      </c>
      <c r="F12" s="50"/>
      <c r="G12" s="50" t="s">
        <v>105</v>
      </c>
      <c r="H12" s="50"/>
      <c r="I12" s="50" t="s">
        <v>106</v>
      </c>
      <c r="J12" s="50"/>
    </row>
    <row r="13" spans="2:10" ht="63.75" x14ac:dyDescent="0.25">
      <c r="B13" s="46"/>
      <c r="C13" s="47" t="s">
        <v>107</v>
      </c>
      <c r="D13" s="47" t="s">
        <v>108</v>
      </c>
      <c r="E13" s="47" t="s">
        <v>107</v>
      </c>
      <c r="F13" s="47" t="s">
        <v>108</v>
      </c>
      <c r="G13" s="47" t="s">
        <v>107</v>
      </c>
      <c r="H13" s="47" t="s">
        <v>108</v>
      </c>
      <c r="I13" s="47" t="s">
        <v>107</v>
      </c>
      <c r="J13" s="47" t="s">
        <v>108</v>
      </c>
    </row>
    <row r="14" spans="2:10" x14ac:dyDescent="0.25">
      <c r="B14" s="48" t="s">
        <v>109</v>
      </c>
      <c r="C14" s="49">
        <v>16.883116883116877</v>
      </c>
      <c r="D14" s="49">
        <v>11688.311688311689</v>
      </c>
      <c r="E14" s="49">
        <v>15.946606089523851</v>
      </c>
      <c r="F14" s="49">
        <v>15574.783683559952</v>
      </c>
      <c r="G14" s="49">
        <v>14.997525261229395</v>
      </c>
      <c r="H14" s="49">
        <v>20103.709613083367</v>
      </c>
      <c r="I14" s="49">
        <v>12.615517723802338</v>
      </c>
      <c r="J14" s="49">
        <v>36923.076923076922</v>
      </c>
    </row>
    <row r="15" spans="2:10" x14ac:dyDescent="0.25">
      <c r="B15" s="48" t="s">
        <v>110</v>
      </c>
      <c r="C15" s="49">
        <v>12.122921820761491</v>
      </c>
      <c r="D15" s="49">
        <v>11212.292182076149</v>
      </c>
      <c r="E15" s="49">
        <v>15.616673234852897</v>
      </c>
      <c r="F15" s="49">
        <v>15454.72943733023</v>
      </c>
      <c r="G15" s="49">
        <v>12.86333106596742</v>
      </c>
      <c r="H15" s="49">
        <v>18313.203432149698</v>
      </c>
      <c r="I15" s="49">
        <v>13.448372434017553</v>
      </c>
      <c r="J15" s="49">
        <v>40038.767719770854</v>
      </c>
    </row>
    <row r="16" spans="2:10" x14ac:dyDescent="0.25">
      <c r="B16" s="48" t="s">
        <v>111</v>
      </c>
      <c r="C16" s="49">
        <v>21.300164056039627</v>
      </c>
      <c r="D16" s="49">
        <v>12130.016405603963</v>
      </c>
      <c r="E16" s="49">
        <v>17.240979467859585</v>
      </c>
      <c r="F16" s="49">
        <v>16115.297007580128</v>
      </c>
      <c r="G16" s="49">
        <v>16.247838958951345</v>
      </c>
      <c r="H16" s="49">
        <v>21228.750880739215</v>
      </c>
      <c r="I16" s="49">
        <v>13.804818716193834</v>
      </c>
      <c r="J16" s="49">
        <v>41443.787181909698</v>
      </c>
    </row>
    <row r="17" spans="2:10" x14ac:dyDescent="0.25">
      <c r="B17" s="48" t="s">
        <v>114</v>
      </c>
      <c r="C17" s="51">
        <v>43.12</v>
      </c>
      <c r="D17" s="52"/>
      <c r="E17" s="51">
        <v>32.36</v>
      </c>
      <c r="F17" s="52"/>
      <c r="G17" s="51">
        <v>25.07</v>
      </c>
      <c r="H17" s="52"/>
      <c r="I17" s="51">
        <v>13.65</v>
      </c>
      <c r="J17" s="52"/>
    </row>
  </sheetData>
  <mergeCells count="16">
    <mergeCell ref="C4:D4"/>
    <mergeCell ref="E4:F4"/>
    <mergeCell ref="G4:H4"/>
    <mergeCell ref="I4:J4"/>
    <mergeCell ref="C9:D9"/>
    <mergeCell ref="E9:F9"/>
    <mergeCell ref="G9:H9"/>
    <mergeCell ref="I9:J9"/>
    <mergeCell ref="C12:D12"/>
    <mergeCell ref="E12:F12"/>
    <mergeCell ref="G12:H12"/>
    <mergeCell ref="I12:J12"/>
    <mergeCell ref="C17:D17"/>
    <mergeCell ref="E17:F17"/>
    <mergeCell ref="G17:H17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sbisgfa sbisgfa.edelweissmf</dc:creator>
  <cp:lastModifiedBy>Sagar Ghadigaonkar</cp:lastModifiedBy>
  <dcterms:created xsi:type="dcterms:W3CDTF">2024-01-02T11:03:30Z</dcterms:created>
  <dcterms:modified xsi:type="dcterms:W3CDTF">2024-01-04T10:37:46Z</dcterms:modified>
</cp:coreProperties>
</file>