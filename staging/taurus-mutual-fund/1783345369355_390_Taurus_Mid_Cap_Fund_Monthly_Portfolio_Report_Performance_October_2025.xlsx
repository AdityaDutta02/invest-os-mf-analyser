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8. Nov 2025\Monthly Portfolio\Ops\"/>
    </mc:Choice>
  </mc:AlternateContent>
  <xr:revisionPtr revIDLastSave="0" documentId="13_ncr:1_{C8F31AFD-C513-4307-A16D-75BEC0F5ECB7}" xr6:coauthVersionLast="47" xr6:coauthVersionMax="47" xr10:uidLastSave="{00000000-0000-0000-0000-000000000000}"/>
  <bookViews>
    <workbookView xWindow="-120" yWindow="-120" windowWidth="20730" windowHeight="11040" xr2:uid="{5FA9C596-BC48-45B6-8198-4A475B936134}"/>
  </bookViews>
  <sheets>
    <sheet name="TDF" sheetId="1" r:id="rId1"/>
    <sheet name="TDF-Performance" sheetId="2" r:id="rId2"/>
  </sheets>
  <externalReferences>
    <externalReference r:id="rId3"/>
  </externalReferences>
  <definedNames>
    <definedName name="XDO_?CLASS_3?2?">TDF!$C$8:$C$50</definedName>
    <definedName name="XDO_?FINAL_ISIN?3?">TDF!$D$10:$D$50</definedName>
    <definedName name="XDO_?FINAL_ISIN?4?">TDF!$D$10:$D$94</definedName>
    <definedName name="XDO_?FINAL_MV?3?">TDF!$H$10:$H$50</definedName>
    <definedName name="XDO_?FINAL_MV?4?">TDF!$H$10:$H$94</definedName>
    <definedName name="XDO_?FINAL_NAME?3?">TDF!$C$10:$C$50</definedName>
    <definedName name="XDO_?FINAL_NAME?4?">TDF!$C$10:$C$94</definedName>
    <definedName name="XDO_?FINAL_PER_NET?3?">TDF!$I$10:$I$50</definedName>
    <definedName name="XDO_?FINAL_PER_NET?4?">TDF!$I$10:$I$94</definedName>
    <definedName name="XDO_?FINAL_QUANTITE?3?">TDF!$G$10:$G$50</definedName>
    <definedName name="XDO_?FINAL_QUANTITE?4?">TDF!$G$10:$G$94</definedName>
    <definedName name="XDO_?IND_01?3?">TDF!$F$10:$F$50</definedName>
    <definedName name="XDO_?IND_01?4?">TDF!$F$10:$F$94</definedName>
    <definedName name="XDO_?NAMC?">[1]TBF!#REF!</definedName>
    <definedName name="XDO_?NAMC?1?">[1]TBFS!#REF!</definedName>
    <definedName name="XDO_?NAMC?2?">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TDF!$C$2:$C$50</definedName>
    <definedName name="XDO_?NDATE?">[1]TBF!#REF!</definedName>
    <definedName name="XDO_?NDATE?1?">[1]TBFS!#REF!</definedName>
    <definedName name="XDO_?NDATE?2?">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TDF!$B$10:$B$50</definedName>
    <definedName name="XDO_?NOVAL?4?">TDF!$B$10:$B$94</definedName>
    <definedName name="XDO_?NPTF?2?">TDF!$D$2:$D$50</definedName>
    <definedName name="XDO_?RATING?3?">TDF!$E$10:$E$50</definedName>
    <definedName name="XDO_?RATING?4?">TDF!$E$10:$E$94</definedName>
    <definedName name="XDO_?REMARKS?3?">TDF!$J$10:$J$50</definedName>
    <definedName name="XDO_?REMARKS?4?">TDF!$J$10:$J$94</definedName>
    <definedName name="XDO_?TITL?2?">TDF!$A$8:$A$50</definedName>
    <definedName name="XDO_GROUP_?G_2?2?">TDF!$2:$97</definedName>
    <definedName name="XDO_GROUP_?G_3?2?">TDF!$8:$96</definedName>
    <definedName name="XDO_GROUP_?G_4?3?">TDF!$B$10:$IV$50</definedName>
    <definedName name="XDO_GROUP_?G_4?4?">TDF!$B$94:$IV$94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 l="1"/>
</calcChain>
</file>

<file path=xl/sharedStrings.xml><?xml version="1.0" encoding="utf-8"?>
<sst xmlns="http://schemas.openxmlformats.org/spreadsheetml/2006/main" count="308" uniqueCount="227">
  <si>
    <t>TAURUS MUTUAL FUND</t>
  </si>
  <si>
    <t>TDF</t>
  </si>
  <si>
    <t>SCHEME NAME :</t>
  </si>
  <si>
    <t>Taurus Mid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</si>
  <si>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</si>
  <si>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</si>
  <si>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</si>
  <si>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</si>
  <si>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</si>
  <si>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</si>
  <si>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</si>
  <si>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</si>
  <si>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</si>
  <si>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</si>
  <si>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</si>
  <si>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102663</t>
  </si>
  <si>
    <t>Pace Digitek Ltd.</t>
  </si>
  <si>
    <t>INE0S3G01027</t>
  </si>
  <si>
    <t>Telecom - Services</t>
  </si>
  <si>
    <t>100234</t>
  </si>
  <si>
    <t>Coforge Ltd.</t>
  </si>
  <si>
    <t>INE591G01025</t>
  </si>
  <si>
    <t>IT - Software</t>
  </si>
  <si>
    <t>100361</t>
  </si>
  <si>
    <t>Bank of India</t>
  </si>
  <si>
    <t>INE084A01016</t>
  </si>
  <si>
    <t>Banks</t>
  </si>
  <si>
    <t>100164</t>
  </si>
  <si>
    <t>Petronet LNG Ltd.</t>
  </si>
  <si>
    <t>INE347G01014</t>
  </si>
  <si>
    <t>Gas</t>
  </si>
  <si>
    <t>100100</t>
  </si>
  <si>
    <t>Hindustan Petroleum Corporation Ltd.</t>
  </si>
  <si>
    <t>INE094A01015</t>
  </si>
  <si>
    <t>Petroleum Products</t>
  </si>
  <si>
    <t>101574</t>
  </si>
  <si>
    <t>Linde India Ltd.</t>
  </si>
  <si>
    <t>INE473A01011</t>
  </si>
  <si>
    <t>Chemicals &amp; Petrochemicals</t>
  </si>
  <si>
    <t>102642</t>
  </si>
  <si>
    <t>Regaal Resources Ltd.</t>
  </si>
  <si>
    <t>INE0MHO01029</t>
  </si>
  <si>
    <t>Agricultural Food &amp; other Products</t>
  </si>
  <si>
    <t>100096</t>
  </si>
  <si>
    <t>Container Corporation of India Ltd.</t>
  </si>
  <si>
    <t>INE111A01025</t>
  </si>
  <si>
    <t>Transport Services</t>
  </si>
  <si>
    <t>100042</t>
  </si>
  <si>
    <t>LIC Housing Finance Ltd.</t>
  </si>
  <si>
    <t>INE115A01026</t>
  </si>
  <si>
    <t>Finance</t>
  </si>
  <si>
    <t>100201</t>
  </si>
  <si>
    <t>Aurobindo Pharma Ltd.</t>
  </si>
  <si>
    <t>INE406A01037</t>
  </si>
  <si>
    <t>Pharmaceuticals &amp; Biotechnology</t>
  </si>
  <si>
    <t>100055</t>
  </si>
  <si>
    <t>The Federal Bank Ltd.</t>
  </si>
  <si>
    <t>INE171A01029</t>
  </si>
  <si>
    <t>102449</t>
  </si>
  <si>
    <t>Swiggy Ltd.</t>
  </si>
  <si>
    <t>INE00H001014</t>
  </si>
  <si>
    <t>Retailing</t>
  </si>
  <si>
    <t>100026</t>
  </si>
  <si>
    <t>Persistent Systems Ltd.</t>
  </si>
  <si>
    <t>INE262H01021</t>
  </si>
  <si>
    <t>102611</t>
  </si>
  <si>
    <t>Kalpataru Ltd.</t>
  </si>
  <si>
    <t>INE227J01012</t>
  </si>
  <si>
    <t>Realty</t>
  </si>
  <si>
    <t>100843</t>
  </si>
  <si>
    <t>Dalmia Bharat Ltd.</t>
  </si>
  <si>
    <t>INE00R701025</t>
  </si>
  <si>
    <t>Cement &amp; Cement Products</t>
  </si>
  <si>
    <t>100416</t>
  </si>
  <si>
    <t>GMR Airports Ltd.</t>
  </si>
  <si>
    <t>INE776C01039</t>
  </si>
  <si>
    <t>Transport Infrastructure</t>
  </si>
  <si>
    <t>100134</t>
  </si>
  <si>
    <t>Inox Wind Ltd.</t>
  </si>
  <si>
    <t>INE066P01011</t>
  </si>
  <si>
    <t>Electrical Equipment</t>
  </si>
  <si>
    <t>100367</t>
  </si>
  <si>
    <t>Exide Industries Ltd.</t>
  </si>
  <si>
    <t>INE302A01020</t>
  </si>
  <si>
    <t>Auto Components</t>
  </si>
  <si>
    <t>100174</t>
  </si>
  <si>
    <t>Vodafone Idea Ltd.</t>
  </si>
  <si>
    <t>INE669E01016</t>
  </si>
  <si>
    <t>100694</t>
  </si>
  <si>
    <t>Indian Energy Exchange Ltd.</t>
  </si>
  <si>
    <t>INE022Q01020</t>
  </si>
  <si>
    <t>Capital Markets</t>
  </si>
  <si>
    <t>100306</t>
  </si>
  <si>
    <t>Abbott India Ltd.</t>
  </si>
  <si>
    <t>INE358A01014</t>
  </si>
  <si>
    <t>100461</t>
  </si>
  <si>
    <t>Astral Ltd.</t>
  </si>
  <si>
    <t>INE006I01046</t>
  </si>
  <si>
    <t>Industrial Products</t>
  </si>
  <si>
    <t>100663</t>
  </si>
  <si>
    <t>AU Small Finance Bank Ltd.</t>
  </si>
  <si>
    <t>INE949L01017</t>
  </si>
  <si>
    <t>101949</t>
  </si>
  <si>
    <t>Samhi Hotels Ltd.</t>
  </si>
  <si>
    <t>INE08U801020</t>
  </si>
  <si>
    <t>Leisure Services</t>
  </si>
  <si>
    <t>100088</t>
  </si>
  <si>
    <t>Bharat Heavy Electricals Ltd.</t>
  </si>
  <si>
    <t>INE257A01026</t>
  </si>
  <si>
    <t>100154</t>
  </si>
  <si>
    <t>Colgate Palmolive (India) Ltd.</t>
  </si>
  <si>
    <t>INE259A01022</t>
  </si>
  <si>
    <t>Personal Products</t>
  </si>
  <si>
    <t>100195</t>
  </si>
  <si>
    <t>REC Ltd.</t>
  </si>
  <si>
    <t>INE020B01018</t>
  </si>
  <si>
    <t>100222</t>
  </si>
  <si>
    <t>The Indian Hotels Company Ltd.</t>
  </si>
  <si>
    <t>INE053A01029</t>
  </si>
  <si>
    <t>100172</t>
  </si>
  <si>
    <t>ACC Ltd.</t>
  </si>
  <si>
    <t>INE012A01025</t>
  </si>
  <si>
    <t>100060</t>
  </si>
  <si>
    <t>Deepak Nitrite Ltd.</t>
  </si>
  <si>
    <t>INE288B01029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</si>
  <si>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</si>
  <si>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</si>
  <si>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</si>
  <si>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</si>
  <si>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</si>
  <si>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</si>
  <si>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101433</t>
  </si>
  <si>
    <t>Metro Brands Ltd.</t>
  </si>
  <si>
    <t>INE317I01021</t>
  </si>
  <si>
    <t>Consumer Durables</t>
  </si>
  <si>
    <t>100144</t>
  </si>
  <si>
    <t>Voltas Ltd.</t>
  </si>
  <si>
    <t>INE226A01021</t>
  </si>
  <si>
    <t>100471</t>
  </si>
  <si>
    <t>Endurance Technologies Ltd.</t>
  </si>
  <si>
    <t>INE913H01037</t>
  </si>
  <si>
    <t>100242</t>
  </si>
  <si>
    <t>Schaeffler India Ltd.</t>
  </si>
  <si>
    <t>INE513A01022</t>
  </si>
  <si>
    <t>100271</t>
  </si>
  <si>
    <t>Balkrishna Industries Ltd.</t>
  </si>
  <si>
    <t>INE787D01026</t>
  </si>
  <si>
    <t>102528</t>
  </si>
  <si>
    <t>DAM Capital Advisors Ltd.</t>
  </si>
  <si>
    <t>INE284H01025</t>
  </si>
  <si>
    <t>101210</t>
  </si>
  <si>
    <t>CreditAccess Grameen Ltd.</t>
  </si>
  <si>
    <t>INE741K01010</t>
  </si>
  <si>
    <t>102206</t>
  </si>
  <si>
    <t>Chemtech Industrial Valves Ltd.</t>
  </si>
  <si>
    <t>INE212P01011</t>
  </si>
  <si>
    <t>Industrial Manufacturing</t>
  </si>
  <si>
    <t>100019</t>
  </si>
  <si>
    <t>ITC Ltd.</t>
  </si>
  <si>
    <t>INE154A01025</t>
  </si>
  <si>
    <t>Diversified FMCG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</si>
  <si>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</si>
  <si>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</si>
  <si>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</si>
  <si>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</si>
  <si>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</si>
  <si>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</si>
  <si>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</si>
  <si>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</si>
  <si>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</si>
  <si>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</si>
  <si>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</si>
  <si>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</si>
  <si>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</si>
  <si>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</si>
  <si>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</si>
  <si>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</si>
  <si>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</si>
  <si>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</si>
  <si>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</si>
  <si>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</si>
  <si>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</si>
  <si>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</si>
  <si>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</si>
  <si>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</si>
  <si>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</si>
  <si>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</si>
  <si>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</si>
  <si>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</si>
  <si>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</si>
  <si>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Total NPAs provided for and its percentage to NAV is Nil.</t>
  </si>
  <si>
    <t>4. Total Value and percentage of illiquid equity shares is Nil.</t>
  </si>
  <si>
    <t>5. Net Assets Value per unit (in Rupees) are as follows:</t>
  </si>
  <si>
    <t>NAV per unit</t>
  </si>
  <si>
    <t>Plan/Option</t>
  </si>
  <si>
    <t>As on</t>
  </si>
  <si>
    <t>September 30, 2025</t>
  </si>
  <si>
    <t>October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</si>
  <si>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</si>
  <si>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</si>
  <si>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</si>
  <si>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</si>
  <si>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October 31, 2025.</t>
  </si>
  <si>
    <t>7. The Scheme did not declare any bonus during the month ended As on October 31, 2025.</t>
  </si>
  <si>
    <t>8. Total outstanding exposure in derivative instruments as on As on  October 31, 2025 is Nil</t>
  </si>
  <si>
    <t>9. Total investments in Foreign Securities /ADRs/GDRs /Overseas ETFs as at As on  October 31, 2025, 2025 and its percentage to NAV is Nil.</t>
  </si>
  <si>
    <t>10. During the period, the portfolio turnover ratio is 0.80 times.</t>
  </si>
  <si>
    <t>      Portfolio Turnover Ratio = Lower of sales or purchase of securities divided by average AUM for 12 months ended As on  October 31, 2025</t>
  </si>
  <si>
    <t>11. The Scheme did not invest in repo transactions of corporate debt securities during the month ended As on  October 31, 2025.</t>
  </si>
  <si>
    <t>12. The Scheme did not invest in credit default swaps during the month ended As on October 31, 2025.</t>
  </si>
  <si>
    <t>13. There are Nil instances of deviation from the valuation principles/guidelines during the month ended as on  October 31st, 2025.</t>
  </si>
  <si>
    <t>Taurus Midcap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</si>
  <si>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</si>
  <si>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</si>
  <si>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</si>
  <si>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</si>
  <si>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</si>
  <si>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</si>
  <si>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</si>
  <si>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</si>
  <si>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</si>
  <si>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Midcap 150 TRI (Benchmark)</t>
  </si>
  <si>
    <t>-</t>
  </si>
  <si>
    <t>Nifty 50 TRI (Additional Benchmark)</t>
  </si>
  <si>
    <t>NAV [Rs.] Per Unit (as on October 31,2025 :123.84)</t>
  </si>
  <si>
    <t>NAV [Rs.] Per Unit (as on October 31,2025 :130.88)</t>
  </si>
  <si>
    <t>Taurus Midcap Fund - Direct Plan Growth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</si>
</sst>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9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67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CD1F4B16-69C6-49DE-B310-0D1707C82A9F}"/>
    <cellStyle name="Hyperlink" xfId="2" builtinId="8"/>
    <cellStyle name="Normal" xfId="0" builtinId="0"/>
    <cellStyle name="Normal 2" xfId="4" xr:uid="{E7D1CCF6-0616-4519-9480-5753AEAAEF97}"/>
    <cellStyle name="Style 1" xfId="3" xr:uid="{D6ABBA03-7D8B-47EF-AEF9-DF32A5D23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279569</xdr:colOff>
      <xdr:row>0</xdr:row>
      <xdr:rowOff>2011680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50070-35B0-4C07-A511-9BAAF7776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031736" cy="20116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Oct_2025\Final\TMF_Monthly_Portfolio_Report_Oct_25.xls" TargetMode="External"/><Relationship Id="rId1" Type="http://schemas.openxmlformats.org/officeDocument/2006/relationships/externalLinkPath" Target="file:///Q:\5.TMF\Reporting\Monthly%20Reports\Monthly%20Portfolio\2025-26\Oct_2025\Final\TMF_Monthly_Portfolio_Report_Oct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F5DD-9D18-42BE-A155-B79C06E7DA13}">
  <dimension ref="A1:BB123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45961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274040</v>
      </c>
      <c r="H10" s="32">
        <v>590.01</v>
      </c>
      <c r="I10" s="32">
        <v>4.42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33050</v>
      </c>
      <c r="H11" s="32">
        <v>588.16999999999996</v>
      </c>
      <c r="I11" s="32">
        <v>4.41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401241</v>
      </c>
      <c r="H12" s="32">
        <v>561.14</v>
      </c>
      <c r="I12" s="32">
        <v>4.21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175000</v>
      </c>
      <c r="H13" s="32">
        <v>492.28</v>
      </c>
      <c r="I13" s="32">
        <v>3.69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102997</v>
      </c>
      <c r="H14" s="32">
        <v>490.27</v>
      </c>
      <c r="I14" s="32">
        <v>3.68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8130</v>
      </c>
      <c r="H15" s="32">
        <v>489.61</v>
      </c>
      <c r="I15" s="32">
        <v>3.67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539280</v>
      </c>
      <c r="H16" s="32">
        <v>487.62</v>
      </c>
      <c r="I16" s="32">
        <v>3.66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87500</v>
      </c>
      <c r="H17" s="32">
        <v>477.18</v>
      </c>
      <c r="I17" s="32">
        <v>3.58</v>
      </c>
      <c r="J17" s="33"/>
    </row>
    <row r="18" spans="2:10" x14ac:dyDescent="0.25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83511</v>
      </c>
      <c r="H18" s="32">
        <v>477.14</v>
      </c>
      <c r="I18" s="32">
        <v>3.58</v>
      </c>
      <c r="J18" s="33"/>
    </row>
    <row r="19" spans="2:10" x14ac:dyDescent="0.25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41000</v>
      </c>
      <c r="H19" s="32">
        <v>466.85</v>
      </c>
      <c r="I19" s="32">
        <v>3.5</v>
      </c>
      <c r="J19" s="33"/>
    </row>
    <row r="20" spans="2:10" x14ac:dyDescent="0.25">
      <c r="B20" s="1" t="s">
        <v>55</v>
      </c>
      <c r="C20" s="20" t="s">
        <v>56</v>
      </c>
      <c r="D20" s="29" t="s">
        <v>57</v>
      </c>
      <c r="E20" s="30"/>
      <c r="F20" s="30" t="s">
        <v>26</v>
      </c>
      <c r="G20" s="31">
        <v>183012</v>
      </c>
      <c r="H20" s="32">
        <v>433.28</v>
      </c>
      <c r="I20" s="32">
        <v>3.25</v>
      </c>
      <c r="J20" s="33"/>
    </row>
    <row r="21" spans="2:10" x14ac:dyDescent="0.25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100000</v>
      </c>
      <c r="H21" s="32">
        <v>410.05</v>
      </c>
      <c r="I21" s="32">
        <v>3.08</v>
      </c>
      <c r="J21" s="33"/>
    </row>
    <row r="22" spans="2:10" x14ac:dyDescent="0.25">
      <c r="B22" s="1" t="s">
        <v>62</v>
      </c>
      <c r="C22" s="20" t="s">
        <v>63</v>
      </c>
      <c r="D22" s="29" t="s">
        <v>64</v>
      </c>
      <c r="E22" s="30"/>
      <c r="F22" s="30" t="s">
        <v>22</v>
      </c>
      <c r="G22" s="31">
        <v>5662</v>
      </c>
      <c r="H22" s="32">
        <v>334.87</v>
      </c>
      <c r="I22" s="32">
        <v>2.5099999999999998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86755</v>
      </c>
      <c r="H23" s="32">
        <v>333.66</v>
      </c>
      <c r="I23" s="32">
        <v>2.5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15844</v>
      </c>
      <c r="H24" s="32">
        <v>332.14</v>
      </c>
      <c r="I24" s="32">
        <v>2.4900000000000002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350000</v>
      </c>
      <c r="H25" s="32">
        <v>328.62</v>
      </c>
      <c r="I25" s="32">
        <v>2.46</v>
      </c>
      <c r="J25" s="33"/>
    </row>
    <row r="26" spans="2:10" x14ac:dyDescent="0.25">
      <c r="B26" s="1" t="s">
        <v>77</v>
      </c>
      <c r="C26" s="20" t="s">
        <v>78</v>
      </c>
      <c r="D26" s="29" t="s">
        <v>79</v>
      </c>
      <c r="E26" s="30"/>
      <c r="F26" s="30" t="s">
        <v>80</v>
      </c>
      <c r="G26" s="31">
        <v>211398</v>
      </c>
      <c r="H26" s="32">
        <v>327.88</v>
      </c>
      <c r="I26" s="32">
        <v>2.46</v>
      </c>
      <c r="J26" s="33"/>
    </row>
    <row r="27" spans="2:10" x14ac:dyDescent="0.25">
      <c r="B27" s="1" t="s">
        <v>81</v>
      </c>
      <c r="C27" s="20" t="s">
        <v>82</v>
      </c>
      <c r="D27" s="29" t="s">
        <v>83</v>
      </c>
      <c r="E27" s="30"/>
      <c r="F27" s="30" t="s">
        <v>84</v>
      </c>
      <c r="G27" s="31">
        <v>83104</v>
      </c>
      <c r="H27" s="32">
        <v>317.37</v>
      </c>
      <c r="I27" s="32">
        <v>2.38</v>
      </c>
      <c r="J27" s="33"/>
    </row>
    <row r="28" spans="2:10" x14ac:dyDescent="0.25">
      <c r="B28" s="1" t="s">
        <v>85</v>
      </c>
      <c r="C28" s="20" t="s">
        <v>86</v>
      </c>
      <c r="D28" s="29" t="s">
        <v>87</v>
      </c>
      <c r="E28" s="30"/>
      <c r="F28" s="30" t="s">
        <v>18</v>
      </c>
      <c r="G28" s="31">
        <v>3621441</v>
      </c>
      <c r="H28" s="32">
        <v>316.14999999999998</v>
      </c>
      <c r="I28" s="32">
        <v>2.37</v>
      </c>
      <c r="J28" s="33"/>
    </row>
    <row r="29" spans="2:10" x14ac:dyDescent="0.25">
      <c r="B29" s="1" t="s">
        <v>88</v>
      </c>
      <c r="C29" s="20" t="s">
        <v>89</v>
      </c>
      <c r="D29" s="29" t="s">
        <v>90</v>
      </c>
      <c r="E29" s="30"/>
      <c r="F29" s="30" t="s">
        <v>91</v>
      </c>
      <c r="G29" s="31">
        <v>210000</v>
      </c>
      <c r="H29" s="32">
        <v>292.11</v>
      </c>
      <c r="I29" s="32">
        <v>2.19</v>
      </c>
      <c r="J29" s="33"/>
    </row>
    <row r="30" spans="2:10" x14ac:dyDescent="0.25">
      <c r="B30" s="1" t="s">
        <v>92</v>
      </c>
      <c r="C30" s="20" t="s">
        <v>93</v>
      </c>
      <c r="D30" s="29" t="s">
        <v>94</v>
      </c>
      <c r="E30" s="30"/>
      <c r="F30" s="30" t="s">
        <v>54</v>
      </c>
      <c r="G30" s="31">
        <v>1000</v>
      </c>
      <c r="H30" s="32">
        <v>290.02999999999997</v>
      </c>
      <c r="I30" s="32">
        <v>2.1800000000000002</v>
      </c>
      <c r="J30" s="33"/>
    </row>
    <row r="31" spans="2:10" x14ac:dyDescent="0.25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19958</v>
      </c>
      <c r="H31" s="32">
        <v>289.20999999999998</v>
      </c>
      <c r="I31" s="32">
        <v>2.17</v>
      </c>
      <c r="J31" s="33"/>
    </row>
    <row r="32" spans="2:10" x14ac:dyDescent="0.25">
      <c r="B32" s="1" t="s">
        <v>99</v>
      </c>
      <c r="C32" s="20" t="s">
        <v>100</v>
      </c>
      <c r="D32" s="29" t="s">
        <v>101</v>
      </c>
      <c r="E32" s="30"/>
      <c r="F32" s="30" t="s">
        <v>26</v>
      </c>
      <c r="G32" s="31">
        <v>32264</v>
      </c>
      <c r="H32" s="32">
        <v>283.31</v>
      </c>
      <c r="I32" s="32">
        <v>2.12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135000</v>
      </c>
      <c r="H33" s="32">
        <v>278.37</v>
      </c>
      <c r="I33" s="32">
        <v>2.09</v>
      </c>
      <c r="J33" s="33"/>
    </row>
    <row r="34" spans="2:10" x14ac:dyDescent="0.25">
      <c r="B34" s="1" t="s">
        <v>106</v>
      </c>
      <c r="C34" s="20" t="s">
        <v>107</v>
      </c>
      <c r="D34" s="29" t="s">
        <v>108</v>
      </c>
      <c r="E34" s="30"/>
      <c r="F34" s="30" t="s">
        <v>80</v>
      </c>
      <c r="G34" s="31">
        <v>100622</v>
      </c>
      <c r="H34" s="32">
        <v>267.91000000000003</v>
      </c>
      <c r="I34" s="32">
        <v>2.0099999999999998</v>
      </c>
      <c r="J34" s="33"/>
    </row>
    <row r="35" spans="2:10" x14ac:dyDescent="0.25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11750</v>
      </c>
      <c r="H35" s="32">
        <v>263.69</v>
      </c>
      <c r="I35" s="32">
        <v>1.98</v>
      </c>
      <c r="J35" s="33"/>
    </row>
    <row r="36" spans="2:10" x14ac:dyDescent="0.25">
      <c r="B36" s="1" t="s">
        <v>113</v>
      </c>
      <c r="C36" s="20" t="s">
        <v>114</v>
      </c>
      <c r="D36" s="29" t="s">
        <v>115</v>
      </c>
      <c r="E36" s="30"/>
      <c r="F36" s="30" t="s">
        <v>50</v>
      </c>
      <c r="G36" s="31">
        <v>60496</v>
      </c>
      <c r="H36" s="32">
        <v>226.86</v>
      </c>
      <c r="I36" s="32">
        <v>1.7</v>
      </c>
      <c r="J36" s="33"/>
    </row>
    <row r="37" spans="2:10" x14ac:dyDescent="0.25">
      <c r="B37" s="1" t="s">
        <v>116</v>
      </c>
      <c r="C37" s="20" t="s">
        <v>117</v>
      </c>
      <c r="D37" s="29" t="s">
        <v>118</v>
      </c>
      <c r="E37" s="30"/>
      <c r="F37" s="30" t="s">
        <v>105</v>
      </c>
      <c r="G37" s="31">
        <v>30000</v>
      </c>
      <c r="H37" s="32">
        <v>222.65</v>
      </c>
      <c r="I37" s="32">
        <v>1.67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72</v>
      </c>
      <c r="G38" s="31">
        <v>11274</v>
      </c>
      <c r="H38" s="32">
        <v>212.1</v>
      </c>
      <c r="I38" s="32">
        <v>1.59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38</v>
      </c>
      <c r="G39" s="31">
        <v>11600</v>
      </c>
      <c r="H39" s="32">
        <v>200.54</v>
      </c>
      <c r="I39" s="32">
        <v>1.5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54</v>
      </c>
      <c r="G40" s="31">
        <v>7623</v>
      </c>
      <c r="H40" s="32">
        <v>200.05</v>
      </c>
      <c r="I40" s="32">
        <v>1.5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91</v>
      </c>
      <c r="G41" s="31">
        <v>3468</v>
      </c>
      <c r="H41" s="32">
        <v>186.4</v>
      </c>
      <c r="I41" s="32">
        <v>1.4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16200</v>
      </c>
      <c r="H42" s="32">
        <v>182.58</v>
      </c>
      <c r="I42" s="32">
        <v>1.37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134</v>
      </c>
      <c r="G43" s="31">
        <v>13184</v>
      </c>
      <c r="H43" s="32">
        <v>182.49</v>
      </c>
      <c r="I43" s="32">
        <v>1.37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84</v>
      </c>
      <c r="G44" s="31">
        <v>6224</v>
      </c>
      <c r="H44" s="32">
        <v>176.77</v>
      </c>
      <c r="I44" s="32">
        <v>1.33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84</v>
      </c>
      <c r="G45" s="31">
        <v>4347</v>
      </c>
      <c r="H45" s="32">
        <v>174.62</v>
      </c>
      <c r="I45" s="32">
        <v>1.31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84</v>
      </c>
      <c r="G46" s="31">
        <v>7579</v>
      </c>
      <c r="H46" s="32">
        <v>172.93</v>
      </c>
      <c r="I46" s="32">
        <v>1.3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91</v>
      </c>
      <c r="G47" s="31">
        <v>54754</v>
      </c>
      <c r="H47" s="32">
        <v>133.85</v>
      </c>
      <c r="I47" s="32">
        <v>1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50</v>
      </c>
      <c r="G48" s="31">
        <v>8030</v>
      </c>
      <c r="H48" s="32">
        <v>113.72</v>
      </c>
      <c r="I48" s="32">
        <v>0.85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100000</v>
      </c>
      <c r="H49" s="32">
        <v>111.6</v>
      </c>
      <c r="I49" s="32">
        <v>0.84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14090</v>
      </c>
      <c r="H50" s="32">
        <v>59.21</v>
      </c>
      <c r="I50" s="32">
        <v>0.44</v>
      </c>
      <c r="J50" s="33"/>
    </row>
    <row r="51" spans="2:10" x14ac:dyDescent="0.25">
      <c r="C51" s="28" t="s">
        <v>161</v>
      </c>
      <c r="D51" s="29"/>
      <c r="E51" s="30"/>
      <c r="F51" s="30"/>
      <c r="G51" s="31"/>
      <c r="H51" s="35">
        <v>12775.29</v>
      </c>
      <c r="I51" s="35">
        <v>95.81</v>
      </c>
      <c r="J51" s="33"/>
    </row>
    <row r="52" spans="2:10" x14ac:dyDescent="0.25">
      <c r="C52" s="20"/>
      <c r="D52" s="29"/>
      <c r="E52" s="30"/>
      <c r="F52" s="30"/>
      <c r="G52" s="31"/>
      <c r="H52" s="32"/>
      <c r="I52" s="32"/>
      <c r="J52" s="33"/>
    </row>
    <row r="53" spans="2:10" x14ac:dyDescent="0.25">
      <c r="C53" s="28" t="s">
        <v>162</v>
      </c>
      <c r="D53" s="29"/>
      <c r="E53" s="30"/>
      <c r="F53" s="30"/>
      <c r="G53" s="31"/>
      <c r="H53" s="32" t="s">
        <v>163</v>
      </c>
      <c r="I53" s="32" t="s">
        <v>163</v>
      </c>
      <c r="J53" s="33"/>
    </row>
    <row r="54" spans="2:10" x14ac:dyDescent="0.25">
      <c r="C54" s="20"/>
      <c r="D54" s="29"/>
      <c r="E54" s="30"/>
      <c r="F54" s="30"/>
      <c r="G54" s="31"/>
      <c r="H54" s="32"/>
      <c r="I54" s="32"/>
      <c r="J54" s="33"/>
    </row>
    <row r="55" spans="2:10" x14ac:dyDescent="0.25">
      <c r="C55" s="28" t="s">
        <v>164</v>
      </c>
      <c r="D55" s="29"/>
      <c r="E55" s="30"/>
      <c r="F55" s="30"/>
      <c r="G55" s="31"/>
      <c r="H55" s="32" t="s">
        <v>163</v>
      </c>
      <c r="I55" s="32" t="s">
        <v>163</v>
      </c>
      <c r="J55" s="33"/>
    </row>
    <row r="56" spans="2:10" x14ac:dyDescent="0.25">
      <c r="C56" s="20"/>
      <c r="D56" s="29"/>
      <c r="E56" s="30"/>
      <c r="F56" s="30"/>
      <c r="G56" s="31"/>
      <c r="H56" s="32"/>
      <c r="I56" s="32"/>
      <c r="J56" s="33"/>
    </row>
    <row r="57" spans="2:10" x14ac:dyDescent="0.25">
      <c r="C57" s="28" t="s">
        <v>165</v>
      </c>
      <c r="D57" s="29"/>
      <c r="E57" s="30"/>
      <c r="F57" s="30"/>
      <c r="G57" s="31"/>
      <c r="H57" s="32"/>
      <c r="I57" s="32"/>
      <c r="J57" s="33"/>
    </row>
    <row r="58" spans="2:10" x14ac:dyDescent="0.25">
      <c r="C58" s="20"/>
      <c r="D58" s="29"/>
      <c r="E58" s="30"/>
      <c r="F58" s="30"/>
      <c r="G58" s="31"/>
      <c r="H58" s="32"/>
      <c r="I58" s="32"/>
      <c r="J58" s="33"/>
    </row>
    <row r="59" spans="2:10" x14ac:dyDescent="0.25">
      <c r="C59" s="28" t="s">
        <v>166</v>
      </c>
      <c r="D59" s="29"/>
      <c r="E59" s="30"/>
      <c r="F59" s="30"/>
      <c r="G59" s="31"/>
      <c r="H59" s="32" t="s">
        <v>163</v>
      </c>
      <c r="I59" s="32" t="s">
        <v>163</v>
      </c>
      <c r="J59" s="33"/>
    </row>
    <row r="60" spans="2:10" x14ac:dyDescent="0.25">
      <c r="C60" s="20"/>
      <c r="D60" s="29"/>
      <c r="E60" s="30"/>
      <c r="F60" s="30"/>
      <c r="G60" s="31"/>
      <c r="H60" s="32"/>
      <c r="I60" s="32"/>
      <c r="J60" s="33"/>
    </row>
    <row r="61" spans="2:10" x14ac:dyDescent="0.25">
      <c r="C61" s="28" t="s">
        <v>167</v>
      </c>
      <c r="D61" s="29"/>
      <c r="E61" s="30"/>
      <c r="F61" s="30"/>
      <c r="G61" s="31"/>
      <c r="H61" s="32" t="s">
        <v>163</v>
      </c>
      <c r="I61" s="32" t="s">
        <v>163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28" t="s">
        <v>168</v>
      </c>
      <c r="D63" s="29"/>
      <c r="E63" s="30"/>
      <c r="F63" s="30"/>
      <c r="G63" s="31"/>
      <c r="H63" s="32" t="s">
        <v>163</v>
      </c>
      <c r="I63" s="32" t="s">
        <v>163</v>
      </c>
      <c r="J63" s="33"/>
    </row>
    <row r="64" spans="2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169</v>
      </c>
      <c r="D65" s="29"/>
      <c r="E65" s="30"/>
      <c r="F65" s="30"/>
      <c r="G65" s="31"/>
      <c r="H65" s="32" t="s">
        <v>163</v>
      </c>
      <c r="I65" s="32" t="s">
        <v>163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170</v>
      </c>
      <c r="D67" s="29"/>
      <c r="E67" s="30"/>
      <c r="F67" s="30"/>
      <c r="G67" s="31"/>
      <c r="H67" s="32" t="s">
        <v>163</v>
      </c>
      <c r="I67" s="32" t="s">
        <v>163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171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172</v>
      </c>
      <c r="D71" s="29"/>
      <c r="E71" s="30"/>
      <c r="F71" s="30"/>
      <c r="G71" s="31"/>
      <c r="H71" s="32" t="s">
        <v>163</v>
      </c>
      <c r="I71" s="32" t="s">
        <v>163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173</v>
      </c>
      <c r="D73" s="29"/>
      <c r="E73" s="30"/>
      <c r="F73" s="30"/>
      <c r="G73" s="31"/>
      <c r="H73" s="32" t="s">
        <v>163</v>
      </c>
      <c r="I73" s="32" t="s">
        <v>163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174</v>
      </c>
      <c r="D75" s="29"/>
      <c r="E75" s="30"/>
      <c r="F75" s="30"/>
      <c r="G75" s="31"/>
      <c r="H75" s="32" t="s">
        <v>163</v>
      </c>
      <c r="I75" s="32" t="s">
        <v>163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175</v>
      </c>
      <c r="D77" s="29"/>
      <c r="E77" s="30"/>
      <c r="F77" s="30"/>
      <c r="G77" s="31"/>
      <c r="H77" s="32" t="s">
        <v>163</v>
      </c>
      <c r="I77" s="32" t="s">
        <v>163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176</v>
      </c>
      <c r="D79" s="29"/>
      <c r="E79" s="30"/>
      <c r="F79" s="30"/>
      <c r="G79" s="31"/>
      <c r="H79" s="32"/>
      <c r="I79" s="32"/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177</v>
      </c>
      <c r="D81" s="29"/>
      <c r="E81" s="30"/>
      <c r="F81" s="30"/>
      <c r="G81" s="31"/>
      <c r="H81" s="32" t="s">
        <v>163</v>
      </c>
      <c r="I81" s="32" t="s">
        <v>163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178</v>
      </c>
      <c r="D83" s="29"/>
      <c r="E83" s="30"/>
      <c r="F83" s="30"/>
      <c r="G83" s="31"/>
      <c r="H83" s="32" t="s">
        <v>163</v>
      </c>
      <c r="I83" s="32" t="s">
        <v>163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179</v>
      </c>
      <c r="D85" s="29"/>
      <c r="E85" s="30"/>
      <c r="F85" s="30"/>
      <c r="G85" s="31"/>
      <c r="H85" s="32" t="s">
        <v>163</v>
      </c>
      <c r="I85" s="32" t="s">
        <v>163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180</v>
      </c>
      <c r="D87" s="29"/>
      <c r="E87" s="30"/>
      <c r="F87" s="30"/>
      <c r="G87" s="31"/>
      <c r="H87" s="32" t="s">
        <v>163</v>
      </c>
      <c r="I87" s="32" t="s">
        <v>163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181</v>
      </c>
      <c r="D89" s="29"/>
      <c r="E89" s="30"/>
      <c r="F89" s="30"/>
      <c r="G89" s="31"/>
      <c r="H89" s="32" t="s">
        <v>163</v>
      </c>
      <c r="I89" s="32" t="s">
        <v>163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C91" s="28" t="s">
        <v>182</v>
      </c>
      <c r="D91" s="29"/>
      <c r="E91" s="30"/>
      <c r="F91" s="30"/>
      <c r="G91" s="31"/>
      <c r="H91" s="32" t="s">
        <v>163</v>
      </c>
      <c r="I91" s="32" t="s">
        <v>163</v>
      </c>
      <c r="J91" s="33"/>
    </row>
    <row r="92" spans="1:10" x14ac:dyDescent="0.25">
      <c r="C92" s="20"/>
      <c r="D92" s="29"/>
      <c r="E92" s="30"/>
      <c r="F92" s="30"/>
      <c r="G92" s="31"/>
      <c r="H92" s="32"/>
      <c r="I92" s="32"/>
      <c r="J92" s="33"/>
    </row>
    <row r="93" spans="1:10" x14ac:dyDescent="0.25">
      <c r="A93" s="26"/>
      <c r="B93" s="27"/>
      <c r="C93" s="28" t="s">
        <v>183</v>
      </c>
      <c r="D93" s="29"/>
      <c r="E93" s="30"/>
      <c r="F93" s="30"/>
      <c r="G93" s="31"/>
      <c r="H93" s="32"/>
      <c r="I93" s="32"/>
      <c r="J93" s="33"/>
    </row>
    <row r="94" spans="1:10" x14ac:dyDescent="0.25">
      <c r="B94" s="1"/>
      <c r="C94" s="20" t="s">
        <v>184</v>
      </c>
      <c r="D94" s="29"/>
      <c r="E94" s="30"/>
      <c r="F94" s="30"/>
      <c r="G94" s="31"/>
      <c r="H94" s="32">
        <v>559.45000000000005</v>
      </c>
      <c r="I94" s="32">
        <v>4.1900000000000004</v>
      </c>
      <c r="J94" s="33"/>
    </row>
    <row r="95" spans="1:10" x14ac:dyDescent="0.25">
      <c r="C95" s="28" t="s">
        <v>161</v>
      </c>
      <c r="D95" s="29"/>
      <c r="E95" s="30"/>
      <c r="F95" s="30"/>
      <c r="G95" s="31"/>
      <c r="H95" s="35">
        <v>559.45000000000005</v>
      </c>
      <c r="I95" s="35">
        <v>4.1900000000000004</v>
      </c>
      <c r="J95" s="33"/>
    </row>
    <row r="96" spans="1:10" x14ac:dyDescent="0.25">
      <c r="C96" s="20"/>
      <c r="D96" s="29"/>
      <c r="E96" s="30"/>
      <c r="F96" s="30"/>
      <c r="G96" s="31"/>
      <c r="H96" s="32"/>
      <c r="I96" s="32"/>
      <c r="J96" s="33"/>
    </row>
    <row r="97" spans="3:10" ht="14.25" thickBot="1" x14ac:dyDescent="0.3">
      <c r="C97" s="36" t="s">
        <v>185</v>
      </c>
      <c r="D97" s="37"/>
      <c r="E97" s="38"/>
      <c r="F97" s="39"/>
      <c r="G97" s="40"/>
      <c r="H97" s="41">
        <v>13334.74</v>
      </c>
      <c r="I97" s="41">
        <f>SUMIFS(I:I,C:C,"Total")</f>
        <v>100</v>
      </c>
      <c r="J97" s="42"/>
    </row>
    <row r="100" spans="3:10" x14ac:dyDescent="0.25">
      <c r="C100" s="11" t="s">
        <v>186</v>
      </c>
    </row>
    <row r="101" spans="3:10" x14ac:dyDescent="0.25">
      <c r="C101" s="2" t="s">
        <v>187</v>
      </c>
    </row>
    <row r="102" spans="3:10" x14ac:dyDescent="0.25">
      <c r="C102" s="2" t="s">
        <v>188</v>
      </c>
    </row>
    <row r="103" spans="3:10" x14ac:dyDescent="0.25">
      <c r="C103" s="2" t="s">
        <v>189</v>
      </c>
    </row>
    <row r="104" spans="3:10" x14ac:dyDescent="0.25">
      <c r="C104" s="2" t="s">
        <v>190</v>
      </c>
    </row>
    <row r="105" spans="3:10" x14ac:dyDescent="0.25">
      <c r="C105" s="2" t="s">
        <v>191</v>
      </c>
    </row>
    <row r="106" spans="3:10" ht="14.25" thickBot="1" x14ac:dyDescent="0.3">
      <c r="C106" s="2" t="s">
        <v>192</v>
      </c>
    </row>
    <row r="107" spans="3:10" ht="14.25" thickBot="1" x14ac:dyDescent="0.3">
      <c r="C107" s="43"/>
      <c r="D107" s="52" t="s">
        <v>193</v>
      </c>
      <c r="E107" s="53"/>
    </row>
    <row r="108" spans="3:10" x14ac:dyDescent="0.25">
      <c r="C108" s="44" t="s">
        <v>194</v>
      </c>
      <c r="D108" s="45" t="s">
        <v>195</v>
      </c>
      <c r="E108" s="46" t="s">
        <v>195</v>
      </c>
    </row>
    <row r="109" spans="3:10" ht="14.25" thickBot="1" x14ac:dyDescent="0.3">
      <c r="C109" s="47"/>
      <c r="D109" s="48" t="s">
        <v>196</v>
      </c>
      <c r="E109" s="49" t="s">
        <v>197</v>
      </c>
    </row>
    <row r="110" spans="3:10" ht="14.25" thickBot="1" x14ac:dyDescent="0.3">
      <c r="C110" s="50" t="s">
        <v>198</v>
      </c>
      <c r="D110" s="51">
        <v>106.61</v>
      </c>
      <c r="E110" s="51">
        <v>110.39</v>
      </c>
    </row>
    <row r="111" spans="3:10" ht="14.25" thickBot="1" x14ac:dyDescent="0.3">
      <c r="C111" s="50" t="s">
        <v>199</v>
      </c>
      <c r="D111" s="51">
        <v>119.6</v>
      </c>
      <c r="E111" s="51">
        <v>123.84</v>
      </c>
    </row>
    <row r="112" spans="3:10" ht="14.25" thickBot="1" x14ac:dyDescent="0.3">
      <c r="C112" s="50" t="s">
        <v>200</v>
      </c>
      <c r="D112" s="51">
        <v>112.24</v>
      </c>
      <c r="E112" s="51">
        <v>116.27</v>
      </c>
    </row>
    <row r="113" spans="3:5" ht="14.25" thickBot="1" x14ac:dyDescent="0.3">
      <c r="C113" s="50" t="s">
        <v>201</v>
      </c>
      <c r="D113" s="51">
        <v>126.35</v>
      </c>
      <c r="E113" s="51">
        <v>130.88</v>
      </c>
    </row>
    <row r="115" spans="3:5" x14ac:dyDescent="0.25">
      <c r="C115" s="2" t="s">
        <v>202</v>
      </c>
    </row>
    <row r="116" spans="3:5" x14ac:dyDescent="0.25">
      <c r="C116" s="2" t="s">
        <v>203</v>
      </c>
    </row>
    <row r="117" spans="3:5" x14ac:dyDescent="0.25">
      <c r="C117" s="2" t="s">
        <v>204</v>
      </c>
    </row>
    <row r="118" spans="3:5" x14ac:dyDescent="0.25">
      <c r="C118" s="2" t="s">
        <v>205</v>
      </c>
    </row>
    <row r="119" spans="3:5" x14ac:dyDescent="0.25">
      <c r="C119" s="2" t="s">
        <v>206</v>
      </c>
    </row>
    <row r="120" spans="3:5" x14ac:dyDescent="0.25">
      <c r="C120" s="2" t="s">
        <v>207</v>
      </c>
    </row>
    <row r="121" spans="3:5" x14ac:dyDescent="0.25">
      <c r="C121" s="2" t="s">
        <v>208</v>
      </c>
    </row>
    <row r="122" spans="3:5" x14ac:dyDescent="0.25">
      <c r="C122" s="2" t="s">
        <v>209</v>
      </c>
    </row>
    <row r="123" spans="3:5" x14ac:dyDescent="0.25">
      <c r="C123" s="2" t="s">
        <v>210</v>
      </c>
    </row>
  </sheetData>
  <mergeCells count="1">
    <mergeCell ref="D107:E107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F887-432E-436C-B867-079F0C171CC3}">
  <dimension ref="C3:M17"/>
  <sheetViews>
    <sheetView workbookViewId="0"/>
  </sheetViews>
  <sheetFormatPr defaultRowHeight="15" x14ac:dyDescent="0.25"/>
  <cols>
    <col min="3" max="3" width="45.42578125" customWidth="1"/>
    <col min="4" max="4" width="6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2" bestFit="1" customWidth="1"/>
  </cols>
  <sheetData>
    <row r="3" spans="3:13" ht="15.75" x14ac:dyDescent="0.25">
      <c r="C3" s="54" t="s">
        <v>211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212</v>
      </c>
      <c r="D4" s="57" t="s">
        <v>213</v>
      </c>
      <c r="E4" s="57"/>
      <c r="F4" s="57" t="s">
        <v>214</v>
      </c>
      <c r="G4" s="57"/>
      <c r="H4" s="57" t="s">
        <v>215</v>
      </c>
      <c r="I4" s="57"/>
      <c r="J4" s="58" t="s">
        <v>216</v>
      </c>
      <c r="K4" s="59"/>
      <c r="L4" s="60" t="s">
        <v>217</v>
      </c>
      <c r="M4" s="60"/>
    </row>
    <row r="5" spans="3:13" ht="63.75" x14ac:dyDescent="0.25">
      <c r="C5" s="61"/>
      <c r="D5" s="62" t="s">
        <v>218</v>
      </c>
      <c r="E5" s="62" t="s">
        <v>219</v>
      </c>
      <c r="F5" s="62" t="s">
        <v>218</v>
      </c>
      <c r="G5" s="62" t="s">
        <v>219</v>
      </c>
      <c r="H5" s="62" t="s">
        <v>218</v>
      </c>
      <c r="I5" s="62" t="s">
        <v>219</v>
      </c>
      <c r="J5" s="62" t="s">
        <v>218</v>
      </c>
      <c r="K5" s="62" t="s">
        <v>219</v>
      </c>
      <c r="L5" s="63" t="s">
        <v>218</v>
      </c>
      <c r="M5" s="63" t="s">
        <v>219</v>
      </c>
    </row>
    <row r="6" spans="3:13" x14ac:dyDescent="0.25">
      <c r="C6" s="64" t="s">
        <v>220</v>
      </c>
      <c r="D6" s="65">
        <v>1.9931000000000001</v>
      </c>
      <c r="E6" s="65">
        <v>10199.308186460221</v>
      </c>
      <c r="F6" s="65">
        <v>17.579799999999999</v>
      </c>
      <c r="G6" s="65">
        <v>16228.541475560216</v>
      </c>
      <c r="H6" s="65">
        <v>21.1812</v>
      </c>
      <c r="I6" s="65">
        <v>26159.695817490494</v>
      </c>
      <c r="J6" s="65">
        <v>15.1081</v>
      </c>
      <c r="K6" s="65">
        <v>40884.780455595908</v>
      </c>
      <c r="L6" s="65">
        <v>8.4064999999999994</v>
      </c>
      <c r="M6" s="65">
        <v>123840</v>
      </c>
    </row>
    <row r="7" spans="3:13" x14ac:dyDescent="0.25">
      <c r="C7" s="64" t="s">
        <v>221</v>
      </c>
      <c r="D7" s="65">
        <v>6.1954000000000002</v>
      </c>
      <c r="E7" s="65">
        <v>10619.54</v>
      </c>
      <c r="F7" s="65">
        <v>23.611599999999999</v>
      </c>
      <c r="G7" s="65">
        <v>18887.639441044092</v>
      </c>
      <c r="H7" s="65">
        <v>28.582999999999998</v>
      </c>
      <c r="I7" s="65">
        <v>35149.388250966564</v>
      </c>
      <c r="J7" s="65">
        <v>18.449300000000001</v>
      </c>
      <c r="K7" s="65">
        <v>23316.453441720318</v>
      </c>
      <c r="L7" s="65" t="s">
        <v>222</v>
      </c>
      <c r="M7" s="65" t="s">
        <v>222</v>
      </c>
    </row>
    <row r="8" spans="3:13" x14ac:dyDescent="0.25">
      <c r="C8" s="64" t="s">
        <v>223</v>
      </c>
      <c r="D8" s="65">
        <v>7.5879000000000003</v>
      </c>
      <c r="E8" s="65">
        <v>10758.79</v>
      </c>
      <c r="F8" s="65">
        <v>13.8985</v>
      </c>
      <c r="G8" s="65">
        <v>14775.902403238213</v>
      </c>
      <c r="H8" s="65">
        <v>18.561499999999999</v>
      </c>
      <c r="I8" s="65">
        <v>23427.094320875454</v>
      </c>
      <c r="J8" s="65">
        <v>13.668900000000001</v>
      </c>
      <c r="K8" s="65">
        <v>18976.157934478382</v>
      </c>
      <c r="L8" s="65">
        <v>11.355499999999999</v>
      </c>
      <c r="M8" s="65">
        <v>285925.16538927006</v>
      </c>
    </row>
    <row r="9" spans="3:13" x14ac:dyDescent="0.25">
      <c r="C9" s="64" t="s">
        <v>224</v>
      </c>
      <c r="D9" s="66">
        <v>121.42</v>
      </c>
      <c r="E9" s="67"/>
      <c r="F9" s="66">
        <v>76.31</v>
      </c>
      <c r="G9" s="67"/>
      <c r="H9" s="66">
        <v>47.34</v>
      </c>
      <c r="I9" s="67"/>
      <c r="J9" s="66">
        <v>30.29</v>
      </c>
      <c r="K9" s="67"/>
      <c r="L9" s="66">
        <v>10</v>
      </c>
      <c r="M9" s="67"/>
    </row>
    <row r="11" spans="3:13" ht="15.75" x14ac:dyDescent="0.25">
      <c r="C11" s="54" t="s">
        <v>226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212</v>
      </c>
      <c r="D12" s="57" t="s">
        <v>213</v>
      </c>
      <c r="E12" s="57"/>
      <c r="F12" s="57" t="s">
        <v>214</v>
      </c>
      <c r="G12" s="57"/>
      <c r="H12" s="57" t="s">
        <v>215</v>
      </c>
      <c r="I12" s="57"/>
      <c r="J12" s="58" t="s">
        <v>216</v>
      </c>
      <c r="K12" s="59"/>
      <c r="L12" s="60" t="s">
        <v>217</v>
      </c>
      <c r="M12" s="60"/>
    </row>
    <row r="13" spans="3:13" ht="63.75" x14ac:dyDescent="0.25">
      <c r="C13" s="61"/>
      <c r="D13" s="62" t="s">
        <v>218</v>
      </c>
      <c r="E13" s="62" t="s">
        <v>219</v>
      </c>
      <c r="F13" s="62" t="s">
        <v>218</v>
      </c>
      <c r="G13" s="62" t="s">
        <v>219</v>
      </c>
      <c r="H13" s="62" t="s">
        <v>218</v>
      </c>
      <c r="I13" s="62" t="s">
        <v>219</v>
      </c>
      <c r="J13" s="62" t="s">
        <v>218</v>
      </c>
      <c r="K13" s="62" t="s">
        <v>219</v>
      </c>
      <c r="L13" s="63" t="s">
        <v>218</v>
      </c>
      <c r="M13" s="63" t="s">
        <v>219</v>
      </c>
    </row>
    <row r="14" spans="3:13" x14ac:dyDescent="0.25">
      <c r="C14" s="64" t="s">
        <v>220</v>
      </c>
      <c r="D14" s="65">
        <v>2.4260000000000002</v>
      </c>
      <c r="E14" s="65">
        <v>10242.604476443887</v>
      </c>
      <c r="F14" s="65">
        <v>18.0304</v>
      </c>
      <c r="G14" s="65">
        <v>16415.401981688196</v>
      </c>
      <c r="H14" s="65">
        <v>21.626899999999999</v>
      </c>
      <c r="I14" s="65">
        <v>26644.951140065146</v>
      </c>
      <c r="J14" s="65">
        <v>15.594200000000001</v>
      </c>
      <c r="K14" s="65">
        <v>42645.812968393613</v>
      </c>
      <c r="L14" s="65">
        <v>16.811299999999999</v>
      </c>
      <c r="M14" s="65">
        <v>73901.750423489546</v>
      </c>
    </row>
    <row r="15" spans="3:13" x14ac:dyDescent="0.25">
      <c r="C15" s="64" t="s">
        <v>221</v>
      </c>
      <c r="D15" s="65">
        <v>6.1954000000000002</v>
      </c>
      <c r="E15" s="65">
        <v>10619.54</v>
      </c>
      <c r="F15" s="65">
        <v>23.611599999999999</v>
      </c>
      <c r="G15" s="65">
        <v>18887.639441044092</v>
      </c>
      <c r="H15" s="65">
        <v>28.582999999999998</v>
      </c>
      <c r="I15" s="65">
        <v>35149.388250966564</v>
      </c>
      <c r="J15" s="65">
        <v>18.449300000000001</v>
      </c>
      <c r="K15" s="65">
        <v>23316.453441720318</v>
      </c>
      <c r="L15" s="65">
        <v>18.889700000000001</v>
      </c>
      <c r="M15" s="65">
        <v>92155.769319043131</v>
      </c>
    </row>
    <row r="16" spans="3:13" x14ac:dyDescent="0.25">
      <c r="C16" s="64" t="s">
        <v>223</v>
      </c>
      <c r="D16" s="65">
        <v>7.5879000000000003</v>
      </c>
      <c r="E16" s="65">
        <v>10758.79</v>
      </c>
      <c r="F16" s="65">
        <v>13.8985</v>
      </c>
      <c r="G16" s="65">
        <v>14775.902403238213</v>
      </c>
      <c r="H16" s="65">
        <v>18.561499999999999</v>
      </c>
      <c r="I16" s="65">
        <v>23427.094320875454</v>
      </c>
      <c r="J16" s="65">
        <v>13.668900000000001</v>
      </c>
      <c r="K16" s="65">
        <v>18976.157934478382</v>
      </c>
      <c r="L16" s="65">
        <v>13.3986</v>
      </c>
      <c r="M16" s="65">
        <v>50225.399535313605</v>
      </c>
    </row>
    <row r="17" spans="3:13" x14ac:dyDescent="0.25">
      <c r="C17" s="64" t="s">
        <v>225</v>
      </c>
      <c r="D17" s="66">
        <v>127.78</v>
      </c>
      <c r="E17" s="67"/>
      <c r="F17" s="66">
        <v>79.73</v>
      </c>
      <c r="G17" s="67"/>
      <c r="H17" s="66">
        <v>49.12</v>
      </c>
      <c r="I17" s="67"/>
      <c r="J17" s="66">
        <v>30.69</v>
      </c>
      <c r="K17" s="67"/>
      <c r="L17" s="66">
        <v>17.71</v>
      </c>
      <c r="M17" s="67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2025-11-07T02:40:02Z</dcterms:created>
  <dcterms:modified xsi:type="dcterms:W3CDTF">2025-11-07T13:39:00Z</dcterms:modified>
</cp:coreProperties>
</file>