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38353A7C-1FDE-4B46-BF93-E08B3F2091FE}" xr6:coauthVersionLast="47" xr6:coauthVersionMax="47" xr10:uidLastSave="{00000000-0000-0000-0000-000000000000}"/>
  <bookViews>
    <workbookView xWindow="-120" yWindow="-120" windowWidth="20730" windowHeight="11040" xr2:uid="{550257B3-8425-4C3A-BDDA-7E6CE37CBFCD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TBF!$D$10:$D$90</definedName>
    <definedName name="XDO_?FINAL_MV?">TBF!$H$10:$H$90</definedName>
    <definedName name="XDO_?FINAL_NAME?">TBF!$C$10:$C$90</definedName>
    <definedName name="XDO_?FINAL_PER_NET?">TBF!$I$10:$I$90</definedName>
    <definedName name="XDO_?FINAL_QUANTITE?">TBF!$G$10:$G$90</definedName>
    <definedName name="XDO_?IND_01?">TBF!$F$10:$F$90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TBF!$B$10:$B$90</definedName>
    <definedName name="XDO_?NPTF?">TBF!$D$2:$D$45</definedName>
    <definedName name="XDO_?RATING?">TBF!$E$10:$E$90</definedName>
    <definedName name="XDO_?REMARKS?">TBF!$J$10:$J$90</definedName>
    <definedName name="XDO_?TDATE?">TBF!$D$4</definedName>
    <definedName name="XDO_?TITL?">TBF!$A$8:$A$45</definedName>
    <definedName name="XDO_GROUP_?G_2?">TBF!$2:$93</definedName>
    <definedName name="XDO_GROUP_?G_3?">TBF!$8:$92</definedName>
    <definedName name="XDO_GROUP_?G_4?">TBF!$B$90:$IV$90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<sst xmlns="http://schemas.openxmlformats.org/spreadsheetml/2006/main" count="282" uniqueCount="213">
  <si>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</si>
  <si>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</si>
  <si>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</si>
  <si>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</si>
  <si>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</si>
  <si>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</si>
  <si>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</si>
  <si>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</si>
  <si>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</si>
  <si>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</si>
  <si>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</si>
  <si>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</si>
  <si>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</si>
  <si>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</si>
  <si>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</si>
  <si>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</si>
  <si>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</si>
  <si>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</si>
  <si>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</si>
  <si>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</si>
  <si>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</si>
  <si>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</si>
  <si>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</si>
  <si>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</si>
  <si>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</si>
  <si>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</si>
  <si>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</si>
  <si>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</si>
  <si>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</si>
  <si>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</si>
  <si>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</si>
  <si>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</si>
  <si>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</si>
  <si>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100169</t>
  </si>
  <si>
    <t>Indian Oil Corporation Ltd.</t>
  </si>
  <si>
    <t>INE242A01010</t>
  </si>
  <si>
    <t>100019</t>
  </si>
  <si>
    <t>ITC Ltd.</t>
  </si>
  <si>
    <t>INE154A01025</t>
  </si>
  <si>
    <t>Diversified FMCG</t>
  </si>
  <si>
    <t>101313</t>
  </si>
  <si>
    <t>Eternal Ltd.</t>
  </si>
  <si>
    <t>INE758T01015</t>
  </si>
  <si>
    <t>Retailing</t>
  </si>
  <si>
    <t>100182</t>
  </si>
  <si>
    <t>Power Grid Corporation of India Ltd.</t>
  </si>
  <si>
    <t>INE752E01010</t>
  </si>
  <si>
    <t>Power</t>
  </si>
  <si>
    <t>100024</t>
  </si>
  <si>
    <t>Axis Bank Ltd.</t>
  </si>
  <si>
    <t>INE238A01034</t>
  </si>
  <si>
    <t>100380</t>
  </si>
  <si>
    <t>Bajaj Finserv Ltd.</t>
  </si>
  <si>
    <t>INE918I01026</t>
  </si>
  <si>
    <t>Finance</t>
  </si>
  <si>
    <t>100153</t>
  </si>
  <si>
    <t>Cipla Ltd.</t>
  </si>
  <si>
    <t>INE059A01026</t>
  </si>
  <si>
    <t>Pharmaceuticals &amp; Biotechnology</t>
  </si>
  <si>
    <t>100830</t>
  </si>
  <si>
    <t>Varun Beverages Ltd.</t>
  </si>
  <si>
    <t>INE200M01039</t>
  </si>
  <si>
    <t>Beverages</t>
  </si>
  <si>
    <t>100759</t>
  </si>
  <si>
    <t>The New India Assurance Co. Ltd.</t>
  </si>
  <si>
    <t>INE470Y01017</t>
  </si>
  <si>
    <t>Insurance</t>
  </si>
  <si>
    <t>100097</t>
  </si>
  <si>
    <t>Coal India Ltd.</t>
  </si>
  <si>
    <t>INE522F01014</t>
  </si>
  <si>
    <t>Consumable Fuels</t>
  </si>
  <si>
    <t>100302</t>
  </si>
  <si>
    <t>DLF Ltd.</t>
  </si>
  <si>
    <t>INE271C01023</t>
  </si>
  <si>
    <t>Realty</t>
  </si>
  <si>
    <t>100111</t>
  </si>
  <si>
    <t>Oil &amp; Natural Gas Corporation Ltd.</t>
  </si>
  <si>
    <t>INE213A01029</t>
  </si>
  <si>
    <t>Oil</t>
  </si>
  <si>
    <t>100095</t>
  </si>
  <si>
    <t>Bharti Airtel Ltd.</t>
  </si>
  <si>
    <t>INE397D01024</t>
  </si>
  <si>
    <t>Telecom - Services</t>
  </si>
  <si>
    <t>100112</t>
  </si>
  <si>
    <t>Punjab National Bank</t>
  </si>
  <si>
    <t>INE160A01022</t>
  </si>
  <si>
    <t>100008</t>
  </si>
  <si>
    <t>Sun Pharmaceutical Industries Ltd.</t>
  </si>
  <si>
    <t>INE044A01036</t>
  </si>
  <si>
    <t>102094</t>
  </si>
  <si>
    <t>HBL Engineering Ltd.</t>
  </si>
  <si>
    <t>INE292B01021</t>
  </si>
  <si>
    <t>Industrial Products</t>
  </si>
  <si>
    <t>100399</t>
  </si>
  <si>
    <t>Cholamandalam Investment &amp; Finance Co. Ltd.</t>
  </si>
  <si>
    <t>INE121A01024</t>
  </si>
  <si>
    <t>100083</t>
  </si>
  <si>
    <t>Samvardhana Motherson International Ltd.</t>
  </si>
  <si>
    <t>INE775A01035</t>
  </si>
  <si>
    <t>Auto Components</t>
  </si>
  <si>
    <t>102520</t>
  </si>
  <si>
    <t>Transrail Lighting Ltd.</t>
  </si>
  <si>
    <t>INE454P01035</t>
  </si>
  <si>
    <t>Electrical Equipment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</si>
  <si>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</si>
  <si>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</si>
  <si>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</si>
  <si>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</si>
  <si>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</si>
  <si>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</si>
  <si>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</si>
  <si>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</si>
  <si>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100037</t>
  </si>
  <si>
    <t>HCL Technologies Ltd.</t>
  </si>
  <si>
    <t>INE860A01027</t>
  </si>
  <si>
    <t>100122</t>
  </si>
  <si>
    <t>Union Bank of India</t>
  </si>
  <si>
    <t>INE692A01016</t>
  </si>
  <si>
    <t>100106</t>
  </si>
  <si>
    <t>Maruti Suzuki India Ltd.</t>
  </si>
  <si>
    <t>INE585B01010</t>
  </si>
  <si>
    <t>101178</t>
  </si>
  <si>
    <t>Computer Age Management Services Ltd.</t>
  </si>
  <si>
    <t>INE596I01012</t>
  </si>
  <si>
    <t>Capital Markets</t>
  </si>
  <si>
    <t>100081</t>
  </si>
  <si>
    <t>Titan Company Ltd.</t>
  </si>
  <si>
    <t>INE280A01028</t>
  </si>
  <si>
    <t>Consumer Durables</t>
  </si>
  <si>
    <t>102005</t>
  </si>
  <si>
    <t>Tata Technologies Ltd.</t>
  </si>
  <si>
    <t>INE142M01025</t>
  </si>
  <si>
    <t>IT - Services</t>
  </si>
  <si>
    <t>100155</t>
  </si>
  <si>
    <t>Divi's Laboratories Ltd.</t>
  </si>
  <si>
    <t>INE361B01024</t>
  </si>
  <si>
    <t>100181</t>
  </si>
  <si>
    <t>NTPC Ltd.</t>
  </si>
  <si>
    <t>INE733E01010</t>
  </si>
  <si>
    <t>100050</t>
  </si>
  <si>
    <t>Trent Ltd.</t>
  </si>
  <si>
    <t>INE849A01020</t>
  </si>
  <si>
    <t>102554</t>
  </si>
  <si>
    <t>ITC Hotels Ltd.</t>
  </si>
  <si>
    <t>INE379A01028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</si>
  <si>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</si>
  <si>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</si>
  <si>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</si>
  <si>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</si>
  <si>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</si>
  <si>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</si>
  <si>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</si>
  <si>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</si>
  <si>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</si>
  <si>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</si>
  <si>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</si>
  <si>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</si>
  <si>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</si>
  <si>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</si>
  <si>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</si>
  <si>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</si>
  <si>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</si>
  <si>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</si>
  <si>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</si>
  <si>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</si>
  <si>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</si>
  <si>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</si>
  <si>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</si>
  <si>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</si>
  <si>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</si>
  <si>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</si>
  <si>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</si>
  <si>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</si>
  <si>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</si>
  <si>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</si>
  <si>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</si>
  <si>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</si>
  <si>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</si>
  <si>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</si>
  <si>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</si>
  <si>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</si>
  <si>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</si>
  <si>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</si>
  <si>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</si>
  <si>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</si>
  <si>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</si>
  <si>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</si>
  <si>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</si>
  <si>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</si>
  <si>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 xml:space="preserve">                 </t>
  </si>
  <si>
    <t>6. The Scheme did not declare any dividend during the month ended As on 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</si>
  <si>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</si>
  <si>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</si>
  <si>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</si>
  <si>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0.79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</si>
  <si>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</si>
  <si>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</si>
  <si>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</si>
  <si>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</si>
  <si>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</si>
  <si>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</si>
  <si>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</si>
  <si>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</si>
  <si>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</si>
  <si>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</si>
  <si>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</si>
  <si>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</si>
  <si>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</si>
  <si>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</si>
  <si>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</si>
  <si>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April 30,2025 :150.66)</t>
  </si>
  <si>
    <t>NAV [Rs.] Per Unit (as on April 30,2025 :159.33)</t>
  </si>
  <si>
    <t>Taurus Largecap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</si>
</sst>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1E4DD11-E484-43DB-B304-655134A84478}"/>
    <cellStyle name="Hyperlink" xfId="2" builtinId="8"/>
    <cellStyle name="Normal" xfId="0" builtinId="0"/>
    <cellStyle name="Normal 2" xfId="4" xr:uid="{C13BD7BB-1A09-445A-A140-5C12D7D146A7}"/>
    <cellStyle name="Style 1" xfId="3" xr:uid="{868104E3-1662-4D41-A19D-389C23795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E9B1C-4BC7-4736-B753-90C7658A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40CB-D910-498B-AFA9-B263BCE9EAAD}">
  <sheetPr codeName="Sheet1"/>
  <dimension ref="A1:BB11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21562</v>
      </c>
      <c r="H10" s="32">
        <v>414.8</v>
      </c>
      <c r="I10" s="32">
        <v>8.56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22452</v>
      </c>
      <c r="H11" s="32">
        <v>319.39</v>
      </c>
      <c r="I11" s="32">
        <v>6.59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9520</v>
      </c>
      <c r="H12" s="32">
        <v>278.48</v>
      </c>
      <c r="I12" s="32">
        <v>5.75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32804</v>
      </c>
      <c r="H13" s="32">
        <v>258.54000000000002</v>
      </c>
      <c r="I13" s="32">
        <v>5.34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16131</v>
      </c>
      <c r="H14" s="32">
        <v>227.18</v>
      </c>
      <c r="I14" s="32">
        <v>4.6900000000000004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32</v>
      </c>
      <c r="G15" s="31">
        <v>164230</v>
      </c>
      <c r="H15" s="32">
        <v>226.47</v>
      </c>
      <c r="I15" s="32">
        <v>4.68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49580</v>
      </c>
      <c r="H16" s="32">
        <v>210.86</v>
      </c>
      <c r="I16" s="32">
        <v>4.3499999999999996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83623</v>
      </c>
      <c r="H17" s="32">
        <v>194.42</v>
      </c>
      <c r="I17" s="32">
        <v>4.01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58197</v>
      </c>
      <c r="H18" s="32">
        <v>178.46</v>
      </c>
      <c r="I18" s="32">
        <v>3.68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14966</v>
      </c>
      <c r="H19" s="32">
        <v>177.18</v>
      </c>
      <c r="I19" s="32">
        <v>3.66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8025</v>
      </c>
      <c r="H20" s="32">
        <v>156.68</v>
      </c>
      <c r="I20" s="32">
        <v>3.23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9475</v>
      </c>
      <c r="H21" s="32">
        <v>146.83000000000001</v>
      </c>
      <c r="I21" s="32">
        <v>3.03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24495</v>
      </c>
      <c r="H22" s="32">
        <v>127.62</v>
      </c>
      <c r="I22" s="32">
        <v>2.63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73035</v>
      </c>
      <c r="H23" s="32">
        <v>125.62</v>
      </c>
      <c r="I23" s="32">
        <v>2.59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32167</v>
      </c>
      <c r="H24" s="32">
        <v>123.91</v>
      </c>
      <c r="I24" s="32">
        <v>2.56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18195</v>
      </c>
      <c r="H25" s="32">
        <v>122.59</v>
      </c>
      <c r="I25" s="32">
        <v>2.5299999999999998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42238</v>
      </c>
      <c r="H26" s="32">
        <v>103.15</v>
      </c>
      <c r="I26" s="32">
        <v>2.13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5528</v>
      </c>
      <c r="H27" s="32">
        <v>103.03</v>
      </c>
      <c r="I27" s="32">
        <v>2.13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18</v>
      </c>
      <c r="G28" s="31">
        <v>95975</v>
      </c>
      <c r="H28" s="32">
        <v>96.15</v>
      </c>
      <c r="I28" s="32">
        <v>1.98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58</v>
      </c>
      <c r="G29" s="31">
        <v>5074</v>
      </c>
      <c r="H29" s="32">
        <v>92.86</v>
      </c>
      <c r="I29" s="32">
        <v>1.92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17341</v>
      </c>
      <c r="H30" s="32">
        <v>83.49</v>
      </c>
      <c r="I30" s="32">
        <v>1.72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54</v>
      </c>
      <c r="G31" s="31">
        <v>5188</v>
      </c>
      <c r="H31" s="32">
        <v>77.400000000000006</v>
      </c>
      <c r="I31" s="32">
        <v>1.6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57492</v>
      </c>
      <c r="H32" s="32">
        <v>76.61</v>
      </c>
      <c r="I32" s="32">
        <v>1.58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16391</v>
      </c>
      <c r="H33" s="32">
        <v>75.510000000000005</v>
      </c>
      <c r="I33" s="32">
        <v>1.56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4339</v>
      </c>
      <c r="H34" s="32">
        <v>65.040000000000006</v>
      </c>
      <c r="I34" s="32">
        <v>1.34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1868</v>
      </c>
      <c r="H35" s="32">
        <v>62.4</v>
      </c>
      <c r="I35" s="32">
        <v>1.29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107</v>
      </c>
      <c r="G36" s="31">
        <v>3491</v>
      </c>
      <c r="H36" s="32">
        <v>54.6</v>
      </c>
      <c r="I36" s="32">
        <v>1.1299999999999999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18</v>
      </c>
      <c r="G37" s="31">
        <v>43260</v>
      </c>
      <c r="H37" s="32">
        <v>54.38</v>
      </c>
      <c r="I37" s="32">
        <v>1.1200000000000001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25</v>
      </c>
      <c r="G38" s="31">
        <v>443</v>
      </c>
      <c r="H38" s="32">
        <v>54.31</v>
      </c>
      <c r="I38" s="32">
        <v>1.1200000000000001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1207</v>
      </c>
      <c r="H39" s="32">
        <v>47.1</v>
      </c>
      <c r="I39" s="32">
        <v>0.97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1393</v>
      </c>
      <c r="H40" s="32">
        <v>47.03</v>
      </c>
      <c r="I40" s="32">
        <v>0.97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5876</v>
      </c>
      <c r="H41" s="32">
        <v>38.67</v>
      </c>
      <c r="I41" s="32">
        <v>0.8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58</v>
      </c>
      <c r="G42" s="31">
        <v>398</v>
      </c>
      <c r="H42" s="32">
        <v>24.22</v>
      </c>
      <c r="I42" s="32">
        <v>0.5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47</v>
      </c>
      <c r="G43" s="31">
        <v>6514</v>
      </c>
      <c r="H43" s="32">
        <v>23.09</v>
      </c>
      <c r="I43" s="32">
        <v>0.48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43</v>
      </c>
      <c r="G44" s="31">
        <v>384</v>
      </c>
      <c r="H44" s="32">
        <v>19.87</v>
      </c>
      <c r="I44" s="32">
        <v>0.41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4958</v>
      </c>
      <c r="H45" s="32">
        <v>9.64</v>
      </c>
      <c r="I45" s="32">
        <v>0.2</v>
      </c>
      <c r="J45" s="33"/>
    </row>
    <row r="46" spans="2:10" x14ac:dyDescent="0.25">
      <c r="C46" s="28" t="s">
        <v>146</v>
      </c>
      <c r="D46" s="29"/>
      <c r="E46" s="30"/>
      <c r="F46" s="30"/>
      <c r="G46" s="31"/>
      <c r="H46" s="35">
        <v>4497.58</v>
      </c>
      <c r="I46" s="35">
        <v>92.83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147</v>
      </c>
      <c r="D48" s="29"/>
      <c r="E48" s="30"/>
      <c r="F48" s="30"/>
      <c r="G48" s="31"/>
      <c r="H48" s="32" t="s">
        <v>148</v>
      </c>
      <c r="I48" s="32" t="s">
        <v>148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149</v>
      </c>
      <c r="D50" s="29"/>
      <c r="E50" s="30"/>
      <c r="F50" s="30"/>
      <c r="G50" s="31"/>
      <c r="H50" s="32" t="s">
        <v>148</v>
      </c>
      <c r="I50" s="32" t="s">
        <v>148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150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151</v>
      </c>
      <c r="D54" s="29"/>
      <c r="E54" s="30"/>
      <c r="F54" s="30"/>
      <c r="G54" s="31"/>
      <c r="H54" s="32" t="s">
        <v>148</v>
      </c>
      <c r="I54" s="32" t="s">
        <v>148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152</v>
      </c>
      <c r="D56" s="29"/>
      <c r="E56" s="30"/>
      <c r="F56" s="30"/>
      <c r="G56" s="31"/>
      <c r="H56" s="32" t="s">
        <v>148</v>
      </c>
      <c r="I56" s="32" t="s">
        <v>148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153</v>
      </c>
      <c r="D58" s="29"/>
      <c r="E58" s="30"/>
      <c r="F58" s="30"/>
      <c r="G58" s="31"/>
      <c r="H58" s="32" t="s">
        <v>148</v>
      </c>
      <c r="I58" s="32" t="s">
        <v>148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154</v>
      </c>
      <c r="D60" s="29"/>
      <c r="E60" s="30"/>
      <c r="F60" s="30"/>
      <c r="G60" s="31"/>
      <c r="H60" s="32" t="s">
        <v>148</v>
      </c>
      <c r="I60" s="32" t="s">
        <v>148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155</v>
      </c>
      <c r="D62" s="29"/>
      <c r="E62" s="30"/>
      <c r="F62" s="30"/>
      <c r="G62" s="31"/>
      <c r="H62" s="32" t="s">
        <v>148</v>
      </c>
      <c r="I62" s="32" t="s">
        <v>148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156</v>
      </c>
      <c r="D64" s="29"/>
      <c r="E64" s="30"/>
      <c r="F64" s="30"/>
      <c r="G64" s="31"/>
      <c r="H64" s="32"/>
      <c r="I64" s="32"/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157</v>
      </c>
      <c r="D66" s="29"/>
      <c r="E66" s="30"/>
      <c r="F66" s="30"/>
      <c r="G66" s="31"/>
      <c r="H66" s="32" t="s">
        <v>148</v>
      </c>
      <c r="I66" s="32" t="s">
        <v>148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158</v>
      </c>
      <c r="D68" s="29"/>
      <c r="E68" s="30"/>
      <c r="F68" s="30"/>
      <c r="G68" s="31"/>
      <c r="H68" s="32" t="s">
        <v>148</v>
      </c>
      <c r="I68" s="32" t="s">
        <v>148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159</v>
      </c>
      <c r="D70" s="29"/>
      <c r="E70" s="30"/>
      <c r="F70" s="30"/>
      <c r="G70" s="31"/>
      <c r="H70" s="32" t="s">
        <v>148</v>
      </c>
      <c r="I70" s="32" t="s">
        <v>148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C72" s="28" t="s">
        <v>160</v>
      </c>
      <c r="D72" s="29"/>
      <c r="E72" s="30"/>
      <c r="F72" s="30"/>
      <c r="G72" s="31"/>
      <c r="H72" s="32" t="s">
        <v>148</v>
      </c>
      <c r="I72" s="32" t="s">
        <v>148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x14ac:dyDescent="0.25">
      <c r="A74" s="26"/>
      <c r="B74" s="27"/>
      <c r="C74" s="28" t="s">
        <v>161</v>
      </c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162</v>
      </c>
      <c r="D75" s="29"/>
      <c r="E75" s="30"/>
      <c r="F75" s="30"/>
      <c r="G75" s="31"/>
      <c r="H75" s="32" t="s">
        <v>148</v>
      </c>
      <c r="I75" s="32" t="s">
        <v>148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163</v>
      </c>
      <c r="D77" s="29"/>
      <c r="E77" s="30"/>
      <c r="F77" s="30"/>
      <c r="G77" s="31"/>
      <c r="H77" s="32" t="s">
        <v>148</v>
      </c>
      <c r="I77" s="32" t="s">
        <v>148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164</v>
      </c>
      <c r="D79" s="29"/>
      <c r="E79" s="30"/>
      <c r="F79" s="30"/>
      <c r="G79" s="31"/>
      <c r="H79" s="32" t="s">
        <v>148</v>
      </c>
      <c r="I79" s="32" t="s">
        <v>148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A81" s="27"/>
      <c r="B81" s="27"/>
      <c r="C81" s="28" t="s">
        <v>165</v>
      </c>
      <c r="D81" s="29"/>
      <c r="E81" s="30"/>
      <c r="F81" s="30"/>
      <c r="G81" s="31"/>
      <c r="H81" s="32" t="s">
        <v>148</v>
      </c>
      <c r="I81" s="32" t="s">
        <v>148</v>
      </c>
      <c r="J81" s="33"/>
    </row>
    <row r="82" spans="1:10" x14ac:dyDescent="0.25">
      <c r="A82" s="27"/>
      <c r="B82" s="27"/>
      <c r="C82" s="28"/>
      <c r="D82" s="29"/>
      <c r="E82" s="30"/>
      <c r="F82" s="30"/>
      <c r="G82" s="31"/>
      <c r="H82" s="32"/>
      <c r="I82" s="32"/>
      <c r="J82" s="33"/>
    </row>
    <row r="83" spans="1:10" x14ac:dyDescent="0.25">
      <c r="A83" s="27"/>
      <c r="B83" s="27"/>
      <c r="C83" s="28" t="s">
        <v>166</v>
      </c>
      <c r="D83" s="29"/>
      <c r="E83" s="30"/>
      <c r="F83" s="30"/>
      <c r="G83" s="31"/>
      <c r="H83" s="32" t="s">
        <v>148</v>
      </c>
      <c r="I83" s="32" t="s">
        <v>148</v>
      </c>
      <c r="J83" s="33"/>
    </row>
    <row r="84" spans="1:10" x14ac:dyDescent="0.25">
      <c r="A84" s="27"/>
      <c r="B84" s="27"/>
      <c r="C84" s="28"/>
      <c r="D84" s="29"/>
      <c r="E84" s="30"/>
      <c r="F84" s="30"/>
      <c r="G84" s="31"/>
      <c r="H84" s="32"/>
      <c r="I84" s="32"/>
      <c r="J84" s="33"/>
    </row>
    <row r="85" spans="1:10" x14ac:dyDescent="0.25">
      <c r="C85" s="34" t="s">
        <v>167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 t="s">
        <v>168</v>
      </c>
      <c r="C86" s="20" t="s">
        <v>169</v>
      </c>
      <c r="D86" s="29"/>
      <c r="E86" s="30"/>
      <c r="F86" s="30"/>
      <c r="G86" s="31"/>
      <c r="H86" s="32">
        <v>299.95</v>
      </c>
      <c r="I86" s="32">
        <v>6.19</v>
      </c>
      <c r="J86" s="33"/>
    </row>
    <row r="87" spans="1:10" x14ac:dyDescent="0.25">
      <c r="C87" s="28" t="s">
        <v>146</v>
      </c>
      <c r="D87" s="29"/>
      <c r="E87" s="30"/>
      <c r="F87" s="30"/>
      <c r="G87" s="31"/>
      <c r="H87" s="35">
        <v>299.95</v>
      </c>
      <c r="I87" s="35">
        <v>6.19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170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171</v>
      </c>
      <c r="D90" s="29"/>
      <c r="E90" s="30"/>
      <c r="F90" s="30"/>
      <c r="G90" s="31"/>
      <c r="H90" s="32">
        <v>46.47</v>
      </c>
      <c r="I90" s="32">
        <v>0.98</v>
      </c>
      <c r="J90" s="33"/>
    </row>
    <row r="91" spans="1:10" x14ac:dyDescent="0.25">
      <c r="C91" s="28" t="s">
        <v>146</v>
      </c>
      <c r="D91" s="29"/>
      <c r="E91" s="30"/>
      <c r="F91" s="30"/>
      <c r="G91" s="31"/>
      <c r="H91" s="35">
        <v>46.47</v>
      </c>
      <c r="I91" s="35">
        <v>0.98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172</v>
      </c>
      <c r="D93" s="37"/>
      <c r="E93" s="38"/>
      <c r="F93" s="39"/>
      <c r="G93" s="40"/>
      <c r="H93" s="41">
        <v>4844</v>
      </c>
      <c r="I93" s="41">
        <f>SUMIFS(I:I,C:C,"Total")</f>
        <v>100</v>
      </c>
      <c r="J93" s="42"/>
    </row>
    <row r="96" spans="1:10" x14ac:dyDescent="0.25">
      <c r="C96" s="11" t="s">
        <v>173</v>
      </c>
    </row>
    <row r="97" spans="3:7" x14ac:dyDescent="0.25">
      <c r="C97" s="2" t="s">
        <v>174</v>
      </c>
    </row>
    <row r="98" spans="3:7" x14ac:dyDescent="0.25">
      <c r="C98" s="2" t="s">
        <v>175</v>
      </c>
    </row>
    <row r="99" spans="3:7" x14ac:dyDescent="0.25">
      <c r="C99" s="2" t="s">
        <v>176</v>
      </c>
    </row>
    <row r="100" spans="3:7" x14ac:dyDescent="0.25">
      <c r="C100" s="2" t="s">
        <v>177</v>
      </c>
    </row>
    <row r="101" spans="3:7" x14ac:dyDescent="0.25">
      <c r="C101" s="2" t="s">
        <v>178</v>
      </c>
    </row>
    <row r="102" spans="3:7" x14ac:dyDescent="0.25">
      <c r="C102" s="2" t="s">
        <v>179</v>
      </c>
    </row>
    <row r="103" spans="3:7" x14ac:dyDescent="0.25">
      <c r="D103" s="2" t="s">
        <v>180</v>
      </c>
    </row>
    <row r="104" spans="3:7" x14ac:dyDescent="0.25">
      <c r="C104" s="2" t="s">
        <v>181</v>
      </c>
      <c r="D104" s="2" t="s">
        <v>182</v>
      </c>
      <c r="E104" s="2" t="s">
        <v>182</v>
      </c>
    </row>
    <row r="105" spans="3:7" x14ac:dyDescent="0.25">
      <c r="D105" s="2" t="s">
        <v>183</v>
      </c>
      <c r="E105" s="2" t="s">
        <v>184</v>
      </c>
    </row>
    <row r="106" spans="3:7" x14ac:dyDescent="0.25">
      <c r="C106" s="2" t="s">
        <v>185</v>
      </c>
      <c r="D106" s="2">
        <v>63.98</v>
      </c>
      <c r="E106" s="2">
        <v>66</v>
      </c>
    </row>
    <row r="107" spans="3:7" x14ac:dyDescent="0.25">
      <c r="C107" s="2" t="s">
        <v>186</v>
      </c>
      <c r="D107" s="2">
        <v>146.04</v>
      </c>
      <c r="E107" s="2">
        <v>150.66</v>
      </c>
    </row>
    <row r="108" spans="3:7" x14ac:dyDescent="0.25">
      <c r="C108" s="2" t="s">
        <v>187</v>
      </c>
      <c r="D108" s="2">
        <v>68.02</v>
      </c>
      <c r="E108" s="2">
        <v>70.180000000000007</v>
      </c>
    </row>
    <row r="109" spans="3:7" x14ac:dyDescent="0.25">
      <c r="C109" s="2" t="s">
        <v>188</v>
      </c>
      <c r="D109" s="2">
        <v>154.41999999999999</v>
      </c>
      <c r="E109" s="2">
        <v>159.33000000000001</v>
      </c>
    </row>
    <row r="110" spans="3:7" x14ac:dyDescent="0.25">
      <c r="G110" s="7" t="s">
        <v>189</v>
      </c>
    </row>
    <row r="111" spans="3:7" x14ac:dyDescent="0.25">
      <c r="C111" s="2" t="s">
        <v>190</v>
      </c>
    </row>
    <row r="112" spans="3:7" x14ac:dyDescent="0.25">
      <c r="C112" s="2" t="s">
        <v>191</v>
      </c>
    </row>
    <row r="113" spans="3:3" x14ac:dyDescent="0.25">
      <c r="C113" s="2" t="s">
        <v>192</v>
      </c>
    </row>
    <row r="114" spans="3:3" x14ac:dyDescent="0.25">
      <c r="C114" s="2" t="s">
        <v>193</v>
      </c>
    </row>
    <row r="115" spans="3:3" x14ac:dyDescent="0.25">
      <c r="C115" s="2" t="s">
        <v>194</v>
      </c>
    </row>
    <row r="116" spans="3:3" x14ac:dyDescent="0.25">
      <c r="C116" s="2" t="s">
        <v>195</v>
      </c>
    </row>
    <row r="117" spans="3:3" x14ac:dyDescent="0.25">
      <c r="C117" s="2" t="s">
        <v>196</v>
      </c>
    </row>
    <row r="118" spans="3:3" x14ac:dyDescent="0.25">
      <c r="C118" s="2" t="s">
        <v>197</v>
      </c>
    </row>
    <row r="119" spans="3:3" x14ac:dyDescent="0.25">
      <c r="C119" s="2" t="s">
        <v>198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1013-DFA4-4499-AC3B-ACD411F653FC}">
  <dimension ref="C3:K17"/>
  <sheetViews>
    <sheetView workbookViewId="0"/>
  </sheetViews>
  <sheetFormatPr defaultRowHeight="15" x14ac:dyDescent="0.25"/>
  <cols>
    <col min="3" max="3" width="43.2851562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199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200</v>
      </c>
      <c r="D4" s="52" t="s">
        <v>201</v>
      </c>
      <c r="E4" s="52"/>
      <c r="F4" s="52" t="s">
        <v>202</v>
      </c>
      <c r="G4" s="52"/>
      <c r="H4" s="52" t="s">
        <v>203</v>
      </c>
      <c r="I4" s="52"/>
      <c r="J4" s="53" t="s">
        <v>204</v>
      </c>
      <c r="K4" s="53"/>
    </row>
    <row r="5" spans="3:11" ht="63.75" x14ac:dyDescent="0.25">
      <c r="C5" s="46"/>
      <c r="D5" s="47" t="s">
        <v>205</v>
      </c>
      <c r="E5" s="47" t="s">
        <v>206</v>
      </c>
      <c r="F5" s="47" t="s">
        <v>205</v>
      </c>
      <c r="G5" s="47" t="s">
        <v>206</v>
      </c>
      <c r="H5" s="47" t="s">
        <v>205</v>
      </c>
      <c r="I5" s="47" t="s">
        <v>206</v>
      </c>
      <c r="J5" s="48" t="s">
        <v>205</v>
      </c>
      <c r="K5" s="48" t="s">
        <v>206</v>
      </c>
    </row>
    <row r="6" spans="3:11" x14ac:dyDescent="0.25">
      <c r="C6" s="49" t="s">
        <v>207</v>
      </c>
      <c r="D6" s="50">
        <v>3.7031999999999998</v>
      </c>
      <c r="E6" s="50">
        <v>10370.31938325991</v>
      </c>
      <c r="F6" s="50">
        <v>13.4229</v>
      </c>
      <c r="G6" s="50">
        <v>14601.666989726691</v>
      </c>
      <c r="H6" s="50">
        <v>18.821300000000001</v>
      </c>
      <c r="I6" s="50">
        <v>23696.130858760615</v>
      </c>
      <c r="J6" s="50">
        <v>10.7544</v>
      </c>
      <c r="K6" s="50">
        <v>150660</v>
      </c>
    </row>
    <row r="7" spans="3:11" x14ac:dyDescent="0.25">
      <c r="C7" s="49" t="s">
        <v>208</v>
      </c>
      <c r="D7" s="50">
        <v>8.5793999999999997</v>
      </c>
      <c r="E7" s="50">
        <v>10857.939999999999</v>
      </c>
      <c r="F7" s="50">
        <v>14.775499999999999</v>
      </c>
      <c r="G7" s="50">
        <v>15119.853392713942</v>
      </c>
      <c r="H7" s="50">
        <v>22.319600000000001</v>
      </c>
      <c r="I7" s="50">
        <v>27382.951742664711</v>
      </c>
      <c r="J7" s="50">
        <v>12.388199999999999</v>
      </c>
      <c r="K7" s="50">
        <v>339789.35500281607</v>
      </c>
    </row>
    <row r="8" spans="3:11" x14ac:dyDescent="0.25">
      <c r="C8" s="49" t="s">
        <v>209</v>
      </c>
      <c r="D8" s="50">
        <v>9.0107999999999997</v>
      </c>
      <c r="E8" s="50">
        <v>10901.08</v>
      </c>
      <c r="F8" s="50">
        <v>13.784000000000001</v>
      </c>
      <c r="G8" s="50">
        <v>14731.385382743036</v>
      </c>
      <c r="H8" s="50">
        <v>21.163399999999999</v>
      </c>
      <c r="I8" s="50">
        <v>26113.029444944637</v>
      </c>
      <c r="J8" s="50">
        <v>12.577400000000001</v>
      </c>
      <c r="K8" s="50">
        <v>357489.11548401538</v>
      </c>
    </row>
    <row r="9" spans="3:11" x14ac:dyDescent="0.25">
      <c r="C9" s="49" t="s">
        <v>210</v>
      </c>
      <c r="D9" s="54">
        <v>145.28</v>
      </c>
      <c r="E9" s="55"/>
      <c r="F9" s="54">
        <v>103.18</v>
      </c>
      <c r="G9" s="55"/>
      <c r="H9" s="54">
        <v>63.58</v>
      </c>
      <c r="I9" s="55"/>
      <c r="J9" s="54">
        <v>10</v>
      </c>
      <c r="K9" s="55"/>
    </row>
    <row r="11" spans="3:11" ht="15.75" x14ac:dyDescent="0.25">
      <c r="C11" s="43" t="s">
        <v>212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200</v>
      </c>
      <c r="D12" s="52" t="s">
        <v>201</v>
      </c>
      <c r="E12" s="52"/>
      <c r="F12" s="52" t="s">
        <v>202</v>
      </c>
      <c r="G12" s="52"/>
      <c r="H12" s="52" t="s">
        <v>203</v>
      </c>
      <c r="I12" s="52"/>
      <c r="J12" s="53" t="s">
        <v>204</v>
      </c>
      <c r="K12" s="53"/>
    </row>
    <row r="13" spans="3:11" ht="63.75" x14ac:dyDescent="0.25">
      <c r="C13" s="46"/>
      <c r="D13" s="47" t="s">
        <v>205</v>
      </c>
      <c r="E13" s="47" t="s">
        <v>206</v>
      </c>
      <c r="F13" s="47" t="s">
        <v>205</v>
      </c>
      <c r="G13" s="47" t="s">
        <v>206</v>
      </c>
      <c r="H13" s="47" t="s">
        <v>205</v>
      </c>
      <c r="I13" s="47" t="s">
        <v>206</v>
      </c>
      <c r="J13" s="48" t="s">
        <v>205</v>
      </c>
      <c r="K13" s="48" t="s">
        <v>206</v>
      </c>
    </row>
    <row r="14" spans="3:11" x14ac:dyDescent="0.25">
      <c r="C14" s="49" t="s">
        <v>207</v>
      </c>
      <c r="D14" s="50">
        <v>3.8521999999999998</v>
      </c>
      <c r="E14" s="50">
        <v>10385.217051231914</v>
      </c>
      <c r="F14" s="50">
        <v>13.5434</v>
      </c>
      <c r="G14" s="50">
        <v>14648.34053507401</v>
      </c>
      <c r="H14" s="50">
        <v>18.937799999999999</v>
      </c>
      <c r="I14" s="50">
        <v>23812.584068151249</v>
      </c>
      <c r="J14" s="50">
        <v>10.8514</v>
      </c>
      <c r="K14" s="50">
        <v>35788.409703504047</v>
      </c>
    </row>
    <row r="15" spans="3:11" x14ac:dyDescent="0.25">
      <c r="C15" s="49" t="s">
        <v>208</v>
      </c>
      <c r="D15" s="50">
        <v>8.5793999999999997</v>
      </c>
      <c r="E15" s="50">
        <v>10857.939999999999</v>
      </c>
      <c r="F15" s="50">
        <v>14.775499999999999</v>
      </c>
      <c r="G15" s="50">
        <v>15119.853392713942</v>
      </c>
      <c r="H15" s="50">
        <v>22.319600000000001</v>
      </c>
      <c r="I15" s="50">
        <v>27382.951742664711</v>
      </c>
      <c r="J15" s="50">
        <v>13.825100000000001</v>
      </c>
      <c r="K15" s="50">
        <v>49356.653420638555</v>
      </c>
    </row>
    <row r="16" spans="3:11" x14ac:dyDescent="0.25">
      <c r="C16" s="49" t="s">
        <v>209</v>
      </c>
      <c r="D16" s="50">
        <v>9.0107999999999997</v>
      </c>
      <c r="E16" s="50">
        <v>10901.08</v>
      </c>
      <c r="F16" s="50">
        <v>13.784000000000001</v>
      </c>
      <c r="G16" s="50">
        <v>14731.385382743036</v>
      </c>
      <c r="H16" s="50">
        <v>21.163399999999999</v>
      </c>
      <c r="I16" s="50">
        <v>26113.029444944637</v>
      </c>
      <c r="J16" s="50">
        <v>13.364599999999999</v>
      </c>
      <c r="K16" s="50">
        <v>46950.467128050237</v>
      </c>
    </row>
    <row r="17" spans="3:11" x14ac:dyDescent="0.25">
      <c r="C17" s="51" t="s">
        <v>211</v>
      </c>
      <c r="D17" s="54">
        <v>153.41999999999999</v>
      </c>
      <c r="E17" s="55"/>
      <c r="F17" s="54">
        <v>108.77</v>
      </c>
      <c r="G17" s="55"/>
      <c r="H17" s="54">
        <v>66.91</v>
      </c>
      <c r="I17" s="55"/>
      <c r="J17" s="54">
        <v>44.52</v>
      </c>
      <c r="K17" s="55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2025-05-05T13:57:35Z</dcterms:created>
  <dcterms:modified xsi:type="dcterms:W3CDTF">2025-05-07T08:41:51Z</dcterms:modified>
</cp:coreProperties>
</file>