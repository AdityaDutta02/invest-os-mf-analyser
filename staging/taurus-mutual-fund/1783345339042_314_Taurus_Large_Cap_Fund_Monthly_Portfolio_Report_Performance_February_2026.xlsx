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165C419F-3EE3-4982-91E5-E551BDEE8B68}" xr6:coauthVersionLast="47" xr6:coauthVersionMax="47" xr10:uidLastSave="{00000000-0000-0000-0000-000000000000}"/>
  <bookViews>
    <workbookView xWindow="-120" yWindow="-120" windowWidth="20730" windowHeight="11040" activeTab="1" xr2:uid="{1CAB4D19-CD1C-4940-9809-AA2E93C01B78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TBF!$C$8:$C$40</definedName>
    <definedName name="XDO_?CLASS_4?">TBF!$C$9</definedName>
    <definedName name="XDO_?CS_1?">TBF!$H$11</definedName>
    <definedName name="XDO_?CS_2?">TBF!$I$11</definedName>
    <definedName name="XDO_?FINAL_ISIN?">TBF!$D$10:$D$87</definedName>
    <definedName name="XDO_?FINAL_MV?">TBF!$H$10:$H$87</definedName>
    <definedName name="XDO_?FINAL_NAME?">TBF!$C$10:$C$87</definedName>
    <definedName name="XDO_?FINAL_PER_NET?">TBF!$I$10:$I$87</definedName>
    <definedName name="XDO_?FINAL_QUANTITE?">TBF!$G$10:$G$87</definedName>
    <definedName name="XDO_?IND_01?">TBF!$F$10:$F$87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TBF!$C$2:$C$40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TBF!$B$10:$B$87</definedName>
    <definedName name="XDO_?NPTF?">TBF!$D$2:$D$40</definedName>
    <definedName name="XDO_?RATING?">TBF!$E$10:$E$87</definedName>
    <definedName name="XDO_?REMARKS?">TBF!$J$10:$J$87</definedName>
    <definedName name="XDO_?TDATE?">TBF!$D$4</definedName>
    <definedName name="XDO_?TITL?">TBF!$A$8:$A$40</definedName>
    <definedName name="XDO_GROUP_?G_2?">TBF!$2:$90</definedName>
    <definedName name="XDO_GROUP_?G_3?">TBF!$8:$89</definedName>
    <definedName name="XDO_GROUP_?G_4?">TBF!$B$87:$IV$87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" i="1" l="1"/>
</calcChain>
</file>

<file path=xl/sharedStrings.xml><?xml version="1.0" encoding="utf-8"?>
<sst xmlns="http://schemas.openxmlformats.org/spreadsheetml/2006/main" count="270" uniqueCount="198">
  <si>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</si>
  <si>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</si>
  <si>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</si>
  <si>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</si>
  <si>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</si>
  <si>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</si>
  <si>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</si>
  <si>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</si>
  <si>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</si>
  <si>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</si>
  <si>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</si>
  <si>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</si>
  <si>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</si>
  <si>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</si>
  <si>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</si>
  <si>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</si>
  <si>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</si>
  <si>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</si>
  <si>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</si>
  <si>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</si>
  <si>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</si>
  <si>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</si>
  <si>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</si>
  <si>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100155</t>
  </si>
  <si>
    <t>Divi's Laboratories Ltd.</t>
  </si>
  <si>
    <t>INE361B01024</t>
  </si>
  <si>
    <t>Pharmaceuticals &amp; Biotechnology</t>
  </si>
  <si>
    <t>100010</t>
  </si>
  <si>
    <t>State Bank of India</t>
  </si>
  <si>
    <t>INE062A01020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</si>
  <si>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</si>
  <si>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</si>
  <si>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</si>
  <si>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</si>
  <si>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</si>
  <si>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</si>
  <si>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</si>
  <si>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100182</t>
  </si>
  <si>
    <t>Power Grid Corporation of India Ltd.</t>
  </si>
  <si>
    <t>INE752E01010</t>
  </si>
  <si>
    <t>Power</t>
  </si>
  <si>
    <t>101184</t>
  </si>
  <si>
    <t>Mazagon Dock Shipbuilders Ltd.</t>
  </si>
  <si>
    <t>INE249Z01020</t>
  </si>
  <si>
    <t>Industrial Manufacturing</t>
  </si>
  <si>
    <t>100002</t>
  </si>
  <si>
    <t>Reliance Industries Ltd.</t>
  </si>
  <si>
    <t>INE002A01018</t>
  </si>
  <si>
    <t>Petroleum Products</t>
  </si>
  <si>
    <t>100111</t>
  </si>
  <si>
    <t>Oil &amp; Natural Gas Corporation Ltd.</t>
  </si>
  <si>
    <t>INE213A01029</t>
  </si>
  <si>
    <t>Oil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</si>
  <si>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</si>
  <si>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</si>
  <si>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</si>
  <si>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</si>
  <si>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</si>
  <si>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</si>
  <si>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</si>
  <si>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</si>
  <si>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</si>
  <si>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</si>
  <si>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</si>
  <si>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102678</t>
  </si>
  <si>
    <t>TATA Capital Ltd.</t>
  </si>
  <si>
    <t>INE976I01016</t>
  </si>
  <si>
    <t>Finance</t>
  </si>
  <si>
    <t>100302</t>
  </si>
  <si>
    <t>DLF Ltd.</t>
  </si>
  <si>
    <t>INE271C01023</t>
  </si>
  <si>
    <t>Realty</t>
  </si>
  <si>
    <t>100097</t>
  </si>
  <si>
    <t>Coal India Ltd.</t>
  </si>
  <si>
    <t>INE522F01014</t>
  </si>
  <si>
    <t>Consumable Fuels</t>
  </si>
  <si>
    <t>100177</t>
  </si>
  <si>
    <t>Grasim Industries Ltd.</t>
  </si>
  <si>
    <t>INE047A01021</t>
  </si>
  <si>
    <t>Cement &amp; Cement Products</t>
  </si>
  <si>
    <t>100194</t>
  </si>
  <si>
    <t>Power Finance Corporation Ltd.</t>
  </si>
  <si>
    <t>INE134E01011</t>
  </si>
  <si>
    <t>100260</t>
  </si>
  <si>
    <t>Solar Industries India Ltd.</t>
  </si>
  <si>
    <t>INE343H01029</t>
  </si>
  <si>
    <t>Chemicals &amp; Petrochemicals</t>
  </si>
  <si>
    <t>100677</t>
  </si>
  <si>
    <t>Dixon Technologies (India) Ltd.</t>
  </si>
  <si>
    <t>INE935N01020</t>
  </si>
  <si>
    <t>Consumer Durables</t>
  </si>
  <si>
    <t>100138</t>
  </si>
  <si>
    <t>PVR Inox Ltd.</t>
  </si>
  <si>
    <t>INE191H01014</t>
  </si>
  <si>
    <t>Entertainment</t>
  </si>
  <si>
    <t>100733</t>
  </si>
  <si>
    <t>General Insurance Corporation of India</t>
  </si>
  <si>
    <t>INE481Y01014</t>
  </si>
  <si>
    <t>Insurance</t>
  </si>
  <si>
    <t>100125</t>
  </si>
  <si>
    <t>Bajaj Finance Ltd.</t>
  </si>
  <si>
    <t>INE296A01032</t>
  </si>
  <si>
    <t>100222</t>
  </si>
  <si>
    <t>The Indian Hotels Company Ltd.</t>
  </si>
  <si>
    <t>INE053A01029</t>
  </si>
  <si>
    <t>Leisure Services</t>
  </si>
  <si>
    <t>100106</t>
  </si>
  <si>
    <t>Maruti Suzuki India Ltd.</t>
  </si>
  <si>
    <t>INE585B01010</t>
  </si>
  <si>
    <t>100081</t>
  </si>
  <si>
    <t>Titan Company Ltd.</t>
  </si>
  <si>
    <t>INE280A01028</t>
  </si>
  <si>
    <t>100008</t>
  </si>
  <si>
    <t>Sun Pharmaceutical Industries Ltd.</t>
  </si>
  <si>
    <t>INE044A01036</t>
  </si>
  <si>
    <t>100150</t>
  </si>
  <si>
    <t>Apollo Hospitals Enterprise Ltd.</t>
  </si>
  <si>
    <t>INE437A01024</t>
  </si>
  <si>
    <t>Healthcare Services</t>
  </si>
  <si>
    <t>100134</t>
  </si>
  <si>
    <t>Inox Wind Ltd.</t>
  </si>
  <si>
    <t>INE066P01011</t>
  </si>
  <si>
    <t>Electrical Equipment</t>
  </si>
  <si>
    <t>100830</t>
  </si>
  <si>
    <t>Varun Beverages Ltd.</t>
  </si>
  <si>
    <t>INE200M01039</t>
  </si>
  <si>
    <t>Beverages</t>
  </si>
  <si>
    <t>102677</t>
  </si>
  <si>
    <t>LG Electronics India Ltd.</t>
  </si>
  <si>
    <t>INE324D01010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</si>
  <si>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</si>
  <si>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</si>
  <si>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</si>
  <si>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</si>
  <si>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</si>
  <si>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</si>
  <si>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</si>
  <si>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</si>
  <si>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</si>
  <si>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</si>
  <si>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</si>
  <si>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</si>
  <si>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</si>
  <si>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</si>
  <si>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</si>
  <si>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</si>
  <si>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</si>
  <si>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203260100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</si>
  <si>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</si>
  <si>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</si>
  <si>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</si>
  <si>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</si>
  <si>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</si>
  <si>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</si>
  <si>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</si>
  <si>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</si>
  <si>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</si>
  <si>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</si>
  <si>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</si>
  <si>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</si>
  <si>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</si>
  <si>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</si>
  <si>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</si>
  <si>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</si>
  <si>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</si>
  <si>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</si>
  <si>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</si>
  <si>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</si>
  <si>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</si>
  <si>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</si>
  <si>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</si>
  <si>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</si>
  <si>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</si>
  <si>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</si>
  <si>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February 28, 2026.</t>
  </si>
  <si>
    <t>7. The Scheme did not declare any bonus during the month ended as on February 28, 2026.</t>
  </si>
  <si>
    <t>8. Total outstanding exposure in derivative instruments as on February 28, 2026 is Nil.</t>
  </si>
  <si>
    <t>9. Total investments in Foreign Securities /ADRs/GDRs /Overseas ETFs as on February 28, 2026 and its percentage to NAV is Nil.</t>
  </si>
  <si>
    <t>10. During the period, the portfolio turnover ratio is 0.89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</si>
  <si>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</si>
  <si>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</si>
  <si>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 February 28, 2026.</t>
  </si>
  <si>
    <t>13. There are Nil instances of deviation from the valuation principles/guidelines during the month ended as on February 28th, 2026.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</si>
  <si>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</si>
  <si>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</si>
  <si>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</si>
  <si>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</si>
  <si>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</si>
  <si>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</si>
  <si>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</si>
  <si>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</si>
  <si>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</si>
  <si>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</si>
  <si>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</si>
  <si>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</si>
  <si>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February 27,2026 :167.52)</t>
  </si>
  <si>
    <t>NAV [Rs.] Per Unit (as on February 27,2026 :158.16)</t>
  </si>
  <si>
    <t>Taurus Largecap Fund - Direct 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</si>
</sst>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5" fontId="11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15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572421D1-080B-46E2-BBC8-02D2B8BC4DE0}"/>
    <cellStyle name="Hyperlink" xfId="2" builtinId="8"/>
    <cellStyle name="Normal" xfId="0" builtinId="0"/>
    <cellStyle name="Normal 2" xfId="4" xr:uid="{8D3163EB-45EC-465E-9CE8-2D9AFD64583D}"/>
    <cellStyle name="Style 1" xfId="3" xr:uid="{A66DABC4-BD6D-4F8E-8D5F-6E9B72AFB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2074332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E228B-7BDD-4AE7-82C4-C3BEA8EAD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20743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FB1-C3BD-4B43-BA51-8BE7DEDC1650}">
  <dimension ref="A1:BB116"/>
  <sheetViews>
    <sheetView showGridLines="0" zoomScaleNormal="100" workbookViewId="0">
      <selection activeCell="F3" sqref="F3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9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152721</v>
      </c>
      <c r="H10" s="32">
        <v>478.93</v>
      </c>
      <c r="I10" s="32">
        <v>9.44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44499</v>
      </c>
      <c r="H11" s="32">
        <v>394.88</v>
      </c>
      <c r="I11" s="32">
        <v>7.79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6018</v>
      </c>
      <c r="H12" s="32">
        <v>385.92</v>
      </c>
      <c r="I12" s="32">
        <v>7.61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28304</v>
      </c>
      <c r="H13" s="32">
        <v>340.21</v>
      </c>
      <c r="I13" s="32">
        <v>6.71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22452</v>
      </c>
      <c r="H14" s="32">
        <v>309.61</v>
      </c>
      <c r="I14" s="32">
        <v>6.11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12779</v>
      </c>
      <c r="H15" s="32">
        <v>240.21</v>
      </c>
      <c r="I15" s="32">
        <v>4.74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58197</v>
      </c>
      <c r="H16" s="32">
        <v>173.86</v>
      </c>
      <c r="I16" s="32">
        <v>3.43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7390</v>
      </c>
      <c r="H17" s="32">
        <v>164.32</v>
      </c>
      <c r="I17" s="32">
        <v>3.24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11541</v>
      </c>
      <c r="H18" s="32">
        <v>160.91999999999999</v>
      </c>
      <c r="I18" s="32">
        <v>3.17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55738</v>
      </c>
      <c r="H19" s="32">
        <v>156.01</v>
      </c>
      <c r="I19" s="32">
        <v>3.08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4380</v>
      </c>
      <c r="H20" s="32">
        <v>148.91999999999999</v>
      </c>
      <c r="I20" s="32">
        <v>2.94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22</v>
      </c>
      <c r="G21" s="31">
        <v>10176</v>
      </c>
      <c r="H21" s="32">
        <v>140.82</v>
      </c>
      <c r="I21" s="32">
        <v>2.78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9885</v>
      </c>
      <c r="H22" s="32">
        <v>137.41999999999999</v>
      </c>
      <c r="I22" s="32">
        <v>2.71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36598</v>
      </c>
      <c r="H23" s="32">
        <v>121.83</v>
      </c>
      <c r="I23" s="32">
        <v>2.4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19278</v>
      </c>
      <c r="H24" s="32">
        <v>116.47</v>
      </c>
      <c r="I24" s="32">
        <v>2.2999999999999998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23390</v>
      </c>
      <c r="H25" s="32">
        <v>100.74</v>
      </c>
      <c r="I25" s="32">
        <v>1.99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3430</v>
      </c>
      <c r="H26" s="32">
        <v>96.04</v>
      </c>
      <c r="I26" s="32">
        <v>1.89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67</v>
      </c>
      <c r="G27" s="31">
        <v>22408</v>
      </c>
      <c r="H27" s="32">
        <v>92.49</v>
      </c>
      <c r="I27" s="32">
        <v>1.82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671</v>
      </c>
      <c r="H28" s="32">
        <v>90.58</v>
      </c>
      <c r="I28" s="32">
        <v>1.79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778</v>
      </c>
      <c r="H29" s="32">
        <v>81.99</v>
      </c>
      <c r="I29" s="32">
        <v>1.62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7998</v>
      </c>
      <c r="H30" s="32">
        <v>81.760000000000005</v>
      </c>
      <c r="I30" s="32">
        <v>1.61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20720</v>
      </c>
      <c r="H31" s="32">
        <v>79.319999999999993</v>
      </c>
      <c r="I31" s="32">
        <v>1.56</v>
      </c>
      <c r="J31" s="33"/>
    </row>
    <row r="32" spans="2:10" x14ac:dyDescent="0.25">
      <c r="B32" s="1" t="s">
        <v>99</v>
      </c>
      <c r="C32" s="20" t="s">
        <v>100</v>
      </c>
      <c r="D32" s="29" t="s">
        <v>101</v>
      </c>
      <c r="E32" s="30"/>
      <c r="F32" s="30" t="s">
        <v>67</v>
      </c>
      <c r="G32" s="31">
        <v>7291</v>
      </c>
      <c r="H32" s="32">
        <v>72.650000000000006</v>
      </c>
      <c r="I32" s="32">
        <v>1.43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10700</v>
      </c>
      <c r="H33" s="32">
        <v>71.400000000000006</v>
      </c>
      <c r="I33" s="32">
        <v>1.41</v>
      </c>
      <c r="J33" s="33"/>
    </row>
    <row r="34" spans="2:10" x14ac:dyDescent="0.25">
      <c r="B34" s="1" t="s">
        <v>106</v>
      </c>
      <c r="C34" s="20" t="s">
        <v>107</v>
      </c>
      <c r="D34" s="29" t="s">
        <v>108</v>
      </c>
      <c r="E34" s="30"/>
      <c r="F34" s="30" t="s">
        <v>56</v>
      </c>
      <c r="G34" s="31">
        <v>443</v>
      </c>
      <c r="H34" s="32">
        <v>65.87</v>
      </c>
      <c r="I34" s="32">
        <v>1.3</v>
      </c>
      <c r="J34" s="33"/>
    </row>
    <row r="35" spans="2:10" x14ac:dyDescent="0.25">
      <c r="B35" s="1" t="s">
        <v>109</v>
      </c>
      <c r="C35" s="20" t="s">
        <v>110</v>
      </c>
      <c r="D35" s="29" t="s">
        <v>111</v>
      </c>
      <c r="E35" s="30"/>
      <c r="F35" s="30" t="s">
        <v>90</v>
      </c>
      <c r="G35" s="31">
        <v>1393</v>
      </c>
      <c r="H35" s="32">
        <v>60.29</v>
      </c>
      <c r="I35" s="32">
        <v>1.19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26</v>
      </c>
      <c r="G36" s="31">
        <v>3074</v>
      </c>
      <c r="H36" s="32">
        <v>53.43</v>
      </c>
      <c r="I36" s="32">
        <v>1.05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471</v>
      </c>
      <c r="H37" s="32">
        <v>36.83</v>
      </c>
      <c r="I37" s="32">
        <v>0.73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35000</v>
      </c>
      <c r="H38" s="32">
        <v>32.25</v>
      </c>
      <c r="I38" s="32">
        <v>0.64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5860</v>
      </c>
      <c r="H39" s="32">
        <v>26.43</v>
      </c>
      <c r="I39" s="32">
        <v>0.52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90</v>
      </c>
      <c r="G40" s="31">
        <v>223</v>
      </c>
      <c r="H40" s="32">
        <v>3.54</v>
      </c>
      <c r="I40" s="32">
        <v>7.0000000000000007E-2</v>
      </c>
      <c r="J40" s="33"/>
    </row>
    <row r="41" spans="2:10" x14ac:dyDescent="0.25">
      <c r="C41" s="28" t="s">
        <v>130</v>
      </c>
      <c r="D41" s="29"/>
      <c r="E41" s="30"/>
      <c r="F41" s="30"/>
      <c r="G41" s="31"/>
      <c r="H41" s="35">
        <v>4515.9399999999996</v>
      </c>
      <c r="I41" s="35">
        <v>89.07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131</v>
      </c>
      <c r="D43" s="29"/>
      <c r="E43" s="30"/>
      <c r="F43" s="30"/>
      <c r="G43" s="31"/>
      <c r="H43" s="32" t="s">
        <v>132</v>
      </c>
      <c r="I43" s="32" t="s">
        <v>132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133</v>
      </c>
      <c r="D45" s="29"/>
      <c r="E45" s="30"/>
      <c r="F45" s="30"/>
      <c r="G45" s="31"/>
      <c r="H45" s="32" t="s">
        <v>132</v>
      </c>
      <c r="I45" s="32" t="s">
        <v>132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134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135</v>
      </c>
      <c r="D49" s="29"/>
      <c r="E49" s="30"/>
      <c r="F49" s="30"/>
      <c r="G49" s="31"/>
      <c r="H49" s="32" t="s">
        <v>132</v>
      </c>
      <c r="I49" s="32" t="s">
        <v>132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136</v>
      </c>
      <c r="D51" s="29"/>
      <c r="E51" s="30"/>
      <c r="F51" s="30"/>
      <c r="G51" s="31"/>
      <c r="H51" s="32" t="s">
        <v>132</v>
      </c>
      <c r="I51" s="32" t="s">
        <v>132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137</v>
      </c>
      <c r="D53" s="29"/>
      <c r="E53" s="30"/>
      <c r="F53" s="30"/>
      <c r="G53" s="31"/>
      <c r="H53" s="32" t="s">
        <v>132</v>
      </c>
      <c r="I53" s="32" t="s">
        <v>132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138</v>
      </c>
      <c r="D55" s="29"/>
      <c r="E55" s="30"/>
      <c r="F55" s="30"/>
      <c r="G55" s="31"/>
      <c r="H55" s="32" t="s">
        <v>132</v>
      </c>
      <c r="I55" s="32" t="s">
        <v>132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139</v>
      </c>
      <c r="D57" s="29"/>
      <c r="E57" s="30"/>
      <c r="F57" s="30"/>
      <c r="G57" s="31"/>
      <c r="H57" s="32" t="s">
        <v>132</v>
      </c>
      <c r="I57" s="32" t="s">
        <v>132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140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141</v>
      </c>
      <c r="D61" s="29"/>
      <c r="E61" s="30"/>
      <c r="F61" s="30"/>
      <c r="G61" s="31"/>
      <c r="H61" s="32" t="s">
        <v>132</v>
      </c>
      <c r="I61" s="32" t="s">
        <v>132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142</v>
      </c>
      <c r="D63" s="29"/>
      <c r="E63" s="30"/>
      <c r="F63" s="30"/>
      <c r="G63" s="31"/>
      <c r="H63" s="32" t="s">
        <v>132</v>
      </c>
      <c r="I63" s="32" t="s">
        <v>132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143</v>
      </c>
      <c r="D65" s="29"/>
      <c r="E65" s="30"/>
      <c r="F65" s="30"/>
      <c r="G65" s="31"/>
      <c r="H65" s="32" t="s">
        <v>132</v>
      </c>
      <c r="I65" s="32" t="s">
        <v>132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144</v>
      </c>
      <c r="D67" s="29"/>
      <c r="E67" s="30"/>
      <c r="F67" s="30"/>
      <c r="G67" s="31"/>
      <c r="H67" s="32" t="s">
        <v>132</v>
      </c>
      <c r="I67" s="32" t="s">
        <v>132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145</v>
      </c>
      <c r="D69" s="29"/>
      <c r="E69" s="30"/>
      <c r="F69" s="30"/>
      <c r="G69" s="31"/>
      <c r="H69" s="32"/>
      <c r="I69" s="32"/>
      <c r="J69" s="33"/>
    </row>
    <row r="70" spans="1:10" x14ac:dyDescent="0.25">
      <c r="C70" s="34" t="s">
        <v>146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 t="s">
        <v>147</v>
      </c>
      <c r="C71" s="20" t="s">
        <v>148</v>
      </c>
      <c r="D71" s="29"/>
      <c r="E71" s="30"/>
      <c r="F71" s="30"/>
      <c r="G71" s="31"/>
      <c r="H71" s="32">
        <v>249.97</v>
      </c>
      <c r="I71" s="32">
        <v>4.93</v>
      </c>
      <c r="J71" s="33"/>
    </row>
    <row r="72" spans="1:10" x14ac:dyDescent="0.25">
      <c r="C72" s="28" t="s">
        <v>130</v>
      </c>
      <c r="D72" s="29"/>
      <c r="E72" s="30"/>
      <c r="F72" s="30"/>
      <c r="G72" s="31"/>
      <c r="H72" s="35">
        <v>249.97</v>
      </c>
      <c r="I72" s="35">
        <v>4.93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x14ac:dyDescent="0.25">
      <c r="C74" s="28" t="s">
        <v>149</v>
      </c>
      <c r="D74" s="29"/>
      <c r="E74" s="30"/>
      <c r="F74" s="30"/>
      <c r="G74" s="31"/>
      <c r="H74" s="32" t="s">
        <v>132</v>
      </c>
      <c r="I74" s="32" t="s">
        <v>132</v>
      </c>
      <c r="J74" s="33"/>
    </row>
    <row r="75" spans="1:10" x14ac:dyDescent="0.25">
      <c r="C75" s="20"/>
      <c r="D75" s="29"/>
      <c r="E75" s="30"/>
      <c r="F75" s="30"/>
      <c r="G75" s="31"/>
      <c r="H75" s="32"/>
      <c r="I75" s="32"/>
      <c r="J75" s="33"/>
    </row>
    <row r="76" spans="1:10" x14ac:dyDescent="0.25">
      <c r="C76" s="28" t="s">
        <v>150</v>
      </c>
      <c r="D76" s="29"/>
      <c r="E76" s="30"/>
      <c r="F76" s="30"/>
      <c r="G76" s="31"/>
      <c r="H76" s="32" t="s">
        <v>132</v>
      </c>
      <c r="I76" s="32" t="s">
        <v>132</v>
      </c>
      <c r="J76" s="33"/>
    </row>
    <row r="77" spans="1:10" x14ac:dyDescent="0.25">
      <c r="C77" s="20"/>
      <c r="D77" s="29"/>
      <c r="E77" s="30"/>
      <c r="F77" s="30"/>
      <c r="G77" s="31"/>
      <c r="H77" s="32"/>
      <c r="I77" s="32"/>
      <c r="J77" s="33"/>
    </row>
    <row r="78" spans="1:10" x14ac:dyDescent="0.25">
      <c r="C78" s="28" t="s">
        <v>151</v>
      </c>
      <c r="D78" s="29"/>
      <c r="E78" s="30"/>
      <c r="F78" s="30"/>
      <c r="G78" s="31"/>
      <c r="H78" s="32" t="s">
        <v>132</v>
      </c>
      <c r="I78" s="32" t="s">
        <v>132</v>
      </c>
      <c r="J78" s="33"/>
    </row>
    <row r="79" spans="1:10" x14ac:dyDescent="0.25">
      <c r="C79" s="20"/>
      <c r="D79" s="29"/>
      <c r="E79" s="30"/>
      <c r="F79" s="30"/>
      <c r="G79" s="31"/>
      <c r="H79" s="32"/>
      <c r="I79" s="32"/>
      <c r="J79" s="33"/>
    </row>
    <row r="80" spans="1:10" x14ac:dyDescent="0.25">
      <c r="C80" s="28" t="s">
        <v>152</v>
      </c>
      <c r="D80" s="29"/>
      <c r="E80" s="30"/>
      <c r="F80" s="30"/>
      <c r="G80" s="31"/>
      <c r="H80" s="32" t="s">
        <v>132</v>
      </c>
      <c r="I80" s="32" t="s">
        <v>132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153</v>
      </c>
      <c r="D82" s="29"/>
      <c r="E82" s="30"/>
      <c r="F82" s="30"/>
      <c r="G82" s="31"/>
      <c r="H82" s="32" t="s">
        <v>132</v>
      </c>
      <c r="I82" s="32" t="s">
        <v>132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154</v>
      </c>
      <c r="D84" s="29"/>
      <c r="E84" s="30"/>
      <c r="F84" s="30"/>
      <c r="G84" s="31"/>
      <c r="H84" s="32" t="s">
        <v>132</v>
      </c>
      <c r="I84" s="32" t="s">
        <v>132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155</v>
      </c>
      <c r="D86" s="29"/>
      <c r="E86" s="30"/>
      <c r="F86" s="30"/>
      <c r="G86" s="31"/>
      <c r="H86" s="32"/>
      <c r="I86" s="32"/>
      <c r="J86" s="33"/>
    </row>
    <row r="87" spans="1:10" x14ac:dyDescent="0.25">
      <c r="B87" s="1"/>
      <c r="C87" s="20" t="s">
        <v>156</v>
      </c>
      <c r="D87" s="29"/>
      <c r="E87" s="30"/>
      <c r="F87" s="30"/>
      <c r="G87" s="31"/>
      <c r="H87" s="32">
        <v>305.32</v>
      </c>
      <c r="I87" s="32">
        <v>6</v>
      </c>
      <c r="J87" s="33"/>
    </row>
    <row r="88" spans="1:10" x14ac:dyDescent="0.25">
      <c r="C88" s="28" t="s">
        <v>130</v>
      </c>
      <c r="D88" s="29"/>
      <c r="E88" s="30"/>
      <c r="F88" s="30"/>
      <c r="G88" s="31"/>
      <c r="H88" s="35">
        <v>305.32</v>
      </c>
      <c r="I88" s="35">
        <v>6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ht="14.25" thickBot="1" x14ac:dyDescent="0.3">
      <c r="C90" s="36" t="s">
        <v>157</v>
      </c>
      <c r="D90" s="37"/>
      <c r="E90" s="38"/>
      <c r="F90" s="39"/>
      <c r="G90" s="40"/>
      <c r="H90" s="41">
        <v>5071.2299999999996</v>
      </c>
      <c r="I90" s="41">
        <f>SUMIFS(I:I,C:C,"Total")</f>
        <v>100</v>
      </c>
      <c r="J90" s="42"/>
    </row>
    <row r="93" spans="1:10" x14ac:dyDescent="0.25">
      <c r="C93" s="11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2" t="s">
        <v>161</v>
      </c>
    </row>
    <row r="97" spans="3:5" x14ac:dyDescent="0.25">
      <c r="C97" s="2" t="s">
        <v>162</v>
      </c>
    </row>
    <row r="98" spans="3:5" x14ac:dyDescent="0.25">
      <c r="C98" s="2" t="s">
        <v>163</v>
      </c>
    </row>
    <row r="99" spans="3:5" ht="14.25" thickBot="1" x14ac:dyDescent="0.3">
      <c r="C99" s="2" t="s">
        <v>164</v>
      </c>
    </row>
    <row r="100" spans="3:5" ht="14.25" thickBot="1" x14ac:dyDescent="0.3">
      <c r="C100" s="43"/>
      <c r="D100" s="61" t="s">
        <v>165</v>
      </c>
      <c r="E100" s="62"/>
    </row>
    <row r="101" spans="3:5" x14ac:dyDescent="0.25">
      <c r="C101" s="44" t="s">
        <v>166</v>
      </c>
      <c r="D101" s="45" t="s">
        <v>167</v>
      </c>
      <c r="E101" s="46" t="s">
        <v>167</v>
      </c>
    </row>
    <row r="102" spans="3:5" ht="14.25" thickBot="1" x14ac:dyDescent="0.3">
      <c r="C102" s="47"/>
      <c r="D102" s="48" t="s">
        <v>168</v>
      </c>
      <c r="E102" s="49" t="s">
        <v>169</v>
      </c>
    </row>
    <row r="103" spans="3:5" ht="14.25" thickBot="1" x14ac:dyDescent="0.3">
      <c r="C103" s="50" t="s">
        <v>170</v>
      </c>
      <c r="D103" s="51">
        <v>68.709999999999994</v>
      </c>
      <c r="E103" s="51">
        <v>69.28</v>
      </c>
    </row>
    <row r="104" spans="3:5" ht="14.25" thickBot="1" x14ac:dyDescent="0.3">
      <c r="C104" s="50" t="s">
        <v>171</v>
      </c>
      <c r="D104" s="51">
        <v>156.85</v>
      </c>
      <c r="E104" s="51">
        <v>158.15</v>
      </c>
    </row>
    <row r="105" spans="3:5" ht="14.25" thickBot="1" x14ac:dyDescent="0.3">
      <c r="C105" s="50" t="s">
        <v>172</v>
      </c>
      <c r="D105" s="51">
        <v>73.17</v>
      </c>
      <c r="E105" s="51">
        <v>73.790000000000006</v>
      </c>
    </row>
    <row r="106" spans="3:5" ht="14.25" thickBot="1" x14ac:dyDescent="0.3">
      <c r="C106" s="50" t="s">
        <v>173</v>
      </c>
      <c r="D106" s="51">
        <v>166.11</v>
      </c>
      <c r="E106" s="51">
        <v>167.51</v>
      </c>
    </row>
    <row r="108" spans="3:5" x14ac:dyDescent="0.25">
      <c r="C108" s="2" t="s">
        <v>174</v>
      </c>
    </row>
    <row r="109" spans="3:5" x14ac:dyDescent="0.25">
      <c r="C109" s="2" t="s">
        <v>175</v>
      </c>
    </row>
    <row r="110" spans="3:5" x14ac:dyDescent="0.25">
      <c r="C110" s="2" t="s">
        <v>176</v>
      </c>
    </row>
    <row r="111" spans="3:5" x14ac:dyDescent="0.25">
      <c r="C111" s="2" t="s">
        <v>177</v>
      </c>
    </row>
    <row r="112" spans="3:5" x14ac:dyDescent="0.25">
      <c r="C112" s="2" t="s">
        <v>178</v>
      </c>
    </row>
    <row r="113" spans="3:3" x14ac:dyDescent="0.25">
      <c r="C113" s="2" t="s">
        <v>179</v>
      </c>
    </row>
    <row r="114" spans="3:3" x14ac:dyDescent="0.25">
      <c r="C114" s="2" t="s">
        <v>180</v>
      </c>
    </row>
    <row r="115" spans="3:3" x14ac:dyDescent="0.25">
      <c r="C115" s="2" t="s">
        <v>181</v>
      </c>
    </row>
    <row r="116" spans="3:3" x14ac:dyDescent="0.25">
      <c r="C116" s="2" t="s">
        <v>182</v>
      </c>
    </row>
  </sheetData>
  <mergeCells count="1">
    <mergeCell ref="D100:E10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B773-D00F-4E07-8781-BDA84FC053B9}">
  <dimension ref="C3:M17"/>
  <sheetViews>
    <sheetView tabSelected="1" topLeftCell="A5" workbookViewId="0">
      <selection activeCell="L15" sqref="L15"/>
    </sheetView>
  </sheetViews>
  <sheetFormatPr defaultRowHeight="15" x14ac:dyDescent="0.25"/>
  <cols>
    <col min="3" max="3" width="60.14062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2" t="s">
        <v>183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184</v>
      </c>
      <c r="D4" s="63" t="s">
        <v>185</v>
      </c>
      <c r="E4" s="63"/>
      <c r="F4" s="63" t="s">
        <v>186</v>
      </c>
      <c r="G4" s="63"/>
      <c r="H4" s="63" t="s">
        <v>187</v>
      </c>
      <c r="I4" s="63"/>
      <c r="J4" s="64" t="s">
        <v>188</v>
      </c>
      <c r="K4" s="65"/>
      <c r="L4" s="66" t="s">
        <v>189</v>
      </c>
      <c r="M4" s="66"/>
    </row>
    <row r="5" spans="3:13" ht="63.75" x14ac:dyDescent="0.25">
      <c r="C5" s="55"/>
      <c r="D5" s="56" t="s">
        <v>190</v>
      </c>
      <c r="E5" s="56" t="s">
        <v>191</v>
      </c>
      <c r="F5" s="56" t="s">
        <v>190</v>
      </c>
      <c r="G5" s="56" t="s">
        <v>191</v>
      </c>
      <c r="H5" s="56" t="s">
        <v>190</v>
      </c>
      <c r="I5" s="56" t="s">
        <v>191</v>
      </c>
      <c r="J5" s="56" t="s">
        <v>190</v>
      </c>
      <c r="K5" s="56" t="s">
        <v>191</v>
      </c>
      <c r="L5" s="57" t="s">
        <v>190</v>
      </c>
      <c r="M5" s="57" t="s">
        <v>191</v>
      </c>
    </row>
    <row r="6" spans="3:13" x14ac:dyDescent="0.25">
      <c r="C6" s="58" t="s">
        <v>192</v>
      </c>
      <c r="D6" s="59">
        <v>13.238300000000001</v>
      </c>
      <c r="E6" s="59">
        <v>11323.834753347177</v>
      </c>
      <c r="F6" s="59">
        <v>18.183299999999999</v>
      </c>
      <c r="G6" s="59">
        <v>16514.56614806307</v>
      </c>
      <c r="H6" s="59">
        <v>12.685700000000001</v>
      </c>
      <c r="I6" s="59">
        <v>18181.400160938039</v>
      </c>
      <c r="J6" s="59">
        <v>11.7845</v>
      </c>
      <c r="K6" s="59">
        <v>30503.375120540019</v>
      </c>
      <c r="L6" s="59">
        <v>10.6252</v>
      </c>
      <c r="M6" s="59">
        <v>158160</v>
      </c>
    </row>
    <row r="7" spans="3:13" x14ac:dyDescent="0.25">
      <c r="C7" s="58" t="s">
        <v>193</v>
      </c>
      <c r="D7" s="59">
        <v>14.058400000000001</v>
      </c>
      <c r="E7" s="59">
        <v>11405.84</v>
      </c>
      <c r="F7" s="59">
        <v>15.9505</v>
      </c>
      <c r="G7" s="59">
        <v>15588.986365657127</v>
      </c>
      <c r="H7" s="59">
        <v>13.8645</v>
      </c>
      <c r="I7" s="59">
        <v>19139.990465218063</v>
      </c>
      <c r="J7" s="59">
        <v>15.532999999999999</v>
      </c>
      <c r="K7" s="59">
        <v>20584.022750873584</v>
      </c>
      <c r="L7" s="59">
        <v>12.3254</v>
      </c>
      <c r="M7" s="59">
        <v>367946.9940878335</v>
      </c>
    </row>
    <row r="8" spans="3:13" x14ac:dyDescent="0.25">
      <c r="C8" s="58" t="s">
        <v>194</v>
      </c>
      <c r="D8" s="59">
        <v>12.9283</v>
      </c>
      <c r="E8" s="59">
        <v>11292.83</v>
      </c>
      <c r="F8" s="59">
        <v>14.430300000000001</v>
      </c>
      <c r="G8" s="59">
        <v>14983.839401403065</v>
      </c>
      <c r="H8" s="59">
        <v>12.929500000000001</v>
      </c>
      <c r="I8" s="59">
        <v>18366.949269106684</v>
      </c>
      <c r="J8" s="59">
        <v>15.0045</v>
      </c>
      <c r="K8" s="59">
        <v>20117.507447051736</v>
      </c>
      <c r="L8" s="59">
        <v>12.383800000000001</v>
      </c>
      <c r="M8" s="59">
        <v>373927.5749301514</v>
      </c>
    </row>
    <row r="9" spans="3:13" x14ac:dyDescent="0.25">
      <c r="C9" s="58" t="s">
        <v>196</v>
      </c>
      <c r="D9" s="67">
        <v>139.66999999999999</v>
      </c>
      <c r="E9" s="68"/>
      <c r="F9" s="67">
        <v>95.77</v>
      </c>
      <c r="G9" s="68"/>
      <c r="H9" s="67">
        <v>86.99</v>
      </c>
      <c r="I9" s="68"/>
      <c r="J9" s="67">
        <v>51.85</v>
      </c>
      <c r="K9" s="68"/>
      <c r="L9" s="67">
        <v>10</v>
      </c>
      <c r="M9" s="68"/>
    </row>
    <row r="11" spans="3:13" ht="15.75" x14ac:dyDescent="0.25">
      <c r="C11" s="52" t="s">
        <v>197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184</v>
      </c>
      <c r="D12" s="63" t="s">
        <v>185</v>
      </c>
      <c r="E12" s="63"/>
      <c r="F12" s="63" t="s">
        <v>186</v>
      </c>
      <c r="G12" s="63"/>
      <c r="H12" s="63" t="s">
        <v>187</v>
      </c>
      <c r="I12" s="63"/>
      <c r="J12" s="64" t="s">
        <v>188</v>
      </c>
      <c r="K12" s="65"/>
      <c r="L12" s="66" t="s">
        <v>189</v>
      </c>
      <c r="M12" s="66"/>
    </row>
    <row r="13" spans="3:13" ht="63.75" x14ac:dyDescent="0.25">
      <c r="C13" s="55"/>
      <c r="D13" s="56" t="s">
        <v>190</v>
      </c>
      <c r="E13" s="56" t="s">
        <v>191</v>
      </c>
      <c r="F13" s="56" t="s">
        <v>190</v>
      </c>
      <c r="G13" s="56" t="s">
        <v>191</v>
      </c>
      <c r="H13" s="56" t="s">
        <v>190</v>
      </c>
      <c r="I13" s="56" t="s">
        <v>191</v>
      </c>
      <c r="J13" s="56" t="s">
        <v>190</v>
      </c>
      <c r="K13" s="56" t="s">
        <v>191</v>
      </c>
      <c r="L13" s="57" t="s">
        <v>190</v>
      </c>
      <c r="M13" s="57" t="s">
        <v>191</v>
      </c>
    </row>
    <row r="14" spans="3:13" x14ac:dyDescent="0.25">
      <c r="C14" s="58" t="s">
        <v>192</v>
      </c>
      <c r="D14" s="59">
        <v>13.4498</v>
      </c>
      <c r="E14" s="59">
        <v>11344.981714750103</v>
      </c>
      <c r="F14" s="59">
        <v>18.338000000000001</v>
      </c>
      <c r="G14" s="59">
        <v>16579.57244655582</v>
      </c>
      <c r="H14" s="59">
        <v>12.815099999999999</v>
      </c>
      <c r="I14" s="59">
        <v>18286.213295491758</v>
      </c>
      <c r="J14" s="59">
        <v>12.1675</v>
      </c>
      <c r="K14" s="59">
        <v>31565.856416054266</v>
      </c>
      <c r="L14" s="59">
        <v>10.553599999999999</v>
      </c>
      <c r="M14" s="59">
        <v>37628.032345013482</v>
      </c>
    </row>
    <row r="15" spans="3:13" x14ac:dyDescent="0.25">
      <c r="C15" s="58" t="s">
        <v>193</v>
      </c>
      <c r="D15" s="59">
        <v>14.058400000000001</v>
      </c>
      <c r="E15" s="59">
        <v>11405.84</v>
      </c>
      <c r="F15" s="59">
        <v>15.9505</v>
      </c>
      <c r="G15" s="59">
        <v>15588.986365657127</v>
      </c>
      <c r="H15" s="59">
        <v>13.8645</v>
      </c>
      <c r="I15" s="59">
        <v>19139.990465218063</v>
      </c>
      <c r="J15" s="59">
        <v>15.532999999999999</v>
      </c>
      <c r="K15" s="59">
        <v>20584.022750873584</v>
      </c>
      <c r="L15" s="59">
        <v>13.315579</v>
      </c>
      <c r="M15" s="59">
        <v>53878.932564187257</v>
      </c>
    </row>
    <row r="16" spans="3:13" x14ac:dyDescent="0.25">
      <c r="C16" s="58" t="s">
        <v>194</v>
      </c>
      <c r="D16" s="59">
        <v>12.9283</v>
      </c>
      <c r="E16" s="59">
        <v>11292.83</v>
      </c>
      <c r="F16" s="59">
        <v>14.430300000000001</v>
      </c>
      <c r="G16" s="59">
        <v>14983.839401403065</v>
      </c>
      <c r="H16" s="59">
        <v>12.929500000000001</v>
      </c>
      <c r="I16" s="59">
        <v>18366.949269106684</v>
      </c>
      <c r="J16" s="59">
        <v>15.0045</v>
      </c>
      <c r="K16" s="59">
        <v>20117.507447051736</v>
      </c>
      <c r="L16" s="59">
        <v>12.8561</v>
      </c>
      <c r="M16" s="59">
        <v>49110.22687570408</v>
      </c>
    </row>
    <row r="17" spans="3:13" x14ac:dyDescent="0.25">
      <c r="C17" s="60" t="s">
        <v>195</v>
      </c>
      <c r="D17" s="67">
        <v>147.66</v>
      </c>
      <c r="E17" s="68"/>
      <c r="F17" s="67">
        <v>101.04</v>
      </c>
      <c r="G17" s="68"/>
      <c r="H17" s="67">
        <v>91.61</v>
      </c>
      <c r="I17" s="68"/>
      <c r="J17" s="67">
        <v>53.07</v>
      </c>
      <c r="K17" s="68"/>
      <c r="L17" s="67">
        <v>44.52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Chandrakant Gajane</cp:lastModifiedBy>
  <dcterms:created xsi:type="dcterms:W3CDTF">2026-03-06T09:35:23Z</dcterms:created>
  <dcterms:modified xsi:type="dcterms:W3CDTF">2026-03-09T07:06:42Z</dcterms:modified>
</cp:coreProperties>
</file>