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89DDB36C-BCCC-4A36-B3A5-FFBDE0054D8E}" xr6:coauthVersionLast="47" xr6:coauthVersionMax="47" xr10:uidLastSave="{00000000-0000-0000-0000-000000000000}"/>
  <bookViews>
    <workbookView xWindow="-120" yWindow="-120" windowWidth="20730" windowHeight="11040" xr2:uid="{516A3BA7-1D6C-4719-AFD0-0ADEFEC087F7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TDF!$C$8:$C$49</definedName>
    <definedName name="XDO_?FINAL_ISIN?3?">TDF!$D$10:$D$49</definedName>
    <definedName name="XDO_?FINAL_ISIN?4?">TDF!$D$10:$D$93</definedName>
    <definedName name="XDO_?FINAL_MV?3?">TDF!$H$10:$H$49</definedName>
    <definedName name="XDO_?FINAL_MV?4?">TDF!$H$10:$H$93</definedName>
    <definedName name="XDO_?FINAL_NAME?3?">TDF!$C$10:$C$49</definedName>
    <definedName name="XDO_?FINAL_NAME?4?">TDF!$C$10:$C$93</definedName>
    <definedName name="XDO_?FINAL_PER_NET?3?">TDF!$I$10:$I$49</definedName>
    <definedName name="XDO_?FINAL_PER_NET?4?">TDF!$I$10:$I$93</definedName>
    <definedName name="XDO_?FINAL_QUANTITE?3?">TDF!$G$10:$G$49</definedName>
    <definedName name="XDO_?FINAL_QUANTITE?4?">TDF!$G$10:$G$93</definedName>
    <definedName name="XDO_?IND_01?3?">TDF!$F$10:$F$49</definedName>
    <definedName name="XDO_?IND_01?4?">TDF!$F$10:$F$93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TDF!$C$2:$C$49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TDF!$B$10:$B$49</definedName>
    <definedName name="XDO_?NOVAL?4?">TDF!$B$10:$B$93</definedName>
    <definedName name="XDO_?NPTF?2?">TDF!$D$2:$D$49</definedName>
    <definedName name="XDO_?RATING?3?">TDF!$E$10:$E$49</definedName>
    <definedName name="XDO_?RATING?4?">TDF!$E$10:$E$93</definedName>
    <definedName name="XDO_?REMARKS?3?">TDF!$J$10:$J$49</definedName>
    <definedName name="XDO_?REMARKS?4?">TDF!$J$10:$J$93</definedName>
    <definedName name="XDO_?TITL?2?">TDF!$A$8:$A$49</definedName>
    <definedName name="XDO_GROUP_?G_2?2?">TDF!$2:$96</definedName>
    <definedName name="XDO_GROUP_?G_3?2?">TDF!$8:$95</definedName>
    <definedName name="XDO_GROUP_?G_4?3?">TDF!$B$10:$IV$49</definedName>
    <definedName name="XDO_GROUP_?G_4?4?">TDF!$B$93:$IV$93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" l="1"/>
</calcChain>
</file>

<file path=xl/sharedStrings.xml><?xml version="1.0" encoding="utf-8"?>
<sst xmlns="http://schemas.openxmlformats.org/spreadsheetml/2006/main" count="304" uniqueCount="227">
  <si>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</si>
  <si>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</si>
  <si>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</si>
  <si>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</si>
  <si>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</si>
  <si>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</si>
  <si>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</si>
  <si>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</si>
  <si>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</si>
  <si>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</si>
  <si>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</si>
  <si>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</si>
  <si>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</si>
  <si>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</si>
  <si>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</si>
  <si>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100234</t>
  </si>
  <si>
    <t>Coforge Ltd.</t>
  </si>
  <si>
    <t>INE591G01025</t>
  </si>
  <si>
    <t>IT - Software</t>
  </si>
  <si>
    <t>101574</t>
  </si>
  <si>
    <t>Linde India Ltd.</t>
  </si>
  <si>
    <t>INE473A01011</t>
  </si>
  <si>
    <t>Chemicals &amp; Petrochemicals</t>
  </si>
  <si>
    <t>102663</t>
  </si>
  <si>
    <t>Pace Digitek Ltd.</t>
  </si>
  <si>
    <t>INE0S3G01027</t>
  </si>
  <si>
    <t>Telecom - Services</t>
  </si>
  <si>
    <t>100201</t>
  </si>
  <si>
    <t>Aurobindo Pharma Ltd.</t>
  </si>
  <si>
    <t>INE406A01037</t>
  </si>
  <si>
    <t>Pharmaceuticals &amp; Biotechnology</t>
  </si>
  <si>
    <t>100164</t>
  </si>
  <si>
    <t>Petronet LNG Ltd.</t>
  </si>
  <si>
    <t>INE347G01014</t>
  </si>
  <si>
    <t>Gas</t>
  </si>
  <si>
    <t>100361</t>
  </si>
  <si>
    <t>Bank of India</t>
  </si>
  <si>
    <t>INE084A01016</t>
  </si>
  <si>
    <t>Banks</t>
  </si>
  <si>
    <t>100055</t>
  </si>
  <si>
    <t>The Federal Bank Ltd.</t>
  </si>
  <si>
    <t>INE171A01029</t>
  </si>
  <si>
    <t>100100</t>
  </si>
  <si>
    <t>Hindustan Petroleum Corporation Ltd.</t>
  </si>
  <si>
    <t>INE094A01015</t>
  </si>
  <si>
    <t>Petroleum Products</t>
  </si>
  <si>
    <t>100270</t>
  </si>
  <si>
    <t>PI Industries Ltd.</t>
  </si>
  <si>
    <t>INE603J01030</t>
  </si>
  <si>
    <t>Fertilizers &amp; Agrochemicals</t>
  </si>
  <si>
    <t>100042</t>
  </si>
  <si>
    <t>LIC Housing Finance Ltd.</t>
  </si>
  <si>
    <t>INE115A01026</t>
  </si>
  <si>
    <t>Finance</t>
  </si>
  <si>
    <t>100096</t>
  </si>
  <si>
    <t>Container Corporation of India Ltd.</t>
  </si>
  <si>
    <t>INE111A01025</t>
  </si>
  <si>
    <t>Transport Services</t>
  </si>
  <si>
    <t>102642</t>
  </si>
  <si>
    <t>Regaal Resources Ltd.</t>
  </si>
  <si>
    <t>INE0MHO01029</t>
  </si>
  <si>
    <t>Agricultural Food &amp; other Products</t>
  </si>
  <si>
    <t>100060</t>
  </si>
  <si>
    <t>Deepak Nitrite Ltd.</t>
  </si>
  <si>
    <t>INE288B01029</t>
  </si>
  <si>
    <t>100416</t>
  </si>
  <si>
    <t>GMR Airports Ltd.</t>
  </si>
  <si>
    <t>INE776C01039</t>
  </si>
  <si>
    <t>Transport Infrastructure</t>
  </si>
  <si>
    <t>102449</t>
  </si>
  <si>
    <t>Swiggy Ltd.</t>
  </si>
  <si>
    <t>INE00H001014</t>
  </si>
  <si>
    <t>Retailing</t>
  </si>
  <si>
    <t>100174</t>
  </si>
  <si>
    <t>Vodafone Idea Ltd.</t>
  </si>
  <si>
    <t>INE669E01016</t>
  </si>
  <si>
    <t>100026</t>
  </si>
  <si>
    <t>Persistent Systems Ltd.</t>
  </si>
  <si>
    <t>INE262H01021</t>
  </si>
  <si>
    <t>100367</t>
  </si>
  <si>
    <t>Exide Industries Ltd.</t>
  </si>
  <si>
    <t>INE302A01020</t>
  </si>
  <si>
    <t>Auto Components</t>
  </si>
  <si>
    <t>100306</t>
  </si>
  <si>
    <t>Abbott India Ltd.</t>
  </si>
  <si>
    <t>INE358A01014</t>
  </si>
  <si>
    <t>102611</t>
  </si>
  <si>
    <t>Kalpataru Ltd.</t>
  </si>
  <si>
    <t>INE227J01012</t>
  </si>
  <si>
    <t>Realty</t>
  </si>
  <si>
    <t>100694</t>
  </si>
  <si>
    <t>Indian Energy Exchange Ltd.</t>
  </si>
  <si>
    <t>INE022Q01020</t>
  </si>
  <si>
    <t>Capital Markets</t>
  </si>
  <si>
    <t>100088</t>
  </si>
  <si>
    <t>Bharat Heavy Electricals Ltd.</t>
  </si>
  <si>
    <t>INE257A01026</t>
  </si>
  <si>
    <t>Electrical Equipment</t>
  </si>
  <si>
    <t>100461</t>
  </si>
  <si>
    <t>Astral Ltd.</t>
  </si>
  <si>
    <t>INE006I01046</t>
  </si>
  <si>
    <t>Industrial Products</t>
  </si>
  <si>
    <t>100134</t>
  </si>
  <si>
    <t>Inox Wind Ltd.</t>
  </si>
  <si>
    <t>INE066P01011</t>
  </si>
  <si>
    <t>101949</t>
  </si>
  <si>
    <t>Samhi Hotels Ltd.</t>
  </si>
  <si>
    <t>INE08U801020</t>
  </si>
  <si>
    <t>Leisure Services</t>
  </si>
  <si>
    <t>100154</t>
  </si>
  <si>
    <t>Colgate Palmolive (India) Ltd.</t>
  </si>
  <si>
    <t>INE259A01022</t>
  </si>
  <si>
    <t>Personal Products</t>
  </si>
  <si>
    <t>100222</t>
  </si>
  <si>
    <t>The Indian Hotels Company Ltd.</t>
  </si>
  <si>
    <t>INE053A01029</t>
  </si>
  <si>
    <t>100195</t>
  </si>
  <si>
    <t>REC Ltd.</t>
  </si>
  <si>
    <t>INE020B01018</t>
  </si>
  <si>
    <t>100663</t>
  </si>
  <si>
    <t>AU Small Finance Bank Ltd.</t>
  </si>
  <si>
    <t>INE949L01017</t>
  </si>
  <si>
    <t>100172</t>
  </si>
  <si>
    <t>ACC Ltd.</t>
  </si>
  <si>
    <t>INE012A01025</t>
  </si>
  <si>
    <t>Cement &amp; Cement Products</t>
  </si>
  <si>
    <t>100565</t>
  </si>
  <si>
    <t>Glaxosmithkline Pharmaceuticals Ltd.</t>
  </si>
  <si>
    <t>INE159A01016</t>
  </si>
  <si>
    <t>101433</t>
  </si>
  <si>
    <t>Metro Brands Ltd.</t>
  </si>
  <si>
    <t>INE317I01021</t>
  </si>
  <si>
    <t>Consumer Durables</t>
  </si>
  <si>
    <t>100814</t>
  </si>
  <si>
    <t>HDFC Asset Management Co. Ltd.</t>
  </si>
  <si>
    <t>INE127D01025</t>
  </si>
  <si>
    <t>100271</t>
  </si>
  <si>
    <t>Balkrishna Industries Ltd.</t>
  </si>
  <si>
    <t>INE787D01026</t>
  </si>
  <si>
    <t>100242</t>
  </si>
  <si>
    <t>Schaeffler India Ltd.</t>
  </si>
  <si>
    <t>INE513A01022</t>
  </si>
  <si>
    <t>100471</t>
  </si>
  <si>
    <t>Endurance Technologies Ltd.</t>
  </si>
  <si>
    <t>INE913H01037</t>
  </si>
  <si>
    <t>100217</t>
  </si>
  <si>
    <t>Torrent Power Ltd.</t>
  </si>
  <si>
    <t>INE813H01021</t>
  </si>
  <si>
    <t>Power</t>
  </si>
  <si>
    <t>102206</t>
  </si>
  <si>
    <t>Chemtech Industrial Valves Ltd.</t>
  </si>
  <si>
    <t>INE212P01011</t>
  </si>
  <si>
    <t>Industrial Manufacturing</t>
  </si>
  <si>
    <t>100019</t>
  </si>
  <si>
    <t>ITC Ltd.</t>
  </si>
  <si>
    <t>INE154A01025</t>
  </si>
  <si>
    <t>Diversified FMCG</t>
  </si>
  <si>
    <t>101674</t>
  </si>
  <si>
    <t>Bharat Dynamics Ltd.</t>
  </si>
  <si>
    <t>INE171Z01026</t>
  </si>
  <si>
    <t>Aerospace &amp; Defense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</si>
  <si>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</si>
  <si>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</si>
  <si>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</si>
  <si>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</si>
  <si>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</si>
  <si>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</si>
  <si>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</si>
  <si>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</si>
  <si>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</si>
  <si>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</si>
  <si>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</si>
  <si>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</si>
  <si>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</si>
  <si>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</si>
  <si>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</si>
  <si>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</si>
  <si>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</si>
  <si>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</si>
  <si>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</si>
  <si>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</si>
  <si>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</si>
  <si>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</si>
  <si>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</si>
  <si>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</si>
  <si>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</si>
  <si>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</si>
  <si>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</si>
  <si>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</si>
  <si>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</si>
  <si>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</si>
  <si>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</si>
  <si>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</si>
  <si>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</si>
  <si>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</si>
  <si>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</si>
  <si>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</si>
  <si>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</si>
  <si>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</si>
  <si>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</si>
  <si>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</si>
  <si>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</si>
  <si>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November 30, 2025.</t>
  </si>
  <si>
    <t>7. The Scheme did not declare any bonus during the month ended as on November 30, 2025.</t>
  </si>
  <si>
    <t>8. Total outstanding exposure in derivative instruments as on November 30, 2025 is Nil</t>
  </si>
  <si>
    <t>9. Total investments in Foreign Securities /ADRs/GDRs /Overseas ETFs as at as on  November 30, 2025, 2025 and its percentage to NAV is Nil.</t>
  </si>
  <si>
    <t>10. During the period, the portfolio turnover ratio is 0.83 times.</t>
  </si>
  <si>
    <t>      Portfolio Turnover Ratio = Lower of sales or purchase of securities divided by average AUM for 12 months ended as on  November 30, 2025</t>
  </si>
  <si>
    <t>11. The Scheme did not invest in repo transactions of corporate debt securities during the month ended as on  November 30, 2025.</t>
  </si>
  <si>
    <t>12. The Scheme did not invest in credit default swaps during the month ended as on November 30, 2025.</t>
  </si>
  <si>
    <t>13. There are Nil instances of deviation from the valuation principles/guidelines during the month ended as on  November 30th, 2025.</t>
  </si>
  <si>
    <t>Taurus Midcap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</si>
  <si>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</si>
  <si>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</si>
  <si>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</si>
  <si>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</si>
  <si>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</si>
  <si>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</si>
  <si>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</si>
  <si>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</si>
  <si>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</si>
  <si>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</si>
  <si>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</si>
  <si>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</si>
  <si>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November 28,2025 :122.78)</t>
  </si>
  <si>
    <t>NAV [Rs.] Per Unit (as on November 28,2025 :129.81)</t>
  </si>
  <si>
    <t>Taurus Midcap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</si>
</sst>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107EC000-BCFF-43AE-855B-E908D3274E79}"/>
    <cellStyle name="Hyperlink" xfId="2" builtinId="8"/>
    <cellStyle name="Normal" xfId="0" builtinId="0"/>
    <cellStyle name="Normal 2" xfId="4" xr:uid="{D48557D7-E353-4270-86CD-E13501E44F22}"/>
    <cellStyle name="Style 1" xfId="3" xr:uid="{C8208615-02E5-43A4-BD60-5E3C579FC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47E3D-3986-475F-9B0A-60CEEDBCB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C74C-577C-42D1-8BDC-5FE21089BCF4}">
  <dimension ref="A1:BB12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33050</v>
      </c>
      <c r="H10" s="32">
        <v>630.78</v>
      </c>
      <c r="I10" s="32">
        <v>4.78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10130</v>
      </c>
      <c r="H11" s="32">
        <v>604.41999999999996</v>
      </c>
      <c r="I11" s="32">
        <v>4.58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274040</v>
      </c>
      <c r="H12" s="32">
        <v>584.66</v>
      </c>
      <c r="I12" s="32">
        <v>4.43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41000</v>
      </c>
      <c r="H13" s="32">
        <v>501.8</v>
      </c>
      <c r="I13" s="32">
        <v>3.81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175000</v>
      </c>
      <c r="H14" s="32">
        <v>475.65</v>
      </c>
      <c r="I14" s="32">
        <v>3.61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321241</v>
      </c>
      <c r="H15" s="32">
        <v>472.38</v>
      </c>
      <c r="I15" s="32">
        <v>3.58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38</v>
      </c>
      <c r="G16" s="31">
        <v>183012</v>
      </c>
      <c r="H16" s="32">
        <v>472.08</v>
      </c>
      <c r="I16" s="32">
        <v>3.58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102997</v>
      </c>
      <c r="H17" s="32">
        <v>471.26</v>
      </c>
      <c r="I17" s="32">
        <v>3.57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13500</v>
      </c>
      <c r="H18" s="32">
        <v>458.53</v>
      </c>
      <c r="I18" s="32">
        <v>3.48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83511</v>
      </c>
      <c r="H19" s="32">
        <v>458.52</v>
      </c>
      <c r="I19" s="32">
        <v>3.48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87500</v>
      </c>
      <c r="H20" s="32">
        <v>447.48</v>
      </c>
      <c r="I20" s="32">
        <v>3.39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539280</v>
      </c>
      <c r="H21" s="32">
        <v>418.86</v>
      </c>
      <c r="I21" s="32">
        <v>3.18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22</v>
      </c>
      <c r="G22" s="31">
        <v>26000</v>
      </c>
      <c r="H22" s="32">
        <v>405.24</v>
      </c>
      <c r="I22" s="32">
        <v>3.07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350000</v>
      </c>
      <c r="H23" s="32">
        <v>379.02</v>
      </c>
      <c r="I23" s="32">
        <v>2.87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100000</v>
      </c>
      <c r="H24" s="32">
        <v>378.3</v>
      </c>
      <c r="I24" s="32">
        <v>2.87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26</v>
      </c>
      <c r="G25" s="31">
        <v>3621441</v>
      </c>
      <c r="H25" s="32">
        <v>361.06</v>
      </c>
      <c r="I25" s="32">
        <v>2.74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18</v>
      </c>
      <c r="G26" s="31">
        <v>5662</v>
      </c>
      <c r="H26" s="32">
        <v>359.7</v>
      </c>
      <c r="I26" s="32">
        <v>2.73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83104</v>
      </c>
      <c r="H27" s="32">
        <v>311.52</v>
      </c>
      <c r="I27" s="32">
        <v>2.36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30</v>
      </c>
      <c r="G28" s="31">
        <v>1000</v>
      </c>
      <c r="H28" s="32">
        <v>300.69</v>
      </c>
      <c r="I28" s="32">
        <v>2.2799999999999998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86755</v>
      </c>
      <c r="H29" s="32">
        <v>299.83</v>
      </c>
      <c r="I29" s="32">
        <v>2.27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210000</v>
      </c>
      <c r="H30" s="32">
        <v>292.64</v>
      </c>
      <c r="I30" s="32">
        <v>2.2200000000000002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100622</v>
      </c>
      <c r="H31" s="32">
        <v>292.45999999999998</v>
      </c>
      <c r="I31" s="32">
        <v>2.2200000000000002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19958</v>
      </c>
      <c r="H32" s="32">
        <v>287.31</v>
      </c>
      <c r="I32" s="32">
        <v>2.1800000000000002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97</v>
      </c>
      <c r="G33" s="31">
        <v>211398</v>
      </c>
      <c r="H33" s="32">
        <v>284.33</v>
      </c>
      <c r="I33" s="32">
        <v>2.16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108</v>
      </c>
      <c r="G34" s="31">
        <v>135000</v>
      </c>
      <c r="H34" s="32">
        <v>264.87</v>
      </c>
      <c r="I34" s="32">
        <v>2.0099999999999998</v>
      </c>
      <c r="J34" s="33"/>
    </row>
    <row r="35" spans="2:10" x14ac:dyDescent="0.25">
      <c r="B35" s="1" t="s">
        <v>109</v>
      </c>
      <c r="C35" s="20" t="s">
        <v>110</v>
      </c>
      <c r="D35" s="29" t="s">
        <v>111</v>
      </c>
      <c r="E35" s="30"/>
      <c r="F35" s="30" t="s">
        <v>112</v>
      </c>
      <c r="G35" s="31">
        <v>11750</v>
      </c>
      <c r="H35" s="32">
        <v>255.15</v>
      </c>
      <c r="I35" s="32">
        <v>1.94</v>
      </c>
      <c r="J35" s="33"/>
    </row>
    <row r="36" spans="2:10" x14ac:dyDescent="0.25">
      <c r="B36" s="1" t="s">
        <v>113</v>
      </c>
      <c r="C36" s="20" t="s">
        <v>114</v>
      </c>
      <c r="D36" s="29" t="s">
        <v>115</v>
      </c>
      <c r="E36" s="30"/>
      <c r="F36" s="30" t="s">
        <v>108</v>
      </c>
      <c r="G36" s="31">
        <v>30000</v>
      </c>
      <c r="H36" s="32">
        <v>223.2</v>
      </c>
      <c r="I36" s="32">
        <v>1.69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53</v>
      </c>
      <c r="G37" s="31">
        <v>60496</v>
      </c>
      <c r="H37" s="32">
        <v>218.27</v>
      </c>
      <c r="I37" s="32">
        <v>1.66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38</v>
      </c>
      <c r="G38" s="31">
        <v>22264</v>
      </c>
      <c r="H38" s="32">
        <v>212.72</v>
      </c>
      <c r="I38" s="32">
        <v>1.61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11274</v>
      </c>
      <c r="H39" s="32">
        <v>208.54</v>
      </c>
      <c r="I39" s="32">
        <v>1.58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30</v>
      </c>
      <c r="G40" s="31">
        <v>7623</v>
      </c>
      <c r="H40" s="32">
        <v>195.66</v>
      </c>
      <c r="I40" s="32">
        <v>1.48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16200</v>
      </c>
      <c r="H41" s="32">
        <v>189.71</v>
      </c>
      <c r="I41" s="32">
        <v>1.44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93</v>
      </c>
      <c r="G42" s="31">
        <v>6936</v>
      </c>
      <c r="H42" s="32">
        <v>185.33</v>
      </c>
      <c r="I42" s="32">
        <v>1.41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82</v>
      </c>
      <c r="G43" s="31">
        <v>7579</v>
      </c>
      <c r="H43" s="32">
        <v>174.93</v>
      </c>
      <c r="I43" s="32">
        <v>1.33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82</v>
      </c>
      <c r="G44" s="31">
        <v>4347</v>
      </c>
      <c r="H44" s="32">
        <v>169.52</v>
      </c>
      <c r="I44" s="32">
        <v>1.29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82</v>
      </c>
      <c r="G45" s="31">
        <v>6224</v>
      </c>
      <c r="H45" s="32">
        <v>164.49</v>
      </c>
      <c r="I45" s="32">
        <v>1.25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9650</v>
      </c>
      <c r="H46" s="32">
        <v>126.83</v>
      </c>
      <c r="I46" s="32">
        <v>0.96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100000</v>
      </c>
      <c r="H47" s="32">
        <v>94.55</v>
      </c>
      <c r="I47" s="32">
        <v>0.72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156</v>
      </c>
      <c r="G48" s="31">
        <v>14090</v>
      </c>
      <c r="H48" s="32">
        <v>56.98</v>
      </c>
      <c r="I48" s="32">
        <v>0.43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160</v>
      </c>
      <c r="G49" s="31">
        <v>3452</v>
      </c>
      <c r="H49" s="32">
        <v>52.26</v>
      </c>
      <c r="I49" s="32">
        <v>0.4</v>
      </c>
      <c r="J49" s="33"/>
    </row>
    <row r="50" spans="2:10" x14ac:dyDescent="0.25">
      <c r="C50" s="28" t="s">
        <v>161</v>
      </c>
      <c r="D50" s="29"/>
      <c r="E50" s="30"/>
      <c r="F50" s="30"/>
      <c r="G50" s="31"/>
      <c r="H50" s="35">
        <v>12741.53</v>
      </c>
      <c r="I50" s="35">
        <v>96.64</v>
      </c>
      <c r="J50" s="33"/>
    </row>
    <row r="51" spans="2:10" x14ac:dyDescent="0.25">
      <c r="C51" s="20"/>
      <c r="D51" s="29"/>
      <c r="E51" s="30"/>
      <c r="F51" s="30"/>
      <c r="G51" s="31"/>
      <c r="H51" s="32"/>
      <c r="I51" s="32"/>
      <c r="J51" s="33"/>
    </row>
    <row r="52" spans="2:10" x14ac:dyDescent="0.25">
      <c r="C52" s="28" t="s">
        <v>162</v>
      </c>
      <c r="D52" s="29"/>
      <c r="E52" s="30"/>
      <c r="F52" s="30"/>
      <c r="G52" s="31"/>
      <c r="H52" s="32" t="s">
        <v>163</v>
      </c>
      <c r="I52" s="32" t="s">
        <v>163</v>
      </c>
      <c r="J52" s="33"/>
    </row>
    <row r="53" spans="2:10" x14ac:dyDescent="0.25">
      <c r="C53" s="20"/>
      <c r="D53" s="29"/>
      <c r="E53" s="30"/>
      <c r="F53" s="30"/>
      <c r="G53" s="31"/>
      <c r="H53" s="32"/>
      <c r="I53" s="32"/>
      <c r="J53" s="33"/>
    </row>
    <row r="54" spans="2:10" x14ac:dyDescent="0.25">
      <c r="C54" s="28" t="s">
        <v>164</v>
      </c>
      <c r="D54" s="29"/>
      <c r="E54" s="30"/>
      <c r="F54" s="30"/>
      <c r="G54" s="31"/>
      <c r="H54" s="32" t="s">
        <v>163</v>
      </c>
      <c r="I54" s="32" t="s">
        <v>163</v>
      </c>
      <c r="J54" s="33"/>
    </row>
    <row r="55" spans="2:10" x14ac:dyDescent="0.25">
      <c r="C55" s="20"/>
      <c r="D55" s="29"/>
      <c r="E55" s="30"/>
      <c r="F55" s="30"/>
      <c r="G55" s="31"/>
      <c r="H55" s="32"/>
      <c r="I55" s="32"/>
      <c r="J55" s="33"/>
    </row>
    <row r="56" spans="2:10" x14ac:dyDescent="0.25">
      <c r="C56" s="28" t="s">
        <v>165</v>
      </c>
      <c r="D56" s="29"/>
      <c r="E56" s="30"/>
      <c r="F56" s="30"/>
      <c r="G56" s="31"/>
      <c r="H56" s="32"/>
      <c r="I56" s="32"/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166</v>
      </c>
      <c r="D58" s="29"/>
      <c r="E58" s="30"/>
      <c r="F58" s="30"/>
      <c r="G58" s="31"/>
      <c r="H58" s="32" t="s">
        <v>163</v>
      </c>
      <c r="I58" s="32" t="s">
        <v>163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167</v>
      </c>
      <c r="D60" s="29"/>
      <c r="E60" s="30"/>
      <c r="F60" s="30"/>
      <c r="G60" s="31"/>
      <c r="H60" s="32" t="s">
        <v>163</v>
      </c>
      <c r="I60" s="32" t="s">
        <v>163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168</v>
      </c>
      <c r="D62" s="29"/>
      <c r="E62" s="30"/>
      <c r="F62" s="30"/>
      <c r="G62" s="31"/>
      <c r="H62" s="32" t="s">
        <v>163</v>
      </c>
      <c r="I62" s="32" t="s">
        <v>163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169</v>
      </c>
      <c r="D64" s="29"/>
      <c r="E64" s="30"/>
      <c r="F64" s="30"/>
      <c r="G64" s="31"/>
      <c r="H64" s="32" t="s">
        <v>163</v>
      </c>
      <c r="I64" s="32" t="s">
        <v>163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170</v>
      </c>
      <c r="D66" s="29"/>
      <c r="E66" s="30"/>
      <c r="F66" s="30"/>
      <c r="G66" s="31"/>
      <c r="H66" s="32" t="s">
        <v>163</v>
      </c>
      <c r="I66" s="32" t="s">
        <v>163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171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172</v>
      </c>
      <c r="D70" s="29"/>
      <c r="E70" s="30"/>
      <c r="F70" s="30"/>
      <c r="G70" s="31"/>
      <c r="H70" s="32" t="s">
        <v>163</v>
      </c>
      <c r="I70" s="32" t="s">
        <v>163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173</v>
      </c>
      <c r="D72" s="29"/>
      <c r="E72" s="30"/>
      <c r="F72" s="30"/>
      <c r="G72" s="31"/>
      <c r="H72" s="32" t="s">
        <v>163</v>
      </c>
      <c r="I72" s="32" t="s">
        <v>163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174</v>
      </c>
      <c r="D74" s="29"/>
      <c r="E74" s="30"/>
      <c r="F74" s="30"/>
      <c r="G74" s="31"/>
      <c r="H74" s="32" t="s">
        <v>163</v>
      </c>
      <c r="I74" s="32" t="s">
        <v>163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175</v>
      </c>
      <c r="D76" s="29"/>
      <c r="E76" s="30"/>
      <c r="F76" s="30"/>
      <c r="G76" s="31"/>
      <c r="H76" s="32" t="s">
        <v>163</v>
      </c>
      <c r="I76" s="32" t="s">
        <v>163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176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177</v>
      </c>
      <c r="D80" s="29"/>
      <c r="E80" s="30"/>
      <c r="F80" s="30"/>
      <c r="G80" s="31"/>
      <c r="H80" s="32" t="s">
        <v>163</v>
      </c>
      <c r="I80" s="32" t="s">
        <v>163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178</v>
      </c>
      <c r="D82" s="29"/>
      <c r="E82" s="30"/>
      <c r="F82" s="30"/>
      <c r="G82" s="31"/>
      <c r="H82" s="32" t="s">
        <v>163</v>
      </c>
      <c r="I82" s="32" t="s">
        <v>163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179</v>
      </c>
      <c r="D84" s="29"/>
      <c r="E84" s="30"/>
      <c r="F84" s="30"/>
      <c r="G84" s="31"/>
      <c r="H84" s="32" t="s">
        <v>163</v>
      </c>
      <c r="I84" s="32" t="s">
        <v>163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180</v>
      </c>
      <c r="D86" s="29"/>
      <c r="E86" s="30"/>
      <c r="F86" s="30"/>
      <c r="G86" s="31"/>
      <c r="H86" s="32" t="s">
        <v>163</v>
      </c>
      <c r="I86" s="32" t="s">
        <v>163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181</v>
      </c>
      <c r="D88" s="29"/>
      <c r="E88" s="30"/>
      <c r="F88" s="30"/>
      <c r="G88" s="31"/>
      <c r="H88" s="32" t="s">
        <v>163</v>
      </c>
      <c r="I88" s="32" t="s">
        <v>163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182</v>
      </c>
      <c r="D90" s="29"/>
      <c r="E90" s="30"/>
      <c r="F90" s="30"/>
      <c r="G90" s="31"/>
      <c r="H90" s="32" t="s">
        <v>163</v>
      </c>
      <c r="I90" s="32" t="s">
        <v>163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A92" s="26"/>
      <c r="B92" s="27"/>
      <c r="C92" s="28" t="s">
        <v>183</v>
      </c>
      <c r="D92" s="29"/>
      <c r="E92" s="30"/>
      <c r="F92" s="30"/>
      <c r="G92" s="31"/>
      <c r="H92" s="32"/>
      <c r="I92" s="32"/>
      <c r="J92" s="33"/>
    </row>
    <row r="93" spans="1:10" x14ac:dyDescent="0.25">
      <c r="B93" s="1"/>
      <c r="C93" s="20" t="s">
        <v>184</v>
      </c>
      <c r="D93" s="29"/>
      <c r="E93" s="30"/>
      <c r="F93" s="30"/>
      <c r="G93" s="31"/>
      <c r="H93" s="32">
        <v>442.8</v>
      </c>
      <c r="I93" s="32">
        <v>3.36</v>
      </c>
      <c r="J93" s="33"/>
    </row>
    <row r="94" spans="1:10" x14ac:dyDescent="0.25">
      <c r="C94" s="28" t="s">
        <v>161</v>
      </c>
      <c r="D94" s="29"/>
      <c r="E94" s="30"/>
      <c r="F94" s="30"/>
      <c r="G94" s="31"/>
      <c r="H94" s="35">
        <v>442.8</v>
      </c>
      <c r="I94" s="35">
        <v>3.36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ht="14.25" thickBot="1" x14ac:dyDescent="0.3">
      <c r="C96" s="36" t="s">
        <v>185</v>
      </c>
      <c r="D96" s="37"/>
      <c r="E96" s="38"/>
      <c r="F96" s="39"/>
      <c r="G96" s="40"/>
      <c r="H96" s="41">
        <v>13184.33</v>
      </c>
      <c r="I96" s="41">
        <f>SUMIFS(I:I,C:C,"Total")</f>
        <v>100</v>
      </c>
      <c r="J96" s="42"/>
    </row>
    <row r="99" spans="3:5" x14ac:dyDescent="0.25">
      <c r="C99" s="11" t="s">
        <v>186</v>
      </c>
    </row>
    <row r="100" spans="3:5" x14ac:dyDescent="0.25">
      <c r="C100" s="2" t="s">
        <v>187</v>
      </c>
    </row>
    <row r="101" spans="3:5" x14ac:dyDescent="0.25">
      <c r="C101" s="2" t="s">
        <v>188</v>
      </c>
    </row>
    <row r="102" spans="3:5" x14ac:dyDescent="0.25">
      <c r="C102" s="2" t="s">
        <v>189</v>
      </c>
    </row>
    <row r="103" spans="3:5" x14ac:dyDescent="0.25">
      <c r="C103" s="43" t="s">
        <v>190</v>
      </c>
      <c r="D103" s="44"/>
      <c r="E103" s="44"/>
    </row>
    <row r="104" spans="3:5" x14ac:dyDescent="0.25">
      <c r="C104" s="43" t="s">
        <v>191</v>
      </c>
      <c r="D104" s="44"/>
      <c r="E104" s="44"/>
    </row>
    <row r="105" spans="3:5" ht="14.25" thickBot="1" x14ac:dyDescent="0.3">
      <c r="C105" s="43" t="s">
        <v>192</v>
      </c>
      <c r="D105" s="44"/>
      <c r="E105" s="44"/>
    </row>
    <row r="106" spans="3:5" ht="14.25" thickBot="1" x14ac:dyDescent="0.3">
      <c r="C106" s="45"/>
      <c r="D106" s="63" t="s">
        <v>193</v>
      </c>
      <c r="E106" s="64"/>
    </row>
    <row r="107" spans="3:5" x14ac:dyDescent="0.25">
      <c r="C107" s="46" t="s">
        <v>194</v>
      </c>
      <c r="D107" s="47" t="s">
        <v>195</v>
      </c>
      <c r="E107" s="48" t="s">
        <v>195</v>
      </c>
    </row>
    <row r="108" spans="3:5" ht="14.25" thickBot="1" x14ac:dyDescent="0.3">
      <c r="C108" s="49"/>
      <c r="D108" s="50" t="s">
        <v>196</v>
      </c>
      <c r="E108" s="51" t="s">
        <v>197</v>
      </c>
    </row>
    <row r="109" spans="3:5" ht="14.25" thickBot="1" x14ac:dyDescent="0.3">
      <c r="C109" s="52" t="s">
        <v>198</v>
      </c>
      <c r="D109" s="53">
        <v>110.39</v>
      </c>
      <c r="E109" s="53">
        <v>109.43</v>
      </c>
    </row>
    <row r="110" spans="3:5" ht="14.25" thickBot="1" x14ac:dyDescent="0.3">
      <c r="C110" s="52" t="s">
        <v>199</v>
      </c>
      <c r="D110" s="53">
        <v>123.84</v>
      </c>
      <c r="E110" s="53">
        <v>122.77</v>
      </c>
    </row>
    <row r="111" spans="3:5" ht="14.25" thickBot="1" x14ac:dyDescent="0.3">
      <c r="C111" s="52" t="s">
        <v>200</v>
      </c>
      <c r="D111" s="53">
        <v>116.27</v>
      </c>
      <c r="E111" s="53">
        <v>115.3</v>
      </c>
    </row>
    <row r="112" spans="3:5" ht="14.25" thickBot="1" x14ac:dyDescent="0.3">
      <c r="C112" s="52" t="s">
        <v>201</v>
      </c>
      <c r="D112" s="53">
        <v>130.88</v>
      </c>
      <c r="E112" s="53">
        <v>129.79</v>
      </c>
    </row>
    <row r="113" spans="3:5" x14ac:dyDescent="0.25">
      <c r="C113" s="44"/>
      <c r="D113" s="44"/>
      <c r="E113" s="44"/>
    </row>
    <row r="114" spans="3:5" x14ac:dyDescent="0.25">
      <c r="C114" s="43" t="s">
        <v>202</v>
      </c>
      <c r="D114" s="43"/>
      <c r="E114" s="54"/>
    </row>
    <row r="115" spans="3:5" x14ac:dyDescent="0.25">
      <c r="C115" s="43" t="s">
        <v>203</v>
      </c>
      <c r="D115" s="43"/>
      <c r="E115" s="54"/>
    </row>
    <row r="116" spans="3:5" x14ac:dyDescent="0.25">
      <c r="C116" s="43" t="s">
        <v>204</v>
      </c>
      <c r="D116" s="43"/>
      <c r="E116" s="54"/>
    </row>
    <row r="117" spans="3:5" x14ac:dyDescent="0.25">
      <c r="C117" s="43" t="s">
        <v>205</v>
      </c>
      <c r="D117" s="43"/>
      <c r="E117" s="43"/>
    </row>
    <row r="118" spans="3:5" x14ac:dyDescent="0.25">
      <c r="C118" s="43" t="s">
        <v>206</v>
      </c>
      <c r="D118" s="54"/>
      <c r="E118" s="44"/>
    </row>
    <row r="119" spans="3:5" x14ac:dyDescent="0.25">
      <c r="C119" s="43" t="s">
        <v>207</v>
      </c>
      <c r="D119" s="43"/>
      <c r="E119" s="43"/>
    </row>
    <row r="120" spans="3:5" x14ac:dyDescent="0.25">
      <c r="C120" s="43" t="s">
        <v>208</v>
      </c>
      <c r="D120" s="43"/>
      <c r="E120" s="43"/>
    </row>
    <row r="121" spans="3:5" x14ac:dyDescent="0.25">
      <c r="C121" s="43" t="s">
        <v>209</v>
      </c>
      <c r="D121" s="43"/>
      <c r="E121" s="43"/>
    </row>
    <row r="122" spans="3:5" ht="15" x14ac:dyDescent="0.25">
      <c r="C122" s="43" t="s">
        <v>210</v>
      </c>
      <c r="D122"/>
      <c r="E122"/>
    </row>
  </sheetData>
  <mergeCells count="1">
    <mergeCell ref="D106:E10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53D2-90E7-478B-B802-3C5933BAEAE3}">
  <dimension ref="C3:M17"/>
  <sheetViews>
    <sheetView workbookViewId="0"/>
  </sheetViews>
  <sheetFormatPr defaultRowHeight="15" x14ac:dyDescent="0.25"/>
  <cols>
    <col min="3" max="3" width="47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5" t="s">
        <v>211</v>
      </c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3:13" x14ac:dyDescent="0.25">
      <c r="C4" s="57" t="s">
        <v>212</v>
      </c>
      <c r="D4" s="65" t="s">
        <v>213</v>
      </c>
      <c r="E4" s="65"/>
      <c r="F4" s="65" t="s">
        <v>214</v>
      </c>
      <c r="G4" s="65"/>
      <c r="H4" s="65" t="s">
        <v>215</v>
      </c>
      <c r="I4" s="65"/>
      <c r="J4" s="66" t="s">
        <v>216</v>
      </c>
      <c r="K4" s="67"/>
      <c r="L4" s="68" t="s">
        <v>217</v>
      </c>
      <c r="M4" s="68"/>
    </row>
    <row r="5" spans="3:13" ht="63.75" x14ac:dyDescent="0.25">
      <c r="C5" s="58"/>
      <c r="D5" s="59" t="s">
        <v>218</v>
      </c>
      <c r="E5" s="59" t="s">
        <v>219</v>
      </c>
      <c r="F5" s="59" t="s">
        <v>218</v>
      </c>
      <c r="G5" s="59" t="s">
        <v>219</v>
      </c>
      <c r="H5" s="59" t="s">
        <v>218</v>
      </c>
      <c r="I5" s="59" t="s">
        <v>219</v>
      </c>
      <c r="J5" s="59" t="s">
        <v>218</v>
      </c>
      <c r="K5" s="59" t="s">
        <v>219</v>
      </c>
      <c r="L5" s="60" t="s">
        <v>218</v>
      </c>
      <c r="M5" s="60" t="s">
        <v>219</v>
      </c>
    </row>
    <row r="6" spans="3:13" x14ac:dyDescent="0.25">
      <c r="C6" s="61" t="s">
        <v>220</v>
      </c>
      <c r="D6" s="62">
        <v>0.90400000000000003</v>
      </c>
      <c r="E6" s="62">
        <v>10090.401051939514</v>
      </c>
      <c r="F6" s="62">
        <v>16.305199999999999</v>
      </c>
      <c r="G6" s="62">
        <v>15739.00781951032</v>
      </c>
      <c r="H6" s="62">
        <v>18.657</v>
      </c>
      <c r="I6" s="62">
        <v>23543.624161073825</v>
      </c>
      <c r="J6" s="62">
        <v>14.921799999999999</v>
      </c>
      <c r="K6" s="62">
        <v>40242.543428384139</v>
      </c>
      <c r="L6" s="62">
        <v>8.3552</v>
      </c>
      <c r="M6" s="62">
        <v>122780</v>
      </c>
    </row>
    <row r="7" spans="3:13" x14ac:dyDescent="0.25">
      <c r="C7" s="61" t="s">
        <v>221</v>
      </c>
      <c r="D7" s="62">
        <v>8.0878999999999994</v>
      </c>
      <c r="E7" s="62">
        <v>10808.789999999999</v>
      </c>
      <c r="F7" s="62">
        <v>23.730699999999999</v>
      </c>
      <c r="G7" s="62">
        <v>18942.286884359732</v>
      </c>
      <c r="H7" s="62">
        <v>25.476500000000001</v>
      </c>
      <c r="I7" s="62">
        <v>31103.694715314869</v>
      </c>
      <c r="J7" s="62">
        <v>18.4969</v>
      </c>
      <c r="K7" s="62">
        <v>23363.340825644627</v>
      </c>
      <c r="L7" s="62" t="s">
        <v>222</v>
      </c>
      <c r="M7" s="62" t="s">
        <v>222</v>
      </c>
    </row>
    <row r="8" spans="3:13" x14ac:dyDescent="0.25">
      <c r="C8" s="61" t="s">
        <v>223</v>
      </c>
      <c r="D8" s="62">
        <v>10.9338</v>
      </c>
      <c r="E8" s="62">
        <v>11093.38</v>
      </c>
      <c r="F8" s="62">
        <v>13.4663</v>
      </c>
      <c r="G8" s="62">
        <v>14608.333661891722</v>
      </c>
      <c r="H8" s="62">
        <v>16.4649</v>
      </c>
      <c r="I8" s="62">
        <v>21427.686838804144</v>
      </c>
      <c r="J8" s="62">
        <v>14.057700000000001</v>
      </c>
      <c r="K8" s="62">
        <v>19302.921674483874</v>
      </c>
      <c r="L8" s="62">
        <v>11.393800000000001</v>
      </c>
      <c r="M8" s="62">
        <v>291409.12394645513</v>
      </c>
    </row>
    <row r="9" spans="3:13" x14ac:dyDescent="0.25">
      <c r="C9" s="61" t="s">
        <v>224</v>
      </c>
      <c r="D9" s="69">
        <v>121.68</v>
      </c>
      <c r="E9" s="70"/>
      <c r="F9" s="69">
        <v>78.010000000000005</v>
      </c>
      <c r="G9" s="70"/>
      <c r="H9" s="69">
        <v>52.15</v>
      </c>
      <c r="I9" s="70"/>
      <c r="J9" s="69">
        <v>30.51</v>
      </c>
      <c r="K9" s="70"/>
      <c r="L9" s="69">
        <v>10</v>
      </c>
      <c r="M9" s="70"/>
    </row>
    <row r="11" spans="3:13" ht="15.75" x14ac:dyDescent="0.25">
      <c r="C11" s="55" t="s">
        <v>226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3:13" x14ac:dyDescent="0.25">
      <c r="C12" s="57" t="s">
        <v>212</v>
      </c>
      <c r="D12" s="65" t="s">
        <v>213</v>
      </c>
      <c r="E12" s="65"/>
      <c r="F12" s="65" t="s">
        <v>214</v>
      </c>
      <c r="G12" s="65"/>
      <c r="H12" s="65" t="s">
        <v>215</v>
      </c>
      <c r="I12" s="65"/>
      <c r="J12" s="66" t="s">
        <v>216</v>
      </c>
      <c r="K12" s="67"/>
      <c r="L12" s="68" t="s">
        <v>217</v>
      </c>
      <c r="M12" s="68"/>
    </row>
    <row r="13" spans="3:13" ht="63.75" x14ac:dyDescent="0.25">
      <c r="C13" s="58"/>
      <c r="D13" s="59" t="s">
        <v>218</v>
      </c>
      <c r="E13" s="59" t="s">
        <v>219</v>
      </c>
      <c r="F13" s="59" t="s">
        <v>218</v>
      </c>
      <c r="G13" s="59" t="s">
        <v>219</v>
      </c>
      <c r="H13" s="59" t="s">
        <v>218</v>
      </c>
      <c r="I13" s="59" t="s">
        <v>219</v>
      </c>
      <c r="J13" s="59" t="s">
        <v>218</v>
      </c>
      <c r="K13" s="59" t="s">
        <v>219</v>
      </c>
      <c r="L13" s="60" t="s">
        <v>218</v>
      </c>
      <c r="M13" s="60" t="s">
        <v>219</v>
      </c>
    </row>
    <row r="14" spans="3:13" x14ac:dyDescent="0.25">
      <c r="C14" s="61" t="s">
        <v>220</v>
      </c>
      <c r="D14" s="62">
        <v>1.3428</v>
      </c>
      <c r="E14" s="62">
        <v>10134.280583964401</v>
      </c>
      <c r="F14" s="62">
        <v>16.7532</v>
      </c>
      <c r="G14" s="62">
        <v>15921.746596344905</v>
      </c>
      <c r="H14" s="62">
        <v>19.098700000000001</v>
      </c>
      <c r="I14" s="62">
        <v>23985.587583148561</v>
      </c>
      <c r="J14" s="62">
        <v>15.404999999999999</v>
      </c>
      <c r="K14" s="62">
        <v>41968.962172647916</v>
      </c>
      <c r="L14" s="62">
        <v>16.629300000000001</v>
      </c>
      <c r="M14" s="62">
        <v>73297.571993224163</v>
      </c>
    </row>
    <row r="15" spans="3:13" x14ac:dyDescent="0.25">
      <c r="C15" s="61" t="s">
        <v>221</v>
      </c>
      <c r="D15" s="62">
        <v>8.0878999999999994</v>
      </c>
      <c r="E15" s="62">
        <v>10808.789999999999</v>
      </c>
      <c r="F15" s="62">
        <v>23.730699999999999</v>
      </c>
      <c r="G15" s="62">
        <v>18942.286884359732</v>
      </c>
      <c r="H15" s="62">
        <v>25.476500000000001</v>
      </c>
      <c r="I15" s="62">
        <v>31103.694715314869</v>
      </c>
      <c r="J15" s="62">
        <v>18.4969</v>
      </c>
      <c r="K15" s="62">
        <v>23363.340825644627</v>
      </c>
      <c r="L15" s="62">
        <v>18.919599999999999</v>
      </c>
      <c r="M15" s="62">
        <v>93690.844748757983</v>
      </c>
    </row>
    <row r="16" spans="3:13" x14ac:dyDescent="0.25">
      <c r="C16" s="61" t="s">
        <v>223</v>
      </c>
      <c r="D16" s="62">
        <v>10.9338</v>
      </c>
      <c r="E16" s="62">
        <v>11093.38</v>
      </c>
      <c r="F16" s="62">
        <v>13.4663</v>
      </c>
      <c r="G16" s="62">
        <v>14608.333661891722</v>
      </c>
      <c r="H16" s="62">
        <v>16.4649</v>
      </c>
      <c r="I16" s="62">
        <v>21427.686838804144</v>
      </c>
      <c r="J16" s="62">
        <v>14.057700000000001</v>
      </c>
      <c r="K16" s="62">
        <v>19302.921674483874</v>
      </c>
      <c r="L16" s="62">
        <v>13.481</v>
      </c>
      <c r="M16" s="62">
        <v>51190.081795275109</v>
      </c>
    </row>
    <row r="17" spans="3:13" x14ac:dyDescent="0.25">
      <c r="C17" s="61" t="s">
        <v>225</v>
      </c>
      <c r="D17" s="69">
        <v>128.09</v>
      </c>
      <c r="E17" s="70"/>
      <c r="F17" s="69">
        <v>81.53</v>
      </c>
      <c r="G17" s="70"/>
      <c r="H17" s="69">
        <v>54.12</v>
      </c>
      <c r="I17" s="70"/>
      <c r="J17" s="69">
        <v>30.93</v>
      </c>
      <c r="K17" s="70"/>
      <c r="L17" s="69">
        <v>17.71</v>
      </c>
      <c r="M17" s="7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2025-12-04T10:43:54Z</dcterms:created>
  <dcterms:modified xsi:type="dcterms:W3CDTF">2026-01-07T07:20:45Z</dcterms:modified>
</cp:coreProperties>
</file>