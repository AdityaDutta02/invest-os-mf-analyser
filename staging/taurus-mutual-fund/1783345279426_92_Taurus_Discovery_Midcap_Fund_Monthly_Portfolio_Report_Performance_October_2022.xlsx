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Portfolio'!$C$8:$C$47</definedName>
    <definedName name="XDO_?FINAL_ISIN?3?">'TDF-Risk-O-Meter &amp; Portfolio'!$D$10:$D$47</definedName>
    <definedName name="XDO_?FINAL_ISIN?4?">'TDF-Risk-O-Meter &amp; Portfolio'!$D$10:$D$89</definedName>
    <definedName name="XDO_?FINAL_MV?3?">'TDF-Risk-O-Meter &amp; Portfolio'!$H$10:$H$47</definedName>
    <definedName name="XDO_?FINAL_MV?4?">'TDF-Risk-O-Meter &amp; Portfolio'!$H$10:$H$89</definedName>
    <definedName name="XDO_?FINAL_NAME?3?">'TDF-Risk-O-Meter &amp; Portfolio'!$C$10:$C$47</definedName>
    <definedName name="XDO_?FINAL_NAME?4?">'TDF-Risk-O-Meter &amp; Portfolio'!$C$10:$C$89</definedName>
    <definedName name="XDO_?FINAL_PER_NET?3?">'TDF-Risk-O-Meter &amp; Portfolio'!$I$10:$I$47</definedName>
    <definedName name="XDO_?FINAL_PER_NET?4?">'TDF-Risk-O-Meter &amp; Portfolio'!$I$10:$I$89</definedName>
    <definedName name="XDO_?FINAL_QUANTITE?3?">'TDF-Risk-O-Meter &amp; Portfolio'!$G$10:$G$47</definedName>
    <definedName name="XDO_?FINAL_QUANTITE?4?">'TDF-Risk-O-Meter &amp; Portfolio'!$G$10:$G$89</definedName>
    <definedName name="XDO_?IND_01?3?">'TDF-Risk-O-Meter &amp; Portfolio'!$F$10:$F$47</definedName>
    <definedName name="XDO_?IND_01?4?">'TDF-Risk-O-Meter &amp; Portfolio'!$F$10:$F$89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Portfolio'!$C$2:$C$47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Portfolio'!$B$10:$B$47</definedName>
    <definedName name="XDO_?NOVAL?4?">'TDF-Risk-O-Meter &amp; Portfolio'!$B$10:$B$89</definedName>
    <definedName name="XDO_?NPTF?2?">'TDF-Risk-O-Meter &amp; Portfolio'!$D$2:$D$47</definedName>
    <definedName name="XDO_?RATING?3?">'TDF-Risk-O-Meter &amp; Portfolio'!$E$10:$E$47</definedName>
    <definedName name="XDO_?RATING?4?">'TDF-Risk-O-Meter &amp; Portfolio'!$E$10:$E$89</definedName>
    <definedName name="XDO_?REMARKS?3?">'TDF-Risk-O-Meter &amp; Portfolio'!$J$10:$J$47</definedName>
    <definedName name="XDO_?REMARKS?4?">'TDF-Risk-O-Meter &amp; Portfolio'!$J$10:$J$89</definedName>
    <definedName name="XDO_?TITL?2?">'TDF-Risk-O-Meter &amp; Portfolio'!$A$8:$A$47</definedName>
    <definedName name="XDO_GROUP_?G_2?2?">'TDF-Risk-O-Meter &amp; Portfolio'!$2:$92</definedName>
    <definedName name="XDO_GROUP_?G_3?2?">'TDF-Risk-O-Meter &amp; Portfolio'!$8:$91</definedName>
    <definedName name="XDO_GROUP_?G_4?3?">'TDF-Risk-O-Meter &amp; Portfolio'!$B$10:$IV$47</definedName>
    <definedName name="XDO_GROUP_?G_4?4?">'TDF-Risk-O-Meter &amp; Portfolio'!$B$89:$IV$89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<sst xmlns="http://schemas.openxmlformats.org/spreadsheetml/2006/main" count="264" uniqueCount="191">
  <si>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</si>
  <si>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</si>
  <si>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</si>
  <si>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</si>
  <si>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</si>
  <si>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</si>
  <si>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</si>
  <si>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</si>
  <si>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</si>
  <si>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</si>
  <si>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</si>
  <si>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</si>
  <si>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</si>
  <si>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</si>
  <si>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</si>
  <si>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</si>
  <si>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</si>
  <si>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</si>
  <si>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</si>
  <si>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</si>
  <si>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</si>
  <si>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</si>
  <si>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</si>
  <si>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100398</t>
  </si>
  <si>
    <t>Aditya Birla Fashion and Retail Ltd.</t>
  </si>
  <si>
    <t>INE647O01011</t>
  </si>
  <si>
    <t>Retailing</t>
  </si>
  <si>
    <t>100740</t>
  </si>
  <si>
    <t>Sterlite Technologies Ltd.</t>
  </si>
  <si>
    <t>INE089C01029</t>
  </si>
  <si>
    <t>Telecom - Services</t>
  </si>
  <si>
    <t>100055</t>
  </si>
  <si>
    <t>The Federal Bank Ltd.</t>
  </si>
  <si>
    <t>INE171A01029</t>
  </si>
  <si>
    <t>Banks</t>
  </si>
  <si>
    <t>100476</t>
  </si>
  <si>
    <t>Caplin Point Laboratories Ltd.</t>
  </si>
  <si>
    <t>INE475E01026</t>
  </si>
  <si>
    <t>101522</t>
  </si>
  <si>
    <t>Hariom Pipe Industries Ltd.</t>
  </si>
  <si>
    <t>INE00EV01017</t>
  </si>
  <si>
    <t>Industrial Products</t>
  </si>
  <si>
    <t>100371</t>
  </si>
  <si>
    <t>Sun TV Network Ltd.</t>
  </si>
  <si>
    <t>INE424H01027</t>
  </si>
  <si>
    <t>Entertainment</t>
  </si>
  <si>
    <t>101152</t>
  </si>
  <si>
    <t>Sumitomo Chemical India Ltd.</t>
  </si>
  <si>
    <t>INE258G01013</t>
  </si>
  <si>
    <t>Fertilizers &amp; Agrochemicals</t>
  </si>
  <si>
    <t>100719</t>
  </si>
  <si>
    <t>Mayur Uniquoters Ltd.</t>
  </si>
  <si>
    <t>INE040D01038</t>
  </si>
  <si>
    <t>Consumer Durables</t>
  </si>
  <si>
    <t>100325</t>
  </si>
  <si>
    <t>Bajaj Holdings &amp; Investment Ltd.</t>
  </si>
  <si>
    <t>INE118A01012</t>
  </si>
  <si>
    <t>Finance</t>
  </si>
  <si>
    <t>100122</t>
  </si>
  <si>
    <t>Union Bank of India</t>
  </si>
  <si>
    <t>INE692A01016</t>
  </si>
  <si>
    <t>100843</t>
  </si>
  <si>
    <t>Dalmia Bharat Ltd.</t>
  </si>
  <si>
    <t>INE00R701025</t>
  </si>
  <si>
    <t>Cement &amp; Cement Products</t>
  </si>
  <si>
    <t>100088</t>
  </si>
  <si>
    <t>Bharat Heavy Electricals Ltd.</t>
  </si>
  <si>
    <t>INE257A01026</t>
  </si>
  <si>
    <t>Electrical Equipment</t>
  </si>
  <si>
    <t>100570</t>
  </si>
  <si>
    <t>K.P.R. Mill Ltd.</t>
  </si>
  <si>
    <t>INE930H01031</t>
  </si>
  <si>
    <t>Textiles &amp; Apparels</t>
  </si>
  <si>
    <t>100461</t>
  </si>
  <si>
    <t>Astral Limited</t>
  </si>
  <si>
    <t>INE006I01046</t>
  </si>
  <si>
    <t>100090</t>
  </si>
  <si>
    <t>Bharat Forge Ltd.</t>
  </si>
  <si>
    <t>INE465A01025</t>
  </si>
  <si>
    <t>100234</t>
  </si>
  <si>
    <t>Coforge Ltd.</t>
  </si>
  <si>
    <t>INE591G01017</t>
  </si>
  <si>
    <t>IT - Software</t>
  </si>
  <si>
    <t>100271</t>
  </si>
  <si>
    <t>Balkrishna Industries Ltd.</t>
  </si>
  <si>
    <t>INE787D01026</t>
  </si>
  <si>
    <t>Auto Components</t>
  </si>
  <si>
    <t>100161</t>
  </si>
  <si>
    <t>Cummins India Ltd.</t>
  </si>
  <si>
    <t>INE298A01020</t>
  </si>
  <si>
    <t>100026</t>
  </si>
  <si>
    <t>Persistent Systems Ltd.</t>
  </si>
  <si>
    <t>INE262H01013</t>
  </si>
  <si>
    <t>101412</t>
  </si>
  <si>
    <t>Punjab Chemicals &amp; Crop Protection Ltd.</t>
  </si>
  <si>
    <t>INE277B01014</t>
  </si>
  <si>
    <t>100116</t>
  </si>
  <si>
    <t>Sundaram Finance Ltd.</t>
  </si>
  <si>
    <t>INE660A01013</t>
  </si>
  <si>
    <t>100435</t>
  </si>
  <si>
    <t>Crompton Greaves Consumer Electricals Ltd.</t>
  </si>
  <si>
    <t>INE299U01018</t>
  </si>
  <si>
    <t>101415</t>
  </si>
  <si>
    <t>HINDUSTAN OIL EXPLORATION CO.LTD.</t>
  </si>
  <si>
    <t>INE345A01011</t>
  </si>
  <si>
    <t>Oil</t>
  </si>
  <si>
    <t>100068</t>
  </si>
  <si>
    <t>Kansai Nerolac Paints Ltd.</t>
  </si>
  <si>
    <t>INE531A01024</t>
  </si>
  <si>
    <t>100050</t>
  </si>
  <si>
    <t>Trent Ltd.</t>
  </si>
  <si>
    <t>INE849A01020</t>
  </si>
  <si>
    <t>100284</t>
  </si>
  <si>
    <t>Dr. Lal Path labs Ltd.</t>
  </si>
  <si>
    <t>INE600L01024</t>
  </si>
  <si>
    <t>Healthcare Services</t>
  </si>
  <si>
    <t>100163</t>
  </si>
  <si>
    <t>Bosch Ltd.</t>
  </si>
  <si>
    <t>INE323A01026</t>
  </si>
  <si>
    <t>100114</t>
  </si>
  <si>
    <t>Shriram Transport Finance Company Ltd.</t>
  </si>
  <si>
    <t>INE721A01013</t>
  </si>
  <si>
    <t>100112</t>
  </si>
  <si>
    <t>Punjab National Bank</t>
  </si>
  <si>
    <t>INE160A01022</t>
  </si>
  <si>
    <t>101574</t>
  </si>
  <si>
    <t>Linde India Ltd.</t>
  </si>
  <si>
    <t>INE473A01011</t>
  </si>
  <si>
    <t>Chemicals &amp; Petrochemicals</t>
  </si>
  <si>
    <t>100260</t>
  </si>
  <si>
    <t>Solar Industries India Ltd.</t>
  </si>
  <si>
    <t>INE343H01029</t>
  </si>
  <si>
    <t>100222</t>
  </si>
  <si>
    <t>The Indian Hotels Company Ltd.</t>
  </si>
  <si>
    <t>INE053A01029</t>
  </si>
  <si>
    <t>Leisure Services</t>
  </si>
  <si>
    <t>100144</t>
  </si>
  <si>
    <t>Voltas Ltd.</t>
  </si>
  <si>
    <t>INE226A01021</t>
  </si>
  <si>
    <t>100143</t>
  </si>
  <si>
    <t>Thermax Ltd.</t>
  </si>
  <si>
    <t>INE152A01029</t>
  </si>
  <si>
    <t>100471</t>
  </si>
  <si>
    <t>Endurance Technologies Ltd.</t>
  </si>
  <si>
    <t>INE913H01037</t>
  </si>
  <si>
    <t>100227</t>
  </si>
  <si>
    <t>Jubilant Foodworks Ltd.</t>
  </si>
  <si>
    <t>INE797F01020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</si>
  <si>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</si>
  <si>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</si>
  <si>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</si>
  <si>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</si>
  <si>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</si>
  <si>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</si>
  <si>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</si>
  <si>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</si>
  <si>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</si>
  <si>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</si>
  <si>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</si>
  <si>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</si>
  <si>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</si>
  <si>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</si>
  <si>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</si>
  <si>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</si>
  <si>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</si>
  <si>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</si>
  <si>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</si>
  <si>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</si>
  <si>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</si>
  <si>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</si>
  <si>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</si>
  <si>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</si>
  <si>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</si>
  <si>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</si>
  <si>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</si>
  <si>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</si>
  <si>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</si>
  <si>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</si>
  <si>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</si>
  <si>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</si>
  <si>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</si>
  <si>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</si>
  <si>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</si>
  <si>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</si>
  <si>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</si>
  <si>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</si>
  <si>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</si>
  <si>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October 31, 2022 : 76.15)</t>
  </si>
  <si>
    <t>Taurus Discovery (Midcap) Fund-Direct Plan-Growth Option</t>
  </si>
  <si>
    <t>NAV [Rs.] Per Unit (as on October 31, 2022 : 79.56)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</si>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</sst>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2289048</xdr:rowOff>
    </xdr:to>
    <xdr:pic>
      <xdr:nvPicPr>
        <xdr:cNvPr id="2" name="Picture 1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289048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0</xdr:row>
      <xdr:rowOff>10583</xdr:rowOff>
    </xdr:from>
    <xdr:to>
      <xdr:col>6</xdr:col>
      <xdr:colOff>735329</xdr:colOff>
      <xdr:row>0</xdr:row>
      <xdr:rowOff>2177711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6050"/>
        <a:stretch>
          <a:fillRect/>
        </a:stretch>
      </xdr:blipFill>
      <xdr:spPr>
        <a:xfrm>
          <a:off x="6868583" y="10583"/>
          <a:ext cx="2365163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Octo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8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20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44865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44800</v>
      </c>
      <c r="H10" s="32">
        <v>424.55</v>
      </c>
      <c r="I10" s="32">
        <v>5.47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44000</v>
      </c>
      <c r="H11" s="32">
        <v>376.73</v>
      </c>
      <c r="I11" s="32">
        <v>4.8499999999999996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98000</v>
      </c>
      <c r="H12" s="32">
        <v>346.82</v>
      </c>
      <c r="I12" s="32">
        <v>4.47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195000</v>
      </c>
      <c r="H13" s="32">
        <v>320.48</v>
      </c>
      <c r="I13" s="32">
        <v>4.13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225000</v>
      </c>
      <c r="H14" s="32">
        <v>295.76</v>
      </c>
      <c r="I14" s="32">
        <v>3.81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40000</v>
      </c>
      <c r="H15" s="32">
        <v>290.32</v>
      </c>
      <c r="I15" s="32">
        <v>3.74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95000</v>
      </c>
      <c r="H16" s="32">
        <v>264.05</v>
      </c>
      <c r="I16" s="32">
        <v>3.4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50000</v>
      </c>
      <c r="H17" s="32">
        <v>261.43</v>
      </c>
      <c r="I17" s="32">
        <v>3.37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50000</v>
      </c>
      <c r="H18" s="32">
        <v>245.78</v>
      </c>
      <c r="I18" s="32">
        <v>3.17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52000</v>
      </c>
      <c r="H19" s="32">
        <v>243.44</v>
      </c>
      <c r="I19" s="32">
        <v>3.14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3650</v>
      </c>
      <c r="H20" s="32">
        <v>243.23</v>
      </c>
      <c r="I20" s="32">
        <v>3.13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34</v>
      </c>
      <c r="G21" s="31">
        <v>450000</v>
      </c>
      <c r="H21" s="32">
        <v>242.33</v>
      </c>
      <c r="I21" s="32">
        <v>3.12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15000</v>
      </c>
      <c r="H22" s="32">
        <v>240.17</v>
      </c>
      <c r="I22" s="32">
        <v>3.09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321096</v>
      </c>
      <c r="H23" s="32">
        <v>237.77</v>
      </c>
      <c r="I23" s="32">
        <v>3.06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43000</v>
      </c>
      <c r="H24" s="32">
        <v>237.02</v>
      </c>
      <c r="I24" s="32">
        <v>3.05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41</v>
      </c>
      <c r="G25" s="31">
        <v>11500</v>
      </c>
      <c r="H25" s="32">
        <v>233.54</v>
      </c>
      <c r="I25" s="32">
        <v>3.01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41</v>
      </c>
      <c r="G26" s="31">
        <v>27000</v>
      </c>
      <c r="H26" s="32">
        <v>225.37</v>
      </c>
      <c r="I26" s="32">
        <v>2.9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5750</v>
      </c>
      <c r="H27" s="32">
        <v>219.13</v>
      </c>
      <c r="I27" s="32">
        <v>2.82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10650</v>
      </c>
      <c r="H28" s="32">
        <v>209.01</v>
      </c>
      <c r="I28" s="32">
        <v>2.69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41</v>
      </c>
      <c r="G29" s="31">
        <v>15500</v>
      </c>
      <c r="H29" s="32">
        <v>209</v>
      </c>
      <c r="I29" s="32">
        <v>2.69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82</v>
      </c>
      <c r="G30" s="31">
        <v>5600</v>
      </c>
      <c r="H30" s="32">
        <v>206.77</v>
      </c>
      <c r="I30" s="32">
        <v>2.66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49</v>
      </c>
      <c r="G31" s="31">
        <v>16500</v>
      </c>
      <c r="H31" s="32">
        <v>206.57</v>
      </c>
      <c r="I31" s="32">
        <v>2.66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57</v>
      </c>
      <c r="G32" s="31">
        <v>8775</v>
      </c>
      <c r="H32" s="32">
        <v>205.92</v>
      </c>
      <c r="I32" s="32">
        <v>2.65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53</v>
      </c>
      <c r="G33" s="31">
        <v>56500</v>
      </c>
      <c r="H33" s="32">
        <v>204.53</v>
      </c>
      <c r="I33" s="32">
        <v>2.63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142500</v>
      </c>
      <c r="H34" s="32">
        <v>196.65</v>
      </c>
      <c r="I34" s="32">
        <v>2.5299999999999998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53</v>
      </c>
      <c r="G35" s="31">
        <v>39000</v>
      </c>
      <c r="H35" s="32">
        <v>189.54</v>
      </c>
      <c r="I35" s="32">
        <v>2.44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26</v>
      </c>
      <c r="G36" s="31">
        <v>11000</v>
      </c>
      <c r="H36" s="32">
        <v>168.21</v>
      </c>
      <c r="I36" s="32">
        <v>2.17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6150</v>
      </c>
      <c r="H37" s="32">
        <v>157.76</v>
      </c>
      <c r="I37" s="32">
        <v>2.0299999999999998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86</v>
      </c>
      <c r="G38" s="31">
        <v>875</v>
      </c>
      <c r="H38" s="32">
        <v>144.19</v>
      </c>
      <c r="I38" s="32">
        <v>1.86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57</v>
      </c>
      <c r="G39" s="31">
        <v>11450</v>
      </c>
      <c r="H39" s="32">
        <v>140.65</v>
      </c>
      <c r="I39" s="32">
        <v>1.81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34</v>
      </c>
      <c r="G40" s="31">
        <v>300000</v>
      </c>
      <c r="H40" s="32">
        <v>127.8</v>
      </c>
      <c r="I40" s="32">
        <v>1.65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3250</v>
      </c>
      <c r="H41" s="32">
        <v>99.82</v>
      </c>
      <c r="I41" s="32">
        <v>1.29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128</v>
      </c>
      <c r="G42" s="31">
        <v>2500</v>
      </c>
      <c r="H42" s="32">
        <v>97.67</v>
      </c>
      <c r="I42" s="32">
        <v>1.26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24000</v>
      </c>
      <c r="H43" s="32">
        <v>80.099999999999994</v>
      </c>
      <c r="I43" s="32">
        <v>1.03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53</v>
      </c>
      <c r="G44" s="31">
        <v>7500</v>
      </c>
      <c r="H44" s="32">
        <v>65.709999999999994</v>
      </c>
      <c r="I44" s="32">
        <v>0.85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68</v>
      </c>
      <c r="G45" s="31">
        <v>1500</v>
      </c>
      <c r="H45" s="32">
        <v>32.51</v>
      </c>
      <c r="I45" s="32">
        <v>0.42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86</v>
      </c>
      <c r="G46" s="31">
        <v>2250</v>
      </c>
      <c r="H46" s="32">
        <v>30.47</v>
      </c>
      <c r="I46" s="32">
        <v>0.39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135</v>
      </c>
      <c r="G47" s="31">
        <v>1100</v>
      </c>
      <c r="H47" s="32">
        <v>6.72</v>
      </c>
      <c r="I47" s="32">
        <v>0.09</v>
      </c>
      <c r="J47" s="33"/>
    </row>
    <row r="48" spans="2:10">
      <c r="C48" s="28" t="s">
        <v>148</v>
      </c>
      <c r="D48" s="29"/>
      <c r="E48" s="30"/>
      <c r="F48" s="30"/>
      <c r="G48" s="31"/>
      <c r="H48" s="35">
        <v>7727.52</v>
      </c>
      <c r="I48" s="35">
        <v>99.53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149</v>
      </c>
      <c r="D50" s="29"/>
      <c r="E50" s="30"/>
      <c r="F50" s="30"/>
      <c r="G50" s="31"/>
      <c r="H50" s="32" t="s">
        <v>150</v>
      </c>
      <c r="I50" s="32" t="s">
        <v>150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151</v>
      </c>
      <c r="D52" s="29"/>
      <c r="E52" s="30"/>
      <c r="F52" s="30"/>
      <c r="G52" s="31"/>
      <c r="H52" s="32" t="s">
        <v>150</v>
      </c>
      <c r="I52" s="32" t="s">
        <v>150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152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153</v>
      </c>
      <c r="D56" s="29"/>
      <c r="E56" s="30"/>
      <c r="F56" s="30"/>
      <c r="G56" s="31"/>
      <c r="H56" s="32" t="s">
        <v>150</v>
      </c>
      <c r="I56" s="32" t="s">
        <v>150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154</v>
      </c>
      <c r="D58" s="29"/>
      <c r="E58" s="30"/>
      <c r="F58" s="30"/>
      <c r="G58" s="31"/>
      <c r="H58" s="32" t="s">
        <v>150</v>
      </c>
      <c r="I58" s="32" t="s">
        <v>150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155</v>
      </c>
      <c r="D60" s="29"/>
      <c r="E60" s="30"/>
      <c r="F60" s="30"/>
      <c r="G60" s="31"/>
      <c r="H60" s="32" t="s">
        <v>150</v>
      </c>
      <c r="I60" s="32" t="s">
        <v>150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156</v>
      </c>
      <c r="D62" s="29"/>
      <c r="E62" s="30"/>
      <c r="F62" s="30"/>
      <c r="G62" s="31"/>
      <c r="H62" s="32" t="s">
        <v>150</v>
      </c>
      <c r="I62" s="32" t="s">
        <v>150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157</v>
      </c>
      <c r="D64" s="29"/>
      <c r="E64" s="30"/>
      <c r="F64" s="30"/>
      <c r="G64" s="31"/>
      <c r="H64" s="32" t="s">
        <v>150</v>
      </c>
      <c r="I64" s="32" t="s">
        <v>150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158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159</v>
      </c>
      <c r="D68" s="29"/>
      <c r="E68" s="30"/>
      <c r="F68" s="30"/>
      <c r="G68" s="31"/>
      <c r="H68" s="32" t="s">
        <v>150</v>
      </c>
      <c r="I68" s="32" t="s">
        <v>150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160</v>
      </c>
      <c r="D70" s="29"/>
      <c r="E70" s="30"/>
      <c r="F70" s="30"/>
      <c r="G70" s="31"/>
      <c r="H70" s="32" t="s">
        <v>150</v>
      </c>
      <c r="I70" s="32" t="s">
        <v>150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161</v>
      </c>
      <c r="D72" s="29"/>
      <c r="E72" s="30"/>
      <c r="F72" s="30"/>
      <c r="G72" s="31"/>
      <c r="H72" s="32" t="s">
        <v>150</v>
      </c>
      <c r="I72" s="32" t="s">
        <v>150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162</v>
      </c>
      <c r="D74" s="29"/>
      <c r="E74" s="30"/>
      <c r="F74" s="30"/>
      <c r="G74" s="31"/>
      <c r="H74" s="32" t="s">
        <v>150</v>
      </c>
      <c r="I74" s="32" t="s">
        <v>150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163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164</v>
      </c>
      <c r="D78" s="29"/>
      <c r="E78" s="30"/>
      <c r="F78" s="30"/>
      <c r="G78" s="31"/>
      <c r="H78" s="32" t="s">
        <v>150</v>
      </c>
      <c r="I78" s="32" t="s">
        <v>150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165</v>
      </c>
      <c r="D80" s="29"/>
      <c r="E80" s="30"/>
      <c r="F80" s="30"/>
      <c r="G80" s="31"/>
      <c r="H80" s="32" t="s">
        <v>150</v>
      </c>
      <c r="I80" s="32" t="s">
        <v>150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166</v>
      </c>
      <c r="D82" s="29"/>
      <c r="E82" s="30"/>
      <c r="F82" s="30"/>
      <c r="G82" s="31"/>
      <c r="H82" s="32" t="s">
        <v>150</v>
      </c>
      <c r="I82" s="32" t="s">
        <v>150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167</v>
      </c>
      <c r="D84" s="29"/>
      <c r="E84" s="30"/>
      <c r="F84" s="30"/>
      <c r="G84" s="31"/>
      <c r="H84" s="32" t="s">
        <v>150</v>
      </c>
      <c r="I84" s="32" t="s">
        <v>150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168</v>
      </c>
      <c r="D86" s="29"/>
      <c r="E86" s="30"/>
      <c r="F86" s="30"/>
      <c r="G86" s="31"/>
      <c r="H86" s="32" t="s">
        <v>150</v>
      </c>
      <c r="I86" s="32" t="s">
        <v>150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169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170</v>
      </c>
      <c r="D89" s="29"/>
      <c r="E89" s="30"/>
      <c r="F89" s="30"/>
      <c r="G89" s="31"/>
      <c r="H89" s="32">
        <v>36.950000000000003</v>
      </c>
      <c r="I89" s="32">
        <v>0.47</v>
      </c>
      <c r="J89" s="33"/>
    </row>
    <row r="90" spans="1:10">
      <c r="C90" s="28" t="s">
        <v>148</v>
      </c>
      <c r="D90" s="29"/>
      <c r="E90" s="30"/>
      <c r="F90" s="30"/>
      <c r="G90" s="31"/>
      <c r="H90" s="35">
        <v>36.950000000000003</v>
      </c>
      <c r="I90" s="35">
        <v>0.47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5" thickBot="1">
      <c r="C92" s="36" t="s">
        <v>171</v>
      </c>
      <c r="D92" s="37"/>
      <c r="E92" s="38"/>
      <c r="F92" s="39"/>
      <c r="G92" s="40"/>
      <c r="H92" s="41">
        <v>7764.47</v>
      </c>
      <c r="I92" s="41">
        <f>SUMIFS(I:I,C:C,"Total")</f>
        <v>100</v>
      </c>
      <c r="J92" s="42"/>
    </row>
    <row r="95" spans="1:10">
      <c r="C95" s="11" t="s">
        <v>172</v>
      </c>
    </row>
    <row r="96" spans="1:10">
      <c r="C96" s="2" t="s">
        <v>173</v>
      </c>
    </row>
    <row r="97" spans="3:3">
      <c r="C97" s="2" t="s">
        <v>174</v>
      </c>
    </row>
    <row r="98" spans="3:3">
      <c r="C98" s="2" t="s">
        <v>175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B20" sqref="B20"/>
    </sheetView>
  </sheetViews>
  <sheetFormatPr defaultRowHeight="15"/>
  <cols>
    <col min="2" max="2" width="53.28515625" customWidth="1"/>
    <col min="4" max="4" width="11" bestFit="1" customWidth="1"/>
    <col min="6" max="6" width="11" bestFit="1" customWidth="1"/>
    <col min="8" max="8" width="11" bestFit="1" customWidth="1"/>
    <col min="10" max="10" width="12.42578125" bestFit="1" customWidth="1"/>
  </cols>
  <sheetData>
    <row r="4" spans="2:10" ht="15.75">
      <c r="B4" s="43" t="s">
        <v>176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177</v>
      </c>
      <c r="C5" s="50" t="s">
        <v>178</v>
      </c>
      <c r="D5" s="50"/>
      <c r="E5" s="50" t="s">
        <v>179</v>
      </c>
      <c r="F5" s="50"/>
      <c r="G5" s="50" t="s">
        <v>180</v>
      </c>
      <c r="H5" s="50"/>
      <c r="I5" s="50" t="s">
        <v>181</v>
      </c>
      <c r="J5" s="50"/>
    </row>
    <row r="6" spans="2:10" ht="63.75">
      <c r="B6" s="46"/>
      <c r="C6" s="47" t="s">
        <v>182</v>
      </c>
      <c r="D6" s="47" t="s">
        <v>183</v>
      </c>
      <c r="E6" s="47" t="s">
        <v>182</v>
      </c>
      <c r="F6" s="47" t="s">
        <v>183</v>
      </c>
      <c r="G6" s="47" t="s">
        <v>182</v>
      </c>
      <c r="H6" s="47" t="s">
        <v>183</v>
      </c>
      <c r="I6" s="47" t="s">
        <v>182</v>
      </c>
      <c r="J6" s="47" t="s">
        <v>183</v>
      </c>
    </row>
    <row r="7" spans="2:10">
      <c r="B7" s="48" t="s">
        <v>184</v>
      </c>
      <c r="C7" s="49">
        <v>1.7137458341435652</v>
      </c>
      <c r="D7" s="49">
        <v>10172.321667111943</v>
      </c>
      <c r="E7" s="49">
        <v>20.805763311668635</v>
      </c>
      <c r="F7" s="49">
        <v>17639.564512392866</v>
      </c>
      <c r="G7" s="49">
        <v>11.623483954216818</v>
      </c>
      <c r="H7" s="49">
        <v>17334.395629410425</v>
      </c>
      <c r="I7" s="49">
        <v>7.4712379954155583</v>
      </c>
      <c r="J7" s="49">
        <v>76150</v>
      </c>
    </row>
    <row r="8" spans="2:10">
      <c r="B8" s="48" t="s">
        <v>185</v>
      </c>
      <c r="C8" s="49">
        <v>5.2407873718388842</v>
      </c>
      <c r="D8" s="49">
        <v>10524.078737183889</v>
      </c>
      <c r="E8" s="49">
        <v>25.288951366200486</v>
      </c>
      <c r="F8" s="49">
        <v>19667.009292505441</v>
      </c>
      <c r="G8" s="49">
        <v>13.099287195724152</v>
      </c>
      <c r="H8" s="49">
        <v>18505.436734278272</v>
      </c>
      <c r="I8" s="49">
        <v>0</v>
      </c>
      <c r="J8" s="49">
        <v>0</v>
      </c>
    </row>
    <row r="9" spans="2:10">
      <c r="B9" s="48" t="s">
        <v>186</v>
      </c>
      <c r="C9" s="49">
        <v>3.3024534027818353</v>
      </c>
      <c r="D9" s="49">
        <v>10330.245340278183</v>
      </c>
      <c r="E9" s="49">
        <v>16.230902925925239</v>
      </c>
      <c r="F9" s="49">
        <v>15702.356556487057</v>
      </c>
      <c r="G9" s="49">
        <v>13.155552697674388</v>
      </c>
      <c r="H9" s="49">
        <v>18551.513690816424</v>
      </c>
      <c r="I9" s="49">
        <v>10.865218794948749</v>
      </c>
      <c r="J9" s="49">
        <v>182810.32072331832</v>
      </c>
    </row>
    <row r="10" spans="2:10">
      <c r="B10" s="48" t="s">
        <v>187</v>
      </c>
      <c r="C10" s="51">
        <v>74.86</v>
      </c>
      <c r="D10" s="52"/>
      <c r="E10" s="51">
        <v>43.17</v>
      </c>
      <c r="F10" s="52"/>
      <c r="G10" s="51">
        <v>43.93</v>
      </c>
      <c r="H10" s="52"/>
      <c r="I10" s="51">
        <v>10</v>
      </c>
      <c r="J10" s="52"/>
    </row>
    <row r="12" spans="2:10" ht="15.75">
      <c r="B12" s="43" t="s">
        <v>188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177</v>
      </c>
      <c r="C13" s="50" t="s">
        <v>178</v>
      </c>
      <c r="D13" s="50"/>
      <c r="E13" s="50" t="s">
        <v>179</v>
      </c>
      <c r="F13" s="50"/>
      <c r="G13" s="50" t="s">
        <v>180</v>
      </c>
      <c r="H13" s="50"/>
      <c r="I13" s="50" t="s">
        <v>181</v>
      </c>
      <c r="J13" s="50"/>
    </row>
    <row r="14" spans="2:10" ht="63.75">
      <c r="B14" s="46"/>
      <c r="C14" s="47" t="s">
        <v>182</v>
      </c>
      <c r="D14" s="47" t="s">
        <v>183</v>
      </c>
      <c r="E14" s="47" t="s">
        <v>182</v>
      </c>
      <c r="F14" s="47" t="s">
        <v>183</v>
      </c>
      <c r="G14" s="47" t="s">
        <v>182</v>
      </c>
      <c r="H14" s="47" t="s">
        <v>183</v>
      </c>
      <c r="I14" s="47" t="s">
        <v>182</v>
      </c>
      <c r="J14" s="47" t="s">
        <v>183</v>
      </c>
    </row>
    <row r="15" spans="2:10">
      <c r="B15" s="48" t="s">
        <v>184</v>
      </c>
      <c r="C15" s="49">
        <v>2.0540560110409833</v>
      </c>
      <c r="D15" s="49">
        <v>10206.542655548428</v>
      </c>
      <c r="E15" s="49">
        <v>21.248888391679156</v>
      </c>
      <c r="F15" s="49">
        <v>17834.566240753196</v>
      </c>
      <c r="G15" s="49">
        <v>12.07977209168396</v>
      </c>
      <c r="H15" s="49">
        <v>17691.794529686456</v>
      </c>
      <c r="I15" s="49">
        <v>16.503268808904046</v>
      </c>
      <c r="J15" s="49">
        <v>44923.771880293614</v>
      </c>
    </row>
    <row r="16" spans="2:10">
      <c r="B16" s="48" t="s">
        <v>185</v>
      </c>
      <c r="C16" s="49">
        <v>5.2407873718388842</v>
      </c>
      <c r="D16" s="49">
        <v>10524.078737183889</v>
      </c>
      <c r="E16" s="49">
        <v>25.288951366200486</v>
      </c>
      <c r="F16" s="49">
        <v>19667.009292505441</v>
      </c>
      <c r="G16" s="49">
        <v>13.099287195724152</v>
      </c>
      <c r="H16" s="49">
        <v>18505.436734278272</v>
      </c>
      <c r="I16" s="49">
        <v>17.536106004582063</v>
      </c>
      <c r="J16" s="49">
        <v>48997.957375922117</v>
      </c>
    </row>
    <row r="17" spans="2:10">
      <c r="B17" s="48" t="s">
        <v>186</v>
      </c>
      <c r="C17" s="49">
        <v>3.3024534027818353</v>
      </c>
      <c r="D17" s="49">
        <v>10330.245340278183</v>
      </c>
      <c r="E17" s="49">
        <v>16.230902925925239</v>
      </c>
      <c r="F17" s="49">
        <v>15702.356556487057</v>
      </c>
      <c r="G17" s="49">
        <v>13.155552697674388</v>
      </c>
      <c r="H17" s="49">
        <v>18551.513690816424</v>
      </c>
      <c r="I17" s="49">
        <v>13.324304509044559</v>
      </c>
      <c r="J17" s="49">
        <v>34221.638987716324</v>
      </c>
    </row>
    <row r="18" spans="2:10">
      <c r="B18" s="48" t="s">
        <v>189</v>
      </c>
      <c r="C18" s="51">
        <v>77.95</v>
      </c>
      <c r="D18" s="52"/>
      <c r="E18" s="51">
        <v>44.61</v>
      </c>
      <c r="F18" s="52"/>
      <c r="G18" s="51">
        <v>44.97</v>
      </c>
      <c r="H18" s="52"/>
      <c r="I18" s="51">
        <v>17.71</v>
      </c>
      <c r="J18" s="52"/>
    </row>
    <row r="20" spans="2:10">
      <c r="B20" t="s">
        <v>190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2022-11-01T16:51:51Z</dcterms:created>
  <dcterms:modified xsi:type="dcterms:W3CDTF">2022-11-09T10:52:18Z</dcterms:modified>
</cp:coreProperties>
</file>