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8. Nov 2024\Monthly Portfolio Oct 2024\Ops\"/>
    </mc:Choice>
  </mc:AlternateContent>
  <xr:revisionPtr revIDLastSave="0" documentId="13_ncr:1_{50D5E137-E98B-4706-8D52-9856BE77B2A4}" xr6:coauthVersionLast="47" xr6:coauthVersionMax="47" xr10:uidLastSave="{00000000-0000-0000-0000-000000000000}"/>
  <bookViews>
    <workbookView xWindow="-120" yWindow="-120" windowWidth="20730" windowHeight="11040" xr2:uid="{A0DA05E4-C625-4C3B-8ED6-FAA0968D04CD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TISF!$C$8:$C$46</definedName>
    <definedName name="XDO_?FINAL_ISIN?8?">TISF!$D$10:$D$46</definedName>
    <definedName name="XDO_?FINAL_ISIN?9?">TISF!$D$10:$D$90</definedName>
    <definedName name="XDO_?FINAL_MV?8?">TISF!$H$10:$H$46</definedName>
    <definedName name="XDO_?FINAL_MV?9?">TISF!$H$10:$H$90</definedName>
    <definedName name="XDO_?FINAL_NAME?8?">TISF!$C$10:$C$46</definedName>
    <definedName name="XDO_?FINAL_NAME?9?">TISF!$C$10:$C$90</definedName>
    <definedName name="XDO_?FINAL_PER_NET?8?">TISF!$I$10:$I$46</definedName>
    <definedName name="XDO_?FINAL_PER_NET?9?">TISF!$I$10:$I$90</definedName>
    <definedName name="XDO_?FINAL_QUANTITE?8?">TISF!$G$10:$G$46</definedName>
    <definedName name="XDO_?FINAL_QUANTITE?9?">TISF!$G$10:$G$90</definedName>
    <definedName name="XDO_?IND_01?8?">TISF!$F$10:$F$46</definedName>
    <definedName name="XDO_?IND_01?9?">TISF!$F$10:$F$90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8?">TISF!$B$10:$B$46</definedName>
    <definedName name="XDO_?NOVAL?9?">TISF!$B$10:$B$90</definedName>
    <definedName name="XDO_?NPTF?4?">TISF!$D$2:$D$46</definedName>
    <definedName name="XDO_?RATING?8?">TISF!$E$10:$E$46</definedName>
    <definedName name="XDO_?RATING?9?">TISF!$E$10:$E$90</definedName>
    <definedName name="XDO_?REMARKS?8?">TISF!$J$10:$J$46</definedName>
    <definedName name="XDO_?REMARKS?9?">TISF!$J$10:$J$90</definedName>
    <definedName name="XDO_?TITL?4?">TISF!$A$8:$A$46</definedName>
    <definedName name="XDO_GROUP_?G_2?4?">TISF!$2:$93</definedName>
    <definedName name="XDO_GROUP_?G_3?4?">TISF!$8:$92</definedName>
    <definedName name="XDO_GROUP_?G_4?8?">TISF!$B$10:$IV$46</definedName>
    <definedName name="XDO_GROUP_?G_4?9?">TISF!$B$90:$IV$90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1" l="1"/>
</calcChain>
</file>

<file path=xl/sharedStrings.xml><?xml version="1.0" encoding="utf-8"?>
<sst xmlns="http://schemas.openxmlformats.org/spreadsheetml/2006/main" count="286" uniqueCount="210">
  <si>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</si>
  <si>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</si>
  <si>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</si>
  <si>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</si>
  <si>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</si>
  <si>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</si>
  <si>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</si>
  <si>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</si>
  <si>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</si>
  <si>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</si>
  <si>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</si>
  <si>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</si>
  <si>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</si>
  <si>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</si>
  <si>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</si>
  <si>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</si>
  <si>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</si>
  <si>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</si>
  <si>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</si>
  <si>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</si>
  <si>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</si>
  <si>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</si>
  <si>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</si>
  <si>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</si>
  <si>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</si>
  <si>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</si>
  <si>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</si>
  <si>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102206</t>
  </si>
  <si>
    <t>Chemtech Industrial Valves Ltd.</t>
  </si>
  <si>
    <t>INE212P01011</t>
  </si>
  <si>
    <t>Industrial Manufacturing</t>
  </si>
  <si>
    <t>102447</t>
  </si>
  <si>
    <t>Afcons Infrastructure Ltd.</t>
  </si>
  <si>
    <t>INE101I01011</t>
  </si>
  <si>
    <t>A**</t>
  </si>
  <si>
    <t>100281</t>
  </si>
  <si>
    <t>Aditya Birla Real Estate Ltd.</t>
  </si>
  <si>
    <t>INE055A01016</t>
  </si>
  <si>
    <t>Paper, Forest &amp; Jute Products</t>
  </si>
  <si>
    <t>100181</t>
  </si>
  <si>
    <t>NTPC Ltd.</t>
  </si>
  <si>
    <t>INE733E01010</t>
  </si>
  <si>
    <t>Power</t>
  </si>
  <si>
    <t>102060</t>
  </si>
  <si>
    <t>Tarc Ltd.</t>
  </si>
  <si>
    <t>INE0EK901012</t>
  </si>
  <si>
    <t>Realty</t>
  </si>
  <si>
    <t>100302</t>
  </si>
  <si>
    <t>DLF Ltd.</t>
  </si>
  <si>
    <t>INE271C01023</t>
  </si>
  <si>
    <t>100752</t>
  </si>
  <si>
    <t>Praj Industries Ltd.</t>
  </si>
  <si>
    <t>INE074A01025</t>
  </si>
  <si>
    <t>100035</t>
  </si>
  <si>
    <t>NMDC Ltd.</t>
  </si>
  <si>
    <t>INE584A01023</t>
  </si>
  <si>
    <t>Minerals &amp; Mining</t>
  </si>
  <si>
    <t>100082</t>
  </si>
  <si>
    <t>Ultratech Cement Ltd.</t>
  </si>
  <si>
    <t>INE481G01011</t>
  </si>
  <si>
    <t>Cement &amp; Cement Products</t>
  </si>
  <si>
    <t>101698</t>
  </si>
  <si>
    <t>Swan Energy Ltd.</t>
  </si>
  <si>
    <t>INE665A01038</t>
  </si>
  <si>
    <t>Diversified</t>
  </si>
  <si>
    <t>102220</t>
  </si>
  <si>
    <t>Interarch Building Products Ltd.</t>
  </si>
  <si>
    <t>INE00M901018</t>
  </si>
  <si>
    <t>100643</t>
  </si>
  <si>
    <t>PSP Projects Ltd.</t>
  </si>
  <si>
    <t>INE488V01015</t>
  </si>
  <si>
    <t>100177</t>
  </si>
  <si>
    <t>Grasim Industries Ltd.</t>
  </si>
  <si>
    <t>INE047A01021</t>
  </si>
  <si>
    <t>100292</t>
  </si>
  <si>
    <t>Steel Authority of India Ltd.</t>
  </si>
  <si>
    <t>INE114A01011</t>
  </si>
  <si>
    <t>Ferrous Metals</t>
  </si>
  <si>
    <t>101800</t>
  </si>
  <si>
    <t>Hindware Home Innovation Ltd.</t>
  </si>
  <si>
    <t>INE05AN01011</t>
  </si>
  <si>
    <t>Consumer Durables</t>
  </si>
  <si>
    <t>100169</t>
  </si>
  <si>
    <t>Indian Oil Corporation Ltd.</t>
  </si>
  <si>
    <t>INE242A01010</t>
  </si>
  <si>
    <t>100843</t>
  </si>
  <si>
    <t>Dalmia Bharat Ltd.</t>
  </si>
  <si>
    <t>INE00R701025</t>
  </si>
  <si>
    <t>100174</t>
  </si>
  <si>
    <t>Vodafone Idea Ltd.</t>
  </si>
  <si>
    <t>INE669E01016</t>
  </si>
  <si>
    <t>100362</t>
  </si>
  <si>
    <t>JSW Energy Ltd.</t>
  </si>
  <si>
    <t>INE121E01018</t>
  </si>
  <si>
    <t>100232</t>
  </si>
  <si>
    <t>Bharat Bijlee Ltd.</t>
  </si>
  <si>
    <t>INE464A01036</t>
  </si>
  <si>
    <t>Electrical Equipment</t>
  </si>
  <si>
    <t>100182</t>
  </si>
  <si>
    <t>Power Grid Corporation of India Ltd.</t>
  </si>
  <si>
    <t>INE752E01010</t>
  </si>
  <si>
    <t>100111</t>
  </si>
  <si>
    <t>Oil &amp; Natural Gas Corporation Ltd.</t>
  </si>
  <si>
    <t>INE213A01029</t>
  </si>
  <si>
    <t>Oil</t>
  </si>
  <si>
    <t>100006</t>
  </si>
  <si>
    <t>HDFC Bank Ltd.</t>
  </si>
  <si>
    <t>INE040A01034</t>
  </si>
  <si>
    <t>Banks</t>
  </si>
  <si>
    <t>100094</t>
  </si>
  <si>
    <t>Bharat Petroleum Corporation Ltd.</t>
  </si>
  <si>
    <t>INE029A01011</t>
  </si>
  <si>
    <t>100017</t>
  </si>
  <si>
    <t>National Aluminium Company Ltd.</t>
  </si>
  <si>
    <t>INE139A01034</t>
  </si>
  <si>
    <t>Non - Ferrous Metals</t>
  </si>
  <si>
    <t>100078</t>
  </si>
  <si>
    <t>Sanghi Industries Ltd.</t>
  </si>
  <si>
    <t>INE999B01013</t>
  </si>
  <si>
    <t>100255</t>
  </si>
  <si>
    <t>PNC Infratech Ltd.</t>
  </si>
  <si>
    <t>INE195J01029</t>
  </si>
  <si>
    <t>100809</t>
  </si>
  <si>
    <t>Rites Ltd.</t>
  </si>
  <si>
    <t>INE320J01015</t>
  </si>
  <si>
    <t>100365</t>
  </si>
  <si>
    <t>Ashok Leyland Ltd.</t>
  </si>
  <si>
    <t>INE208A01029</t>
  </si>
  <si>
    <t>Agricultural, Commercial &amp; Construction Vehicles</t>
  </si>
  <si>
    <t>100748</t>
  </si>
  <si>
    <t>MM Forgings Ltd.</t>
  </si>
  <si>
    <t>INE227C01017</t>
  </si>
  <si>
    <t>Auto Components</t>
  </si>
  <si>
    <t>100263</t>
  </si>
  <si>
    <t>BEML Ltd.</t>
  </si>
  <si>
    <t>INE258A01016</t>
  </si>
  <si>
    <t>100100</t>
  </si>
  <si>
    <t>Hindustan Petroleum Corporation Ltd.</t>
  </si>
  <si>
    <t>INE094A01015</t>
  </si>
  <si>
    <t>100461</t>
  </si>
  <si>
    <t>Astral Ltd.</t>
  </si>
  <si>
    <t>INE006I01046</t>
  </si>
  <si>
    <t>Industrial Products</t>
  </si>
  <si>
    <t>5300009</t>
  </si>
  <si>
    <t>INE05AN20011</t>
  </si>
  <si>
    <t>R**A**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</si>
  <si>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</si>
  <si>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</si>
  <si>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</si>
  <si>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</si>
  <si>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</si>
  <si>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</si>
  <si>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</si>
  <si>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</si>
  <si>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</si>
  <si>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</si>
  <si>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</si>
  <si>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</si>
  <si>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</si>
  <si>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</si>
  <si>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</si>
  <si>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</si>
  <si>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</si>
  <si>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</si>
  <si>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</si>
  <si>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</si>
  <si>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</si>
  <si>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</si>
  <si>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</si>
  <si>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</si>
  <si>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</si>
  <si>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</si>
  <si>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</si>
  <si>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</si>
  <si>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</si>
  <si>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</si>
  <si>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</si>
  <si>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</si>
  <si>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</si>
  <si>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</si>
  <si>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</si>
  <si>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September 30, 2024</t>
  </si>
  <si>
    <t>October 31,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</si>
  <si>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</si>
  <si>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</si>
  <si>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</si>
  <si>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</si>
  <si>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October 31, 2024.</t>
  </si>
  <si>
    <t>(7) The Scheme did not declare any bonus during the month ended As on  October 31, 2024.</t>
  </si>
  <si>
    <t>(8) Total outstanding exposure in derivative instruments as on As on  October 31, 2024 is Nil</t>
  </si>
  <si>
    <t>(9) Total investments in Foreign Securities /ADRs/GDRs /Overseas ETFs as at As on  October 31, 2024 and its percentage to NAV is Nil.</t>
  </si>
  <si>
    <t>(10) During the period, the portfolio turnover ratio is 1.06 times.</t>
  </si>
  <si>
    <t>      Portfolio Turnover Ratio = Lower of sales or purchase of securities divided by average AUM for 12 months ended As on  October 31, 2024</t>
  </si>
  <si>
    <t>(11) The Scheme did not invest in repo transactions of corporate debt securities during the month ended As on  October 31, 2024.</t>
  </si>
  <si>
    <t>(12) The Scheme did not invest in credit default swaps during the month ended As on  October 31, 2024.</t>
  </si>
  <si>
    <t>(13) There are Nil instances of deviation from the valuation principles/guidelines during the month ended as on October 31st, 2024.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</si>
  <si>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</si>
  <si>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</si>
  <si>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</si>
  <si>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</si>
  <si>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</si>
  <si>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</si>
  <si>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</si>
  <si>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</si>
  <si>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</si>
  <si>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</si>
  <si>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</si>
  <si>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October 31,2024 :69.36)</t>
  </si>
  <si>
    <t>Taurus Infrastructure Fund - Direct Plan Growth Option</t>
  </si>
  <si>
    <t>NAV [Rs.] Per Unit (as on October 31,2024 :74.16)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</si>
</sst>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60D3F767-D42B-4F47-99B9-F651266164EF}"/>
    <cellStyle name="Hyperlink" xfId="2" builtinId="8"/>
    <cellStyle name="Normal" xfId="0" builtinId="0"/>
    <cellStyle name="Normal 2" xfId="4" xr:uid="{6D12EE5B-B689-47CB-80DD-E31FDAD6205B}"/>
    <cellStyle name="Style 1" xfId="3" xr:uid="{CEE9CDEE-64AA-4EB4-BBB0-7460169F61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29500" cy="1924050"/>
    <xdr:pic>
      <xdr:nvPicPr>
        <xdr:cNvPr id="3" name="Picture 2" descr="Infra Prodcut label - 9th Dec 2022.jpg">
          <a:extLst>
            <a:ext uri="{FF2B5EF4-FFF2-40B4-BE49-F238E27FC236}">
              <a16:creationId xmlns:a16="http://schemas.microsoft.com/office/drawing/2014/main" id="{ACA4AB6B-A9E0-454A-8BCB-038E5661C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29500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Oct_2024\Final%20Report\TMF_Monthly_Portfolio_Report_October%2024.xls" TargetMode="External"/><Relationship Id="rId1" Type="http://schemas.openxmlformats.org/officeDocument/2006/relationships/externalLinkPath" Target="TMF_Monthly_Portfolio_Report_Octo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2D5E-85D5-4E32-A5FA-F8113EDD8B0C}">
  <dimension ref="A1:BB11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45596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78.97</v>
      </c>
      <c r="I10" s="32">
        <v>7.63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5416</v>
      </c>
      <c r="H11" s="32">
        <v>72.17</v>
      </c>
      <c r="I11" s="32">
        <v>6.98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62.3</v>
      </c>
      <c r="I12" s="32">
        <v>6.02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25000</v>
      </c>
      <c r="H13" s="32">
        <v>61.75</v>
      </c>
      <c r="I13" s="32">
        <v>5.97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26</v>
      </c>
      <c r="G14" s="31">
        <v>10800</v>
      </c>
      <c r="H14" s="32">
        <v>50</v>
      </c>
      <c r="I14" s="32">
        <v>4.83</v>
      </c>
      <c r="J14" s="33" t="s">
        <v>34</v>
      </c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1486</v>
      </c>
      <c r="H15" s="32">
        <v>40.82</v>
      </c>
      <c r="I15" s="32">
        <v>3.95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9787</v>
      </c>
      <c r="H16" s="32">
        <v>39.94</v>
      </c>
      <c r="I16" s="32">
        <v>3.86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15690</v>
      </c>
      <c r="H17" s="32">
        <v>37.369999999999997</v>
      </c>
      <c r="I17" s="32">
        <v>3.61</v>
      </c>
      <c r="J17" s="33"/>
    </row>
    <row r="18" spans="2:10" x14ac:dyDescent="0.25">
      <c r="B18" s="1" t="s">
        <v>47</v>
      </c>
      <c r="C18" s="20" t="s">
        <v>48</v>
      </c>
      <c r="D18" s="29" t="s">
        <v>49</v>
      </c>
      <c r="E18" s="30"/>
      <c r="F18" s="30" t="s">
        <v>46</v>
      </c>
      <c r="G18" s="31">
        <v>4454</v>
      </c>
      <c r="H18" s="32">
        <v>36.56</v>
      </c>
      <c r="I18" s="32">
        <v>3.53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30</v>
      </c>
      <c r="G19" s="31">
        <v>4394</v>
      </c>
      <c r="H19" s="32">
        <v>32.4</v>
      </c>
      <c r="I19" s="32">
        <v>3.13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14000</v>
      </c>
      <c r="H20" s="32">
        <v>31.02</v>
      </c>
      <c r="I20" s="32">
        <v>3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280</v>
      </c>
      <c r="H21" s="32">
        <v>30.99</v>
      </c>
      <c r="I21" s="32">
        <v>3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6122</v>
      </c>
      <c r="H22" s="32">
        <v>30.61</v>
      </c>
      <c r="I22" s="32">
        <v>2.96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26</v>
      </c>
      <c r="G23" s="31">
        <v>1736</v>
      </c>
      <c r="H23" s="32">
        <v>30.5</v>
      </c>
      <c r="I23" s="32">
        <v>2.95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26</v>
      </c>
      <c r="G24" s="31">
        <v>4978</v>
      </c>
      <c r="H24" s="32">
        <v>30.04</v>
      </c>
      <c r="I24" s="32">
        <v>2.9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60</v>
      </c>
      <c r="G25" s="31">
        <v>1015</v>
      </c>
      <c r="H25" s="32">
        <v>27.34</v>
      </c>
      <c r="I25" s="32">
        <v>2.64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20533</v>
      </c>
      <c r="H26" s="32">
        <v>23.77</v>
      </c>
      <c r="I26" s="32">
        <v>2.2999999999999998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7669</v>
      </c>
      <c r="H27" s="32">
        <v>23.1</v>
      </c>
      <c r="I27" s="32">
        <v>2.23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22</v>
      </c>
      <c r="G28" s="31">
        <v>16067</v>
      </c>
      <c r="H28" s="32">
        <v>22.93</v>
      </c>
      <c r="I28" s="32">
        <v>2.2200000000000002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60</v>
      </c>
      <c r="G29" s="31">
        <v>1208</v>
      </c>
      <c r="H29" s="32">
        <v>22.12</v>
      </c>
      <c r="I29" s="32">
        <v>2.14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18</v>
      </c>
      <c r="G30" s="31">
        <v>255518</v>
      </c>
      <c r="H30" s="32">
        <v>20.75</v>
      </c>
      <c r="I30" s="32">
        <v>2.0099999999999998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42</v>
      </c>
      <c r="G31" s="31">
        <v>3031</v>
      </c>
      <c r="H31" s="32">
        <v>20.58</v>
      </c>
      <c r="I31" s="32">
        <v>1.99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404</v>
      </c>
      <c r="H32" s="32">
        <v>18.73</v>
      </c>
      <c r="I32" s="32">
        <v>1.81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42</v>
      </c>
      <c r="G33" s="31">
        <v>5712</v>
      </c>
      <c r="H33" s="32">
        <v>18.350000000000001</v>
      </c>
      <c r="I33" s="32">
        <v>1.77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6894</v>
      </c>
      <c r="H34" s="32">
        <v>18.350000000000001</v>
      </c>
      <c r="I34" s="32">
        <v>1.77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1052</v>
      </c>
      <c r="H35" s="32">
        <v>18.25</v>
      </c>
      <c r="I35" s="32">
        <v>1.76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22</v>
      </c>
      <c r="G36" s="31">
        <v>5104</v>
      </c>
      <c r="H36" s="32">
        <v>15.86</v>
      </c>
      <c r="I36" s="32">
        <v>1.53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6450</v>
      </c>
      <c r="H37" s="32">
        <v>14.65</v>
      </c>
      <c r="I37" s="32">
        <v>1.42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60</v>
      </c>
      <c r="G38" s="31">
        <v>15722</v>
      </c>
      <c r="H38" s="32">
        <v>12.97</v>
      </c>
      <c r="I38" s="32">
        <v>1.25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26</v>
      </c>
      <c r="G39" s="31">
        <v>4040</v>
      </c>
      <c r="H39" s="32">
        <v>12.84</v>
      </c>
      <c r="I39" s="32">
        <v>1.24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26</v>
      </c>
      <c r="G40" s="31">
        <v>4136</v>
      </c>
      <c r="H40" s="32">
        <v>12.44</v>
      </c>
      <c r="I40" s="32">
        <v>1.2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5380</v>
      </c>
      <c r="H41" s="32">
        <v>11.21</v>
      </c>
      <c r="I41" s="32">
        <v>1.08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2246</v>
      </c>
      <c r="H42" s="32">
        <v>10.92</v>
      </c>
      <c r="I42" s="32">
        <v>1.06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128</v>
      </c>
      <c r="G43" s="31">
        <v>262</v>
      </c>
      <c r="H43" s="32">
        <v>10.66</v>
      </c>
      <c r="I43" s="32">
        <v>1.03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22</v>
      </c>
      <c r="G44" s="31">
        <v>892</v>
      </c>
      <c r="H44" s="32">
        <v>3.4</v>
      </c>
      <c r="I44" s="32">
        <v>0.33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171</v>
      </c>
      <c r="H45" s="32">
        <v>3.03</v>
      </c>
      <c r="I45" s="32">
        <v>0.28999999999999998</v>
      </c>
      <c r="J45" s="33"/>
    </row>
    <row r="46" spans="2:10" x14ac:dyDescent="0.25">
      <c r="B46" s="1" t="s">
        <v>143</v>
      </c>
      <c r="C46" s="20" t="s">
        <v>79</v>
      </c>
      <c r="D46" s="29" t="s">
        <v>144</v>
      </c>
      <c r="E46" s="30"/>
      <c r="F46" s="30" t="s">
        <v>81</v>
      </c>
      <c r="G46" s="31">
        <v>1203</v>
      </c>
      <c r="H46" s="32">
        <v>0.98</v>
      </c>
      <c r="I46" s="32">
        <v>0.09</v>
      </c>
      <c r="J46" s="33" t="s">
        <v>145</v>
      </c>
    </row>
    <row r="47" spans="2:10" x14ac:dyDescent="0.25">
      <c r="C47" s="28" t="s">
        <v>146</v>
      </c>
      <c r="D47" s="29"/>
      <c r="E47" s="30"/>
      <c r="F47" s="30"/>
      <c r="G47" s="31"/>
      <c r="H47" s="35">
        <v>1008.67</v>
      </c>
      <c r="I47" s="35">
        <v>97.48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147</v>
      </c>
      <c r="D49" s="29"/>
      <c r="E49" s="30"/>
      <c r="F49" s="30"/>
      <c r="G49" s="31"/>
      <c r="H49" s="32" t="s">
        <v>148</v>
      </c>
      <c r="I49" s="32" t="s">
        <v>148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149</v>
      </c>
      <c r="D51" s="29"/>
      <c r="E51" s="30"/>
      <c r="F51" s="30"/>
      <c r="G51" s="31"/>
      <c r="H51" s="32" t="s">
        <v>148</v>
      </c>
      <c r="I51" s="32" t="s">
        <v>148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150</v>
      </c>
      <c r="D53" s="29"/>
      <c r="E53" s="30"/>
      <c r="F53" s="30"/>
      <c r="G53" s="31"/>
      <c r="H53" s="32"/>
      <c r="I53" s="32"/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151</v>
      </c>
      <c r="D55" s="29"/>
      <c r="E55" s="30"/>
      <c r="F55" s="30"/>
      <c r="G55" s="31"/>
      <c r="H55" s="32" t="s">
        <v>148</v>
      </c>
      <c r="I55" s="32" t="s">
        <v>148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152</v>
      </c>
      <c r="D57" s="29"/>
      <c r="E57" s="30"/>
      <c r="F57" s="30"/>
      <c r="G57" s="31"/>
      <c r="H57" s="32" t="s">
        <v>148</v>
      </c>
      <c r="I57" s="32" t="s">
        <v>148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153</v>
      </c>
      <c r="D59" s="29"/>
      <c r="E59" s="30"/>
      <c r="F59" s="30"/>
      <c r="G59" s="31"/>
      <c r="H59" s="32" t="s">
        <v>148</v>
      </c>
      <c r="I59" s="32" t="s">
        <v>148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154</v>
      </c>
      <c r="D61" s="29"/>
      <c r="E61" s="30"/>
      <c r="F61" s="30"/>
      <c r="G61" s="31"/>
      <c r="H61" s="32" t="s">
        <v>148</v>
      </c>
      <c r="I61" s="32" t="s">
        <v>148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155</v>
      </c>
      <c r="D63" s="29"/>
      <c r="E63" s="30"/>
      <c r="F63" s="30"/>
      <c r="G63" s="31"/>
      <c r="H63" s="32" t="s">
        <v>148</v>
      </c>
      <c r="I63" s="32" t="s">
        <v>148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156</v>
      </c>
      <c r="D65" s="29"/>
      <c r="E65" s="30"/>
      <c r="F65" s="30"/>
      <c r="G65" s="31"/>
      <c r="H65" s="32"/>
      <c r="I65" s="32"/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157</v>
      </c>
      <c r="D67" s="29"/>
      <c r="E67" s="30"/>
      <c r="F67" s="30"/>
      <c r="G67" s="31"/>
      <c r="H67" s="32" t="s">
        <v>148</v>
      </c>
      <c r="I67" s="32" t="s">
        <v>148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158</v>
      </c>
      <c r="D69" s="29"/>
      <c r="E69" s="30"/>
      <c r="F69" s="30"/>
      <c r="G69" s="31"/>
      <c r="H69" s="32" t="s">
        <v>148</v>
      </c>
      <c r="I69" s="32" t="s">
        <v>148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159</v>
      </c>
      <c r="D71" s="29"/>
      <c r="E71" s="30"/>
      <c r="F71" s="30"/>
      <c r="G71" s="31"/>
      <c r="H71" s="32" t="s">
        <v>148</v>
      </c>
      <c r="I71" s="32" t="s">
        <v>148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160</v>
      </c>
      <c r="D73" s="29"/>
      <c r="E73" s="30"/>
      <c r="F73" s="30"/>
      <c r="G73" s="31"/>
      <c r="H73" s="32" t="s">
        <v>148</v>
      </c>
      <c r="I73" s="32" t="s">
        <v>148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161</v>
      </c>
      <c r="D75" s="29"/>
      <c r="E75" s="30"/>
      <c r="F75" s="30"/>
      <c r="G75" s="31"/>
      <c r="H75" s="32"/>
      <c r="I75" s="32"/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162</v>
      </c>
      <c r="D77" s="29"/>
      <c r="E77" s="30"/>
      <c r="F77" s="30"/>
      <c r="G77" s="31"/>
      <c r="H77" s="32" t="s">
        <v>148</v>
      </c>
      <c r="I77" s="32" t="s">
        <v>148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163</v>
      </c>
      <c r="D79" s="29"/>
      <c r="E79" s="30"/>
      <c r="F79" s="30"/>
      <c r="G79" s="31"/>
      <c r="H79" s="32" t="s">
        <v>148</v>
      </c>
      <c r="I79" s="32" t="s">
        <v>148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164</v>
      </c>
      <c r="D81" s="29"/>
      <c r="E81" s="30"/>
      <c r="F81" s="30"/>
      <c r="G81" s="31"/>
      <c r="H81" s="32" t="s">
        <v>148</v>
      </c>
      <c r="I81" s="32" t="s">
        <v>148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165</v>
      </c>
      <c r="D83" s="29"/>
      <c r="E83" s="30"/>
      <c r="F83" s="30"/>
      <c r="G83" s="31"/>
      <c r="H83" s="32" t="s">
        <v>148</v>
      </c>
      <c r="I83" s="32" t="s">
        <v>148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166</v>
      </c>
      <c r="D85" s="29"/>
      <c r="E85" s="30"/>
      <c r="F85" s="30"/>
      <c r="G85" s="31"/>
      <c r="H85" s="32" t="s">
        <v>148</v>
      </c>
      <c r="I85" s="32" t="s">
        <v>148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167</v>
      </c>
      <c r="D87" s="29"/>
      <c r="E87" s="30"/>
      <c r="F87" s="30"/>
      <c r="G87" s="31"/>
      <c r="H87" s="32" t="s">
        <v>148</v>
      </c>
      <c r="I87" s="32" t="s">
        <v>148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A89" s="26"/>
      <c r="B89" s="27"/>
      <c r="C89" s="28" t="s">
        <v>168</v>
      </c>
      <c r="D89" s="29"/>
      <c r="E89" s="30"/>
      <c r="F89" s="30"/>
      <c r="G89" s="31"/>
      <c r="H89" s="32"/>
      <c r="I89" s="32"/>
      <c r="J89" s="33"/>
    </row>
    <row r="90" spans="1:10" x14ac:dyDescent="0.25">
      <c r="B90" s="1"/>
      <c r="C90" s="20" t="s">
        <v>169</v>
      </c>
      <c r="D90" s="29"/>
      <c r="E90" s="30"/>
      <c r="F90" s="30"/>
      <c r="G90" s="31"/>
      <c r="H90" s="32">
        <v>25.84</v>
      </c>
      <c r="I90" s="32">
        <v>2.52</v>
      </c>
      <c r="J90" s="33"/>
    </row>
    <row r="91" spans="1:10" x14ac:dyDescent="0.25">
      <c r="C91" s="28" t="s">
        <v>146</v>
      </c>
      <c r="D91" s="29"/>
      <c r="E91" s="30"/>
      <c r="F91" s="30"/>
      <c r="G91" s="31"/>
      <c r="H91" s="35">
        <v>25.84</v>
      </c>
      <c r="I91" s="35">
        <v>2.52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ht="14.25" thickBot="1" x14ac:dyDescent="0.3">
      <c r="C93" s="36" t="s">
        <v>170</v>
      </c>
      <c r="D93" s="37"/>
      <c r="E93" s="38"/>
      <c r="F93" s="39"/>
      <c r="G93" s="40"/>
      <c r="H93" s="41">
        <v>1034.51</v>
      </c>
      <c r="I93" s="41">
        <f>SUMIFS(I:I,C:C,"Total")</f>
        <v>100</v>
      </c>
      <c r="J93" s="42"/>
    </row>
    <row r="96" spans="1:10" x14ac:dyDescent="0.25">
      <c r="C96" s="11" t="s">
        <v>171</v>
      </c>
    </row>
    <row r="97" spans="3:5" x14ac:dyDescent="0.25">
      <c r="C97" s="2" t="s">
        <v>172</v>
      </c>
    </row>
    <row r="98" spans="3:5" x14ac:dyDescent="0.25">
      <c r="C98" s="2" t="s">
        <v>173</v>
      </c>
    </row>
    <row r="99" spans="3:5" x14ac:dyDescent="0.25">
      <c r="C99" s="2" t="s">
        <v>174</v>
      </c>
    </row>
    <row r="100" spans="3:5" x14ac:dyDescent="0.25">
      <c r="C100" s="2" t="s">
        <v>175</v>
      </c>
    </row>
    <row r="101" spans="3:5" x14ac:dyDescent="0.25">
      <c r="C101" s="2" t="s">
        <v>176</v>
      </c>
    </row>
    <row r="102" spans="3:5" x14ac:dyDescent="0.25">
      <c r="C102" s="2" t="s">
        <v>177</v>
      </c>
    </row>
    <row r="103" spans="3:5" x14ac:dyDescent="0.25">
      <c r="D103" s="2" t="s">
        <v>178</v>
      </c>
    </row>
    <row r="104" spans="3:5" x14ac:dyDescent="0.25">
      <c r="C104" s="2" t="s">
        <v>179</v>
      </c>
      <c r="D104" s="2" t="s">
        <v>180</v>
      </c>
      <c r="E104" s="2" t="s">
        <v>180</v>
      </c>
    </row>
    <row r="105" spans="3:5" x14ac:dyDescent="0.25">
      <c r="D105" s="2" t="s">
        <v>181</v>
      </c>
      <c r="E105" s="2" t="s">
        <v>182</v>
      </c>
    </row>
    <row r="106" spans="3:5" x14ac:dyDescent="0.25">
      <c r="C106" s="2" t="s">
        <v>183</v>
      </c>
      <c r="D106" s="2">
        <v>70.290000000000006</v>
      </c>
      <c r="E106" s="2">
        <v>65.150000000000006</v>
      </c>
    </row>
    <row r="107" spans="3:5" x14ac:dyDescent="0.25">
      <c r="C107" s="2" t="s">
        <v>184</v>
      </c>
      <c r="D107" s="2">
        <v>74.83</v>
      </c>
      <c r="E107" s="2">
        <v>69.36</v>
      </c>
    </row>
    <row r="108" spans="3:5" x14ac:dyDescent="0.25">
      <c r="C108" s="2" t="s">
        <v>185</v>
      </c>
      <c r="D108" s="2">
        <v>74.5</v>
      </c>
      <c r="E108" s="2">
        <v>69.069999999999993</v>
      </c>
    </row>
    <row r="109" spans="3:5" x14ac:dyDescent="0.25">
      <c r="C109" s="2" t="s">
        <v>186</v>
      </c>
      <c r="D109" s="2">
        <v>79.989999999999995</v>
      </c>
      <c r="E109" s="2">
        <v>74.16</v>
      </c>
    </row>
    <row r="111" spans="3:5" x14ac:dyDescent="0.25">
      <c r="C111" s="2" t="s">
        <v>187</v>
      </c>
    </row>
    <row r="112" spans="3:5" x14ac:dyDescent="0.25">
      <c r="C112" s="2" t="s">
        <v>188</v>
      </c>
    </row>
    <row r="113" spans="3:3" x14ac:dyDescent="0.25">
      <c r="C113" s="2" t="s">
        <v>189</v>
      </c>
    </row>
    <row r="114" spans="3:3" x14ac:dyDescent="0.25">
      <c r="C114" s="2" t="s">
        <v>190</v>
      </c>
    </row>
    <row r="115" spans="3:3" x14ac:dyDescent="0.25">
      <c r="C115" s="2" t="s">
        <v>191</v>
      </c>
    </row>
    <row r="116" spans="3:3" x14ac:dyDescent="0.25">
      <c r="C116" s="2" t="s">
        <v>192</v>
      </c>
    </row>
    <row r="117" spans="3:3" x14ac:dyDescent="0.25">
      <c r="C117" s="2" t="s">
        <v>193</v>
      </c>
    </row>
    <row r="118" spans="3:3" x14ac:dyDescent="0.25">
      <c r="C118" s="2" t="s">
        <v>194</v>
      </c>
    </row>
    <row r="119" spans="3:3" x14ac:dyDescent="0.25">
      <c r="C119" s="2" t="s">
        <v>195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F5F7-12BD-444F-A778-1383B6B0230E}">
  <dimension ref="C3:K17"/>
  <sheetViews>
    <sheetView workbookViewId="0"/>
  </sheetViews>
  <sheetFormatPr defaultRowHeight="15" x14ac:dyDescent="0.25"/>
  <cols>
    <col min="3" max="3" width="45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196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197</v>
      </c>
      <c r="D4" s="46" t="s">
        <v>198</v>
      </c>
      <c r="E4" s="46"/>
      <c r="F4" s="46" t="s">
        <v>199</v>
      </c>
      <c r="G4" s="46"/>
      <c r="H4" s="46" t="s">
        <v>200</v>
      </c>
      <c r="I4" s="46"/>
      <c r="J4" s="47" t="s">
        <v>201</v>
      </c>
      <c r="K4" s="47"/>
    </row>
    <row r="5" spans="3:11" ht="63.75" x14ac:dyDescent="0.25">
      <c r="C5" s="48"/>
      <c r="D5" s="49" t="s">
        <v>202</v>
      </c>
      <c r="E5" s="49" t="s">
        <v>203</v>
      </c>
      <c r="F5" s="49" t="s">
        <v>202</v>
      </c>
      <c r="G5" s="49" t="s">
        <v>203</v>
      </c>
      <c r="H5" s="49" t="s">
        <v>202</v>
      </c>
      <c r="I5" s="49" t="s">
        <v>203</v>
      </c>
      <c r="J5" s="50" t="s">
        <v>202</v>
      </c>
      <c r="K5" s="50" t="s">
        <v>203</v>
      </c>
    </row>
    <row r="6" spans="3:11" x14ac:dyDescent="0.25">
      <c r="C6" s="51" t="s">
        <v>204</v>
      </c>
      <c r="D6" s="52">
        <v>41.119</v>
      </c>
      <c r="E6" s="52">
        <v>14111.902339776196</v>
      </c>
      <c r="F6" s="52">
        <v>22.0688</v>
      </c>
      <c r="G6" s="52">
        <v>18219.070133963749</v>
      </c>
      <c r="H6" s="52">
        <v>22.998799999999999</v>
      </c>
      <c r="I6" s="52">
        <v>28183.665176757415</v>
      </c>
      <c r="J6" s="52">
        <v>11.5829</v>
      </c>
      <c r="K6" s="52">
        <v>69360</v>
      </c>
    </row>
    <row r="7" spans="3:11" x14ac:dyDescent="0.25">
      <c r="C7" s="51" t="s">
        <v>205</v>
      </c>
      <c r="D7" s="52">
        <v>45.977499999999999</v>
      </c>
      <c r="E7" s="52">
        <v>14597.75</v>
      </c>
      <c r="F7" s="52">
        <v>21.706399999999999</v>
      </c>
      <c r="G7" s="52">
        <v>18027.69697042758</v>
      </c>
      <c r="H7" s="52">
        <v>23.092099999999999</v>
      </c>
      <c r="I7" s="52">
        <v>28258.617105785521</v>
      </c>
      <c r="J7" s="52">
        <v>7.9518000000000004</v>
      </c>
      <c r="K7" s="52">
        <v>38655.660015918482</v>
      </c>
    </row>
    <row r="8" spans="3:11" x14ac:dyDescent="0.25">
      <c r="C8" s="51" t="s">
        <v>206</v>
      </c>
      <c r="D8" s="52">
        <v>28.3888</v>
      </c>
      <c r="E8" s="52">
        <v>12838.88</v>
      </c>
      <c r="F8" s="52">
        <v>12.3499</v>
      </c>
      <c r="G8" s="52">
        <v>14181.366161216205</v>
      </c>
      <c r="H8" s="52">
        <v>16.612400000000001</v>
      </c>
      <c r="I8" s="52">
        <v>21563.719221139781</v>
      </c>
      <c r="J8" s="52">
        <v>12.7698</v>
      </c>
      <c r="K8" s="52">
        <v>83620.219567652384</v>
      </c>
    </row>
    <row r="9" spans="3:11" x14ac:dyDescent="0.25">
      <c r="C9" s="51" t="s">
        <v>207</v>
      </c>
      <c r="D9" s="53">
        <v>49.15</v>
      </c>
      <c r="E9" s="54"/>
      <c r="F9" s="53">
        <v>38.07</v>
      </c>
      <c r="G9" s="54"/>
      <c r="H9" s="53">
        <v>24.61</v>
      </c>
      <c r="I9" s="54"/>
      <c r="J9" s="53">
        <v>10</v>
      </c>
      <c r="K9" s="54"/>
    </row>
    <row r="11" spans="3:11" ht="15.75" x14ac:dyDescent="0.25">
      <c r="C11" s="43" t="s">
        <v>208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197</v>
      </c>
      <c r="D12" s="46" t="s">
        <v>198</v>
      </c>
      <c r="E12" s="46"/>
      <c r="F12" s="46" t="s">
        <v>199</v>
      </c>
      <c r="G12" s="46"/>
      <c r="H12" s="46" t="s">
        <v>200</v>
      </c>
      <c r="I12" s="46"/>
      <c r="J12" s="47" t="s">
        <v>201</v>
      </c>
      <c r="K12" s="47"/>
    </row>
    <row r="13" spans="3:11" ht="63.75" x14ac:dyDescent="0.25">
      <c r="C13" s="48"/>
      <c r="D13" s="49" t="s">
        <v>202</v>
      </c>
      <c r="E13" s="49" t="s">
        <v>203</v>
      </c>
      <c r="F13" s="49" t="s">
        <v>202</v>
      </c>
      <c r="G13" s="49" t="s">
        <v>203</v>
      </c>
      <c r="H13" s="49" t="s">
        <v>202</v>
      </c>
      <c r="I13" s="49" t="s">
        <v>203</v>
      </c>
      <c r="J13" s="50" t="s">
        <v>202</v>
      </c>
      <c r="K13" s="50" t="s">
        <v>203</v>
      </c>
    </row>
    <row r="14" spans="3:11" x14ac:dyDescent="0.25">
      <c r="C14" s="51" t="s">
        <v>204</v>
      </c>
      <c r="D14" s="52">
        <v>41.743099999999998</v>
      </c>
      <c r="E14" s="52">
        <v>14174.311926605504</v>
      </c>
      <c r="F14" s="52">
        <v>22.586200000000002</v>
      </c>
      <c r="G14" s="52">
        <v>18452.351331176909</v>
      </c>
      <c r="H14" s="52">
        <v>23.531600000000001</v>
      </c>
      <c r="I14" s="52">
        <v>28800</v>
      </c>
      <c r="J14" s="52">
        <v>15.9175</v>
      </c>
      <c r="K14" s="52">
        <v>57847.11388455538</v>
      </c>
    </row>
    <row r="15" spans="3:11" x14ac:dyDescent="0.25">
      <c r="C15" s="51" t="s">
        <v>205</v>
      </c>
      <c r="D15" s="52">
        <v>45.977499999999999</v>
      </c>
      <c r="E15" s="52">
        <v>14597.75</v>
      </c>
      <c r="F15" s="52">
        <v>21.706399999999999</v>
      </c>
      <c r="G15" s="52">
        <v>18027.69697042758</v>
      </c>
      <c r="H15" s="52">
        <v>23.092099999999999</v>
      </c>
      <c r="I15" s="52">
        <v>28258.617105785521</v>
      </c>
      <c r="J15" s="52">
        <v>12.315099999999999</v>
      </c>
      <c r="K15" s="52">
        <v>39533.619229878735</v>
      </c>
    </row>
    <row r="16" spans="3:11" x14ac:dyDescent="0.25">
      <c r="C16" s="51" t="s">
        <v>206</v>
      </c>
      <c r="D16" s="52">
        <v>28.3888</v>
      </c>
      <c r="E16" s="52">
        <v>12838.88</v>
      </c>
      <c r="F16" s="52">
        <v>12.3499</v>
      </c>
      <c r="G16" s="52">
        <v>14181.366161216205</v>
      </c>
      <c r="H16" s="52">
        <v>16.612400000000001</v>
      </c>
      <c r="I16" s="52">
        <v>21563.719221139781</v>
      </c>
      <c r="J16" s="52">
        <v>13.903700000000001</v>
      </c>
      <c r="K16" s="52">
        <v>46683.143328670623</v>
      </c>
    </row>
    <row r="17" spans="3:11" x14ac:dyDescent="0.25">
      <c r="C17" s="51" t="s">
        <v>209</v>
      </c>
      <c r="D17" s="53">
        <v>52.32</v>
      </c>
      <c r="E17" s="54"/>
      <c r="F17" s="53">
        <v>40.19</v>
      </c>
      <c r="G17" s="54"/>
      <c r="H17" s="53">
        <v>25.75</v>
      </c>
      <c r="I17" s="54"/>
      <c r="J17" s="53">
        <v>12.82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XDO_?FINAL_ISIN?8?</vt:lpstr>
      <vt:lpstr>XDO_?FINAL_ISIN?9?</vt:lpstr>
      <vt:lpstr>XDO_?FINAL_MV?8?</vt:lpstr>
      <vt:lpstr>XDO_?FINAL_MV?9?</vt:lpstr>
      <vt:lpstr>XDO_?FINAL_NAME?8?</vt:lpstr>
      <vt:lpstr>XDO_?FINAL_NAME?9?</vt:lpstr>
      <vt:lpstr>XDO_?FINAL_PER_NET?8?</vt:lpstr>
      <vt:lpstr>XDO_?FINAL_PER_NET?9?</vt:lpstr>
      <vt:lpstr>XDO_?FINAL_QUANTITE?8?</vt:lpstr>
      <vt:lpstr>XDO_?FINAL_QUANTITE?9?</vt:lpstr>
      <vt:lpstr>XDO_?IND_01?8?</vt:lpstr>
      <vt:lpstr>XDO_?IND_01?9?</vt:lpstr>
      <vt:lpstr>XDO_?NAMCNAME?4?</vt:lpstr>
      <vt:lpstr>XDO_?NOVAL?8?</vt:lpstr>
      <vt:lpstr>XDO_?NOVAL?9?</vt:lpstr>
      <vt:lpstr>XDO_?NPTF?4?</vt:lpstr>
      <vt:lpstr>XDO_?RATING?8?</vt:lpstr>
      <vt:lpstr>XDO_?RATING?9?</vt:lpstr>
      <vt:lpstr>XDO_?REMARKS?8?</vt:lpstr>
      <vt:lpstr>XDO_?REMARKS?9?</vt:lpstr>
      <vt:lpstr>XDO_?TITL?4?</vt:lpstr>
      <vt:lpstr>XDO_GROUP_?G_2?4?</vt:lpstr>
      <vt:lpstr>XDO_GROUP_?G_3?4?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2024-11-06T11:46:39Z</dcterms:created>
  <dcterms:modified xsi:type="dcterms:W3CDTF">2024-11-07T05:41:28Z</dcterms:modified>
</cp:coreProperties>
</file>