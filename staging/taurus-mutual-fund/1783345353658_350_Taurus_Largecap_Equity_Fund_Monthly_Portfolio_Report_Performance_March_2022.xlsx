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BF-Risk-o-meter &amp; Portfolio" sheetId="1" r:id="rId1"/>
    <sheet name="TBF - Performance" sheetId="2" r:id="rId2"/>
  </sheets>
  <externalReferences>
    <externalReference r:id="rId3"/>
  </externalReferences>
  <definedNames>
    <definedName name="XDO_?AUM?">'TBF-Risk-o-meter &amp; Portfolio'!$H$13</definedName>
    <definedName name="XDO_?CLASS_3?">'TBF-Risk-o-meter &amp; Portfolio'!$C$8:$C$40</definedName>
    <definedName name="XDO_?CLASS_4?">'TBF-Risk-o-meter &amp; Portfolio'!$C$9</definedName>
    <definedName name="XDO_?CS_1?">'TBF-Risk-o-meter &amp; Portfolio'!$H$11</definedName>
    <definedName name="XDO_?CS_2?">'TBF-Risk-o-meter &amp; Portfolio'!$I$11</definedName>
    <definedName name="XDO_?FINAL_ISIN?">'TBF-Risk-o-meter &amp; Portfolio'!$D$10:$D$82</definedName>
    <definedName name="XDO_?FINAL_MV?">'TBF-Risk-o-meter &amp; Portfolio'!$H$10:$H$82</definedName>
    <definedName name="XDO_?FINAL_NAME?">'TBF-Risk-o-meter &amp; Portfolio'!$C$10:$C$82</definedName>
    <definedName name="XDO_?FINAL_PER_NET?">'TBF-Risk-o-meter &amp; Portfolio'!$I$10:$I$82</definedName>
    <definedName name="XDO_?FINAL_QUANTITE?">'TBF-Risk-o-meter &amp; Portfolio'!$G$10:$G$82</definedName>
    <definedName name="XDO_?IND_01?">'TBF-Risk-o-meter &amp; Portfolio'!$F$10:$F$82</definedName>
    <definedName name="XDO_?LONG_DESC?">'TBF-Risk-o-meter &amp; Portfolio'!$D$3</definedName>
    <definedName name="XDO_?NAMC?">'TBF-Risk-o-meter &amp; Portfolio'!#REF!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">'TBF-Risk-o-meter &amp; Portfolio'!$C$2:$C$40</definedName>
    <definedName name="XDO_?NDATE?">'TBF-Risk-o-meter &amp; Portfolio'!#REF!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'TBF-Risk-o-meter &amp; Portfolio'!#REF!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">'TBF-Risk-o-meter &amp; Portfolio'!$B$10:$B$82</definedName>
    <definedName name="XDO_?NPTF?">'TBF-Risk-o-meter &amp; Portfolio'!$D$2:$D$40</definedName>
    <definedName name="XDO_?RATING?">'TBF-Risk-o-meter &amp; Portfolio'!$E$10:$E$82</definedName>
    <definedName name="XDO_?REMARKS?">'TBF-Risk-o-meter &amp; Portfolio'!$J$10:$J$82</definedName>
    <definedName name="XDO_?TDATE?">'TBF-Risk-o-meter &amp; Portfolio'!$D$4</definedName>
    <definedName name="XDO_?TITL?">'TBF-Risk-o-meter &amp; Portfolio'!$A$8:$A$40</definedName>
    <definedName name="XDO_GROUP_?G_2?">'TBF-Risk-o-meter &amp; Portfolio'!$2:$85</definedName>
    <definedName name="XDO_GROUP_?G_3?">'TBF-Risk-o-meter &amp; Portfolio'!$8:$84</definedName>
    <definedName name="XDO_GROUP_?G_4?">'TBF-Risk-o-meter &amp; Portfolio'!$B$82:$IV$82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85" i="1"/>
</calcChain>
</file>

<file path=xl/sharedStrings.xml><?xml version="1.0" encoding="utf-8"?>
<sst xmlns="http://schemas.openxmlformats.org/spreadsheetml/2006/main" count="235" uniqueCount="169">
  <si>
    <t>TAURUS MUTUAL FUND</t>
  </si>
  <si>
    <t>TBF</t>
  </si>
  <si>
    <t>SCHEME NAME :</t>
  </si>
  <si>
    <t>Taurus Largecap Equity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</si>
  <si>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</si>
  <si>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</si>
  <si>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</si>
  <si>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</si>
  <si>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</si>
  <si>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</si>
  <si>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</si>
  <si>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</si>
  <si>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</si>
  <si>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</si>
  <si>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</si>
  <si>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</si>
  <si>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</si>
  <si>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</si>
  <si>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</si>
  <si>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100001</t>
  </si>
  <si>
    <t>Housing Development Finance Corporation Ltd.</t>
  </si>
  <si>
    <t>INE001A01036</t>
  </si>
  <si>
    <t>Finance</t>
  </si>
  <si>
    <t>100108</t>
  </si>
  <si>
    <t>Adani Ports and Special Economic Zone Ltd.</t>
  </si>
  <si>
    <t>INE742F01042</t>
  </si>
  <si>
    <t>Transportation</t>
  </si>
  <si>
    <t>100115</t>
  </si>
  <si>
    <t>Siemens Ltd.</t>
  </si>
  <si>
    <t>INE003A01024</t>
  </si>
  <si>
    <t>Industrial Capital Goods</t>
  </si>
  <si>
    <t>100003</t>
  </si>
  <si>
    <t>Infosys Ltd.</t>
  </si>
  <si>
    <t>INE009A01021</t>
  </si>
  <si>
    <t>Software</t>
  </si>
  <si>
    <t>100302</t>
  </si>
  <si>
    <t>DLF Ltd.</t>
  </si>
  <si>
    <t>INE271C01023</t>
  </si>
  <si>
    <t>Construction</t>
  </si>
  <si>
    <t>100418</t>
  </si>
  <si>
    <t>Adani Enterprises Ltd.</t>
  </si>
  <si>
    <t>INE423A01024</t>
  </si>
  <si>
    <t>Minerals/Mining</t>
  </si>
  <si>
    <t>100008</t>
  </si>
  <si>
    <t>Sun Pharmaceutical Industries Ltd.</t>
  </si>
  <si>
    <t>INE044A01036</t>
  </si>
  <si>
    <t>Pharmaceuticals</t>
  </si>
  <si>
    <t>100014</t>
  </si>
  <si>
    <t>Mahindra &amp; Mahindra Ltd.</t>
  </si>
  <si>
    <t>INE101A01026</t>
  </si>
  <si>
    <t>Auto</t>
  </si>
  <si>
    <t>100010</t>
  </si>
  <si>
    <t>State Bank of India</t>
  </si>
  <si>
    <t>INE062A01020</t>
  </si>
  <si>
    <t>100005</t>
  </si>
  <si>
    <t>Larsen &amp; Toubro Ltd.</t>
  </si>
  <si>
    <t>INE018A01030</t>
  </si>
  <si>
    <t>Construction Project</t>
  </si>
  <si>
    <t>100183</t>
  </si>
  <si>
    <t>Vedanta Ltd.</t>
  </si>
  <si>
    <t>INE205A01025</t>
  </si>
  <si>
    <t>Non - Ferrous Metals</t>
  </si>
  <si>
    <t>100002</t>
  </si>
  <si>
    <t>Reliance Industries Ltd.</t>
  </si>
  <si>
    <t>INE002A01018</t>
  </si>
  <si>
    <t>Petroleum Products</t>
  </si>
  <si>
    <t>100104</t>
  </si>
  <si>
    <t>Kotak Mahindra Bank Ltd.</t>
  </si>
  <si>
    <t>INE237A01028</t>
  </si>
  <si>
    <t>100273</t>
  </si>
  <si>
    <t>Havells India Ltd.</t>
  </si>
  <si>
    <t>INE176B01034</t>
  </si>
  <si>
    <t>Consumer Durables</t>
  </si>
  <si>
    <t>100006</t>
  </si>
  <si>
    <t>HDFC Bank Ltd.</t>
  </si>
  <si>
    <t>INE040A01034</t>
  </si>
  <si>
    <t>100180</t>
  </si>
  <si>
    <t>Hindalco Industries Ltd.</t>
  </si>
  <si>
    <t>INE038A01020</t>
  </si>
  <si>
    <t>100019</t>
  </si>
  <si>
    <t>ITC Ltd.</t>
  </si>
  <si>
    <t>INE154A01025</t>
  </si>
  <si>
    <t>Consumer Non Durables</t>
  </si>
  <si>
    <t>100235</t>
  </si>
  <si>
    <t>CRISIL Ltd.</t>
  </si>
  <si>
    <t>INE007A01025</t>
  </si>
  <si>
    <t>100032</t>
  </si>
  <si>
    <t>Tata Consultancy Services Ltd.</t>
  </si>
  <si>
    <t>INE467B01029</t>
  </si>
  <si>
    <t>100315</t>
  </si>
  <si>
    <t>Prestige Estates Projects Ltd.</t>
  </si>
  <si>
    <t>INE811K01011</t>
  </si>
  <si>
    <t>100125</t>
  </si>
  <si>
    <t>Bajaj Finance Ltd.</t>
  </si>
  <si>
    <t>INE296A01024</t>
  </si>
  <si>
    <t>100218</t>
  </si>
  <si>
    <t>Godrej Properties Ltd.</t>
  </si>
  <si>
    <t>INE484J01027</t>
  </si>
  <si>
    <t>101415</t>
  </si>
  <si>
    <t>HINDUSTAN OIL EXPLORATION CO.LTD.</t>
  </si>
  <si>
    <t>INE345A01011</t>
  </si>
  <si>
    <t>Oil</t>
  </si>
  <si>
    <t>100109</t>
  </si>
  <si>
    <t>Piramal Enterprises Ltd.</t>
  </si>
  <si>
    <t>INE140A01024</t>
  </si>
  <si>
    <t>101412</t>
  </si>
  <si>
    <t>Punjab Chemicals &amp; Crop Protection Ltd.</t>
  </si>
  <si>
    <t>INE277B01014</t>
  </si>
  <si>
    <t>Pesticides</t>
  </si>
  <si>
    <t>100082</t>
  </si>
  <si>
    <t>Ultratech Cement Ltd.</t>
  </si>
  <si>
    <t>INE481G01011</t>
  </si>
  <si>
    <t>Cement &amp; Cement Products</t>
  </si>
  <si>
    <t>100095</t>
  </si>
  <si>
    <t>Bharti Airtel Ltd.</t>
  </si>
  <si>
    <t>INE397D01024</t>
  </si>
  <si>
    <t>Telecom - Services</t>
  </si>
  <si>
    <t>100148</t>
  </si>
  <si>
    <t>Motilal Oswal Financial Services Ltd.</t>
  </si>
  <si>
    <t>INE338I01027</t>
  </si>
  <si>
    <t>Capital Markets</t>
  </si>
  <si>
    <t>101348</t>
  </si>
  <si>
    <t>Ami Organics Ltd.</t>
  </si>
  <si>
    <t>INE00FF01017</t>
  </si>
  <si>
    <t>100553</t>
  </si>
  <si>
    <t>Kennametal India Ltd.</t>
  </si>
  <si>
    <t>INE717A01029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</si>
  <si>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</si>
  <si>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</si>
  <si>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</si>
  <si>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</si>
  <si>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</si>
  <si>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</si>
  <si>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</si>
  <si>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</si>
  <si>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</si>
  <si>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</si>
  <si>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</si>
  <si>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</si>
  <si>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</si>
  <si>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</si>
  <si>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</si>
  <si>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</si>
  <si>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</si>
  <si>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</si>
  <si>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</si>
  <si>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</si>
  <si>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</si>
  <si>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</si>
  <si>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</si>
  <si>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</si>
  <si>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</si>
  <si>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</si>
  <si>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</si>
  <si>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</si>
  <si>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Largecap Equity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</si>
  <si>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</si>
  <si>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</si>
  <si>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</si>
  <si>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</si>
  <si>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</si>
  <si>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</si>
  <si>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</si>
  <si>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</si>
  <si>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100 TRI (Benchmark)</t>
  </si>
  <si>
    <t>Nifty 50 TRI (Additional Benchmark)</t>
  </si>
  <si>
    <t>NAV [Rs.] Per Unit (as on March 31, 2022 : 102.88)</t>
  </si>
  <si>
    <t>Taurus Largecap Equity Fund - Direct Plan Growth Option</t>
  </si>
  <si>
    <t>NAV [Rs.] Per Unit (as on March 31, 2022 : 108.45)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</si>
</sst>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2316480</xdr:rowOff>
    </xdr:from>
    <xdr:to>
      <xdr:col>5</xdr:col>
      <xdr:colOff>89747</xdr:colOff>
      <xdr:row>0</xdr:row>
      <xdr:rowOff>4651248</xdr:rowOff>
    </xdr:to>
    <xdr:pic>
      <xdr:nvPicPr>
        <xdr:cNvPr id="2" name="Picture 1" descr="for half yearly - Taurus Largecap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2316480"/>
          <a:ext cx="7040880" cy="23347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2167128</xdr:rowOff>
    </xdr:to>
    <xdr:pic>
      <xdr:nvPicPr>
        <xdr:cNvPr id="3" name="Picture 2" descr="Taurus Large Cap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March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91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73.8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44651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32903</v>
      </c>
      <c r="H10" s="32">
        <v>240.27</v>
      </c>
      <c r="I10" s="32">
        <v>7.2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7276</v>
      </c>
      <c r="H11" s="32">
        <v>173.8</v>
      </c>
      <c r="I11" s="32">
        <v>5.21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22403</v>
      </c>
      <c r="H12" s="32">
        <v>173.42</v>
      </c>
      <c r="I12" s="32">
        <v>5.2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7097</v>
      </c>
      <c r="H13" s="32">
        <v>168.1</v>
      </c>
      <c r="I13" s="32">
        <v>5.04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8718</v>
      </c>
      <c r="H14" s="32">
        <v>166.27</v>
      </c>
      <c r="I14" s="32">
        <v>4.9800000000000004</v>
      </c>
      <c r="J14" s="33"/>
    </row>
    <row r="15" spans="1:54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41155</v>
      </c>
      <c r="H15" s="32">
        <v>156.57</v>
      </c>
      <c r="I15" s="32">
        <v>4.6900000000000004</v>
      </c>
      <c r="J15" s="33"/>
    </row>
    <row r="16" spans="1:54">
      <c r="B16" s="1" t="s">
        <v>39</v>
      </c>
      <c r="C16" s="20" t="s">
        <v>40</v>
      </c>
      <c r="D16" s="29" t="s">
        <v>41</v>
      </c>
      <c r="E16" s="30"/>
      <c r="F16" s="30" t="s">
        <v>42</v>
      </c>
      <c r="G16" s="31">
        <v>7277</v>
      </c>
      <c r="H16" s="32">
        <v>146.68</v>
      </c>
      <c r="I16" s="32">
        <v>4.3899999999999997</v>
      </c>
      <c r="J16" s="33"/>
    </row>
    <row r="17" spans="2:10">
      <c r="B17" s="1" t="s">
        <v>43</v>
      </c>
      <c r="C17" s="20" t="s">
        <v>44</v>
      </c>
      <c r="D17" s="29" t="s">
        <v>45</v>
      </c>
      <c r="E17" s="30"/>
      <c r="F17" s="30" t="s">
        <v>46</v>
      </c>
      <c r="G17" s="31">
        <v>15448</v>
      </c>
      <c r="H17" s="32">
        <v>141.32</v>
      </c>
      <c r="I17" s="32">
        <v>4.2300000000000004</v>
      </c>
      <c r="J17" s="33"/>
    </row>
    <row r="18" spans="2:10">
      <c r="B18" s="1" t="s">
        <v>47</v>
      </c>
      <c r="C18" s="20" t="s">
        <v>48</v>
      </c>
      <c r="D18" s="29" t="s">
        <v>49</v>
      </c>
      <c r="E18" s="30"/>
      <c r="F18" s="30" t="s">
        <v>50</v>
      </c>
      <c r="G18" s="31">
        <v>16930</v>
      </c>
      <c r="H18" s="32">
        <v>136.41999999999999</v>
      </c>
      <c r="I18" s="32">
        <v>4.09</v>
      </c>
      <c r="J18" s="33"/>
    </row>
    <row r="19" spans="2:10">
      <c r="B19" s="1" t="s">
        <v>51</v>
      </c>
      <c r="C19" s="20" t="s">
        <v>52</v>
      </c>
      <c r="D19" s="29" t="s">
        <v>53</v>
      </c>
      <c r="E19" s="30"/>
      <c r="F19" s="30" t="s">
        <v>18</v>
      </c>
      <c r="G19" s="31">
        <v>26165</v>
      </c>
      <c r="H19" s="32">
        <v>129.1</v>
      </c>
      <c r="I19" s="32">
        <v>3.87</v>
      </c>
      <c r="J19" s="33"/>
    </row>
    <row r="20" spans="2:10">
      <c r="B20" s="1" t="s">
        <v>54</v>
      </c>
      <c r="C20" s="20" t="s">
        <v>55</v>
      </c>
      <c r="D20" s="29" t="s">
        <v>56</v>
      </c>
      <c r="E20" s="30"/>
      <c r="F20" s="30" t="s">
        <v>57</v>
      </c>
      <c r="G20" s="31">
        <v>7209</v>
      </c>
      <c r="H20" s="32">
        <v>127.42</v>
      </c>
      <c r="I20" s="32">
        <v>3.82</v>
      </c>
      <c r="J20" s="33"/>
    </row>
    <row r="21" spans="2:10">
      <c r="B21" s="1" t="s">
        <v>58</v>
      </c>
      <c r="C21" s="20" t="s">
        <v>59</v>
      </c>
      <c r="D21" s="29" t="s">
        <v>60</v>
      </c>
      <c r="E21" s="30"/>
      <c r="F21" s="30" t="s">
        <v>61</v>
      </c>
      <c r="G21" s="31">
        <v>29954</v>
      </c>
      <c r="H21" s="32">
        <v>120.85</v>
      </c>
      <c r="I21" s="32">
        <v>3.62</v>
      </c>
      <c r="J21" s="33"/>
    </row>
    <row r="22" spans="2:10">
      <c r="B22" s="1" t="s">
        <v>62</v>
      </c>
      <c r="C22" s="20" t="s">
        <v>63</v>
      </c>
      <c r="D22" s="29" t="s">
        <v>64</v>
      </c>
      <c r="E22" s="30"/>
      <c r="F22" s="30" t="s">
        <v>65</v>
      </c>
      <c r="G22" s="31">
        <v>4564</v>
      </c>
      <c r="H22" s="32">
        <v>120.21</v>
      </c>
      <c r="I22" s="32">
        <v>3.6</v>
      </c>
      <c r="J22" s="33"/>
    </row>
    <row r="23" spans="2:10">
      <c r="B23" s="1" t="s">
        <v>66</v>
      </c>
      <c r="C23" s="20" t="s">
        <v>67</v>
      </c>
      <c r="D23" s="29" t="s">
        <v>68</v>
      </c>
      <c r="E23" s="30"/>
      <c r="F23" s="30" t="s">
        <v>18</v>
      </c>
      <c r="G23" s="31">
        <v>6761</v>
      </c>
      <c r="H23" s="32">
        <v>118.64</v>
      </c>
      <c r="I23" s="32">
        <v>3.55</v>
      </c>
      <c r="J23" s="33"/>
    </row>
    <row r="24" spans="2:10">
      <c r="B24" s="1" t="s">
        <v>69</v>
      </c>
      <c r="C24" s="20" t="s">
        <v>70</v>
      </c>
      <c r="D24" s="29" t="s">
        <v>71</v>
      </c>
      <c r="E24" s="30"/>
      <c r="F24" s="30" t="s">
        <v>72</v>
      </c>
      <c r="G24" s="31">
        <v>9972</v>
      </c>
      <c r="H24" s="32">
        <v>115.07</v>
      </c>
      <c r="I24" s="32">
        <v>3.45</v>
      </c>
      <c r="J24" s="33"/>
    </row>
    <row r="25" spans="2:10">
      <c r="B25" s="1" t="s">
        <v>73</v>
      </c>
      <c r="C25" s="20" t="s">
        <v>74</v>
      </c>
      <c r="D25" s="29" t="s">
        <v>75</v>
      </c>
      <c r="E25" s="30"/>
      <c r="F25" s="30" t="s">
        <v>18</v>
      </c>
      <c r="G25" s="31">
        <v>6653</v>
      </c>
      <c r="H25" s="32">
        <v>97.8</v>
      </c>
      <c r="I25" s="32">
        <v>2.93</v>
      </c>
      <c r="J25" s="33"/>
    </row>
    <row r="26" spans="2:10">
      <c r="B26" s="1" t="s">
        <v>76</v>
      </c>
      <c r="C26" s="20" t="s">
        <v>77</v>
      </c>
      <c r="D26" s="29" t="s">
        <v>78</v>
      </c>
      <c r="E26" s="30"/>
      <c r="F26" s="30" t="s">
        <v>61</v>
      </c>
      <c r="G26" s="31">
        <v>16323</v>
      </c>
      <c r="H26" s="32">
        <v>92.98</v>
      </c>
      <c r="I26" s="32">
        <v>2.79</v>
      </c>
      <c r="J26" s="33"/>
    </row>
    <row r="27" spans="2:10">
      <c r="B27" s="1" t="s">
        <v>79</v>
      </c>
      <c r="C27" s="20" t="s">
        <v>80</v>
      </c>
      <c r="D27" s="29" t="s">
        <v>81</v>
      </c>
      <c r="E27" s="30"/>
      <c r="F27" s="30" t="s">
        <v>82</v>
      </c>
      <c r="G27" s="31">
        <v>36763</v>
      </c>
      <c r="H27" s="32">
        <v>92.2</v>
      </c>
      <c r="I27" s="32">
        <v>2.76</v>
      </c>
      <c r="J27" s="33"/>
    </row>
    <row r="28" spans="2:10">
      <c r="B28" s="1" t="s">
        <v>83</v>
      </c>
      <c r="C28" s="20" t="s">
        <v>84</v>
      </c>
      <c r="D28" s="29" t="s">
        <v>85</v>
      </c>
      <c r="E28" s="30"/>
      <c r="F28" s="30" t="s">
        <v>22</v>
      </c>
      <c r="G28" s="31">
        <v>2451</v>
      </c>
      <c r="H28" s="32">
        <v>80.42</v>
      </c>
      <c r="I28" s="32">
        <v>2.41</v>
      </c>
      <c r="J28" s="33"/>
    </row>
    <row r="29" spans="2:10">
      <c r="B29" s="1" t="s">
        <v>86</v>
      </c>
      <c r="C29" s="20" t="s">
        <v>87</v>
      </c>
      <c r="D29" s="29" t="s">
        <v>88</v>
      </c>
      <c r="E29" s="30"/>
      <c r="F29" s="30" t="s">
        <v>34</v>
      </c>
      <c r="G29" s="31">
        <v>2078</v>
      </c>
      <c r="H29" s="32">
        <v>77.69</v>
      </c>
      <c r="I29" s="32">
        <v>2.33</v>
      </c>
      <c r="J29" s="33"/>
    </row>
    <row r="30" spans="2:10">
      <c r="B30" s="1" t="s">
        <v>89</v>
      </c>
      <c r="C30" s="20" t="s">
        <v>90</v>
      </c>
      <c r="D30" s="29" t="s">
        <v>91</v>
      </c>
      <c r="E30" s="30"/>
      <c r="F30" s="30" t="s">
        <v>38</v>
      </c>
      <c r="G30" s="31">
        <v>15092</v>
      </c>
      <c r="H30" s="32">
        <v>74.53</v>
      </c>
      <c r="I30" s="32">
        <v>2.23</v>
      </c>
      <c r="J30" s="33"/>
    </row>
    <row r="31" spans="2:10">
      <c r="B31" s="1" t="s">
        <v>92</v>
      </c>
      <c r="C31" s="20" t="s">
        <v>93</v>
      </c>
      <c r="D31" s="29" t="s">
        <v>94</v>
      </c>
      <c r="E31" s="30"/>
      <c r="F31" s="30" t="s">
        <v>22</v>
      </c>
      <c r="G31" s="31">
        <v>880</v>
      </c>
      <c r="H31" s="32">
        <v>63.88</v>
      </c>
      <c r="I31" s="32">
        <v>1.91</v>
      </c>
      <c r="J31" s="33"/>
    </row>
    <row r="32" spans="2:10">
      <c r="B32" s="1" t="s">
        <v>95</v>
      </c>
      <c r="C32" s="20" t="s">
        <v>96</v>
      </c>
      <c r="D32" s="29" t="s">
        <v>97</v>
      </c>
      <c r="E32" s="30"/>
      <c r="F32" s="30" t="s">
        <v>38</v>
      </c>
      <c r="G32" s="31">
        <v>3795</v>
      </c>
      <c r="H32" s="32">
        <v>63.46</v>
      </c>
      <c r="I32" s="32">
        <v>1.9</v>
      </c>
      <c r="J32" s="33"/>
    </row>
    <row r="33" spans="2:10">
      <c r="B33" s="1" t="s">
        <v>98</v>
      </c>
      <c r="C33" s="20" t="s">
        <v>99</v>
      </c>
      <c r="D33" s="29" t="s">
        <v>100</v>
      </c>
      <c r="E33" s="30"/>
      <c r="F33" s="30" t="s">
        <v>101</v>
      </c>
      <c r="G33" s="31">
        <v>25204</v>
      </c>
      <c r="H33" s="32">
        <v>55.41</v>
      </c>
      <c r="I33" s="32">
        <v>1.66</v>
      </c>
      <c r="J33" s="33"/>
    </row>
    <row r="34" spans="2:10">
      <c r="B34" s="1" t="s">
        <v>102</v>
      </c>
      <c r="C34" s="20" t="s">
        <v>103</v>
      </c>
      <c r="D34" s="29" t="s">
        <v>104</v>
      </c>
      <c r="E34" s="30"/>
      <c r="F34" s="30" t="s">
        <v>22</v>
      </c>
      <c r="G34" s="31">
        <v>2447</v>
      </c>
      <c r="H34" s="32">
        <v>53.52</v>
      </c>
      <c r="I34" s="32">
        <v>1.6</v>
      </c>
      <c r="J34" s="33"/>
    </row>
    <row r="35" spans="2:10">
      <c r="B35" s="1" t="s">
        <v>105</v>
      </c>
      <c r="C35" s="20" t="s">
        <v>106</v>
      </c>
      <c r="D35" s="29" t="s">
        <v>107</v>
      </c>
      <c r="E35" s="30"/>
      <c r="F35" s="30" t="s">
        <v>108</v>
      </c>
      <c r="G35" s="31">
        <v>3489</v>
      </c>
      <c r="H35" s="32">
        <v>50.83</v>
      </c>
      <c r="I35" s="32">
        <v>1.52</v>
      </c>
      <c r="J35" s="33"/>
    </row>
    <row r="36" spans="2:10">
      <c r="B36" s="1" t="s">
        <v>109</v>
      </c>
      <c r="C36" s="20" t="s">
        <v>110</v>
      </c>
      <c r="D36" s="29" t="s">
        <v>111</v>
      </c>
      <c r="E36" s="30"/>
      <c r="F36" s="30" t="s">
        <v>112</v>
      </c>
      <c r="G36" s="31">
        <v>742</v>
      </c>
      <c r="H36" s="32">
        <v>48.99</v>
      </c>
      <c r="I36" s="32">
        <v>1.47</v>
      </c>
      <c r="J36" s="33"/>
    </row>
    <row r="37" spans="2:10">
      <c r="B37" s="1" t="s">
        <v>113</v>
      </c>
      <c r="C37" s="20" t="s">
        <v>114</v>
      </c>
      <c r="D37" s="29" t="s">
        <v>115</v>
      </c>
      <c r="E37" s="30"/>
      <c r="F37" s="30" t="s">
        <v>116</v>
      </c>
      <c r="G37" s="31">
        <v>6272</v>
      </c>
      <c r="H37" s="32">
        <v>47.38</v>
      </c>
      <c r="I37" s="32">
        <v>1.42</v>
      </c>
      <c r="J37" s="33"/>
    </row>
    <row r="38" spans="2:10">
      <c r="B38" s="1" t="s">
        <v>117</v>
      </c>
      <c r="C38" s="20" t="s">
        <v>118</v>
      </c>
      <c r="D38" s="29" t="s">
        <v>119</v>
      </c>
      <c r="E38" s="30"/>
      <c r="F38" s="30" t="s">
        <v>120</v>
      </c>
      <c r="G38" s="31">
        <v>5078</v>
      </c>
      <c r="H38" s="32">
        <v>44.16</v>
      </c>
      <c r="I38" s="32">
        <v>1.32</v>
      </c>
      <c r="J38" s="33"/>
    </row>
    <row r="39" spans="2:10">
      <c r="B39" s="1" t="s">
        <v>121</v>
      </c>
      <c r="C39" s="20" t="s">
        <v>122</v>
      </c>
      <c r="D39" s="29" t="s">
        <v>123</v>
      </c>
      <c r="E39" s="30"/>
      <c r="F39" s="30" t="s">
        <v>46</v>
      </c>
      <c r="G39" s="31">
        <v>4225</v>
      </c>
      <c r="H39" s="32">
        <v>42.24</v>
      </c>
      <c r="I39" s="32">
        <v>1.27</v>
      </c>
      <c r="J39" s="33"/>
    </row>
    <row r="40" spans="2:10">
      <c r="B40" s="1" t="s">
        <v>124</v>
      </c>
      <c r="C40" s="20" t="s">
        <v>125</v>
      </c>
      <c r="D40" s="29" t="s">
        <v>126</v>
      </c>
      <c r="E40" s="30"/>
      <c r="F40" s="30" t="s">
        <v>30</v>
      </c>
      <c r="G40" s="31">
        <v>1981</v>
      </c>
      <c r="H40" s="32">
        <v>40.89</v>
      </c>
      <c r="I40" s="32">
        <v>1.23</v>
      </c>
      <c r="J40" s="33"/>
    </row>
    <row r="41" spans="2:10">
      <c r="C41" s="28" t="s">
        <v>127</v>
      </c>
      <c r="D41" s="29"/>
      <c r="E41" s="30"/>
      <c r="F41" s="30"/>
      <c r="G41" s="31"/>
      <c r="H41" s="35">
        <v>3260.52</v>
      </c>
      <c r="I41" s="35">
        <v>97.69</v>
      </c>
      <c r="J41" s="33"/>
    </row>
    <row r="42" spans="2:10">
      <c r="C42" s="20"/>
      <c r="D42" s="29"/>
      <c r="E42" s="30"/>
      <c r="F42" s="30"/>
      <c r="G42" s="31"/>
      <c r="H42" s="32"/>
      <c r="I42" s="32"/>
      <c r="J42" s="33"/>
    </row>
    <row r="43" spans="2:10">
      <c r="C43" s="28" t="s">
        <v>128</v>
      </c>
      <c r="D43" s="29"/>
      <c r="E43" s="30"/>
      <c r="F43" s="30"/>
      <c r="G43" s="31"/>
      <c r="H43" s="32" t="s">
        <v>129</v>
      </c>
      <c r="I43" s="32" t="s">
        <v>129</v>
      </c>
      <c r="J43" s="33"/>
    </row>
    <row r="44" spans="2:10">
      <c r="C44" s="20"/>
      <c r="D44" s="29"/>
      <c r="E44" s="30"/>
      <c r="F44" s="30"/>
      <c r="G44" s="31"/>
      <c r="H44" s="32"/>
      <c r="I44" s="32"/>
      <c r="J44" s="33"/>
    </row>
    <row r="45" spans="2:10">
      <c r="C45" s="28" t="s">
        <v>130</v>
      </c>
      <c r="D45" s="29"/>
      <c r="E45" s="30"/>
      <c r="F45" s="30"/>
      <c r="G45" s="31"/>
      <c r="H45" s="32" t="s">
        <v>129</v>
      </c>
      <c r="I45" s="32" t="s">
        <v>129</v>
      </c>
      <c r="J45" s="33"/>
    </row>
    <row r="46" spans="2:10">
      <c r="C46" s="20"/>
      <c r="D46" s="29"/>
      <c r="E46" s="30"/>
      <c r="F46" s="30"/>
      <c r="G46" s="31"/>
      <c r="H46" s="32"/>
      <c r="I46" s="32"/>
      <c r="J46" s="33"/>
    </row>
    <row r="47" spans="2:10">
      <c r="C47" s="28" t="s">
        <v>131</v>
      </c>
      <c r="D47" s="29"/>
      <c r="E47" s="30"/>
      <c r="F47" s="30"/>
      <c r="G47" s="31"/>
      <c r="H47" s="32"/>
      <c r="I47" s="32"/>
      <c r="J47" s="33"/>
    </row>
    <row r="48" spans="2:10">
      <c r="C48" s="20"/>
      <c r="D48" s="29"/>
      <c r="E48" s="30"/>
      <c r="F48" s="30"/>
      <c r="G48" s="31"/>
      <c r="H48" s="32"/>
      <c r="I48" s="32"/>
      <c r="J48" s="33"/>
    </row>
    <row r="49" spans="3:10">
      <c r="C49" s="28" t="s">
        <v>132</v>
      </c>
      <c r="D49" s="29"/>
      <c r="E49" s="30"/>
      <c r="F49" s="30"/>
      <c r="G49" s="31"/>
      <c r="H49" s="32" t="s">
        <v>129</v>
      </c>
      <c r="I49" s="32" t="s">
        <v>129</v>
      </c>
      <c r="J49" s="33"/>
    </row>
    <row r="50" spans="3:10">
      <c r="C50" s="20"/>
      <c r="D50" s="29"/>
      <c r="E50" s="30"/>
      <c r="F50" s="30"/>
      <c r="G50" s="31"/>
      <c r="H50" s="32"/>
      <c r="I50" s="32"/>
      <c r="J50" s="33"/>
    </row>
    <row r="51" spans="3:10">
      <c r="C51" s="28" t="s">
        <v>133</v>
      </c>
      <c r="D51" s="29"/>
      <c r="E51" s="30"/>
      <c r="F51" s="30"/>
      <c r="G51" s="31"/>
      <c r="H51" s="32" t="s">
        <v>129</v>
      </c>
      <c r="I51" s="32" t="s">
        <v>129</v>
      </c>
      <c r="J51" s="33"/>
    </row>
    <row r="52" spans="3:10">
      <c r="C52" s="20"/>
      <c r="D52" s="29"/>
      <c r="E52" s="30"/>
      <c r="F52" s="30"/>
      <c r="G52" s="31"/>
      <c r="H52" s="32"/>
      <c r="I52" s="32"/>
      <c r="J52" s="33"/>
    </row>
    <row r="53" spans="3:10">
      <c r="C53" s="28" t="s">
        <v>134</v>
      </c>
      <c r="D53" s="29"/>
      <c r="E53" s="30"/>
      <c r="F53" s="30"/>
      <c r="G53" s="31"/>
      <c r="H53" s="32" t="s">
        <v>129</v>
      </c>
      <c r="I53" s="32" t="s">
        <v>129</v>
      </c>
      <c r="J53" s="33"/>
    </row>
    <row r="54" spans="3:10">
      <c r="C54" s="20"/>
      <c r="D54" s="29"/>
      <c r="E54" s="30"/>
      <c r="F54" s="30"/>
      <c r="G54" s="31"/>
      <c r="H54" s="32"/>
      <c r="I54" s="32"/>
      <c r="J54" s="33"/>
    </row>
    <row r="55" spans="3:10">
      <c r="C55" s="28" t="s">
        <v>135</v>
      </c>
      <c r="D55" s="29"/>
      <c r="E55" s="30"/>
      <c r="F55" s="30"/>
      <c r="G55" s="31"/>
      <c r="H55" s="32" t="s">
        <v>129</v>
      </c>
      <c r="I55" s="32" t="s">
        <v>129</v>
      </c>
      <c r="J55" s="33"/>
    </row>
    <row r="56" spans="3:10">
      <c r="C56" s="20"/>
      <c r="D56" s="29"/>
      <c r="E56" s="30"/>
      <c r="F56" s="30"/>
      <c r="G56" s="31"/>
      <c r="H56" s="32"/>
      <c r="I56" s="32"/>
      <c r="J56" s="33"/>
    </row>
    <row r="57" spans="3:10">
      <c r="C57" s="28" t="s">
        <v>136</v>
      </c>
      <c r="D57" s="29"/>
      <c r="E57" s="30"/>
      <c r="F57" s="30"/>
      <c r="G57" s="31"/>
      <c r="H57" s="32" t="s">
        <v>129</v>
      </c>
      <c r="I57" s="32" t="s">
        <v>129</v>
      </c>
      <c r="J57" s="33"/>
    </row>
    <row r="58" spans="3:10">
      <c r="C58" s="20"/>
      <c r="D58" s="29"/>
      <c r="E58" s="30"/>
      <c r="F58" s="30"/>
      <c r="G58" s="31"/>
      <c r="H58" s="32"/>
      <c r="I58" s="32"/>
      <c r="J58" s="33"/>
    </row>
    <row r="59" spans="3:10">
      <c r="C59" s="28" t="s">
        <v>137</v>
      </c>
      <c r="D59" s="29"/>
      <c r="E59" s="30"/>
      <c r="F59" s="30"/>
      <c r="G59" s="31"/>
      <c r="H59" s="32"/>
      <c r="I59" s="32"/>
      <c r="J59" s="33"/>
    </row>
    <row r="60" spans="3:10">
      <c r="C60" s="20"/>
      <c r="D60" s="29"/>
      <c r="E60" s="30"/>
      <c r="F60" s="30"/>
      <c r="G60" s="31"/>
      <c r="H60" s="32"/>
      <c r="I60" s="32"/>
      <c r="J60" s="33"/>
    </row>
    <row r="61" spans="3:10">
      <c r="C61" s="28" t="s">
        <v>138</v>
      </c>
      <c r="D61" s="29"/>
      <c r="E61" s="30"/>
      <c r="F61" s="30"/>
      <c r="G61" s="31"/>
      <c r="H61" s="32" t="s">
        <v>129</v>
      </c>
      <c r="I61" s="32" t="s">
        <v>129</v>
      </c>
      <c r="J61" s="33"/>
    </row>
    <row r="62" spans="3:10">
      <c r="C62" s="20"/>
      <c r="D62" s="29"/>
      <c r="E62" s="30"/>
      <c r="F62" s="30"/>
      <c r="G62" s="31"/>
      <c r="H62" s="32"/>
      <c r="I62" s="32"/>
      <c r="J62" s="33"/>
    </row>
    <row r="63" spans="3:10">
      <c r="C63" s="28" t="s">
        <v>139</v>
      </c>
      <c r="D63" s="29"/>
      <c r="E63" s="30"/>
      <c r="F63" s="30"/>
      <c r="G63" s="31"/>
      <c r="H63" s="32" t="s">
        <v>129</v>
      </c>
      <c r="I63" s="32" t="s">
        <v>129</v>
      </c>
      <c r="J63" s="33"/>
    </row>
    <row r="64" spans="3:10">
      <c r="C64" s="20"/>
      <c r="D64" s="29"/>
      <c r="E64" s="30"/>
      <c r="F64" s="30"/>
      <c r="G64" s="31"/>
      <c r="H64" s="32"/>
      <c r="I64" s="32"/>
      <c r="J64" s="33"/>
    </row>
    <row r="65" spans="3:10">
      <c r="C65" s="28" t="s">
        <v>140</v>
      </c>
      <c r="D65" s="29"/>
      <c r="E65" s="30"/>
      <c r="F65" s="30"/>
      <c r="G65" s="31"/>
      <c r="H65" s="32" t="s">
        <v>129</v>
      </c>
      <c r="I65" s="32" t="s">
        <v>129</v>
      </c>
      <c r="J65" s="33"/>
    </row>
    <row r="66" spans="3:10">
      <c r="C66" s="20"/>
      <c r="D66" s="29"/>
      <c r="E66" s="30"/>
      <c r="F66" s="30"/>
      <c r="G66" s="31"/>
      <c r="H66" s="32"/>
      <c r="I66" s="32"/>
      <c r="J66" s="33"/>
    </row>
    <row r="67" spans="3:10">
      <c r="C67" s="28" t="s">
        <v>141</v>
      </c>
      <c r="D67" s="29"/>
      <c r="E67" s="30"/>
      <c r="F67" s="30"/>
      <c r="G67" s="31"/>
      <c r="H67" s="32" t="s">
        <v>129</v>
      </c>
      <c r="I67" s="32" t="s">
        <v>129</v>
      </c>
      <c r="J67" s="33"/>
    </row>
    <row r="68" spans="3:10">
      <c r="C68" s="20"/>
      <c r="D68" s="29"/>
      <c r="E68" s="30"/>
      <c r="F68" s="30"/>
      <c r="G68" s="31"/>
      <c r="H68" s="32"/>
      <c r="I68" s="32"/>
      <c r="J68" s="33"/>
    </row>
    <row r="69" spans="3:10">
      <c r="C69" s="28" t="s">
        <v>142</v>
      </c>
      <c r="D69" s="29"/>
      <c r="E69" s="30"/>
      <c r="F69" s="30"/>
      <c r="G69" s="31"/>
      <c r="H69" s="32"/>
      <c r="I69" s="32"/>
      <c r="J69" s="33"/>
    </row>
    <row r="70" spans="3:10">
      <c r="C70" s="20"/>
      <c r="D70" s="29"/>
      <c r="E70" s="30"/>
      <c r="F70" s="30"/>
      <c r="G70" s="31"/>
      <c r="H70" s="32"/>
      <c r="I70" s="32"/>
      <c r="J70" s="33"/>
    </row>
    <row r="71" spans="3:10">
      <c r="C71" s="28" t="s">
        <v>143</v>
      </c>
      <c r="D71" s="29"/>
      <c r="E71" s="30"/>
      <c r="F71" s="30"/>
      <c r="G71" s="31"/>
      <c r="H71" s="32" t="s">
        <v>129</v>
      </c>
      <c r="I71" s="32" t="s">
        <v>129</v>
      </c>
      <c r="J71" s="33"/>
    </row>
    <row r="72" spans="3:10">
      <c r="C72" s="20"/>
      <c r="D72" s="29"/>
      <c r="E72" s="30"/>
      <c r="F72" s="30"/>
      <c r="G72" s="31"/>
      <c r="H72" s="32"/>
      <c r="I72" s="32"/>
      <c r="J72" s="33"/>
    </row>
    <row r="73" spans="3:10">
      <c r="C73" s="28" t="s">
        <v>144</v>
      </c>
      <c r="D73" s="29"/>
      <c r="E73" s="30"/>
      <c r="F73" s="30"/>
      <c r="G73" s="31"/>
      <c r="H73" s="32" t="s">
        <v>129</v>
      </c>
      <c r="I73" s="32" t="s">
        <v>129</v>
      </c>
      <c r="J73" s="33"/>
    </row>
    <row r="74" spans="3:10">
      <c r="C74" s="20"/>
      <c r="D74" s="29"/>
      <c r="E74" s="30"/>
      <c r="F74" s="30"/>
      <c r="G74" s="31"/>
      <c r="H74" s="32"/>
      <c r="I74" s="32"/>
      <c r="J74" s="33"/>
    </row>
    <row r="75" spans="3:10">
      <c r="C75" s="28" t="s">
        <v>145</v>
      </c>
      <c r="D75" s="29"/>
      <c r="E75" s="30"/>
      <c r="F75" s="30"/>
      <c r="G75" s="31"/>
      <c r="H75" s="32" t="s">
        <v>129</v>
      </c>
      <c r="I75" s="32" t="s">
        <v>129</v>
      </c>
      <c r="J75" s="33"/>
    </row>
    <row r="76" spans="3:10">
      <c r="C76" s="20"/>
      <c r="D76" s="29"/>
      <c r="E76" s="30"/>
      <c r="F76" s="30"/>
      <c r="G76" s="31"/>
      <c r="H76" s="32"/>
      <c r="I76" s="32"/>
      <c r="J76" s="33"/>
    </row>
    <row r="77" spans="3:10">
      <c r="C77" s="28" t="s">
        <v>146</v>
      </c>
      <c r="D77" s="29"/>
      <c r="E77" s="30"/>
      <c r="F77" s="30"/>
      <c r="G77" s="31"/>
      <c r="H77" s="32" t="s">
        <v>129</v>
      </c>
      <c r="I77" s="32" t="s">
        <v>129</v>
      </c>
      <c r="J77" s="33"/>
    </row>
    <row r="78" spans="3:10">
      <c r="C78" s="20"/>
      <c r="D78" s="29"/>
      <c r="E78" s="30"/>
      <c r="F78" s="30"/>
      <c r="G78" s="31"/>
      <c r="H78" s="32"/>
      <c r="I78" s="32"/>
      <c r="J78" s="33"/>
    </row>
    <row r="79" spans="3:10">
      <c r="C79" s="28" t="s">
        <v>147</v>
      </c>
      <c r="D79" s="29"/>
      <c r="E79" s="30"/>
      <c r="F79" s="30"/>
      <c r="G79" s="31"/>
      <c r="H79" s="32" t="s">
        <v>129</v>
      </c>
      <c r="I79" s="32" t="s">
        <v>129</v>
      </c>
      <c r="J79" s="33"/>
    </row>
    <row r="80" spans="3:10">
      <c r="C80" s="20"/>
      <c r="D80" s="29"/>
      <c r="E80" s="30"/>
      <c r="F80" s="30"/>
      <c r="G80" s="31"/>
      <c r="H80" s="32"/>
      <c r="I80" s="32"/>
      <c r="J80" s="33"/>
    </row>
    <row r="81" spans="1:10">
      <c r="A81" s="26"/>
      <c r="B81" s="27"/>
      <c r="C81" s="28" t="s">
        <v>148</v>
      </c>
      <c r="D81" s="29"/>
      <c r="E81" s="30"/>
      <c r="F81" s="30"/>
      <c r="G81" s="31"/>
      <c r="H81" s="32"/>
      <c r="I81" s="32"/>
      <c r="J81" s="33"/>
    </row>
    <row r="82" spans="1:10">
      <c r="B82" s="1"/>
      <c r="C82" s="20" t="s">
        <v>149</v>
      </c>
      <c r="D82" s="29"/>
      <c r="E82" s="30"/>
      <c r="F82" s="30"/>
      <c r="G82" s="31"/>
      <c r="H82" s="32">
        <v>77.67</v>
      </c>
      <c r="I82" s="32">
        <v>2.31</v>
      </c>
      <c r="J82" s="33"/>
    </row>
    <row r="83" spans="1:10">
      <c r="C83" s="28" t="s">
        <v>127</v>
      </c>
      <c r="D83" s="29"/>
      <c r="E83" s="30"/>
      <c r="F83" s="30"/>
      <c r="G83" s="31"/>
      <c r="H83" s="35">
        <v>77.67</v>
      </c>
      <c r="I83" s="35">
        <v>2.31</v>
      </c>
      <c r="J83" s="33"/>
    </row>
    <row r="84" spans="1:10">
      <c r="C84" s="20"/>
      <c r="D84" s="29"/>
      <c r="E84" s="30"/>
      <c r="F84" s="30"/>
      <c r="G84" s="31"/>
      <c r="H84" s="32"/>
      <c r="I84" s="32"/>
      <c r="J84" s="33"/>
    </row>
    <row r="85" spans="1:10" ht="13.8" thickBot="1">
      <c r="C85" s="36" t="s">
        <v>150</v>
      </c>
      <c r="D85" s="37"/>
      <c r="E85" s="38"/>
      <c r="F85" s="39"/>
      <c r="G85" s="40"/>
      <c r="H85" s="41">
        <v>3338.19</v>
      </c>
      <c r="I85" s="41">
        <f>SUMIFS(I:I,C:C,"Total")</f>
        <v>100</v>
      </c>
      <c r="J85" s="42"/>
    </row>
    <row r="88" spans="1:10">
      <c r="C88" s="11" t="s">
        <v>151</v>
      </c>
    </row>
    <row r="89" spans="1:10">
      <c r="C89" s="2" t="s">
        <v>152</v>
      </c>
    </row>
    <row r="90" spans="1:10">
      <c r="C90" s="2" t="s">
        <v>153</v>
      </c>
    </row>
    <row r="91" spans="1:10">
      <c r="C91" s="2" t="s">
        <v>154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18"/>
  <sheetViews>
    <sheetView workbookViewId="0">
      <selection activeCell="A4" sqref="A4"/>
    </sheetView>
  </sheetViews>
  <sheetFormatPr defaultRowHeight="14.4"/>
  <cols>
    <col min="2" max="2" width="46.5546875" customWidth="1"/>
    <col min="4" max="4" width="11" bestFit="1" customWidth="1"/>
    <col min="5" max="5" width="7.44140625" bestFit="1" customWidth="1"/>
    <col min="6" max="6" width="11" bestFit="1" customWidth="1"/>
    <col min="8" max="8" width="11" bestFit="1" customWidth="1"/>
    <col min="10" max="10" width="12" bestFit="1" customWidth="1"/>
  </cols>
  <sheetData>
    <row r="4" spans="2:10" ht="15.6">
      <c r="B4" s="43" t="s">
        <v>155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156</v>
      </c>
      <c r="C5" s="46" t="s">
        <v>157</v>
      </c>
      <c r="D5" s="46"/>
      <c r="E5" s="46" t="s">
        <v>158</v>
      </c>
      <c r="F5" s="46"/>
      <c r="G5" s="46" t="s">
        <v>159</v>
      </c>
      <c r="H5" s="46"/>
      <c r="I5" s="46" t="s">
        <v>160</v>
      </c>
      <c r="J5" s="46"/>
    </row>
    <row r="6" spans="2:10" ht="66">
      <c r="B6" s="47"/>
      <c r="C6" s="48" t="s">
        <v>161</v>
      </c>
      <c r="D6" s="48" t="s">
        <v>162</v>
      </c>
      <c r="E6" s="48" t="s">
        <v>161</v>
      </c>
      <c r="F6" s="48" t="s">
        <v>162</v>
      </c>
      <c r="G6" s="48" t="s">
        <v>161</v>
      </c>
      <c r="H6" s="48" t="s">
        <v>162</v>
      </c>
      <c r="I6" s="48" t="s">
        <v>161</v>
      </c>
      <c r="J6" s="48" t="s">
        <v>162</v>
      </c>
    </row>
    <row r="7" spans="2:10">
      <c r="B7" s="49" t="s">
        <v>163</v>
      </c>
      <c r="C7" s="50">
        <v>17.242165242165242</v>
      </c>
      <c r="D7" s="50">
        <v>11724.216524216523</v>
      </c>
      <c r="E7" s="50">
        <v>11.480578895426152</v>
      </c>
      <c r="F7" s="50">
        <v>13867.097991643079</v>
      </c>
      <c r="G7" s="50">
        <v>8.8052167078918266</v>
      </c>
      <c r="H7" s="50">
        <v>15252.779836916234</v>
      </c>
      <c r="I7" s="50">
        <v>10.482540638523851</v>
      </c>
      <c r="J7" s="50">
        <v>102880</v>
      </c>
    </row>
    <row r="8" spans="2:10">
      <c r="B8" s="49" t="s">
        <v>164</v>
      </c>
      <c r="C8" s="50">
        <v>20.655333611024872</v>
      </c>
      <c r="D8" s="50">
        <v>12065.533361102487</v>
      </c>
      <c r="E8" s="50">
        <v>15.883107220821579</v>
      </c>
      <c r="F8" s="50">
        <v>15561.820257377063</v>
      </c>
      <c r="G8" s="50">
        <v>14.743225576601283</v>
      </c>
      <c r="H8" s="50">
        <v>19890.022362935611</v>
      </c>
      <c r="I8" s="50">
        <v>12.208056324842209</v>
      </c>
      <c r="J8" s="50">
        <v>226911.78397145713</v>
      </c>
    </row>
    <row r="9" spans="2:10">
      <c r="B9" s="49" t="s">
        <v>165</v>
      </c>
      <c r="C9" s="50">
        <v>20.260052895360261</v>
      </c>
      <c r="D9" s="50">
        <v>12026.005289536026</v>
      </c>
      <c r="E9" s="50">
        <v>15.823957466126238</v>
      </c>
      <c r="F9" s="50">
        <v>15538.002943957132</v>
      </c>
      <c r="G9" s="50">
        <v>15.141731736907404</v>
      </c>
      <c r="H9" s="50">
        <v>20237.822610221807</v>
      </c>
      <c r="I9" s="50">
        <v>12.33425642502306</v>
      </c>
      <c r="J9" s="50">
        <v>233931.44789875389</v>
      </c>
    </row>
    <row r="10" spans="2:10">
      <c r="B10" s="49" t="s">
        <v>166</v>
      </c>
      <c r="C10" s="51">
        <v>87.75</v>
      </c>
      <c r="D10" s="52"/>
      <c r="E10" s="51">
        <v>74.19</v>
      </c>
      <c r="F10" s="52"/>
      <c r="G10" s="51">
        <v>67.45</v>
      </c>
      <c r="H10" s="52"/>
      <c r="I10" s="51">
        <v>10</v>
      </c>
      <c r="J10" s="52"/>
    </row>
    <row r="12" spans="2:10" ht="15.6">
      <c r="B12" s="43" t="s">
        <v>167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156</v>
      </c>
      <c r="C13" s="46" t="s">
        <v>157</v>
      </c>
      <c r="D13" s="46"/>
      <c r="E13" s="46" t="s">
        <v>158</v>
      </c>
      <c r="F13" s="46"/>
      <c r="G13" s="46" t="s">
        <v>159</v>
      </c>
      <c r="H13" s="46"/>
      <c r="I13" s="46" t="s">
        <v>160</v>
      </c>
      <c r="J13" s="46"/>
    </row>
    <row r="14" spans="2:10" ht="66">
      <c r="B14" s="47"/>
      <c r="C14" s="48" t="s">
        <v>161</v>
      </c>
      <c r="D14" s="48" t="s">
        <v>162</v>
      </c>
      <c r="E14" s="48" t="s">
        <v>161</v>
      </c>
      <c r="F14" s="48" t="s">
        <v>162</v>
      </c>
      <c r="G14" s="48" t="s">
        <v>161</v>
      </c>
      <c r="H14" s="48" t="s">
        <v>162</v>
      </c>
      <c r="I14" s="48" t="s">
        <v>161</v>
      </c>
      <c r="J14" s="48" t="s">
        <v>162</v>
      </c>
    </row>
    <row r="15" spans="2:10">
      <c r="B15" s="49" t="s">
        <v>163</v>
      </c>
      <c r="C15" s="50">
        <v>17.344730577797019</v>
      </c>
      <c r="D15" s="50">
        <v>11734.473057779702</v>
      </c>
      <c r="E15" s="50">
        <v>11.650119458355768</v>
      </c>
      <c r="F15" s="50">
        <v>13930.635838150289</v>
      </c>
      <c r="G15" s="50">
        <v>9.1922216208684571</v>
      </c>
      <c r="H15" s="50">
        <v>15526.127415891197</v>
      </c>
      <c r="I15" s="50">
        <v>10.107808881809731</v>
      </c>
      <c r="J15" s="50">
        <v>24359.838274932616</v>
      </c>
    </row>
    <row r="16" spans="2:10">
      <c r="B16" s="49" t="s">
        <v>164</v>
      </c>
      <c r="C16" s="50">
        <v>20.655333611024872</v>
      </c>
      <c r="D16" s="50">
        <v>12065.533361102487</v>
      </c>
      <c r="E16" s="50">
        <v>15.883107220821579</v>
      </c>
      <c r="F16" s="50">
        <v>15561.820257377063</v>
      </c>
      <c r="G16" s="50">
        <v>14.743225576601283</v>
      </c>
      <c r="H16" s="50">
        <v>19890.022362935611</v>
      </c>
      <c r="I16" s="50">
        <v>13.804804343962672</v>
      </c>
      <c r="J16" s="50">
        <v>33059.264450562987</v>
      </c>
    </row>
    <row r="17" spans="2:10">
      <c r="B17" s="49" t="s">
        <v>165</v>
      </c>
      <c r="C17" s="50">
        <v>20.260052895360261</v>
      </c>
      <c r="D17" s="50">
        <v>12026.005289536026</v>
      </c>
      <c r="E17" s="50">
        <v>15.823957466126238</v>
      </c>
      <c r="F17" s="50">
        <v>15538.002943957132</v>
      </c>
      <c r="G17" s="50">
        <v>15.141731736907404</v>
      </c>
      <c r="H17" s="50">
        <v>20237.822610221807</v>
      </c>
      <c r="I17" s="50">
        <v>13.632101729723644</v>
      </c>
      <c r="J17" s="50">
        <v>32598.269256725216</v>
      </c>
    </row>
    <row r="18" spans="2:10">
      <c r="B18" s="49" t="s">
        <v>168</v>
      </c>
      <c r="C18" s="51">
        <v>92.42</v>
      </c>
      <c r="D18" s="52"/>
      <c r="E18" s="51">
        <v>77.849999999999994</v>
      </c>
      <c r="F18" s="52"/>
      <c r="G18" s="51">
        <v>69.849999999999994</v>
      </c>
      <c r="H18" s="52"/>
      <c r="I18" s="51">
        <v>44.52</v>
      </c>
      <c r="J18" s="52"/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TBF-Risk-o-meter &amp; Portfolio</vt:lpstr>
      <vt:lpstr>TBF - Performance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2022-04-01T09:26:56Z</dcterms:created>
  <dcterms:modified xsi:type="dcterms:W3CDTF">2022-04-05T05:46:09Z</dcterms:modified>
</cp:coreProperties>
</file>