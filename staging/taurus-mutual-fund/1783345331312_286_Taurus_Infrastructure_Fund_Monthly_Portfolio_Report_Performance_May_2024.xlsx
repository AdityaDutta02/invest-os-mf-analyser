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NE 2024\Portfolio\OPS\TMF_Monthly_Portfolio_Report_May 24\"/>
    </mc:Choice>
  </mc:AlternateContent>
  <xr:revisionPtr revIDLastSave="0" documentId="13_ncr:1_{1F07D232-28A2-41DE-BFE6-F277C831AA36}" xr6:coauthVersionLast="47" xr6:coauthVersionMax="47" xr10:uidLastSave="{00000000-0000-0000-0000-000000000000}"/>
  <bookViews>
    <workbookView xWindow="-120" yWindow="-120" windowWidth="20640" windowHeight="11040" xr2:uid="{0823EF64-5A98-4595-821D-F89F9B6DFE85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TISF!$C$8:$C$46</definedName>
    <definedName name="XDO_?FINAL_ISIN?7?">TISF!$D$10:$D$46</definedName>
    <definedName name="XDO_?FINAL_ISIN?8?">TISF!$D$10:$D$90</definedName>
    <definedName name="XDO_?FINAL_MV?7?">TISF!$H$10:$H$46</definedName>
    <definedName name="XDO_?FINAL_MV?8?">TISF!$H$10:$H$90</definedName>
    <definedName name="XDO_?FINAL_NAME?7?">TISF!$C$10:$C$46</definedName>
    <definedName name="XDO_?FINAL_NAME?8?">TISF!$C$10:$C$90</definedName>
    <definedName name="XDO_?FINAL_PER_NET?7?">TISF!$I$10:$I$46</definedName>
    <definedName name="XDO_?FINAL_PER_NET?8?">TISF!$I$10:$I$90</definedName>
    <definedName name="XDO_?FINAL_QUANTITE?7?">TISF!$G$10:$G$46</definedName>
    <definedName name="XDO_?FINAL_QUANTITE?8?">TISF!$G$10:$G$90</definedName>
    <definedName name="XDO_?IND_01?7?">TISF!$F$10:$F$46</definedName>
    <definedName name="XDO_?IND_01?8?">TISF!$F$10:$F$90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TISF!$C$2:$C$46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TISF!$B$10:$B$46</definedName>
    <definedName name="XDO_?NOVAL?8?">TISF!$B$10:$B$90</definedName>
    <definedName name="XDO_?NPTF?4?">TISF!$D$2:$D$46</definedName>
    <definedName name="XDO_?RATING?7?">TISF!$E$10:$E$46</definedName>
    <definedName name="XDO_?RATING?8?">TISF!$E$10:$E$90</definedName>
    <definedName name="XDO_?REMARKS?7?">TISF!$J$10:$J$46</definedName>
    <definedName name="XDO_?REMARKS?8?">TISF!$J$10:$J$90</definedName>
    <definedName name="XDO_?TITL?4?">TISF!$A$8:$A$46</definedName>
    <definedName name="XDO_GROUP_?G_2?4?">TISF!$2:$93</definedName>
    <definedName name="XDO_GROUP_?G_3?4?">TISF!$8:$92</definedName>
    <definedName name="XDO_GROUP_?G_4?7?">TISF!$B$10:$IV$46</definedName>
    <definedName name="XDO_GROUP_?G_4?8?">TISF!$B$90:$IV$90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1" l="1"/>
</calcChain>
</file>

<file path=xl/sharedStrings.xml><?xml version="1.0" encoding="utf-8"?>
<sst xmlns="http://schemas.openxmlformats.org/spreadsheetml/2006/main" count="263" uniqueCount="189">
  <si>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</si>
  <si>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</si>
  <si>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</si>
  <si>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</si>
  <si>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</si>
  <si>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</si>
  <si>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</si>
  <si>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</si>
  <si>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</si>
  <si>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</si>
  <si>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</si>
  <si>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</si>
  <si>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</si>
  <si>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</si>
  <si>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</si>
  <si>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</si>
  <si>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</si>
  <si>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</si>
  <si>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</si>
  <si>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</si>
  <si>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</si>
  <si>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</si>
  <si>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</si>
  <si>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</si>
  <si>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</si>
  <si>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</si>
  <si>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</si>
  <si>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100281</t>
  </si>
  <si>
    <t>Century Textiles &amp; Industries Ltd.</t>
  </si>
  <si>
    <t>INE055A01016</t>
  </si>
  <si>
    <t>Paper, Forest &amp; Jute Products</t>
  </si>
  <si>
    <t>100035</t>
  </si>
  <si>
    <t>NMDC Ltd.</t>
  </si>
  <si>
    <t>INE584A01023</t>
  </si>
  <si>
    <t>Minerals &amp; Mining</t>
  </si>
  <si>
    <t>102060</t>
  </si>
  <si>
    <t>Tarc Ltd.</t>
  </si>
  <si>
    <t>INE0EK901012</t>
  </si>
  <si>
    <t>Realty</t>
  </si>
  <si>
    <t>100302</t>
  </si>
  <si>
    <t>DLF Ltd.</t>
  </si>
  <si>
    <t>INE271C01023</t>
  </si>
  <si>
    <t>101698</t>
  </si>
  <si>
    <t>Swan Energy Ltd.</t>
  </si>
  <si>
    <t>INE665A01038</t>
  </si>
  <si>
    <t>Diversified</t>
  </si>
  <si>
    <t>100181</t>
  </si>
  <si>
    <t>NTPC Ltd.</t>
  </si>
  <si>
    <t>INE733E01010</t>
  </si>
  <si>
    <t>Power</t>
  </si>
  <si>
    <t>100006</t>
  </si>
  <si>
    <t>HDFC Bank Ltd.</t>
  </si>
  <si>
    <t>INE040A01034</t>
  </si>
  <si>
    <t>Banks</t>
  </si>
  <si>
    <t>100174</t>
  </si>
  <si>
    <t>Vodafone Idea Ltd.</t>
  </si>
  <si>
    <t>INE669E01016</t>
  </si>
  <si>
    <t>100292</t>
  </si>
  <si>
    <t>Steel Authority of India Ltd.</t>
  </si>
  <si>
    <t>INE114A01011</t>
  </si>
  <si>
    <t>Ferrous Metals</t>
  </si>
  <si>
    <t>100232</t>
  </si>
  <si>
    <t>Bharat Bijlee Ltd.</t>
  </si>
  <si>
    <t>INE464A01036</t>
  </si>
  <si>
    <t>Electrical Equipment</t>
  </si>
  <si>
    <t>101800</t>
  </si>
  <si>
    <t>Hindware Home Innovation Ltd.</t>
  </si>
  <si>
    <t>INE05AN01011</t>
  </si>
  <si>
    <t>Consumer Durables</t>
  </si>
  <si>
    <t>100082</t>
  </si>
  <si>
    <t>Ultratech Cement Ltd.</t>
  </si>
  <si>
    <t>INE481G01011</t>
  </si>
  <si>
    <t>Cement &amp; Cement Products</t>
  </si>
  <si>
    <t>100571</t>
  </si>
  <si>
    <t>KNR Constructions Ltd.</t>
  </si>
  <si>
    <t>INE634I01029</t>
  </si>
  <si>
    <t>100177</t>
  </si>
  <si>
    <t>Grasim Industries Ltd.</t>
  </si>
  <si>
    <t>INE047A01021</t>
  </si>
  <si>
    <t>100643</t>
  </si>
  <si>
    <t>PSP Projects Ltd.</t>
  </si>
  <si>
    <t>INE488V01015</t>
  </si>
  <si>
    <t>100466</t>
  </si>
  <si>
    <t>Igarashi Motors India Ltd.</t>
  </si>
  <si>
    <t>INE188B01013</t>
  </si>
  <si>
    <t>Auto Components</t>
  </si>
  <si>
    <t>100752</t>
  </si>
  <si>
    <t>Praj Industries Ltd.</t>
  </si>
  <si>
    <t>INE074A01025</t>
  </si>
  <si>
    <t>Industrial Manufacturing</t>
  </si>
  <si>
    <t>100143</t>
  </si>
  <si>
    <t>Thermax Ltd.</t>
  </si>
  <si>
    <t>INE152A01029</t>
  </si>
  <si>
    <t>100362</t>
  </si>
  <si>
    <t>JSW Energy Ltd.</t>
  </si>
  <si>
    <t>INE121E01018</t>
  </si>
  <si>
    <t>100461</t>
  </si>
  <si>
    <t>Astral Ltd.</t>
  </si>
  <si>
    <t>INE006I01046</t>
  </si>
  <si>
    <t>Industrial Products</t>
  </si>
  <si>
    <t>101949</t>
  </si>
  <si>
    <t>Samhi Hotels Ltd.</t>
  </si>
  <si>
    <t>INE08U801020</t>
  </si>
  <si>
    <t>Leisure Services</t>
  </si>
  <si>
    <t>100184</t>
  </si>
  <si>
    <t>Tata Steel Ltd.</t>
  </si>
  <si>
    <t>INE081A01020</t>
  </si>
  <si>
    <t>100843</t>
  </si>
  <si>
    <t>Dalmia Bharat Ltd.</t>
  </si>
  <si>
    <t>INE00R701025</t>
  </si>
  <si>
    <t>100018</t>
  </si>
  <si>
    <t>Tata Communications Ltd.</t>
  </si>
  <si>
    <t>INE151A01013</t>
  </si>
  <si>
    <t>100441</t>
  </si>
  <si>
    <t>Mahanagar Gas Ltd.</t>
  </si>
  <si>
    <t>INE002S01010</t>
  </si>
  <si>
    <t>Gas</t>
  </si>
  <si>
    <t>100066</t>
  </si>
  <si>
    <t>MOIL Ltd.</t>
  </si>
  <si>
    <t>INE490G01020</t>
  </si>
  <si>
    <t>100100</t>
  </si>
  <si>
    <t>Hindustan Petroleum Corporation Ltd.</t>
  </si>
  <si>
    <t>INE094A01015</t>
  </si>
  <si>
    <t>100748</t>
  </si>
  <si>
    <t>MM Forgings Ltd.</t>
  </si>
  <si>
    <t>INE227C01017</t>
  </si>
  <si>
    <t>101237</t>
  </si>
  <si>
    <t>Railtel Corporation of India Ltd.</t>
  </si>
  <si>
    <t>INE0DD101019</t>
  </si>
  <si>
    <t>100697</t>
  </si>
  <si>
    <t>Jindal Saw Ltd.</t>
  </si>
  <si>
    <t>INE324A01024</t>
  </si>
  <si>
    <t>100219</t>
  </si>
  <si>
    <t>Indraprastha Gas Ltd.</t>
  </si>
  <si>
    <t>INE203G01027</t>
  </si>
  <si>
    <t>100038</t>
  </si>
  <si>
    <t>TV18 Broadcast Ltd.</t>
  </si>
  <si>
    <t>INE886H01027</t>
  </si>
  <si>
    <t>Entertainment</t>
  </si>
  <si>
    <t>100465</t>
  </si>
  <si>
    <t>Interglobe Aviation Ltd.</t>
  </si>
  <si>
    <t>INE646L01027</t>
  </si>
  <si>
    <t>Transport Services</t>
  </si>
  <si>
    <t>5300003</t>
  </si>
  <si>
    <t>IN9047A01011</t>
  </si>
  <si>
    <t>P**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</si>
  <si>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</si>
  <si>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</si>
  <si>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</si>
  <si>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</si>
  <si>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</si>
  <si>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</si>
  <si>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</si>
  <si>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</si>
  <si>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</si>
  <si>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</si>
  <si>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</si>
  <si>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</si>
  <si>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</si>
  <si>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</si>
  <si>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</si>
  <si>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</si>
  <si>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</si>
  <si>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</si>
  <si>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</si>
  <si>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</si>
  <si>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</si>
  <si>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</si>
  <si>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</si>
  <si>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</si>
  <si>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</si>
  <si>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</si>
  <si>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Warrants, P** Partly Paid shares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</si>
  <si>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</si>
  <si>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</si>
  <si>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</si>
  <si>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</si>
  <si>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</si>
  <si>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</si>
  <si>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</si>
  <si>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</si>
  <si>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</si>
  <si>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</si>
  <si>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</si>
  <si>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</si>
  <si>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</si>
  <si>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May 31, 2024 : 65.77)</t>
  </si>
  <si>
    <t>Taurus Infrastructure Fund - Direct Plan Growth Option</t>
  </si>
  <si>
    <t>NAV [Rs.] Per Unit (as on May 31, 2024 : 70.21)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</si>
</sst>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6" fillId="0" borderId="13" xfId="1" applyNumberFormat="1" applyFon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0" fontId="16" fillId="0" borderId="0" xfId="0" applyFont="1"/>
    <xf numFmtId="0" fontId="14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2712B44D-9AA5-4B9B-8AA4-43670467CCAB}"/>
    <cellStyle name="Hyperlink" xfId="2" builtinId="8"/>
    <cellStyle name="Normal" xfId="0" builtinId="0"/>
    <cellStyle name="Normal 2" xfId="4" xr:uid="{BC512E04-2C7B-42C6-B480-57AC3097C518}"/>
    <cellStyle name="Style 1" xfId="3" xr:uid="{D16807A1-E853-4958-A2CE-DD6F88065C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29500" cy="1924050"/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F30B5FF2-CEEA-4C8A-9DF6-37BF63382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2950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y_2024\Client%20Report\TMF_Monthly_Portfolio_Report_May%2024.xls" TargetMode="External"/><Relationship Id="rId1" Type="http://schemas.openxmlformats.org/officeDocument/2006/relationships/externalLinkPath" Target="file:///Q:\5.TMF\Reporting\Monthly%20Reports\Monthly%20Portfolio\2024-25\May_2024\Client%20Report\TMF_Monthly_Portfolio_Report_Ma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307-648B-456C-88EC-03AF456A4374}">
  <dimension ref="A1:BB99"/>
  <sheetViews>
    <sheetView showGridLines="0" tabSelected="1" zoomScale="90" zoomScaleNormal="90" workbookViewId="0">
      <selection activeCell="C4" sqref="C4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45443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67.22</v>
      </c>
      <c r="I10" s="32">
        <v>7.31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63.04</v>
      </c>
      <c r="I11" s="32">
        <v>6.85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1857</v>
      </c>
      <c r="H12" s="32">
        <v>53.1</v>
      </c>
      <c r="I12" s="32">
        <v>5.77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2431</v>
      </c>
      <c r="H13" s="32">
        <v>49.1</v>
      </c>
      <c r="I13" s="32">
        <v>5.34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16500</v>
      </c>
      <c r="H14" s="32">
        <v>42.92</v>
      </c>
      <c r="I14" s="32">
        <v>4.67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24790</v>
      </c>
      <c r="H15" s="32">
        <v>41.57</v>
      </c>
      <c r="I15" s="32">
        <v>4.5199999999999996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38</v>
      </c>
      <c r="G16" s="31">
        <v>4454</v>
      </c>
      <c r="H16" s="32">
        <v>36.369999999999997</v>
      </c>
      <c r="I16" s="32">
        <v>3.95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6122</v>
      </c>
      <c r="H17" s="32">
        <v>35.19</v>
      </c>
      <c r="I17" s="32">
        <v>3.82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9787</v>
      </c>
      <c r="H18" s="32">
        <v>35.130000000000003</v>
      </c>
      <c r="I18" s="32">
        <v>3.82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2225</v>
      </c>
      <c r="H19" s="32">
        <v>34.06</v>
      </c>
      <c r="I19" s="32">
        <v>3.7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18</v>
      </c>
      <c r="G20" s="31">
        <v>221121</v>
      </c>
      <c r="H20" s="32">
        <v>33.74</v>
      </c>
      <c r="I20" s="32">
        <v>3.67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20533</v>
      </c>
      <c r="H21" s="32">
        <v>32.520000000000003</v>
      </c>
      <c r="I21" s="32">
        <v>3.54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704</v>
      </c>
      <c r="H22" s="32">
        <v>30.39</v>
      </c>
      <c r="I22" s="32">
        <v>3.3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7964</v>
      </c>
      <c r="H23" s="32">
        <v>28.37</v>
      </c>
      <c r="I23" s="32">
        <v>3.08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280</v>
      </c>
      <c r="H24" s="32">
        <v>27.72</v>
      </c>
      <c r="I24" s="32">
        <v>3.01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22</v>
      </c>
      <c r="G25" s="31">
        <v>7470</v>
      </c>
      <c r="H25" s="32">
        <v>23.77</v>
      </c>
      <c r="I25" s="32">
        <v>2.58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72</v>
      </c>
      <c r="G26" s="31">
        <v>1015</v>
      </c>
      <c r="H26" s="32">
        <v>23.54</v>
      </c>
      <c r="I26" s="32">
        <v>2.56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22</v>
      </c>
      <c r="G27" s="31">
        <v>3478</v>
      </c>
      <c r="H27" s="32">
        <v>22.43</v>
      </c>
      <c r="I27" s="32">
        <v>2.44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4630</v>
      </c>
      <c r="H28" s="32">
        <v>21.41</v>
      </c>
      <c r="I28" s="32">
        <v>2.33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3854</v>
      </c>
      <c r="H29" s="32">
        <v>20.12</v>
      </c>
      <c r="I29" s="32">
        <v>2.19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64</v>
      </c>
      <c r="G30" s="31">
        <v>367</v>
      </c>
      <c r="H30" s="32">
        <v>19.82</v>
      </c>
      <c r="I30" s="32">
        <v>2.15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49</v>
      </c>
      <c r="G31" s="31">
        <v>3031</v>
      </c>
      <c r="H31" s="32">
        <v>18.559999999999999</v>
      </c>
      <c r="I31" s="32">
        <v>2.02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833</v>
      </c>
      <c r="H32" s="32">
        <v>17.46</v>
      </c>
      <c r="I32" s="32">
        <v>1.9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9355</v>
      </c>
      <c r="H33" s="32">
        <v>17.2</v>
      </c>
      <c r="I33" s="32">
        <v>1.87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60</v>
      </c>
      <c r="G34" s="31">
        <v>9293</v>
      </c>
      <c r="H34" s="32">
        <v>15.53</v>
      </c>
      <c r="I34" s="32">
        <v>1.69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72</v>
      </c>
      <c r="G35" s="31">
        <v>820</v>
      </c>
      <c r="H35" s="32">
        <v>14.55</v>
      </c>
      <c r="I35" s="32">
        <v>1.58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18</v>
      </c>
      <c r="G36" s="31">
        <v>725</v>
      </c>
      <c r="H36" s="32">
        <v>12.89</v>
      </c>
      <c r="I36" s="32">
        <v>1.4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893</v>
      </c>
      <c r="H37" s="32">
        <v>11.59</v>
      </c>
      <c r="I37" s="32">
        <v>1.26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34</v>
      </c>
      <c r="G38" s="31">
        <v>1840</v>
      </c>
      <c r="H38" s="32">
        <v>9.2200000000000006</v>
      </c>
      <c r="I38" s="32">
        <v>1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26</v>
      </c>
      <c r="G39" s="31">
        <v>1660</v>
      </c>
      <c r="H39" s="32">
        <v>8.92</v>
      </c>
      <c r="I39" s="32">
        <v>0.97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85</v>
      </c>
      <c r="G40" s="31">
        <v>719</v>
      </c>
      <c r="H40" s="32">
        <v>8.65</v>
      </c>
      <c r="I40" s="32">
        <v>0.94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18</v>
      </c>
      <c r="G41" s="31">
        <v>2016</v>
      </c>
      <c r="H41" s="32">
        <v>8.33</v>
      </c>
      <c r="I41" s="32">
        <v>0.91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99</v>
      </c>
      <c r="G42" s="31">
        <v>1454</v>
      </c>
      <c r="H42" s="32">
        <v>7.82</v>
      </c>
      <c r="I42" s="32">
        <v>0.85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116</v>
      </c>
      <c r="G43" s="31">
        <v>1495</v>
      </c>
      <c r="H43" s="32">
        <v>6.63</v>
      </c>
      <c r="I43" s="32">
        <v>0.72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14630</v>
      </c>
      <c r="H44" s="32">
        <v>6.15</v>
      </c>
      <c r="I44" s="32">
        <v>0.67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70</v>
      </c>
      <c r="H45" s="32">
        <v>2.93</v>
      </c>
      <c r="I45" s="32">
        <v>0.32</v>
      </c>
      <c r="J45" s="33"/>
    </row>
    <row r="46" spans="2:10" x14ac:dyDescent="0.25">
      <c r="B46" s="1" t="s">
        <v>143</v>
      </c>
      <c r="C46" s="20" t="s">
        <v>77</v>
      </c>
      <c r="D46" s="29" t="s">
        <v>144</v>
      </c>
      <c r="E46" s="30"/>
      <c r="F46" s="30" t="s">
        <v>72</v>
      </c>
      <c r="G46" s="31">
        <v>34</v>
      </c>
      <c r="H46" s="32">
        <v>0.35</v>
      </c>
      <c r="I46" s="32">
        <v>0.04</v>
      </c>
      <c r="J46" s="33" t="s">
        <v>145</v>
      </c>
    </row>
    <row r="47" spans="2:10" x14ac:dyDescent="0.25">
      <c r="C47" s="28" t="s">
        <v>146</v>
      </c>
      <c r="D47" s="29"/>
      <c r="E47" s="30"/>
      <c r="F47" s="30"/>
      <c r="G47" s="31"/>
      <c r="H47" s="35">
        <v>908.31</v>
      </c>
      <c r="I47" s="35">
        <v>98.74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147</v>
      </c>
      <c r="D49" s="29"/>
      <c r="E49" s="30"/>
      <c r="F49" s="30"/>
      <c r="G49" s="31"/>
      <c r="H49" s="32" t="s">
        <v>148</v>
      </c>
      <c r="I49" s="32" t="s">
        <v>148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149</v>
      </c>
      <c r="D51" s="29"/>
      <c r="E51" s="30"/>
      <c r="F51" s="30"/>
      <c r="G51" s="31"/>
      <c r="H51" s="32" t="s">
        <v>148</v>
      </c>
      <c r="I51" s="32" t="s">
        <v>148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150</v>
      </c>
      <c r="D53" s="29"/>
      <c r="E53" s="30"/>
      <c r="F53" s="30"/>
      <c r="G53" s="31"/>
      <c r="H53" s="32"/>
      <c r="I53" s="32"/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151</v>
      </c>
      <c r="D55" s="29"/>
      <c r="E55" s="30"/>
      <c r="F55" s="30"/>
      <c r="G55" s="31"/>
      <c r="H55" s="32" t="s">
        <v>148</v>
      </c>
      <c r="I55" s="32" t="s">
        <v>148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152</v>
      </c>
      <c r="D57" s="29"/>
      <c r="E57" s="30"/>
      <c r="F57" s="30"/>
      <c r="G57" s="31"/>
      <c r="H57" s="32" t="s">
        <v>148</v>
      </c>
      <c r="I57" s="32" t="s">
        <v>148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153</v>
      </c>
      <c r="D59" s="29"/>
      <c r="E59" s="30"/>
      <c r="F59" s="30"/>
      <c r="G59" s="31"/>
      <c r="H59" s="32" t="s">
        <v>148</v>
      </c>
      <c r="I59" s="32" t="s">
        <v>148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154</v>
      </c>
      <c r="D61" s="29"/>
      <c r="E61" s="30"/>
      <c r="F61" s="30"/>
      <c r="G61" s="31"/>
      <c r="H61" s="32" t="s">
        <v>148</v>
      </c>
      <c r="I61" s="32" t="s">
        <v>148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155</v>
      </c>
      <c r="D63" s="29"/>
      <c r="E63" s="30"/>
      <c r="F63" s="30"/>
      <c r="G63" s="31"/>
      <c r="H63" s="32" t="s">
        <v>148</v>
      </c>
      <c r="I63" s="32" t="s">
        <v>148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156</v>
      </c>
      <c r="D65" s="29"/>
      <c r="E65" s="30"/>
      <c r="F65" s="30"/>
      <c r="G65" s="31"/>
      <c r="H65" s="32"/>
      <c r="I65" s="32"/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157</v>
      </c>
      <c r="D67" s="29"/>
      <c r="E67" s="30"/>
      <c r="F67" s="30"/>
      <c r="G67" s="31"/>
      <c r="H67" s="32" t="s">
        <v>148</v>
      </c>
      <c r="I67" s="32" t="s">
        <v>148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158</v>
      </c>
      <c r="D69" s="29"/>
      <c r="E69" s="30"/>
      <c r="F69" s="30"/>
      <c r="G69" s="31"/>
      <c r="H69" s="32" t="s">
        <v>148</v>
      </c>
      <c r="I69" s="32" t="s">
        <v>148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159</v>
      </c>
      <c r="D71" s="29"/>
      <c r="E71" s="30"/>
      <c r="F71" s="30"/>
      <c r="G71" s="31"/>
      <c r="H71" s="32" t="s">
        <v>148</v>
      </c>
      <c r="I71" s="32" t="s">
        <v>148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160</v>
      </c>
      <c r="D73" s="29"/>
      <c r="E73" s="30"/>
      <c r="F73" s="30"/>
      <c r="G73" s="31"/>
      <c r="H73" s="32" t="s">
        <v>148</v>
      </c>
      <c r="I73" s="32" t="s">
        <v>148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161</v>
      </c>
      <c r="D75" s="29"/>
      <c r="E75" s="30"/>
      <c r="F75" s="30"/>
      <c r="G75" s="31"/>
      <c r="H75" s="32"/>
      <c r="I75" s="32"/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162</v>
      </c>
      <c r="D77" s="29"/>
      <c r="E77" s="30"/>
      <c r="F77" s="30"/>
      <c r="G77" s="31"/>
      <c r="H77" s="32" t="s">
        <v>148</v>
      </c>
      <c r="I77" s="32" t="s">
        <v>148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163</v>
      </c>
      <c r="D79" s="29"/>
      <c r="E79" s="30"/>
      <c r="F79" s="30"/>
      <c r="G79" s="31"/>
      <c r="H79" s="32" t="s">
        <v>148</v>
      </c>
      <c r="I79" s="32" t="s">
        <v>148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164</v>
      </c>
      <c r="D81" s="29"/>
      <c r="E81" s="30"/>
      <c r="F81" s="30"/>
      <c r="G81" s="31"/>
      <c r="H81" s="32" t="s">
        <v>148</v>
      </c>
      <c r="I81" s="32" t="s">
        <v>148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165</v>
      </c>
      <c r="D83" s="29"/>
      <c r="E83" s="30"/>
      <c r="F83" s="30"/>
      <c r="G83" s="31"/>
      <c r="H83" s="32" t="s">
        <v>148</v>
      </c>
      <c r="I83" s="32" t="s">
        <v>148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166</v>
      </c>
      <c r="D85" s="29"/>
      <c r="E85" s="30"/>
      <c r="F85" s="30"/>
      <c r="G85" s="31"/>
      <c r="H85" s="32" t="s">
        <v>148</v>
      </c>
      <c r="I85" s="32" t="s">
        <v>148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167</v>
      </c>
      <c r="D87" s="29"/>
      <c r="E87" s="30"/>
      <c r="F87" s="30"/>
      <c r="G87" s="31"/>
      <c r="H87" s="32" t="s">
        <v>148</v>
      </c>
      <c r="I87" s="32" t="s">
        <v>148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A89" s="26"/>
      <c r="B89" s="27"/>
      <c r="C89" s="28" t="s">
        <v>168</v>
      </c>
      <c r="D89" s="29"/>
      <c r="E89" s="30"/>
      <c r="F89" s="30"/>
      <c r="G89" s="31"/>
      <c r="H89" s="32"/>
      <c r="I89" s="32"/>
      <c r="J89" s="33"/>
    </row>
    <row r="90" spans="1:10" x14ac:dyDescent="0.25">
      <c r="B90" s="1"/>
      <c r="C90" s="20" t="s">
        <v>169</v>
      </c>
      <c r="D90" s="29"/>
      <c r="E90" s="30"/>
      <c r="F90" s="30"/>
      <c r="G90" s="31"/>
      <c r="H90" s="32">
        <v>11.75</v>
      </c>
      <c r="I90" s="32">
        <v>1.26</v>
      </c>
      <c r="J90" s="33"/>
    </row>
    <row r="91" spans="1:10" x14ac:dyDescent="0.25">
      <c r="C91" s="28" t="s">
        <v>146</v>
      </c>
      <c r="D91" s="29"/>
      <c r="E91" s="30"/>
      <c r="F91" s="30"/>
      <c r="G91" s="31"/>
      <c r="H91" s="35">
        <v>11.75</v>
      </c>
      <c r="I91" s="35">
        <v>1.26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ht="14.25" thickBot="1" x14ac:dyDescent="0.3">
      <c r="C93" s="36" t="s">
        <v>170</v>
      </c>
      <c r="D93" s="37"/>
      <c r="E93" s="38"/>
      <c r="F93" s="39"/>
      <c r="G93" s="40"/>
      <c r="H93" s="41">
        <v>920.06</v>
      </c>
      <c r="I93" s="41">
        <f>SUMIFS(I:I,C:C,"Total")</f>
        <v>100</v>
      </c>
      <c r="J93" s="42"/>
    </row>
    <row r="96" spans="1:10" x14ac:dyDescent="0.25">
      <c r="C96" s="11" t="s">
        <v>171</v>
      </c>
    </row>
    <row r="97" spans="3:3" x14ac:dyDescent="0.25">
      <c r="C97" s="2" t="s">
        <v>172</v>
      </c>
    </row>
    <row r="98" spans="3:3" x14ac:dyDescent="0.25">
      <c r="C98" s="2" t="s">
        <v>173</v>
      </c>
    </row>
    <row r="99" spans="3:3" x14ac:dyDescent="0.25">
      <c r="C99" s="2" t="s">
        <v>174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7D6C-A6D5-40A7-9835-8D2CE1928419}">
  <dimension ref="B4:J18"/>
  <sheetViews>
    <sheetView workbookViewId="0">
      <selection activeCell="B17" sqref="B17"/>
    </sheetView>
  </sheetViews>
  <sheetFormatPr defaultRowHeight="15" x14ac:dyDescent="0.25"/>
  <cols>
    <col min="2" max="2" width="64.7109375" bestFit="1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75" x14ac:dyDescent="0.25">
      <c r="B4" s="43" t="s">
        <v>175</v>
      </c>
      <c r="C4" s="44"/>
      <c r="D4" s="45"/>
      <c r="E4" s="45"/>
      <c r="F4" s="45"/>
      <c r="G4" s="45"/>
      <c r="H4" s="45"/>
      <c r="I4" s="44"/>
      <c r="J4" s="45"/>
    </row>
    <row r="5" spans="2:10" x14ac:dyDescent="0.25">
      <c r="B5" s="46" t="s">
        <v>176</v>
      </c>
      <c r="C5" s="54" t="s">
        <v>177</v>
      </c>
      <c r="D5" s="54"/>
      <c r="E5" s="54" t="s">
        <v>178</v>
      </c>
      <c r="F5" s="54"/>
      <c r="G5" s="54" t="s">
        <v>179</v>
      </c>
      <c r="H5" s="54"/>
      <c r="I5" s="54" t="s">
        <v>180</v>
      </c>
      <c r="J5" s="54"/>
    </row>
    <row r="6" spans="2:10" ht="63.75" x14ac:dyDescent="0.25">
      <c r="B6" s="47"/>
      <c r="C6" s="48" t="s">
        <v>181</v>
      </c>
      <c r="D6" s="49" t="s">
        <v>182</v>
      </c>
      <c r="E6" s="49" t="s">
        <v>181</v>
      </c>
      <c r="F6" s="49" t="s">
        <v>182</v>
      </c>
      <c r="G6" s="49" t="s">
        <v>181</v>
      </c>
      <c r="H6" s="49" t="s">
        <v>182</v>
      </c>
      <c r="I6" s="48" t="s">
        <v>181</v>
      </c>
      <c r="J6" s="49" t="s">
        <v>182</v>
      </c>
    </row>
    <row r="7" spans="2:10" x14ac:dyDescent="0.25">
      <c r="B7" s="50" t="s">
        <v>183</v>
      </c>
      <c r="C7" s="51">
        <v>58.282664469154533</v>
      </c>
      <c r="D7" s="52">
        <v>15848.192771084337</v>
      </c>
      <c r="E7" s="52">
        <v>23.850873807081776</v>
      </c>
      <c r="F7" s="52">
        <v>19008.670520231215</v>
      </c>
      <c r="G7" s="52">
        <v>21.019774085248667</v>
      </c>
      <c r="H7" s="52">
        <v>25985.77637297511</v>
      </c>
      <c r="I7" s="51">
        <v>11.534372163785612</v>
      </c>
      <c r="J7" s="52">
        <v>65770</v>
      </c>
    </row>
    <row r="8" spans="2:10" x14ac:dyDescent="0.25">
      <c r="B8" s="50" t="s">
        <v>184</v>
      </c>
      <c r="C8" s="51">
        <v>59.979283118496873</v>
      </c>
      <c r="D8" s="52">
        <v>15997.928311849688</v>
      </c>
      <c r="E8" s="52">
        <v>27.415877795267551</v>
      </c>
      <c r="F8" s="52">
        <v>20685.720464112481</v>
      </c>
      <c r="G8" s="52">
        <v>22.670162445845765</v>
      </c>
      <c r="H8" s="52">
        <v>27777.598861700808</v>
      </c>
      <c r="I8" s="51">
        <v>8.008224111053174</v>
      </c>
      <c r="J8" s="52">
        <v>37774.52265190109</v>
      </c>
    </row>
    <row r="9" spans="2:10" x14ac:dyDescent="0.25">
      <c r="B9" s="50" t="s">
        <v>185</v>
      </c>
      <c r="C9" s="51">
        <v>22.949784121344742</v>
      </c>
      <c r="D9" s="52">
        <v>12294.978412134475</v>
      </c>
      <c r="E9" s="52">
        <v>14.435004186317201</v>
      </c>
      <c r="F9" s="52">
        <v>14985.687417269894</v>
      </c>
      <c r="G9" s="52">
        <v>14.934598718479863</v>
      </c>
      <c r="H9" s="52">
        <v>20056.443265752692</v>
      </c>
      <c r="I9" s="51">
        <v>12.590020849167804</v>
      </c>
      <c r="J9" s="52">
        <v>77353.343278610861</v>
      </c>
    </row>
    <row r="10" spans="2:10" x14ac:dyDescent="0.25">
      <c r="B10" s="50" t="s">
        <v>186</v>
      </c>
      <c r="C10" s="55">
        <v>41.5</v>
      </c>
      <c r="D10" s="56"/>
      <c r="E10" s="55">
        <v>34.6</v>
      </c>
      <c r="F10" s="56"/>
      <c r="G10" s="55">
        <v>25.31</v>
      </c>
      <c r="H10" s="56"/>
      <c r="I10" s="55">
        <v>10</v>
      </c>
      <c r="J10" s="56"/>
    </row>
    <row r="11" spans="2:10" x14ac:dyDescent="0.25">
      <c r="C11" s="53"/>
      <c r="I11" s="53"/>
    </row>
    <row r="12" spans="2:10" ht="15.75" x14ac:dyDescent="0.25">
      <c r="B12" s="43" t="s">
        <v>187</v>
      </c>
      <c r="C12" s="44"/>
      <c r="D12" s="45"/>
      <c r="E12" s="45"/>
      <c r="F12" s="45"/>
      <c r="G12" s="45"/>
      <c r="H12" s="45"/>
      <c r="I12" s="44"/>
      <c r="J12" s="45"/>
    </row>
    <row r="13" spans="2:10" x14ac:dyDescent="0.25">
      <c r="B13" s="46" t="s">
        <v>176</v>
      </c>
      <c r="C13" s="54" t="s">
        <v>177</v>
      </c>
      <c r="D13" s="54"/>
      <c r="E13" s="54" t="s">
        <v>178</v>
      </c>
      <c r="F13" s="54"/>
      <c r="G13" s="54" t="s">
        <v>179</v>
      </c>
      <c r="H13" s="54"/>
      <c r="I13" s="54" t="s">
        <v>180</v>
      </c>
      <c r="J13" s="54"/>
    </row>
    <row r="14" spans="2:10" ht="63.75" x14ac:dyDescent="0.25">
      <c r="B14" s="47"/>
      <c r="C14" s="48" t="s">
        <v>181</v>
      </c>
      <c r="D14" s="49" t="s">
        <v>182</v>
      </c>
      <c r="E14" s="49" t="s">
        <v>181</v>
      </c>
      <c r="F14" s="49" t="s">
        <v>182</v>
      </c>
      <c r="G14" s="49" t="s">
        <v>181</v>
      </c>
      <c r="H14" s="49" t="s">
        <v>182</v>
      </c>
      <c r="I14" s="48" t="s">
        <v>181</v>
      </c>
      <c r="J14" s="49" t="s">
        <v>182</v>
      </c>
    </row>
    <row r="15" spans="2:10" x14ac:dyDescent="0.25">
      <c r="B15" s="50" t="s">
        <v>183</v>
      </c>
      <c r="C15" s="51">
        <v>59.004193827755124</v>
      </c>
      <c r="D15" s="52">
        <v>15920.634920634919</v>
      </c>
      <c r="E15" s="52">
        <v>24.398141507197391</v>
      </c>
      <c r="F15" s="52">
        <v>19262.00274348422</v>
      </c>
      <c r="G15" s="52">
        <v>21.553499365666639</v>
      </c>
      <c r="H15" s="52">
        <v>26564.510026485052</v>
      </c>
      <c r="I15" s="51">
        <v>16.057407148522707</v>
      </c>
      <c r="J15" s="52">
        <v>54765.990639625583</v>
      </c>
    </row>
    <row r="16" spans="2:10" x14ac:dyDescent="0.25">
      <c r="B16" s="50" t="s">
        <v>184</v>
      </c>
      <c r="C16" s="51">
        <v>59.979283118496873</v>
      </c>
      <c r="D16" s="52">
        <v>15997.928311849688</v>
      </c>
      <c r="E16" s="52">
        <v>27.415877795267551</v>
      </c>
      <c r="F16" s="52">
        <v>20685.720464112481</v>
      </c>
      <c r="G16" s="52">
        <v>22.670162445845765</v>
      </c>
      <c r="H16" s="52">
        <v>27777.598861700808</v>
      </c>
      <c r="I16" s="51">
        <v>12.656954654193475</v>
      </c>
      <c r="J16" s="52">
        <v>38997.242704656048</v>
      </c>
    </row>
    <row r="17" spans="2:10" x14ac:dyDescent="0.25">
      <c r="B17" s="50" t="s">
        <v>185</v>
      </c>
      <c r="C17" s="51">
        <v>22.949784121344742</v>
      </c>
      <c r="D17" s="52">
        <v>12294.978412134475</v>
      </c>
      <c r="E17" s="52">
        <v>14.435004186317201</v>
      </c>
      <c r="F17" s="52">
        <v>14985.687417269894</v>
      </c>
      <c r="G17" s="52">
        <v>14.934598718479863</v>
      </c>
      <c r="H17" s="52">
        <v>20056.443265752692</v>
      </c>
      <c r="I17" s="51">
        <v>13.741588439368769</v>
      </c>
      <c r="J17" s="52">
        <v>43506.316969945707</v>
      </c>
    </row>
    <row r="18" spans="2:10" x14ac:dyDescent="0.25">
      <c r="B18" s="50" t="s">
        <v>188</v>
      </c>
      <c r="C18" s="55">
        <v>44.1</v>
      </c>
      <c r="D18" s="56"/>
      <c r="E18" s="55">
        <v>36.450000000000003</v>
      </c>
      <c r="F18" s="56"/>
      <c r="G18" s="55">
        <v>26.43</v>
      </c>
      <c r="H18" s="56"/>
      <c r="I18" s="55">
        <v>12.82</v>
      </c>
      <c r="J18" s="56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ashwini chavan</cp:lastModifiedBy>
  <dcterms:created xsi:type="dcterms:W3CDTF">2024-06-01T09:56:38Z</dcterms:created>
  <dcterms:modified xsi:type="dcterms:W3CDTF">2024-06-07T04:59:51Z</dcterms:modified>
</cp:coreProperties>
</file>