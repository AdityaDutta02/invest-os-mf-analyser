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8984" windowHeight="11604"/>
  </bookViews>
  <sheets>
    <sheet name="TBFS-Risk - o-Meter &amp; Portfolio" sheetId="3" r:id="rId1"/>
    <sheet name="TBFS - Perfromance" sheetId="11" r:id="rId2"/>
  </sheets>
  <definedNames>
    <definedName name="XDO_?AUM?">#REF!</definedName>
    <definedName name="XDO_?CLASS_3?">#REF!</definedName>
    <definedName name="XDO_?CLASS_3?1?">'TBFS-Risk - o-Meter &amp; Portfolio'!$C$8:$C$27</definedName>
    <definedName name="XDO_?CLASS_3?2?">#REF!</definedName>
    <definedName name="XDO_?CLASS_3?3?">#REF!</definedName>
    <definedName name="XDO_?CLASS_3?4?">#REF!</definedName>
    <definedName name="XDO_?CLASS_3?5?">#REF!</definedName>
    <definedName name="XDO_?CLASS_3?6?">#REF!</definedName>
    <definedName name="XDO_?CLASS_3?7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'TBFS-Risk - o-Meter &amp; Portfolio'!$D$10:$D$27</definedName>
    <definedName name="XDO_?FINAL_ISIN?10?">#REF!</definedName>
    <definedName name="XDO_?FINAL_ISIN?11?">#REF!</definedName>
    <definedName name="XDO_?FINAL_ISIN?12?">#REF!</definedName>
    <definedName name="XDO_?FINAL_ISIN?13?">#REF!</definedName>
    <definedName name="XDO_?FINAL_ISIN?14?">#REF!</definedName>
    <definedName name="XDO_?FINAL_ISIN?15?">#REF!</definedName>
    <definedName name="XDO_?FINAL_ISIN?2?">'TBFS-Risk - o-Meter &amp; Portfolio'!$D$10:$D$69</definedName>
    <definedName name="XDO_?FINAL_ISIN?3?">#REF!</definedName>
    <definedName name="XDO_?FINAL_ISIN?4?">#REF!</definedName>
    <definedName name="XDO_?FINAL_ISIN?5?">#REF!</definedName>
    <definedName name="XDO_?FINAL_ISIN?6?">#REF!</definedName>
    <definedName name="XDO_?FINAL_ISIN?7?">#REF!</definedName>
    <definedName name="XDO_?FINAL_ISIN?8?">#REF!</definedName>
    <definedName name="XDO_?FINAL_ISIN?9?">#REF!</definedName>
    <definedName name="XDO_?FINAL_MV?">#REF!</definedName>
    <definedName name="XDO_?FINAL_MV?1?">'TBFS-Risk - o-Meter &amp; Portfolio'!$H$10:$H$27</definedName>
    <definedName name="XDO_?FINAL_MV?10?">#REF!</definedName>
    <definedName name="XDO_?FINAL_MV?11?">#REF!</definedName>
    <definedName name="XDO_?FINAL_MV?12?">#REF!</definedName>
    <definedName name="XDO_?FINAL_MV?13?">#REF!</definedName>
    <definedName name="XDO_?FINAL_MV?14?">#REF!</definedName>
    <definedName name="XDO_?FINAL_MV?15?">#REF!</definedName>
    <definedName name="XDO_?FINAL_MV?2?">'TBFS-Risk - o-Meter &amp; Portfolio'!$H$10:$H$69</definedName>
    <definedName name="XDO_?FINAL_MV?3?">#REF!</definedName>
    <definedName name="XDO_?FINAL_MV?4?">#REF!</definedName>
    <definedName name="XDO_?FINAL_MV?5?">#REF!</definedName>
    <definedName name="XDO_?FINAL_MV?6?">#REF!</definedName>
    <definedName name="XDO_?FINAL_MV?7?">#REF!</definedName>
    <definedName name="XDO_?FINAL_MV?8?">#REF!</definedName>
    <definedName name="XDO_?FINAL_MV?9?">#REF!</definedName>
    <definedName name="XDO_?FINAL_NAME?">#REF!</definedName>
    <definedName name="XDO_?FINAL_NAME?1?">'TBFS-Risk - o-Meter &amp; Portfolio'!$C$10:$C$27</definedName>
    <definedName name="XDO_?FINAL_NAME?10?">#REF!</definedName>
    <definedName name="XDO_?FINAL_NAME?11?">#REF!</definedName>
    <definedName name="XDO_?FINAL_NAME?12?">#REF!</definedName>
    <definedName name="XDO_?FINAL_NAME?13?">#REF!</definedName>
    <definedName name="XDO_?FINAL_NAME?14?">#REF!</definedName>
    <definedName name="XDO_?FINAL_NAME?15?">#REF!</definedName>
    <definedName name="XDO_?FINAL_NAME?2?">'TBFS-Risk - o-Meter &amp; Portfolio'!$C$10:$C$69</definedName>
    <definedName name="XDO_?FINAL_NAME?3?">#REF!</definedName>
    <definedName name="XDO_?FINAL_NAME?4?">#REF!</definedName>
    <definedName name="XDO_?FINAL_NAME?5?">#REF!</definedName>
    <definedName name="XDO_?FINAL_NAME?6?">#REF!</definedName>
    <definedName name="XDO_?FINAL_NAME?7?">#REF!</definedName>
    <definedName name="XDO_?FINAL_NAME?8?">#REF!</definedName>
    <definedName name="XDO_?FINAL_NAME?9?">#REF!</definedName>
    <definedName name="XDO_?FINAL_PER_NET?">#REF!</definedName>
    <definedName name="XDO_?FINAL_PER_NET?1?">'TBFS-Risk - o-Meter &amp; Portfolio'!$I$10:$I$27</definedName>
    <definedName name="XDO_?FINAL_PER_NET?10?">#REF!</definedName>
    <definedName name="XDO_?FINAL_PER_NET?11?">#REF!</definedName>
    <definedName name="XDO_?FINAL_PER_NET?12?">#REF!</definedName>
    <definedName name="XDO_?FINAL_PER_NET?13?">#REF!</definedName>
    <definedName name="XDO_?FINAL_PER_NET?14?">#REF!</definedName>
    <definedName name="XDO_?FINAL_PER_NET?15?">#REF!</definedName>
    <definedName name="XDO_?FINAL_PER_NET?2?">'TBFS-Risk - o-Meter &amp; Portfolio'!$I$10:$I$69</definedName>
    <definedName name="XDO_?FINAL_PER_NET?3?">#REF!</definedName>
    <definedName name="XDO_?FINAL_PER_NET?4?">#REF!</definedName>
    <definedName name="XDO_?FINAL_PER_NET?5?">#REF!</definedName>
    <definedName name="XDO_?FINAL_PER_NET?6?">#REF!</definedName>
    <definedName name="XDO_?FINAL_PER_NET?7?">#REF!</definedName>
    <definedName name="XDO_?FINAL_PER_NET?8?">#REF!</definedName>
    <definedName name="XDO_?FINAL_PER_NET?9?">#REF!</definedName>
    <definedName name="XDO_?FINAL_QUANTITE?">#REF!</definedName>
    <definedName name="XDO_?FINAL_QUANTITE?1?">'TBFS-Risk - o-Meter &amp; Portfolio'!$G$10:$G$27</definedName>
    <definedName name="XDO_?FINAL_QUANTITE?10?">#REF!</definedName>
    <definedName name="XDO_?FINAL_QUANTITE?11?">#REF!</definedName>
    <definedName name="XDO_?FINAL_QUANTITE?12?">#REF!</definedName>
    <definedName name="XDO_?FINAL_QUANTITE?13?">#REF!</definedName>
    <definedName name="XDO_?FINAL_QUANTITE?14?">#REF!</definedName>
    <definedName name="XDO_?FINAL_QUANTITE?15?">#REF!</definedName>
    <definedName name="XDO_?FINAL_QUANTITE?2?">'TBFS-Risk - o-Meter &amp; Portfolio'!$G$10:$G$69</definedName>
    <definedName name="XDO_?FINAL_QUANTITE?3?">#REF!</definedName>
    <definedName name="XDO_?FINAL_QUANTITE?4?">#REF!</definedName>
    <definedName name="XDO_?FINAL_QUANTITE?5?">#REF!</definedName>
    <definedName name="XDO_?FINAL_QUANTITE?6?">#REF!</definedName>
    <definedName name="XDO_?FINAL_QUANTITE?7?">#REF!</definedName>
    <definedName name="XDO_?FINAL_QUANTITE?8?">#REF!</definedName>
    <definedName name="XDO_?FINAL_QUANTITE?9?">#REF!</definedName>
    <definedName name="XDO_?IND_01?">#REF!</definedName>
    <definedName name="XDO_?IND_01?1?">'TBFS-Risk - o-Meter &amp; Portfolio'!$F$10:$F$27</definedName>
    <definedName name="XDO_?IND_01?10?">#REF!</definedName>
    <definedName name="XDO_?IND_01?11?">#REF!</definedName>
    <definedName name="XDO_?IND_01?12?">#REF!</definedName>
    <definedName name="XDO_?IND_01?13?">#REF!</definedName>
    <definedName name="XDO_?IND_01?14?">#REF!</definedName>
    <definedName name="XDO_?IND_01?15?">#REF!</definedName>
    <definedName name="XDO_?IND_01?2?">'TBFS-Risk - o-Meter &amp; Portfolio'!$F$10:$F$69</definedName>
    <definedName name="XDO_?IND_01?3?">#REF!</definedName>
    <definedName name="XDO_?IND_01?4?">#REF!</definedName>
    <definedName name="XDO_?IND_01?5?">#REF!</definedName>
    <definedName name="XDO_?IND_01?6?">#REF!</definedName>
    <definedName name="XDO_?IND_01?7?">#REF!</definedName>
    <definedName name="XDO_?IND_01?8?">#REF!</definedName>
    <definedName name="XDO_?IND_01?9?">#REF!</definedName>
    <definedName name="XDO_?LONG_DESC?">#REF!</definedName>
    <definedName name="XDO_?NAMC?">#REF!</definedName>
    <definedName name="XDO_?NAMC?1?">'TBFS-Risk - o-Meter &amp; Portfolio'!#REF!</definedName>
    <definedName name="XDO_?NAMC?2?">#REF!</definedName>
    <definedName name="XDO_?NAMC?3?">#REF!</definedName>
    <definedName name="XDO_?NAMC?4?">#REF!</definedName>
    <definedName name="XDO_?NAMC?5?">#REF!</definedName>
    <definedName name="XDO_?NAMC?6?">#REF!</definedName>
    <definedName name="XDO_?NAMC?7?">#REF!</definedName>
    <definedName name="XDO_?NAMCNAME?">#REF!</definedName>
    <definedName name="XDO_?NAMCNAME?1?">'TBFS-Risk - o-Meter &amp; Portfolio'!$C$2:$C$27</definedName>
    <definedName name="XDO_?NAMCNAME?2?">#REF!</definedName>
    <definedName name="XDO_?NAMCNAME?3?">#REF!</definedName>
    <definedName name="XDO_?NAMCNAME?4?">#REF!</definedName>
    <definedName name="XDO_?NAMCNAME?5?">#REF!</definedName>
    <definedName name="XDO_?NAMCNAME?6?">#REF!</definedName>
    <definedName name="XDO_?NAMCNAME?7?">#REF!</definedName>
    <definedName name="XDO_?NDATE?">#REF!</definedName>
    <definedName name="XDO_?NDATE?1?">'TBFS-Risk - o-Meter &amp; Portfolio'!#REF!</definedName>
    <definedName name="XDO_?NDATE?2?">#REF!</definedName>
    <definedName name="XDO_?NDATE?3?">#REF!</definedName>
    <definedName name="XDO_?NDATE?4?">#REF!</definedName>
    <definedName name="XDO_?NDATE?5?">#REF!</definedName>
    <definedName name="XDO_?NDATE?6?">#REF!</definedName>
    <definedName name="XDO_?NDATE?7?">#REF!</definedName>
    <definedName name="XDO_?NNPTF?">#REF!</definedName>
    <definedName name="XDO_?NNPTF?1?">'TBFS-Risk - o-Meter &amp; Portfolio'!#REF!</definedName>
    <definedName name="XDO_?NNPTF?2?">#REF!</definedName>
    <definedName name="XDO_?NNPTF?3?">#REF!</definedName>
    <definedName name="XDO_?NNPTF?4?">#REF!</definedName>
    <definedName name="XDO_?NNPTF?5?">#REF!</definedName>
    <definedName name="XDO_?NNPTF?6?">#REF!</definedName>
    <definedName name="XDO_?NNPTF?7?">#REF!</definedName>
    <definedName name="XDO_?NOVAL?">#REF!</definedName>
    <definedName name="XDO_?NOVAL?1?">'TBFS-Risk - o-Meter &amp; Portfolio'!$B$10:$B$27</definedName>
    <definedName name="XDO_?NOVAL?10?">#REF!</definedName>
    <definedName name="XDO_?NOVAL?11?">#REF!</definedName>
    <definedName name="XDO_?NOVAL?12?">#REF!</definedName>
    <definedName name="XDO_?NOVAL?13?">#REF!</definedName>
    <definedName name="XDO_?NOVAL?14?">#REF!</definedName>
    <definedName name="XDO_?NOVAL?15?">#REF!</definedName>
    <definedName name="XDO_?NOVAL?2?">'TBFS-Risk - o-Meter &amp; Portfolio'!$B$10:$B$69</definedName>
    <definedName name="XDO_?NOVAL?3?">#REF!</definedName>
    <definedName name="XDO_?NOVAL?4?">#REF!</definedName>
    <definedName name="XDO_?NOVAL?5?">#REF!</definedName>
    <definedName name="XDO_?NOVAL?6?">#REF!</definedName>
    <definedName name="XDO_?NOVAL?7?">#REF!</definedName>
    <definedName name="XDO_?NOVAL?8?">#REF!</definedName>
    <definedName name="XDO_?NOVAL?9?">#REF!</definedName>
    <definedName name="XDO_?NPTF?">#REF!</definedName>
    <definedName name="XDO_?NPTF?1?">'TBFS-Risk - o-Meter &amp; Portfolio'!$D$2:$D$27</definedName>
    <definedName name="XDO_?NPTF?2?">#REF!</definedName>
    <definedName name="XDO_?NPTF?3?">#REF!</definedName>
    <definedName name="XDO_?NPTF?4?">#REF!</definedName>
    <definedName name="XDO_?NPTF?5?">#REF!</definedName>
    <definedName name="XDO_?NPTF?6?">#REF!</definedName>
    <definedName name="XDO_?NPTF?7?">#REF!</definedName>
    <definedName name="XDO_?RATING?">#REF!</definedName>
    <definedName name="XDO_?RATING?1?">'TBFS-Risk - o-Meter &amp; Portfolio'!$E$10:$E$27</definedName>
    <definedName name="XDO_?RATING?10?">#REF!</definedName>
    <definedName name="XDO_?RATING?11?">#REF!</definedName>
    <definedName name="XDO_?RATING?12?">#REF!</definedName>
    <definedName name="XDO_?RATING?13?">#REF!</definedName>
    <definedName name="XDO_?RATING?14?">#REF!</definedName>
    <definedName name="XDO_?RATING?15?">#REF!</definedName>
    <definedName name="XDO_?RATING?2?">'TBFS-Risk - o-Meter &amp; Portfolio'!$E$10:$E$69</definedName>
    <definedName name="XDO_?RATING?3?">#REF!</definedName>
    <definedName name="XDO_?RATING?4?">#REF!</definedName>
    <definedName name="XDO_?RATING?5?">#REF!</definedName>
    <definedName name="XDO_?RATING?6?">#REF!</definedName>
    <definedName name="XDO_?RATING?7?">#REF!</definedName>
    <definedName name="XDO_?RATING?8?">#REF!</definedName>
    <definedName name="XDO_?RATING?9?">#REF!</definedName>
    <definedName name="XDO_?REMARKS?">#REF!</definedName>
    <definedName name="XDO_?REMARKS?1?">'TBFS-Risk - o-Meter &amp; Portfolio'!$J$10:$J$27</definedName>
    <definedName name="XDO_?REMARKS?10?">#REF!</definedName>
    <definedName name="XDO_?REMARKS?11?">#REF!</definedName>
    <definedName name="XDO_?REMARKS?12?">#REF!</definedName>
    <definedName name="XDO_?REMARKS?13?">#REF!</definedName>
    <definedName name="XDO_?REMARKS?14?">#REF!</definedName>
    <definedName name="XDO_?REMARKS?15?">#REF!</definedName>
    <definedName name="XDO_?REMARKS?2?">'TBFS-Risk - o-Meter &amp; Portfolio'!$J$10:$J$69</definedName>
    <definedName name="XDO_?REMARKS?3?">#REF!</definedName>
    <definedName name="XDO_?REMARKS?4?">#REF!</definedName>
    <definedName name="XDO_?REMARKS?5?">#REF!</definedName>
    <definedName name="XDO_?REMARKS?6?">#REF!</definedName>
    <definedName name="XDO_?REMARKS?7?">#REF!</definedName>
    <definedName name="XDO_?REMARKS?8?">#REF!</definedName>
    <definedName name="XDO_?REMARKS?9?">#REF!</definedName>
    <definedName name="XDO_?TDATE?">#REF!</definedName>
    <definedName name="XDO_?TITL?">#REF!</definedName>
    <definedName name="XDO_?TITL?1?">'TBFS-Risk - o-Meter &amp; Portfolio'!$A$8:$A$27</definedName>
    <definedName name="XDO_?TITL?2?">#REF!</definedName>
    <definedName name="XDO_?TITL?3?">#REF!</definedName>
    <definedName name="XDO_?TITL?4?">#REF!</definedName>
    <definedName name="XDO_?TITL?5?">#REF!</definedName>
    <definedName name="XDO_?TITL?6?">#REF!</definedName>
    <definedName name="XDO_?TITL?7?">#REF!</definedName>
    <definedName name="XDO_GROUP_?G_2?">#REF!</definedName>
    <definedName name="XDO_GROUP_?G_2?1?">'TBFS-Risk - o-Meter &amp; Portfolio'!$2:$72</definedName>
    <definedName name="XDO_GROUP_?G_2?2?">#REF!</definedName>
    <definedName name="XDO_GROUP_?G_2?3?">#REF!</definedName>
    <definedName name="XDO_GROUP_?G_2?4?">#REF!</definedName>
    <definedName name="XDO_GROUP_?G_2?5?">#REF!</definedName>
    <definedName name="XDO_GROUP_?G_2?6?">#REF!</definedName>
    <definedName name="XDO_GROUP_?G_2?7?">#REF!</definedName>
    <definedName name="XDO_GROUP_?G_3?">#REF!</definedName>
    <definedName name="XDO_GROUP_?G_3?1?">'TBFS-Risk - o-Meter &amp; Portfolio'!$8:$71</definedName>
    <definedName name="XDO_GROUP_?G_3?2?">#REF!</definedName>
    <definedName name="XDO_GROUP_?G_3?3?">#REF!</definedName>
    <definedName name="XDO_GROUP_?G_3?4?">#REF!</definedName>
    <definedName name="XDO_GROUP_?G_3?5?">#REF!</definedName>
    <definedName name="XDO_GROUP_?G_3?6?">#REF!</definedName>
    <definedName name="XDO_GROUP_?G_3?7?">#REF!</definedName>
    <definedName name="XDO_GROUP_?G_4?">#REF!</definedName>
    <definedName name="XDO_GROUP_?G_4?1?">'TBFS-Risk - o-Meter &amp; Portfolio'!$B$10:$IV$27</definedName>
    <definedName name="XDO_GROUP_?G_4?10?">#REF!</definedName>
    <definedName name="XDO_GROUP_?G_4?11?">#REF!</definedName>
    <definedName name="XDO_GROUP_?G_4?12?">#REF!</definedName>
    <definedName name="XDO_GROUP_?G_4?13?">#REF!</definedName>
    <definedName name="XDO_GROUP_?G_4?14?">#REF!</definedName>
    <definedName name="XDO_GROUP_?G_4?15?">#REF!</definedName>
    <definedName name="XDO_GROUP_?G_4?2?">'TBFS-Risk - o-Meter &amp; Portfolio'!$B$69:$IV$69</definedName>
    <definedName name="XDO_GROUP_?G_4?3?">#REF!</definedName>
    <definedName name="XDO_GROUP_?G_4?4?">#REF!</definedName>
    <definedName name="XDO_GROUP_?G_4?5?">#REF!</definedName>
    <definedName name="XDO_GROUP_?G_4?6?">#REF!</definedName>
    <definedName name="XDO_GROUP_?G_4?7?">#REF!</definedName>
    <definedName name="XDO_GROUP_?G_4?8?">#REF!</definedName>
    <definedName name="XDO_GROUP_?G_4?9?">#REF!</definedName>
  </definedNames>
  <calcPr calcId="125725"/>
</workbook>
</file>

<file path=xl/calcChain.xml><?xml version="1.0" encoding="utf-8"?>
<calcChain xmlns="http://schemas.openxmlformats.org/spreadsheetml/2006/main">
  <c r="I72" i="3"/>
</calcChain>
</file>

<file path=xl/sharedStrings.xml><?xml version="1.0" encoding="utf-8"?>
<sst xmlns="http://schemas.openxmlformats.org/spreadsheetml/2006/main" count="183" uniqueCount="115">
  <si>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</si>
  <si>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</si>
  <si>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</si>
  <si>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</si>
  <si>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</si>
  <si>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</si>
  <si>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</si>
  <si>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</si>
  <si>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</si>
  <si>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</si>
  <si>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</si>
  <si>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</si>
  <si>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</si>
  <si>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</si>
  <si>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</si>
  <si>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</si>
  <si>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</si>
  <si>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</si>
  <si>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</si>
  <si>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</si>
  <si>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</si>
  <si>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</si>
  <si>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</si>
  <si>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TAURUS MUTUAL FUND</t>
  </si>
  <si>
    <t>SCHEME NAME :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</si>
  <si>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</si>
  <si>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</si>
  <si>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</si>
  <si>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</si>
  <si>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</si>
  <si>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</si>
  <si>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</si>
  <si>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</si>
  <si>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</si>
  <si>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</si>
  <si>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</si>
  <si>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</si>
  <si>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</si>
  <si>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</si>
  <si>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</si>
  <si>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</si>
  <si>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100001</t>
  </si>
  <si>
    <t>Housing Development Finance Corporation Ltd.</t>
  </si>
  <si>
    <t>INE001A01036</t>
  </si>
  <si>
    <t>Finance</t>
  </si>
  <si>
    <t>100010</t>
  </si>
  <si>
    <t>State Bank of India</t>
  </si>
  <si>
    <t>INE062A01020</t>
  </si>
  <si>
    <t>100104</t>
  </si>
  <si>
    <t>Kotak Mahindra Bank Ltd.</t>
  </si>
  <si>
    <t>INE237A01028</t>
  </si>
  <si>
    <t>100024</t>
  </si>
  <si>
    <t>Axis Bank Ltd.</t>
  </si>
  <si>
    <t>INE238A01034</t>
  </si>
  <si>
    <t>Capital Markets</t>
  </si>
  <si>
    <t>100036</t>
  </si>
  <si>
    <t>Mahindra &amp; Mahindra Financial Services Ltd.</t>
  </si>
  <si>
    <t>INE774D01024</t>
  </si>
  <si>
    <t>100148</t>
  </si>
  <si>
    <t>Motilal Oswal Financial Services Ltd.</t>
  </si>
  <si>
    <t>INE338I01027</t>
  </si>
  <si>
    <t>100814</t>
  </si>
  <si>
    <t>HDFC Asset Management Company Ltd.</t>
  </si>
  <si>
    <t>INE127D01025</t>
  </si>
  <si>
    <t>100013</t>
  </si>
  <si>
    <t>IndusInd Bank Ltd.</t>
  </si>
  <si>
    <t>INE095A01012</t>
  </si>
  <si>
    <t>100125</t>
  </si>
  <si>
    <t>Bajaj Finance Ltd.</t>
  </si>
  <si>
    <t>INE296A01024</t>
  </si>
  <si>
    <t>100706</t>
  </si>
  <si>
    <t>HDFC Life Insurance Company Ltd.</t>
  </si>
  <si>
    <t>INE795G01014</t>
  </si>
  <si>
    <t>Insurance</t>
  </si>
  <si>
    <t>100235</t>
  </si>
  <si>
    <t>CRISIL Ltd.</t>
  </si>
  <si>
    <t>INE007A01025</t>
  </si>
  <si>
    <t>Total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</si>
  <si>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</si>
  <si>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</si>
  <si>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</si>
  <si>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</si>
  <si>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</si>
  <si>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</si>
  <si>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TBFS</t>
  </si>
  <si>
    <t>Taurus Banking &amp; Financial Services Fund</t>
  </si>
  <si>
    <t>100399</t>
  </si>
  <si>
    <t>Cholamandalam Investment &amp; Finance Co. Ltd.</t>
  </si>
  <si>
    <t>INE121A01024</t>
  </si>
  <si>
    <t>100116</t>
  </si>
  <si>
    <t>Sundaram Finance Ltd.</t>
  </si>
  <si>
    <t>INE660A01013</t>
  </si>
  <si>
    <t>100380</t>
  </si>
  <si>
    <t>Bajaj Finserv Ltd.</t>
  </si>
  <si>
    <t>INE918I01018</t>
  </si>
  <si>
    <t>100453</t>
  </si>
  <si>
    <t>RBL Bank Ltd.</t>
  </si>
  <si>
    <t>INE976G01028</t>
  </si>
  <si>
    <t>100665</t>
  </si>
  <si>
    <t>Aditya Birla Capital Ltd.</t>
  </si>
  <si>
    <t>INE674K01013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</si>
  <si>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</si>
  <si>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</si>
  <si>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</si>
  <si>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</si>
  <si>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</si>
  <si>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</si>
  <si>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</si>
  <si>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</si>
  <si>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50 TRI (Additional Benchmark)</t>
  </si>
  <si>
    <t>Taurus Banking &amp; Financial Services Fund - Regular Plan Growth Option</t>
  </si>
  <si>
    <t>S&amp;P BSE Bankex Index TRI (Benchmark)</t>
  </si>
  <si>
    <t>NAV [Rs.] Per Unit (as on October 29, 2021 : 36.64)</t>
  </si>
  <si>
    <t>Taurus Banking &amp; Financial Services Fund - Direct Plan Growth Option</t>
  </si>
  <si>
    <t>NAV [Rs.] Per Unit (as on October 29, 2021 : 39.79)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</si>
</sst>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mmmm\ dd\,\ yyyy"/>
    <numFmt numFmtId="167" formatCode="_(\ #,##0.00_);_(\ \(#,##0.00\);_(\ \-??_);_(@_)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54">
    <xf numFmtId="0" fontId="0" fillId="0" borderId="0" xfId="0"/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0" fontId="6" fillId="0" borderId="7" xfId="0" applyFont="1" applyBorder="1"/>
    <xf numFmtId="164" fontId="6" fillId="0" borderId="8" xfId="0" applyNumberFormat="1" applyFont="1" applyBorder="1"/>
    <xf numFmtId="0" fontId="2" fillId="2" borderId="9" xfId="0" applyFont="1" applyFill="1" applyBorder="1" applyAlignment="1">
      <alignment horizontal="center"/>
    </xf>
    <xf numFmtId="165" fontId="2" fillId="2" borderId="9" xfId="2" applyNumberFormat="1" applyFont="1" applyFill="1" applyBorder="1"/>
    <xf numFmtId="164" fontId="6" fillId="0" borderId="10" xfId="0" applyNumberFormat="1" applyFont="1" applyBorder="1"/>
    <xf numFmtId="0" fontId="6" fillId="0" borderId="11" xfId="0" applyFont="1" applyBorder="1"/>
    <xf numFmtId="0" fontId="7" fillId="0" borderId="0" xfId="0" applyFont="1"/>
    <xf numFmtId="0" fontId="8" fillId="0" borderId="0" xfId="0" applyFont="1"/>
    <xf numFmtId="164" fontId="6" fillId="0" borderId="12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8" fillId="2" borderId="3" xfId="4" applyFont="1" applyFill="1" applyBorder="1"/>
    <xf numFmtId="164" fontId="8" fillId="0" borderId="0" xfId="0" applyNumberFormat="1" applyFont="1"/>
    <xf numFmtId="43" fontId="8" fillId="0" borderId="0" xfId="1" applyFont="1"/>
    <xf numFmtId="43" fontId="6" fillId="0" borderId="0" xfId="1" applyFont="1"/>
    <xf numFmtId="43" fontId="2" fillId="0" borderId="1" xfId="1" applyFont="1" applyFill="1" applyBorder="1" applyAlignment="1">
      <alignment vertical="center" wrapText="1"/>
    </xf>
    <xf numFmtId="165" fontId="8" fillId="0" borderId="0" xfId="1" applyNumberFormat="1" applyFont="1"/>
    <xf numFmtId="165" fontId="6" fillId="0" borderId="0" xfId="1" applyNumberFormat="1" applyFont="1"/>
    <xf numFmtId="165" fontId="2" fillId="0" borderId="1" xfId="1" applyNumberFormat="1" applyFont="1" applyFill="1" applyBorder="1" applyAlignment="1">
      <alignment vertical="center"/>
    </xf>
    <xf numFmtId="165" fontId="6" fillId="0" borderId="7" xfId="1" applyNumberFormat="1" applyFont="1" applyBorder="1"/>
    <xf numFmtId="165" fontId="6" fillId="0" borderId="11" xfId="1" applyNumberFormat="1" applyFont="1" applyBorder="1"/>
    <xf numFmtId="165" fontId="6" fillId="0" borderId="9" xfId="1" applyNumberFormat="1" applyFont="1" applyBorder="1"/>
    <xf numFmtId="0" fontId="9" fillId="0" borderId="0" xfId="0" applyFont="1"/>
    <xf numFmtId="166" fontId="10" fillId="0" borderId="0" xfId="0" applyNumberFormat="1" applyFont="1" applyAlignment="1">
      <alignment horizontal="left"/>
    </xf>
    <xf numFmtId="43" fontId="6" fillId="0" borderId="7" xfId="1" applyFont="1" applyBorder="1" applyAlignment="1">
      <alignment horizontal="right"/>
    </xf>
    <xf numFmtId="43" fontId="6" fillId="0" borderId="11" xfId="1" applyFont="1" applyBorder="1" applyAlignment="1">
      <alignment horizontal="right"/>
    </xf>
    <xf numFmtId="43" fontId="2" fillId="2" borderId="4" xfId="1" applyFont="1" applyFill="1" applyBorder="1" applyAlignment="1">
      <alignment horizontal="right"/>
    </xf>
    <xf numFmtId="43" fontId="5" fillId="0" borderId="5" xfId="1" applyFont="1" applyBorder="1" applyAlignment="1">
      <alignment horizontal="right"/>
    </xf>
    <xf numFmtId="0" fontId="8" fillId="2" borderId="0" xfId="4" applyFont="1" applyFill="1" applyBorder="1"/>
    <xf numFmtId="164" fontId="4" fillId="0" borderId="0" xfId="3" quotePrefix="1" applyNumberFormat="1" applyAlignment="1" applyProtection="1"/>
    <xf numFmtId="0" fontId="2" fillId="0" borderId="6" xfId="6" applyFont="1" applyFill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2" fillId="2" borderId="15" xfId="0" applyFont="1" applyFill="1" applyBorder="1"/>
    <xf numFmtId="0" fontId="2" fillId="0" borderId="16" xfId="6" applyFont="1" applyFill="1" applyBorder="1" applyAlignment="1">
      <alignment vertical="center"/>
    </xf>
    <xf numFmtId="0" fontId="6" fillId="0" borderId="17" xfId="0" applyFont="1" applyBorder="1"/>
    <xf numFmtId="0" fontId="5" fillId="0" borderId="17" xfId="0" applyFont="1" applyFill="1" applyBorder="1"/>
    <xf numFmtId="0" fontId="2" fillId="2" borderId="17" xfId="4" applyFont="1" applyFill="1" applyBorder="1"/>
    <xf numFmtId="0" fontId="5" fillId="0" borderId="17" xfId="0" applyFont="1" applyBorder="1"/>
    <xf numFmtId="0" fontId="2" fillId="2" borderId="18" xfId="0" applyFont="1" applyFill="1" applyBorder="1"/>
    <xf numFmtId="0" fontId="11" fillId="0" borderId="0" xfId="0" applyFont="1"/>
    <xf numFmtId="0" fontId="12" fillId="0" borderId="0" xfId="0" applyFont="1"/>
    <xf numFmtId="0" fontId="13" fillId="3" borderId="4" xfId="0" applyFont="1" applyFill="1" applyBorder="1"/>
    <xf numFmtId="0" fontId="13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horizontal="center" vertical="center" wrapText="1"/>
    </xf>
    <xf numFmtId="0" fontId="13" fillId="0" borderId="4" xfId="0" applyFont="1" applyBorder="1"/>
    <xf numFmtId="167" fontId="1" fillId="0" borderId="4" xfId="1" applyNumberFormat="1" applyFont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167" fontId="1" fillId="0" borderId="19" xfId="1" applyNumberFormat="1" applyFont="1" applyBorder="1" applyAlignment="1">
      <alignment horizontal="center"/>
    </xf>
    <xf numFmtId="167" fontId="1" fillId="0" borderId="20" xfId="1" applyNumberFormat="1" applyFont="1" applyBorder="1" applyAlignment="1">
      <alignment horizontal="center"/>
    </xf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2331720</xdr:rowOff>
    </xdr:from>
    <xdr:to>
      <xdr:col>5</xdr:col>
      <xdr:colOff>74022</xdr:colOff>
      <xdr:row>0</xdr:row>
      <xdr:rowOff>4672584</xdr:rowOff>
    </xdr:to>
    <xdr:pic>
      <xdr:nvPicPr>
        <xdr:cNvPr id="2" name="Picture 1" descr="for half yearly - Taurus Banking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4171" y="2331720"/>
          <a:ext cx="7040880" cy="23408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74022</xdr:colOff>
      <xdr:row>0</xdr:row>
      <xdr:rowOff>2167128</xdr:rowOff>
    </xdr:to>
    <xdr:pic>
      <xdr:nvPicPr>
        <xdr:cNvPr id="3" name="Picture 2" descr="Taurus Banking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4171" y="0"/>
          <a:ext cx="7040880" cy="21671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78"/>
  <sheetViews>
    <sheetView showGridLines="0" tabSelected="1" zoomScale="70" zoomScaleNormal="70" workbookViewId="0">
      <pane ySplit="6" topLeftCell="A7" activePane="bottomLeft" state="frozen"/>
      <selection pane="bottomLeft" activeCell="C1" sqref="C1"/>
    </sheetView>
  </sheetViews>
  <sheetFormatPr defaultColWidth="13.77734375" defaultRowHeight="13.2"/>
  <cols>
    <col min="1" max="1" width="2.5546875" style="2" customWidth="1"/>
    <col min="2" max="2" width="5.77734375" style="2" hidden="1" customWidth="1"/>
    <col min="3" max="3" width="58.21875" style="2" customWidth="1"/>
    <col min="4" max="4" width="19.5546875" style="2" customWidth="1"/>
    <col min="5" max="6" width="23.77734375" style="2" customWidth="1"/>
    <col min="7" max="7" width="19.5546875" style="21" customWidth="1"/>
    <col min="8" max="9" width="19.5546875" style="18" customWidth="1"/>
    <col min="10" max="10" width="19.5546875" style="3" customWidth="1"/>
    <col min="11" max="11" width="9" style="3" bestFit="1" customWidth="1"/>
    <col min="12" max="12" width="9.21875" style="3" bestFit="1" customWidth="1"/>
    <col min="13" max="13" width="7.44140625" style="2" bestFit="1" customWidth="1"/>
    <col min="14" max="14" width="6.77734375" style="2" bestFit="1" customWidth="1"/>
    <col min="15" max="15" width="9.77734375" style="2" bestFit="1" customWidth="1"/>
    <col min="16" max="16" width="21.21875" style="2" bestFit="1" customWidth="1"/>
    <col min="17" max="17" width="16.44140625" style="2" bestFit="1" customWidth="1"/>
    <col min="18" max="18" width="7.21875" style="2" bestFit="1" customWidth="1"/>
    <col min="19" max="19" width="9.21875" style="2" bestFit="1" customWidth="1"/>
    <col min="20" max="20" width="17.77734375" style="2" bestFit="1" customWidth="1"/>
    <col min="21" max="21" width="6.77734375" style="2" bestFit="1" customWidth="1"/>
    <col min="22" max="22" width="19.21875" style="2" bestFit="1" customWidth="1"/>
    <col min="23" max="23" width="25.21875" style="2" bestFit="1" customWidth="1"/>
    <col min="24" max="24" width="21.44140625" style="2" bestFit="1" customWidth="1"/>
    <col min="25" max="25" width="19.77734375" style="2" bestFit="1" customWidth="1"/>
    <col min="26" max="26" width="14" style="2" bestFit="1" customWidth="1"/>
    <col min="27" max="27" width="13.21875" style="2" bestFit="1" customWidth="1"/>
    <col min="28" max="28" width="9.21875" style="2" bestFit="1" customWidth="1"/>
    <col min="29" max="29" width="13.21875" style="2" bestFit="1" customWidth="1"/>
    <col min="30" max="30" width="7.44140625" style="2" bestFit="1" customWidth="1"/>
    <col min="31" max="31" width="19.44140625" style="2" bestFit="1" customWidth="1"/>
    <col min="32" max="32" width="20.77734375" style="2" bestFit="1" customWidth="1"/>
    <col min="33" max="33" width="19" style="2" bestFit="1" customWidth="1"/>
    <col min="34" max="34" width="25.77734375" style="2" bestFit="1" customWidth="1"/>
    <col min="35" max="35" width="14.5546875" style="3" bestFit="1" customWidth="1"/>
    <col min="36" max="36" width="14.44140625" style="2" bestFit="1" customWidth="1"/>
    <col min="37" max="37" width="27.21875" style="2" bestFit="1" customWidth="1"/>
    <col min="38" max="38" width="11.5546875" style="2" bestFit="1" customWidth="1"/>
    <col min="39" max="39" width="6.21875" style="2" bestFit="1" customWidth="1"/>
    <col min="40" max="40" width="7" style="2" bestFit="1" customWidth="1"/>
    <col min="41" max="41" width="23.77734375" style="2" bestFit="1" customWidth="1"/>
    <col min="42" max="42" width="12.77734375" style="2" bestFit="1" customWidth="1"/>
    <col min="43" max="43" width="11.21875" style="2" bestFit="1" customWidth="1"/>
    <col min="44" max="44" width="15.21875" style="2" bestFit="1" customWidth="1"/>
    <col min="45" max="45" width="21.21875" style="2" bestFit="1" customWidth="1"/>
    <col min="46" max="46" width="23.77734375" style="2" bestFit="1" customWidth="1"/>
    <col min="47" max="47" width="14.44140625" style="2" bestFit="1" customWidth="1"/>
    <col min="48" max="48" width="11.21875" style="3" bestFit="1" customWidth="1"/>
    <col min="49" max="49" width="15" style="2" bestFit="1" customWidth="1"/>
    <col min="50" max="50" width="11.77734375" style="3" bestFit="1" customWidth="1"/>
    <col min="51" max="51" width="23.5546875" style="2" bestFit="1" customWidth="1"/>
    <col min="52" max="52" width="22.21875" style="2" bestFit="1" customWidth="1"/>
    <col min="53" max="53" width="21" style="2" bestFit="1" customWidth="1"/>
    <col min="54" max="54" width="15.77734375" style="3" bestFit="1" customWidth="1"/>
    <col min="55" max="55" width="10.44140625" style="2" bestFit="1" customWidth="1"/>
    <col min="56" max="56" width="13.77734375" style="2" bestFit="1" customWidth="1"/>
    <col min="57" max="57" width="18" style="2" bestFit="1" customWidth="1"/>
    <col min="58" max="58" width="19.77734375" style="2" bestFit="1" customWidth="1"/>
    <col min="59" max="59" width="13.77734375" style="2" bestFit="1" customWidth="1"/>
    <col min="60" max="60" width="15.77734375" style="2" bestFit="1" customWidth="1"/>
    <col min="61" max="61" width="28.5546875" style="2" bestFit="1" customWidth="1"/>
    <col min="62" max="62" width="20.21875" style="2" bestFit="1" customWidth="1"/>
    <col min="63" max="63" width="16" style="2" bestFit="1" customWidth="1"/>
    <col min="64" max="64" width="13.77734375" style="2" bestFit="1" customWidth="1"/>
    <col min="65" max="65" width="28.21875" style="2" bestFit="1" customWidth="1"/>
    <col min="66" max="66" width="15.77734375" style="2" bestFit="1" customWidth="1"/>
    <col min="67" max="67" width="26.21875" style="2" bestFit="1" customWidth="1"/>
    <col min="68" max="68" width="13.21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1875" style="2" bestFit="1" customWidth="1"/>
    <col min="73" max="73" width="15.77734375" style="2" bestFit="1" customWidth="1"/>
    <col min="74" max="74" width="18.77734375" style="2" bestFit="1" customWidth="1"/>
    <col min="75" max="75" width="16.21875" style="2" bestFit="1" customWidth="1"/>
    <col min="76" max="76" width="23.5546875" style="2" bestFit="1" customWidth="1"/>
    <col min="77" max="77" width="23.77734375" style="2" bestFit="1" customWidth="1"/>
    <col min="78" max="78" width="22.77734375" style="2" bestFit="1" customWidth="1"/>
    <col min="79" max="80" width="11.77734375" style="2" bestFit="1" customWidth="1"/>
    <col min="81" max="82" width="15.21875" style="2" bestFit="1" customWidth="1"/>
    <col min="83" max="83" width="19.5546875" style="2" bestFit="1" customWidth="1"/>
    <col min="84" max="84" width="21.5546875" style="2" bestFit="1" customWidth="1"/>
    <col min="85" max="85" width="18.77734375" style="2" bestFit="1" customWidth="1"/>
    <col min="86" max="87" width="8.77734375" style="2" bestFit="1" customWidth="1"/>
    <col min="88" max="88" width="13.21875" style="2" bestFit="1" customWidth="1"/>
    <col min="89" max="89" width="9.5546875" style="2" bestFit="1" customWidth="1"/>
    <col min="90" max="90" width="9.77734375" style="2" bestFit="1" customWidth="1"/>
    <col min="91" max="91" width="14" style="2" bestFit="1" customWidth="1"/>
    <col min="92" max="92" width="17" style="2" bestFit="1" customWidth="1"/>
    <col min="93" max="93" width="17.21875" style="2" bestFit="1" customWidth="1"/>
    <col min="94" max="94" width="21.5546875" style="2" bestFit="1" customWidth="1"/>
    <col min="95" max="95" width="17.77734375" style="2" bestFit="1" customWidth="1"/>
    <col min="96" max="96" width="14.5546875" style="2" bestFit="1" customWidth="1"/>
    <col min="97" max="97" width="15.77734375" style="2" bestFit="1" customWidth="1"/>
    <col min="98" max="98" width="19.21875" style="2" bestFit="1" customWidth="1"/>
    <col min="99" max="99" width="12.44140625" style="2" bestFit="1" customWidth="1"/>
    <col min="100" max="101" width="14.77734375" style="2" bestFit="1" customWidth="1"/>
    <col min="102" max="102" width="14.44140625" style="2" bestFit="1" customWidth="1"/>
    <col min="103" max="103" width="23.218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77734375" style="2" bestFit="1" customWidth="1"/>
    <col min="108" max="108" width="18.5546875" style="2" bestFit="1" customWidth="1"/>
    <col min="109" max="109" width="16.21875" style="2" bestFit="1" customWidth="1"/>
    <col min="110" max="110" width="15.44140625" style="2" bestFit="1" customWidth="1"/>
    <col min="111" max="111" width="17.21875" style="2" bestFit="1" customWidth="1"/>
    <col min="112" max="112" width="17.44140625" style="2" bestFit="1" customWidth="1"/>
    <col min="113" max="113" width="21.77734375" style="2" bestFit="1" customWidth="1"/>
    <col min="114" max="114" width="17.21875" style="2" bestFit="1" customWidth="1"/>
    <col min="115" max="115" width="17.44140625" style="2" bestFit="1" customWidth="1"/>
    <col min="116" max="116" width="21.77734375" style="2" bestFit="1" customWidth="1"/>
    <col min="117" max="117" width="13.44140625" style="2" bestFit="1" customWidth="1"/>
    <col min="118" max="215" width="12" style="2" customWidth="1"/>
    <col min="216" max="216" width="17.21875" style="2" customWidth="1"/>
    <col min="217" max="16384" width="13.77734375" style="2"/>
  </cols>
  <sheetData>
    <row r="1" spans="1:54" ht="385.8" customHeight="1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7.399999999999999">
      <c r="C2" s="10" t="s">
        <v>23</v>
      </c>
      <c r="D2" s="11" t="s">
        <v>84</v>
      </c>
      <c r="J2" s="33"/>
    </row>
    <row r="3" spans="1:54" ht="15">
      <c r="C3" s="1" t="s">
        <v>24</v>
      </c>
      <c r="D3" s="26" t="s">
        <v>85</v>
      </c>
    </row>
    <row r="4" spans="1:54" ht="13.8">
      <c r="C4" s="1" t="s">
        <v>25</v>
      </c>
      <c r="D4" s="27">
        <v>44500</v>
      </c>
    </row>
    <row r="5" spans="1:54">
      <c r="C5" s="1"/>
    </row>
    <row r="6" spans="1:54" ht="26.4">
      <c r="C6" s="38" t="s">
        <v>26</v>
      </c>
      <c r="D6" s="34" t="s">
        <v>27</v>
      </c>
      <c r="E6" s="13" t="s">
        <v>28</v>
      </c>
      <c r="F6" s="13" t="s">
        <v>29</v>
      </c>
      <c r="G6" s="22" t="s">
        <v>30</v>
      </c>
      <c r="H6" s="19" t="s">
        <v>31</v>
      </c>
      <c r="I6" s="19" t="s">
        <v>32</v>
      </c>
      <c r="J6" s="14" t="s">
        <v>33</v>
      </c>
    </row>
    <row r="7" spans="1:54">
      <c r="C7" s="39"/>
      <c r="D7" s="35"/>
      <c r="E7" s="4"/>
      <c r="F7" s="4"/>
      <c r="G7" s="23"/>
      <c r="H7" s="28"/>
      <c r="I7" s="28"/>
      <c r="J7" s="5"/>
    </row>
    <row r="8" spans="1:54">
      <c r="A8" s="15"/>
      <c r="B8" s="32"/>
      <c r="C8" s="40" t="s">
        <v>0</v>
      </c>
      <c r="D8" s="36"/>
      <c r="E8" s="9"/>
      <c r="F8" s="9"/>
      <c r="G8" s="24"/>
      <c r="H8" s="29"/>
      <c r="I8" s="29"/>
      <c r="J8" s="12"/>
    </row>
    <row r="9" spans="1:54">
      <c r="C9" s="41" t="s">
        <v>1</v>
      </c>
      <c r="D9" s="36"/>
      <c r="E9" s="9"/>
      <c r="F9" s="9"/>
      <c r="G9" s="24"/>
      <c r="H9" s="29"/>
      <c r="I9" s="29"/>
      <c r="J9" s="12"/>
    </row>
    <row r="10" spans="1:54">
      <c r="B10" s="11" t="s">
        <v>34</v>
      </c>
      <c r="C10" s="39" t="s">
        <v>35</v>
      </c>
      <c r="D10" s="36" t="s">
        <v>36</v>
      </c>
      <c r="E10" s="9"/>
      <c r="F10" s="9" t="s">
        <v>37</v>
      </c>
      <c r="G10" s="24">
        <v>29657</v>
      </c>
      <c r="H10" s="29">
        <v>237.94</v>
      </c>
      <c r="I10" s="29">
        <v>24.51</v>
      </c>
      <c r="J10" s="12"/>
    </row>
    <row r="11" spans="1:54">
      <c r="B11" s="11" t="s">
        <v>38</v>
      </c>
      <c r="C11" s="39" t="s">
        <v>39</v>
      </c>
      <c r="D11" s="36" t="s">
        <v>40</v>
      </c>
      <c r="E11" s="9"/>
      <c r="F11" s="9" t="s">
        <v>37</v>
      </c>
      <c r="G11" s="24">
        <v>12464</v>
      </c>
      <c r="H11" s="29">
        <v>197.22</v>
      </c>
      <c r="I11" s="29">
        <v>20.309999999999999</v>
      </c>
      <c r="J11" s="12"/>
    </row>
    <row r="12" spans="1:54">
      <c r="B12" s="11" t="s">
        <v>48</v>
      </c>
      <c r="C12" s="39" t="s">
        <v>49</v>
      </c>
      <c r="D12" s="36" t="s">
        <v>50</v>
      </c>
      <c r="E12" s="9"/>
      <c r="F12" s="9" t="s">
        <v>37</v>
      </c>
      <c r="G12" s="24">
        <v>7317</v>
      </c>
      <c r="H12" s="29">
        <v>148.69999999999999</v>
      </c>
      <c r="I12" s="29">
        <v>15.32</v>
      </c>
      <c r="J12" s="12"/>
    </row>
    <row r="13" spans="1:54">
      <c r="B13" s="11" t="s">
        <v>45</v>
      </c>
      <c r="C13" s="39" t="s">
        <v>46</v>
      </c>
      <c r="D13" s="36" t="s">
        <v>47</v>
      </c>
      <c r="E13" s="9"/>
      <c r="F13" s="9" t="s">
        <v>37</v>
      </c>
      <c r="G13" s="24">
        <v>20087</v>
      </c>
      <c r="H13" s="29">
        <v>100.92</v>
      </c>
      <c r="I13" s="29">
        <v>10.39</v>
      </c>
      <c r="J13" s="12"/>
    </row>
    <row r="14" spans="1:54">
      <c r="B14" s="11" t="s">
        <v>41</v>
      </c>
      <c r="C14" s="39" t="s">
        <v>42</v>
      </c>
      <c r="D14" s="36" t="s">
        <v>43</v>
      </c>
      <c r="E14" s="9"/>
      <c r="F14" s="9" t="s">
        <v>44</v>
      </c>
      <c r="G14" s="24">
        <v>1614</v>
      </c>
      <c r="H14" s="29">
        <v>45.9</v>
      </c>
      <c r="I14" s="29">
        <v>4.7300000000000004</v>
      </c>
      <c r="J14" s="12"/>
    </row>
    <row r="15" spans="1:54">
      <c r="B15" s="11" t="s">
        <v>51</v>
      </c>
      <c r="C15" s="39" t="s">
        <v>52</v>
      </c>
      <c r="D15" s="36" t="s">
        <v>53</v>
      </c>
      <c r="E15" s="9"/>
      <c r="F15" s="9" t="s">
        <v>37</v>
      </c>
      <c r="G15" s="24">
        <v>5709</v>
      </c>
      <c r="H15" s="29">
        <v>42.36</v>
      </c>
      <c r="I15" s="29">
        <v>4.3600000000000003</v>
      </c>
      <c r="J15" s="12"/>
    </row>
    <row r="16" spans="1:54">
      <c r="B16" s="11" t="s">
        <v>67</v>
      </c>
      <c r="C16" s="39" t="s">
        <v>68</v>
      </c>
      <c r="D16" s="36" t="s">
        <v>69</v>
      </c>
      <c r="E16" s="9"/>
      <c r="F16" s="9" t="s">
        <v>44</v>
      </c>
      <c r="G16" s="24">
        <v>478</v>
      </c>
      <c r="H16" s="29">
        <v>35.380000000000003</v>
      </c>
      <c r="I16" s="29">
        <v>3.64</v>
      </c>
      <c r="J16" s="12"/>
    </row>
    <row r="17" spans="2:10">
      <c r="B17" s="11" t="s">
        <v>86</v>
      </c>
      <c r="C17" s="39" t="s">
        <v>87</v>
      </c>
      <c r="D17" s="36" t="s">
        <v>88</v>
      </c>
      <c r="E17" s="9"/>
      <c r="F17" s="9" t="s">
        <v>44</v>
      </c>
      <c r="G17" s="24">
        <v>4920</v>
      </c>
      <c r="H17" s="29">
        <v>30.3</v>
      </c>
      <c r="I17" s="29">
        <v>3.12</v>
      </c>
      <c r="J17" s="12"/>
    </row>
    <row r="18" spans="2:10">
      <c r="B18" s="11" t="s">
        <v>55</v>
      </c>
      <c r="C18" s="39" t="s">
        <v>56</v>
      </c>
      <c r="D18" s="36" t="s">
        <v>57</v>
      </c>
      <c r="E18" s="9"/>
      <c r="F18" s="9" t="s">
        <v>44</v>
      </c>
      <c r="G18" s="24">
        <v>9737</v>
      </c>
      <c r="H18" s="29">
        <v>17.46</v>
      </c>
      <c r="I18" s="29">
        <v>1.8</v>
      </c>
      <c r="J18" s="12"/>
    </row>
    <row r="19" spans="2:10">
      <c r="B19" s="11" t="s">
        <v>64</v>
      </c>
      <c r="C19" s="39" t="s">
        <v>65</v>
      </c>
      <c r="D19" s="36" t="s">
        <v>66</v>
      </c>
      <c r="E19" s="9"/>
      <c r="F19" s="9" t="s">
        <v>37</v>
      </c>
      <c r="G19" s="24">
        <v>1373</v>
      </c>
      <c r="H19" s="29">
        <v>15.65</v>
      </c>
      <c r="I19" s="29">
        <v>1.61</v>
      </c>
      <c r="J19" s="12"/>
    </row>
    <row r="20" spans="2:10">
      <c r="B20" s="11" t="s">
        <v>89</v>
      </c>
      <c r="C20" s="39" t="s">
        <v>90</v>
      </c>
      <c r="D20" s="36" t="s">
        <v>91</v>
      </c>
      <c r="E20" s="9"/>
      <c r="F20" s="9" t="s">
        <v>44</v>
      </c>
      <c r="G20" s="24">
        <v>518</v>
      </c>
      <c r="H20" s="29">
        <v>12.37</v>
      </c>
      <c r="I20" s="29">
        <v>1.27</v>
      </c>
      <c r="J20" s="12"/>
    </row>
    <row r="21" spans="2:10">
      <c r="B21" s="11" t="s">
        <v>58</v>
      </c>
      <c r="C21" s="39" t="s">
        <v>59</v>
      </c>
      <c r="D21" s="36" t="s">
        <v>60</v>
      </c>
      <c r="E21" s="9"/>
      <c r="F21" s="9" t="s">
        <v>54</v>
      </c>
      <c r="G21" s="24">
        <v>1267</v>
      </c>
      <c r="H21" s="29">
        <v>11.6</v>
      </c>
      <c r="I21" s="29">
        <v>1.2</v>
      </c>
      <c r="J21" s="12"/>
    </row>
    <row r="22" spans="2:10">
      <c r="B22" s="11" t="s">
        <v>92</v>
      </c>
      <c r="C22" s="39" t="s">
        <v>93</v>
      </c>
      <c r="D22" s="36" t="s">
        <v>94</v>
      </c>
      <c r="E22" s="9"/>
      <c r="F22" s="9" t="s">
        <v>73</v>
      </c>
      <c r="G22" s="24">
        <v>60</v>
      </c>
      <c r="H22" s="29">
        <v>10.7</v>
      </c>
      <c r="I22" s="29">
        <v>1.1000000000000001</v>
      </c>
      <c r="J22" s="12"/>
    </row>
    <row r="23" spans="2:10">
      <c r="B23" s="11" t="s">
        <v>95</v>
      </c>
      <c r="C23" s="39" t="s">
        <v>96</v>
      </c>
      <c r="D23" s="36" t="s">
        <v>97</v>
      </c>
      <c r="E23" s="9"/>
      <c r="F23" s="9" t="s">
        <v>37</v>
      </c>
      <c r="G23" s="24">
        <v>4263</v>
      </c>
      <c r="H23" s="29">
        <v>7.7</v>
      </c>
      <c r="I23" s="29">
        <v>0.79</v>
      </c>
      <c r="J23" s="12"/>
    </row>
    <row r="24" spans="2:10">
      <c r="B24" s="11" t="s">
        <v>74</v>
      </c>
      <c r="C24" s="39" t="s">
        <v>75</v>
      </c>
      <c r="D24" s="36" t="s">
        <v>76</v>
      </c>
      <c r="E24" s="9"/>
      <c r="F24" s="9" t="s">
        <v>44</v>
      </c>
      <c r="G24" s="24">
        <v>260</v>
      </c>
      <c r="H24" s="29">
        <v>7.29</v>
      </c>
      <c r="I24" s="29">
        <v>0.75</v>
      </c>
      <c r="J24" s="12"/>
    </row>
    <row r="25" spans="2:10">
      <c r="B25" s="11" t="s">
        <v>61</v>
      </c>
      <c r="C25" s="39" t="s">
        <v>62</v>
      </c>
      <c r="D25" s="36" t="s">
        <v>63</v>
      </c>
      <c r="E25" s="9"/>
      <c r="F25" s="9" t="s">
        <v>54</v>
      </c>
      <c r="G25" s="24">
        <v>197</v>
      </c>
      <c r="H25" s="29">
        <v>5.22</v>
      </c>
      <c r="I25" s="29">
        <v>0.54</v>
      </c>
      <c r="J25" s="12"/>
    </row>
    <row r="26" spans="2:10">
      <c r="B26" s="11" t="s">
        <v>98</v>
      </c>
      <c r="C26" s="39" t="s">
        <v>99</v>
      </c>
      <c r="D26" s="36" t="s">
        <v>100</v>
      </c>
      <c r="E26" s="9"/>
      <c r="F26" s="9" t="s">
        <v>44</v>
      </c>
      <c r="G26" s="24">
        <v>3870</v>
      </c>
      <c r="H26" s="29">
        <v>3.74</v>
      </c>
      <c r="I26" s="29">
        <v>0.39</v>
      </c>
      <c r="J26" s="12"/>
    </row>
    <row r="27" spans="2:10">
      <c r="B27" s="11" t="s">
        <v>70</v>
      </c>
      <c r="C27" s="39" t="s">
        <v>71</v>
      </c>
      <c r="D27" s="36" t="s">
        <v>72</v>
      </c>
      <c r="E27" s="9"/>
      <c r="F27" s="9" t="s">
        <v>73</v>
      </c>
      <c r="G27" s="24">
        <v>511</v>
      </c>
      <c r="H27" s="29">
        <v>3.48</v>
      </c>
      <c r="I27" s="29">
        <v>0.36</v>
      </c>
      <c r="J27" s="12"/>
    </row>
    <row r="28" spans="2:10">
      <c r="C28" s="42" t="s">
        <v>77</v>
      </c>
      <c r="D28" s="36"/>
      <c r="E28" s="9"/>
      <c r="F28" s="9"/>
      <c r="G28" s="24"/>
      <c r="H28" s="30">
        <v>933.93</v>
      </c>
      <c r="I28" s="30">
        <v>96.19</v>
      </c>
      <c r="J28" s="12"/>
    </row>
    <row r="29" spans="2:10">
      <c r="C29" s="39"/>
      <c r="D29" s="36"/>
      <c r="E29" s="9"/>
      <c r="F29" s="9"/>
      <c r="G29" s="24"/>
      <c r="H29" s="29"/>
      <c r="I29" s="29"/>
      <c r="J29" s="12"/>
    </row>
    <row r="30" spans="2:10">
      <c r="C30" s="42" t="s">
        <v>3</v>
      </c>
      <c r="D30" s="36"/>
      <c r="E30" s="9"/>
      <c r="F30" s="9"/>
      <c r="G30" s="24"/>
      <c r="H30" s="29" t="s">
        <v>2</v>
      </c>
      <c r="I30" s="29" t="s">
        <v>2</v>
      </c>
      <c r="J30" s="12"/>
    </row>
    <row r="31" spans="2:10">
      <c r="C31" s="39"/>
      <c r="D31" s="36"/>
      <c r="E31" s="9"/>
      <c r="F31" s="9"/>
      <c r="G31" s="24"/>
      <c r="H31" s="29"/>
      <c r="I31" s="29"/>
      <c r="J31" s="12"/>
    </row>
    <row r="32" spans="2:10">
      <c r="C32" s="42" t="s">
        <v>4</v>
      </c>
      <c r="D32" s="36"/>
      <c r="E32" s="9"/>
      <c r="F32" s="9"/>
      <c r="G32" s="24"/>
      <c r="H32" s="29" t="s">
        <v>2</v>
      </c>
      <c r="I32" s="29" t="s">
        <v>2</v>
      </c>
      <c r="J32" s="12"/>
    </row>
    <row r="33" spans="3:10">
      <c r="C33" s="39"/>
      <c r="D33" s="36"/>
      <c r="E33" s="9"/>
      <c r="F33" s="9"/>
      <c r="G33" s="24"/>
      <c r="H33" s="29"/>
      <c r="I33" s="29"/>
      <c r="J33" s="12"/>
    </row>
    <row r="34" spans="3:10">
      <c r="C34" s="42" t="s">
        <v>5</v>
      </c>
      <c r="D34" s="36"/>
      <c r="E34" s="9"/>
      <c r="F34" s="9"/>
      <c r="G34" s="24"/>
      <c r="H34" s="29"/>
      <c r="I34" s="29"/>
      <c r="J34" s="12"/>
    </row>
    <row r="35" spans="3:10">
      <c r="C35" s="39"/>
      <c r="D35" s="36"/>
      <c r="E35" s="9"/>
      <c r="F35" s="9"/>
      <c r="G35" s="24"/>
      <c r="H35" s="29"/>
      <c r="I35" s="29"/>
      <c r="J35" s="12"/>
    </row>
    <row r="36" spans="3:10">
      <c r="C36" s="42" t="s">
        <v>6</v>
      </c>
      <c r="D36" s="36"/>
      <c r="E36" s="9"/>
      <c r="F36" s="9"/>
      <c r="G36" s="24"/>
      <c r="H36" s="29" t="s">
        <v>2</v>
      </c>
      <c r="I36" s="29" t="s">
        <v>2</v>
      </c>
      <c r="J36" s="12"/>
    </row>
    <row r="37" spans="3:10">
      <c r="C37" s="39"/>
      <c r="D37" s="36"/>
      <c r="E37" s="9"/>
      <c r="F37" s="9"/>
      <c r="G37" s="24"/>
      <c r="H37" s="29"/>
      <c r="I37" s="29"/>
      <c r="J37" s="12"/>
    </row>
    <row r="38" spans="3:10">
      <c r="C38" s="42" t="s">
        <v>7</v>
      </c>
      <c r="D38" s="36"/>
      <c r="E38" s="9"/>
      <c r="F38" s="9"/>
      <c r="G38" s="24"/>
      <c r="H38" s="29" t="s">
        <v>2</v>
      </c>
      <c r="I38" s="29" t="s">
        <v>2</v>
      </c>
      <c r="J38" s="12"/>
    </row>
    <row r="39" spans="3:10">
      <c r="C39" s="39"/>
      <c r="D39" s="36"/>
      <c r="E39" s="9"/>
      <c r="F39" s="9"/>
      <c r="G39" s="24"/>
      <c r="H39" s="29"/>
      <c r="I39" s="29"/>
      <c r="J39" s="12"/>
    </row>
    <row r="40" spans="3:10">
      <c r="C40" s="42" t="s">
        <v>8</v>
      </c>
      <c r="D40" s="36"/>
      <c r="E40" s="9"/>
      <c r="F40" s="9"/>
      <c r="G40" s="24"/>
      <c r="H40" s="29" t="s">
        <v>2</v>
      </c>
      <c r="I40" s="29" t="s">
        <v>2</v>
      </c>
      <c r="J40" s="12"/>
    </row>
    <row r="41" spans="3:10">
      <c r="C41" s="39"/>
      <c r="D41" s="36"/>
      <c r="E41" s="9"/>
      <c r="F41" s="9"/>
      <c r="G41" s="24"/>
      <c r="H41" s="29"/>
      <c r="I41" s="29"/>
      <c r="J41" s="12"/>
    </row>
    <row r="42" spans="3:10">
      <c r="C42" s="42" t="s">
        <v>9</v>
      </c>
      <c r="D42" s="36"/>
      <c r="E42" s="9"/>
      <c r="F42" s="9"/>
      <c r="G42" s="24"/>
      <c r="H42" s="29" t="s">
        <v>2</v>
      </c>
      <c r="I42" s="29" t="s">
        <v>2</v>
      </c>
      <c r="J42" s="12"/>
    </row>
    <row r="43" spans="3:10">
      <c r="C43" s="39"/>
      <c r="D43" s="36"/>
      <c r="E43" s="9"/>
      <c r="F43" s="9"/>
      <c r="G43" s="24"/>
      <c r="H43" s="29"/>
      <c r="I43" s="29"/>
      <c r="J43" s="12"/>
    </row>
    <row r="44" spans="3:10">
      <c r="C44" s="42" t="s">
        <v>10</v>
      </c>
      <c r="D44" s="36"/>
      <c r="E44" s="9"/>
      <c r="F44" s="9"/>
      <c r="G44" s="24"/>
      <c r="H44" s="29" t="s">
        <v>2</v>
      </c>
      <c r="I44" s="29" t="s">
        <v>2</v>
      </c>
      <c r="J44" s="12"/>
    </row>
    <row r="45" spans="3:10">
      <c r="C45" s="39"/>
      <c r="D45" s="36"/>
      <c r="E45" s="9"/>
      <c r="F45" s="9"/>
      <c r="G45" s="24"/>
      <c r="H45" s="29"/>
      <c r="I45" s="29"/>
      <c r="J45" s="12"/>
    </row>
    <row r="46" spans="3:10">
      <c r="C46" s="42" t="s">
        <v>11</v>
      </c>
      <c r="D46" s="36"/>
      <c r="E46" s="9"/>
      <c r="F46" s="9"/>
      <c r="G46" s="24"/>
      <c r="H46" s="29"/>
      <c r="I46" s="29"/>
      <c r="J46" s="12"/>
    </row>
    <row r="47" spans="3:10">
      <c r="C47" s="39"/>
      <c r="D47" s="36"/>
      <c r="E47" s="9"/>
      <c r="F47" s="9"/>
      <c r="G47" s="24"/>
      <c r="H47" s="29"/>
      <c r="I47" s="29"/>
      <c r="J47" s="12"/>
    </row>
    <row r="48" spans="3:10">
      <c r="C48" s="42" t="s">
        <v>12</v>
      </c>
      <c r="D48" s="36"/>
      <c r="E48" s="9"/>
      <c r="F48" s="9"/>
      <c r="G48" s="24"/>
      <c r="H48" s="29" t="s">
        <v>2</v>
      </c>
      <c r="I48" s="29" t="s">
        <v>2</v>
      </c>
      <c r="J48" s="12"/>
    </row>
    <row r="49" spans="3:10">
      <c r="C49" s="39"/>
      <c r="D49" s="36"/>
      <c r="E49" s="9"/>
      <c r="F49" s="9"/>
      <c r="G49" s="24"/>
      <c r="H49" s="29"/>
      <c r="I49" s="29"/>
      <c r="J49" s="12"/>
    </row>
    <row r="50" spans="3:10">
      <c r="C50" s="42" t="s">
        <v>13</v>
      </c>
      <c r="D50" s="36"/>
      <c r="E50" s="9"/>
      <c r="F50" s="9"/>
      <c r="G50" s="24"/>
      <c r="H50" s="29" t="s">
        <v>2</v>
      </c>
      <c r="I50" s="29" t="s">
        <v>2</v>
      </c>
      <c r="J50" s="12"/>
    </row>
    <row r="51" spans="3:10">
      <c r="C51" s="39"/>
      <c r="D51" s="36"/>
      <c r="E51" s="9"/>
      <c r="F51" s="9"/>
      <c r="G51" s="24"/>
      <c r="H51" s="29"/>
      <c r="I51" s="29"/>
      <c r="J51" s="12"/>
    </row>
    <row r="52" spans="3:10">
      <c r="C52" s="42" t="s">
        <v>14</v>
      </c>
      <c r="D52" s="36"/>
      <c r="E52" s="9"/>
      <c r="F52" s="9"/>
      <c r="G52" s="24"/>
      <c r="H52" s="29" t="s">
        <v>2</v>
      </c>
      <c r="I52" s="29" t="s">
        <v>2</v>
      </c>
      <c r="J52" s="12"/>
    </row>
    <row r="53" spans="3:10">
      <c r="C53" s="39"/>
      <c r="D53" s="36"/>
      <c r="E53" s="9"/>
      <c r="F53" s="9"/>
      <c r="G53" s="24"/>
      <c r="H53" s="29"/>
      <c r="I53" s="29"/>
      <c r="J53" s="12"/>
    </row>
    <row r="54" spans="3:10">
      <c r="C54" s="42" t="s">
        <v>15</v>
      </c>
      <c r="D54" s="36"/>
      <c r="E54" s="9"/>
      <c r="F54" s="9"/>
      <c r="G54" s="24"/>
      <c r="H54" s="29" t="s">
        <v>2</v>
      </c>
      <c r="I54" s="29" t="s">
        <v>2</v>
      </c>
      <c r="J54" s="12"/>
    </row>
    <row r="55" spans="3:10">
      <c r="C55" s="39"/>
      <c r="D55" s="36"/>
      <c r="E55" s="9"/>
      <c r="F55" s="9"/>
      <c r="G55" s="24"/>
      <c r="H55" s="29"/>
      <c r="I55" s="29"/>
      <c r="J55" s="12"/>
    </row>
    <row r="56" spans="3:10">
      <c r="C56" s="42" t="s">
        <v>16</v>
      </c>
      <c r="D56" s="36"/>
      <c r="E56" s="9"/>
      <c r="F56" s="9"/>
      <c r="G56" s="24"/>
      <c r="H56" s="29"/>
      <c r="I56" s="29"/>
      <c r="J56" s="12"/>
    </row>
    <row r="57" spans="3:10">
      <c r="C57" s="39"/>
      <c r="D57" s="36"/>
      <c r="E57" s="9"/>
      <c r="F57" s="9"/>
      <c r="G57" s="24"/>
      <c r="H57" s="29"/>
      <c r="I57" s="29"/>
      <c r="J57" s="12"/>
    </row>
    <row r="58" spans="3:10">
      <c r="C58" s="42" t="s">
        <v>17</v>
      </c>
      <c r="D58" s="36"/>
      <c r="E58" s="9"/>
      <c r="F58" s="9"/>
      <c r="G58" s="24"/>
      <c r="H58" s="29" t="s">
        <v>2</v>
      </c>
      <c r="I58" s="29" t="s">
        <v>2</v>
      </c>
      <c r="J58" s="12"/>
    </row>
    <row r="59" spans="3:10">
      <c r="C59" s="39"/>
      <c r="D59" s="36"/>
      <c r="E59" s="9"/>
      <c r="F59" s="9"/>
      <c r="G59" s="24"/>
      <c r="H59" s="29"/>
      <c r="I59" s="29"/>
      <c r="J59" s="12"/>
    </row>
    <row r="60" spans="3:10">
      <c r="C60" s="42" t="s">
        <v>18</v>
      </c>
      <c r="D60" s="36"/>
      <c r="E60" s="9"/>
      <c r="F60" s="9"/>
      <c r="G60" s="24"/>
      <c r="H60" s="29" t="s">
        <v>2</v>
      </c>
      <c r="I60" s="29" t="s">
        <v>2</v>
      </c>
      <c r="J60" s="12"/>
    </row>
    <row r="61" spans="3:10">
      <c r="C61" s="39"/>
      <c r="D61" s="36"/>
      <c r="E61" s="9"/>
      <c r="F61" s="9"/>
      <c r="G61" s="24"/>
      <c r="H61" s="29"/>
      <c r="I61" s="29"/>
      <c r="J61" s="12"/>
    </row>
    <row r="62" spans="3:10">
      <c r="C62" s="42" t="s">
        <v>19</v>
      </c>
      <c r="D62" s="36"/>
      <c r="E62" s="9"/>
      <c r="F62" s="9"/>
      <c r="G62" s="24"/>
      <c r="H62" s="29" t="s">
        <v>2</v>
      </c>
      <c r="I62" s="29" t="s">
        <v>2</v>
      </c>
      <c r="J62" s="12"/>
    </row>
    <row r="63" spans="3:10">
      <c r="C63" s="39"/>
      <c r="D63" s="36"/>
      <c r="E63" s="9"/>
      <c r="F63" s="9"/>
      <c r="G63" s="24"/>
      <c r="H63" s="29"/>
      <c r="I63" s="29"/>
      <c r="J63" s="12"/>
    </row>
    <row r="64" spans="3:10">
      <c r="C64" s="42" t="s">
        <v>20</v>
      </c>
      <c r="D64" s="36"/>
      <c r="E64" s="9"/>
      <c r="F64" s="9"/>
      <c r="G64" s="24"/>
      <c r="H64" s="29" t="s">
        <v>2</v>
      </c>
      <c r="I64" s="29" t="s">
        <v>2</v>
      </c>
      <c r="J64" s="12"/>
    </row>
    <row r="65" spans="1:10">
      <c r="C65" s="39"/>
      <c r="D65" s="36"/>
      <c r="E65" s="9"/>
      <c r="F65" s="9"/>
      <c r="G65" s="24"/>
      <c r="H65" s="29"/>
      <c r="I65" s="29"/>
      <c r="J65" s="12"/>
    </row>
    <row r="66" spans="1:10">
      <c r="C66" s="42" t="s">
        <v>21</v>
      </c>
      <c r="D66" s="36"/>
      <c r="E66" s="9"/>
      <c r="F66" s="9"/>
      <c r="G66" s="24"/>
      <c r="H66" s="29" t="s">
        <v>2</v>
      </c>
      <c r="I66" s="29" t="s">
        <v>2</v>
      </c>
      <c r="J66" s="12"/>
    </row>
    <row r="67" spans="1:10">
      <c r="C67" s="39"/>
      <c r="D67" s="36"/>
      <c r="E67" s="9"/>
      <c r="F67" s="9"/>
      <c r="G67" s="24"/>
      <c r="H67" s="29"/>
      <c r="I67" s="29"/>
      <c r="J67" s="12"/>
    </row>
    <row r="68" spans="1:10">
      <c r="A68" s="15"/>
      <c r="B68" s="32"/>
      <c r="C68" s="40" t="s">
        <v>22</v>
      </c>
      <c r="D68" s="36"/>
      <c r="E68" s="9"/>
      <c r="F68" s="9"/>
      <c r="G68" s="24"/>
      <c r="H68" s="29"/>
      <c r="I68" s="29"/>
      <c r="J68" s="12"/>
    </row>
    <row r="69" spans="1:10">
      <c r="B69" s="11"/>
      <c r="C69" s="39" t="s">
        <v>78</v>
      </c>
      <c r="D69" s="36"/>
      <c r="E69" s="9"/>
      <c r="F69" s="9"/>
      <c r="G69" s="24"/>
      <c r="H69" s="29">
        <v>36.909999999999997</v>
      </c>
      <c r="I69" s="29">
        <v>3.8099999999999996</v>
      </c>
      <c r="J69" s="12"/>
    </row>
    <row r="70" spans="1:10">
      <c r="C70" s="42" t="s">
        <v>77</v>
      </c>
      <c r="D70" s="36"/>
      <c r="E70" s="9"/>
      <c r="F70" s="9"/>
      <c r="G70" s="24"/>
      <c r="H70" s="30">
        <v>36.909999999999997</v>
      </c>
      <c r="I70" s="30">
        <v>3.8099999999999996</v>
      </c>
      <c r="J70" s="12"/>
    </row>
    <row r="71" spans="1:10">
      <c r="C71" s="39"/>
      <c r="D71" s="36"/>
      <c r="E71" s="9"/>
      <c r="F71" s="9"/>
      <c r="G71" s="24"/>
      <c r="H71" s="29"/>
      <c r="I71" s="29"/>
      <c r="J71" s="12"/>
    </row>
    <row r="72" spans="1:10">
      <c r="C72" s="43" t="s">
        <v>79</v>
      </c>
      <c r="D72" s="37"/>
      <c r="E72" s="6"/>
      <c r="F72" s="7"/>
      <c r="G72" s="25"/>
      <c r="H72" s="31">
        <v>970.84</v>
      </c>
      <c r="I72" s="31">
        <f>SUMIFS(I:I,C:C,"Total")</f>
        <v>100</v>
      </c>
      <c r="J72" s="8"/>
    </row>
    <row r="75" spans="1:10">
      <c r="C75" s="1" t="s">
        <v>80</v>
      </c>
    </row>
    <row r="76" spans="1:10">
      <c r="C76" s="2" t="s">
        <v>81</v>
      </c>
    </row>
    <row r="77" spans="1:10">
      <c r="C77" s="2" t="s">
        <v>82</v>
      </c>
    </row>
    <row r="78" spans="1:10">
      <c r="C78" s="2" t="s">
        <v>83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5:I19"/>
  <sheetViews>
    <sheetView workbookViewId="0">
      <selection activeCell="A5" sqref="A5"/>
    </sheetView>
  </sheetViews>
  <sheetFormatPr defaultRowHeight="14.4"/>
  <cols>
    <col min="1" max="1" width="45.109375" customWidth="1"/>
    <col min="3" max="3" width="11" bestFit="1" customWidth="1"/>
    <col min="5" max="5" width="11" bestFit="1" customWidth="1"/>
    <col min="7" max="7" width="11" bestFit="1" customWidth="1"/>
    <col min="9" max="9" width="11" bestFit="1" customWidth="1"/>
  </cols>
  <sheetData>
    <row r="5" spans="1:9" ht="15.6">
      <c r="A5" s="44" t="s">
        <v>110</v>
      </c>
      <c r="B5" s="45"/>
      <c r="C5" s="45"/>
      <c r="D5" s="45"/>
      <c r="E5" s="45"/>
      <c r="F5" s="45"/>
      <c r="G5" s="45"/>
      <c r="H5" s="45"/>
      <c r="I5" s="45"/>
    </row>
    <row r="6" spans="1:9">
      <c r="A6" s="46" t="s">
        <v>101</v>
      </c>
      <c r="B6" s="51" t="s">
        <v>102</v>
      </c>
      <c r="C6" s="51"/>
      <c r="D6" s="51" t="s">
        <v>103</v>
      </c>
      <c r="E6" s="51"/>
      <c r="F6" s="51" t="s">
        <v>104</v>
      </c>
      <c r="G6" s="51"/>
      <c r="H6" s="51" t="s">
        <v>105</v>
      </c>
      <c r="I6" s="51"/>
    </row>
    <row r="7" spans="1:9" ht="66">
      <c r="A7" s="47"/>
      <c r="B7" s="48" t="s">
        <v>106</v>
      </c>
      <c r="C7" s="48" t="s">
        <v>107</v>
      </c>
      <c r="D7" s="48" t="s">
        <v>106</v>
      </c>
      <c r="E7" s="48" t="s">
        <v>107</v>
      </c>
      <c r="F7" s="48" t="s">
        <v>106</v>
      </c>
      <c r="G7" s="48" t="s">
        <v>107</v>
      </c>
      <c r="H7" s="48" t="s">
        <v>106</v>
      </c>
      <c r="I7" s="48" t="s">
        <v>107</v>
      </c>
    </row>
    <row r="8" spans="1:9">
      <c r="A8" s="49" t="s">
        <v>108</v>
      </c>
      <c r="B8" s="50">
        <v>55.451845566397971</v>
      </c>
      <c r="C8" s="50">
        <v>15545.184556639797</v>
      </c>
      <c r="D8" s="50">
        <v>18.445106987025749</v>
      </c>
      <c r="E8" s="50">
        <v>16609.247506799638</v>
      </c>
      <c r="F8" s="50">
        <v>15.361424747199571</v>
      </c>
      <c r="G8" s="50">
        <v>20423.634336677813</v>
      </c>
      <c r="H8" s="50">
        <v>14.735935740996498</v>
      </c>
      <c r="I8" s="50">
        <v>36640</v>
      </c>
    </row>
    <row r="9" spans="1:9">
      <c r="A9" s="49" t="s">
        <v>111</v>
      </c>
      <c r="B9" s="50">
        <v>62.060586003374027</v>
      </c>
      <c r="C9" s="50">
        <v>16206.058600337403</v>
      </c>
      <c r="D9" s="50">
        <v>16.613648872713259</v>
      </c>
      <c r="E9" s="50">
        <v>15857.99053371105</v>
      </c>
      <c r="F9" s="50">
        <v>15.221108407308549</v>
      </c>
      <c r="G9" s="50">
        <v>20307.67683860019</v>
      </c>
      <c r="H9" s="50">
        <v>17.320440863095634</v>
      </c>
      <c r="I9" s="50">
        <v>45201.58768023803</v>
      </c>
    </row>
    <row r="10" spans="1:9">
      <c r="A10" s="49" t="s">
        <v>109</v>
      </c>
      <c r="B10" s="50">
        <v>53.168162132920706</v>
      </c>
      <c r="C10" s="50">
        <v>15316.81621329207</v>
      </c>
      <c r="D10" s="50">
        <v>20.815324654925416</v>
      </c>
      <c r="E10" s="50">
        <v>17634.618786287971</v>
      </c>
      <c r="F10" s="50">
        <v>16.868606819192401</v>
      </c>
      <c r="G10" s="50">
        <v>21801.648551314021</v>
      </c>
      <c r="H10" s="50">
        <v>16.119331469068609</v>
      </c>
      <c r="I10" s="50">
        <v>41015.469004498438</v>
      </c>
    </row>
    <row r="11" spans="1:9">
      <c r="A11" s="49" t="s">
        <v>112</v>
      </c>
      <c r="B11" s="52">
        <v>23.57</v>
      </c>
      <c r="C11" s="53"/>
      <c r="D11" s="52">
        <v>22.06</v>
      </c>
      <c r="E11" s="53"/>
      <c r="F11" s="52">
        <v>17.940000000000001</v>
      </c>
      <c r="G11" s="53"/>
      <c r="H11" s="52">
        <v>10</v>
      </c>
      <c r="I11" s="53"/>
    </row>
    <row r="13" spans="1:9" ht="15.6">
      <c r="A13" s="44" t="s">
        <v>113</v>
      </c>
      <c r="B13" s="45"/>
      <c r="C13" s="45"/>
      <c r="D13" s="45"/>
      <c r="E13" s="45"/>
      <c r="F13" s="45"/>
      <c r="G13" s="45"/>
      <c r="H13" s="45"/>
      <c r="I13" s="45"/>
    </row>
    <row r="14" spans="1:9">
      <c r="A14" s="46" t="s">
        <v>101</v>
      </c>
      <c r="B14" s="51" t="s">
        <v>102</v>
      </c>
      <c r="C14" s="51"/>
      <c r="D14" s="51" t="s">
        <v>103</v>
      </c>
      <c r="E14" s="51"/>
      <c r="F14" s="51" t="s">
        <v>104</v>
      </c>
      <c r="G14" s="51"/>
      <c r="H14" s="51" t="s">
        <v>105</v>
      </c>
      <c r="I14" s="51"/>
    </row>
    <row r="15" spans="1:9" ht="66">
      <c r="A15" s="47"/>
      <c r="B15" s="48" t="s">
        <v>106</v>
      </c>
      <c r="C15" s="48" t="s">
        <v>107</v>
      </c>
      <c r="D15" s="48" t="s">
        <v>106</v>
      </c>
      <c r="E15" s="48" t="s">
        <v>107</v>
      </c>
      <c r="F15" s="48" t="s">
        <v>106</v>
      </c>
      <c r="G15" s="48" t="s">
        <v>107</v>
      </c>
      <c r="H15" s="48" t="s">
        <v>106</v>
      </c>
      <c r="I15" s="48" t="s">
        <v>107</v>
      </c>
    </row>
    <row r="16" spans="1:9">
      <c r="A16" s="49" t="s">
        <v>108</v>
      </c>
      <c r="B16" s="50">
        <v>56.715242221346983</v>
      </c>
      <c r="C16" s="50">
        <v>15671.524222134698</v>
      </c>
      <c r="D16" s="50">
        <v>19.360611351741163</v>
      </c>
      <c r="E16" s="50">
        <v>16997.009824861172</v>
      </c>
      <c r="F16" s="50">
        <v>16.386261105554834</v>
      </c>
      <c r="G16" s="50">
        <v>21346.566523605146</v>
      </c>
      <c r="H16" s="50">
        <v>12.880764236554466</v>
      </c>
      <c r="I16" s="50">
        <v>29150.183150183151</v>
      </c>
    </row>
    <row r="17" spans="1:9">
      <c r="A17" s="49" t="s">
        <v>111</v>
      </c>
      <c r="B17" s="50">
        <v>62.060586003374027</v>
      </c>
      <c r="C17" s="50">
        <v>16206.058600337403</v>
      </c>
      <c r="D17" s="50">
        <v>16.613648872713259</v>
      </c>
      <c r="E17" s="50">
        <v>15857.99053371105</v>
      </c>
      <c r="F17" s="50">
        <v>15.221108407308549</v>
      </c>
      <c r="G17" s="50">
        <v>20307.67683860019</v>
      </c>
      <c r="H17" s="50">
        <v>14.226382711654328</v>
      </c>
      <c r="I17" s="50">
        <v>32365.732189787825</v>
      </c>
    </row>
    <row r="18" spans="1:9">
      <c r="A18" s="49" t="s">
        <v>109</v>
      </c>
      <c r="B18" s="50">
        <v>53.168162132920706</v>
      </c>
      <c r="C18" s="50">
        <v>15316.81621329207</v>
      </c>
      <c r="D18" s="50">
        <v>20.815324654925416</v>
      </c>
      <c r="E18" s="50">
        <v>17634.618786287971</v>
      </c>
      <c r="F18" s="50">
        <v>16.868606819192401</v>
      </c>
      <c r="G18" s="50">
        <v>21801.648551314021</v>
      </c>
      <c r="H18" s="50">
        <v>14.433359454694884</v>
      </c>
      <c r="I18" s="50">
        <v>32887.27587030326</v>
      </c>
    </row>
    <row r="19" spans="1:9">
      <c r="A19" s="49" t="s">
        <v>114</v>
      </c>
      <c r="B19" s="52">
        <v>25.39</v>
      </c>
      <c r="C19" s="53"/>
      <c r="D19" s="52">
        <v>23.41</v>
      </c>
      <c r="E19" s="53"/>
      <c r="F19" s="52">
        <v>18.64</v>
      </c>
      <c r="G19" s="53"/>
      <c r="H19" s="52">
        <v>13.65</v>
      </c>
      <c r="I19" s="53"/>
    </row>
  </sheetData>
  <mergeCells count="16">
    <mergeCell ref="B6:C6"/>
    <mergeCell ref="D6:E6"/>
    <mergeCell ref="F6:G6"/>
    <mergeCell ref="H6:I6"/>
    <mergeCell ref="B11:C11"/>
    <mergeCell ref="D11:E11"/>
    <mergeCell ref="F11:G11"/>
    <mergeCell ref="H11:I11"/>
    <mergeCell ref="B14:C14"/>
    <mergeCell ref="D14:E14"/>
    <mergeCell ref="F14:G14"/>
    <mergeCell ref="H14:I14"/>
    <mergeCell ref="B19:C19"/>
    <mergeCell ref="D19:E19"/>
    <mergeCell ref="F19:G19"/>
    <mergeCell ref="H19:I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TBFS-Risk - o-Meter &amp; Portfolio</vt:lpstr>
      <vt:lpstr>TBFS - Perfromance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Acer</cp:lastModifiedBy>
  <cp:lastPrinted>2013-11-30T11:49:41Z</cp:lastPrinted>
  <dcterms:created xsi:type="dcterms:W3CDTF">2010-04-14T16:02:20Z</dcterms:created>
  <dcterms:modified xsi:type="dcterms:W3CDTF">2021-11-09T05:03:26Z</dcterms:modified>
</cp:coreProperties>
</file>