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Portfolio'!$C$8:$C$25</definedName>
    <definedName name="XDO_?FINAL_ISIN?1?">'TBFS - Risk-O-Meter &amp; Portfolio'!$D$10:$D$25</definedName>
    <definedName name="XDO_?FINAL_ISIN?2?">'TBFS - Risk-O-Meter &amp; Portfolio'!$D$10:$D$67</definedName>
    <definedName name="XDO_?FINAL_MV?1?">'TBFS - Risk-O-Meter &amp; Portfolio'!$H$10:$H$25</definedName>
    <definedName name="XDO_?FINAL_MV?2?">'TBFS - Risk-O-Meter &amp; Portfolio'!$H$10:$H$67</definedName>
    <definedName name="XDO_?FINAL_NAME?1?">'TBFS - Risk-O-Meter &amp; Portfolio'!$C$10:$C$25</definedName>
    <definedName name="XDO_?FINAL_NAME?2?">'TBFS - Risk-O-Meter &amp; Portfolio'!$C$10:$C$67</definedName>
    <definedName name="XDO_?FINAL_PER_NET?1?">'TBFS - Risk-O-Meter &amp; Portfolio'!$I$10:$I$25</definedName>
    <definedName name="XDO_?FINAL_PER_NET?2?">'TBFS - Risk-O-Meter &amp; Portfolio'!$I$10:$I$67</definedName>
    <definedName name="XDO_?FINAL_QUANTITE?1?">'TBFS - Risk-O-Meter &amp; Portfolio'!$G$10:$G$25</definedName>
    <definedName name="XDO_?FINAL_QUANTITE?2?">'TBFS - Risk-O-Meter &amp; Portfolio'!$G$10:$G$67</definedName>
    <definedName name="XDO_?IND_01?1?">'TBFS - Risk-O-Meter &amp; Portfolio'!$F$10:$F$25</definedName>
    <definedName name="XDO_?IND_01?2?">'TBFS - Risk-O-Meter &amp; Portfolio'!$F$10:$F$67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Portfolio'!$C$2:$C$25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Portfolio'!$B$10:$B$25</definedName>
    <definedName name="XDO_?NOVAL?2?">'TBFS - Risk-O-Meter &amp; Portfolio'!$B$10:$B$67</definedName>
    <definedName name="XDO_?NPTF?1?">'TBFS - Risk-O-Meter &amp; Portfolio'!$D$2:$D$25</definedName>
    <definedName name="XDO_?RATING?1?">'TBFS - Risk-O-Meter &amp; Portfolio'!$E$10:$E$25</definedName>
    <definedName name="XDO_?RATING?2?">'TBFS - Risk-O-Meter &amp; Portfolio'!$E$10:$E$67</definedName>
    <definedName name="XDO_?REMARKS?1?">'TBFS - Risk-O-Meter &amp; Portfolio'!$J$10:$J$25</definedName>
    <definedName name="XDO_?REMARKS?2?">'TBFS - Risk-O-Meter &amp; Portfolio'!$J$10:$J$67</definedName>
    <definedName name="XDO_?TITL?1?">'TBFS - Risk-O-Meter &amp; Portfolio'!$A$8:$A$25</definedName>
    <definedName name="XDO_GROUP_?G_2?1?">'TBFS - Risk-O-Meter &amp; Portfolio'!$2:$70</definedName>
    <definedName name="XDO_GROUP_?G_3?1?">'TBFS - Risk-O-Meter &amp; Portfolio'!$8:$69</definedName>
    <definedName name="XDO_GROUP_?G_4?1?">'TBFS - Risk-O-Meter &amp; Portfolio'!$B$10:$IV$25</definedName>
    <definedName name="XDO_GROUP_?G_4?2?">'TBFS - Risk-O-Meter &amp; Portfolio'!$B$67:$IV$67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/>
</calcChain>
</file>

<file path=xl/sharedStrings.xml><?xml version="1.0" encoding="utf-8"?>
<sst xmlns="http://schemas.openxmlformats.org/spreadsheetml/2006/main" count="175" uniqueCount="109">
  <si>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</si>
  <si>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</si>
  <si>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</si>
  <si>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</si>
  <si>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</si>
  <si>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</si>
  <si>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</si>
  <si>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</si>
  <si>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</si>
  <si>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</si>
  <si>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</si>
  <si>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</si>
  <si>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</si>
  <si>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</si>
  <si>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</si>
  <si>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</si>
  <si>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</si>
  <si>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</si>
  <si>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</si>
  <si>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</si>
  <si>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</si>
  <si>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</si>
  <si>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</si>
  <si>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</si>
  <si>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</si>
  <si>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</si>
  <si>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</si>
  <si>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</si>
  <si>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100001</t>
  </si>
  <si>
    <t>Housing Development Finance Corporation Ltd.</t>
  </si>
  <si>
    <t>INE001A01036</t>
  </si>
  <si>
    <t>Finance</t>
  </si>
  <si>
    <t>100125</t>
  </si>
  <si>
    <t>Bajaj Finance Ltd.</t>
  </si>
  <si>
    <t>INE296A01024</t>
  </si>
  <si>
    <t>100148</t>
  </si>
  <si>
    <t>Motilal Oswal Financial Services Ltd.</t>
  </si>
  <si>
    <t>INE338I01027</t>
  </si>
  <si>
    <t>Capital Markets</t>
  </si>
  <si>
    <t>100024</t>
  </si>
  <si>
    <t>Axis Bank Ltd.</t>
  </si>
  <si>
    <t>INE238A01034</t>
  </si>
  <si>
    <t>100235</t>
  </si>
  <si>
    <t>CRISIL Ltd.</t>
  </si>
  <si>
    <t>INE007A01025</t>
  </si>
  <si>
    <t>100399</t>
  </si>
  <si>
    <t>Cholamandalam Investment &amp; Finance Co. Ltd.</t>
  </si>
  <si>
    <t>INE121A01024</t>
  </si>
  <si>
    <t>100013</t>
  </si>
  <si>
    <t>IndusInd Bank Ltd.</t>
  </si>
  <si>
    <t>INE095A01012</t>
  </si>
  <si>
    <t>100665</t>
  </si>
  <si>
    <t>Aditya Birla Capital Ltd.</t>
  </si>
  <si>
    <t>INE674K01013</t>
  </si>
  <si>
    <t>100116</t>
  </si>
  <si>
    <t>Sundaram Finance Ltd.</t>
  </si>
  <si>
    <t>INE660A01013</t>
  </si>
  <si>
    <t>100380</t>
  </si>
  <si>
    <t>Bajaj Finserv Ltd.</t>
  </si>
  <si>
    <t>INE918I01018</t>
  </si>
  <si>
    <t>Insurance</t>
  </si>
  <si>
    <t>100036</t>
  </si>
  <si>
    <t>Mahindra &amp; Mahindra Financial Services Ltd.</t>
  </si>
  <si>
    <t>INE774D01024</t>
  </si>
  <si>
    <t>100092</t>
  </si>
  <si>
    <t>Bank of Baroda</t>
  </si>
  <si>
    <t>INE028A01039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</si>
  <si>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</si>
  <si>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</si>
  <si>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</si>
  <si>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</si>
  <si>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</si>
  <si>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</si>
  <si>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</si>
  <si>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</si>
  <si>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</si>
  <si>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</si>
  <si>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</si>
  <si>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</si>
  <si>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</si>
  <si>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</si>
  <si>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</si>
  <si>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</si>
  <si>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</si>
  <si>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</si>
  <si>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</si>
  <si>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</si>
  <si>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</si>
  <si>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</si>
  <si>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</si>
  <si>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</si>
  <si>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</si>
  <si>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</si>
  <si>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</si>
  <si>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</si>
  <si>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</si>
  <si>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</si>
  <si>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</si>
  <si>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</si>
  <si>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</si>
  <si>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</si>
  <si>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</si>
  <si>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</si>
  <si>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</si>
  <si>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</si>
  <si>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</si>
  <si>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December 31, 2021 : 33.40)</t>
  </si>
  <si>
    <t>Taurus Banking &amp; Financial Services Fund - Direct Plan Growth Option</t>
  </si>
  <si>
    <t>NAV [Rs.] Per Unit (as on December 31, 2021 : 36.32)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</si>
</sst>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72813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6"/>
  <sheetViews>
    <sheetView showGridLines="0" tabSelected="1" zoomScale="90" zoomScaleNormal="90" workbookViewId="0">
      <selection activeCell="A2" sqref="A2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7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28864</v>
      </c>
      <c r="H10" s="32">
        <v>213.67</v>
      </c>
      <c r="I10" s="32">
        <v>23.94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11773</v>
      </c>
      <c r="H11" s="32">
        <v>174.22</v>
      </c>
      <c r="I11" s="32">
        <v>19.52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7074</v>
      </c>
      <c r="H12" s="32">
        <v>127.07</v>
      </c>
      <c r="I12" s="32">
        <v>14.24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18141</v>
      </c>
      <c r="H13" s="32">
        <v>83.53</v>
      </c>
      <c r="I13" s="32">
        <v>9.36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1659</v>
      </c>
      <c r="H14" s="32">
        <v>42.92</v>
      </c>
      <c r="I14" s="32">
        <v>4.8099999999999996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31</v>
      </c>
      <c r="G15" s="31">
        <v>532</v>
      </c>
      <c r="H15" s="32">
        <v>37.119999999999997</v>
      </c>
      <c r="I15" s="32">
        <v>4.16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3854</v>
      </c>
      <c r="H16" s="32">
        <v>35.29</v>
      </c>
      <c r="I16" s="32">
        <v>3.95</v>
      </c>
      <c r="J16" s="33"/>
    </row>
    <row r="17" spans="2:10">
      <c r="B17" s="1" t="s">
        <v>39</v>
      </c>
      <c r="C17" s="20" t="s">
        <v>40</v>
      </c>
      <c r="D17" s="29" t="s">
        <v>41</v>
      </c>
      <c r="E17" s="30"/>
      <c r="F17" s="30" t="s">
        <v>18</v>
      </c>
      <c r="G17" s="31">
        <v>4884</v>
      </c>
      <c r="H17" s="32">
        <v>33.14</v>
      </c>
      <c r="I17" s="32">
        <v>3.71</v>
      </c>
      <c r="J17" s="33"/>
    </row>
    <row r="18" spans="2:10">
      <c r="B18" s="1" t="s">
        <v>42</v>
      </c>
      <c r="C18" s="20" t="s">
        <v>43</v>
      </c>
      <c r="D18" s="29" t="s">
        <v>44</v>
      </c>
      <c r="E18" s="30"/>
      <c r="F18" s="30" t="s">
        <v>31</v>
      </c>
      <c r="G18" s="31">
        <v>1140</v>
      </c>
      <c r="H18" s="32">
        <v>32.9</v>
      </c>
      <c r="I18" s="32">
        <v>3.69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31</v>
      </c>
      <c r="G19" s="31">
        <v>4920</v>
      </c>
      <c r="H19" s="32">
        <v>25.6</v>
      </c>
      <c r="I19" s="32">
        <v>2.87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1602</v>
      </c>
      <c r="H20" s="32">
        <v>14.22</v>
      </c>
      <c r="I20" s="32">
        <v>1.59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31</v>
      </c>
      <c r="G21" s="31">
        <v>11152</v>
      </c>
      <c r="H21" s="32">
        <v>13.82</v>
      </c>
      <c r="I21" s="32">
        <v>1.55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31</v>
      </c>
      <c r="G22" s="31">
        <v>518</v>
      </c>
      <c r="H22" s="32">
        <v>11.91</v>
      </c>
      <c r="I22" s="32">
        <v>1.33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60</v>
      </c>
      <c r="H23" s="32">
        <v>9.83</v>
      </c>
      <c r="I23" s="32">
        <v>1.1000000000000001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31</v>
      </c>
      <c r="G24" s="31">
        <v>6314</v>
      </c>
      <c r="H24" s="32">
        <v>9.41</v>
      </c>
      <c r="I24" s="32">
        <v>1.05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10077</v>
      </c>
      <c r="H25" s="32">
        <v>8.26</v>
      </c>
      <c r="I25" s="32">
        <v>0.93</v>
      </c>
      <c r="J25" s="33"/>
    </row>
    <row r="26" spans="2:10">
      <c r="C26" s="28" t="s">
        <v>67</v>
      </c>
      <c r="D26" s="29"/>
      <c r="E26" s="30"/>
      <c r="F26" s="30"/>
      <c r="G26" s="31"/>
      <c r="H26" s="35">
        <v>872.91</v>
      </c>
      <c r="I26" s="35">
        <v>97.8</v>
      </c>
      <c r="J26" s="33"/>
    </row>
    <row r="27" spans="2:10">
      <c r="C27" s="20"/>
      <c r="D27" s="29"/>
      <c r="E27" s="30"/>
      <c r="F27" s="30"/>
      <c r="G27" s="31"/>
      <c r="H27" s="32"/>
      <c r="I27" s="32"/>
      <c r="J27" s="33"/>
    </row>
    <row r="28" spans="2:10">
      <c r="C28" s="28" t="s">
        <v>68</v>
      </c>
      <c r="D28" s="29"/>
      <c r="E28" s="30"/>
      <c r="F28" s="30"/>
      <c r="G28" s="31"/>
      <c r="H28" s="32" t="s">
        <v>69</v>
      </c>
      <c r="I28" s="32" t="s">
        <v>69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70</v>
      </c>
      <c r="D30" s="29"/>
      <c r="E30" s="30"/>
      <c r="F30" s="30"/>
      <c r="G30" s="31"/>
      <c r="H30" s="32" t="s">
        <v>69</v>
      </c>
      <c r="I30" s="32" t="s">
        <v>69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71</v>
      </c>
      <c r="D32" s="29"/>
      <c r="E32" s="30"/>
      <c r="F32" s="30"/>
      <c r="G32" s="31"/>
      <c r="H32" s="32"/>
      <c r="I32" s="32"/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72</v>
      </c>
      <c r="D34" s="29"/>
      <c r="E34" s="30"/>
      <c r="F34" s="30"/>
      <c r="G34" s="31"/>
      <c r="H34" s="32" t="s">
        <v>69</v>
      </c>
      <c r="I34" s="32" t="s">
        <v>69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73</v>
      </c>
      <c r="D36" s="29"/>
      <c r="E36" s="30"/>
      <c r="F36" s="30"/>
      <c r="G36" s="31"/>
      <c r="H36" s="32" t="s">
        <v>69</v>
      </c>
      <c r="I36" s="32" t="s">
        <v>69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74</v>
      </c>
      <c r="D38" s="29"/>
      <c r="E38" s="30"/>
      <c r="F38" s="30"/>
      <c r="G38" s="31"/>
      <c r="H38" s="32" t="s">
        <v>69</v>
      </c>
      <c r="I38" s="32" t="s">
        <v>69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75</v>
      </c>
      <c r="D40" s="29"/>
      <c r="E40" s="30"/>
      <c r="F40" s="30"/>
      <c r="G40" s="31"/>
      <c r="H40" s="32" t="s">
        <v>69</v>
      </c>
      <c r="I40" s="32" t="s">
        <v>69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76</v>
      </c>
      <c r="D42" s="29"/>
      <c r="E42" s="30"/>
      <c r="F42" s="30"/>
      <c r="G42" s="31"/>
      <c r="H42" s="32" t="s">
        <v>69</v>
      </c>
      <c r="I42" s="32" t="s">
        <v>69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77</v>
      </c>
      <c r="D44" s="29"/>
      <c r="E44" s="30"/>
      <c r="F44" s="30"/>
      <c r="G44" s="31"/>
      <c r="H44" s="32"/>
      <c r="I44" s="32"/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78</v>
      </c>
      <c r="D46" s="29"/>
      <c r="E46" s="30"/>
      <c r="F46" s="30"/>
      <c r="G46" s="31"/>
      <c r="H46" s="32" t="s">
        <v>69</v>
      </c>
      <c r="I46" s="32" t="s">
        <v>69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79</v>
      </c>
      <c r="D48" s="29"/>
      <c r="E48" s="30"/>
      <c r="F48" s="30"/>
      <c r="G48" s="31"/>
      <c r="H48" s="32" t="s">
        <v>69</v>
      </c>
      <c r="I48" s="32" t="s">
        <v>69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80</v>
      </c>
      <c r="D50" s="29"/>
      <c r="E50" s="30"/>
      <c r="F50" s="30"/>
      <c r="G50" s="31"/>
      <c r="H50" s="32" t="s">
        <v>69</v>
      </c>
      <c r="I50" s="32" t="s">
        <v>69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81</v>
      </c>
      <c r="D52" s="29"/>
      <c r="E52" s="30"/>
      <c r="F52" s="30"/>
      <c r="G52" s="31"/>
      <c r="H52" s="32" t="s">
        <v>69</v>
      </c>
      <c r="I52" s="32" t="s">
        <v>69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82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83</v>
      </c>
      <c r="D56" s="29"/>
      <c r="E56" s="30"/>
      <c r="F56" s="30"/>
      <c r="G56" s="31"/>
      <c r="H56" s="32" t="s">
        <v>69</v>
      </c>
      <c r="I56" s="32" t="s">
        <v>69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84</v>
      </c>
      <c r="D58" s="29"/>
      <c r="E58" s="30"/>
      <c r="F58" s="30"/>
      <c r="G58" s="31"/>
      <c r="H58" s="32" t="s">
        <v>69</v>
      </c>
      <c r="I58" s="32" t="s">
        <v>69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85</v>
      </c>
      <c r="D60" s="29"/>
      <c r="E60" s="30"/>
      <c r="F60" s="30"/>
      <c r="G60" s="31"/>
      <c r="H60" s="32" t="s">
        <v>69</v>
      </c>
      <c r="I60" s="32" t="s">
        <v>69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86</v>
      </c>
      <c r="D62" s="29"/>
      <c r="E62" s="30"/>
      <c r="F62" s="30"/>
      <c r="G62" s="31"/>
      <c r="H62" s="32" t="s">
        <v>69</v>
      </c>
      <c r="I62" s="32" t="s">
        <v>69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87</v>
      </c>
      <c r="D64" s="29"/>
      <c r="E64" s="30"/>
      <c r="F64" s="30"/>
      <c r="G64" s="31"/>
      <c r="H64" s="32" t="s">
        <v>69</v>
      </c>
      <c r="I64" s="32" t="s">
        <v>69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A66" s="26"/>
      <c r="B66" s="27"/>
      <c r="C66" s="28" t="s">
        <v>88</v>
      </c>
      <c r="D66" s="29"/>
      <c r="E66" s="30"/>
      <c r="F66" s="30"/>
      <c r="G66" s="31"/>
      <c r="H66" s="32"/>
      <c r="I66" s="32"/>
      <c r="J66" s="33"/>
    </row>
    <row r="67" spans="1:10">
      <c r="B67" s="1"/>
      <c r="C67" s="20" t="s">
        <v>89</v>
      </c>
      <c r="D67" s="29"/>
      <c r="E67" s="30"/>
      <c r="F67" s="30"/>
      <c r="G67" s="31"/>
      <c r="H67" s="32">
        <v>19.559999999999999</v>
      </c>
      <c r="I67" s="32">
        <v>2.1999999999999997</v>
      </c>
      <c r="J67" s="33"/>
    </row>
    <row r="68" spans="1:10">
      <c r="C68" s="28" t="s">
        <v>67</v>
      </c>
      <c r="D68" s="29"/>
      <c r="E68" s="30"/>
      <c r="F68" s="30"/>
      <c r="G68" s="31"/>
      <c r="H68" s="35">
        <v>19.559999999999999</v>
      </c>
      <c r="I68" s="35">
        <v>2.1999999999999997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 ht="13.5" thickBot="1">
      <c r="C70" s="36" t="s">
        <v>90</v>
      </c>
      <c r="D70" s="37"/>
      <c r="E70" s="38"/>
      <c r="F70" s="39"/>
      <c r="G70" s="40"/>
      <c r="H70" s="41">
        <v>892.47</v>
      </c>
      <c r="I70" s="41">
        <f>SUMIFS(I:I,C:C,"Total")</f>
        <v>100</v>
      </c>
      <c r="J70" s="42"/>
    </row>
    <row r="73" spans="1:10">
      <c r="C73" s="11" t="s">
        <v>91</v>
      </c>
    </row>
    <row r="74" spans="1:10">
      <c r="C74" s="2" t="s">
        <v>92</v>
      </c>
    </row>
    <row r="75" spans="1:10">
      <c r="C75" s="2" t="s">
        <v>93</v>
      </c>
    </row>
    <row r="76" spans="1:10">
      <c r="C76" s="2" t="s">
        <v>94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topLeftCell="A4" workbookViewId="0">
      <selection activeCell="A4" sqref="A4"/>
    </sheetView>
  </sheetViews>
  <sheetFormatPr defaultRowHeight="15"/>
  <cols>
    <col min="1" max="1" width="53.7109375" customWidth="1"/>
    <col min="2" max="2" width="7.42578125" bestFit="1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75">
      <c r="A4" s="43" t="s">
        <v>95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96</v>
      </c>
      <c r="B5" s="50" t="s">
        <v>97</v>
      </c>
      <c r="C5" s="50"/>
      <c r="D5" s="50" t="s">
        <v>98</v>
      </c>
      <c r="E5" s="50"/>
      <c r="F5" s="50" t="s">
        <v>99</v>
      </c>
      <c r="G5" s="50"/>
      <c r="H5" s="50" t="s">
        <v>100</v>
      </c>
      <c r="I5" s="50"/>
    </row>
    <row r="6" spans="1:9" ht="63.75">
      <c r="A6" s="46"/>
      <c r="B6" s="47" t="s">
        <v>101</v>
      </c>
      <c r="C6" s="47" t="s">
        <v>102</v>
      </c>
      <c r="D6" s="47" t="s">
        <v>101</v>
      </c>
      <c r="E6" s="47" t="s">
        <v>102</v>
      </c>
      <c r="F6" s="47" t="s">
        <v>101</v>
      </c>
      <c r="G6" s="47" t="s">
        <v>102</v>
      </c>
      <c r="H6" s="47" t="s">
        <v>101</v>
      </c>
      <c r="I6" s="47" t="s">
        <v>102</v>
      </c>
    </row>
    <row r="7" spans="1:9">
      <c r="A7" s="48" t="s">
        <v>103</v>
      </c>
      <c r="B7" s="49">
        <v>11.370456818939644</v>
      </c>
      <c r="C7" s="49">
        <v>11137.045681893964</v>
      </c>
      <c r="D7" s="49">
        <v>12.277718321618458</v>
      </c>
      <c r="E7" s="49">
        <v>14158.541754980924</v>
      </c>
      <c r="F7" s="49">
        <v>15.213012345037292</v>
      </c>
      <c r="G7" s="49">
        <v>20316.301703163015</v>
      </c>
      <c r="H7" s="49">
        <v>13.356949852032173</v>
      </c>
      <c r="I7" s="49">
        <v>33400</v>
      </c>
    </row>
    <row r="8" spans="1:9">
      <c r="A8" s="48" t="s">
        <v>104</v>
      </c>
      <c r="B8" s="49">
        <v>12.970675642825924</v>
      </c>
      <c r="C8" s="49">
        <v>11297.067564282592</v>
      </c>
      <c r="D8" s="49">
        <v>10.217715855682631</v>
      </c>
      <c r="E8" s="49">
        <v>13389.187379450123</v>
      </c>
      <c r="F8" s="49">
        <v>14.627945348369419</v>
      </c>
      <c r="G8" s="49">
        <v>19790.307385515829</v>
      </c>
      <c r="H8" s="49">
        <v>15.776847614820655</v>
      </c>
      <c r="I8" s="49">
        <v>40908.575040108728</v>
      </c>
    </row>
    <row r="9" spans="1:9">
      <c r="A9" s="48" t="s">
        <v>105</v>
      </c>
      <c r="B9" s="49">
        <v>25.591042086522652</v>
      </c>
      <c r="C9" s="49">
        <v>12559.104208652265</v>
      </c>
      <c r="D9" s="49">
        <v>18.271879577811557</v>
      </c>
      <c r="E9" s="49">
        <v>16544.151409719863</v>
      </c>
      <c r="F9" s="49">
        <v>17.65105924853998</v>
      </c>
      <c r="G9" s="49">
        <v>22541.312926601455</v>
      </c>
      <c r="H9" s="49">
        <v>15.601474518529713</v>
      </c>
      <c r="I9" s="49">
        <v>40316.553708854946</v>
      </c>
    </row>
    <row r="10" spans="1:9">
      <c r="A10" s="48" t="s">
        <v>106</v>
      </c>
      <c r="B10" s="51">
        <v>29.99</v>
      </c>
      <c r="C10" s="52"/>
      <c r="D10" s="51">
        <v>23.59</v>
      </c>
      <c r="E10" s="52"/>
      <c r="F10" s="51">
        <v>16.440000000000001</v>
      </c>
      <c r="G10" s="52"/>
      <c r="H10" s="51">
        <v>10</v>
      </c>
      <c r="I10" s="52"/>
    </row>
    <row r="12" spans="1:9" ht="15.75">
      <c r="A12" s="43" t="s">
        <v>107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96</v>
      </c>
      <c r="B13" s="50" t="s">
        <v>97</v>
      </c>
      <c r="C13" s="50"/>
      <c r="D13" s="50" t="s">
        <v>98</v>
      </c>
      <c r="E13" s="50"/>
      <c r="F13" s="50" t="s">
        <v>99</v>
      </c>
      <c r="G13" s="50"/>
      <c r="H13" s="50" t="s">
        <v>100</v>
      </c>
      <c r="I13" s="50"/>
    </row>
    <row r="14" spans="1:9" ht="63.75">
      <c r="A14" s="46"/>
      <c r="B14" s="47" t="s">
        <v>101</v>
      </c>
      <c r="C14" s="47" t="s">
        <v>102</v>
      </c>
      <c r="D14" s="47" t="s">
        <v>101</v>
      </c>
      <c r="E14" s="47" t="s">
        <v>102</v>
      </c>
      <c r="F14" s="47" t="s">
        <v>101</v>
      </c>
      <c r="G14" s="47" t="s">
        <v>102</v>
      </c>
      <c r="H14" s="47" t="s">
        <v>101</v>
      </c>
      <c r="I14" s="47" t="s">
        <v>102</v>
      </c>
    </row>
    <row r="15" spans="1:9">
      <c r="A15" s="48" t="s">
        <v>103</v>
      </c>
      <c r="B15" s="49">
        <v>12.237330037082828</v>
      </c>
      <c r="C15" s="49">
        <v>11223.733003708283</v>
      </c>
      <c r="D15" s="49">
        <v>13.139660690608945</v>
      </c>
      <c r="E15" s="49">
        <v>14487.435181491823</v>
      </c>
      <c r="F15" s="49">
        <v>16.240727761414632</v>
      </c>
      <c r="G15" s="49">
        <v>21239.766081871341</v>
      </c>
      <c r="H15" s="49">
        <v>11.48317183382439</v>
      </c>
      <c r="I15" s="49">
        <v>26608.058608058607</v>
      </c>
    </row>
    <row r="16" spans="1:9">
      <c r="A16" s="48" t="s">
        <v>104</v>
      </c>
      <c r="B16" s="49">
        <v>12.970675642825924</v>
      </c>
      <c r="C16" s="49">
        <v>11297.067564282592</v>
      </c>
      <c r="D16" s="49">
        <v>10.217715855682631</v>
      </c>
      <c r="E16" s="49">
        <v>13389.187379450123</v>
      </c>
      <c r="F16" s="49">
        <v>14.627945348369419</v>
      </c>
      <c r="G16" s="49">
        <v>19790.307385515829</v>
      </c>
      <c r="H16" s="49">
        <v>12.67904172716927</v>
      </c>
      <c r="I16" s="49">
        <v>29290.739747427717</v>
      </c>
    </row>
    <row r="17" spans="1:9">
      <c r="A17" s="48" t="s">
        <v>105</v>
      </c>
      <c r="B17" s="49">
        <v>25.591042086522652</v>
      </c>
      <c r="C17" s="49">
        <v>12559.104208652265</v>
      </c>
      <c r="D17" s="49">
        <v>18.271879577811557</v>
      </c>
      <c r="E17" s="49">
        <v>16544.151409719863</v>
      </c>
      <c r="F17" s="49">
        <v>17.65105924853998</v>
      </c>
      <c r="G17" s="49">
        <v>22541.312926601455</v>
      </c>
      <c r="H17" s="49">
        <v>13.920100441628103</v>
      </c>
      <c r="I17" s="49">
        <v>32326.471443255072</v>
      </c>
    </row>
    <row r="18" spans="1:9">
      <c r="A18" s="48" t="s">
        <v>108</v>
      </c>
      <c r="B18" s="51">
        <v>32.36</v>
      </c>
      <c r="C18" s="52"/>
      <c r="D18" s="51">
        <v>25.07</v>
      </c>
      <c r="E18" s="52"/>
      <c r="F18" s="51">
        <v>17.100000000000001</v>
      </c>
      <c r="G18" s="52"/>
      <c r="H18" s="51">
        <v>13.65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2022-01-03T08:45:03Z</dcterms:created>
  <dcterms:modified xsi:type="dcterms:W3CDTF">2022-01-06T05:43:07Z</dcterms:modified>
</cp:coreProperties>
</file>