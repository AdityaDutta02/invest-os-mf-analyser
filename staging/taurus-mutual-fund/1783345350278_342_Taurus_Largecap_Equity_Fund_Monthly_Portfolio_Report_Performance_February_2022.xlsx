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Portfolio'!$C$8:$C$47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Portfolio'!$D$10:$D$89</definedName>
    <definedName name="XDO_?FINAL_MV?">'TBF-Risk-o-meter &amp; Portfolio'!$H$10:$H$89</definedName>
    <definedName name="XDO_?FINAL_NAME?">'TBF-Risk-o-meter &amp; Portfolio'!$C$10:$C$89</definedName>
    <definedName name="XDO_?FINAL_PER_NET?">'TBF-Risk-o-meter &amp; Portfolio'!$I$10:$I$89</definedName>
    <definedName name="XDO_?FINAL_QUANTITE?">'TBF-Risk-o-meter &amp; Portfolio'!$G$10:$G$89</definedName>
    <definedName name="XDO_?IND_01?">'TBF-Risk-o-meter &amp; Portfolio'!$F$10:$F$89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Portfolio'!$C$2:$C$47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Portfolio'!$B$10:$B$89</definedName>
    <definedName name="XDO_?NPTF?">'TBF-Risk-o-meter &amp; Portfolio'!$D$2:$D$47</definedName>
    <definedName name="XDO_?RATING?">'TBF-Risk-o-meter &amp; Portfolio'!$E$10:$E$89</definedName>
    <definedName name="XDO_?REMARKS?">'TBF-Risk-o-meter &amp; Portfolio'!$J$10:$J$89</definedName>
    <definedName name="XDO_?TDATE?">'TBF-Risk-o-meter &amp; Portfolio'!$D$4</definedName>
    <definedName name="XDO_?TITL?">'TBF-Risk-o-meter &amp; Portfolio'!$A$8:$A$47</definedName>
    <definedName name="XDO_GROUP_?G_2?">'TBF-Risk-o-meter &amp; Portfolio'!$2:$92</definedName>
    <definedName name="XDO_GROUP_?G_3?">'TBF-Risk-o-meter &amp; Portfolio'!$8:$91</definedName>
    <definedName name="XDO_GROUP_?G_4?">'TBF-Risk-o-meter &amp; Portfolio'!$B$89:$IV$89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<sst xmlns="http://schemas.openxmlformats.org/spreadsheetml/2006/main" count="263" uniqueCount="192">
  <si>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</si>
  <si>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</si>
  <si>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</si>
  <si>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</si>
  <si>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</si>
  <si>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</si>
  <si>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</si>
  <si>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</si>
  <si>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</si>
  <si>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</si>
  <si>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</si>
  <si>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</si>
  <si>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</si>
  <si>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</si>
  <si>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</si>
  <si>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</si>
  <si>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</si>
  <si>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</si>
  <si>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</si>
  <si>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</si>
  <si>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</si>
  <si>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</si>
  <si>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</si>
  <si>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</si>
  <si>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</si>
  <si>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</si>
  <si>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</si>
  <si>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</si>
  <si>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</si>
  <si>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</si>
  <si>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</si>
  <si>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</si>
  <si>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</si>
  <si>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</si>
  <si>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100005</t>
  </si>
  <si>
    <t>Larsen &amp; Toubro Ltd.</t>
  </si>
  <si>
    <t>INE018A01030</t>
  </si>
  <si>
    <t>Construction Project</t>
  </si>
  <si>
    <t>100108</t>
  </si>
  <si>
    <t>Adani Ports and Special Economic Zone Ltd.</t>
  </si>
  <si>
    <t>INE742F01042</t>
  </si>
  <si>
    <t>Transportation</t>
  </si>
  <si>
    <t>100010</t>
  </si>
  <si>
    <t>State Bank of India</t>
  </si>
  <si>
    <t>INE062A01020</t>
  </si>
  <si>
    <t>100104</t>
  </si>
  <si>
    <t>Kotak Mahindra Bank Ltd.</t>
  </si>
  <si>
    <t>INE237A01028</t>
  </si>
  <si>
    <t>100115</t>
  </si>
  <si>
    <t>Siemens Ltd.</t>
  </si>
  <si>
    <t>INE003A01024</t>
  </si>
  <si>
    <t>Industrial Capital Goods</t>
  </si>
  <si>
    <t>100183</t>
  </si>
  <si>
    <t>Vedanta Ltd.</t>
  </si>
  <si>
    <t>INE205A01025</t>
  </si>
  <si>
    <t>Non - Ferrous Metals</t>
  </si>
  <si>
    <t>100019</t>
  </si>
  <si>
    <t>ITC Ltd.</t>
  </si>
  <si>
    <t>INE154A01025</t>
  </si>
  <si>
    <t>Consumer Non Durables</t>
  </si>
  <si>
    <t>100125</t>
  </si>
  <si>
    <t>Bajaj Finance Ltd.</t>
  </si>
  <si>
    <t>INE296A01024</t>
  </si>
  <si>
    <t>100180</t>
  </si>
  <si>
    <t>Hindalco Industries Ltd.</t>
  </si>
  <si>
    <t>INE038A01020</t>
  </si>
  <si>
    <t>100032</t>
  </si>
  <si>
    <t>Tata Consultancy Services Ltd.</t>
  </si>
  <si>
    <t>INE467B01029</t>
  </si>
  <si>
    <t>100008</t>
  </si>
  <si>
    <t>Sun Pharmaceutical Industries Ltd.</t>
  </si>
  <si>
    <t>INE044A01036</t>
  </si>
  <si>
    <t>Pharmaceuticals</t>
  </si>
  <si>
    <t>100235</t>
  </si>
  <si>
    <t>CRISIL Ltd.</t>
  </si>
  <si>
    <t>INE007A01025</t>
  </si>
  <si>
    <t>100315</t>
  </si>
  <si>
    <t>Prestige Estates Projects Ltd.</t>
  </si>
  <si>
    <t>INE811K01011</t>
  </si>
  <si>
    <t>Construction</t>
  </si>
  <si>
    <t>101415</t>
  </si>
  <si>
    <t>HINDUSTAN OIL EXPLORATION CO.LTD.</t>
  </si>
  <si>
    <t>INE345A01011</t>
  </si>
  <si>
    <t>Oil</t>
  </si>
  <si>
    <t>100082</t>
  </si>
  <si>
    <t>Ultratech Cement Ltd.</t>
  </si>
  <si>
    <t>INE481G01011</t>
  </si>
  <si>
    <t>Cement &amp; Cement Products</t>
  </si>
  <si>
    <t>100014</t>
  </si>
  <si>
    <t>Mahindra &amp; Mahindra Ltd.</t>
  </si>
  <si>
    <t>INE101A01026</t>
  </si>
  <si>
    <t>Auto</t>
  </si>
  <si>
    <t>100106</t>
  </si>
  <si>
    <t>Maruti Suzuki India Ltd.</t>
  </si>
  <si>
    <t>INE585B01010</t>
  </si>
  <si>
    <t>100418</t>
  </si>
  <si>
    <t>Adani Enterprises Ltd.</t>
  </si>
  <si>
    <t>INE423A01024</t>
  </si>
  <si>
    <t>Minerals/Mining</t>
  </si>
  <si>
    <t>100139</t>
  </si>
  <si>
    <t>UPL Ltd.</t>
  </si>
  <si>
    <t>INE628A01036</t>
  </si>
  <si>
    <t>Pesticides</t>
  </si>
  <si>
    <t>100095</t>
  </si>
  <si>
    <t>Bharti Airtel Ltd.</t>
  </si>
  <si>
    <t>INE397D01024</t>
  </si>
  <si>
    <t>Telecom - Services</t>
  </si>
  <si>
    <t>101412</t>
  </si>
  <si>
    <t>Punjab Chemicals &amp; Crop Protection Ltd.</t>
  </si>
  <si>
    <t>INE277B01014</t>
  </si>
  <si>
    <t>100148</t>
  </si>
  <si>
    <t>Motilal Oswal Financial Services Ltd.</t>
  </si>
  <si>
    <t>INE338I01027</t>
  </si>
  <si>
    <t>Capital Markets</t>
  </si>
  <si>
    <t>100024</t>
  </si>
  <si>
    <t>Axis Bank Ltd.</t>
  </si>
  <si>
    <t>INE238A01034</t>
  </si>
  <si>
    <t>100109</t>
  </si>
  <si>
    <t>Piramal Enterprises Ltd.</t>
  </si>
  <si>
    <t>INE140A01024</t>
  </si>
  <si>
    <t>100193</t>
  </si>
  <si>
    <t>JSW Steel Ltd.</t>
  </si>
  <si>
    <t>INE019A01038</t>
  </si>
  <si>
    <t>Ferrous Metals</t>
  </si>
  <si>
    <t>100218</t>
  </si>
  <si>
    <t>Godrej Properties Ltd.</t>
  </si>
  <si>
    <t>INE484J01027</t>
  </si>
  <si>
    <t>100553</t>
  </si>
  <si>
    <t>Kennametal India Ltd.</t>
  </si>
  <si>
    <t>INE717A01029</t>
  </si>
  <si>
    <t>101348</t>
  </si>
  <si>
    <t>Ami Organics Ltd.</t>
  </si>
  <si>
    <t>INE00FF01017</t>
  </si>
  <si>
    <t>100177</t>
  </si>
  <si>
    <t>Grasim Industries Ltd.</t>
  </si>
  <si>
    <t>INE047A01021</t>
  </si>
  <si>
    <t>100119</t>
  </si>
  <si>
    <t>Tata Motors Ltd.</t>
  </si>
  <si>
    <t>INE155A01022</t>
  </si>
  <si>
    <t>100132</t>
  </si>
  <si>
    <t>Info Edge (India) Ltd.</t>
  </si>
  <si>
    <t>INE663F01024</t>
  </si>
  <si>
    <t>Retailing</t>
  </si>
  <si>
    <t>100037</t>
  </si>
  <si>
    <t>HCL Technologies Ltd.</t>
  </si>
  <si>
    <t>INE860A01027</t>
  </si>
  <si>
    <t>100435</t>
  </si>
  <si>
    <t>Crompton Greaves Consumer Electricals Ltd.</t>
  </si>
  <si>
    <t>INE299U01018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</si>
  <si>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</si>
  <si>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</si>
  <si>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</si>
  <si>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</si>
  <si>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</si>
  <si>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</si>
  <si>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</si>
  <si>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</si>
  <si>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</si>
  <si>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</si>
  <si>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</si>
  <si>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</si>
  <si>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</si>
  <si>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</si>
  <si>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</si>
  <si>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</si>
  <si>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</si>
  <si>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</si>
  <si>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</si>
  <si>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</si>
  <si>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</si>
  <si>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</si>
  <si>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</si>
  <si>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</si>
  <si>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</si>
  <si>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</si>
  <si>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</si>
  <si>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</si>
  <si>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</si>
  <si>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</si>
  <si>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</si>
  <si>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</si>
  <si>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</si>
  <si>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</si>
  <si>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</si>
  <si>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</si>
  <si>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</si>
  <si>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</si>
  <si>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</si>
  <si>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</si>
  <si>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February 28, 2022 : 97.71)</t>
  </si>
  <si>
    <t>Taurus Largecap Equity Fund - Direct Plan Growth Option</t>
  </si>
  <si>
    <t>NAV [Rs.] Per Unit (as on February 28, 2022 : 102.99)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</si>
</sst>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1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32442</v>
      </c>
      <c r="H10" s="32">
        <v>240.87</v>
      </c>
      <c r="I10" s="32">
        <v>7.59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</v>
      </c>
      <c r="H11" s="32">
        <v>202.43</v>
      </c>
      <c r="I11" s="32">
        <v>6.38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8016</v>
      </c>
      <c r="H12" s="32">
        <v>189.58</v>
      </c>
      <c r="I12" s="32">
        <v>5.97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10934</v>
      </c>
      <c r="H13" s="32">
        <v>187.77</v>
      </c>
      <c r="I13" s="32">
        <v>5.92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10215</v>
      </c>
      <c r="H14" s="32">
        <v>145.74</v>
      </c>
      <c r="I14" s="32">
        <v>4.59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7666</v>
      </c>
      <c r="H15" s="32">
        <v>139.28</v>
      </c>
      <c r="I15" s="32">
        <v>4.3899999999999997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19321</v>
      </c>
      <c r="H16" s="32">
        <v>136.72999999999999</v>
      </c>
      <c r="I16" s="32">
        <v>4.3099999999999996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26165</v>
      </c>
      <c r="H17" s="32">
        <v>126.46</v>
      </c>
      <c r="I17" s="32">
        <v>3.98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6582</v>
      </c>
      <c r="H18" s="32">
        <v>121.28</v>
      </c>
      <c r="I18" s="32">
        <v>3.82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4443</v>
      </c>
      <c r="H19" s="32">
        <v>104.32</v>
      </c>
      <c r="I19" s="32">
        <v>3.29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25467</v>
      </c>
      <c r="H20" s="32">
        <v>96.89</v>
      </c>
      <c r="I20" s="32">
        <v>3.05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36763</v>
      </c>
      <c r="H21" s="32">
        <v>79.319999999999993</v>
      </c>
      <c r="I21" s="32">
        <v>2.5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26</v>
      </c>
      <c r="G22" s="31">
        <v>1093</v>
      </c>
      <c r="H22" s="32">
        <v>76.53</v>
      </c>
      <c r="I22" s="32">
        <v>2.41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55</v>
      </c>
      <c r="G23" s="31">
        <v>13230</v>
      </c>
      <c r="H23" s="32">
        <v>75.900000000000006</v>
      </c>
      <c r="I23" s="32">
        <v>2.39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30</v>
      </c>
      <c r="G24" s="31">
        <v>2131</v>
      </c>
      <c r="H24" s="32">
        <v>75.75</v>
      </c>
      <c r="I24" s="32">
        <v>2.39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8394</v>
      </c>
      <c r="H25" s="32">
        <v>70.790000000000006</v>
      </c>
      <c r="I25" s="32">
        <v>2.23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26</v>
      </c>
      <c r="G26" s="31">
        <v>2451</v>
      </c>
      <c r="H26" s="32">
        <v>70.78</v>
      </c>
      <c r="I26" s="32">
        <v>2.23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15092</v>
      </c>
      <c r="H27" s="32">
        <v>68.5</v>
      </c>
      <c r="I27" s="32">
        <v>2.16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29138</v>
      </c>
      <c r="H28" s="32">
        <v>56.48</v>
      </c>
      <c r="I28" s="32">
        <v>1.78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815</v>
      </c>
      <c r="H29" s="32">
        <v>53.54</v>
      </c>
      <c r="I29" s="32">
        <v>1.69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6764</v>
      </c>
      <c r="H30" s="32">
        <v>53.5</v>
      </c>
      <c r="I30" s="32">
        <v>1.69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91</v>
      </c>
      <c r="G31" s="31">
        <v>640</v>
      </c>
      <c r="H31" s="32">
        <v>53.2</v>
      </c>
      <c r="I31" s="32">
        <v>1.68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3162</v>
      </c>
      <c r="H32" s="32">
        <v>51.96</v>
      </c>
      <c r="I32" s="32">
        <v>1.64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7754</v>
      </c>
      <c r="H33" s="32">
        <v>51.62</v>
      </c>
      <c r="I33" s="32">
        <v>1.63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7231</v>
      </c>
      <c r="H34" s="32">
        <v>49.62</v>
      </c>
      <c r="I34" s="32">
        <v>1.56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102</v>
      </c>
      <c r="G35" s="31">
        <v>3489</v>
      </c>
      <c r="H35" s="32">
        <v>48.57</v>
      </c>
      <c r="I35" s="32">
        <v>1.53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5078</v>
      </c>
      <c r="H36" s="32">
        <v>44.56</v>
      </c>
      <c r="I36" s="32">
        <v>1.4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18</v>
      </c>
      <c r="G37" s="31">
        <v>5657</v>
      </c>
      <c r="H37" s="32">
        <v>42.01</v>
      </c>
      <c r="I37" s="32">
        <v>1.32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26</v>
      </c>
      <c r="G38" s="31">
        <v>1963</v>
      </c>
      <c r="H38" s="32">
        <v>40.64</v>
      </c>
      <c r="I38" s="32">
        <v>1.28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6269</v>
      </c>
      <c r="H39" s="32">
        <v>39.33</v>
      </c>
      <c r="I39" s="32">
        <v>1.24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79</v>
      </c>
      <c r="G40" s="31">
        <v>2604</v>
      </c>
      <c r="H40" s="32">
        <v>39.08</v>
      </c>
      <c r="I40" s="32">
        <v>1.23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51</v>
      </c>
      <c r="G41" s="31">
        <v>1981</v>
      </c>
      <c r="H41" s="32">
        <v>38.020000000000003</v>
      </c>
      <c r="I41" s="32">
        <v>1.2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72</v>
      </c>
      <c r="G42" s="31">
        <v>4225</v>
      </c>
      <c r="H42" s="32">
        <v>36.65</v>
      </c>
      <c r="I42" s="32">
        <v>1.1499999999999999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87</v>
      </c>
      <c r="G43" s="31">
        <v>2206</v>
      </c>
      <c r="H43" s="32">
        <v>35.28</v>
      </c>
      <c r="I43" s="32">
        <v>1.1100000000000001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91</v>
      </c>
      <c r="G44" s="31">
        <v>7017</v>
      </c>
      <c r="H44" s="32">
        <v>31.87</v>
      </c>
      <c r="I44" s="32">
        <v>1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651</v>
      </c>
      <c r="H45" s="32">
        <v>28.97</v>
      </c>
      <c r="I45" s="32">
        <v>0.91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30</v>
      </c>
      <c r="G46" s="31">
        <v>2551</v>
      </c>
      <c r="H46" s="32">
        <v>28.74</v>
      </c>
      <c r="I46" s="32">
        <v>0.91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6298</v>
      </c>
      <c r="H47" s="32">
        <v>27</v>
      </c>
      <c r="I47" s="32">
        <v>0.85</v>
      </c>
      <c r="J47" s="33"/>
    </row>
    <row r="48" spans="2:10">
      <c r="C48" s="28" t="s">
        <v>150</v>
      </c>
      <c r="D48" s="29"/>
      <c r="E48" s="30"/>
      <c r="F48" s="30"/>
      <c r="G48" s="31"/>
      <c r="H48" s="35">
        <v>3059.56</v>
      </c>
      <c r="I48" s="35">
        <v>96.4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151</v>
      </c>
      <c r="D50" s="29"/>
      <c r="E50" s="30"/>
      <c r="F50" s="30"/>
      <c r="G50" s="31"/>
      <c r="H50" s="32" t="s">
        <v>152</v>
      </c>
      <c r="I50" s="32" t="s">
        <v>152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153</v>
      </c>
      <c r="D52" s="29"/>
      <c r="E52" s="30"/>
      <c r="F52" s="30"/>
      <c r="G52" s="31"/>
      <c r="H52" s="32" t="s">
        <v>152</v>
      </c>
      <c r="I52" s="32" t="s">
        <v>152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154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155</v>
      </c>
      <c r="D56" s="29"/>
      <c r="E56" s="30"/>
      <c r="F56" s="30"/>
      <c r="G56" s="31"/>
      <c r="H56" s="32" t="s">
        <v>152</v>
      </c>
      <c r="I56" s="32" t="s">
        <v>152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156</v>
      </c>
      <c r="D58" s="29"/>
      <c r="E58" s="30"/>
      <c r="F58" s="30"/>
      <c r="G58" s="31"/>
      <c r="H58" s="32" t="s">
        <v>152</v>
      </c>
      <c r="I58" s="32" t="s">
        <v>152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157</v>
      </c>
      <c r="D60" s="29"/>
      <c r="E60" s="30"/>
      <c r="F60" s="30"/>
      <c r="G60" s="31"/>
      <c r="H60" s="32" t="s">
        <v>152</v>
      </c>
      <c r="I60" s="32" t="s">
        <v>152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158</v>
      </c>
      <c r="D62" s="29"/>
      <c r="E62" s="30"/>
      <c r="F62" s="30"/>
      <c r="G62" s="31"/>
      <c r="H62" s="32" t="s">
        <v>152</v>
      </c>
      <c r="I62" s="32" t="s">
        <v>152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159</v>
      </c>
      <c r="D64" s="29"/>
      <c r="E64" s="30"/>
      <c r="F64" s="30"/>
      <c r="G64" s="31"/>
      <c r="H64" s="32" t="s">
        <v>152</v>
      </c>
      <c r="I64" s="32" t="s">
        <v>152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160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161</v>
      </c>
      <c r="D68" s="29"/>
      <c r="E68" s="30"/>
      <c r="F68" s="30"/>
      <c r="G68" s="31"/>
      <c r="H68" s="32" t="s">
        <v>152</v>
      </c>
      <c r="I68" s="32" t="s">
        <v>152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162</v>
      </c>
      <c r="D70" s="29"/>
      <c r="E70" s="30"/>
      <c r="F70" s="30"/>
      <c r="G70" s="31"/>
      <c r="H70" s="32" t="s">
        <v>152</v>
      </c>
      <c r="I70" s="32" t="s">
        <v>152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163</v>
      </c>
      <c r="D72" s="29"/>
      <c r="E72" s="30"/>
      <c r="F72" s="30"/>
      <c r="G72" s="31"/>
      <c r="H72" s="32" t="s">
        <v>152</v>
      </c>
      <c r="I72" s="32" t="s">
        <v>152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164</v>
      </c>
      <c r="D74" s="29"/>
      <c r="E74" s="30"/>
      <c r="F74" s="30"/>
      <c r="G74" s="31"/>
      <c r="H74" s="32" t="s">
        <v>152</v>
      </c>
      <c r="I74" s="32" t="s">
        <v>152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165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166</v>
      </c>
      <c r="D78" s="29"/>
      <c r="E78" s="30"/>
      <c r="F78" s="30"/>
      <c r="G78" s="31"/>
      <c r="H78" s="32" t="s">
        <v>152</v>
      </c>
      <c r="I78" s="32" t="s">
        <v>152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167</v>
      </c>
      <c r="D80" s="29"/>
      <c r="E80" s="30"/>
      <c r="F80" s="30"/>
      <c r="G80" s="31"/>
      <c r="H80" s="32" t="s">
        <v>152</v>
      </c>
      <c r="I80" s="32" t="s">
        <v>152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168</v>
      </c>
      <c r="D82" s="29"/>
      <c r="E82" s="30"/>
      <c r="F82" s="30"/>
      <c r="G82" s="31"/>
      <c r="H82" s="32" t="s">
        <v>152</v>
      </c>
      <c r="I82" s="32" t="s">
        <v>152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169</v>
      </c>
      <c r="D84" s="29"/>
      <c r="E84" s="30"/>
      <c r="F84" s="30"/>
      <c r="G84" s="31"/>
      <c r="H84" s="32" t="s">
        <v>152</v>
      </c>
      <c r="I84" s="32" t="s">
        <v>152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170</v>
      </c>
      <c r="D86" s="29"/>
      <c r="E86" s="30"/>
      <c r="F86" s="30"/>
      <c r="G86" s="31"/>
      <c r="H86" s="32" t="s">
        <v>152</v>
      </c>
      <c r="I86" s="32" t="s">
        <v>152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171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172</v>
      </c>
      <c r="D89" s="29"/>
      <c r="E89" s="30"/>
      <c r="F89" s="30"/>
      <c r="G89" s="31"/>
      <c r="H89" s="32">
        <v>114.32</v>
      </c>
      <c r="I89" s="32">
        <v>3.6</v>
      </c>
      <c r="J89" s="33"/>
    </row>
    <row r="90" spans="1:10">
      <c r="C90" s="28" t="s">
        <v>150</v>
      </c>
      <c r="D90" s="29"/>
      <c r="E90" s="30"/>
      <c r="F90" s="30"/>
      <c r="G90" s="31"/>
      <c r="H90" s="35">
        <v>114.32</v>
      </c>
      <c r="I90" s="35">
        <v>3.6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8" thickBot="1">
      <c r="C92" s="36" t="s">
        <v>173</v>
      </c>
      <c r="D92" s="37"/>
      <c r="E92" s="38"/>
      <c r="F92" s="39"/>
      <c r="G92" s="40"/>
      <c r="H92" s="41">
        <v>3173.88</v>
      </c>
      <c r="I92" s="41">
        <f>SUMIFS(I:I,C:C,"Total")</f>
        <v>100</v>
      </c>
      <c r="J92" s="42"/>
    </row>
    <row r="95" spans="1:10">
      <c r="C95" s="11" t="s">
        <v>174</v>
      </c>
    </row>
    <row r="96" spans="1:10">
      <c r="C96" s="2" t="s">
        <v>175</v>
      </c>
    </row>
    <row r="97" spans="3:3">
      <c r="C97" s="2" t="s">
        <v>176</v>
      </c>
    </row>
    <row r="98" spans="3:3">
      <c r="C98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6.6640625" customWidth="1"/>
    <col min="4" max="4" width="11" bestFit="1" customWidth="1"/>
    <col min="5" max="5" width="7.44140625" bestFit="1" customWidth="1"/>
    <col min="6" max="6" width="11" bestFit="1" customWidth="1"/>
    <col min="7" max="7" width="7.44140625" bestFit="1" customWidth="1"/>
    <col min="8" max="8" width="11" bestFit="1" customWidth="1"/>
    <col min="10" max="10" width="12" bestFit="1" customWidth="1"/>
  </cols>
  <sheetData>
    <row r="4" spans="2:10" ht="15.6">
      <c r="B4" s="43" t="s">
        <v>178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179</v>
      </c>
      <c r="C5" s="50" t="s">
        <v>180</v>
      </c>
      <c r="D5" s="50"/>
      <c r="E5" s="50" t="s">
        <v>181</v>
      </c>
      <c r="F5" s="50"/>
      <c r="G5" s="50" t="s">
        <v>182</v>
      </c>
      <c r="H5" s="50"/>
      <c r="I5" s="50" t="s">
        <v>183</v>
      </c>
      <c r="J5" s="50"/>
    </row>
    <row r="6" spans="2:10" ht="66">
      <c r="B6" s="46"/>
      <c r="C6" s="47" t="s">
        <v>184</v>
      </c>
      <c r="D6" s="47" t="s">
        <v>185</v>
      </c>
      <c r="E6" s="47" t="s">
        <v>184</v>
      </c>
      <c r="F6" s="47" t="s">
        <v>185</v>
      </c>
      <c r="G6" s="47" t="s">
        <v>184</v>
      </c>
      <c r="H6" s="47" t="s">
        <v>185</v>
      </c>
      <c r="I6" s="47" t="s">
        <v>184</v>
      </c>
      <c r="J6" s="47" t="s">
        <v>185</v>
      </c>
    </row>
    <row r="7" spans="2:10">
      <c r="B7" s="48" t="s">
        <v>186</v>
      </c>
      <c r="C7" s="49">
        <v>12.252143633532263</v>
      </c>
      <c r="D7" s="49">
        <v>11232.325554661455</v>
      </c>
      <c r="E7" s="49">
        <v>11.816302333412043</v>
      </c>
      <c r="F7" s="49">
        <v>13984.542722198366</v>
      </c>
      <c r="G7" s="49">
        <v>8.2569653519721342</v>
      </c>
      <c r="H7" s="49">
        <v>14872.146118721461</v>
      </c>
      <c r="I7" s="49">
        <v>10.306490840364058</v>
      </c>
      <c r="J7" s="49">
        <v>97710</v>
      </c>
    </row>
    <row r="8" spans="2:10">
      <c r="B8" s="48" t="s">
        <v>187</v>
      </c>
      <c r="C8" s="49">
        <v>17.067807499751851</v>
      </c>
      <c r="D8" s="49">
        <v>11706.780749975185</v>
      </c>
      <c r="E8" s="49">
        <v>17.214297633086971</v>
      </c>
      <c r="F8" s="49">
        <v>16104.296898791919</v>
      </c>
      <c r="G8" s="49">
        <v>14.623001385995282</v>
      </c>
      <c r="H8" s="49">
        <v>19786.039922849755</v>
      </c>
      <c r="I8" s="49">
        <v>12.08450592659398</v>
      </c>
      <c r="J8" s="49">
        <v>218112.67142528226</v>
      </c>
    </row>
    <row r="9" spans="2:10">
      <c r="B9" s="48" t="s">
        <v>188</v>
      </c>
      <c r="C9" s="49">
        <v>16.89271885634238</v>
      </c>
      <c r="D9" s="49">
        <v>11689.271885634238</v>
      </c>
      <c r="E9" s="49">
        <v>17.245435203917879</v>
      </c>
      <c r="F9" s="49">
        <v>16117.134459961315</v>
      </c>
      <c r="G9" s="49">
        <v>15.025443505265002</v>
      </c>
      <c r="H9" s="49">
        <v>20135.832147762078</v>
      </c>
      <c r="I9" s="49">
        <v>12.212505330797363</v>
      </c>
      <c r="J9" s="49">
        <v>224943.62190244449</v>
      </c>
    </row>
    <row r="10" spans="2:10">
      <c r="B10" s="48" t="s">
        <v>189</v>
      </c>
      <c r="C10" s="51">
        <v>86.99</v>
      </c>
      <c r="D10" s="52"/>
      <c r="E10" s="51">
        <v>69.87</v>
      </c>
      <c r="F10" s="52"/>
      <c r="G10" s="51">
        <v>65.7</v>
      </c>
      <c r="H10" s="52"/>
      <c r="I10" s="51">
        <v>10</v>
      </c>
      <c r="J10" s="52"/>
    </row>
    <row r="12" spans="2:10" ht="15.6">
      <c r="B12" s="43" t="s">
        <v>190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179</v>
      </c>
      <c r="C13" s="50" t="s">
        <v>180</v>
      </c>
      <c r="D13" s="50"/>
      <c r="E13" s="50" t="s">
        <v>181</v>
      </c>
      <c r="F13" s="50"/>
      <c r="G13" s="50" t="s">
        <v>182</v>
      </c>
      <c r="H13" s="50"/>
      <c r="I13" s="50" t="s">
        <v>183</v>
      </c>
      <c r="J13" s="50"/>
    </row>
    <row r="14" spans="2:10" ht="66">
      <c r="B14" s="46"/>
      <c r="C14" s="47" t="s">
        <v>184</v>
      </c>
      <c r="D14" s="47" t="s">
        <v>185</v>
      </c>
      <c r="E14" s="47" t="s">
        <v>184</v>
      </c>
      <c r="F14" s="47" t="s">
        <v>185</v>
      </c>
      <c r="G14" s="47" t="s">
        <v>184</v>
      </c>
      <c r="H14" s="47" t="s">
        <v>185</v>
      </c>
      <c r="I14" s="47" t="s">
        <v>184</v>
      </c>
      <c r="J14" s="47" t="s">
        <v>185</v>
      </c>
    </row>
    <row r="15" spans="2:10">
      <c r="B15" s="48" t="s">
        <v>186</v>
      </c>
      <c r="C15" s="49">
        <v>12.350510841701222</v>
      </c>
      <c r="D15" s="49">
        <v>11242.222464796419</v>
      </c>
      <c r="E15" s="49">
        <v>11.981423807315995</v>
      </c>
      <c r="F15" s="49">
        <v>14046.644844517185</v>
      </c>
      <c r="G15" s="49">
        <v>8.6519393470128936</v>
      </c>
      <c r="H15" s="49">
        <v>15145.588235294117</v>
      </c>
      <c r="I15" s="49">
        <v>9.5864975323809443</v>
      </c>
      <c r="J15" s="49">
        <v>23133.423180592992</v>
      </c>
    </row>
    <row r="16" spans="2:10">
      <c r="B16" s="48" t="s">
        <v>187</v>
      </c>
      <c r="C16" s="49">
        <v>17.067807499751851</v>
      </c>
      <c r="D16" s="49">
        <v>11706.780749975185</v>
      </c>
      <c r="E16" s="49">
        <v>17.214297633086971</v>
      </c>
      <c r="F16" s="49">
        <v>16104.296898791919</v>
      </c>
      <c r="G16" s="49">
        <v>14.623001385995282</v>
      </c>
      <c r="H16" s="49">
        <v>19786.039922849755</v>
      </c>
      <c r="I16" s="49">
        <v>13.450467927519561</v>
      </c>
      <c r="J16" s="49">
        <v>31777.206958611911</v>
      </c>
    </row>
    <row r="17" spans="2:10">
      <c r="B17" s="48" t="s">
        <v>188</v>
      </c>
      <c r="C17" s="49">
        <v>16.89271885634238</v>
      </c>
      <c r="D17" s="49">
        <v>11689.271885634238</v>
      </c>
      <c r="E17" s="49">
        <v>17.245435203917879</v>
      </c>
      <c r="F17" s="49">
        <v>16117.134459961315</v>
      </c>
      <c r="G17" s="49">
        <v>15.025443505265002</v>
      </c>
      <c r="H17" s="49">
        <v>20135.832147762078</v>
      </c>
      <c r="I17" s="49">
        <v>13.281299017967285</v>
      </c>
      <c r="J17" s="49">
        <v>31345.725572847979</v>
      </c>
    </row>
    <row r="18" spans="2:10">
      <c r="B18" s="48" t="s">
        <v>191</v>
      </c>
      <c r="C18" s="51">
        <v>91.61</v>
      </c>
      <c r="D18" s="52"/>
      <c r="E18" s="51">
        <v>73.319999999999993</v>
      </c>
      <c r="F18" s="52"/>
      <c r="G18" s="51">
        <v>68</v>
      </c>
      <c r="H18" s="52"/>
      <c r="I18" s="51">
        <v>44.52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2022-03-01T07:09:05Z</dcterms:created>
  <dcterms:modified xsi:type="dcterms:W3CDTF">2022-03-07T03:35:22Z</dcterms:modified>
</cp:coreProperties>
</file>