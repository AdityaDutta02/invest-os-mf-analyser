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Portfolio'!$C$8:$C$36</definedName>
    <definedName name="XDO_?FINAL_ISIN?1?">'TBFS - Risk-O-Meter &amp; Portfolio'!$D$10:$D$36</definedName>
    <definedName name="XDO_?FINAL_ISIN?2?">'TBFS - Risk-O-Meter &amp; Portfolio'!$D$10:$D$78</definedName>
    <definedName name="XDO_?FINAL_MV?1?">'TBFS - Risk-O-Meter &amp; Portfolio'!$H$10:$H$36</definedName>
    <definedName name="XDO_?FINAL_MV?2?">'TBFS - Risk-O-Meter &amp; Portfolio'!$H$10:$H$78</definedName>
    <definedName name="XDO_?FINAL_NAME?1?">'TBFS - Risk-O-Meter &amp; Portfolio'!$C$10:$C$36</definedName>
    <definedName name="XDO_?FINAL_NAME?2?">'TBFS - Risk-O-Meter &amp; Portfolio'!$C$10:$C$78</definedName>
    <definedName name="XDO_?FINAL_PER_NET?1?">'TBFS - Risk-O-Meter &amp; Portfolio'!$I$10:$I$36</definedName>
    <definedName name="XDO_?FINAL_PER_NET?2?">'TBFS - Risk-O-Meter &amp; Portfolio'!$I$10:$I$78</definedName>
    <definedName name="XDO_?FINAL_QUANTITE?1?">'TBFS - Risk-O-Meter &amp; Portfolio'!$G$10:$G$36</definedName>
    <definedName name="XDO_?FINAL_QUANTITE?2?">'TBFS - Risk-O-Meter &amp; Portfolio'!$G$10:$G$78</definedName>
    <definedName name="XDO_?IND_01?1?">'TBFS - Risk-O-Meter &amp; Portfolio'!$F$10:$F$36</definedName>
    <definedName name="XDO_?IND_01?2?">'TBFS - Risk-O-Meter &amp; Portfolio'!$F$10:$F$78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Portfolio'!$C$2:$C$36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Portfolio'!$B$10:$B$36</definedName>
    <definedName name="XDO_?NOVAL?2?">'TBFS - Risk-O-Meter &amp; Portfolio'!$B$10:$B$78</definedName>
    <definedName name="XDO_?NPTF?1?">'TBFS - Risk-O-Meter &amp; Portfolio'!$D$2:$D$36</definedName>
    <definedName name="XDO_?RATING?1?">'TBFS - Risk-O-Meter &amp; Portfolio'!$E$10:$E$36</definedName>
    <definedName name="XDO_?RATING?2?">'TBFS - Risk-O-Meter &amp; Portfolio'!$E$10:$E$78</definedName>
    <definedName name="XDO_?REMARKS?1?">'TBFS - Risk-O-Meter &amp; Portfolio'!$J$10:$J$36</definedName>
    <definedName name="XDO_?REMARKS?2?">'TBFS - Risk-O-Meter &amp; Portfolio'!$J$10:$J$78</definedName>
    <definedName name="XDO_?TITL?1?">'TBFS - Risk-O-Meter &amp; Portfolio'!$A$8:$A$36</definedName>
    <definedName name="XDO_GROUP_?G_2?1?">'TBFS - Risk-O-Meter &amp; Portfolio'!$2:$81</definedName>
    <definedName name="XDO_GROUP_?G_3?1?">'TBFS - Risk-O-Meter &amp; Portfolio'!$8:$80</definedName>
    <definedName name="XDO_GROUP_?G_4?1?">'TBFS - Risk-O-Meter &amp; Portfolio'!$B$10:$IV$36</definedName>
    <definedName name="XDO_GROUP_?G_4?2?">'TBFS - Risk-O-Meter &amp; Portfolio'!$B$78:$IV$78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</calcChain>
</file>

<file path=xl/sharedStrings.xml><?xml version="1.0" encoding="utf-8"?>
<sst xmlns="http://schemas.openxmlformats.org/spreadsheetml/2006/main" count="219" uniqueCount="142">
  <si>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</si>
  <si>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</si>
  <si>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</si>
  <si>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</si>
  <si>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</si>
  <si>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</si>
  <si>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</si>
  <si>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</si>
  <si>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</si>
  <si>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</si>
  <si>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</si>
  <si>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</si>
  <si>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</si>
  <si>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</si>
  <si>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</si>
  <si>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</si>
  <si>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</si>
  <si>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</si>
  <si>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</si>
  <si>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</si>
  <si>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</si>
  <si>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</si>
  <si>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</si>
  <si>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</si>
  <si>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</si>
  <si>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</si>
  <si>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</si>
  <si>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</si>
  <si>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</si>
  <si>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</si>
  <si>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</si>
  <si>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</si>
  <si>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</si>
  <si>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</si>
  <si>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</si>
  <si>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</si>
  <si>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</si>
  <si>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</si>
  <si>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100125</t>
  </si>
  <si>
    <t>Bajaj Finance Ltd.</t>
  </si>
  <si>
    <t>INE296A01024</t>
  </si>
  <si>
    <t>100001</t>
  </si>
  <si>
    <t>Housing Development Finance Corporation Ltd.</t>
  </si>
  <si>
    <t>INE001A01036</t>
  </si>
  <si>
    <t>100092</t>
  </si>
  <si>
    <t>Bank of Baroda</t>
  </si>
  <si>
    <t>INE028A01039</t>
  </si>
  <si>
    <t>100122</t>
  </si>
  <si>
    <t>Union Bank of India</t>
  </si>
  <si>
    <t>INE692A01016</t>
  </si>
  <si>
    <t>100505</t>
  </si>
  <si>
    <t>ICICI Prudential Life Insurance Company Ltd.</t>
  </si>
  <si>
    <t>INE726G01019</t>
  </si>
  <si>
    <t>Insurance</t>
  </si>
  <si>
    <t>100013</t>
  </si>
  <si>
    <t>IndusInd Bank Ltd.</t>
  </si>
  <si>
    <t>INE095A01012</t>
  </si>
  <si>
    <t>100294</t>
  </si>
  <si>
    <t>IIFL Finance Ltd.</t>
  </si>
  <si>
    <t>INE530B01024</t>
  </si>
  <si>
    <t>100231</t>
  </si>
  <si>
    <t>Muthoot Finance Ltd.</t>
  </si>
  <si>
    <t>INE414G01012</t>
  </si>
  <si>
    <t>100116</t>
  </si>
  <si>
    <t>Sundaram Finance Ltd.</t>
  </si>
  <si>
    <t>INE660A01013</t>
  </si>
  <si>
    <t>100380</t>
  </si>
  <si>
    <t>Bajaj Finserv Ltd.</t>
  </si>
  <si>
    <t>INE918I01018</t>
  </si>
  <si>
    <t>100107</t>
  </si>
  <si>
    <t>Max Financial Services Ltd.</t>
  </si>
  <si>
    <t>INE180A01020</t>
  </si>
  <si>
    <t>100235</t>
  </si>
  <si>
    <t>CRISIL Ltd.</t>
  </si>
  <si>
    <t>INE007A01025</t>
  </si>
  <si>
    <t>100042</t>
  </si>
  <si>
    <t>LIC Housing Finance Ltd.</t>
  </si>
  <si>
    <t>INE115A01026</t>
  </si>
  <si>
    <t>100814</t>
  </si>
  <si>
    <t>HDFC Asset Management Company Ltd.</t>
  </si>
  <si>
    <t>INE127D01025</t>
  </si>
  <si>
    <t>Capital Markets</t>
  </si>
  <si>
    <t>100055</t>
  </si>
  <si>
    <t>The Federal Bank Ltd.</t>
  </si>
  <si>
    <t>INE171A01029</t>
  </si>
  <si>
    <t>100191</t>
  </si>
  <si>
    <t>Canara Bank</t>
  </si>
  <si>
    <t>INE476A01014</t>
  </si>
  <si>
    <t>100665</t>
  </si>
  <si>
    <t>Aditya Birla Capital Ltd.</t>
  </si>
  <si>
    <t>INE674K01013</t>
  </si>
  <si>
    <t>101228</t>
  </si>
  <si>
    <t>Home First Finance Company India Ltd.</t>
  </si>
  <si>
    <t>INE481N01025</t>
  </si>
  <si>
    <t>100114</t>
  </si>
  <si>
    <t>Shriram Transport Finance Company Ltd.</t>
  </si>
  <si>
    <t>INE721A01013</t>
  </si>
  <si>
    <t>100148</t>
  </si>
  <si>
    <t>Motilal Oswal Financial Services Ltd.</t>
  </si>
  <si>
    <t>INE338I01027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</si>
  <si>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</si>
  <si>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</si>
  <si>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</si>
  <si>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</si>
  <si>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</si>
  <si>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</si>
  <si>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</si>
  <si>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</si>
  <si>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</si>
  <si>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</si>
  <si>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</si>
  <si>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</si>
  <si>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</si>
  <si>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</si>
  <si>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</si>
  <si>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</si>
  <si>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</si>
  <si>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</si>
  <si>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</si>
  <si>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</si>
  <si>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</si>
  <si>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</si>
  <si>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</si>
  <si>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</si>
  <si>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</si>
  <si>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</si>
  <si>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</si>
  <si>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</si>
  <si>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</si>
  <si>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</si>
  <si>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</si>
  <si>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</si>
  <si>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</si>
  <si>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</si>
  <si>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</si>
  <si>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</si>
  <si>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</si>
  <si>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</si>
  <si>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</si>
  <si>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August 30, 2022 : 35.78)</t>
  </si>
  <si>
    <t>Taurus Banking &amp; Financial Services Fund - Direct Plan Growth Option</t>
  </si>
  <si>
    <t>NAV [Rs.] Per Unit (as on August 30, 2022 : 39.11)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</si>
</sst>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7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82.1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21248</v>
      </c>
      <c r="H10" s="32">
        <v>188.6</v>
      </c>
      <c r="I10" s="32">
        <v>20.84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8945</v>
      </c>
      <c r="H11" s="32">
        <v>132.94</v>
      </c>
      <c r="I11" s="32">
        <v>14.69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5854</v>
      </c>
      <c r="H12" s="32">
        <v>112.12</v>
      </c>
      <c r="I12" s="32">
        <v>12.39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17195</v>
      </c>
      <c r="H13" s="32">
        <v>91.33</v>
      </c>
      <c r="I13" s="32">
        <v>10.09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6925</v>
      </c>
      <c r="H14" s="32">
        <v>52.02</v>
      </c>
      <c r="I14" s="32">
        <v>5.75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685</v>
      </c>
      <c r="H15" s="32">
        <v>37.409999999999997</v>
      </c>
      <c r="I15" s="32">
        <v>4.13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3604</v>
      </c>
      <c r="H16" s="32">
        <v>28.45</v>
      </c>
      <c r="I16" s="32">
        <v>3.14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355</v>
      </c>
      <c r="H17" s="32">
        <v>25.93</v>
      </c>
      <c r="I17" s="32">
        <v>2.87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34</v>
      </c>
      <c r="G18" s="31">
        <v>1000</v>
      </c>
      <c r="H18" s="32">
        <v>24.46</v>
      </c>
      <c r="I18" s="32">
        <v>2.7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17618</v>
      </c>
      <c r="H19" s="32">
        <v>23.05</v>
      </c>
      <c r="I19" s="32">
        <v>2.5499999999999998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44517</v>
      </c>
      <c r="H20" s="32">
        <v>18.850000000000001</v>
      </c>
      <c r="I20" s="32">
        <v>2.08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3166</v>
      </c>
      <c r="H21" s="32">
        <v>18.8</v>
      </c>
      <c r="I21" s="32">
        <v>2.08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1587</v>
      </c>
      <c r="H22" s="32">
        <v>17.57</v>
      </c>
      <c r="I22" s="32">
        <v>1.94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34</v>
      </c>
      <c r="G23" s="31">
        <v>4696</v>
      </c>
      <c r="H23" s="32">
        <v>16.18</v>
      </c>
      <c r="I23" s="32">
        <v>1.79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34</v>
      </c>
      <c r="G24" s="31">
        <v>1150</v>
      </c>
      <c r="H24" s="32">
        <v>12.14</v>
      </c>
      <c r="I24" s="32">
        <v>1.34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34</v>
      </c>
      <c r="G25" s="31">
        <v>518</v>
      </c>
      <c r="H25" s="32">
        <v>10.84</v>
      </c>
      <c r="I25" s="32">
        <v>1.2</v>
      </c>
      <c r="J25" s="33"/>
    </row>
    <row r="26" spans="2:10">
      <c r="B26" s="1" t="s">
        <v>66</v>
      </c>
      <c r="C26" s="20" t="s">
        <v>67</v>
      </c>
      <c r="D26" s="29" t="s">
        <v>68</v>
      </c>
      <c r="E26" s="30"/>
      <c r="F26" s="30" t="s">
        <v>34</v>
      </c>
      <c r="G26" s="31">
        <v>58</v>
      </c>
      <c r="H26" s="32">
        <v>9.84</v>
      </c>
      <c r="I26" s="32">
        <v>1.0900000000000001</v>
      </c>
      <c r="J26" s="33"/>
    </row>
    <row r="27" spans="2:10">
      <c r="B27" s="1" t="s">
        <v>69</v>
      </c>
      <c r="C27" s="20" t="s">
        <v>70</v>
      </c>
      <c r="D27" s="29" t="s">
        <v>71</v>
      </c>
      <c r="E27" s="30"/>
      <c r="F27" s="30" t="s">
        <v>53</v>
      </c>
      <c r="G27" s="31">
        <v>1137</v>
      </c>
      <c r="H27" s="32">
        <v>9.3699999999999992</v>
      </c>
      <c r="I27" s="32">
        <v>1.04</v>
      </c>
      <c r="J27" s="33"/>
    </row>
    <row r="28" spans="2:10">
      <c r="B28" s="1" t="s">
        <v>72</v>
      </c>
      <c r="C28" s="20" t="s">
        <v>73</v>
      </c>
      <c r="D28" s="29" t="s">
        <v>74</v>
      </c>
      <c r="E28" s="30"/>
      <c r="F28" s="30" t="s">
        <v>34</v>
      </c>
      <c r="G28" s="31">
        <v>209</v>
      </c>
      <c r="H28" s="32">
        <v>6.85</v>
      </c>
      <c r="I28" s="32">
        <v>0.76</v>
      </c>
      <c r="J28" s="33"/>
    </row>
    <row r="29" spans="2:10">
      <c r="B29" s="1" t="s">
        <v>75</v>
      </c>
      <c r="C29" s="20" t="s">
        <v>76</v>
      </c>
      <c r="D29" s="29" t="s">
        <v>77</v>
      </c>
      <c r="E29" s="30"/>
      <c r="F29" s="30" t="s">
        <v>34</v>
      </c>
      <c r="G29" s="31">
        <v>1662</v>
      </c>
      <c r="H29" s="32">
        <v>6.8</v>
      </c>
      <c r="I29" s="32">
        <v>0.75</v>
      </c>
      <c r="J29" s="33"/>
    </row>
    <row r="30" spans="2:10">
      <c r="B30" s="1" t="s">
        <v>78</v>
      </c>
      <c r="C30" s="20" t="s">
        <v>79</v>
      </c>
      <c r="D30" s="29" t="s">
        <v>80</v>
      </c>
      <c r="E30" s="30"/>
      <c r="F30" s="30" t="s">
        <v>81</v>
      </c>
      <c r="G30" s="31">
        <v>325</v>
      </c>
      <c r="H30" s="32">
        <v>6.74</v>
      </c>
      <c r="I30" s="32">
        <v>0.75</v>
      </c>
      <c r="J30" s="33"/>
    </row>
    <row r="31" spans="2:10">
      <c r="B31" s="1" t="s">
        <v>82</v>
      </c>
      <c r="C31" s="20" t="s">
        <v>83</v>
      </c>
      <c r="D31" s="29" t="s">
        <v>84</v>
      </c>
      <c r="E31" s="30"/>
      <c r="F31" s="30" t="s">
        <v>18</v>
      </c>
      <c r="G31" s="31">
        <v>5602</v>
      </c>
      <c r="H31" s="32">
        <v>6.55</v>
      </c>
      <c r="I31" s="32">
        <v>0.72</v>
      </c>
      <c r="J31" s="33"/>
    </row>
    <row r="32" spans="2:10">
      <c r="B32" s="1" t="s">
        <v>85</v>
      </c>
      <c r="C32" s="20" t="s">
        <v>86</v>
      </c>
      <c r="D32" s="29" t="s">
        <v>87</v>
      </c>
      <c r="E32" s="30"/>
      <c r="F32" s="30" t="s">
        <v>18</v>
      </c>
      <c r="G32" s="31">
        <v>2625</v>
      </c>
      <c r="H32" s="32">
        <v>6.33</v>
      </c>
      <c r="I32" s="32">
        <v>0.7</v>
      </c>
      <c r="J32" s="33"/>
    </row>
    <row r="33" spans="2:10">
      <c r="B33" s="1" t="s">
        <v>88</v>
      </c>
      <c r="C33" s="20" t="s">
        <v>89</v>
      </c>
      <c r="D33" s="29" t="s">
        <v>90</v>
      </c>
      <c r="E33" s="30"/>
      <c r="F33" s="30" t="s">
        <v>53</v>
      </c>
      <c r="G33" s="31">
        <v>5212</v>
      </c>
      <c r="H33" s="32">
        <v>5.95</v>
      </c>
      <c r="I33" s="32">
        <v>0.66</v>
      </c>
      <c r="J33" s="33"/>
    </row>
    <row r="34" spans="2:10">
      <c r="B34" s="1" t="s">
        <v>91</v>
      </c>
      <c r="C34" s="20" t="s">
        <v>92</v>
      </c>
      <c r="D34" s="29" t="s">
        <v>93</v>
      </c>
      <c r="E34" s="30"/>
      <c r="F34" s="30" t="s">
        <v>34</v>
      </c>
      <c r="G34" s="31">
        <v>610</v>
      </c>
      <c r="H34" s="32">
        <v>5.92</v>
      </c>
      <c r="I34" s="32">
        <v>0.65</v>
      </c>
      <c r="J34" s="33"/>
    </row>
    <row r="35" spans="2:10">
      <c r="B35" s="1" t="s">
        <v>94</v>
      </c>
      <c r="C35" s="20" t="s">
        <v>95</v>
      </c>
      <c r="D35" s="29" t="s">
        <v>96</v>
      </c>
      <c r="E35" s="30"/>
      <c r="F35" s="30" t="s">
        <v>34</v>
      </c>
      <c r="G35" s="31">
        <v>406</v>
      </c>
      <c r="H35" s="32">
        <v>5.5</v>
      </c>
      <c r="I35" s="32">
        <v>0.61</v>
      </c>
      <c r="J35" s="33"/>
    </row>
    <row r="36" spans="2:10">
      <c r="B36" s="1" t="s">
        <v>97</v>
      </c>
      <c r="C36" s="20" t="s">
        <v>98</v>
      </c>
      <c r="D36" s="29" t="s">
        <v>99</v>
      </c>
      <c r="E36" s="30"/>
      <c r="F36" s="30" t="s">
        <v>81</v>
      </c>
      <c r="G36" s="31">
        <v>455</v>
      </c>
      <c r="H36" s="32">
        <v>3.5</v>
      </c>
      <c r="I36" s="32">
        <v>0.39</v>
      </c>
      <c r="J36" s="33"/>
    </row>
    <row r="37" spans="2:10">
      <c r="C37" s="28" t="s">
        <v>100</v>
      </c>
      <c r="D37" s="29"/>
      <c r="E37" s="30"/>
      <c r="F37" s="30"/>
      <c r="G37" s="31"/>
      <c r="H37" s="35">
        <v>884.04</v>
      </c>
      <c r="I37" s="35">
        <v>97.7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101</v>
      </c>
      <c r="D39" s="29"/>
      <c r="E39" s="30"/>
      <c r="F39" s="30"/>
      <c r="G39" s="31"/>
      <c r="H39" s="32" t="s">
        <v>102</v>
      </c>
      <c r="I39" s="32" t="s">
        <v>102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103</v>
      </c>
      <c r="D41" s="29"/>
      <c r="E41" s="30"/>
      <c r="F41" s="30"/>
      <c r="G41" s="31"/>
      <c r="H41" s="32" t="s">
        <v>102</v>
      </c>
      <c r="I41" s="32" t="s">
        <v>102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104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105</v>
      </c>
      <c r="D45" s="29"/>
      <c r="E45" s="30"/>
      <c r="F45" s="30"/>
      <c r="G45" s="31"/>
      <c r="H45" s="32" t="s">
        <v>102</v>
      </c>
      <c r="I45" s="32" t="s">
        <v>102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106</v>
      </c>
      <c r="D47" s="29"/>
      <c r="E47" s="30"/>
      <c r="F47" s="30"/>
      <c r="G47" s="31"/>
      <c r="H47" s="32" t="s">
        <v>102</v>
      </c>
      <c r="I47" s="32" t="s">
        <v>102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107</v>
      </c>
      <c r="D49" s="29"/>
      <c r="E49" s="30"/>
      <c r="F49" s="30"/>
      <c r="G49" s="31"/>
      <c r="H49" s="32" t="s">
        <v>102</v>
      </c>
      <c r="I49" s="32" t="s">
        <v>102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108</v>
      </c>
      <c r="D51" s="29"/>
      <c r="E51" s="30"/>
      <c r="F51" s="30"/>
      <c r="G51" s="31"/>
      <c r="H51" s="32" t="s">
        <v>102</v>
      </c>
      <c r="I51" s="32" t="s">
        <v>102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109</v>
      </c>
      <c r="D53" s="29"/>
      <c r="E53" s="30"/>
      <c r="F53" s="30"/>
      <c r="G53" s="31"/>
      <c r="H53" s="32" t="s">
        <v>102</v>
      </c>
      <c r="I53" s="32" t="s">
        <v>102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110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111</v>
      </c>
      <c r="D57" s="29"/>
      <c r="E57" s="30"/>
      <c r="F57" s="30"/>
      <c r="G57" s="31"/>
      <c r="H57" s="32" t="s">
        <v>102</v>
      </c>
      <c r="I57" s="32" t="s">
        <v>102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112</v>
      </c>
      <c r="D59" s="29"/>
      <c r="E59" s="30"/>
      <c r="F59" s="30"/>
      <c r="G59" s="31"/>
      <c r="H59" s="32" t="s">
        <v>102</v>
      </c>
      <c r="I59" s="32" t="s">
        <v>102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113</v>
      </c>
      <c r="D61" s="29"/>
      <c r="E61" s="30"/>
      <c r="F61" s="30"/>
      <c r="G61" s="31"/>
      <c r="H61" s="32" t="s">
        <v>102</v>
      </c>
      <c r="I61" s="32" t="s">
        <v>102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114</v>
      </c>
      <c r="D63" s="29"/>
      <c r="E63" s="30"/>
      <c r="F63" s="30"/>
      <c r="G63" s="31"/>
      <c r="H63" s="32" t="s">
        <v>102</v>
      </c>
      <c r="I63" s="32" t="s">
        <v>102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115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116</v>
      </c>
      <c r="D67" s="29"/>
      <c r="E67" s="30"/>
      <c r="F67" s="30"/>
      <c r="G67" s="31"/>
      <c r="H67" s="32" t="s">
        <v>102</v>
      </c>
      <c r="I67" s="32" t="s">
        <v>102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117</v>
      </c>
      <c r="D69" s="29"/>
      <c r="E69" s="30"/>
      <c r="F69" s="30"/>
      <c r="G69" s="31"/>
      <c r="H69" s="32" t="s">
        <v>102</v>
      </c>
      <c r="I69" s="32" t="s">
        <v>102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118</v>
      </c>
      <c r="D71" s="29"/>
      <c r="E71" s="30"/>
      <c r="F71" s="30"/>
      <c r="G71" s="31"/>
      <c r="H71" s="32" t="s">
        <v>102</v>
      </c>
      <c r="I71" s="32" t="s">
        <v>102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119</v>
      </c>
      <c r="D73" s="29"/>
      <c r="E73" s="30"/>
      <c r="F73" s="30"/>
      <c r="G73" s="31"/>
      <c r="H73" s="32" t="s">
        <v>102</v>
      </c>
      <c r="I73" s="32" t="s">
        <v>102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120</v>
      </c>
      <c r="D75" s="29"/>
      <c r="E75" s="30"/>
      <c r="F75" s="30"/>
      <c r="G75" s="31"/>
      <c r="H75" s="32" t="s">
        <v>102</v>
      </c>
      <c r="I75" s="32" t="s">
        <v>102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121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122</v>
      </c>
      <c r="D78" s="29"/>
      <c r="E78" s="30"/>
      <c r="F78" s="30"/>
      <c r="G78" s="31"/>
      <c r="H78" s="32">
        <v>20.81</v>
      </c>
      <c r="I78" s="32">
        <v>2.2999999999999998</v>
      </c>
      <c r="J78" s="33"/>
    </row>
    <row r="79" spans="1:10">
      <c r="C79" s="28" t="s">
        <v>100</v>
      </c>
      <c r="D79" s="29"/>
      <c r="E79" s="30"/>
      <c r="F79" s="30"/>
      <c r="G79" s="31"/>
      <c r="H79" s="35">
        <v>20.81</v>
      </c>
      <c r="I79" s="35">
        <v>2.2999999999999998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5" thickBot="1">
      <c r="C81" s="36" t="s">
        <v>123</v>
      </c>
      <c r="D81" s="37"/>
      <c r="E81" s="38"/>
      <c r="F81" s="39"/>
      <c r="G81" s="40"/>
      <c r="H81" s="41">
        <v>904.85</v>
      </c>
      <c r="I81" s="41">
        <f>SUMIFS(I:I,C:C,"Total")</f>
        <v>100</v>
      </c>
      <c r="J81" s="42"/>
    </row>
    <row r="84" spans="3:10">
      <c r="C84" s="11" t="s">
        <v>124</v>
      </c>
    </row>
    <row r="85" spans="3:10">
      <c r="C85" s="2" t="s">
        <v>125</v>
      </c>
    </row>
    <row r="86" spans="3:10">
      <c r="C86" s="2" t="s">
        <v>126</v>
      </c>
    </row>
    <row r="87" spans="3:10">
      <c r="C87" s="2" t="s">
        <v>127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workbookViewId="0">
      <selection activeCell="A4" sqref="A4"/>
    </sheetView>
  </sheetViews>
  <sheetFormatPr defaultRowHeight="15"/>
  <cols>
    <col min="1" max="1" width="44.71093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75">
      <c r="A4" s="43" t="s">
        <v>128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129</v>
      </c>
      <c r="B5" s="50" t="s">
        <v>130</v>
      </c>
      <c r="C5" s="50"/>
      <c r="D5" s="50" t="s">
        <v>131</v>
      </c>
      <c r="E5" s="50"/>
      <c r="F5" s="50" t="s">
        <v>132</v>
      </c>
      <c r="G5" s="50"/>
      <c r="H5" s="50" t="s">
        <v>133</v>
      </c>
      <c r="I5" s="50"/>
    </row>
    <row r="6" spans="1:9" ht="63.75">
      <c r="A6" s="46"/>
      <c r="B6" s="47" t="s">
        <v>134</v>
      </c>
      <c r="C6" s="47" t="s">
        <v>135</v>
      </c>
      <c r="D6" s="47" t="s">
        <v>134</v>
      </c>
      <c r="E6" s="47" t="s">
        <v>135</v>
      </c>
      <c r="F6" s="47" t="s">
        <v>134</v>
      </c>
      <c r="G6" s="47" t="s">
        <v>135</v>
      </c>
      <c r="H6" s="47" t="s">
        <v>134</v>
      </c>
      <c r="I6" s="47" t="s">
        <v>135</v>
      </c>
    </row>
    <row r="7" spans="1:9">
      <c r="A7" s="48" t="s">
        <v>136</v>
      </c>
      <c r="B7" s="49">
        <v>4.3148688046647399</v>
      </c>
      <c r="C7" s="49">
        <v>10431.486880466473</v>
      </c>
      <c r="D7" s="49">
        <v>13.089760649670911</v>
      </c>
      <c r="E7" s="49">
        <v>14468.257177517187</v>
      </c>
      <c r="F7" s="49">
        <v>10.356529862210895</v>
      </c>
      <c r="G7" s="49">
        <v>16367.795059469352</v>
      </c>
      <c r="H7" s="49">
        <v>13.199519585362829</v>
      </c>
      <c r="I7" s="49">
        <v>35780</v>
      </c>
    </row>
    <row r="8" spans="1:9">
      <c r="A8" s="48" t="s">
        <v>137</v>
      </c>
      <c r="B8" s="49">
        <v>10.024852511090575</v>
      </c>
      <c r="C8" s="49">
        <v>11002.485251109058</v>
      </c>
      <c r="D8" s="49">
        <v>13.930275675533244</v>
      </c>
      <c r="E8" s="49">
        <v>14788.272503253729</v>
      </c>
      <c r="F8" s="49">
        <v>10.933811751083944</v>
      </c>
      <c r="G8" s="49">
        <v>16800.402218531395</v>
      </c>
      <c r="H8" s="49">
        <v>16.051115599931286</v>
      </c>
      <c r="I8" s="49">
        <v>46191.23586205981</v>
      </c>
    </row>
    <row r="9" spans="1:9">
      <c r="A9" s="48" t="s">
        <v>138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14.912260751094287</v>
      </c>
      <c r="I9" s="49">
        <v>41738.149953420267</v>
      </c>
    </row>
    <row r="10" spans="1:9">
      <c r="A10" s="48" t="s">
        <v>139</v>
      </c>
      <c r="B10" s="51">
        <v>34.299999999999997</v>
      </c>
      <c r="C10" s="52"/>
      <c r="D10" s="51">
        <v>24.73</v>
      </c>
      <c r="E10" s="52"/>
      <c r="F10" s="51">
        <v>21.86</v>
      </c>
      <c r="G10" s="52"/>
      <c r="H10" s="51">
        <v>10</v>
      </c>
      <c r="I10" s="52"/>
    </row>
    <row r="12" spans="1:9" ht="15.75">
      <c r="A12" s="43" t="s">
        <v>140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129</v>
      </c>
      <c r="B13" s="50" t="s">
        <v>130</v>
      </c>
      <c r="C13" s="50"/>
      <c r="D13" s="50" t="s">
        <v>131</v>
      </c>
      <c r="E13" s="50"/>
      <c r="F13" s="50" t="s">
        <v>132</v>
      </c>
      <c r="G13" s="50"/>
      <c r="H13" s="50" t="s">
        <v>133</v>
      </c>
      <c r="I13" s="50"/>
    </row>
    <row r="14" spans="1:9" ht="63.75">
      <c r="A14" s="46"/>
      <c r="B14" s="47" t="s">
        <v>134</v>
      </c>
      <c r="C14" s="47" t="s">
        <v>135</v>
      </c>
      <c r="D14" s="47" t="s">
        <v>134</v>
      </c>
      <c r="E14" s="47" t="s">
        <v>135</v>
      </c>
      <c r="F14" s="47" t="s">
        <v>134</v>
      </c>
      <c r="G14" s="47" t="s">
        <v>135</v>
      </c>
      <c r="H14" s="47" t="s">
        <v>134</v>
      </c>
      <c r="I14" s="47" t="s">
        <v>135</v>
      </c>
    </row>
    <row r="15" spans="1:9">
      <c r="A15" s="48" t="s">
        <v>136</v>
      </c>
      <c r="B15" s="49">
        <v>5.1061542596076315</v>
      </c>
      <c r="C15" s="49">
        <v>10510.615425960763</v>
      </c>
      <c r="D15" s="49">
        <v>13.940588031394462</v>
      </c>
      <c r="E15" s="49">
        <v>14797.57850926977</v>
      </c>
      <c r="F15" s="49">
        <v>11.240565110150724</v>
      </c>
      <c r="G15" s="49">
        <v>17033.972125435539</v>
      </c>
      <c r="H15" s="49">
        <v>11.505523715817588</v>
      </c>
      <c r="I15" s="49">
        <v>28652.014652014652</v>
      </c>
    </row>
    <row r="16" spans="1:9">
      <c r="A16" s="48" t="s">
        <v>137</v>
      </c>
      <c r="B16" s="49">
        <v>10.024852511090575</v>
      </c>
      <c r="C16" s="49">
        <v>11002.485251109058</v>
      </c>
      <c r="D16" s="49">
        <v>13.930275675533244</v>
      </c>
      <c r="E16" s="49">
        <v>14788.272503253729</v>
      </c>
      <c r="F16" s="49">
        <v>10.933811751083944</v>
      </c>
      <c r="G16" s="49">
        <v>16800.402218531395</v>
      </c>
      <c r="H16" s="49">
        <v>13.173362835924785</v>
      </c>
      <c r="I16" s="49">
        <v>33073.365124449127</v>
      </c>
    </row>
    <row r="17" spans="1:9">
      <c r="A17" s="48" t="s">
        <v>138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13.311553685161659</v>
      </c>
      <c r="I17" s="49">
        <v>33465.782260660155</v>
      </c>
    </row>
    <row r="18" spans="1:9">
      <c r="A18" s="48" t="s">
        <v>141</v>
      </c>
      <c r="B18" s="51">
        <v>37.21</v>
      </c>
      <c r="C18" s="52"/>
      <c r="D18" s="51">
        <v>26.43</v>
      </c>
      <c r="E18" s="52"/>
      <c r="F18" s="51">
        <v>22.96</v>
      </c>
      <c r="G18" s="52"/>
      <c r="H18" s="51">
        <v>13.65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2022-09-02T14:05:27Z</dcterms:created>
  <dcterms:modified xsi:type="dcterms:W3CDTF">2022-09-09T02:45:25Z</dcterms:modified>
</cp:coreProperties>
</file>