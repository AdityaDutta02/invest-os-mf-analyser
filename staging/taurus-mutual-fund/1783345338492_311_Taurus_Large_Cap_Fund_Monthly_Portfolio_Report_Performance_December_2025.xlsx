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FEBECCA4-3DAA-4270-833D-226096AE698E}" xr6:coauthVersionLast="47" xr6:coauthVersionMax="47" xr10:uidLastSave="{00000000-0000-0000-0000-000000000000}"/>
  <bookViews>
    <workbookView xWindow="-120" yWindow="-120" windowWidth="20730" windowHeight="11040" xr2:uid="{9885AF7E-C6FA-48B7-8DC5-4A27232BE7C3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TBF!$C$8:$C$43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TBF!$C$2:$C$43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TBF!$D$2:$D$43</definedName>
    <definedName name="XDO_?RATING?">TBF!$E$10:$E$87</definedName>
    <definedName name="XDO_?REMARKS?">TBF!$J$10:$J$87</definedName>
    <definedName name="XDO_?TDATE?">TBF!$D$4</definedName>
    <definedName name="XDO_?TITL?">TBF!$A$8:$A$43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<sst xmlns="http://schemas.openxmlformats.org/spreadsheetml/2006/main" count="279" uniqueCount="203">
  <si>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</si>
  <si>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</si>
  <si>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</si>
  <si>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</si>
  <si>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</si>
  <si>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</si>
  <si>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</si>
  <si>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</si>
  <si>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</si>
  <si>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</si>
  <si>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</si>
  <si>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</si>
  <si>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</si>
  <si>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</si>
  <si>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</si>
  <si>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</si>
  <si>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</si>
  <si>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</si>
  <si>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</si>
  <si>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</si>
  <si>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</si>
  <si>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</si>
  <si>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</si>
  <si>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</si>
  <si>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</si>
  <si>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</si>
  <si>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</si>
  <si>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100010</t>
  </si>
  <si>
    <t>State Bank of India</t>
  </si>
  <si>
    <t>INE062A01020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</si>
  <si>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</si>
  <si>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</si>
  <si>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</si>
  <si>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</si>
  <si>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</si>
  <si>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</si>
  <si>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</si>
  <si>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</si>
  <si>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</si>
  <si>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</si>
  <si>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</si>
  <si>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100014</t>
  </si>
  <si>
    <t>Mahindra &amp; Mahindra Ltd.</t>
  </si>
  <si>
    <t>INE101A01026</t>
  </si>
  <si>
    <t>Automobiles</t>
  </si>
  <si>
    <t>101184</t>
  </si>
  <si>
    <t>Mazagon Dock Shipbuilders Ltd.</t>
  </si>
  <si>
    <t>INE249Z01020</t>
  </si>
  <si>
    <t>Industrial Manufacturing</t>
  </si>
  <si>
    <t>100024</t>
  </si>
  <si>
    <t>Axis Bank Ltd.</t>
  </si>
  <si>
    <t>INE238A01034</t>
  </si>
  <si>
    <t>102678</t>
  </si>
  <si>
    <t>TATA Capital Ltd.</t>
  </si>
  <si>
    <t>INE976I01016</t>
  </si>
  <si>
    <t>Finance</t>
  </si>
  <si>
    <t>100182</t>
  </si>
  <si>
    <t>Power Grid Corporation of India Ltd.</t>
  </si>
  <si>
    <t>INE752E01010</t>
  </si>
  <si>
    <t>Power</t>
  </si>
  <si>
    <t>100111</t>
  </si>
  <si>
    <t>Oil &amp; Natural Gas Corporation Ltd.</t>
  </si>
  <si>
    <t>INE213A01029</t>
  </si>
  <si>
    <t>Oil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</si>
  <si>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</si>
  <si>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</si>
  <si>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</si>
  <si>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</si>
  <si>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</si>
  <si>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</si>
  <si>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</si>
  <si>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</si>
  <si>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</si>
  <si>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</si>
  <si>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</si>
  <si>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100169</t>
  </si>
  <si>
    <t>Indian Oil Corporation Ltd.</t>
  </si>
  <si>
    <t>INE242A01010</t>
  </si>
  <si>
    <t>100125</t>
  </si>
  <si>
    <t>Bajaj Finance Ltd.</t>
  </si>
  <si>
    <t>INE296A01032</t>
  </si>
  <si>
    <t>100566</t>
  </si>
  <si>
    <t>Laurus Labs Ltd.</t>
  </si>
  <si>
    <t>INE947Q01028</t>
  </si>
  <si>
    <t>100380</t>
  </si>
  <si>
    <t>Bajaj Finserv Ltd.</t>
  </si>
  <si>
    <t>INE918I01026</t>
  </si>
  <si>
    <t>100177</t>
  </si>
  <si>
    <t>Grasim Industries Ltd.</t>
  </si>
  <si>
    <t>INE047A01021</t>
  </si>
  <si>
    <t>Cement &amp; Cement Products</t>
  </si>
  <si>
    <t>100003</t>
  </si>
  <si>
    <t>Infosys Ltd.</t>
  </si>
  <si>
    <t>INE009A01021</t>
  </si>
  <si>
    <t>100194</t>
  </si>
  <si>
    <t>Power Finance Corporation Ltd.</t>
  </si>
  <si>
    <t>INE134E01011</t>
  </si>
  <si>
    <t>100733</t>
  </si>
  <si>
    <t>General Insurance Corporation of India</t>
  </si>
  <si>
    <t>INE481Y01014</t>
  </si>
  <si>
    <t>Insurance</t>
  </si>
  <si>
    <t>100005</t>
  </si>
  <si>
    <t>Larsen &amp; Toubro Ltd.</t>
  </si>
  <si>
    <t>INE018A01030</t>
  </si>
  <si>
    <t>Construction</t>
  </si>
  <si>
    <t>100418</t>
  </si>
  <si>
    <t>Adani Enterprises Ltd.</t>
  </si>
  <si>
    <t>INE423A01024</t>
  </si>
  <si>
    <t>Metals &amp; Minerals Trading</t>
  </si>
  <si>
    <t>100106</t>
  </si>
  <si>
    <t>Maruti Suzuki India Ltd.</t>
  </si>
  <si>
    <t>INE585B01010</t>
  </si>
  <si>
    <t>100032</t>
  </si>
  <si>
    <t>Tata Consultancy Services Ltd.</t>
  </si>
  <si>
    <t>INE467B01029</t>
  </si>
  <si>
    <t>100292</t>
  </si>
  <si>
    <t>Steel Authority of India Ltd.</t>
  </si>
  <si>
    <t>INE114A01011</t>
  </si>
  <si>
    <t>Ferrous Metals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</si>
  <si>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</si>
  <si>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</si>
  <si>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</si>
  <si>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</si>
  <si>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</si>
  <si>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</si>
  <si>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</si>
  <si>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100260</t>
  </si>
  <si>
    <t>Solar Industries India Ltd.</t>
  </si>
  <si>
    <t>INE343H01029</t>
  </si>
  <si>
    <t>Chemicals &amp; Petrochemicals</t>
  </si>
  <si>
    <t>100677</t>
  </si>
  <si>
    <t>Dixon Technologies (India) Ltd.</t>
  </si>
  <si>
    <t>INE935N01020</t>
  </si>
  <si>
    <t>100083</t>
  </si>
  <si>
    <t>Samvardhana Motherson International Ltd.</t>
  </si>
  <si>
    <t>INE775A01035</t>
  </si>
  <si>
    <t>Auto Components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</si>
  <si>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</si>
  <si>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</si>
  <si>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</si>
  <si>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</si>
  <si>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</si>
  <si>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</si>
  <si>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</si>
  <si>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</si>
  <si>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</si>
  <si>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</si>
  <si>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</si>
  <si>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</si>
  <si>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</si>
  <si>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</si>
  <si>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</si>
  <si>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</si>
  <si>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</si>
  <si>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</si>
  <si>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</si>
  <si>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</si>
  <si>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</si>
  <si>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</si>
  <si>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</si>
  <si>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</si>
  <si>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</si>
  <si>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</si>
  <si>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</si>
  <si>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</si>
  <si>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</si>
  <si>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</si>
  <si>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</si>
  <si>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</si>
  <si>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</si>
  <si>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</si>
  <si>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</si>
  <si>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</si>
  <si>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</si>
  <si>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</si>
  <si>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</si>
  <si>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</si>
  <si>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</si>
  <si>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December 31,2025.</t>
  </si>
  <si>
    <t>7. The Scheme did not declare any bonus during the month ended as on December 31,2025.</t>
  </si>
  <si>
    <t>8. Total outstanding exposure in derivative instruments as on December 31,2025 is Nil.</t>
  </si>
  <si>
    <t>9. Total investments in Foreign Securities /ADRs/GDRs /Overseas ETFs as on December 31,2025 and its percentage to NAV is Nil.</t>
  </si>
  <si>
    <t>10. During the period, the portfolio turnover ratio is 0.79 times.</t>
  </si>
  <si>
    <t>      Portfolio Turnover Ratio = Lower of sales or purchase of securities divided by average AUM for 12 months ended as on December 31,2025</t>
  </si>
  <si>
    <t>11. The Scheme did not invest in repo transactions of corporate debt securities during the month ended as on December 31,2025.</t>
  </si>
  <si>
    <t>12. The Scheme did not invest in credit default swaps during the month ended as on December 31,2025.</t>
  </si>
  <si>
    <t>13. There are Nil instances of deviation from the valuation principles/guidelines during the month ended as on December 31st, 2025.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</si>
  <si>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</si>
  <si>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</si>
  <si>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</si>
  <si>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</si>
  <si>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</si>
  <si>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</si>
  <si>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</si>
  <si>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</si>
  <si>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</si>
  <si>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</si>
  <si>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</si>
  <si>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</si>
  <si>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</si>
  <si>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December 31,2025 :162.48)</t>
  </si>
  <si>
    <t>NAV [Rs.] Per Unit (as on December 31,2025 :172.04)</t>
  </si>
  <si>
    <t>Taurus Largecap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</si>
</sst>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5" fontId="12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6" fillId="0" borderId="13" xfId="0" applyFont="1" applyBorder="1"/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A5906BA5-FECC-4807-88D6-4347E6357A3E}"/>
    <cellStyle name="Hyperlink" xfId="2" builtinId="8"/>
    <cellStyle name="Normal" xfId="0" builtinId="0"/>
    <cellStyle name="Normal 2" xfId="4" xr:uid="{B53A2E5F-FD7C-4C6F-BC57-841BD3A4C717}"/>
    <cellStyle name="Style 1" xfId="3" xr:uid="{DB658C71-4702-487E-8BC1-DE5EBA272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252814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05607-6851-4B28-B715-A2F918CC6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9F42-7936-4B00-857B-06E7E738C626}">
  <sheetPr codeName="Sheet1"/>
  <dimension ref="A1:IV11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20.710937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0.710937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0.710937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0.710937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0.710937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0.710937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0.710937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0.710937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0.710937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0.710937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0.710937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0.710937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0.710937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0.710937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0.710937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0.710937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0.710937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0.710937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0.710937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0.710937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0.710937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0.710937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0.710937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0.710937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0.710937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0.710937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0.710937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0.710937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0.710937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0.710937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0.710937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0.710937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0.710937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0.710937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0.710937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0.710937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0.710937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0.710937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0.710937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0.710937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0.710937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0.710937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0.710937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0.710937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0.710937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0.710937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0.710937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0.710937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0.710937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0.710937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0.710937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0.710937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0.710937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0.710937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0.710937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0.710937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0.710937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0.710937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0.710937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0.710937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0.710937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0.710937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0.710937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0.710937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43124</v>
      </c>
      <c r="H10" s="32">
        <v>427.68</v>
      </c>
      <c r="I10" s="32">
        <v>8.15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103545</v>
      </c>
      <c r="H11" s="32">
        <v>417.29</v>
      </c>
      <c r="I11" s="32">
        <v>7.95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5093</v>
      </c>
      <c r="H12" s="32">
        <v>325.68</v>
      </c>
      <c r="I12" s="32">
        <v>6.21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32804</v>
      </c>
      <c r="H13" s="32">
        <v>322.2</v>
      </c>
      <c r="I13" s="32">
        <v>6.14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22452</v>
      </c>
      <c r="H14" s="32">
        <v>301.51</v>
      </c>
      <c r="I14" s="32">
        <v>5.75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18341</v>
      </c>
      <c r="H15" s="32">
        <v>287.83999999999997</v>
      </c>
      <c r="I15" s="32">
        <v>5.48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12154</v>
      </c>
      <c r="H16" s="32">
        <v>255.93</v>
      </c>
      <c r="I16" s="32">
        <v>4.88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5680</v>
      </c>
      <c r="H17" s="32">
        <v>210.71</v>
      </c>
      <c r="I17" s="32">
        <v>4.0199999999999996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7390</v>
      </c>
      <c r="H18" s="32">
        <v>184.03</v>
      </c>
      <c r="I18" s="32">
        <v>3.51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14076</v>
      </c>
      <c r="H19" s="32">
        <v>178.58</v>
      </c>
      <c r="I19" s="32">
        <v>3.4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51463</v>
      </c>
      <c r="H20" s="32">
        <v>176.47</v>
      </c>
      <c r="I20" s="32">
        <v>3.36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58197</v>
      </c>
      <c r="H21" s="32">
        <v>153.96</v>
      </c>
      <c r="I21" s="32">
        <v>2.93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61238</v>
      </c>
      <c r="H22" s="32">
        <v>147.12</v>
      </c>
      <c r="I22" s="32">
        <v>2.8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26</v>
      </c>
      <c r="G23" s="31">
        <v>9475</v>
      </c>
      <c r="H23" s="32">
        <v>143.16</v>
      </c>
      <c r="I23" s="32">
        <v>2.73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32167</v>
      </c>
      <c r="H24" s="32">
        <v>128.38999999999999</v>
      </c>
      <c r="I24" s="32">
        <v>2.4500000000000002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7885</v>
      </c>
      <c r="H25" s="32">
        <v>128.08000000000001</v>
      </c>
      <c r="I25" s="32">
        <v>2.44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36</v>
      </c>
      <c r="G26" s="31">
        <v>74612</v>
      </c>
      <c r="H26" s="32">
        <v>124.19</v>
      </c>
      <c r="I26" s="32">
        <v>2.37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55</v>
      </c>
      <c r="G27" s="31">
        <v>12075</v>
      </c>
      <c r="H27" s="32">
        <v>119.14</v>
      </c>
      <c r="I27" s="32">
        <v>2.27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26</v>
      </c>
      <c r="G28" s="31">
        <v>10562</v>
      </c>
      <c r="H28" s="32">
        <v>117.05</v>
      </c>
      <c r="I28" s="32">
        <v>2.23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55</v>
      </c>
      <c r="G29" s="31">
        <v>5595</v>
      </c>
      <c r="H29" s="32">
        <v>114.07</v>
      </c>
      <c r="I29" s="32">
        <v>2.17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3430</v>
      </c>
      <c r="H30" s="32">
        <v>97.07</v>
      </c>
      <c r="I30" s="32">
        <v>1.85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74</v>
      </c>
      <c r="G31" s="31">
        <v>5681</v>
      </c>
      <c r="H31" s="32">
        <v>91.83</v>
      </c>
      <c r="I31" s="32">
        <v>1.75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55</v>
      </c>
      <c r="G32" s="31">
        <v>22408</v>
      </c>
      <c r="H32" s="32">
        <v>79.64</v>
      </c>
      <c r="I32" s="32">
        <v>1.52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20720</v>
      </c>
      <c r="H33" s="32">
        <v>78.86</v>
      </c>
      <c r="I33" s="32">
        <v>1.5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1868</v>
      </c>
      <c r="H34" s="32">
        <v>76.27</v>
      </c>
      <c r="I34" s="32">
        <v>1.45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3351</v>
      </c>
      <c r="H35" s="32">
        <v>75.05</v>
      </c>
      <c r="I35" s="32">
        <v>1.43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44</v>
      </c>
      <c r="G36" s="31">
        <v>443</v>
      </c>
      <c r="H36" s="32">
        <v>74</v>
      </c>
      <c r="I36" s="32">
        <v>1.41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74</v>
      </c>
      <c r="G37" s="31">
        <v>2100</v>
      </c>
      <c r="H37" s="32">
        <v>67.319999999999993</v>
      </c>
      <c r="I37" s="32">
        <v>1.28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38500</v>
      </c>
      <c r="H38" s="32">
        <v>56.56</v>
      </c>
      <c r="I38" s="32">
        <v>1.08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1393</v>
      </c>
      <c r="H39" s="32">
        <v>56.43</v>
      </c>
      <c r="I39" s="32">
        <v>1.08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26</v>
      </c>
      <c r="G40" s="31">
        <v>3074</v>
      </c>
      <c r="H40" s="32">
        <v>52.87</v>
      </c>
      <c r="I40" s="32">
        <v>1.01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395</v>
      </c>
      <c r="H41" s="32">
        <v>48.42</v>
      </c>
      <c r="I41" s="32">
        <v>0.92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122</v>
      </c>
      <c r="G42" s="31">
        <v>225</v>
      </c>
      <c r="H42" s="32">
        <v>27.24</v>
      </c>
      <c r="I42" s="32">
        <v>0.52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6238</v>
      </c>
      <c r="H43" s="32">
        <v>7.48</v>
      </c>
      <c r="I43" s="32">
        <v>0.14000000000000001</v>
      </c>
      <c r="J43" s="33"/>
    </row>
    <row r="44" spans="2:10" x14ac:dyDescent="0.25">
      <c r="C44" s="28" t="s">
        <v>137</v>
      </c>
      <c r="D44" s="29"/>
      <c r="E44" s="30"/>
      <c r="F44" s="30"/>
      <c r="G44" s="31"/>
      <c r="H44" s="35">
        <v>5152.12</v>
      </c>
      <c r="I44" s="35">
        <v>98.18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138</v>
      </c>
      <c r="D46" s="29"/>
      <c r="E46" s="30"/>
      <c r="F46" s="30"/>
      <c r="G46" s="31"/>
      <c r="H46" s="32" t="s">
        <v>139</v>
      </c>
      <c r="I46" s="32" t="s">
        <v>139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140</v>
      </c>
      <c r="D48" s="29"/>
      <c r="E48" s="30"/>
      <c r="F48" s="30"/>
      <c r="G48" s="31"/>
      <c r="H48" s="32" t="s">
        <v>139</v>
      </c>
      <c r="I48" s="32" t="s">
        <v>139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141</v>
      </c>
      <c r="D50" s="29"/>
      <c r="E50" s="30"/>
      <c r="F50" s="30"/>
      <c r="G50" s="31"/>
      <c r="H50" s="32"/>
      <c r="I50" s="32"/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142</v>
      </c>
      <c r="D52" s="29"/>
      <c r="E52" s="30"/>
      <c r="F52" s="30"/>
      <c r="G52" s="31"/>
      <c r="H52" s="32" t="s">
        <v>139</v>
      </c>
      <c r="I52" s="32" t="s">
        <v>139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143</v>
      </c>
      <c r="D54" s="29"/>
      <c r="E54" s="30"/>
      <c r="F54" s="30"/>
      <c r="G54" s="31"/>
      <c r="H54" s="32" t="s">
        <v>139</v>
      </c>
      <c r="I54" s="32" t="s">
        <v>139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144</v>
      </c>
      <c r="D56" s="29"/>
      <c r="E56" s="30"/>
      <c r="F56" s="30"/>
      <c r="G56" s="31"/>
      <c r="H56" s="32" t="s">
        <v>139</v>
      </c>
      <c r="I56" s="32" t="s">
        <v>139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145</v>
      </c>
      <c r="D58" s="29"/>
      <c r="E58" s="30"/>
      <c r="F58" s="30"/>
      <c r="G58" s="31"/>
      <c r="H58" s="32" t="s">
        <v>139</v>
      </c>
      <c r="I58" s="32" t="s">
        <v>139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146</v>
      </c>
      <c r="D60" s="29"/>
      <c r="E60" s="30"/>
      <c r="F60" s="30"/>
      <c r="G60" s="31"/>
      <c r="H60" s="32" t="s">
        <v>139</v>
      </c>
      <c r="I60" s="32" t="s">
        <v>139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147</v>
      </c>
      <c r="D62" s="29"/>
      <c r="E62" s="30"/>
      <c r="F62" s="30"/>
      <c r="G62" s="31"/>
      <c r="H62" s="32"/>
      <c r="I62" s="32"/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148</v>
      </c>
      <c r="D64" s="29"/>
      <c r="E64" s="30"/>
      <c r="F64" s="30"/>
      <c r="G64" s="31"/>
      <c r="H64" s="32" t="s">
        <v>139</v>
      </c>
      <c r="I64" s="32" t="s">
        <v>139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149</v>
      </c>
      <c r="D66" s="29"/>
      <c r="E66" s="30"/>
      <c r="F66" s="30"/>
      <c r="G66" s="31"/>
      <c r="H66" s="32" t="s">
        <v>139</v>
      </c>
      <c r="I66" s="32" t="s">
        <v>139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150</v>
      </c>
      <c r="D68" s="29"/>
      <c r="E68" s="30"/>
      <c r="F68" s="30"/>
      <c r="G68" s="31"/>
      <c r="H68" s="32" t="s">
        <v>139</v>
      </c>
      <c r="I68" s="32" t="s">
        <v>139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151</v>
      </c>
      <c r="D70" s="29"/>
      <c r="E70" s="30"/>
      <c r="F70" s="30"/>
      <c r="G70" s="31"/>
      <c r="H70" s="32" t="s">
        <v>139</v>
      </c>
      <c r="I70" s="32" t="s">
        <v>139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152</v>
      </c>
      <c r="D72" s="29"/>
      <c r="E72" s="30"/>
      <c r="F72" s="30"/>
      <c r="G72" s="31"/>
      <c r="H72" s="32"/>
      <c r="I72" s="32"/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153</v>
      </c>
      <c r="D74" s="29"/>
      <c r="E74" s="30"/>
      <c r="F74" s="30"/>
      <c r="G74" s="31"/>
      <c r="H74" s="32" t="s">
        <v>139</v>
      </c>
      <c r="I74" s="32" t="s">
        <v>139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154</v>
      </c>
      <c r="D76" s="29"/>
      <c r="E76" s="30"/>
      <c r="F76" s="30"/>
      <c r="G76" s="31"/>
      <c r="H76" s="32" t="s">
        <v>139</v>
      </c>
      <c r="I76" s="32" t="s">
        <v>139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155</v>
      </c>
      <c r="D78" s="29"/>
      <c r="E78" s="30"/>
      <c r="F78" s="30"/>
      <c r="G78" s="31"/>
      <c r="H78" s="32" t="s">
        <v>139</v>
      </c>
      <c r="I78" s="32" t="s">
        <v>139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156</v>
      </c>
      <c r="D80" s="29"/>
      <c r="E80" s="30"/>
      <c r="F80" s="30"/>
      <c r="G80" s="31"/>
      <c r="H80" s="32" t="s">
        <v>139</v>
      </c>
      <c r="I80" s="32" t="s">
        <v>139</v>
      </c>
      <c r="J80" s="33"/>
    </row>
    <row r="81" spans="1:256" x14ac:dyDescent="0.25">
      <c r="C81" s="20"/>
      <c r="D81" s="29"/>
      <c r="E81" s="30"/>
      <c r="F81" s="30"/>
      <c r="G81" s="31"/>
      <c r="H81" s="32"/>
      <c r="I81" s="32"/>
      <c r="J81" s="33"/>
    </row>
    <row r="82" spans="1:256" x14ac:dyDescent="0.25">
      <c r="C82" s="28" t="s">
        <v>157</v>
      </c>
      <c r="D82" s="29"/>
      <c r="E82" s="30"/>
      <c r="F82" s="30"/>
      <c r="G82" s="31"/>
      <c r="H82" s="32" t="s">
        <v>139</v>
      </c>
      <c r="I82" s="32" t="s">
        <v>139</v>
      </c>
      <c r="J82" s="33"/>
    </row>
    <row r="83" spans="1:256" x14ac:dyDescent="0.25">
      <c r="C83" s="20"/>
      <c r="D83" s="29"/>
      <c r="E83" s="30"/>
      <c r="F83" s="30"/>
      <c r="G83" s="31"/>
      <c r="H83" s="32"/>
      <c r="I83" s="32"/>
      <c r="J83" s="33"/>
    </row>
    <row r="84" spans="1:256" x14ac:dyDescent="0.25">
      <c r="C84" s="28" t="s">
        <v>158</v>
      </c>
      <c r="D84" s="29"/>
      <c r="E84" s="30"/>
      <c r="F84" s="30"/>
      <c r="G84" s="31"/>
      <c r="H84" s="32" t="s">
        <v>139</v>
      </c>
      <c r="I84" s="32" t="s">
        <v>139</v>
      </c>
      <c r="J84" s="33"/>
    </row>
    <row r="85" spans="1:256" x14ac:dyDescent="0.25">
      <c r="C85" s="20"/>
      <c r="D85" s="29"/>
      <c r="E85" s="30"/>
      <c r="F85" s="30"/>
      <c r="G85" s="31"/>
      <c r="H85" s="32"/>
      <c r="I85" s="32"/>
      <c r="J85" s="33"/>
    </row>
    <row r="86" spans="1:256" x14ac:dyDescent="0.25">
      <c r="A86" s="26"/>
      <c r="B86" s="27"/>
      <c r="C86" s="28" t="s">
        <v>159</v>
      </c>
      <c r="D86" s="29"/>
      <c r="E86" s="30"/>
      <c r="F86" s="30"/>
      <c r="G86" s="31"/>
      <c r="H86" s="32"/>
      <c r="I86" s="32"/>
      <c r="J86" s="33"/>
    </row>
    <row r="87" spans="1:256" x14ac:dyDescent="0.25">
      <c r="B87" s="1"/>
      <c r="C87" s="20" t="s">
        <v>160</v>
      </c>
      <c r="D87" s="29"/>
      <c r="E87" s="30"/>
      <c r="F87" s="30"/>
      <c r="G87" s="31"/>
      <c r="H87" s="32">
        <v>95.77</v>
      </c>
      <c r="I87" s="32">
        <v>1.82</v>
      </c>
      <c r="J87" s="33"/>
    </row>
    <row r="88" spans="1:256" x14ac:dyDescent="0.25">
      <c r="C88" s="28" t="s">
        <v>137</v>
      </c>
      <c r="D88" s="29"/>
      <c r="E88" s="30"/>
      <c r="F88" s="30"/>
      <c r="G88" s="31"/>
      <c r="H88" s="35">
        <v>95.77</v>
      </c>
      <c r="I88" s="35">
        <v>1.82</v>
      </c>
      <c r="J88" s="33"/>
    </row>
    <row r="89" spans="1:256" x14ac:dyDescent="0.25">
      <c r="C89" s="20"/>
      <c r="D89" s="29"/>
      <c r="E89" s="30"/>
      <c r="F89" s="30"/>
      <c r="G89" s="31"/>
      <c r="H89" s="32"/>
      <c r="I89" s="32"/>
      <c r="J89" s="33"/>
    </row>
    <row r="90" spans="1:256" ht="14.25" thickBot="1" x14ac:dyDescent="0.3">
      <c r="C90" s="36" t="s">
        <v>161</v>
      </c>
      <c r="D90" s="37"/>
      <c r="E90" s="38"/>
      <c r="F90" s="39"/>
      <c r="G90" s="40"/>
      <c r="H90" s="41">
        <v>5247.89</v>
      </c>
      <c r="I90" s="41">
        <f>SUMIFS(I:I,C:C,"Total")</f>
        <v>100</v>
      </c>
      <c r="J90" s="42"/>
    </row>
    <row r="93" spans="1:256" x14ac:dyDescent="0.25">
      <c r="C93" s="11" t="s">
        <v>162</v>
      </c>
    </row>
    <row r="94" spans="1:256" customFormat="1" ht="29.25" customHeight="1" x14ac:dyDescent="0.25">
      <c r="A94" s="2"/>
      <c r="B94" s="2"/>
      <c r="C94" s="61" t="s">
        <v>163</v>
      </c>
      <c r="D94" s="61"/>
      <c r="E94" s="61"/>
      <c r="F94" s="61"/>
      <c r="G94" s="61"/>
      <c r="H94" s="61"/>
      <c r="I94" s="61"/>
      <c r="J94" s="61"/>
      <c r="K94" s="61"/>
      <c r="L94" s="1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10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10"/>
      <c r="AW94" s="2"/>
      <c r="AX94" s="10"/>
      <c r="AY94" s="2"/>
      <c r="AZ94" s="2"/>
      <c r="BA94" s="2"/>
      <c r="BB94" s="10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</row>
    <row r="95" spans="1:256" x14ac:dyDescent="0.25">
      <c r="C95" s="2" t="s">
        <v>164</v>
      </c>
    </row>
    <row r="96" spans="1:256" x14ac:dyDescent="0.25">
      <c r="C96" s="2" t="s">
        <v>165</v>
      </c>
    </row>
    <row r="97" spans="3:5" x14ac:dyDescent="0.25">
      <c r="C97" s="2" t="s">
        <v>166</v>
      </c>
    </row>
    <row r="98" spans="3:5" x14ac:dyDescent="0.25">
      <c r="C98" s="2" t="s">
        <v>167</v>
      </c>
    </row>
    <row r="99" spans="3:5" ht="14.25" thickBot="1" x14ac:dyDescent="0.3">
      <c r="C99" s="2" t="s">
        <v>168</v>
      </c>
    </row>
    <row r="100" spans="3:5" ht="14.25" thickBot="1" x14ac:dyDescent="0.3">
      <c r="C100" s="43"/>
      <c r="D100" s="62" t="s">
        <v>169</v>
      </c>
      <c r="E100" s="63"/>
    </row>
    <row r="101" spans="3:5" x14ac:dyDescent="0.25">
      <c r="C101" s="44" t="s">
        <v>170</v>
      </c>
      <c r="D101" s="45" t="s">
        <v>171</v>
      </c>
      <c r="E101" s="46" t="s">
        <v>171</v>
      </c>
    </row>
    <row r="102" spans="3:5" ht="14.25" thickBot="1" x14ac:dyDescent="0.3">
      <c r="C102" s="47"/>
      <c r="D102" s="48" t="s">
        <v>172</v>
      </c>
      <c r="E102" s="49" t="s">
        <v>173</v>
      </c>
    </row>
    <row r="103" spans="3:5" ht="14.25" thickBot="1" x14ac:dyDescent="0.3">
      <c r="C103" s="50" t="s">
        <v>174</v>
      </c>
      <c r="D103" s="51">
        <v>71.63</v>
      </c>
      <c r="E103" s="51">
        <v>71.180000000000007</v>
      </c>
    </row>
    <row r="104" spans="3:5" ht="14.25" thickBot="1" x14ac:dyDescent="0.3">
      <c r="C104" s="50" t="s">
        <v>175</v>
      </c>
      <c r="D104" s="51">
        <v>163.51</v>
      </c>
      <c r="E104" s="51">
        <v>162.47999999999999</v>
      </c>
    </row>
    <row r="105" spans="3:5" ht="14.25" thickBot="1" x14ac:dyDescent="0.3">
      <c r="C105" s="50" t="s">
        <v>176</v>
      </c>
      <c r="D105" s="51">
        <v>76.25</v>
      </c>
      <c r="E105" s="51">
        <v>75.78</v>
      </c>
    </row>
    <row r="106" spans="3:5" ht="14.25" thickBot="1" x14ac:dyDescent="0.3">
      <c r="C106" s="50" t="s">
        <v>177</v>
      </c>
      <c r="D106" s="51">
        <v>173.1</v>
      </c>
      <c r="E106" s="51">
        <v>172.04</v>
      </c>
    </row>
    <row r="108" spans="3:5" x14ac:dyDescent="0.25">
      <c r="C108" s="2" t="s">
        <v>178</v>
      </c>
    </row>
    <row r="109" spans="3:5" x14ac:dyDescent="0.25">
      <c r="C109" s="2" t="s">
        <v>179</v>
      </c>
    </row>
    <row r="110" spans="3:5" x14ac:dyDescent="0.25">
      <c r="C110" s="2" t="s">
        <v>180</v>
      </c>
    </row>
    <row r="111" spans="3:5" x14ac:dyDescent="0.25">
      <c r="C111" s="2" t="s">
        <v>181</v>
      </c>
    </row>
    <row r="112" spans="3:5" x14ac:dyDescent="0.25">
      <c r="C112" s="2" t="s">
        <v>182</v>
      </c>
    </row>
    <row r="113" spans="3:3" x14ac:dyDescent="0.25">
      <c r="C113" s="2" t="s">
        <v>183</v>
      </c>
    </row>
    <row r="114" spans="3:3" x14ac:dyDescent="0.25">
      <c r="C114" s="2" t="s">
        <v>184</v>
      </c>
    </row>
    <row r="115" spans="3:3" x14ac:dyDescent="0.25">
      <c r="C115" s="2" t="s">
        <v>185</v>
      </c>
    </row>
    <row r="116" spans="3:3" x14ac:dyDescent="0.25">
      <c r="C116" s="2" t="s">
        <v>186</v>
      </c>
    </row>
  </sheetData>
  <mergeCells count="2">
    <mergeCell ref="C94:K94"/>
    <mergeCell ref="D100:E10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818A-7A05-4CD7-BC3E-627FE7800AFC}">
  <dimension ref="C3:M17"/>
  <sheetViews>
    <sheetView workbookViewId="0"/>
  </sheetViews>
  <sheetFormatPr defaultRowHeight="15" x14ac:dyDescent="0.25"/>
  <cols>
    <col min="3" max="3" width="47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2" t="s">
        <v>187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188</v>
      </c>
      <c r="D4" s="66" t="s">
        <v>189</v>
      </c>
      <c r="E4" s="66"/>
      <c r="F4" s="66" t="s">
        <v>190</v>
      </c>
      <c r="G4" s="66"/>
      <c r="H4" s="66" t="s">
        <v>191</v>
      </c>
      <c r="I4" s="66"/>
      <c r="J4" s="67" t="s">
        <v>192</v>
      </c>
      <c r="K4" s="68"/>
      <c r="L4" s="69" t="s">
        <v>193</v>
      </c>
      <c r="M4" s="69"/>
    </row>
    <row r="5" spans="3:13" ht="63.75" x14ac:dyDescent="0.25">
      <c r="C5" s="55"/>
      <c r="D5" s="56" t="s">
        <v>194</v>
      </c>
      <c r="E5" s="56" t="s">
        <v>195</v>
      </c>
      <c r="F5" s="56" t="s">
        <v>194</v>
      </c>
      <c r="G5" s="56" t="s">
        <v>195</v>
      </c>
      <c r="H5" s="56" t="s">
        <v>194</v>
      </c>
      <c r="I5" s="56" t="s">
        <v>195</v>
      </c>
      <c r="J5" s="56" t="s">
        <v>194</v>
      </c>
      <c r="K5" s="56" t="s">
        <v>195</v>
      </c>
      <c r="L5" s="57" t="s">
        <v>194</v>
      </c>
      <c r="M5" s="57" t="s">
        <v>195</v>
      </c>
    </row>
    <row r="6" spans="3:13" x14ac:dyDescent="0.25">
      <c r="C6" s="58" t="s">
        <v>196</v>
      </c>
      <c r="D6" s="59">
        <v>5.2945000000000002</v>
      </c>
      <c r="E6" s="59">
        <v>10529.453697103232</v>
      </c>
      <c r="F6" s="59">
        <v>14.796900000000001</v>
      </c>
      <c r="G6" s="59">
        <v>15139.768915393215</v>
      </c>
      <c r="H6" s="59">
        <v>13.7522</v>
      </c>
      <c r="I6" s="59">
        <v>19052.532833020636</v>
      </c>
      <c r="J6" s="59">
        <v>10.1904</v>
      </c>
      <c r="K6" s="59">
        <v>26410.923276983092</v>
      </c>
      <c r="L6" s="59">
        <v>10.779500000000001</v>
      </c>
      <c r="M6" s="59">
        <v>162480</v>
      </c>
    </row>
    <row r="7" spans="3:13" x14ac:dyDescent="0.25">
      <c r="C7" s="58" t="s">
        <v>197</v>
      </c>
      <c r="D7" s="59">
        <v>10.4872055</v>
      </c>
      <c r="E7" s="59">
        <v>10969.43</v>
      </c>
      <c r="F7" s="59">
        <v>15.518838000000001</v>
      </c>
      <c r="G7" s="59">
        <v>15309.229194017875</v>
      </c>
      <c r="H7" s="59">
        <v>15.651914</v>
      </c>
      <c r="I7" s="59">
        <v>20547.524687459227</v>
      </c>
      <c r="J7" s="59">
        <v>14.428296</v>
      </c>
      <c r="K7" s="59">
        <v>19550.337495055417</v>
      </c>
      <c r="L7" s="59" t="s">
        <v>198</v>
      </c>
      <c r="M7" s="59">
        <v>361213.60694708105</v>
      </c>
    </row>
    <row r="8" spans="3:13" x14ac:dyDescent="0.25">
      <c r="C8" s="58" t="s">
        <v>199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12.582599999999999</v>
      </c>
      <c r="M8" s="59">
        <v>387630.21364745509</v>
      </c>
    </row>
    <row r="9" spans="3:13" x14ac:dyDescent="0.25">
      <c r="C9" s="58" t="s">
        <v>200</v>
      </c>
      <c r="D9" s="64">
        <v>154.31</v>
      </c>
      <c r="E9" s="65"/>
      <c r="F9" s="64">
        <v>107.32</v>
      </c>
      <c r="G9" s="65"/>
      <c r="H9" s="64">
        <v>85.28</v>
      </c>
      <c r="I9" s="65"/>
      <c r="J9" s="64">
        <v>61.52</v>
      </c>
      <c r="K9" s="65"/>
      <c r="L9" s="64">
        <v>10</v>
      </c>
      <c r="M9" s="65"/>
    </row>
    <row r="11" spans="3:13" ht="15.75" x14ac:dyDescent="0.25">
      <c r="C11" s="52" t="s">
        <v>202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188</v>
      </c>
      <c r="D12" s="66" t="s">
        <v>189</v>
      </c>
      <c r="E12" s="66"/>
      <c r="F12" s="66" t="s">
        <v>190</v>
      </c>
      <c r="G12" s="66"/>
      <c r="H12" s="66" t="s">
        <v>191</v>
      </c>
      <c r="I12" s="66"/>
      <c r="J12" s="67" t="s">
        <v>192</v>
      </c>
      <c r="K12" s="68"/>
      <c r="L12" s="69" t="s">
        <v>193</v>
      </c>
      <c r="M12" s="69"/>
    </row>
    <row r="13" spans="3:13" ht="63.75" x14ac:dyDescent="0.25">
      <c r="C13" s="55"/>
      <c r="D13" s="56" t="s">
        <v>194</v>
      </c>
      <c r="E13" s="56" t="s">
        <v>195</v>
      </c>
      <c r="F13" s="56" t="s">
        <v>194</v>
      </c>
      <c r="G13" s="56" t="s">
        <v>195</v>
      </c>
      <c r="H13" s="56" t="s">
        <v>194</v>
      </c>
      <c r="I13" s="56" t="s">
        <v>195</v>
      </c>
      <c r="J13" s="56" t="s">
        <v>194</v>
      </c>
      <c r="K13" s="56" t="s">
        <v>195</v>
      </c>
      <c r="L13" s="57" t="s">
        <v>194</v>
      </c>
      <c r="M13" s="57" t="s">
        <v>195</v>
      </c>
    </row>
    <row r="14" spans="3:13" x14ac:dyDescent="0.25">
      <c r="C14" s="58" t="s">
        <v>196</v>
      </c>
      <c r="D14" s="59">
        <v>5.4942000000000002</v>
      </c>
      <c r="E14" s="59">
        <v>10549.423595781211</v>
      </c>
      <c r="F14" s="59">
        <v>14.9434</v>
      </c>
      <c r="G14" s="59">
        <v>15197.879858657243</v>
      </c>
      <c r="H14" s="59">
        <v>13.878</v>
      </c>
      <c r="I14" s="59">
        <v>19158.129175946546</v>
      </c>
      <c r="J14" s="59">
        <v>10.6027</v>
      </c>
      <c r="K14" s="59">
        <v>27416.733067729081</v>
      </c>
      <c r="L14" s="59">
        <v>10.9162</v>
      </c>
      <c r="M14" s="59">
        <v>38643.30637915543</v>
      </c>
    </row>
    <row r="15" spans="3:13" x14ac:dyDescent="0.25">
      <c r="C15" s="58" t="s">
        <v>197</v>
      </c>
      <c r="D15" s="59">
        <v>10.4872055</v>
      </c>
      <c r="E15" s="59">
        <v>10969.43</v>
      </c>
      <c r="F15" s="59">
        <v>15.518838000000001</v>
      </c>
      <c r="G15" s="59">
        <v>15309.229194017875</v>
      </c>
      <c r="H15" s="59">
        <v>15.651914</v>
      </c>
      <c r="I15" s="59">
        <v>20547.524687459227</v>
      </c>
      <c r="J15" s="59">
        <v>14.428296</v>
      </c>
      <c r="K15" s="59">
        <v>19550.337495055417</v>
      </c>
      <c r="L15" s="59">
        <v>13.773089000000001</v>
      </c>
      <c r="M15" s="59">
        <v>52794.237756300732</v>
      </c>
    </row>
    <row r="16" spans="3:13" x14ac:dyDescent="0.25">
      <c r="C16" s="58" t="s">
        <v>199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13.3363</v>
      </c>
      <c r="M16" s="59">
        <v>50909.33171623668</v>
      </c>
    </row>
    <row r="17" spans="3:13" x14ac:dyDescent="0.25">
      <c r="C17" s="60" t="s">
        <v>201</v>
      </c>
      <c r="D17" s="64">
        <v>163.08000000000001</v>
      </c>
      <c r="E17" s="65"/>
      <c r="F17" s="64">
        <v>113.2</v>
      </c>
      <c r="G17" s="65"/>
      <c r="H17" s="64">
        <v>89.8</v>
      </c>
      <c r="I17" s="65"/>
      <c r="J17" s="64">
        <v>62.75</v>
      </c>
      <c r="K17" s="65"/>
      <c r="L17" s="64">
        <v>44.52</v>
      </c>
      <c r="M17" s="65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2026-01-06T06:54:48Z</dcterms:created>
  <dcterms:modified xsi:type="dcterms:W3CDTF">2026-01-07T12:20:26Z</dcterms:modified>
</cp:coreProperties>
</file>