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6-27\1. APR 2026\Monthly Portfolio\Ops\"/>
    </mc:Choice>
  </mc:AlternateContent>
  <xr:revisionPtr revIDLastSave="0" documentId="13_ncr:1_{524621C3-5D86-4A8B-901C-7ADCDA80CE3D}" xr6:coauthVersionLast="47" xr6:coauthVersionMax="47" xr10:uidLastSave="{00000000-0000-0000-0000-000000000000}"/>
  <bookViews>
    <workbookView xWindow="-120" yWindow="-120" windowWidth="20730" windowHeight="11040" activeTab="1" xr2:uid="{E6DF6A34-AF38-4773-9C65-58DF64D6B7B5}"/>
  </bookViews>
  <sheets>
    <sheet name="TTS" sheetId="1" r:id="rId1"/>
    <sheet name="TTS Performance" sheetId="2" r:id="rId2"/>
  </sheets>
  <externalReferences>
    <externalReference r:id="rId3"/>
  </externalReferences>
  <definedNames>
    <definedName name="XDO_?CLASS_3?7?">TTS!$C$8:$C$41</definedName>
    <definedName name="XDO_?FINAL_ISIN?14?">TTS!$D$10:$D$41</definedName>
    <definedName name="XDO_?FINAL_ISIN?15?">TTS!$D$10:$D$85</definedName>
    <definedName name="XDO_?FINAL_MV?14?">TTS!$H$10:$H$41</definedName>
    <definedName name="XDO_?FINAL_MV?15?">TTS!$H$10:$H$85</definedName>
    <definedName name="XDO_?FINAL_NAME?14?">TTS!$C$10:$C$41</definedName>
    <definedName name="XDO_?FINAL_NAME?15?">TTS!$C$10:$C$85</definedName>
    <definedName name="XDO_?FINAL_PER_NET?14?">TTS!$I$10:$I$41</definedName>
    <definedName name="XDO_?FINAL_PER_NET?15?">TTS!$I$10:$I$85</definedName>
    <definedName name="XDO_?FINAL_QUANTITE?14?">TTS!$G$10:$G$41</definedName>
    <definedName name="XDO_?FINAL_QUANTITE?15?">TTS!$G$10:$G$85</definedName>
    <definedName name="XDO_?IND_01?14?">TTS!$F$10:$F$41</definedName>
    <definedName name="XDO_?IND_01?15?">TTS!$F$10:$F$85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TTS!#REF!</definedName>
    <definedName name="XDO_?NAMCNAME?7?">TTS!$C$2:$C$41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TTS!#REF!</definedName>
    <definedName name="XDO_?NOVAL?14?">TTS!$B$10:$B$41</definedName>
    <definedName name="XDO_?NOVAL?15?">TTS!$B$10:$B$85</definedName>
    <definedName name="XDO_?NPTF?7?">TTS!$D$2:$D$41</definedName>
    <definedName name="XDO_?RATING?14?">TTS!$E$10:$E$41</definedName>
    <definedName name="XDO_?RATING?15?">TTS!$E$10:$E$85</definedName>
    <definedName name="XDO_?REMARKS?14?">TTS!$J$10:$J$41</definedName>
    <definedName name="XDO_?REMARKS?15?">TTS!$J$10:$J$85</definedName>
    <definedName name="XDO_?TITL?7?">TTS!$A$8:$A$41</definedName>
    <definedName name="XDO_GROUP_?G_2?7?">TTS!$2:$88</definedName>
    <definedName name="XDO_GROUP_?G_3?7?">TTS!$8:$87</definedName>
    <definedName name="XDO_GROUP_?G_4?14?">TTS!$B$10:$IV$41</definedName>
    <definedName name="XDO_GROUP_?G_4?15?">TTS!$B$85:$IV$85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8" i="1" l="1"/>
</calcChain>
</file>

<file path=xl/sharedStrings.xml><?xml version="1.0" encoding="utf-8"?>
<sst xmlns="http://schemas.openxmlformats.org/spreadsheetml/2006/main" count="272" uniqueCount="198">
  <si>
    <t>TAURUS MUTUAL FUND</t>
  </si>
  <si>
    <t>TTS</t>
  </si>
  <si>
    <t>SCHEME NAME :</t>
  </si>
  <si>
    <t>Taurus Elss Tax Saver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</si>
  <si>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</si>
  <si>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</si>
  <si>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</si>
  <si>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</si>
  <si>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</si>
  <si>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</si>
  <si>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</si>
  <si>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</si>
  <si>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</si>
  <si>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</si>
  <si>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</si>
  <si>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100019</t>
  </si>
  <si>
    <t>ITC Ltd.</t>
  </si>
  <si>
    <t>INE154A01025</t>
  </si>
  <si>
    <t>Diversified FMCG</t>
  </si>
  <si>
    <t>100006</t>
  </si>
  <si>
    <t>HDFC Bank Ltd.</t>
  </si>
  <si>
    <t>INE040A01034</t>
  </si>
  <si>
    <t>Banks</t>
  </si>
  <si>
    <t>100325</t>
  </si>
  <si>
    <t>Bajaj Holdings &amp; Investment Ltd.</t>
  </si>
  <si>
    <t>INE118A01012</t>
  </si>
  <si>
    <t>Finance</t>
  </si>
  <si>
    <t>100012</t>
  </si>
  <si>
    <t>ICICI Bank Ltd.</t>
  </si>
  <si>
    <t>INE090A01021</t>
  </si>
  <si>
    <t>100182</t>
  </si>
  <si>
    <t>Power Grid Corporation of India Ltd.</t>
  </si>
  <si>
    <t>INE752E01010</t>
  </si>
  <si>
    <t>Power</t>
  </si>
  <si>
    <t>100155</t>
  </si>
  <si>
    <t>Divi's Laboratories Ltd.</t>
  </si>
  <si>
    <t>INE361B01024</t>
  </si>
  <si>
    <t>Pharmaceuticals &amp; Biotechnology</t>
  </si>
  <si>
    <t>100097</t>
  </si>
  <si>
    <t>Coal India Ltd.</t>
  </si>
  <si>
    <t>INE522F01014</t>
  </si>
  <si>
    <t>Consumable Fuels</t>
  </si>
  <si>
    <t>102663</t>
  </si>
  <si>
    <t>Pace Digitek Ltd.</t>
  </si>
  <si>
    <t>INE0S3G01027</t>
  </si>
  <si>
    <t>Telecom - Services</t>
  </si>
  <si>
    <t>100474</t>
  </si>
  <si>
    <t>Narayana Hrudayalaya Ltd.</t>
  </si>
  <si>
    <t>INE410P01011</t>
  </si>
  <si>
    <t>Healthcare Services</t>
  </si>
  <si>
    <t>100694</t>
  </si>
  <si>
    <t>Indian Energy Exchange Ltd.</t>
  </si>
  <si>
    <t>INE022Q01020</t>
  </si>
  <si>
    <t>Capital Markets</t>
  </si>
  <si>
    <t>100014</t>
  </si>
  <si>
    <t>Mahindra &amp; Mahindra Ltd.</t>
  </si>
  <si>
    <t>INE101A01026</t>
  </si>
  <si>
    <t>Automobiles</t>
  </si>
  <si>
    <t>100024</t>
  </si>
  <si>
    <t>Axis Bank Ltd.</t>
  </si>
  <si>
    <t>INE238A01034</t>
  </si>
  <si>
    <t>100037</t>
  </si>
  <si>
    <t>HCL Technologies Ltd.</t>
  </si>
  <si>
    <t>INE860A01027</t>
  </si>
  <si>
    <t>IT - Software</t>
  </si>
  <si>
    <t>102729</t>
  </si>
  <si>
    <t>Park Medi World Ltd.</t>
  </si>
  <si>
    <t>INE119201023</t>
  </si>
  <si>
    <t>100095</t>
  </si>
  <si>
    <t>Bharti Airtel Ltd.</t>
  </si>
  <si>
    <t>INE397D01024</t>
  </si>
  <si>
    <t>101184</t>
  </si>
  <si>
    <t>Mazagon Dock Shipbuilders Ltd.</t>
  </si>
  <si>
    <t>INE249Z01020</t>
  </si>
  <si>
    <t>Industrial Manufacturing</t>
  </si>
  <si>
    <t>100194</t>
  </si>
  <si>
    <t>Power Finance Corporation Ltd.</t>
  </si>
  <si>
    <t>INE134E01011</t>
  </si>
  <si>
    <t>100003</t>
  </si>
  <si>
    <t>Infosys Ltd.</t>
  </si>
  <si>
    <t>INE009A01021</t>
  </si>
  <si>
    <t>100133</t>
  </si>
  <si>
    <t>Oracle Financial Services Software Ltd.</t>
  </si>
  <si>
    <t>INE881D01027</t>
  </si>
  <si>
    <t>100100</t>
  </si>
  <si>
    <t>Hindustan Petroleum Corporation Ltd.</t>
  </si>
  <si>
    <t>INE094A01015</t>
  </si>
  <si>
    <t>Petroleum Products</t>
  </si>
  <si>
    <t>100177</t>
  </si>
  <si>
    <t>Grasim Industries Ltd.</t>
  </si>
  <si>
    <t>INE047A01021</t>
  </si>
  <si>
    <t>Cement &amp; Cement Products</t>
  </si>
  <si>
    <t>102677</t>
  </si>
  <si>
    <t>LG Electronics India Ltd.</t>
  </si>
  <si>
    <t>INE324D01010</t>
  </si>
  <si>
    <t>Consumer Durables</t>
  </si>
  <si>
    <t>100661</t>
  </si>
  <si>
    <t>Central Depository Services (I) Ltd.</t>
  </si>
  <si>
    <t>INE736A01011</t>
  </si>
  <si>
    <t>100814</t>
  </si>
  <si>
    <t>HDFC Asset Management Co. Ltd.</t>
  </si>
  <si>
    <t>INE127D01025</t>
  </si>
  <si>
    <t>100573</t>
  </si>
  <si>
    <t>Chennai Petroleum Corporation Ltd.</t>
  </si>
  <si>
    <t>INE178A01016</t>
  </si>
  <si>
    <t>101550</t>
  </si>
  <si>
    <t>Life Insurance Corporation of India</t>
  </si>
  <si>
    <t>INE0J1Y01017</t>
  </si>
  <si>
    <t>Insurance</t>
  </si>
  <si>
    <t>102094</t>
  </si>
  <si>
    <t>HBL Engineering Ltd.</t>
  </si>
  <si>
    <t>INE292B01021</t>
  </si>
  <si>
    <t>Industrial Products</t>
  </si>
  <si>
    <t>100388</t>
  </si>
  <si>
    <t>Balrampur Chini Mills Ltd.</t>
  </si>
  <si>
    <t>INE119A01028</t>
  </si>
  <si>
    <t>Agricultural Food &amp; other Products</t>
  </si>
  <si>
    <t>101365</t>
  </si>
  <si>
    <t>Voltamp Transformers Ltd.</t>
  </si>
  <si>
    <t>INE540H01012</t>
  </si>
  <si>
    <t>Electrical Equipment</t>
  </si>
  <si>
    <t>102206</t>
  </si>
  <si>
    <t>Chemtech Industrial Valves Ltd.</t>
  </si>
  <si>
    <t>INE212P01011</t>
  </si>
  <si>
    <t>100389</t>
  </si>
  <si>
    <t>Zydus Wellness Ltd.</t>
  </si>
  <si>
    <t>INE768C01028</t>
  </si>
  <si>
    <t>Food Products</t>
  </si>
  <si>
    <t>101967</t>
  </si>
  <si>
    <t>Globus Spirits Ltd.</t>
  </si>
  <si>
    <t>INE615I01010</t>
  </si>
  <si>
    <t>Beverages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</si>
  <si>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</si>
  <si>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</si>
  <si>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</si>
  <si>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</si>
  <si>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</si>
  <si>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</si>
  <si>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</si>
  <si>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</si>
  <si>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</si>
  <si>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</si>
  <si>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</si>
  <si>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</si>
  <si>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</si>
  <si>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</si>
  <si>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</si>
  <si>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</si>
  <si>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</si>
  <si>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</si>
  <si>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</si>
  <si>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</si>
  <si>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</si>
  <si>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</si>
  <si>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</si>
  <si>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</si>
  <si>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</si>
  <si>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</si>
  <si>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</si>
  <si>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</si>
  <si>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</si>
  <si>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</si>
  <si>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</si>
  <si>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</si>
  <si>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</si>
  <si>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</si>
  <si>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</si>
  <si>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February 28, 2026</t>
  </si>
  <si>
    <t>March 31, 2026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</si>
  <si>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</si>
  <si>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</si>
  <si>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</si>
  <si>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</si>
  <si>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March 31, 2026.</t>
  </si>
  <si>
    <t>7. The Scheme did not declare any bonus during the month ended as on March 31, 2026.</t>
  </si>
  <si>
    <t>8. Total outstanding exposure in derivative instruments as on March 31, 2026 is Nil</t>
  </si>
  <si>
    <t>9. Total investments in Foreign Securities /ADRs/GDRs /Overseas ETFs as on March 31, 2026 and its percentage to NAV is Nil.</t>
  </si>
  <si>
    <t>10. During the period, the portfolio turnover ratio is 0.74 times.</t>
  </si>
  <si>
    <t>      Portfolio Turnover Ratio = Lower of sales or purchase of securities divided by average AUM for 12 months ended as on March 31, 2026</t>
  </si>
  <si>
    <t>11. The Scheme did not invest in repo transactions of corporate debt securities during the month ended as on March 31, 2026.</t>
  </si>
  <si>
    <t>12. The Scheme did not invest in credit default swaps during the month ended as on March 31, 2026.</t>
  </si>
  <si>
    <t>13. There are Nil instances of deviation from the valuation principles/guidelines during the month ended as on March 31st, 2026.</t>
  </si>
  <si>
    <t>Taurus Elss Tax Saver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</si>
  <si>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</si>
  <si>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</si>
  <si>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</si>
  <si>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</si>
  <si>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</si>
  <si>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</si>
  <si>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</si>
  <si>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</si>
  <si>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</si>
  <si>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500 TRI (Benchmark)</t>
  </si>
  <si>
    <t>-</t>
  </si>
  <si>
    <t>Nifty 50 TRI (Additional Benchmark)</t>
  </si>
  <si>
    <t>NAV [Rs.] Per Unit (as on March 30,2026 :158.78)</t>
  </si>
  <si>
    <t>Taurus Elss Tax Saver Fund - Direct Plan Growth Option</t>
  </si>
  <si>
    <t>NAV [Rs.] Per Unit (as on March 30,2026 :173.85)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</si>
</sst>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68" fontId="1" fillId="0" borderId="25" xfId="1" applyNumberFormat="1" applyBorder="1" applyAlignment="1">
      <alignment horizontal="center"/>
    </xf>
    <xf numFmtId="168" fontId="1" fillId="0" borderId="26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3" fillId="3" borderId="25" xfId="0" applyFont="1" applyFill="1" applyBorder="1" applyAlignment="1">
      <alignment horizontal="center"/>
    </xf>
    <xf numFmtId="0" fontId="13" fillId="3" borderId="26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</cellXfs>
  <cellStyles count="6">
    <cellStyle name="Comma" xfId="1" builtinId="3"/>
    <cellStyle name="Comma 2" xfId="5" xr:uid="{D965C906-CD38-412E-A308-58205F31D832}"/>
    <cellStyle name="Hyperlink" xfId="2" builtinId="8"/>
    <cellStyle name="Normal" xfId="0" builtinId="0"/>
    <cellStyle name="Normal 2" xfId="4" xr:uid="{9C2D17FB-F8A4-45D2-8FB4-E8D43AC53AD1}"/>
    <cellStyle name="Style 1" xfId="3" xr:uid="{57A821BE-616A-44BE-8B51-2FE9B63368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348064</xdr:colOff>
      <xdr:row>0</xdr:row>
      <xdr:rowOff>2074332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D1DBAB-CBB6-4999-9E49-17B4A210B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100231" cy="20743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715958</xdr:colOff>
      <xdr:row>0</xdr:row>
      <xdr:rowOff>2042582</xdr:rowOff>
    </xdr:to>
    <xdr:pic>
      <xdr:nvPicPr>
        <xdr:cNvPr id="3" name="Picture 2" descr="Product Label - 9th Dec 2024 - ELSS.jpg">
          <a:extLst>
            <a:ext uri="{FF2B5EF4-FFF2-40B4-BE49-F238E27FC236}">
              <a16:creationId xmlns:a16="http://schemas.microsoft.com/office/drawing/2014/main" id="{8006E199-B175-4BDD-93F3-AADDF3322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9333" y="0"/>
          <a:ext cx="7468125" cy="204258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Mar_2026\Final\Monthly_Portfolio_Report_March%202026.xls" TargetMode="External"/><Relationship Id="rId1" Type="http://schemas.openxmlformats.org/officeDocument/2006/relationships/externalLinkPath" Target="file:///Q:\5.TMF\Reporting\Monthly%20Reports\Monthly%20Portfolio\2025-26\Mar_2026\Final\Monthly_Portfolio_Report_March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97A8D-87D0-4719-BD41-B7E18A741054}">
  <dimension ref="A1:BB114"/>
  <sheetViews>
    <sheetView showGridLines="0" zoomScale="90" zoomScaleNormal="90" workbookViewId="0">
      <selection activeCell="H1" sqref="H1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8.7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46112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190569</v>
      </c>
      <c r="H10" s="32">
        <v>548.27</v>
      </c>
      <c r="I10" s="32">
        <v>8.52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69220</v>
      </c>
      <c r="H11" s="32">
        <v>506.55</v>
      </c>
      <c r="I11" s="32">
        <v>7.87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5200</v>
      </c>
      <c r="H12" s="32">
        <v>454.69</v>
      </c>
      <c r="I12" s="32">
        <v>7.06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22</v>
      </c>
      <c r="G13" s="31">
        <v>36470</v>
      </c>
      <c r="H13" s="32">
        <v>439.54</v>
      </c>
      <c r="I13" s="32">
        <v>6.83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144894</v>
      </c>
      <c r="H14" s="32">
        <v>429.18</v>
      </c>
      <c r="I14" s="32">
        <v>6.67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6224</v>
      </c>
      <c r="H15" s="32">
        <v>370.11</v>
      </c>
      <c r="I15" s="32">
        <v>5.75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70025</v>
      </c>
      <c r="H16" s="32">
        <v>315.29000000000002</v>
      </c>
      <c r="I16" s="32">
        <v>4.9000000000000004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222716</v>
      </c>
      <c r="H17" s="32">
        <v>313.7</v>
      </c>
      <c r="I17" s="32">
        <v>4.87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19453</v>
      </c>
      <c r="H18" s="32">
        <v>312.35000000000002</v>
      </c>
      <c r="I18" s="32">
        <v>4.8499999999999996</v>
      </c>
      <c r="J18" s="33"/>
    </row>
    <row r="19" spans="2:10" x14ac:dyDescent="0.25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270045</v>
      </c>
      <c r="H19" s="32">
        <v>309.74</v>
      </c>
      <c r="I19" s="32">
        <v>4.8099999999999996</v>
      </c>
      <c r="J19" s="33"/>
    </row>
    <row r="20" spans="2:10" x14ac:dyDescent="0.25">
      <c r="B20" s="1" t="s">
        <v>54</v>
      </c>
      <c r="C20" s="20" t="s">
        <v>55</v>
      </c>
      <c r="D20" s="29" t="s">
        <v>56</v>
      </c>
      <c r="E20" s="30"/>
      <c r="F20" s="30" t="s">
        <v>57</v>
      </c>
      <c r="G20" s="31">
        <v>7337</v>
      </c>
      <c r="H20" s="32">
        <v>216.89</v>
      </c>
      <c r="I20" s="32">
        <v>3.37</v>
      </c>
      <c r="J20" s="33"/>
    </row>
    <row r="21" spans="2:10" x14ac:dyDescent="0.25">
      <c r="B21" s="1" t="s">
        <v>58</v>
      </c>
      <c r="C21" s="20" t="s">
        <v>59</v>
      </c>
      <c r="D21" s="29" t="s">
        <v>60</v>
      </c>
      <c r="E21" s="30"/>
      <c r="F21" s="30" t="s">
        <v>22</v>
      </c>
      <c r="G21" s="31">
        <v>17408</v>
      </c>
      <c r="H21" s="32">
        <v>202.27</v>
      </c>
      <c r="I21" s="32">
        <v>3.14</v>
      </c>
      <c r="J21" s="33"/>
    </row>
    <row r="22" spans="2:10" x14ac:dyDescent="0.25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14191</v>
      </c>
      <c r="H22" s="32">
        <v>190.32</v>
      </c>
      <c r="I22" s="32">
        <v>2.96</v>
      </c>
      <c r="J22" s="33"/>
    </row>
    <row r="23" spans="2:10" x14ac:dyDescent="0.25">
      <c r="B23" s="1" t="s">
        <v>65</v>
      </c>
      <c r="C23" s="20" t="s">
        <v>66</v>
      </c>
      <c r="D23" s="29" t="s">
        <v>67</v>
      </c>
      <c r="E23" s="30"/>
      <c r="F23" s="30" t="s">
        <v>49</v>
      </c>
      <c r="G23" s="31">
        <v>85144</v>
      </c>
      <c r="H23" s="32">
        <v>161.47999999999999</v>
      </c>
      <c r="I23" s="32">
        <v>2.5099999999999998</v>
      </c>
      <c r="J23" s="33"/>
    </row>
    <row r="24" spans="2:10" x14ac:dyDescent="0.25">
      <c r="B24" s="1" t="s">
        <v>68</v>
      </c>
      <c r="C24" s="20" t="s">
        <v>69</v>
      </c>
      <c r="D24" s="29" t="s">
        <v>70</v>
      </c>
      <c r="E24" s="30"/>
      <c r="F24" s="30" t="s">
        <v>45</v>
      </c>
      <c r="G24" s="31">
        <v>8882</v>
      </c>
      <c r="H24" s="32">
        <v>158.47999999999999</v>
      </c>
      <c r="I24" s="32">
        <v>2.46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6727</v>
      </c>
      <c r="H25" s="32">
        <v>138.86000000000001</v>
      </c>
      <c r="I25" s="32">
        <v>2.16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26</v>
      </c>
      <c r="G26" s="31">
        <v>34916</v>
      </c>
      <c r="H26" s="32">
        <v>132.56</v>
      </c>
      <c r="I26" s="32">
        <v>2.06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64</v>
      </c>
      <c r="G27" s="31">
        <v>10325</v>
      </c>
      <c r="H27" s="32">
        <v>129.19</v>
      </c>
      <c r="I27" s="32">
        <v>2.0099999999999998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64</v>
      </c>
      <c r="G28" s="31">
        <v>1912</v>
      </c>
      <c r="H28" s="32">
        <v>128.61000000000001</v>
      </c>
      <c r="I28" s="32">
        <v>2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87</v>
      </c>
      <c r="G29" s="31">
        <v>31987</v>
      </c>
      <c r="H29" s="32">
        <v>107.24</v>
      </c>
      <c r="I29" s="32">
        <v>1.67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91</v>
      </c>
      <c r="G30" s="31">
        <v>3981</v>
      </c>
      <c r="H30" s="32">
        <v>101.73</v>
      </c>
      <c r="I30" s="32">
        <v>1.58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6950</v>
      </c>
      <c r="H31" s="32">
        <v>100.17</v>
      </c>
      <c r="I31" s="32">
        <v>1.56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53</v>
      </c>
      <c r="G32" s="31">
        <v>5823</v>
      </c>
      <c r="H32" s="32">
        <v>65.180000000000007</v>
      </c>
      <c r="I32" s="32">
        <v>1.01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53</v>
      </c>
      <c r="G33" s="31">
        <v>2936</v>
      </c>
      <c r="H33" s="32">
        <v>65.08</v>
      </c>
      <c r="I33" s="32">
        <v>1.01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87</v>
      </c>
      <c r="G34" s="31">
        <v>6211</v>
      </c>
      <c r="H34" s="32">
        <v>60.08</v>
      </c>
      <c r="I34" s="32">
        <v>0.93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108</v>
      </c>
      <c r="G35" s="31">
        <v>8000</v>
      </c>
      <c r="H35" s="32">
        <v>58.04</v>
      </c>
      <c r="I35" s="32">
        <v>0.9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8650</v>
      </c>
      <c r="H36" s="32">
        <v>53.18</v>
      </c>
      <c r="I36" s="32">
        <v>0.83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10000</v>
      </c>
      <c r="H37" s="32">
        <v>49.75</v>
      </c>
      <c r="I37" s="32">
        <v>0.77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120</v>
      </c>
      <c r="G38" s="31">
        <v>361</v>
      </c>
      <c r="H38" s="32">
        <v>31.35</v>
      </c>
      <c r="I38" s="32">
        <v>0.49</v>
      </c>
      <c r="J38" s="33"/>
    </row>
    <row r="39" spans="2:10" x14ac:dyDescent="0.25">
      <c r="B39" s="1" t="s">
        <v>121</v>
      </c>
      <c r="C39" s="20" t="s">
        <v>122</v>
      </c>
      <c r="D39" s="29" t="s">
        <v>123</v>
      </c>
      <c r="E39" s="30"/>
      <c r="F39" s="30" t="s">
        <v>74</v>
      </c>
      <c r="G39" s="31">
        <v>50000</v>
      </c>
      <c r="H39" s="32">
        <v>30.57</v>
      </c>
      <c r="I39" s="32">
        <v>0.47</v>
      </c>
      <c r="J39" s="33"/>
    </row>
    <row r="40" spans="2:10" x14ac:dyDescent="0.25">
      <c r="B40" s="1" t="s">
        <v>124</v>
      </c>
      <c r="C40" s="20" t="s">
        <v>125</v>
      </c>
      <c r="D40" s="29" t="s">
        <v>126</v>
      </c>
      <c r="E40" s="30"/>
      <c r="F40" s="30" t="s">
        <v>127</v>
      </c>
      <c r="G40" s="31">
        <v>4604</v>
      </c>
      <c r="H40" s="32">
        <v>19.62</v>
      </c>
      <c r="I40" s="32">
        <v>0.3</v>
      </c>
      <c r="J40" s="33"/>
    </row>
    <row r="41" spans="2:10" x14ac:dyDescent="0.25">
      <c r="B41" s="1" t="s">
        <v>128</v>
      </c>
      <c r="C41" s="20" t="s">
        <v>129</v>
      </c>
      <c r="D41" s="29" t="s">
        <v>130</v>
      </c>
      <c r="E41" s="30"/>
      <c r="F41" s="30" t="s">
        <v>131</v>
      </c>
      <c r="G41" s="31">
        <v>1720</v>
      </c>
      <c r="H41" s="32">
        <v>13.77</v>
      </c>
      <c r="I41" s="32">
        <v>0.21</v>
      </c>
      <c r="J41" s="33"/>
    </row>
    <row r="42" spans="2:10" x14ac:dyDescent="0.25">
      <c r="C42" s="28" t="s">
        <v>132</v>
      </c>
      <c r="D42" s="29"/>
      <c r="E42" s="30"/>
      <c r="F42" s="30"/>
      <c r="G42" s="31"/>
      <c r="H42" s="35">
        <v>6213.84</v>
      </c>
      <c r="I42" s="35">
        <v>96.53</v>
      </c>
      <c r="J42" s="33"/>
    </row>
    <row r="43" spans="2:10" x14ac:dyDescent="0.25">
      <c r="C43" s="20"/>
      <c r="D43" s="29"/>
      <c r="E43" s="30"/>
      <c r="F43" s="30"/>
      <c r="G43" s="31"/>
      <c r="H43" s="32"/>
      <c r="I43" s="32"/>
      <c r="J43" s="33"/>
    </row>
    <row r="44" spans="2:10" x14ac:dyDescent="0.25">
      <c r="C44" s="28" t="s">
        <v>133</v>
      </c>
      <c r="D44" s="29"/>
      <c r="E44" s="30"/>
      <c r="F44" s="30"/>
      <c r="G44" s="31"/>
      <c r="H44" s="32" t="s">
        <v>134</v>
      </c>
      <c r="I44" s="32" t="s">
        <v>134</v>
      </c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135</v>
      </c>
      <c r="D46" s="29"/>
      <c r="E46" s="30"/>
      <c r="F46" s="30"/>
      <c r="G46" s="31"/>
      <c r="H46" s="32" t="s">
        <v>134</v>
      </c>
      <c r="I46" s="32" t="s">
        <v>134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136</v>
      </c>
      <c r="D48" s="29"/>
      <c r="E48" s="30"/>
      <c r="F48" s="30"/>
      <c r="G48" s="31"/>
      <c r="H48" s="32"/>
      <c r="I48" s="32"/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137</v>
      </c>
      <c r="D50" s="29"/>
      <c r="E50" s="30"/>
      <c r="F50" s="30"/>
      <c r="G50" s="31"/>
      <c r="H50" s="32" t="s">
        <v>134</v>
      </c>
      <c r="I50" s="32" t="s">
        <v>134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138</v>
      </c>
      <c r="D52" s="29"/>
      <c r="E52" s="30"/>
      <c r="F52" s="30"/>
      <c r="G52" s="31"/>
      <c r="H52" s="32" t="s">
        <v>134</v>
      </c>
      <c r="I52" s="32" t="s">
        <v>134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139</v>
      </c>
      <c r="D54" s="29"/>
      <c r="E54" s="30"/>
      <c r="F54" s="30"/>
      <c r="G54" s="31"/>
      <c r="H54" s="32" t="s">
        <v>134</v>
      </c>
      <c r="I54" s="32" t="s">
        <v>134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140</v>
      </c>
      <c r="D56" s="29"/>
      <c r="E56" s="30"/>
      <c r="F56" s="30"/>
      <c r="G56" s="31"/>
      <c r="H56" s="32" t="s">
        <v>134</v>
      </c>
      <c r="I56" s="32" t="s">
        <v>134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141</v>
      </c>
      <c r="D58" s="29"/>
      <c r="E58" s="30"/>
      <c r="F58" s="30"/>
      <c r="G58" s="31"/>
      <c r="H58" s="32" t="s">
        <v>134</v>
      </c>
      <c r="I58" s="32" t="s">
        <v>134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142</v>
      </c>
      <c r="D60" s="29"/>
      <c r="E60" s="30"/>
      <c r="F60" s="30"/>
      <c r="G60" s="31"/>
      <c r="H60" s="32"/>
      <c r="I60" s="32"/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143</v>
      </c>
      <c r="D62" s="29"/>
      <c r="E62" s="30"/>
      <c r="F62" s="30"/>
      <c r="G62" s="31"/>
      <c r="H62" s="32" t="s">
        <v>134</v>
      </c>
      <c r="I62" s="32" t="s">
        <v>134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144</v>
      </c>
      <c r="D64" s="29"/>
      <c r="E64" s="30"/>
      <c r="F64" s="30"/>
      <c r="G64" s="31"/>
      <c r="H64" s="32" t="s">
        <v>134</v>
      </c>
      <c r="I64" s="32" t="s">
        <v>134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145</v>
      </c>
      <c r="D66" s="29"/>
      <c r="E66" s="30"/>
      <c r="F66" s="30"/>
      <c r="G66" s="31"/>
      <c r="H66" s="32" t="s">
        <v>134</v>
      </c>
      <c r="I66" s="32" t="s">
        <v>134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146</v>
      </c>
      <c r="D68" s="29"/>
      <c r="E68" s="30"/>
      <c r="F68" s="30"/>
      <c r="G68" s="31"/>
      <c r="H68" s="32" t="s">
        <v>134</v>
      </c>
      <c r="I68" s="32" t="s">
        <v>134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147</v>
      </c>
      <c r="D70" s="29"/>
      <c r="E70" s="30"/>
      <c r="F70" s="30"/>
      <c r="G70" s="31"/>
      <c r="H70" s="32"/>
      <c r="I70" s="32"/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148</v>
      </c>
      <c r="D72" s="29"/>
      <c r="E72" s="30"/>
      <c r="F72" s="30"/>
      <c r="G72" s="31"/>
      <c r="H72" s="32" t="s">
        <v>134</v>
      </c>
      <c r="I72" s="32" t="s">
        <v>134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149</v>
      </c>
      <c r="D74" s="29"/>
      <c r="E74" s="30"/>
      <c r="F74" s="30"/>
      <c r="G74" s="31"/>
      <c r="H74" s="32" t="s">
        <v>134</v>
      </c>
      <c r="I74" s="32" t="s">
        <v>134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150</v>
      </c>
      <c r="D76" s="29"/>
      <c r="E76" s="30"/>
      <c r="F76" s="30"/>
      <c r="G76" s="31"/>
      <c r="H76" s="32" t="s">
        <v>134</v>
      </c>
      <c r="I76" s="32" t="s">
        <v>134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151</v>
      </c>
      <c r="D78" s="29"/>
      <c r="E78" s="30"/>
      <c r="F78" s="30"/>
      <c r="G78" s="31"/>
      <c r="H78" s="32" t="s">
        <v>134</v>
      </c>
      <c r="I78" s="32" t="s">
        <v>134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152</v>
      </c>
      <c r="D80" s="29"/>
      <c r="E80" s="30"/>
      <c r="F80" s="30"/>
      <c r="G80" s="31"/>
      <c r="H80" s="32" t="s">
        <v>134</v>
      </c>
      <c r="I80" s="32" t="s">
        <v>134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153</v>
      </c>
      <c r="D82" s="29"/>
      <c r="E82" s="30"/>
      <c r="F82" s="30"/>
      <c r="G82" s="31"/>
      <c r="H82" s="32" t="s">
        <v>134</v>
      </c>
      <c r="I82" s="32" t="s">
        <v>134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A84" s="26"/>
      <c r="B84" s="27"/>
      <c r="C84" s="28" t="s">
        <v>154</v>
      </c>
      <c r="D84" s="29"/>
      <c r="E84" s="30"/>
      <c r="F84" s="30"/>
      <c r="G84" s="31"/>
      <c r="H84" s="32"/>
      <c r="I84" s="32"/>
      <c r="J84" s="33"/>
    </row>
    <row r="85" spans="1:10" x14ac:dyDescent="0.25">
      <c r="B85" s="1"/>
      <c r="C85" s="20" t="s">
        <v>155</v>
      </c>
      <c r="D85" s="29"/>
      <c r="E85" s="30"/>
      <c r="F85" s="30"/>
      <c r="G85" s="31"/>
      <c r="H85" s="32">
        <v>223.66</v>
      </c>
      <c r="I85" s="32">
        <v>3.47</v>
      </c>
      <c r="J85" s="33"/>
    </row>
    <row r="86" spans="1:10" x14ac:dyDescent="0.25">
      <c r="C86" s="28" t="s">
        <v>132</v>
      </c>
      <c r="D86" s="29"/>
      <c r="E86" s="30"/>
      <c r="F86" s="30"/>
      <c r="G86" s="31"/>
      <c r="H86" s="35">
        <v>223.66</v>
      </c>
      <c r="I86" s="35">
        <v>3.47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ht="14.25" thickBot="1" x14ac:dyDescent="0.3">
      <c r="C88" s="36" t="s">
        <v>156</v>
      </c>
      <c r="D88" s="37"/>
      <c r="E88" s="38"/>
      <c r="F88" s="39"/>
      <c r="G88" s="40"/>
      <c r="H88" s="41">
        <v>6437.5</v>
      </c>
      <c r="I88" s="41">
        <f>SUMIFS(I:I,C:C,"Total")</f>
        <v>100</v>
      </c>
      <c r="J88" s="42"/>
    </row>
    <row r="91" spans="1:10" x14ac:dyDescent="0.25">
      <c r="C91" s="11" t="s">
        <v>157</v>
      </c>
    </row>
    <row r="92" spans="1:10" x14ac:dyDescent="0.25">
      <c r="C92" s="2" t="s">
        <v>158</v>
      </c>
    </row>
    <row r="93" spans="1:10" x14ac:dyDescent="0.25">
      <c r="C93" s="2" t="s">
        <v>159</v>
      </c>
    </row>
    <row r="94" spans="1:10" x14ac:dyDescent="0.25">
      <c r="C94" s="2" t="s">
        <v>160</v>
      </c>
    </row>
    <row r="95" spans="1:10" x14ac:dyDescent="0.25">
      <c r="C95" s="2" t="s">
        <v>161</v>
      </c>
    </row>
    <row r="96" spans="1:10" x14ac:dyDescent="0.25">
      <c r="C96" s="2" t="s">
        <v>162</v>
      </c>
    </row>
    <row r="97" spans="3:5" ht="14.25" thickBot="1" x14ac:dyDescent="0.3">
      <c r="C97" s="2" t="s">
        <v>163</v>
      </c>
    </row>
    <row r="98" spans="3:5" ht="14.25" thickBot="1" x14ac:dyDescent="0.3">
      <c r="C98" s="43"/>
      <c r="D98" s="58" t="s">
        <v>164</v>
      </c>
      <c r="E98" s="59"/>
    </row>
    <row r="99" spans="3:5" x14ac:dyDescent="0.25">
      <c r="C99" s="44" t="s">
        <v>165</v>
      </c>
      <c r="D99" s="45" t="s">
        <v>166</v>
      </c>
      <c r="E99" s="45" t="s">
        <v>166</v>
      </c>
    </row>
    <row r="100" spans="3:5" ht="14.25" thickBot="1" x14ac:dyDescent="0.3">
      <c r="C100" s="46"/>
      <c r="D100" s="47" t="s">
        <v>167</v>
      </c>
      <c r="E100" s="47" t="s">
        <v>168</v>
      </c>
    </row>
    <row r="101" spans="3:5" ht="14.25" thickBot="1" x14ac:dyDescent="0.3">
      <c r="C101" s="48" t="s">
        <v>169</v>
      </c>
      <c r="D101" s="49">
        <v>82.55</v>
      </c>
      <c r="E101" s="49">
        <v>74.38</v>
      </c>
    </row>
    <row r="102" spans="3:5" ht="14.25" thickBot="1" x14ac:dyDescent="0.3">
      <c r="C102" s="48" t="s">
        <v>170</v>
      </c>
      <c r="D102" s="49">
        <v>176.21</v>
      </c>
      <c r="E102" s="49">
        <v>158.77000000000001</v>
      </c>
    </row>
    <row r="103" spans="3:5" ht="14.25" thickBot="1" x14ac:dyDescent="0.3">
      <c r="C103" s="48" t="s">
        <v>171</v>
      </c>
      <c r="D103" s="49">
        <v>88.88</v>
      </c>
      <c r="E103" s="49">
        <v>80.12</v>
      </c>
    </row>
    <row r="104" spans="3:5" ht="14.25" thickBot="1" x14ac:dyDescent="0.3">
      <c r="C104" s="48" t="s">
        <v>172</v>
      </c>
      <c r="D104" s="49">
        <v>192.84</v>
      </c>
      <c r="E104" s="49">
        <v>173.84</v>
      </c>
    </row>
    <row r="106" spans="3:5" x14ac:dyDescent="0.25">
      <c r="C106" s="2" t="s">
        <v>173</v>
      </c>
    </row>
    <row r="107" spans="3:5" x14ac:dyDescent="0.25">
      <c r="C107" s="2" t="s">
        <v>174</v>
      </c>
    </row>
    <row r="108" spans="3:5" x14ac:dyDescent="0.25">
      <c r="C108" s="2" t="s">
        <v>175</v>
      </c>
    </row>
    <row r="109" spans="3:5" x14ac:dyDescent="0.25">
      <c r="C109" s="2" t="s">
        <v>176</v>
      </c>
    </row>
    <row r="110" spans="3:5" x14ac:dyDescent="0.25">
      <c r="C110" s="2" t="s">
        <v>177</v>
      </c>
    </row>
    <row r="111" spans="3:5" x14ac:dyDescent="0.25">
      <c r="C111" s="2" t="s">
        <v>178</v>
      </c>
    </row>
    <row r="112" spans="3:5" x14ac:dyDescent="0.25">
      <c r="C112" s="2" t="s">
        <v>179</v>
      </c>
    </row>
    <row r="113" spans="3:3" x14ac:dyDescent="0.25">
      <c r="C113" s="2" t="s">
        <v>180</v>
      </c>
    </row>
    <row r="114" spans="3:3" x14ac:dyDescent="0.25">
      <c r="C114" s="2" t="s">
        <v>181</v>
      </c>
    </row>
  </sheetData>
  <mergeCells count="1">
    <mergeCell ref="D98:E98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1EDAD-F70D-4758-A311-D97FE7344EFA}">
  <dimension ref="C3:M17"/>
  <sheetViews>
    <sheetView tabSelected="1" topLeftCell="A2" workbookViewId="0">
      <selection activeCell="L15" sqref="L15"/>
    </sheetView>
  </sheetViews>
  <sheetFormatPr defaultRowHeight="15" x14ac:dyDescent="0.25"/>
  <cols>
    <col min="3" max="3" width="66.140625" bestFit="1" customWidth="1"/>
    <col min="4" max="4" width="7.140625" bestFit="1" customWidth="1"/>
    <col min="5" max="5" width="10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2" bestFit="1" customWidth="1"/>
  </cols>
  <sheetData>
    <row r="3" spans="3:13" ht="15.75" x14ac:dyDescent="0.25">
      <c r="C3" s="50" t="s">
        <v>182</v>
      </c>
      <c r="D3" s="51"/>
      <c r="E3" s="51"/>
      <c r="F3" s="51"/>
      <c r="G3" s="51"/>
      <c r="H3" s="51"/>
      <c r="I3" s="51"/>
      <c r="J3" s="51"/>
      <c r="K3" s="51"/>
      <c r="L3" s="51"/>
      <c r="M3" s="51"/>
    </row>
    <row r="4" spans="3:13" x14ac:dyDescent="0.25">
      <c r="C4" s="52" t="s">
        <v>183</v>
      </c>
      <c r="D4" s="62" t="s">
        <v>184</v>
      </c>
      <c r="E4" s="62"/>
      <c r="F4" s="62" t="s">
        <v>185</v>
      </c>
      <c r="G4" s="62"/>
      <c r="H4" s="62" t="s">
        <v>186</v>
      </c>
      <c r="I4" s="62"/>
      <c r="J4" s="63" t="s">
        <v>187</v>
      </c>
      <c r="K4" s="64"/>
      <c r="L4" s="65" t="s">
        <v>188</v>
      </c>
      <c r="M4" s="65"/>
    </row>
    <row r="5" spans="3:13" ht="63.75" x14ac:dyDescent="0.25">
      <c r="C5" s="53"/>
      <c r="D5" s="54" t="s">
        <v>189</v>
      </c>
      <c r="E5" s="54" t="s">
        <v>190</v>
      </c>
      <c r="F5" s="54" t="s">
        <v>189</v>
      </c>
      <c r="G5" s="54" t="s">
        <v>190</v>
      </c>
      <c r="H5" s="54" t="s">
        <v>189</v>
      </c>
      <c r="I5" s="54" t="s">
        <v>190</v>
      </c>
      <c r="J5" s="54" t="s">
        <v>189</v>
      </c>
      <c r="K5" s="54" t="s">
        <v>190</v>
      </c>
      <c r="L5" s="55" t="s">
        <v>189</v>
      </c>
      <c r="M5" s="55" t="s">
        <v>190</v>
      </c>
    </row>
    <row r="6" spans="3:13" x14ac:dyDescent="0.25">
      <c r="C6" s="56" t="s">
        <v>191</v>
      </c>
      <c r="D6" s="57">
        <v>-9.1585129999999992</v>
      </c>
      <c r="E6" s="57">
        <v>9079.3687099725539</v>
      </c>
      <c r="F6" s="57">
        <v>10.772500000000001</v>
      </c>
      <c r="G6" s="57">
        <v>13599.999999999998</v>
      </c>
      <c r="H6" s="57">
        <v>10.5397</v>
      </c>
      <c r="I6" s="57">
        <v>16508.629652734453</v>
      </c>
      <c r="J6" s="57">
        <v>12.3729</v>
      </c>
      <c r="K6" s="57">
        <v>32128.692836908136</v>
      </c>
      <c r="L6" s="57">
        <v>11.1858</v>
      </c>
      <c r="M6" s="57">
        <v>158780</v>
      </c>
    </row>
    <row r="7" spans="3:13" x14ac:dyDescent="0.25">
      <c r="C7" s="56" t="s">
        <v>192</v>
      </c>
      <c r="D7" s="57">
        <v>-3.1080421999999999</v>
      </c>
      <c r="E7" s="57">
        <v>9687.5199999999986</v>
      </c>
      <c r="F7" s="57">
        <v>13.4222</v>
      </c>
      <c r="G7" s="57">
        <v>14591.307183711093</v>
      </c>
      <c r="H7" s="57">
        <v>11.612399999999999</v>
      </c>
      <c r="I7" s="57">
        <v>17320.572164375099</v>
      </c>
      <c r="J7" s="57">
        <v>13.588699999999999</v>
      </c>
      <c r="K7" s="57">
        <v>18909.308434713374</v>
      </c>
      <c r="L7" s="57" t="s">
        <v>193</v>
      </c>
      <c r="M7" s="57" t="s">
        <v>193</v>
      </c>
    </row>
    <row r="8" spans="3:13" x14ac:dyDescent="0.25">
      <c r="C8" s="56" t="s">
        <v>194</v>
      </c>
      <c r="D8" s="57">
        <v>-3.99</v>
      </c>
      <c r="E8" s="57">
        <v>9601</v>
      </c>
      <c r="F8" s="57">
        <v>10.604200000000001</v>
      </c>
      <c r="G8" s="57">
        <v>13530.531495890262</v>
      </c>
      <c r="H8" s="57">
        <v>9.7759999999999998</v>
      </c>
      <c r="I8" s="57">
        <v>15941.787283973832</v>
      </c>
      <c r="J8" s="57">
        <v>12.539300000000001</v>
      </c>
      <c r="K8" s="57">
        <v>18051.822206086035</v>
      </c>
      <c r="L8" s="57">
        <v>12.4833</v>
      </c>
      <c r="M8" s="57">
        <v>341571.22346011968</v>
      </c>
    </row>
    <row r="9" spans="3:13" x14ac:dyDescent="0.25">
      <c r="C9" s="56" t="s">
        <v>195</v>
      </c>
      <c r="D9" s="60">
        <v>174.88</v>
      </c>
      <c r="E9" s="61"/>
      <c r="F9" s="60">
        <v>116.75</v>
      </c>
      <c r="G9" s="61"/>
      <c r="H9" s="60">
        <v>96.18</v>
      </c>
      <c r="I9" s="61"/>
      <c r="J9" s="60">
        <v>49.42</v>
      </c>
      <c r="K9" s="61"/>
      <c r="L9" s="60">
        <v>10</v>
      </c>
      <c r="M9" s="61"/>
    </row>
    <row r="11" spans="3:13" ht="15.75" x14ac:dyDescent="0.25">
      <c r="C11" s="50" t="s">
        <v>196</v>
      </c>
      <c r="D11" s="51"/>
      <c r="E11" s="51"/>
      <c r="F11" s="51"/>
      <c r="G11" s="51"/>
      <c r="H11" s="51"/>
      <c r="I11" s="51"/>
      <c r="J11" s="51"/>
      <c r="K11" s="51"/>
      <c r="L11" s="51"/>
      <c r="M11" s="51"/>
    </row>
    <row r="12" spans="3:13" x14ac:dyDescent="0.25">
      <c r="C12" s="52" t="s">
        <v>183</v>
      </c>
      <c r="D12" s="62" t="s">
        <v>184</v>
      </c>
      <c r="E12" s="62"/>
      <c r="F12" s="62" t="s">
        <v>185</v>
      </c>
      <c r="G12" s="62"/>
      <c r="H12" s="62" t="s">
        <v>186</v>
      </c>
      <c r="I12" s="62"/>
      <c r="J12" s="63" t="s">
        <v>187</v>
      </c>
      <c r="K12" s="64"/>
      <c r="L12" s="65" t="s">
        <v>188</v>
      </c>
      <c r="M12" s="65"/>
    </row>
    <row r="13" spans="3:13" ht="63.75" x14ac:dyDescent="0.25">
      <c r="C13" s="53"/>
      <c r="D13" s="54" t="s">
        <v>189</v>
      </c>
      <c r="E13" s="54" t="s">
        <v>190</v>
      </c>
      <c r="F13" s="54" t="s">
        <v>189</v>
      </c>
      <c r="G13" s="54" t="s">
        <v>190</v>
      </c>
      <c r="H13" s="54" t="s">
        <v>189</v>
      </c>
      <c r="I13" s="54" t="s">
        <v>190</v>
      </c>
      <c r="J13" s="54" t="s">
        <v>189</v>
      </c>
      <c r="K13" s="54" t="s">
        <v>190</v>
      </c>
      <c r="L13" s="55" t="s">
        <v>189</v>
      </c>
      <c r="M13" s="55" t="s">
        <v>190</v>
      </c>
    </row>
    <row r="14" spans="3:13" x14ac:dyDescent="0.25">
      <c r="C14" s="56" t="s">
        <v>191</v>
      </c>
      <c r="D14" s="57">
        <v>-8.5896699999999999</v>
      </c>
      <c r="E14" s="57">
        <v>9136.5356317006517</v>
      </c>
      <c r="F14" s="57">
        <v>11.4735</v>
      </c>
      <c r="G14" s="57">
        <v>13860.320497488638</v>
      </c>
      <c r="H14" s="57">
        <v>11.2735</v>
      </c>
      <c r="I14" s="57">
        <v>17064.193168433452</v>
      </c>
      <c r="J14" s="57">
        <v>13.137700000000001</v>
      </c>
      <c r="K14" s="57">
        <v>34384.889240506323</v>
      </c>
      <c r="L14" s="57">
        <v>11.935700000000001</v>
      </c>
      <c r="M14" s="57">
        <v>44934.091496510722</v>
      </c>
    </row>
    <row r="15" spans="3:13" x14ac:dyDescent="0.25">
      <c r="C15" s="56" t="s">
        <v>192</v>
      </c>
      <c r="D15" s="57">
        <v>-3.1080421999999999</v>
      </c>
      <c r="E15" s="57">
        <v>9687.5199999999986</v>
      </c>
      <c r="F15" s="57">
        <v>13.4222</v>
      </c>
      <c r="G15" s="57">
        <v>14591.307183711093</v>
      </c>
      <c r="H15" s="57">
        <v>11.612399999999999</v>
      </c>
      <c r="I15" s="57">
        <v>17320.572164375099</v>
      </c>
      <c r="J15" s="57">
        <v>13.588699999999999</v>
      </c>
      <c r="K15" s="57">
        <v>18909.308434713374</v>
      </c>
      <c r="L15" s="57">
        <v>12.826445</v>
      </c>
      <c r="M15" s="57">
        <v>58934.987908334268</v>
      </c>
    </row>
    <row r="16" spans="3:13" x14ac:dyDescent="0.25">
      <c r="C16" s="56" t="s">
        <v>194</v>
      </c>
      <c r="D16" s="57">
        <v>-3.99</v>
      </c>
      <c r="E16" s="57">
        <v>9601</v>
      </c>
      <c r="F16" s="57">
        <v>10.604200000000001</v>
      </c>
      <c r="G16" s="57">
        <v>13530.531495890262</v>
      </c>
      <c r="H16" s="57">
        <v>9.7759999999999998</v>
      </c>
      <c r="I16" s="57">
        <v>15941.787283973832</v>
      </c>
      <c r="J16" s="57">
        <v>12.539300000000001</v>
      </c>
      <c r="K16" s="57">
        <v>18051.822206086035</v>
      </c>
      <c r="L16" s="57">
        <v>11.7723</v>
      </c>
      <c r="M16" s="57">
        <v>43677.971391376326</v>
      </c>
    </row>
    <row r="17" spans="3:13" x14ac:dyDescent="0.25">
      <c r="C17" s="56" t="s">
        <v>197</v>
      </c>
      <c r="D17" s="60">
        <v>190.28</v>
      </c>
      <c r="E17" s="61"/>
      <c r="F17" s="60">
        <v>125.43</v>
      </c>
      <c r="G17" s="61"/>
      <c r="H17" s="60">
        <v>101.88</v>
      </c>
      <c r="I17" s="61"/>
      <c r="J17" s="60">
        <v>50.56</v>
      </c>
      <c r="K17" s="61"/>
      <c r="L17" s="60">
        <v>38.69</v>
      </c>
      <c r="M17" s="61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TTS</vt:lpstr>
      <vt:lpstr>TTS Performance</vt:lpstr>
      <vt:lpstr>XDO_?CLASS_3?7?</vt:lpstr>
      <vt:lpstr>XDO_?FINAL_ISIN?14?</vt:lpstr>
      <vt:lpstr>XDO_?FINAL_ISIN?15?</vt:lpstr>
      <vt:lpstr>XDO_?FINAL_MV?14?</vt:lpstr>
      <vt:lpstr>XDO_?FINAL_MV?15?</vt:lpstr>
      <vt:lpstr>XDO_?FINAL_NAME?14?</vt:lpstr>
      <vt:lpstr>XDO_?FINAL_NAME?15?</vt:lpstr>
      <vt:lpstr>XDO_?FINAL_PER_NET?14?</vt:lpstr>
      <vt:lpstr>XDO_?FINAL_PER_NET?15?</vt:lpstr>
      <vt:lpstr>XDO_?FINAL_QUANTITE?14?</vt:lpstr>
      <vt:lpstr>XDO_?FINAL_QUANTITE?15?</vt:lpstr>
      <vt:lpstr>XDO_?IND_01?14?</vt:lpstr>
      <vt:lpstr>XDO_?IND_01?15?</vt:lpstr>
      <vt:lpstr>XDO_?NAMCNAME?7?</vt:lpstr>
      <vt:lpstr>XDO_?NOVAL?14?</vt:lpstr>
      <vt:lpstr>XDO_?NOVAL?15?</vt:lpstr>
      <vt:lpstr>XDO_?NPTF?7?</vt:lpstr>
      <vt:lpstr>XDO_?RATING?14?</vt:lpstr>
      <vt:lpstr>XDO_?RATING?15?</vt:lpstr>
      <vt:lpstr>XDO_?REMARKS?14?</vt:lpstr>
      <vt:lpstr>XDO_?REMARKS?15?</vt:lpstr>
      <vt:lpstr>XDO_?TITL?7?</vt:lpstr>
      <vt:lpstr>XDO_GROUP_?G_2?7?</vt:lpstr>
      <vt:lpstr>XDO_GROUP_?G_3?7?</vt:lpstr>
      <vt:lpstr>XDO_GROUP_?G_4?14?</vt:lpstr>
      <vt:lpstr>XDO_GROUP_?G_4?15?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Rohini-Yadav</dc:creator>
  <cp:lastModifiedBy>Chandrakant Gajane</cp:lastModifiedBy>
  <dcterms:created xsi:type="dcterms:W3CDTF">2026-04-04T07:23:26Z</dcterms:created>
  <dcterms:modified xsi:type="dcterms:W3CDTF">2026-04-07T06:59:44Z</dcterms:modified>
</cp:coreProperties>
</file>