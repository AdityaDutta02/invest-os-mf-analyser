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RE_ TMF_Monthly_Portfolio_Report_Jan  26\"/>
    </mc:Choice>
  </mc:AlternateContent>
  <xr:revisionPtr revIDLastSave="0" documentId="13_ncr:1_{C1E30A73-6192-4E9B-A56A-C377C51DF47C}" xr6:coauthVersionLast="47" xr6:coauthVersionMax="47" xr10:uidLastSave="{00000000-0000-0000-0000-000000000000}"/>
  <bookViews>
    <workbookView xWindow="-108" yWindow="-108" windowWidth="23256" windowHeight="12456" xr2:uid="{DE33EA63-C066-41F9-8DB9-CAF72F58EEDE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TBF!$C$8:$C$39</definedName>
    <definedName name="XDO_?CLASS_4?">TBF!$C$9</definedName>
    <definedName name="XDO_?CS_1?">TBF!$H$11</definedName>
    <definedName name="XDO_?CS_2?">TBF!$I$11</definedName>
    <definedName name="XDO_?FINAL_ISIN?">TBF!$D$10:$D$83</definedName>
    <definedName name="XDO_?FINAL_MV?">TBF!$H$10:$H$83</definedName>
    <definedName name="XDO_?FINAL_NAME?">TBF!$C$10:$C$83</definedName>
    <definedName name="XDO_?FINAL_PER_NET?">TBF!$I$10:$I$83</definedName>
    <definedName name="XDO_?FINAL_QUANTITE?">TBF!$G$10:$G$83</definedName>
    <definedName name="XDO_?IND_01?">TBF!$F$10:$F$83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TBF!$C$2:$C$39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TBF!$B$10:$B$83</definedName>
    <definedName name="XDO_?NPTF?">TBF!$D$2:$D$39</definedName>
    <definedName name="XDO_?RATING?">TBF!$E$10:$E$83</definedName>
    <definedName name="XDO_?REMARKS?">TBF!$J$10:$J$83</definedName>
    <definedName name="XDO_?TDATE?">TBF!$D$4</definedName>
    <definedName name="XDO_?TITL?">TBF!$A$8:$A$39</definedName>
    <definedName name="XDO_GROUP_?G_2?">TBF!$2:$86</definedName>
    <definedName name="XDO_GROUP_?G_3?">TBF!$8:$85</definedName>
    <definedName name="XDO_GROUP_?G_4?">TBF!$B$83:$IV$83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6" i="1" l="1"/>
</calcChain>
</file>

<file path=xl/sharedStrings.xml><?xml version="1.0" encoding="utf-8"?>
<sst xmlns="http://schemas.openxmlformats.org/spreadsheetml/2006/main" count="264" uniqueCount="193">
  <si>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</si>
  <si>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</si>
  <si>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</si>
  <si>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</si>
  <si>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</si>
  <si>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</si>
  <si>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</si>
  <si>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</si>
  <si>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</si>
  <si>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</si>
  <si>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</si>
  <si>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</si>
  <si>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</si>
  <si>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</si>
  <si>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</si>
  <si>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</si>
  <si>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</si>
  <si>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</si>
  <si>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</si>
  <si>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100006</t>
  </si>
  <si>
    <t>HDFC Bank Ltd.</t>
  </si>
  <si>
    <t>INE040A01034</t>
  </si>
  <si>
    <t>Banks</t>
  </si>
  <si>
    <t>100155</t>
  </si>
  <si>
    <t>Divi's Laboratories Ltd.</t>
  </si>
  <si>
    <t>INE361B01024</t>
  </si>
  <si>
    <t>Pharmaceuticals &amp; Biotechnology</t>
  </si>
  <si>
    <t>100010</t>
  </si>
  <si>
    <t>State Bank of India</t>
  </si>
  <si>
    <t>INE062A01020</t>
  </si>
  <si>
    <t>100012</t>
  </si>
  <si>
    <t>ICICI Bank Ltd.</t>
  </si>
  <si>
    <t>INE090A01021</t>
  </si>
  <si>
    <t>100418</t>
  </si>
  <si>
    <t>Adani Enterprises Ltd.</t>
  </si>
  <si>
    <t>INE423A01024</t>
  </si>
  <si>
    <t>Metals &amp; Minerals Trading</t>
  </si>
  <si>
    <t>100095</t>
  </si>
  <si>
    <t>Bharti Airtel Ltd.</t>
  </si>
  <si>
    <t>INE397D01024</t>
  </si>
  <si>
    <t>Telecom - Services</t>
  </si>
  <si>
    <t>100111</t>
  </si>
  <si>
    <t>Oil &amp; Natural Gas Corporation Ltd.</t>
  </si>
  <si>
    <t>INE213A01029</t>
  </si>
  <si>
    <t>Oil</t>
  </si>
  <si>
    <t>101184</t>
  </si>
  <si>
    <t>Mazagon Dock Shipbuilders Ltd.</t>
  </si>
  <si>
    <t>INE249Z01020</t>
  </si>
  <si>
    <t>Industrial Manufacturing</t>
  </si>
  <si>
    <t>102678</t>
  </si>
  <si>
    <t>TATA Capital Ltd.</t>
  </si>
  <si>
    <t>INE976I01016</t>
  </si>
  <si>
    <t>Finance</t>
  </si>
  <si>
    <t>100037</t>
  </si>
  <si>
    <t>HCL Technologies Ltd.</t>
  </si>
  <si>
    <t>INE860A01027</t>
  </si>
  <si>
    <t>IT - Software</t>
  </si>
  <si>
    <t>100002</t>
  </si>
  <si>
    <t>Reliance Industries Ltd.</t>
  </si>
  <si>
    <t>INE002A01018</t>
  </si>
  <si>
    <t>Petroleum Products</t>
  </si>
  <si>
    <t>100014</t>
  </si>
  <si>
    <t>Mahindra &amp; Mahindra Ltd.</t>
  </si>
  <si>
    <t>INE101A01026</t>
  </si>
  <si>
    <t>Automobiles</t>
  </si>
  <si>
    <t>100182</t>
  </si>
  <si>
    <t>Power Grid Corporation of India Ltd.</t>
  </si>
  <si>
    <t>INE752E01010</t>
  </si>
  <si>
    <t>Power</t>
  </si>
  <si>
    <t>100097</t>
  </si>
  <si>
    <t>Coal India Ltd.</t>
  </si>
  <si>
    <t>INE522F01014</t>
  </si>
  <si>
    <t>Consumable Fuels</t>
  </si>
  <si>
    <t>100024</t>
  </si>
  <si>
    <t>Axis Bank Ltd.</t>
  </si>
  <si>
    <t>INE238A01034</t>
  </si>
  <si>
    <t>100125</t>
  </si>
  <si>
    <t>Bajaj Finance Ltd.</t>
  </si>
  <si>
    <t>INE296A01032</t>
  </si>
  <si>
    <t>100177</t>
  </si>
  <si>
    <t>Grasim Industries Ltd.</t>
  </si>
  <si>
    <t>INE047A01021</t>
  </si>
  <si>
    <t>Cement &amp; Cement Products</t>
  </si>
  <si>
    <t>100302</t>
  </si>
  <si>
    <t>DLF Ltd.</t>
  </si>
  <si>
    <t>INE271C01023</t>
  </si>
  <si>
    <t>Realty</t>
  </si>
  <si>
    <t>100260</t>
  </si>
  <si>
    <t>Solar Industries India Ltd.</t>
  </si>
  <si>
    <t>INE343H01029</t>
  </si>
  <si>
    <t>Chemicals &amp; Petrochemicals</t>
  </si>
  <si>
    <t>100134</t>
  </si>
  <si>
    <t>Inox Wind Ltd.</t>
  </si>
  <si>
    <t>INE066P01011</t>
  </si>
  <si>
    <t>Electrical Equipment</t>
  </si>
  <si>
    <t>100194</t>
  </si>
  <si>
    <t>Power Finance Corporation Ltd.</t>
  </si>
  <si>
    <t>INE134E01011</t>
  </si>
  <si>
    <t>100677</t>
  </si>
  <si>
    <t>Dixon Technologies (India) Ltd.</t>
  </si>
  <si>
    <t>INE935N01020</t>
  </si>
  <si>
    <t>Consumer Durables</t>
  </si>
  <si>
    <t>100733</t>
  </si>
  <si>
    <t>General Insurance Corporation of India</t>
  </si>
  <si>
    <t>INE481Y01014</t>
  </si>
  <si>
    <t>Insurance</t>
  </si>
  <si>
    <t>100150</t>
  </si>
  <si>
    <t>Apollo Hospitals Enterprise Ltd.</t>
  </si>
  <si>
    <t>INE437A01024</t>
  </si>
  <si>
    <t>Healthcare Services</t>
  </si>
  <si>
    <t>100106</t>
  </si>
  <si>
    <t>Maruti Suzuki India Ltd.</t>
  </si>
  <si>
    <t>INE585B01010</t>
  </si>
  <si>
    <t>100081</t>
  </si>
  <si>
    <t>Titan Company Ltd.</t>
  </si>
  <si>
    <t>INE280A01028</t>
  </si>
  <si>
    <t>100008</t>
  </si>
  <si>
    <t>Sun Pharmaceutical Industries Ltd.</t>
  </si>
  <si>
    <t>INE044A01036</t>
  </si>
  <si>
    <t>102677</t>
  </si>
  <si>
    <t>LG Electronics India Ltd.</t>
  </si>
  <si>
    <t>INE324D01010</t>
  </si>
  <si>
    <t>100814</t>
  </si>
  <si>
    <t>HDFC Asset Management Co. Ltd.</t>
  </si>
  <si>
    <t>INE127D01025</t>
  </si>
  <si>
    <t>Capital Markets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</si>
  <si>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</si>
  <si>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</si>
  <si>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</si>
  <si>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</si>
  <si>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</si>
  <si>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</si>
  <si>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</si>
  <si>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</si>
  <si>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</si>
  <si>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</si>
  <si>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</si>
  <si>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</si>
  <si>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</si>
  <si>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</si>
  <si>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</si>
  <si>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</si>
  <si>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</si>
  <si>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</si>
  <si>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</si>
  <si>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</si>
  <si>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</si>
  <si>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</si>
  <si>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</si>
  <si>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</si>
  <si>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</si>
  <si>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</si>
  <si>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</si>
  <si>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</si>
  <si>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</si>
  <si>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</si>
  <si>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</si>
  <si>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</si>
  <si>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</si>
  <si>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</si>
  <si>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</si>
  <si>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December 31, 2025</t>
  </si>
  <si>
    <t>January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</si>
  <si>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</si>
  <si>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</si>
  <si>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</si>
  <si>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</si>
  <si>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January 31, 2026.</t>
  </si>
  <si>
    <t>7. The Scheme did not declare any bonus during the month ended as on January 31, 2026.</t>
  </si>
  <si>
    <t>8. Total outstanding exposure in derivative instruments as on January 31, 2026 is Nil.</t>
  </si>
  <si>
    <t>9. Total investments in Foreign Securities /ADRs/GDRs /Overseas ETFs as on January 31, 2026 and its percentage to NAV is Nil.</t>
  </si>
  <si>
    <t>10. During the period, the portfolio turnover ratio is 0.88 times.</t>
  </si>
  <si>
    <t>      Portfolio Turnover Ratio = Lower of sales or purchase of securities divided by average AUM for 12 months ended as on January 31, 2026</t>
  </si>
  <si>
    <t>11. The Scheme did not invest in repo transactions of corporate debt securities during the month ended as on January 31, 2026.</t>
  </si>
  <si>
    <t>12. The Scheme did not invest in credit default swaps during the month ended as on January 31, 2026.</t>
  </si>
  <si>
    <t>13. There are Nil instances of deviation from the valuation principles/guidelines during the month ended as on January 31st, 2026.</t>
  </si>
  <si>
    <t>y</t>
  </si>
  <si>
    <t>Taurus Largecap Equity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</si>
  <si>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</si>
  <si>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</si>
  <si>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</si>
  <si>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</si>
  <si>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</si>
  <si>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</si>
  <si>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</si>
  <si>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</si>
  <si>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</si>
  <si>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S&amp;P BSE 100 TRI (Benchmark)</t>
  </si>
  <si>
    <t>-</t>
  </si>
  <si>
    <t>Nifty 50 TRI (Additional Benchmark)</t>
  </si>
  <si>
    <t>NAV [Rs.] Per Unit (as on January 30,2026 :156.86)</t>
  </si>
  <si>
    <t>Taurus Largecap Equity Fund - Direct Plan Growth Option</t>
  </si>
  <si>
    <t>NAV [Rs.] Per Unit (as on January 30,2026 :166.12)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</si>
</sst>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5" fontId="11" fillId="0" borderId="24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15" fillId="0" borderId="13" xfId="0" applyFont="1" applyBorder="1"/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C08E8EAF-5656-4FA8-A69C-12C2A5763BFB}"/>
    <cellStyle name="Hyperlink" xfId="2" builtinId="8"/>
    <cellStyle name="Normal" xfId="0" builtinId="0"/>
    <cellStyle name="Normal 2" xfId="4" xr:uid="{87246178-71E1-482D-98FB-B4292808AF0F}"/>
    <cellStyle name="Style 1" xfId="3" xr:uid="{AD2CDE39-2451-4A51-AF3D-76D20DA7E1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337481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B74751-2D30-47CF-827A-0AF24E5B3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89648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an_2026\Final\TMF_Monthly_Portfolio_Report_Jan_26.xlsx" TargetMode="External"/><Relationship Id="rId1" Type="http://schemas.openxmlformats.org/officeDocument/2006/relationships/externalLinkPath" Target="file:///Q:\5.TMF\Reporting\Monthly%20Reports\Monthly%20Portfolio\2025-26\Jan_2026\Final\TMF_Monthly_Portfolio_Report_Jan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6DC5-DAE5-41B8-9B41-F764BA600F21}">
  <dimension ref="A1:BB112"/>
  <sheetViews>
    <sheetView showGridLines="0" tabSelected="1" zoomScale="90" zoomScaleNormal="90" workbookViewId="0">
      <selection activeCell="D3" sqref="D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59.9" customHeight="1" x14ac:dyDescent="0.3">
      <c r="A1" s="1" t="s">
        <v>176</v>
      </c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46053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137795</v>
      </c>
      <c r="H10" s="32">
        <v>443.98</v>
      </c>
      <c r="I10" s="32">
        <v>8.76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44499</v>
      </c>
      <c r="H11" s="32">
        <v>413.55</v>
      </c>
      <c r="I11" s="32">
        <v>8.16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6018</v>
      </c>
      <c r="H12" s="32">
        <v>364.34</v>
      </c>
      <c r="I12" s="32">
        <v>7.19</v>
      </c>
      <c r="J12" s="33"/>
    </row>
    <row r="13" spans="1:54" x14ac:dyDescent="0.3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28304</v>
      </c>
      <c r="H13" s="32">
        <v>304.99</v>
      </c>
      <c r="I13" s="32">
        <v>6.02</v>
      </c>
      <c r="J13" s="33"/>
    </row>
    <row r="14" spans="1:54" x14ac:dyDescent="0.3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22452</v>
      </c>
      <c r="H14" s="32">
        <v>304.24</v>
      </c>
      <c r="I14" s="32">
        <v>6.01</v>
      </c>
      <c r="J14" s="33"/>
    </row>
    <row r="15" spans="1:54" x14ac:dyDescent="0.3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12676</v>
      </c>
      <c r="H15" s="32">
        <v>255.98</v>
      </c>
      <c r="I15" s="32">
        <v>5.05</v>
      </c>
      <c r="J15" s="33"/>
    </row>
    <row r="16" spans="1:54" x14ac:dyDescent="0.3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12779</v>
      </c>
      <c r="H16" s="32">
        <v>251.5</v>
      </c>
      <c r="I16" s="32">
        <v>4.97</v>
      </c>
      <c r="J16" s="33"/>
    </row>
    <row r="17" spans="2:10" x14ac:dyDescent="0.3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73738</v>
      </c>
      <c r="H17" s="32">
        <v>198.32</v>
      </c>
      <c r="I17" s="32">
        <v>3.92</v>
      </c>
      <c r="J17" s="33"/>
    </row>
    <row r="18" spans="2:10" x14ac:dyDescent="0.3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7390</v>
      </c>
      <c r="H18" s="32">
        <v>190.14</v>
      </c>
      <c r="I18" s="32">
        <v>3.75</v>
      </c>
      <c r="J18" s="33"/>
    </row>
    <row r="19" spans="2:10" x14ac:dyDescent="0.3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51463</v>
      </c>
      <c r="H19" s="32">
        <v>175.9</v>
      </c>
      <c r="I19" s="32">
        <v>3.47</v>
      </c>
      <c r="J19" s="33"/>
    </row>
    <row r="20" spans="2:10" x14ac:dyDescent="0.3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9885</v>
      </c>
      <c r="H20" s="32">
        <v>167.5</v>
      </c>
      <c r="I20" s="32">
        <v>3.31</v>
      </c>
      <c r="J20" s="33"/>
    </row>
    <row r="21" spans="2:10" x14ac:dyDescent="0.3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11541</v>
      </c>
      <c r="H21" s="32">
        <v>161.1</v>
      </c>
      <c r="I21" s="32">
        <v>3.18</v>
      </c>
      <c r="J21" s="33"/>
    </row>
    <row r="22" spans="2:10" x14ac:dyDescent="0.3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4380</v>
      </c>
      <c r="H22" s="32">
        <v>150.33000000000001</v>
      </c>
      <c r="I22" s="32">
        <v>2.97</v>
      </c>
      <c r="J22" s="33"/>
    </row>
    <row r="23" spans="2:10" x14ac:dyDescent="0.3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58197</v>
      </c>
      <c r="H23" s="32">
        <v>149.19</v>
      </c>
      <c r="I23" s="32">
        <v>2.95</v>
      </c>
      <c r="J23" s="33"/>
    </row>
    <row r="24" spans="2:10" x14ac:dyDescent="0.3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32167</v>
      </c>
      <c r="H24" s="32">
        <v>141.66</v>
      </c>
      <c r="I24" s="32">
        <v>2.8</v>
      </c>
      <c r="J24" s="33"/>
    </row>
    <row r="25" spans="2:10" x14ac:dyDescent="0.3">
      <c r="B25" s="1" t="s">
        <v>73</v>
      </c>
      <c r="C25" s="20" t="s">
        <v>74</v>
      </c>
      <c r="D25" s="29" t="s">
        <v>75</v>
      </c>
      <c r="E25" s="30"/>
      <c r="F25" s="30" t="s">
        <v>22</v>
      </c>
      <c r="G25" s="31">
        <v>10176</v>
      </c>
      <c r="H25" s="32">
        <v>139.44</v>
      </c>
      <c r="I25" s="32">
        <v>2.75</v>
      </c>
      <c r="J25" s="33"/>
    </row>
    <row r="26" spans="2:10" x14ac:dyDescent="0.3">
      <c r="B26" s="1" t="s">
        <v>76</v>
      </c>
      <c r="C26" s="20" t="s">
        <v>77</v>
      </c>
      <c r="D26" s="29" t="s">
        <v>78</v>
      </c>
      <c r="E26" s="30"/>
      <c r="F26" s="30" t="s">
        <v>52</v>
      </c>
      <c r="G26" s="31">
        <v>12075</v>
      </c>
      <c r="H26" s="32">
        <v>112.36</v>
      </c>
      <c r="I26" s="32">
        <v>2.2200000000000002</v>
      </c>
      <c r="J26" s="33"/>
    </row>
    <row r="27" spans="2:10" x14ac:dyDescent="0.3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3430</v>
      </c>
      <c r="H27" s="32">
        <v>96.69</v>
      </c>
      <c r="I27" s="32">
        <v>1.91</v>
      </c>
      <c r="J27" s="33"/>
    </row>
    <row r="28" spans="2:10" x14ac:dyDescent="0.3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14278</v>
      </c>
      <c r="H28" s="32">
        <v>90.69</v>
      </c>
      <c r="I28" s="32">
        <v>1.79</v>
      </c>
      <c r="J28" s="33"/>
    </row>
    <row r="29" spans="2:10" x14ac:dyDescent="0.3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671</v>
      </c>
      <c r="H29" s="32">
        <v>90.42</v>
      </c>
      <c r="I29" s="32">
        <v>1.78</v>
      </c>
      <c r="J29" s="33"/>
    </row>
    <row r="30" spans="2:10" x14ac:dyDescent="0.3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80000</v>
      </c>
      <c r="H30" s="32">
        <v>86.4</v>
      </c>
      <c r="I30" s="32">
        <v>1.71</v>
      </c>
      <c r="J30" s="33"/>
    </row>
    <row r="31" spans="2:10" x14ac:dyDescent="0.3">
      <c r="B31" s="1" t="s">
        <v>95</v>
      </c>
      <c r="C31" s="20" t="s">
        <v>96</v>
      </c>
      <c r="D31" s="29" t="s">
        <v>97</v>
      </c>
      <c r="E31" s="30"/>
      <c r="F31" s="30" t="s">
        <v>52</v>
      </c>
      <c r="G31" s="31">
        <v>22408</v>
      </c>
      <c r="H31" s="32">
        <v>85</v>
      </c>
      <c r="I31" s="32">
        <v>1.68</v>
      </c>
      <c r="J31" s="33"/>
    </row>
    <row r="32" spans="2:10" x14ac:dyDescent="0.3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778</v>
      </c>
      <c r="H32" s="32">
        <v>81.260000000000005</v>
      </c>
      <c r="I32" s="32">
        <v>1.6</v>
      </c>
      <c r="J32" s="33"/>
    </row>
    <row r="33" spans="2:10" x14ac:dyDescent="0.3">
      <c r="B33" s="1" t="s">
        <v>102</v>
      </c>
      <c r="C33" s="20" t="s">
        <v>103</v>
      </c>
      <c r="D33" s="29" t="s">
        <v>104</v>
      </c>
      <c r="E33" s="30"/>
      <c r="F33" s="30" t="s">
        <v>105</v>
      </c>
      <c r="G33" s="31">
        <v>20720</v>
      </c>
      <c r="H33" s="32">
        <v>78.319999999999993</v>
      </c>
      <c r="I33" s="32">
        <v>1.55</v>
      </c>
      <c r="J33" s="33"/>
    </row>
    <row r="34" spans="2:10" x14ac:dyDescent="0.3">
      <c r="B34" s="1" t="s">
        <v>106</v>
      </c>
      <c r="C34" s="20" t="s">
        <v>107</v>
      </c>
      <c r="D34" s="29" t="s">
        <v>108</v>
      </c>
      <c r="E34" s="30"/>
      <c r="F34" s="30" t="s">
        <v>109</v>
      </c>
      <c r="G34" s="31">
        <v>1100</v>
      </c>
      <c r="H34" s="32">
        <v>76.56</v>
      </c>
      <c r="I34" s="32">
        <v>1.51</v>
      </c>
      <c r="J34" s="33"/>
    </row>
    <row r="35" spans="2:10" x14ac:dyDescent="0.3">
      <c r="B35" s="1" t="s">
        <v>110</v>
      </c>
      <c r="C35" s="20" t="s">
        <v>111</v>
      </c>
      <c r="D35" s="29" t="s">
        <v>112</v>
      </c>
      <c r="E35" s="30"/>
      <c r="F35" s="30" t="s">
        <v>64</v>
      </c>
      <c r="G35" s="31">
        <v>443</v>
      </c>
      <c r="H35" s="32">
        <v>64.680000000000007</v>
      </c>
      <c r="I35" s="32">
        <v>1.28</v>
      </c>
      <c r="J35" s="33"/>
    </row>
    <row r="36" spans="2:10" x14ac:dyDescent="0.3">
      <c r="B36" s="1" t="s">
        <v>113</v>
      </c>
      <c r="C36" s="20" t="s">
        <v>114</v>
      </c>
      <c r="D36" s="29" t="s">
        <v>115</v>
      </c>
      <c r="E36" s="30"/>
      <c r="F36" s="30" t="s">
        <v>101</v>
      </c>
      <c r="G36" s="31">
        <v>1393</v>
      </c>
      <c r="H36" s="32">
        <v>55.41</v>
      </c>
      <c r="I36" s="32">
        <v>1.0900000000000001</v>
      </c>
      <c r="J36" s="33"/>
    </row>
    <row r="37" spans="2:10" x14ac:dyDescent="0.3">
      <c r="B37" s="1" t="s">
        <v>116</v>
      </c>
      <c r="C37" s="20" t="s">
        <v>117</v>
      </c>
      <c r="D37" s="29" t="s">
        <v>118</v>
      </c>
      <c r="E37" s="30"/>
      <c r="F37" s="30" t="s">
        <v>26</v>
      </c>
      <c r="G37" s="31">
        <v>3074</v>
      </c>
      <c r="H37" s="32">
        <v>49.03</v>
      </c>
      <c r="I37" s="32">
        <v>0.97</v>
      </c>
      <c r="J37" s="33"/>
    </row>
    <row r="38" spans="2:10" x14ac:dyDescent="0.3">
      <c r="B38" s="1" t="s">
        <v>119</v>
      </c>
      <c r="C38" s="20" t="s">
        <v>120</v>
      </c>
      <c r="D38" s="29" t="s">
        <v>121</v>
      </c>
      <c r="E38" s="30"/>
      <c r="F38" s="30" t="s">
        <v>101</v>
      </c>
      <c r="G38" s="31">
        <v>3350</v>
      </c>
      <c r="H38" s="32">
        <v>49</v>
      </c>
      <c r="I38" s="32">
        <v>0.97</v>
      </c>
      <c r="J38" s="33"/>
    </row>
    <row r="39" spans="2:10" x14ac:dyDescent="0.3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514</v>
      </c>
      <c r="H39" s="32">
        <v>12.94</v>
      </c>
      <c r="I39" s="32">
        <v>0.26</v>
      </c>
      <c r="J39" s="33"/>
    </row>
    <row r="40" spans="2:10" x14ac:dyDescent="0.3">
      <c r="C40" s="28" t="s">
        <v>126</v>
      </c>
      <c r="D40" s="29"/>
      <c r="E40" s="30"/>
      <c r="F40" s="30"/>
      <c r="G40" s="31"/>
      <c r="H40" s="35">
        <v>4840.92</v>
      </c>
      <c r="I40" s="35">
        <v>95.58</v>
      </c>
      <c r="J40" s="33"/>
    </row>
    <row r="41" spans="2:10" x14ac:dyDescent="0.3">
      <c r="C41" s="20"/>
      <c r="D41" s="29"/>
      <c r="E41" s="30"/>
      <c r="F41" s="30"/>
      <c r="G41" s="31"/>
      <c r="H41" s="32"/>
      <c r="I41" s="32"/>
      <c r="J41" s="33"/>
    </row>
    <row r="42" spans="2:10" x14ac:dyDescent="0.3">
      <c r="C42" s="28" t="s">
        <v>127</v>
      </c>
      <c r="D42" s="29"/>
      <c r="E42" s="30"/>
      <c r="F42" s="30"/>
      <c r="G42" s="31"/>
      <c r="H42" s="32" t="s">
        <v>128</v>
      </c>
      <c r="I42" s="32" t="s">
        <v>128</v>
      </c>
      <c r="J42" s="33"/>
    </row>
    <row r="43" spans="2:10" x14ac:dyDescent="0.3">
      <c r="C43" s="20"/>
      <c r="D43" s="29"/>
      <c r="E43" s="30"/>
      <c r="F43" s="30"/>
      <c r="G43" s="31"/>
      <c r="H43" s="32"/>
      <c r="I43" s="32"/>
      <c r="J43" s="33"/>
    </row>
    <row r="44" spans="2:10" x14ac:dyDescent="0.3">
      <c r="C44" s="28" t="s">
        <v>129</v>
      </c>
      <c r="D44" s="29"/>
      <c r="E44" s="30"/>
      <c r="F44" s="30"/>
      <c r="G44" s="31"/>
      <c r="H44" s="32" t="s">
        <v>128</v>
      </c>
      <c r="I44" s="32" t="s">
        <v>128</v>
      </c>
      <c r="J44" s="33"/>
    </row>
    <row r="45" spans="2:10" x14ac:dyDescent="0.3">
      <c r="C45" s="20"/>
      <c r="D45" s="29"/>
      <c r="E45" s="30"/>
      <c r="F45" s="30"/>
      <c r="G45" s="31"/>
      <c r="H45" s="32"/>
      <c r="I45" s="32"/>
      <c r="J45" s="33"/>
    </row>
    <row r="46" spans="2:10" x14ac:dyDescent="0.3">
      <c r="C46" s="28" t="s">
        <v>130</v>
      </c>
      <c r="D46" s="29"/>
      <c r="E46" s="30"/>
      <c r="F46" s="30"/>
      <c r="G46" s="31"/>
      <c r="H46" s="32"/>
      <c r="I46" s="32"/>
      <c r="J46" s="33"/>
    </row>
    <row r="47" spans="2:10" x14ac:dyDescent="0.3">
      <c r="C47" s="20"/>
      <c r="D47" s="29"/>
      <c r="E47" s="30"/>
      <c r="F47" s="30"/>
      <c r="G47" s="31"/>
      <c r="H47" s="32"/>
      <c r="I47" s="32"/>
      <c r="J47" s="33"/>
    </row>
    <row r="48" spans="2:10" x14ac:dyDescent="0.3">
      <c r="C48" s="28" t="s">
        <v>131</v>
      </c>
      <c r="D48" s="29"/>
      <c r="E48" s="30"/>
      <c r="F48" s="30"/>
      <c r="G48" s="31"/>
      <c r="H48" s="32" t="s">
        <v>128</v>
      </c>
      <c r="I48" s="32" t="s">
        <v>128</v>
      </c>
      <c r="J48" s="33"/>
    </row>
    <row r="49" spans="3:10" x14ac:dyDescent="0.3">
      <c r="C49" s="20"/>
      <c r="D49" s="29"/>
      <c r="E49" s="30"/>
      <c r="F49" s="30"/>
      <c r="G49" s="31"/>
      <c r="H49" s="32"/>
      <c r="I49" s="32"/>
      <c r="J49" s="33"/>
    </row>
    <row r="50" spans="3:10" x14ac:dyDescent="0.3">
      <c r="C50" s="28" t="s">
        <v>132</v>
      </c>
      <c r="D50" s="29"/>
      <c r="E50" s="30"/>
      <c r="F50" s="30"/>
      <c r="G50" s="31"/>
      <c r="H50" s="32" t="s">
        <v>128</v>
      </c>
      <c r="I50" s="32" t="s">
        <v>128</v>
      </c>
      <c r="J50" s="33"/>
    </row>
    <row r="51" spans="3:10" x14ac:dyDescent="0.3">
      <c r="C51" s="20"/>
      <c r="D51" s="29"/>
      <c r="E51" s="30"/>
      <c r="F51" s="30"/>
      <c r="G51" s="31"/>
      <c r="H51" s="32"/>
      <c r="I51" s="32"/>
      <c r="J51" s="33"/>
    </row>
    <row r="52" spans="3:10" x14ac:dyDescent="0.3">
      <c r="C52" s="28" t="s">
        <v>133</v>
      </c>
      <c r="D52" s="29"/>
      <c r="E52" s="30"/>
      <c r="F52" s="30"/>
      <c r="G52" s="31"/>
      <c r="H52" s="32" t="s">
        <v>128</v>
      </c>
      <c r="I52" s="32" t="s">
        <v>128</v>
      </c>
      <c r="J52" s="33"/>
    </row>
    <row r="53" spans="3:10" x14ac:dyDescent="0.3">
      <c r="C53" s="20"/>
      <c r="D53" s="29"/>
      <c r="E53" s="30"/>
      <c r="F53" s="30"/>
      <c r="G53" s="31"/>
      <c r="H53" s="32"/>
      <c r="I53" s="32"/>
      <c r="J53" s="33"/>
    </row>
    <row r="54" spans="3:10" x14ac:dyDescent="0.3">
      <c r="C54" s="28" t="s">
        <v>134</v>
      </c>
      <c r="D54" s="29"/>
      <c r="E54" s="30"/>
      <c r="F54" s="30"/>
      <c r="G54" s="31"/>
      <c r="H54" s="32" t="s">
        <v>128</v>
      </c>
      <c r="I54" s="32" t="s">
        <v>128</v>
      </c>
      <c r="J54" s="33"/>
    </row>
    <row r="55" spans="3:10" x14ac:dyDescent="0.3">
      <c r="C55" s="20"/>
      <c r="D55" s="29"/>
      <c r="E55" s="30"/>
      <c r="F55" s="30"/>
      <c r="G55" s="31"/>
      <c r="H55" s="32"/>
      <c r="I55" s="32"/>
      <c r="J55" s="33"/>
    </row>
    <row r="56" spans="3:10" x14ac:dyDescent="0.3">
      <c r="C56" s="28" t="s">
        <v>135</v>
      </c>
      <c r="D56" s="29"/>
      <c r="E56" s="30"/>
      <c r="F56" s="30"/>
      <c r="G56" s="31"/>
      <c r="H56" s="32" t="s">
        <v>128</v>
      </c>
      <c r="I56" s="32" t="s">
        <v>128</v>
      </c>
      <c r="J56" s="33"/>
    </row>
    <row r="57" spans="3:10" x14ac:dyDescent="0.3">
      <c r="C57" s="20"/>
      <c r="D57" s="29"/>
      <c r="E57" s="30"/>
      <c r="F57" s="30"/>
      <c r="G57" s="31"/>
      <c r="H57" s="32"/>
      <c r="I57" s="32"/>
      <c r="J57" s="33"/>
    </row>
    <row r="58" spans="3:10" x14ac:dyDescent="0.3">
      <c r="C58" s="28" t="s">
        <v>136</v>
      </c>
      <c r="D58" s="29"/>
      <c r="E58" s="30"/>
      <c r="F58" s="30"/>
      <c r="G58" s="31"/>
      <c r="H58" s="32"/>
      <c r="I58" s="32"/>
      <c r="J58" s="33"/>
    </row>
    <row r="59" spans="3:10" x14ac:dyDescent="0.3">
      <c r="C59" s="20"/>
      <c r="D59" s="29"/>
      <c r="E59" s="30"/>
      <c r="F59" s="30"/>
      <c r="G59" s="31"/>
      <c r="H59" s="32"/>
      <c r="I59" s="32"/>
      <c r="J59" s="33"/>
    </row>
    <row r="60" spans="3:10" x14ac:dyDescent="0.3">
      <c r="C60" s="28" t="s">
        <v>137</v>
      </c>
      <c r="D60" s="29"/>
      <c r="E60" s="30"/>
      <c r="F60" s="30"/>
      <c r="G60" s="31"/>
      <c r="H60" s="32" t="s">
        <v>128</v>
      </c>
      <c r="I60" s="32" t="s">
        <v>128</v>
      </c>
      <c r="J60" s="33"/>
    </row>
    <row r="61" spans="3:10" x14ac:dyDescent="0.3">
      <c r="C61" s="20"/>
      <c r="D61" s="29"/>
      <c r="E61" s="30"/>
      <c r="F61" s="30"/>
      <c r="G61" s="31"/>
      <c r="H61" s="32"/>
      <c r="I61" s="32"/>
      <c r="J61" s="33"/>
    </row>
    <row r="62" spans="3:10" x14ac:dyDescent="0.3">
      <c r="C62" s="28" t="s">
        <v>138</v>
      </c>
      <c r="D62" s="29"/>
      <c r="E62" s="30"/>
      <c r="F62" s="30"/>
      <c r="G62" s="31"/>
      <c r="H62" s="32" t="s">
        <v>128</v>
      </c>
      <c r="I62" s="32" t="s">
        <v>128</v>
      </c>
      <c r="J62" s="33"/>
    </row>
    <row r="63" spans="3:10" x14ac:dyDescent="0.3">
      <c r="C63" s="20"/>
      <c r="D63" s="29"/>
      <c r="E63" s="30"/>
      <c r="F63" s="30"/>
      <c r="G63" s="31"/>
      <c r="H63" s="32"/>
      <c r="I63" s="32"/>
      <c r="J63" s="33"/>
    </row>
    <row r="64" spans="3:10" x14ac:dyDescent="0.3">
      <c r="C64" s="28" t="s">
        <v>139</v>
      </c>
      <c r="D64" s="29"/>
      <c r="E64" s="30"/>
      <c r="F64" s="30"/>
      <c r="G64" s="31"/>
      <c r="H64" s="32" t="s">
        <v>128</v>
      </c>
      <c r="I64" s="32" t="s">
        <v>128</v>
      </c>
      <c r="J64" s="33"/>
    </row>
    <row r="65" spans="3:10" x14ac:dyDescent="0.3">
      <c r="C65" s="20"/>
      <c r="D65" s="29"/>
      <c r="E65" s="30"/>
      <c r="F65" s="30"/>
      <c r="G65" s="31"/>
      <c r="H65" s="32"/>
      <c r="I65" s="32"/>
      <c r="J65" s="33"/>
    </row>
    <row r="66" spans="3:10" x14ac:dyDescent="0.3">
      <c r="C66" s="28" t="s">
        <v>140</v>
      </c>
      <c r="D66" s="29"/>
      <c r="E66" s="30"/>
      <c r="F66" s="30"/>
      <c r="G66" s="31"/>
      <c r="H66" s="32" t="s">
        <v>128</v>
      </c>
      <c r="I66" s="32" t="s">
        <v>128</v>
      </c>
      <c r="J66" s="33"/>
    </row>
    <row r="67" spans="3:10" x14ac:dyDescent="0.3">
      <c r="C67" s="20"/>
      <c r="D67" s="29"/>
      <c r="E67" s="30"/>
      <c r="F67" s="30"/>
      <c r="G67" s="31"/>
      <c r="H67" s="32"/>
      <c r="I67" s="32"/>
      <c r="J67" s="33"/>
    </row>
    <row r="68" spans="3:10" x14ac:dyDescent="0.3">
      <c r="C68" s="28" t="s">
        <v>141</v>
      </c>
      <c r="D68" s="29"/>
      <c r="E68" s="30"/>
      <c r="F68" s="30"/>
      <c r="G68" s="31"/>
      <c r="H68" s="32"/>
      <c r="I68" s="32"/>
      <c r="J68" s="33"/>
    </row>
    <row r="69" spans="3:10" x14ac:dyDescent="0.3">
      <c r="C69" s="20"/>
      <c r="D69" s="29"/>
      <c r="E69" s="30"/>
      <c r="F69" s="30"/>
      <c r="G69" s="31"/>
      <c r="H69" s="32"/>
      <c r="I69" s="32"/>
      <c r="J69" s="33"/>
    </row>
    <row r="70" spans="3:10" x14ac:dyDescent="0.3">
      <c r="C70" s="28" t="s">
        <v>142</v>
      </c>
      <c r="D70" s="29"/>
      <c r="E70" s="30"/>
      <c r="F70" s="30"/>
      <c r="G70" s="31"/>
      <c r="H70" s="32" t="s">
        <v>128</v>
      </c>
      <c r="I70" s="32" t="s">
        <v>128</v>
      </c>
      <c r="J70" s="33"/>
    </row>
    <row r="71" spans="3:10" x14ac:dyDescent="0.3">
      <c r="C71" s="20"/>
      <c r="D71" s="29"/>
      <c r="E71" s="30"/>
      <c r="F71" s="30"/>
      <c r="G71" s="31"/>
      <c r="H71" s="32"/>
      <c r="I71" s="32"/>
      <c r="J71" s="33"/>
    </row>
    <row r="72" spans="3:10" x14ac:dyDescent="0.3">
      <c r="C72" s="28" t="s">
        <v>143</v>
      </c>
      <c r="D72" s="29"/>
      <c r="E72" s="30"/>
      <c r="F72" s="30"/>
      <c r="G72" s="31"/>
      <c r="H72" s="32" t="s">
        <v>128</v>
      </c>
      <c r="I72" s="32" t="s">
        <v>128</v>
      </c>
      <c r="J72" s="33"/>
    </row>
    <row r="73" spans="3:10" x14ac:dyDescent="0.3">
      <c r="C73" s="20"/>
      <c r="D73" s="29"/>
      <c r="E73" s="30"/>
      <c r="F73" s="30"/>
      <c r="G73" s="31"/>
      <c r="H73" s="32"/>
      <c r="I73" s="32"/>
      <c r="J73" s="33"/>
    </row>
    <row r="74" spans="3:10" x14ac:dyDescent="0.3">
      <c r="C74" s="28" t="s">
        <v>144</v>
      </c>
      <c r="D74" s="29"/>
      <c r="E74" s="30"/>
      <c r="F74" s="30"/>
      <c r="G74" s="31"/>
      <c r="H74" s="32" t="s">
        <v>128</v>
      </c>
      <c r="I74" s="32" t="s">
        <v>128</v>
      </c>
      <c r="J74" s="33"/>
    </row>
    <row r="75" spans="3:10" x14ac:dyDescent="0.3">
      <c r="C75" s="20"/>
      <c r="D75" s="29"/>
      <c r="E75" s="30"/>
      <c r="F75" s="30"/>
      <c r="G75" s="31"/>
      <c r="H75" s="32"/>
      <c r="I75" s="32"/>
      <c r="J75" s="33"/>
    </row>
    <row r="76" spans="3:10" x14ac:dyDescent="0.3">
      <c r="C76" s="28" t="s">
        <v>145</v>
      </c>
      <c r="D76" s="29"/>
      <c r="E76" s="30"/>
      <c r="F76" s="30"/>
      <c r="G76" s="31"/>
      <c r="H76" s="32" t="s">
        <v>128</v>
      </c>
      <c r="I76" s="32" t="s">
        <v>128</v>
      </c>
      <c r="J76" s="33"/>
    </row>
    <row r="77" spans="3:10" x14ac:dyDescent="0.3">
      <c r="C77" s="20"/>
      <c r="D77" s="29"/>
      <c r="E77" s="30"/>
      <c r="F77" s="30"/>
      <c r="G77" s="31"/>
      <c r="H77" s="32"/>
      <c r="I77" s="32"/>
      <c r="J77" s="33"/>
    </row>
    <row r="78" spans="3:10" x14ac:dyDescent="0.3">
      <c r="C78" s="28" t="s">
        <v>146</v>
      </c>
      <c r="D78" s="29"/>
      <c r="E78" s="30"/>
      <c r="F78" s="30"/>
      <c r="G78" s="31"/>
      <c r="H78" s="32" t="s">
        <v>128</v>
      </c>
      <c r="I78" s="32" t="s">
        <v>128</v>
      </c>
      <c r="J78" s="33"/>
    </row>
    <row r="79" spans="3:10" x14ac:dyDescent="0.3">
      <c r="C79" s="20"/>
      <c r="D79" s="29"/>
      <c r="E79" s="30"/>
      <c r="F79" s="30"/>
      <c r="G79" s="31"/>
      <c r="H79" s="32"/>
      <c r="I79" s="32"/>
      <c r="J79" s="33"/>
    </row>
    <row r="80" spans="3:10" x14ac:dyDescent="0.3">
      <c r="C80" s="28" t="s">
        <v>147</v>
      </c>
      <c r="D80" s="29"/>
      <c r="E80" s="30"/>
      <c r="F80" s="30"/>
      <c r="G80" s="31"/>
      <c r="H80" s="32" t="s">
        <v>128</v>
      </c>
      <c r="I80" s="32" t="s">
        <v>128</v>
      </c>
      <c r="J80" s="33"/>
    </row>
    <row r="81" spans="1:10" x14ac:dyDescent="0.3">
      <c r="C81" s="20"/>
      <c r="D81" s="29"/>
      <c r="E81" s="30"/>
      <c r="F81" s="30"/>
      <c r="G81" s="31"/>
      <c r="H81" s="32"/>
      <c r="I81" s="32"/>
      <c r="J81" s="33"/>
    </row>
    <row r="82" spans="1:10" x14ac:dyDescent="0.3">
      <c r="A82" s="26"/>
      <c r="B82" s="27"/>
      <c r="C82" s="28" t="s">
        <v>148</v>
      </c>
      <c r="D82" s="29"/>
      <c r="E82" s="30"/>
      <c r="F82" s="30"/>
      <c r="G82" s="31"/>
      <c r="H82" s="32"/>
      <c r="I82" s="32"/>
      <c r="J82" s="33"/>
    </row>
    <row r="83" spans="1:10" x14ac:dyDescent="0.3">
      <c r="B83" s="1"/>
      <c r="C83" s="20" t="s">
        <v>149</v>
      </c>
      <c r="D83" s="29"/>
      <c r="E83" s="30"/>
      <c r="F83" s="30"/>
      <c r="G83" s="31"/>
      <c r="H83" s="32">
        <v>224.61</v>
      </c>
      <c r="I83" s="32">
        <v>4.42</v>
      </c>
      <c r="J83" s="33"/>
    </row>
    <row r="84" spans="1:10" x14ac:dyDescent="0.3">
      <c r="C84" s="28" t="s">
        <v>126</v>
      </c>
      <c r="D84" s="29"/>
      <c r="E84" s="30"/>
      <c r="F84" s="30"/>
      <c r="G84" s="31"/>
      <c r="H84" s="35">
        <v>224.61</v>
      </c>
      <c r="I84" s="35">
        <v>4.42</v>
      </c>
      <c r="J84" s="33"/>
    </row>
    <row r="85" spans="1:10" x14ac:dyDescent="0.3">
      <c r="C85" s="20"/>
      <c r="D85" s="29"/>
      <c r="E85" s="30"/>
      <c r="F85" s="30"/>
      <c r="G85" s="31"/>
      <c r="H85" s="32"/>
      <c r="I85" s="32"/>
      <c r="J85" s="33"/>
    </row>
    <row r="86" spans="1:10" ht="14.4" thickBot="1" x14ac:dyDescent="0.35">
      <c r="C86" s="36" t="s">
        <v>150</v>
      </c>
      <c r="D86" s="37"/>
      <c r="E86" s="38"/>
      <c r="F86" s="39"/>
      <c r="G86" s="40"/>
      <c r="H86" s="41">
        <v>5065.53</v>
      </c>
      <c r="I86" s="41">
        <f>SUMIFS(I:I,C:C,"Total")</f>
        <v>100</v>
      </c>
      <c r="J86" s="42"/>
    </row>
    <row r="89" spans="1:10" x14ac:dyDescent="0.3">
      <c r="C89" s="11" t="s">
        <v>151</v>
      </c>
    </row>
    <row r="90" spans="1:10" x14ac:dyDescent="0.3">
      <c r="C90" s="2" t="s">
        <v>152</v>
      </c>
    </row>
    <row r="91" spans="1:10" x14ac:dyDescent="0.3">
      <c r="C91" s="2" t="s">
        <v>153</v>
      </c>
    </row>
    <row r="92" spans="1:10" x14ac:dyDescent="0.3">
      <c r="C92" s="2" t="s">
        <v>154</v>
      </c>
    </row>
    <row r="93" spans="1:10" x14ac:dyDescent="0.3">
      <c r="C93" s="2" t="s">
        <v>155</v>
      </c>
    </row>
    <row r="94" spans="1:10" x14ac:dyDescent="0.3">
      <c r="C94" s="2" t="s">
        <v>156</v>
      </c>
    </row>
    <row r="95" spans="1:10" ht="14.4" thickBot="1" x14ac:dyDescent="0.35">
      <c r="C95" s="2" t="s">
        <v>157</v>
      </c>
    </row>
    <row r="96" spans="1:10" ht="14.4" thickBot="1" x14ac:dyDescent="0.35">
      <c r="C96" s="43"/>
      <c r="D96" s="61" t="s">
        <v>158</v>
      </c>
      <c r="E96" s="62"/>
    </row>
    <row r="97" spans="3:5" x14ac:dyDescent="0.3">
      <c r="C97" s="44" t="s">
        <v>159</v>
      </c>
      <c r="D97" s="45" t="s">
        <v>160</v>
      </c>
      <c r="E97" s="46" t="s">
        <v>160</v>
      </c>
    </row>
    <row r="98" spans="3:5" ht="14.4" thickBot="1" x14ac:dyDescent="0.35">
      <c r="C98" s="47"/>
      <c r="D98" s="48" t="s">
        <v>161</v>
      </c>
      <c r="E98" s="49" t="s">
        <v>162</v>
      </c>
    </row>
    <row r="99" spans="3:5" ht="14.4" thickBot="1" x14ac:dyDescent="0.35">
      <c r="C99" s="50" t="s">
        <v>163</v>
      </c>
      <c r="D99" s="51">
        <v>71.180000000000007</v>
      </c>
      <c r="E99" s="51">
        <v>68.709999999999994</v>
      </c>
    </row>
    <row r="100" spans="3:5" ht="14.4" thickBot="1" x14ac:dyDescent="0.35">
      <c r="C100" s="50" t="s">
        <v>164</v>
      </c>
      <c r="D100" s="51">
        <v>162.47999999999999</v>
      </c>
      <c r="E100" s="51">
        <v>156.85</v>
      </c>
    </row>
    <row r="101" spans="3:5" ht="14.4" thickBot="1" x14ac:dyDescent="0.35">
      <c r="C101" s="50" t="s">
        <v>165</v>
      </c>
      <c r="D101" s="51">
        <v>75.78</v>
      </c>
      <c r="E101" s="51">
        <v>73.17</v>
      </c>
    </row>
    <row r="102" spans="3:5" ht="14.4" thickBot="1" x14ac:dyDescent="0.35">
      <c r="C102" s="50" t="s">
        <v>166</v>
      </c>
      <c r="D102" s="51">
        <v>172.04</v>
      </c>
      <c r="E102" s="51">
        <v>166.11</v>
      </c>
    </row>
    <row r="104" spans="3:5" x14ac:dyDescent="0.3">
      <c r="C104" s="2" t="s">
        <v>167</v>
      </c>
    </row>
    <row r="105" spans="3:5" x14ac:dyDescent="0.3">
      <c r="C105" s="2" t="s">
        <v>168</v>
      </c>
    </row>
    <row r="106" spans="3:5" x14ac:dyDescent="0.3">
      <c r="C106" s="2" t="s">
        <v>169</v>
      </c>
    </row>
    <row r="107" spans="3:5" x14ac:dyDescent="0.3">
      <c r="C107" s="2" t="s">
        <v>170</v>
      </c>
    </row>
    <row r="108" spans="3:5" x14ac:dyDescent="0.3">
      <c r="C108" s="2" t="s">
        <v>171</v>
      </c>
    </row>
    <row r="109" spans="3:5" x14ac:dyDescent="0.3">
      <c r="C109" s="2" t="s">
        <v>172</v>
      </c>
    </row>
    <row r="110" spans="3:5" x14ac:dyDescent="0.3">
      <c r="C110" s="2" t="s">
        <v>173</v>
      </c>
    </row>
    <row r="111" spans="3:5" x14ac:dyDescent="0.3">
      <c r="C111" s="2" t="s">
        <v>174</v>
      </c>
    </row>
    <row r="112" spans="3:5" x14ac:dyDescent="0.3">
      <c r="C112" s="2" t="s">
        <v>175</v>
      </c>
    </row>
  </sheetData>
  <mergeCells count="1">
    <mergeCell ref="D96:E9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3900-DCED-4583-A27F-7EDBB96F9B62}">
  <dimension ref="C3:M17"/>
  <sheetViews>
    <sheetView workbookViewId="0">
      <selection activeCell="M5" sqref="M5"/>
    </sheetView>
  </sheetViews>
  <sheetFormatPr defaultRowHeight="14.4" x14ac:dyDescent="0.3"/>
  <cols>
    <col min="3" max="3" width="45.109375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20.88671875" customWidth="1"/>
  </cols>
  <sheetData>
    <row r="3" spans="3:13" ht="15.6" x14ac:dyDescent="0.3">
      <c r="C3" s="52" t="s">
        <v>177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3">
      <c r="C4" s="54" t="s">
        <v>178</v>
      </c>
      <c r="D4" s="65" t="s">
        <v>179</v>
      </c>
      <c r="E4" s="65"/>
      <c r="F4" s="65" t="s">
        <v>180</v>
      </c>
      <c r="G4" s="65"/>
      <c r="H4" s="65" t="s">
        <v>181</v>
      </c>
      <c r="I4" s="65"/>
      <c r="J4" s="66" t="s">
        <v>182</v>
      </c>
      <c r="K4" s="67"/>
      <c r="L4" s="68" t="s">
        <v>183</v>
      </c>
      <c r="M4" s="68"/>
    </row>
    <row r="5" spans="3:13" ht="66" x14ac:dyDescent="0.3">
      <c r="C5" s="55"/>
      <c r="D5" s="56" t="s">
        <v>184</v>
      </c>
      <c r="E5" s="56" t="s">
        <v>185</v>
      </c>
      <c r="F5" s="56" t="s">
        <v>184</v>
      </c>
      <c r="G5" s="56" t="s">
        <v>185</v>
      </c>
      <c r="H5" s="56" t="s">
        <v>184</v>
      </c>
      <c r="I5" s="56" t="s">
        <v>185</v>
      </c>
      <c r="J5" s="56" t="s">
        <v>184</v>
      </c>
      <c r="K5" s="56" t="s">
        <v>185</v>
      </c>
      <c r="L5" s="57" t="s">
        <v>184</v>
      </c>
      <c r="M5" s="57" t="s">
        <v>185</v>
      </c>
    </row>
    <row r="6" spans="3:13" x14ac:dyDescent="0.3">
      <c r="C6" s="58" t="s">
        <v>186</v>
      </c>
      <c r="D6" s="59">
        <v>7.4824999999999999</v>
      </c>
      <c r="E6" s="59">
        <v>10748.252706591751</v>
      </c>
      <c r="F6" s="59">
        <v>15.9895</v>
      </c>
      <c r="G6" s="59">
        <v>15611.066878980893</v>
      </c>
      <c r="H6" s="59">
        <v>13.4621</v>
      </c>
      <c r="I6" s="59">
        <v>18817.17850287908</v>
      </c>
      <c r="J6" s="59">
        <v>10.5099</v>
      </c>
      <c r="K6" s="59">
        <v>27194.868238557563</v>
      </c>
      <c r="L6" s="59">
        <v>10.6234</v>
      </c>
      <c r="M6" s="59">
        <v>156860</v>
      </c>
    </row>
    <row r="7" spans="3:13" x14ac:dyDescent="0.3">
      <c r="C7" s="58" t="s">
        <v>187</v>
      </c>
      <c r="D7" s="59">
        <v>10.384979</v>
      </c>
      <c r="E7" s="59">
        <v>11038.5</v>
      </c>
      <c r="F7" s="59">
        <v>15.514699999999999</v>
      </c>
      <c r="G7" s="59">
        <v>15413.872549033613</v>
      </c>
      <c r="H7" s="59">
        <v>15.4504</v>
      </c>
      <c r="I7" s="59">
        <v>20510.54543908605</v>
      </c>
      <c r="J7" s="59">
        <v>14.7279</v>
      </c>
      <c r="K7" s="59">
        <v>19876.742945217215</v>
      </c>
      <c r="L7" s="59" t="s">
        <v>188</v>
      </c>
      <c r="M7" s="59">
        <v>364680.86514492746</v>
      </c>
    </row>
    <row r="8" spans="3:13" x14ac:dyDescent="0.3">
      <c r="C8" s="58" t="s">
        <v>189</v>
      </c>
      <c r="D8" s="59">
        <v>10.217000000000001</v>
      </c>
      <c r="E8" s="59">
        <v>11021.7</v>
      </c>
      <c r="F8" s="59">
        <v>14.098599999999999</v>
      </c>
      <c r="G8" s="59">
        <v>14853.915426689055</v>
      </c>
      <c r="H8" s="59">
        <v>14.522399999999999</v>
      </c>
      <c r="I8" s="59">
        <v>19699.363947534817</v>
      </c>
      <c r="J8" s="59">
        <v>14.2287</v>
      </c>
      <c r="K8" s="59">
        <v>19448.054876599468</v>
      </c>
      <c r="L8" s="59">
        <v>12.435</v>
      </c>
      <c r="M8" s="59">
        <v>375853.56183181063</v>
      </c>
    </row>
    <row r="9" spans="3:13" x14ac:dyDescent="0.3">
      <c r="C9" s="58" t="s">
        <v>190</v>
      </c>
      <c r="D9" s="63">
        <v>145.94</v>
      </c>
      <c r="E9" s="64"/>
      <c r="F9" s="63">
        <v>100.48</v>
      </c>
      <c r="G9" s="64"/>
      <c r="H9" s="63">
        <v>83.36</v>
      </c>
      <c r="I9" s="64"/>
      <c r="J9" s="63">
        <v>57.68</v>
      </c>
      <c r="K9" s="64"/>
      <c r="L9" s="63">
        <v>10</v>
      </c>
      <c r="M9" s="64"/>
    </row>
    <row r="11" spans="3:13" ht="15.6" x14ac:dyDescent="0.3">
      <c r="C11" s="52" t="s">
        <v>191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3">
      <c r="C12" s="54" t="s">
        <v>178</v>
      </c>
      <c r="D12" s="65" t="s">
        <v>179</v>
      </c>
      <c r="E12" s="65"/>
      <c r="F12" s="65" t="s">
        <v>180</v>
      </c>
      <c r="G12" s="65"/>
      <c r="H12" s="65" t="s">
        <v>181</v>
      </c>
      <c r="I12" s="65"/>
      <c r="J12" s="66" t="s">
        <v>182</v>
      </c>
      <c r="K12" s="67"/>
      <c r="L12" s="68" t="s">
        <v>183</v>
      </c>
      <c r="M12" s="68"/>
    </row>
    <row r="13" spans="3:13" ht="66" x14ac:dyDescent="0.3">
      <c r="C13" s="55"/>
      <c r="D13" s="56" t="s">
        <v>184</v>
      </c>
      <c r="E13" s="56" t="s">
        <v>185</v>
      </c>
      <c r="F13" s="56" t="s">
        <v>184</v>
      </c>
      <c r="G13" s="56" t="s">
        <v>185</v>
      </c>
      <c r="H13" s="56" t="s">
        <v>184</v>
      </c>
      <c r="I13" s="56" t="s">
        <v>185</v>
      </c>
      <c r="J13" s="56" t="s">
        <v>184</v>
      </c>
      <c r="K13" s="56" t="s">
        <v>185</v>
      </c>
      <c r="L13" s="57" t="s">
        <v>184</v>
      </c>
      <c r="M13" s="57" t="s">
        <v>185</v>
      </c>
    </row>
    <row r="14" spans="3:13" x14ac:dyDescent="0.3">
      <c r="C14" s="58" t="s">
        <v>186</v>
      </c>
      <c r="D14" s="59">
        <v>7.6882999999999999</v>
      </c>
      <c r="E14" s="59">
        <v>10768.831842344096</v>
      </c>
      <c r="F14" s="59">
        <v>16.139299999999999</v>
      </c>
      <c r="G14" s="59">
        <v>15671.698113207547</v>
      </c>
      <c r="H14" s="59">
        <v>13.591200000000001</v>
      </c>
      <c r="I14" s="59">
        <v>18924.584187742083</v>
      </c>
      <c r="J14" s="59">
        <v>10.905201999999999</v>
      </c>
      <c r="K14" s="59">
        <v>28184.594502884287</v>
      </c>
      <c r="L14" s="59">
        <v>10.547700000000001</v>
      </c>
      <c r="M14" s="59">
        <v>37313.566936208445</v>
      </c>
    </row>
    <row r="15" spans="3:13" x14ac:dyDescent="0.3">
      <c r="C15" s="58" t="s">
        <v>187</v>
      </c>
      <c r="D15" s="59">
        <v>10.385</v>
      </c>
      <c r="E15" s="59">
        <v>11038.5</v>
      </c>
      <c r="F15" s="59">
        <v>15.514699999999999</v>
      </c>
      <c r="G15" s="59">
        <v>15413.872549033613</v>
      </c>
      <c r="H15" s="59">
        <v>15.4504</v>
      </c>
      <c r="I15" s="59">
        <v>20510.54543908605</v>
      </c>
      <c r="J15" s="59">
        <v>14.7279</v>
      </c>
      <c r="K15" s="59">
        <v>19876.742945217215</v>
      </c>
      <c r="L15" s="59">
        <v>13.422428</v>
      </c>
      <c r="M15" s="59">
        <v>53352.532279441024</v>
      </c>
    </row>
    <row r="16" spans="3:13" x14ac:dyDescent="0.3">
      <c r="C16" s="58" t="s">
        <v>189</v>
      </c>
      <c r="D16" s="59">
        <v>10.217000000000001</v>
      </c>
      <c r="E16" s="59">
        <v>11021.7</v>
      </c>
      <c r="F16" s="59">
        <v>14.098599999999999</v>
      </c>
      <c r="G16" s="59">
        <v>14853.915426689055</v>
      </c>
      <c r="H16" s="59">
        <v>14.522399999999999</v>
      </c>
      <c r="I16" s="59">
        <v>19699.363947534817</v>
      </c>
      <c r="J16" s="59">
        <v>12.980499999999999</v>
      </c>
      <c r="K16" s="59">
        <v>19448.054876599468</v>
      </c>
      <c r="L16" s="59">
        <v>12.980499999999999</v>
      </c>
      <c r="M16" s="59">
        <v>49363.034870167816</v>
      </c>
    </row>
    <row r="17" spans="3:13" x14ac:dyDescent="0.3">
      <c r="C17" s="60" t="s">
        <v>192</v>
      </c>
      <c r="D17" s="63">
        <v>154.26</v>
      </c>
      <c r="E17" s="64"/>
      <c r="F17" s="63">
        <v>106</v>
      </c>
      <c r="G17" s="64"/>
      <c r="H17" s="63">
        <v>87.78</v>
      </c>
      <c r="I17" s="64"/>
      <c r="J17" s="63">
        <v>58.94</v>
      </c>
      <c r="K17" s="64"/>
      <c r="L17" s="63">
        <v>44.52</v>
      </c>
      <c r="M17" s="64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2026-02-06T11:30:13Z</dcterms:created>
  <dcterms:modified xsi:type="dcterms:W3CDTF">2026-02-09T10:44:36Z</dcterms:modified>
</cp:coreProperties>
</file>