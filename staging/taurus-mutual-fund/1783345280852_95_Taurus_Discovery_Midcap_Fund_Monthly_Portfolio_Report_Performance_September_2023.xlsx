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OCT 2023\Portfolio\SAHU\RE_ TMF_Monthly_Portfolio_Report_SEPT 23\"/>
    </mc:Choice>
  </mc:AlternateContent>
  <xr:revisionPtr revIDLastSave="0" documentId="13_ncr:1_{CC38FD69-C5F5-43F8-9F63-C31F986C2F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DF-Risk-O-Meter &amp; Portfolio" sheetId="1" r:id="rId1"/>
    <sheet name="TDF Performance" sheetId="2" r:id="rId2"/>
  </sheets>
  <externalReferences>
    <externalReference r:id="rId3"/>
  </externalReferences>
  <definedNames>
    <definedName name="XDO_?CLASS_3?2?">'TDF-Risk-O-Meter &amp; Portfolio'!$C$8:$C$48</definedName>
    <definedName name="XDO_?FINAL_ISIN?3?">'TDF-Risk-O-Meter &amp; Portfolio'!$D$10:$D$48</definedName>
    <definedName name="XDO_?FINAL_ISIN?4?">'TDF-Risk-O-Meter &amp; Portfolio'!$D$10:$D$90</definedName>
    <definedName name="XDO_?FINAL_MV?3?">'TDF-Risk-O-Meter &amp; Portfolio'!$H$10:$H$48</definedName>
    <definedName name="XDO_?FINAL_MV?4?">'TDF-Risk-O-Meter &amp; Portfolio'!$H$10:$H$90</definedName>
    <definedName name="XDO_?FINAL_NAME?3?">'TDF-Risk-O-Meter &amp; Portfolio'!$C$10:$C$48</definedName>
    <definedName name="XDO_?FINAL_NAME?4?">'TDF-Risk-O-Meter &amp; Portfolio'!$C$10:$C$90</definedName>
    <definedName name="XDO_?FINAL_PER_NET?3?">'TDF-Risk-O-Meter &amp; Portfolio'!$I$10:$I$48</definedName>
    <definedName name="XDO_?FINAL_PER_NET?4?">'TDF-Risk-O-Meter &amp; Portfolio'!$I$10:$I$90</definedName>
    <definedName name="XDO_?FINAL_QUANTITE?3?">'TDF-Risk-O-Meter &amp; Portfolio'!$G$10:$G$48</definedName>
    <definedName name="XDO_?FINAL_QUANTITE?4?">'TDF-Risk-O-Meter &amp; Portfolio'!$G$10:$G$90</definedName>
    <definedName name="XDO_?IND_01?3?">'TDF-Risk-O-Meter &amp; Portfolio'!$F$10:$F$48</definedName>
    <definedName name="XDO_?IND_01?4?">'TDF-Risk-O-Meter &amp; Portfolio'!$F$10:$F$90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Portfolio'!$C$2:$C$48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Portfolio'!$B$10:$B$48</definedName>
    <definedName name="XDO_?NOVAL?4?">'TDF-Risk-O-Meter &amp; Portfolio'!$B$10:$B$90</definedName>
    <definedName name="XDO_?NPTF?2?">'TDF-Risk-O-Meter &amp; Portfolio'!$D$2:$D$48</definedName>
    <definedName name="XDO_?RATING?3?">'TDF-Risk-O-Meter &amp; Portfolio'!$E$10:$E$48</definedName>
    <definedName name="XDO_?RATING?4?">'TDF-Risk-O-Meter &amp; Portfolio'!$E$10:$E$90</definedName>
    <definedName name="XDO_?REMARKS?3?">'TDF-Risk-O-Meter &amp; Portfolio'!$J$10:$J$48</definedName>
    <definedName name="XDO_?REMARKS?4?">'TDF-Risk-O-Meter &amp; Portfolio'!$J$10:$J$90</definedName>
    <definedName name="XDO_?TITL?2?">'TDF-Risk-O-Meter &amp; Portfolio'!$A$8:$A$48</definedName>
    <definedName name="XDO_GROUP_?G_2?2?">'TDF-Risk-O-Meter &amp; Portfolio'!$2:$93</definedName>
    <definedName name="XDO_GROUP_?G_3?2?">'TDF-Risk-O-Meter &amp; Portfolio'!$8:$92</definedName>
    <definedName name="XDO_GROUP_?G_4?3?">'TDF-Risk-O-Meter &amp; Portfolio'!$B$10:$IV$48</definedName>
    <definedName name="XDO_GROUP_?G_4?4?">'TDF-Risk-O-Meter &amp; Portfolio'!$B$90:$IV$90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 l="1"/>
</calcChain>
</file>

<file path=xl/sharedStrings.xml><?xml version="1.0" encoding="utf-8"?>
<sst xmlns="http://schemas.openxmlformats.org/spreadsheetml/2006/main" count="268" uniqueCount="195">
  <si>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</si>
  <si>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</si>
  <si>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</si>
  <si>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</si>
  <si>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</si>
  <si>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</si>
  <si>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</si>
  <si>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</si>
  <si>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</si>
  <si>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</si>
  <si>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</si>
  <si>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</si>
  <si>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</si>
  <si>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</si>
  <si>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</si>
  <si>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</si>
  <si>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</si>
  <si>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</si>
  <si>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</si>
  <si>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</si>
  <si>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</si>
  <si>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</si>
  <si>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</si>
  <si>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101800</t>
  </si>
  <si>
    <t>Hindware Home Innovation Ltd.</t>
  </si>
  <si>
    <t>INE05AN01011</t>
  </si>
  <si>
    <t>Consumer Durables</t>
  </si>
  <si>
    <t>100055</t>
  </si>
  <si>
    <t>The Federal Bank Ltd.</t>
  </si>
  <si>
    <t>INE171A01029</t>
  </si>
  <si>
    <t>Banks</t>
  </si>
  <si>
    <t>100719</t>
  </si>
  <si>
    <t>Mayur Uniquoters Ltd.</t>
  </si>
  <si>
    <t>INE040D01038</t>
  </si>
  <si>
    <t>100466</t>
  </si>
  <si>
    <t>Igarashi Motors India Ltd.</t>
  </si>
  <si>
    <t>INE188B01013</t>
  </si>
  <si>
    <t>Auto Components</t>
  </si>
  <si>
    <t>100088</t>
  </si>
  <si>
    <t>Bharat Heavy Electricals Ltd.</t>
  </si>
  <si>
    <t>INE257A01026</t>
  </si>
  <si>
    <t>Electrical Equipment</t>
  </si>
  <si>
    <t>100814</t>
  </si>
  <si>
    <t>HDFC Asset Management Co. Ltd.</t>
  </si>
  <si>
    <t>INE127D01025</t>
  </si>
  <si>
    <t>Capital Markets</t>
  </si>
  <si>
    <t>100018</t>
  </si>
  <si>
    <t>Tata Communications Ltd.</t>
  </si>
  <si>
    <t>INE151A01013</t>
  </si>
  <si>
    <t>Telecom - Services</t>
  </si>
  <si>
    <t>100109</t>
  </si>
  <si>
    <t>Piramal Enterprises Ltd.</t>
  </si>
  <si>
    <t>INE140A01024</t>
  </si>
  <si>
    <t>Finance</t>
  </si>
  <si>
    <t>100843</t>
  </si>
  <si>
    <t>Dalmia Bharat Ltd.</t>
  </si>
  <si>
    <t>INE00R701025</t>
  </si>
  <si>
    <t>Cement &amp; Cement Products</t>
  </si>
  <si>
    <t>101718</t>
  </si>
  <si>
    <t>Faze Three Ltd.</t>
  </si>
  <si>
    <t>INE963C01033</t>
  </si>
  <si>
    <t>Textiles &amp; Apparels</t>
  </si>
  <si>
    <t>100398</t>
  </si>
  <si>
    <t>Aditya Birla Fashion and Retail Ltd.</t>
  </si>
  <si>
    <t>INE647O01011</t>
  </si>
  <si>
    <t>Retailing</t>
  </si>
  <si>
    <t>100029</t>
  </si>
  <si>
    <t>Mphasis Ltd.</t>
  </si>
  <si>
    <t>INE356A01018</t>
  </si>
  <si>
    <t>IT - Software</t>
  </si>
  <si>
    <t>101152</t>
  </si>
  <si>
    <t>Sumitomo Chemical India Ltd.</t>
  </si>
  <si>
    <t>INE258G01013</t>
  </si>
  <si>
    <t>Fertilizers &amp; Agrochemicals</t>
  </si>
  <si>
    <t>100234</t>
  </si>
  <si>
    <t>Coforge Ltd.</t>
  </si>
  <si>
    <t>INE591G01017</t>
  </si>
  <si>
    <t>100242</t>
  </si>
  <si>
    <t>Schaeffler India Ltd.</t>
  </si>
  <si>
    <t>INE513A01022</t>
  </si>
  <si>
    <t>100090</t>
  </si>
  <si>
    <t>Bharat Forge Ltd.</t>
  </si>
  <si>
    <t>INE465A01025</t>
  </si>
  <si>
    <t>Industrial Products</t>
  </si>
  <si>
    <t>100116</t>
  </si>
  <si>
    <t>Sundaram Finance Ltd.</t>
  </si>
  <si>
    <t>INE660A01013</t>
  </si>
  <si>
    <t>100042</t>
  </si>
  <si>
    <t>LIC Housing Finance Ltd.</t>
  </si>
  <si>
    <t>INE115A01026</t>
  </si>
  <si>
    <t>100227</t>
  </si>
  <si>
    <t>Jubilant Foodworks Ltd.</t>
  </si>
  <si>
    <t>INE797F01020</t>
  </si>
  <si>
    <t>Leisure Services</t>
  </si>
  <si>
    <t>100144</t>
  </si>
  <si>
    <t>Voltas Ltd.</t>
  </si>
  <si>
    <t>INE226A01021</t>
  </si>
  <si>
    <t>100476</t>
  </si>
  <si>
    <t>Caplin Point Laboratories Ltd.</t>
  </si>
  <si>
    <t>INE475E01026</t>
  </si>
  <si>
    <t>100471</t>
  </si>
  <si>
    <t>Endurance Technologies Ltd.</t>
  </si>
  <si>
    <t>INE913H01037</t>
  </si>
  <si>
    <t>100195</t>
  </si>
  <si>
    <t>REC Ltd.</t>
  </si>
  <si>
    <t>INE020B01018</t>
  </si>
  <si>
    <t>100107</t>
  </si>
  <si>
    <t>Max Financial Services Ltd.</t>
  </si>
  <si>
    <t>INE180A01020</t>
  </si>
  <si>
    <t>Insurance</t>
  </si>
  <si>
    <t>101883</t>
  </si>
  <si>
    <t>Anant Raj Ltd.</t>
  </si>
  <si>
    <t>INE242C01024</t>
  </si>
  <si>
    <t>Realty</t>
  </si>
  <si>
    <t>100426</t>
  </si>
  <si>
    <t>Relaxo Footwears Ltd.</t>
  </si>
  <si>
    <t>INE131B01039</t>
  </si>
  <si>
    <t>100335</t>
  </si>
  <si>
    <t>Kajaria Ceramics Ltd.</t>
  </si>
  <si>
    <t>INE217B01036</t>
  </si>
  <si>
    <t>100570</t>
  </si>
  <si>
    <t>K.P.R. Mill Ltd.</t>
  </si>
  <si>
    <t>INE930H01031</t>
  </si>
  <si>
    <t>100665</t>
  </si>
  <si>
    <t>Aditya Birla Capital Ltd.</t>
  </si>
  <si>
    <t>INE674K01013</t>
  </si>
  <si>
    <t>100566</t>
  </si>
  <si>
    <t>Laurus Labs Ltd.</t>
  </si>
  <si>
    <t>INE947Q01028</t>
  </si>
  <si>
    <t>100035</t>
  </si>
  <si>
    <t>NMDC Ltd.</t>
  </si>
  <si>
    <t>INE584A01023</t>
  </si>
  <si>
    <t>Minerals &amp; Mining</t>
  </si>
  <si>
    <t>100258</t>
  </si>
  <si>
    <t>Arvind Ltd.</t>
  </si>
  <si>
    <t>INE034A01011</t>
  </si>
  <si>
    <t>100461</t>
  </si>
  <si>
    <t>Astral Ltd.</t>
  </si>
  <si>
    <t>INE006I01046</t>
  </si>
  <si>
    <t>100054</t>
  </si>
  <si>
    <t>Oberoi Realty Ltd.</t>
  </si>
  <si>
    <t>INE093I01010</t>
  </si>
  <si>
    <t>100222</t>
  </si>
  <si>
    <t>The Indian Hotels Company Ltd.</t>
  </si>
  <si>
    <t>INE053A01029</t>
  </si>
  <si>
    <t>100161</t>
  </si>
  <si>
    <t>Cummins India Ltd.</t>
  </si>
  <si>
    <t>INE298A01020</t>
  </si>
  <si>
    <t>100168</t>
  </si>
  <si>
    <t>Escorts Kubota Ltd.</t>
  </si>
  <si>
    <t>INE042A01014</t>
  </si>
  <si>
    <t>Agricultural, Commercial &amp; Construction Vehicles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</si>
  <si>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</si>
  <si>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</si>
  <si>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</si>
  <si>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</si>
  <si>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</si>
  <si>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</si>
  <si>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</si>
  <si>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</si>
  <si>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</si>
  <si>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</si>
  <si>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</si>
  <si>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</si>
  <si>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</si>
  <si>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</si>
  <si>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</si>
  <si>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</si>
  <si>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</si>
  <si>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</si>
  <si>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</si>
  <si>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</si>
  <si>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</si>
  <si>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</si>
  <si>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</si>
  <si>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</si>
  <si>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</si>
  <si>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</si>
  <si>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</si>
  <si>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</si>
  <si>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</si>
  <si>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</si>
  <si>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</si>
  <si>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</si>
  <si>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</si>
  <si>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</si>
  <si>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</si>
  <si>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</si>
  <si>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</si>
  <si>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</si>
  <si>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</si>
  <si>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September 29, 2023 : 97.80)</t>
  </si>
  <si>
    <t>Taurus Discovery (Midcap) Fund-Direct Plan-Growth Option</t>
  </si>
  <si>
    <t>NAV [Rs.] Per Unit (as on September 29, 2023 : 102.50)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</si>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</sst>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Style 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Discovery Prodcut label - 9th Dec 202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45199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53750</v>
      </c>
      <c r="H10" s="32">
        <v>661.9</v>
      </c>
      <c r="I10" s="32">
        <v>6.47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52200</v>
      </c>
      <c r="H11" s="32">
        <v>582.5</v>
      </c>
      <c r="I11" s="32">
        <v>5.69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92500</v>
      </c>
      <c r="H12" s="32">
        <v>509.86</v>
      </c>
      <c r="I12" s="32">
        <v>4.9800000000000004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260000</v>
      </c>
      <c r="H13" s="32">
        <v>382.59</v>
      </c>
      <c r="I13" s="32">
        <v>3.74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26</v>
      </c>
      <c r="G14" s="31">
        <v>70000</v>
      </c>
      <c r="H14" s="32">
        <v>362.18</v>
      </c>
      <c r="I14" s="32">
        <v>3.54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56500</v>
      </c>
      <c r="H15" s="32">
        <v>348.32</v>
      </c>
      <c r="I15" s="32">
        <v>3.4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265000</v>
      </c>
      <c r="H16" s="32">
        <v>347.02</v>
      </c>
      <c r="I16" s="32">
        <v>3.39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12950</v>
      </c>
      <c r="H17" s="32">
        <v>342.68</v>
      </c>
      <c r="I17" s="32">
        <v>3.35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16450</v>
      </c>
      <c r="H18" s="32">
        <v>317.56</v>
      </c>
      <c r="I18" s="32">
        <v>3.1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30000</v>
      </c>
      <c r="H19" s="32">
        <v>314.85000000000002</v>
      </c>
      <c r="I19" s="32">
        <v>3.08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12400</v>
      </c>
      <c r="H20" s="32">
        <v>298.26</v>
      </c>
      <c r="I20" s="32">
        <v>2.91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81000</v>
      </c>
      <c r="H21" s="32">
        <v>296.74</v>
      </c>
      <c r="I21" s="32">
        <v>2.9</v>
      </c>
      <c r="J21" s="33"/>
    </row>
    <row r="22" spans="2:10" x14ac:dyDescent="0.25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135000</v>
      </c>
      <c r="H22" s="32">
        <v>289.70999999999998</v>
      </c>
      <c r="I22" s="32">
        <v>2.83</v>
      </c>
      <c r="J22" s="33"/>
    </row>
    <row r="23" spans="2:10" x14ac:dyDescent="0.25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11950</v>
      </c>
      <c r="H23" s="32">
        <v>283.77</v>
      </c>
      <c r="I23" s="32">
        <v>2.77</v>
      </c>
      <c r="J23" s="33"/>
    </row>
    <row r="24" spans="2:10" x14ac:dyDescent="0.25">
      <c r="B24" s="1" t="s">
        <v>70</v>
      </c>
      <c r="C24" s="20" t="s">
        <v>71</v>
      </c>
      <c r="D24" s="29" t="s">
        <v>72</v>
      </c>
      <c r="E24" s="30"/>
      <c r="F24" s="30" t="s">
        <v>73</v>
      </c>
      <c r="G24" s="31">
        <v>65000</v>
      </c>
      <c r="H24" s="32">
        <v>274.52999999999997</v>
      </c>
      <c r="I24" s="32">
        <v>2.68</v>
      </c>
      <c r="J24" s="33"/>
    </row>
    <row r="25" spans="2:10" x14ac:dyDescent="0.25">
      <c r="B25" s="1" t="s">
        <v>74</v>
      </c>
      <c r="C25" s="20" t="s">
        <v>75</v>
      </c>
      <c r="D25" s="29" t="s">
        <v>76</v>
      </c>
      <c r="E25" s="30"/>
      <c r="F25" s="30" t="s">
        <v>69</v>
      </c>
      <c r="G25" s="31">
        <v>5200</v>
      </c>
      <c r="H25" s="32">
        <v>265.26</v>
      </c>
      <c r="I25" s="32">
        <v>2.59</v>
      </c>
      <c r="J25" s="33"/>
    </row>
    <row r="26" spans="2:10" x14ac:dyDescent="0.25">
      <c r="B26" s="1" t="s">
        <v>77</v>
      </c>
      <c r="C26" s="20" t="s">
        <v>78</v>
      </c>
      <c r="D26" s="29" t="s">
        <v>79</v>
      </c>
      <c r="E26" s="30"/>
      <c r="F26" s="30" t="s">
        <v>37</v>
      </c>
      <c r="G26" s="31">
        <v>8000</v>
      </c>
      <c r="H26" s="32">
        <v>265.12</v>
      </c>
      <c r="I26" s="32">
        <v>2.59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24250</v>
      </c>
      <c r="H27" s="32">
        <v>264.89</v>
      </c>
      <c r="I27" s="32">
        <v>2.59</v>
      </c>
      <c r="J27" s="33"/>
    </row>
    <row r="28" spans="2:10" x14ac:dyDescent="0.25">
      <c r="B28" s="1" t="s">
        <v>84</v>
      </c>
      <c r="C28" s="20" t="s">
        <v>85</v>
      </c>
      <c r="D28" s="29" t="s">
        <v>86</v>
      </c>
      <c r="E28" s="30"/>
      <c r="F28" s="30" t="s">
        <v>53</v>
      </c>
      <c r="G28" s="31">
        <v>8500</v>
      </c>
      <c r="H28" s="32">
        <v>261.14</v>
      </c>
      <c r="I28" s="32">
        <v>2.5499999999999998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53</v>
      </c>
      <c r="G29" s="31">
        <v>52500</v>
      </c>
      <c r="H29" s="32">
        <v>243.55</v>
      </c>
      <c r="I29" s="32">
        <v>2.38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42500</v>
      </c>
      <c r="H30" s="32">
        <v>226.55</v>
      </c>
      <c r="I30" s="32">
        <v>2.21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26</v>
      </c>
      <c r="G31" s="31">
        <v>24000</v>
      </c>
      <c r="H31" s="32">
        <v>207.12</v>
      </c>
      <c r="I31" s="32">
        <v>2.02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18</v>
      </c>
      <c r="G32" s="31">
        <v>20000</v>
      </c>
      <c r="H32" s="32">
        <v>206.63</v>
      </c>
      <c r="I32" s="32">
        <v>2.02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37</v>
      </c>
      <c r="G33" s="31">
        <v>12875</v>
      </c>
      <c r="H33" s="32">
        <v>205.1</v>
      </c>
      <c r="I33" s="32">
        <v>2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53</v>
      </c>
      <c r="G34" s="31">
        <v>70000</v>
      </c>
      <c r="H34" s="32">
        <v>201.29</v>
      </c>
      <c r="I34" s="32">
        <v>1.97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22000</v>
      </c>
      <c r="H35" s="32">
        <v>200.27</v>
      </c>
      <c r="I35" s="32">
        <v>1.96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90000</v>
      </c>
      <c r="H36" s="32">
        <v>197.37</v>
      </c>
      <c r="I36" s="32">
        <v>1.93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26</v>
      </c>
      <c r="G37" s="31">
        <v>21500</v>
      </c>
      <c r="H37" s="32">
        <v>193.66</v>
      </c>
      <c r="I37" s="32">
        <v>1.89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26</v>
      </c>
      <c r="G38" s="31">
        <v>14500</v>
      </c>
      <c r="H38" s="32">
        <v>192.12</v>
      </c>
      <c r="I38" s="32">
        <v>1.88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61</v>
      </c>
      <c r="G39" s="31">
        <v>24000</v>
      </c>
      <c r="H39" s="32">
        <v>180.12</v>
      </c>
      <c r="I39" s="32">
        <v>1.76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53</v>
      </c>
      <c r="G40" s="31">
        <v>100000</v>
      </c>
      <c r="H40" s="32">
        <v>179.95</v>
      </c>
      <c r="I40" s="32">
        <v>1.76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18</v>
      </c>
      <c r="G41" s="31">
        <v>45000</v>
      </c>
      <c r="H41" s="32">
        <v>177.84</v>
      </c>
      <c r="I41" s="32">
        <v>1.74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120000</v>
      </c>
      <c r="H42" s="32">
        <v>177.42</v>
      </c>
      <c r="I42" s="32">
        <v>1.73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61</v>
      </c>
      <c r="G43" s="31">
        <v>90000</v>
      </c>
      <c r="H43" s="32">
        <v>156.29</v>
      </c>
      <c r="I43" s="32">
        <v>1.53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83</v>
      </c>
      <c r="G44" s="31">
        <v>6500</v>
      </c>
      <c r="H44" s="32">
        <v>124.23</v>
      </c>
      <c r="I44" s="32">
        <v>1.21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113</v>
      </c>
      <c r="G45" s="31">
        <v>10000</v>
      </c>
      <c r="H45" s="32">
        <v>115.41</v>
      </c>
      <c r="I45" s="32">
        <v>1.1299999999999999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93</v>
      </c>
      <c r="G46" s="31">
        <v>17500</v>
      </c>
      <c r="H46" s="32">
        <v>71.94</v>
      </c>
      <c r="I46" s="32">
        <v>0.7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83</v>
      </c>
      <c r="G47" s="31">
        <v>4000</v>
      </c>
      <c r="H47" s="32">
        <v>67.75</v>
      </c>
      <c r="I47" s="32">
        <v>0.66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1800</v>
      </c>
      <c r="H48" s="32">
        <v>57.31</v>
      </c>
      <c r="I48" s="32">
        <v>0.56000000000000005</v>
      </c>
      <c r="J48" s="33"/>
    </row>
    <row r="49" spans="3:10" x14ac:dyDescent="0.25">
      <c r="C49" s="28" t="s">
        <v>152</v>
      </c>
      <c r="D49" s="29"/>
      <c r="E49" s="30"/>
      <c r="F49" s="30"/>
      <c r="G49" s="31"/>
      <c r="H49" s="35">
        <v>10050.799999999999</v>
      </c>
      <c r="I49" s="35">
        <v>98.19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153</v>
      </c>
      <c r="D51" s="29"/>
      <c r="E51" s="30"/>
      <c r="F51" s="30"/>
      <c r="G51" s="31"/>
      <c r="H51" s="32" t="s">
        <v>154</v>
      </c>
      <c r="I51" s="32" t="s">
        <v>154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155</v>
      </c>
      <c r="D53" s="29"/>
      <c r="E53" s="30"/>
      <c r="F53" s="30"/>
      <c r="G53" s="31"/>
      <c r="H53" s="32" t="s">
        <v>154</v>
      </c>
      <c r="I53" s="32" t="s">
        <v>154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156</v>
      </c>
      <c r="D55" s="29"/>
      <c r="E55" s="30"/>
      <c r="F55" s="30"/>
      <c r="G55" s="31"/>
      <c r="H55" s="32"/>
      <c r="I55" s="32"/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157</v>
      </c>
      <c r="D57" s="29"/>
      <c r="E57" s="30"/>
      <c r="F57" s="30"/>
      <c r="G57" s="31"/>
      <c r="H57" s="32" t="s">
        <v>154</v>
      </c>
      <c r="I57" s="32" t="s">
        <v>154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158</v>
      </c>
      <c r="D59" s="29"/>
      <c r="E59" s="30"/>
      <c r="F59" s="30"/>
      <c r="G59" s="31"/>
      <c r="H59" s="32" t="s">
        <v>154</v>
      </c>
      <c r="I59" s="32" t="s">
        <v>154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159</v>
      </c>
      <c r="D61" s="29"/>
      <c r="E61" s="30"/>
      <c r="F61" s="30"/>
      <c r="G61" s="31"/>
      <c r="H61" s="32" t="s">
        <v>154</v>
      </c>
      <c r="I61" s="32" t="s">
        <v>154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160</v>
      </c>
      <c r="D63" s="29"/>
      <c r="E63" s="30"/>
      <c r="F63" s="30"/>
      <c r="G63" s="31"/>
      <c r="H63" s="32" t="s">
        <v>154</v>
      </c>
      <c r="I63" s="32" t="s">
        <v>154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161</v>
      </c>
      <c r="D65" s="29"/>
      <c r="E65" s="30"/>
      <c r="F65" s="30"/>
      <c r="G65" s="31"/>
      <c r="H65" s="32" t="s">
        <v>154</v>
      </c>
      <c r="I65" s="32" t="s">
        <v>154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162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163</v>
      </c>
      <c r="D69" s="29"/>
      <c r="E69" s="30"/>
      <c r="F69" s="30"/>
      <c r="G69" s="31"/>
      <c r="H69" s="32" t="s">
        <v>154</v>
      </c>
      <c r="I69" s="32" t="s">
        <v>154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164</v>
      </c>
      <c r="D71" s="29"/>
      <c r="E71" s="30"/>
      <c r="F71" s="30"/>
      <c r="G71" s="31"/>
      <c r="H71" s="32" t="s">
        <v>154</v>
      </c>
      <c r="I71" s="32" t="s">
        <v>154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165</v>
      </c>
      <c r="D73" s="29"/>
      <c r="E73" s="30"/>
      <c r="F73" s="30"/>
      <c r="G73" s="31"/>
      <c r="H73" s="32" t="s">
        <v>154</v>
      </c>
      <c r="I73" s="32" t="s">
        <v>154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166</v>
      </c>
      <c r="D75" s="29"/>
      <c r="E75" s="30"/>
      <c r="F75" s="30"/>
      <c r="G75" s="31"/>
      <c r="H75" s="32" t="s">
        <v>154</v>
      </c>
      <c r="I75" s="32" t="s">
        <v>154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167</v>
      </c>
      <c r="D77" s="29"/>
      <c r="E77" s="30"/>
      <c r="F77" s="30"/>
      <c r="G77" s="31"/>
      <c r="H77" s="32"/>
      <c r="I77" s="32"/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168</v>
      </c>
      <c r="D79" s="29"/>
      <c r="E79" s="30"/>
      <c r="F79" s="30"/>
      <c r="G79" s="31"/>
      <c r="H79" s="32" t="s">
        <v>154</v>
      </c>
      <c r="I79" s="32" t="s">
        <v>154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169</v>
      </c>
      <c r="D81" s="29"/>
      <c r="E81" s="30"/>
      <c r="F81" s="30"/>
      <c r="G81" s="31"/>
      <c r="H81" s="32" t="s">
        <v>154</v>
      </c>
      <c r="I81" s="32" t="s">
        <v>154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170</v>
      </c>
      <c r="D83" s="29"/>
      <c r="E83" s="30"/>
      <c r="F83" s="30"/>
      <c r="G83" s="31"/>
      <c r="H83" s="32" t="s">
        <v>154</v>
      </c>
      <c r="I83" s="32" t="s">
        <v>154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171</v>
      </c>
      <c r="D85" s="29"/>
      <c r="E85" s="30"/>
      <c r="F85" s="30"/>
      <c r="G85" s="31"/>
      <c r="H85" s="32" t="s">
        <v>154</v>
      </c>
      <c r="I85" s="32" t="s">
        <v>154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172</v>
      </c>
      <c r="D87" s="29"/>
      <c r="E87" s="30"/>
      <c r="F87" s="30"/>
      <c r="G87" s="31"/>
      <c r="H87" s="32" t="s">
        <v>154</v>
      </c>
      <c r="I87" s="32" t="s">
        <v>154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A89" s="26"/>
      <c r="B89" s="27"/>
      <c r="C89" s="28" t="s">
        <v>173</v>
      </c>
      <c r="D89" s="29"/>
      <c r="E89" s="30"/>
      <c r="F89" s="30"/>
      <c r="G89" s="31"/>
      <c r="H89" s="32"/>
      <c r="I89" s="32"/>
      <c r="J89" s="33"/>
    </row>
    <row r="90" spans="1:10" x14ac:dyDescent="0.25">
      <c r="B90" s="1"/>
      <c r="C90" s="20" t="s">
        <v>174</v>
      </c>
      <c r="D90" s="29"/>
      <c r="E90" s="30"/>
      <c r="F90" s="30"/>
      <c r="G90" s="31"/>
      <c r="H90" s="32">
        <v>181.12</v>
      </c>
      <c r="I90" s="32">
        <v>1.81</v>
      </c>
      <c r="J90" s="33"/>
    </row>
    <row r="91" spans="1:10" x14ac:dyDescent="0.25">
      <c r="C91" s="28" t="s">
        <v>152</v>
      </c>
      <c r="D91" s="29"/>
      <c r="E91" s="30"/>
      <c r="F91" s="30"/>
      <c r="G91" s="31"/>
      <c r="H91" s="35">
        <v>181.12</v>
      </c>
      <c r="I91" s="35">
        <v>1.81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ht="14.25" thickBot="1" x14ac:dyDescent="0.3">
      <c r="C93" s="36" t="s">
        <v>175</v>
      </c>
      <c r="D93" s="37"/>
      <c r="E93" s="38"/>
      <c r="F93" s="39"/>
      <c r="G93" s="40"/>
      <c r="H93" s="41">
        <v>10231.92</v>
      </c>
      <c r="I93" s="41">
        <f>SUMIFS(I:I,C:C,"Total")</f>
        <v>100</v>
      </c>
      <c r="J93" s="42"/>
    </row>
    <row r="96" spans="1:10" x14ac:dyDescent="0.25">
      <c r="C96" s="11" t="s">
        <v>176</v>
      </c>
    </row>
    <row r="97" spans="3:3" x14ac:dyDescent="0.25">
      <c r="C97" s="2" t="s">
        <v>177</v>
      </c>
    </row>
    <row r="98" spans="3:3" x14ac:dyDescent="0.25">
      <c r="C98" s="2" t="s">
        <v>178</v>
      </c>
    </row>
    <row r="99" spans="3:3" x14ac:dyDescent="0.25">
      <c r="C99" s="2" t="s">
        <v>179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20"/>
  <sheetViews>
    <sheetView workbookViewId="0"/>
  </sheetViews>
  <sheetFormatPr defaultRowHeight="15" x14ac:dyDescent="0.25"/>
  <cols>
    <col min="2" max="2" width="54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2.42578125" bestFit="1" customWidth="1"/>
  </cols>
  <sheetData>
    <row r="4" spans="2:10" ht="15.75" x14ac:dyDescent="0.25">
      <c r="B4" s="43" t="s">
        <v>180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181</v>
      </c>
      <c r="C5" s="50" t="s">
        <v>182</v>
      </c>
      <c r="D5" s="50"/>
      <c r="E5" s="50" t="s">
        <v>183</v>
      </c>
      <c r="F5" s="50"/>
      <c r="G5" s="50" t="s">
        <v>184</v>
      </c>
      <c r="H5" s="50"/>
      <c r="I5" s="50" t="s">
        <v>185</v>
      </c>
      <c r="J5" s="50"/>
    </row>
    <row r="6" spans="2:10" ht="63.75" x14ac:dyDescent="0.25">
      <c r="B6" s="46"/>
      <c r="C6" s="47" t="s">
        <v>186</v>
      </c>
      <c r="D6" s="47" t="s">
        <v>187</v>
      </c>
      <c r="E6" s="47" t="s">
        <v>186</v>
      </c>
      <c r="F6" s="47" t="s">
        <v>187</v>
      </c>
      <c r="G6" s="47" t="s">
        <v>186</v>
      </c>
      <c r="H6" s="47" t="s">
        <v>187</v>
      </c>
      <c r="I6" s="47" t="s">
        <v>186</v>
      </c>
      <c r="J6" s="47" t="s">
        <v>187</v>
      </c>
    </row>
    <row r="7" spans="2:10" x14ac:dyDescent="0.25">
      <c r="B7" s="48" t="s">
        <v>188</v>
      </c>
      <c r="C7" s="49">
        <v>32.772196578875914</v>
      </c>
      <c r="D7" s="49">
        <v>13277.219657887592</v>
      </c>
      <c r="E7" s="49">
        <v>26.943513990171454</v>
      </c>
      <c r="F7" s="49">
        <v>20443.14381270903</v>
      </c>
      <c r="G7" s="49">
        <v>18.356757025404981</v>
      </c>
      <c r="H7" s="49">
        <v>23246.969336819588</v>
      </c>
      <c r="I7" s="49">
        <v>8.1550213986438802</v>
      </c>
      <c r="J7" s="49">
        <v>97800</v>
      </c>
    </row>
    <row r="8" spans="2:10" x14ac:dyDescent="0.25">
      <c r="B8" s="48" t="s">
        <v>189</v>
      </c>
      <c r="C8" s="49">
        <v>30.6723557905338</v>
      </c>
      <c r="D8" s="49">
        <v>13067.23557905338</v>
      </c>
      <c r="E8" s="49">
        <v>33.824370461843479</v>
      </c>
      <c r="F8" s="49">
        <v>23966.555826065007</v>
      </c>
      <c r="G8" s="49">
        <v>20.877430705632417</v>
      </c>
      <c r="H8" s="49">
        <v>25806.321393328752</v>
      </c>
      <c r="I8" s="49">
        <v>0</v>
      </c>
      <c r="J8" s="49">
        <v>0</v>
      </c>
    </row>
    <row r="9" spans="2:10" x14ac:dyDescent="0.25">
      <c r="B9" s="48" t="s">
        <v>190</v>
      </c>
      <c r="C9" s="49">
        <v>16.061710449343856</v>
      </c>
      <c r="D9" s="49">
        <v>11606.171044934386</v>
      </c>
      <c r="E9" s="49">
        <v>21.888816626902386</v>
      </c>
      <c r="F9" s="49">
        <v>18108.87963047763</v>
      </c>
      <c r="G9" s="49">
        <v>13.753365408579876</v>
      </c>
      <c r="H9" s="49">
        <v>19046.767079692381</v>
      </c>
      <c r="I9" s="49">
        <v>10.870772398182705</v>
      </c>
      <c r="J9" s="49">
        <v>201141.41545211768</v>
      </c>
    </row>
    <row r="10" spans="2:10" x14ac:dyDescent="0.25">
      <c r="B10" s="48" t="s">
        <v>191</v>
      </c>
      <c r="C10" s="51">
        <v>73.66</v>
      </c>
      <c r="D10" s="52"/>
      <c r="E10" s="51">
        <v>47.84</v>
      </c>
      <c r="F10" s="52"/>
      <c r="G10" s="51">
        <v>42.07</v>
      </c>
      <c r="H10" s="52"/>
      <c r="I10" s="51">
        <v>10</v>
      </c>
      <c r="J10" s="52"/>
    </row>
    <row r="12" spans="2:10" ht="15.75" x14ac:dyDescent="0.25">
      <c r="B12" s="43" t="s">
        <v>192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181</v>
      </c>
      <c r="C13" s="50" t="s">
        <v>182</v>
      </c>
      <c r="D13" s="50"/>
      <c r="E13" s="50" t="s">
        <v>183</v>
      </c>
      <c r="F13" s="50"/>
      <c r="G13" s="50" t="s">
        <v>184</v>
      </c>
      <c r="H13" s="50"/>
      <c r="I13" s="50" t="s">
        <v>185</v>
      </c>
      <c r="J13" s="50"/>
    </row>
    <row r="14" spans="2:10" ht="63.75" x14ac:dyDescent="0.25">
      <c r="B14" s="46"/>
      <c r="C14" s="47" t="s">
        <v>186</v>
      </c>
      <c r="D14" s="47" t="s">
        <v>187</v>
      </c>
      <c r="E14" s="47" t="s">
        <v>186</v>
      </c>
      <c r="F14" s="47" t="s">
        <v>187</v>
      </c>
      <c r="G14" s="47" t="s">
        <v>186</v>
      </c>
      <c r="H14" s="47" t="s">
        <v>187</v>
      </c>
      <c r="I14" s="47" t="s">
        <v>186</v>
      </c>
      <c r="J14" s="47" t="s">
        <v>187</v>
      </c>
    </row>
    <row r="15" spans="2:10" x14ac:dyDescent="0.25">
      <c r="B15" s="48" t="s">
        <v>188</v>
      </c>
      <c r="C15" s="49">
        <v>33.220691447881464</v>
      </c>
      <c r="D15" s="49">
        <v>13322.069144788147</v>
      </c>
      <c r="E15" s="49">
        <v>27.385022168209595</v>
      </c>
      <c r="F15" s="49">
        <v>20656.993147924226</v>
      </c>
      <c r="G15" s="49">
        <v>18.813422533816638</v>
      </c>
      <c r="H15" s="49">
        <v>23699.421965317917</v>
      </c>
      <c r="I15" s="49">
        <v>17.745491400526838</v>
      </c>
      <c r="J15" s="49">
        <v>57876.905702992655</v>
      </c>
    </row>
    <row r="16" spans="2:10" x14ac:dyDescent="0.25">
      <c r="B16" s="48" t="s">
        <v>189</v>
      </c>
      <c r="C16" s="49">
        <v>30.6723557905338</v>
      </c>
      <c r="D16" s="49">
        <v>13067.23557905338</v>
      </c>
      <c r="E16" s="49">
        <v>33.824370461843479</v>
      </c>
      <c r="F16" s="49">
        <v>23966.555826065007</v>
      </c>
      <c r="G16" s="49">
        <v>20.877430705632417</v>
      </c>
      <c r="H16" s="49">
        <v>25806.321393328752</v>
      </c>
      <c r="I16" s="49">
        <v>18.655412873284028</v>
      </c>
      <c r="J16" s="49">
        <v>62869.291890319648</v>
      </c>
    </row>
    <row r="17" spans="2:10" x14ac:dyDescent="0.25">
      <c r="B17" s="48" t="s">
        <v>190</v>
      </c>
      <c r="C17" s="49">
        <v>16.061710449343856</v>
      </c>
      <c r="D17" s="49">
        <v>11606.171044934386</v>
      </c>
      <c r="E17" s="49">
        <v>21.888816626902386</v>
      </c>
      <c r="F17" s="49">
        <v>18108.87963047763</v>
      </c>
      <c r="G17" s="49">
        <v>13.753365408579876</v>
      </c>
      <c r="H17" s="49">
        <v>19046.767079692381</v>
      </c>
      <c r="I17" s="49">
        <v>13.128801183328243</v>
      </c>
      <c r="J17" s="49">
        <v>37653.179659173802</v>
      </c>
    </row>
    <row r="18" spans="2:10" x14ac:dyDescent="0.25">
      <c r="B18" s="48" t="s">
        <v>193</v>
      </c>
      <c r="C18" s="51">
        <v>76.94</v>
      </c>
      <c r="D18" s="52"/>
      <c r="E18" s="51">
        <v>49.62</v>
      </c>
      <c r="F18" s="52"/>
      <c r="G18" s="51">
        <v>43.25</v>
      </c>
      <c r="H18" s="52"/>
      <c r="I18" s="51">
        <v>17.71</v>
      </c>
      <c r="J18" s="52"/>
    </row>
    <row r="20" spans="2:10" x14ac:dyDescent="0.25">
      <c r="B20" t="s">
        <v>194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2023-10-03T07:24:33Z</dcterms:created>
  <dcterms:modified xsi:type="dcterms:W3CDTF">2023-10-09T12:38:06Z</dcterms:modified>
</cp:coreProperties>
</file>