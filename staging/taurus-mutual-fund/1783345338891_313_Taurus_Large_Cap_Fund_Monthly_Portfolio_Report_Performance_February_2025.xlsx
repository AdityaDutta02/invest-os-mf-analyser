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DC5BE8CB-1F02-44A9-A0D9-013318D24488}" xr6:coauthVersionLast="47" xr6:coauthVersionMax="47" xr10:uidLastSave="{00000000-0000-0000-0000-000000000000}"/>
  <bookViews>
    <workbookView xWindow="-120" yWindow="-120" windowWidth="20730" windowHeight="11040" xr2:uid="{D7AFC55E-FAD1-4C64-95C9-D8186666D1F8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TBF!$D$10:$D$88</definedName>
    <definedName name="XDO_?FINAL_MV?">TBF!$H$10:$H$88</definedName>
    <definedName name="XDO_?FINAL_NAME?">TBF!$C$10:$C$88</definedName>
    <definedName name="XDO_?FINAL_PER_NET?">TBF!$I$10:$I$88</definedName>
    <definedName name="XDO_?FINAL_QUANTITE?">TBF!$G$10:$G$88</definedName>
    <definedName name="XDO_?IND_01?">TBF!$F$10:$F$88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TBF!$B$10:$B$88</definedName>
    <definedName name="XDO_?NPTF?">TBF!$D$2:$D$43</definedName>
    <definedName name="XDO_?RATING?">TBF!$E$10:$E$88</definedName>
    <definedName name="XDO_?REMARKS?">TBF!$J$10:$J$88</definedName>
    <definedName name="XDO_?TDATE?">TBF!$D$4</definedName>
    <definedName name="XDO_?TITL?">TBF!$A$8:$A$43</definedName>
    <definedName name="XDO_GROUP_?G_2?">TBF!$2:$91</definedName>
    <definedName name="XDO_GROUP_?G_3?">TBF!$8:$90</definedName>
    <definedName name="XDO_GROUP_?G_4?">TBF!$B$88:$IV$88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<sst xmlns="http://schemas.openxmlformats.org/spreadsheetml/2006/main" count="273" uniqueCount="205">
  <si>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</si>
  <si>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</si>
  <si>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</si>
  <si>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</si>
  <si>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</si>
  <si>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</si>
  <si>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</si>
  <si>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</si>
  <si>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</si>
  <si>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</si>
  <si>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</si>
  <si>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</si>
  <si>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</si>
  <si>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</si>
  <si>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</si>
  <si>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</si>
  <si>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</si>
  <si>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</si>
  <si>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</si>
  <si>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</si>
  <si>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</si>
  <si>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</si>
  <si>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</si>
  <si>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</si>
  <si>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</si>
  <si>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</si>
  <si>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</si>
  <si>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</si>
  <si>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</si>
  <si>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</si>
  <si>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</si>
  <si>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</si>
  <si>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</si>
  <si>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100002</t>
  </si>
  <si>
    <t>Reliance Industries Ltd.</t>
  </si>
  <si>
    <t>INE002A01018</t>
  </si>
  <si>
    <t>Petroleum Products</t>
  </si>
  <si>
    <t>100169</t>
  </si>
  <si>
    <t>Indian Oil Corporation Ltd.</t>
  </si>
  <si>
    <t>INE242A01010</t>
  </si>
  <si>
    <t>101313</t>
  </si>
  <si>
    <t>Zomato Ltd.</t>
  </si>
  <si>
    <t>INE758T01015</t>
  </si>
  <si>
    <t>Retailing</t>
  </si>
  <si>
    <t>100024</t>
  </si>
  <si>
    <t>Axis Bank Ltd.</t>
  </si>
  <si>
    <t>INE238A01034</t>
  </si>
  <si>
    <t>100003</t>
  </si>
  <si>
    <t>Infosys Ltd.</t>
  </si>
  <si>
    <t>INE009A01021</t>
  </si>
  <si>
    <t>IT - Software</t>
  </si>
  <si>
    <t>100182</t>
  </si>
  <si>
    <t>Power Grid Corporation of India Ltd.</t>
  </si>
  <si>
    <t>INE752E01010</t>
  </si>
  <si>
    <t>Power</t>
  </si>
  <si>
    <t>100097</t>
  </si>
  <si>
    <t>Coal India Ltd.</t>
  </si>
  <si>
    <t>INE522F01014</t>
  </si>
  <si>
    <t>Consumable Fuels</t>
  </si>
  <si>
    <t>100302</t>
  </si>
  <si>
    <t>DLF Ltd.</t>
  </si>
  <si>
    <t>INE271C01023</t>
  </si>
  <si>
    <t>Realty</t>
  </si>
  <si>
    <t>100399</t>
  </si>
  <si>
    <t>Cholamandalam Investment &amp; Finance Co. Ltd.</t>
  </si>
  <si>
    <t>INE121A01024</t>
  </si>
  <si>
    <t>Finance</t>
  </si>
  <si>
    <t>100153</t>
  </si>
  <si>
    <t>Cipla Ltd.</t>
  </si>
  <si>
    <t>INE059A01026</t>
  </si>
  <si>
    <t>Pharmaceuticals &amp; Biotechnology</t>
  </si>
  <si>
    <t>100380</t>
  </si>
  <si>
    <t>Bajaj Finserv Ltd.</t>
  </si>
  <si>
    <t>INE918I01026</t>
  </si>
  <si>
    <t>100083</t>
  </si>
  <si>
    <t>Samvardhana Motherson International Ltd.</t>
  </si>
  <si>
    <t>INE775A01035</t>
  </si>
  <si>
    <t>Auto Components</t>
  </si>
  <si>
    <t>100111</t>
  </si>
  <si>
    <t>Oil &amp; Natural Gas Corporation Ltd.</t>
  </si>
  <si>
    <t>INE213A01029</t>
  </si>
  <si>
    <t>Oil</t>
  </si>
  <si>
    <t>100037</t>
  </si>
  <si>
    <t>HCL Technologies Ltd.</t>
  </si>
  <si>
    <t>INE860A01027</t>
  </si>
  <si>
    <t>100122</t>
  </si>
  <si>
    <t>Union Bank of India</t>
  </si>
  <si>
    <t>INE692A01016</t>
  </si>
  <si>
    <t>100095</t>
  </si>
  <si>
    <t>Bharti Airtel Ltd.</t>
  </si>
  <si>
    <t>INE397D01024</t>
  </si>
  <si>
    <t>Telecom - Services</t>
  </si>
  <si>
    <t>102520</t>
  </si>
  <si>
    <t>Transrail Lighting Ltd.</t>
  </si>
  <si>
    <t>INE454P01035</t>
  </si>
  <si>
    <t>Electrical Equipment</t>
  </si>
  <si>
    <t>100759</t>
  </si>
  <si>
    <t>The New India Assurance Co. Ltd.</t>
  </si>
  <si>
    <t>INE470Y01017</t>
  </si>
  <si>
    <t>Insurance</t>
  </si>
  <si>
    <t>100008</t>
  </si>
  <si>
    <t>Sun Pharmaceutical Industries Ltd.</t>
  </si>
  <si>
    <t>INE044A01036</t>
  </si>
  <si>
    <t>100050</t>
  </si>
  <si>
    <t>Trent Ltd.</t>
  </si>
  <si>
    <t>INE849A01020</t>
  </si>
  <si>
    <t>100119</t>
  </si>
  <si>
    <t>Tata Motors Ltd.</t>
  </si>
  <si>
    <t>INE155A01022</t>
  </si>
  <si>
    <t>100830</t>
  </si>
  <si>
    <t>Varun Beverages Ltd.</t>
  </si>
  <si>
    <t>INE200M01039</t>
  </si>
  <si>
    <t>Beverages</t>
  </si>
  <si>
    <t>100005</t>
  </si>
  <si>
    <t>Larsen &amp; Toubro Ltd.</t>
  </si>
  <si>
    <t>INE018A01030</t>
  </si>
  <si>
    <t>Construction</t>
  </si>
  <si>
    <t>100106</t>
  </si>
  <si>
    <t>Maruti Suzuki India Ltd.</t>
  </si>
  <si>
    <t>INE585B01010</t>
  </si>
  <si>
    <t>100181</t>
  </si>
  <si>
    <t>NTPC Ltd.</t>
  </si>
  <si>
    <t>INE733E01010</t>
  </si>
  <si>
    <t>100081</t>
  </si>
  <si>
    <t>Titan Company Ltd.</t>
  </si>
  <si>
    <t>INE280A01028</t>
  </si>
  <si>
    <t>Consumer Durables</t>
  </si>
  <si>
    <t>102005</t>
  </si>
  <si>
    <t>Tata Technologies Ltd.</t>
  </si>
  <si>
    <t>INE142M01025</t>
  </si>
  <si>
    <t>IT - Services</t>
  </si>
  <si>
    <t>101178</t>
  </si>
  <si>
    <t>Computer Age Management Services Ltd.</t>
  </si>
  <si>
    <t>INE596I01012</t>
  </si>
  <si>
    <t>Capital Markets</t>
  </si>
  <si>
    <t>102554</t>
  </si>
  <si>
    <t>ITC Hotels Ltd.</t>
  </si>
  <si>
    <t>INE379A01028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</si>
  <si>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</si>
  <si>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</si>
  <si>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</si>
  <si>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</si>
  <si>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</si>
  <si>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</si>
  <si>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</si>
  <si>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</si>
  <si>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</si>
  <si>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</si>
  <si>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</si>
  <si>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</si>
  <si>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</si>
  <si>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</si>
  <si>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</si>
  <si>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</si>
  <si>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</si>
  <si>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</si>
  <si>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</si>
  <si>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</si>
  <si>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</si>
  <si>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</si>
  <si>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</si>
  <si>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</si>
  <si>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</si>
  <si>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</si>
  <si>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</si>
  <si>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</si>
  <si>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</si>
  <si>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</si>
  <si>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</si>
  <si>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</si>
  <si>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</si>
  <si>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</si>
  <si>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</si>
  <si>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</si>
  <si>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</si>
  <si>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</si>
  <si>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</si>
  <si>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</si>
  <si>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</si>
  <si>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</si>
  <si>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</si>
  <si>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</si>
  <si>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</si>
  <si>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</si>
  <si>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</si>
  <si>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</si>
  <si>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</si>
  <si>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</si>
  <si>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</si>
  <si>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</si>
  <si>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</si>
  <si>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</si>
  <si>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</si>
  <si>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</si>
  <si>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</si>
  <si>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</si>
  <si>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</si>
  <si>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</si>
  <si>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</si>
  <si>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</si>
  <si>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</si>
  <si>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</si>
  <si>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February 28,2025 :137.15)</t>
  </si>
  <si>
    <t>Taurus Largecap Fund - Direct Plan Growth Option</t>
  </si>
  <si>
    <t>NAV [Rs.] Per Unit (as on February 28,2025 :144.99)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</si>
</sst>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AB21CB8B-CC49-4B01-9130-F62D651BBE43}"/>
    <cellStyle name="Hyperlink" xfId="2" builtinId="8"/>
    <cellStyle name="Normal" xfId="0" builtinId="0"/>
    <cellStyle name="Normal 2" xfId="4" xr:uid="{A9150707-8C7D-4370-BC00-2987E69DAFAF}"/>
    <cellStyle name="Style 1" xfId="3" xr:uid="{18E0D317-A6F6-45B4-A8A8-DD7AB978A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82C0E-1D02-4929-8A5F-01C7E0EE6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1FA8-293D-45FF-8DE2-44B0AB33E12C}">
  <sheetPr codeName="Sheet1"/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21562</v>
      </c>
      <c r="H10" s="32">
        <v>373.26</v>
      </c>
      <c r="I10" s="32">
        <v>8.4700000000000006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22452</v>
      </c>
      <c r="H11" s="32">
        <v>270.12</v>
      </c>
      <c r="I11" s="32">
        <v>6.13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9520</v>
      </c>
      <c r="H12" s="32">
        <v>246</v>
      </c>
      <c r="I12" s="32">
        <v>5.58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32804</v>
      </c>
      <c r="H13" s="32">
        <v>225.77</v>
      </c>
      <c r="I13" s="32">
        <v>5.12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49580</v>
      </c>
      <c r="H14" s="32">
        <v>195.69</v>
      </c>
      <c r="I14" s="32">
        <v>4.4400000000000004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16131</v>
      </c>
      <c r="H15" s="32">
        <v>193.51</v>
      </c>
      <c r="I15" s="32">
        <v>4.3899999999999997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36</v>
      </c>
      <c r="G16" s="31">
        <v>164230</v>
      </c>
      <c r="H16" s="32">
        <v>186.48</v>
      </c>
      <c r="I16" s="32">
        <v>4.2300000000000004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83623</v>
      </c>
      <c r="H17" s="32">
        <v>185.43</v>
      </c>
      <c r="I17" s="32">
        <v>4.21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14966</v>
      </c>
      <c r="H18" s="32">
        <v>152.03</v>
      </c>
      <c r="I18" s="32">
        <v>3.45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7839</v>
      </c>
      <c r="H19" s="32">
        <v>132.33000000000001</v>
      </c>
      <c r="I19" s="32">
        <v>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48197</v>
      </c>
      <c r="H20" s="32">
        <v>120.81</v>
      </c>
      <c r="I20" s="32">
        <v>2.74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32167</v>
      </c>
      <c r="H21" s="32">
        <v>118.73</v>
      </c>
      <c r="I21" s="32">
        <v>2.69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18195</v>
      </c>
      <c r="H22" s="32">
        <v>115.49</v>
      </c>
      <c r="I22" s="32">
        <v>2.62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8050</v>
      </c>
      <c r="H23" s="32">
        <v>112.74</v>
      </c>
      <c r="I23" s="32">
        <v>2.56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7915</v>
      </c>
      <c r="H24" s="32">
        <v>111.68</v>
      </c>
      <c r="I24" s="32">
        <v>2.5299999999999998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66</v>
      </c>
      <c r="G25" s="31">
        <v>5822</v>
      </c>
      <c r="H25" s="32">
        <v>109.05</v>
      </c>
      <c r="I25" s="32">
        <v>2.4700000000000002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86238</v>
      </c>
      <c r="H26" s="32">
        <v>102.24</v>
      </c>
      <c r="I26" s="32">
        <v>2.3199999999999998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42238</v>
      </c>
      <c r="H27" s="32">
        <v>95.16</v>
      </c>
      <c r="I27" s="32">
        <v>2.16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50</v>
      </c>
      <c r="G28" s="31">
        <v>5991</v>
      </c>
      <c r="H28" s="32">
        <v>94.36</v>
      </c>
      <c r="I28" s="32">
        <v>2.14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78850</v>
      </c>
      <c r="H29" s="32">
        <v>88.59</v>
      </c>
      <c r="I29" s="32">
        <v>2.0099999999999998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5528</v>
      </c>
      <c r="H30" s="32">
        <v>86.77</v>
      </c>
      <c r="I30" s="32">
        <v>1.97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16391</v>
      </c>
      <c r="H31" s="32">
        <v>84.73</v>
      </c>
      <c r="I31" s="32">
        <v>1.92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57735</v>
      </c>
      <c r="H32" s="32">
        <v>82.01</v>
      </c>
      <c r="I32" s="32">
        <v>1.86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70</v>
      </c>
      <c r="G33" s="31">
        <v>5074</v>
      </c>
      <c r="H33" s="32">
        <v>80.87</v>
      </c>
      <c r="I33" s="32">
        <v>1.84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43</v>
      </c>
      <c r="G34" s="31">
        <v>1530</v>
      </c>
      <c r="H34" s="32">
        <v>74.260000000000005</v>
      </c>
      <c r="I34" s="32">
        <v>1.68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25</v>
      </c>
      <c r="G35" s="31">
        <v>11596</v>
      </c>
      <c r="H35" s="32">
        <v>71.959999999999994</v>
      </c>
      <c r="I35" s="32">
        <v>1.63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15294</v>
      </c>
      <c r="H36" s="32">
        <v>66.599999999999994</v>
      </c>
      <c r="I36" s="32">
        <v>1.51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1868</v>
      </c>
      <c r="H37" s="32">
        <v>59.12</v>
      </c>
      <c r="I37" s="32">
        <v>1.34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25</v>
      </c>
      <c r="G38" s="31">
        <v>443</v>
      </c>
      <c r="H38" s="32">
        <v>52.92</v>
      </c>
      <c r="I38" s="32">
        <v>1.2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54</v>
      </c>
      <c r="G39" s="31">
        <v>16514</v>
      </c>
      <c r="H39" s="32">
        <v>51.35</v>
      </c>
      <c r="I39" s="32">
        <v>1.17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1393</v>
      </c>
      <c r="H40" s="32">
        <v>42.83</v>
      </c>
      <c r="I40" s="32">
        <v>0.97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5876</v>
      </c>
      <c r="H41" s="32">
        <v>39.49</v>
      </c>
      <c r="I41" s="32">
        <v>0.9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1207</v>
      </c>
      <c r="H42" s="32">
        <v>37.94</v>
      </c>
      <c r="I42" s="32">
        <v>0.86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4958</v>
      </c>
      <c r="H43" s="32">
        <v>8.11</v>
      </c>
      <c r="I43" s="32">
        <v>0.18</v>
      </c>
      <c r="J43" s="33"/>
    </row>
    <row r="44" spans="2:10" x14ac:dyDescent="0.25">
      <c r="C44" s="28" t="s">
        <v>139</v>
      </c>
      <c r="D44" s="29"/>
      <c r="E44" s="30"/>
      <c r="F44" s="30"/>
      <c r="G44" s="31"/>
      <c r="H44" s="35">
        <v>4068.43</v>
      </c>
      <c r="I44" s="35">
        <v>92.29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140</v>
      </c>
      <c r="D46" s="29"/>
      <c r="E46" s="30"/>
      <c r="F46" s="30"/>
      <c r="G46" s="31"/>
      <c r="H46" s="32" t="s">
        <v>141</v>
      </c>
      <c r="I46" s="32" t="s">
        <v>141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142</v>
      </c>
      <c r="D48" s="29"/>
      <c r="E48" s="30"/>
      <c r="F48" s="30"/>
      <c r="G48" s="31"/>
      <c r="H48" s="32" t="s">
        <v>141</v>
      </c>
      <c r="I48" s="32" t="s">
        <v>141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143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144</v>
      </c>
      <c r="D52" s="29"/>
      <c r="E52" s="30"/>
      <c r="F52" s="30"/>
      <c r="G52" s="31"/>
      <c r="H52" s="32" t="s">
        <v>141</v>
      </c>
      <c r="I52" s="32" t="s">
        <v>141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145</v>
      </c>
      <c r="D54" s="29"/>
      <c r="E54" s="30"/>
      <c r="F54" s="30"/>
      <c r="G54" s="31"/>
      <c r="H54" s="32" t="s">
        <v>141</v>
      </c>
      <c r="I54" s="32" t="s">
        <v>141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146</v>
      </c>
      <c r="D56" s="29"/>
      <c r="E56" s="30"/>
      <c r="F56" s="30"/>
      <c r="G56" s="31"/>
      <c r="H56" s="32" t="s">
        <v>141</v>
      </c>
      <c r="I56" s="32" t="s">
        <v>141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147</v>
      </c>
      <c r="D58" s="29"/>
      <c r="E58" s="30"/>
      <c r="F58" s="30"/>
      <c r="G58" s="31"/>
      <c r="H58" s="32" t="s">
        <v>141</v>
      </c>
      <c r="I58" s="32" t="s">
        <v>141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148</v>
      </c>
      <c r="D60" s="29"/>
      <c r="E60" s="30"/>
      <c r="F60" s="30"/>
      <c r="G60" s="31"/>
      <c r="H60" s="32" t="s">
        <v>141</v>
      </c>
      <c r="I60" s="32" t="s">
        <v>141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149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150</v>
      </c>
      <c r="D64" s="29"/>
      <c r="E64" s="30"/>
      <c r="F64" s="30"/>
      <c r="G64" s="31"/>
      <c r="H64" s="32" t="s">
        <v>141</v>
      </c>
      <c r="I64" s="32" t="s">
        <v>141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151</v>
      </c>
      <c r="D66" s="29"/>
      <c r="E66" s="30"/>
      <c r="F66" s="30"/>
      <c r="G66" s="31"/>
      <c r="H66" s="32" t="s">
        <v>141</v>
      </c>
      <c r="I66" s="32" t="s">
        <v>141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152</v>
      </c>
      <c r="D68" s="29"/>
      <c r="E68" s="30"/>
      <c r="F68" s="30"/>
      <c r="G68" s="31"/>
      <c r="H68" s="32" t="s">
        <v>141</v>
      </c>
      <c r="I68" s="32" t="s">
        <v>141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153</v>
      </c>
      <c r="D70" s="29"/>
      <c r="E70" s="30"/>
      <c r="F70" s="30"/>
      <c r="G70" s="31"/>
      <c r="H70" s="32" t="s">
        <v>141</v>
      </c>
      <c r="I70" s="32" t="s">
        <v>141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154</v>
      </c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155</v>
      </c>
      <c r="D73" s="29"/>
      <c r="E73" s="30"/>
      <c r="F73" s="30"/>
      <c r="G73" s="31"/>
      <c r="H73" s="32" t="s">
        <v>141</v>
      </c>
      <c r="I73" s="32" t="s">
        <v>141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156</v>
      </c>
      <c r="D75" s="29"/>
      <c r="E75" s="30"/>
      <c r="F75" s="30"/>
      <c r="G75" s="31"/>
      <c r="H75" s="32" t="s">
        <v>141</v>
      </c>
      <c r="I75" s="32" t="s">
        <v>141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157</v>
      </c>
      <c r="D77" s="29"/>
      <c r="E77" s="30"/>
      <c r="F77" s="30"/>
      <c r="G77" s="31"/>
      <c r="H77" s="32" t="s">
        <v>141</v>
      </c>
      <c r="I77" s="32" t="s">
        <v>141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158</v>
      </c>
      <c r="D79" s="29"/>
      <c r="E79" s="30"/>
      <c r="F79" s="30"/>
      <c r="G79" s="31"/>
      <c r="H79" s="32" t="s">
        <v>141</v>
      </c>
      <c r="I79" s="32" t="s">
        <v>141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A81" s="27"/>
      <c r="B81" s="27"/>
      <c r="C81" s="28" t="s">
        <v>159</v>
      </c>
      <c r="D81" s="29"/>
      <c r="E81" s="30"/>
      <c r="F81" s="30"/>
      <c r="G81" s="31"/>
      <c r="H81" s="32" t="s">
        <v>141</v>
      </c>
      <c r="I81" s="32" t="s">
        <v>141</v>
      </c>
      <c r="J81" s="33"/>
    </row>
    <row r="82" spans="1:10" x14ac:dyDescent="0.25">
      <c r="A82" s="27"/>
      <c r="B82" s="27"/>
      <c r="C82" s="28"/>
      <c r="D82" s="29"/>
      <c r="E82" s="30"/>
      <c r="F82" s="30"/>
      <c r="G82" s="31"/>
      <c r="H82" s="32"/>
      <c r="I82" s="32"/>
      <c r="J82" s="33"/>
    </row>
    <row r="83" spans="1:10" x14ac:dyDescent="0.25">
      <c r="C83" s="34" t="s">
        <v>160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 t="s">
        <v>161</v>
      </c>
      <c r="C84" s="20" t="s">
        <v>162</v>
      </c>
      <c r="D84" s="29"/>
      <c r="E84" s="30"/>
      <c r="F84" s="30"/>
      <c r="G84" s="31"/>
      <c r="H84" s="32">
        <v>249.91</v>
      </c>
      <c r="I84" s="32">
        <v>5.67</v>
      </c>
      <c r="J84" s="33"/>
    </row>
    <row r="85" spans="1:10" x14ac:dyDescent="0.25">
      <c r="C85" s="28" t="s">
        <v>139</v>
      </c>
      <c r="D85" s="29"/>
      <c r="E85" s="30"/>
      <c r="F85" s="30"/>
      <c r="G85" s="31"/>
      <c r="H85" s="35">
        <v>249.91</v>
      </c>
      <c r="I85" s="35">
        <v>5.67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163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164</v>
      </c>
      <c r="D88" s="29"/>
      <c r="E88" s="30"/>
      <c r="F88" s="30"/>
      <c r="G88" s="31"/>
      <c r="H88" s="32">
        <v>88.65</v>
      </c>
      <c r="I88" s="32">
        <v>2.0399999999999996</v>
      </c>
      <c r="J88" s="33"/>
    </row>
    <row r="89" spans="1:10" x14ac:dyDescent="0.25">
      <c r="C89" s="28" t="s">
        <v>139</v>
      </c>
      <c r="D89" s="29"/>
      <c r="E89" s="30"/>
      <c r="F89" s="30"/>
      <c r="G89" s="31"/>
      <c r="H89" s="35">
        <v>88.65</v>
      </c>
      <c r="I89" s="35">
        <v>2.0399999999999996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165</v>
      </c>
      <c r="D91" s="37"/>
      <c r="E91" s="38"/>
      <c r="F91" s="39"/>
      <c r="G91" s="40"/>
      <c r="H91" s="41">
        <v>4406.99</v>
      </c>
      <c r="I91" s="41">
        <f>SUMIFS(I:I,C:C,"Total")</f>
        <v>100.00000000000001</v>
      </c>
      <c r="J91" s="42"/>
    </row>
    <row r="94" spans="1:10" x14ac:dyDescent="0.25">
      <c r="C94" s="11" t="s">
        <v>166</v>
      </c>
    </row>
    <row r="95" spans="1:10" x14ac:dyDescent="0.25">
      <c r="C95" s="2" t="s">
        <v>167</v>
      </c>
    </row>
    <row r="96" spans="1:10" x14ac:dyDescent="0.25">
      <c r="C96" s="2" t="s">
        <v>168</v>
      </c>
    </row>
    <row r="97" spans="3:5" x14ac:dyDescent="0.25">
      <c r="C97" s="2" t="s">
        <v>169</v>
      </c>
    </row>
    <row r="98" spans="3:5" x14ac:dyDescent="0.25">
      <c r="C98" s="2" t="s">
        <v>170</v>
      </c>
    </row>
    <row r="99" spans="3:5" x14ac:dyDescent="0.25">
      <c r="C99" s="2" t="s">
        <v>171</v>
      </c>
    </row>
    <row r="100" spans="3:5" x14ac:dyDescent="0.25">
      <c r="C100" s="2" t="s">
        <v>172</v>
      </c>
    </row>
    <row r="101" spans="3:5" x14ac:dyDescent="0.25">
      <c r="D101" s="2" t="s">
        <v>173</v>
      </c>
    </row>
    <row r="102" spans="3:5" x14ac:dyDescent="0.25">
      <c r="C102" s="2" t="s">
        <v>174</v>
      </c>
      <c r="D102" s="2" t="s">
        <v>175</v>
      </c>
      <c r="E102" s="2" t="s">
        <v>175</v>
      </c>
    </row>
    <row r="103" spans="3:5" x14ac:dyDescent="0.25">
      <c r="D103" s="2" t="s">
        <v>176</v>
      </c>
      <c r="E103" s="2" t="s">
        <v>177</v>
      </c>
    </row>
    <row r="104" spans="3:5" x14ac:dyDescent="0.25">
      <c r="C104" s="2" t="s">
        <v>178</v>
      </c>
      <c r="D104" s="2">
        <v>64.64</v>
      </c>
      <c r="E104" s="2">
        <v>60.08</v>
      </c>
    </row>
    <row r="105" spans="3:5" x14ac:dyDescent="0.25">
      <c r="C105" s="2" t="s">
        <v>179</v>
      </c>
      <c r="D105" s="2">
        <v>147.56</v>
      </c>
      <c r="E105" s="2">
        <v>137.15</v>
      </c>
    </row>
    <row r="106" spans="3:5" x14ac:dyDescent="0.25">
      <c r="C106" s="2" t="s">
        <v>180</v>
      </c>
      <c r="D106" s="2">
        <v>68.709999999999994</v>
      </c>
      <c r="E106" s="2">
        <v>63.87</v>
      </c>
    </row>
    <row r="107" spans="3:5" x14ac:dyDescent="0.25">
      <c r="C107" s="2" t="s">
        <v>181</v>
      </c>
      <c r="D107" s="2">
        <v>155.97</v>
      </c>
      <c r="E107" s="2">
        <v>144.99</v>
      </c>
    </row>
    <row r="109" spans="3:5" x14ac:dyDescent="0.25">
      <c r="C109" s="2" t="s">
        <v>182</v>
      </c>
    </row>
    <row r="110" spans="3:5" x14ac:dyDescent="0.25">
      <c r="C110" s="2" t="s">
        <v>183</v>
      </c>
    </row>
    <row r="111" spans="3:5" x14ac:dyDescent="0.25">
      <c r="C111" s="2" t="s">
        <v>184</v>
      </c>
    </row>
    <row r="112" spans="3:5" x14ac:dyDescent="0.25">
      <c r="C112" s="2" t="s">
        <v>185</v>
      </c>
    </row>
    <row r="113" spans="3:3" x14ac:dyDescent="0.25">
      <c r="C113" s="2" t="s">
        <v>186</v>
      </c>
    </row>
    <row r="114" spans="3:3" x14ac:dyDescent="0.25">
      <c r="C114" s="2" t="s">
        <v>187</v>
      </c>
    </row>
    <row r="115" spans="3:3" x14ac:dyDescent="0.25">
      <c r="C115" s="2" t="s">
        <v>188</v>
      </c>
    </row>
    <row r="116" spans="3:3" x14ac:dyDescent="0.25">
      <c r="C116" s="2" t="s">
        <v>189</v>
      </c>
    </row>
    <row r="117" spans="3:3" x14ac:dyDescent="0.25">
      <c r="C117" s="2" t="s">
        <v>190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DE59-DAD3-4920-ABFD-277378DB3B3C}">
  <dimension ref="C4:K18"/>
  <sheetViews>
    <sheetView workbookViewId="0"/>
  </sheetViews>
  <sheetFormatPr defaultRowHeight="15" x14ac:dyDescent="0.25"/>
  <cols>
    <col min="3" max="3" width="50.710937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191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192</v>
      </c>
      <c r="D5" s="46" t="s">
        <v>193</v>
      </c>
      <c r="E5" s="46"/>
      <c r="F5" s="46" t="s">
        <v>194</v>
      </c>
      <c r="G5" s="46"/>
      <c r="H5" s="46" t="s">
        <v>195</v>
      </c>
      <c r="I5" s="46"/>
      <c r="J5" s="47" t="s">
        <v>196</v>
      </c>
      <c r="K5" s="47"/>
    </row>
    <row r="6" spans="3:11" ht="63.75" x14ac:dyDescent="0.25">
      <c r="C6" s="48"/>
      <c r="D6" s="49" t="s">
        <v>197</v>
      </c>
      <c r="E6" s="49" t="s">
        <v>198</v>
      </c>
      <c r="F6" s="49" t="s">
        <v>197</v>
      </c>
      <c r="G6" s="49" t="s">
        <v>198</v>
      </c>
      <c r="H6" s="49" t="s">
        <v>197</v>
      </c>
      <c r="I6" s="49" t="s">
        <v>198</v>
      </c>
      <c r="J6" s="50" t="s">
        <v>197</v>
      </c>
      <c r="K6" s="50" t="s">
        <v>198</v>
      </c>
    </row>
    <row r="7" spans="3:11" x14ac:dyDescent="0.25">
      <c r="C7" s="51" t="s">
        <v>199</v>
      </c>
      <c r="D7" s="52">
        <v>-2.1964000000000001</v>
      </c>
      <c r="E7" s="52">
        <v>9826.6103030737268</v>
      </c>
      <c r="F7" s="52">
        <v>11.9543</v>
      </c>
      <c r="G7" s="52">
        <v>14036.434346535667</v>
      </c>
      <c r="H7" s="52">
        <v>13.626200000000001</v>
      </c>
      <c r="I7" s="52">
        <v>18953.841901603097</v>
      </c>
      <c r="J7" s="52">
        <v>10.4712</v>
      </c>
      <c r="K7" s="52">
        <v>137150</v>
      </c>
    </row>
    <row r="8" spans="3:11" x14ac:dyDescent="0.25">
      <c r="C8" s="51" t="s">
        <v>200</v>
      </c>
      <c r="D8" s="52">
        <v>1.4914000000000001</v>
      </c>
      <c r="E8" s="52">
        <v>10149.140000000001</v>
      </c>
      <c r="F8" s="52">
        <v>11.9663</v>
      </c>
      <c r="G8" s="52">
        <v>14036.601831535676</v>
      </c>
      <c r="H8" s="52">
        <v>16.8108</v>
      </c>
      <c r="I8" s="52">
        <v>21747.783024204942</v>
      </c>
      <c r="J8" s="52">
        <v>12.0738</v>
      </c>
      <c r="K8" s="52">
        <v>306342.9889958502</v>
      </c>
    </row>
    <row r="9" spans="3:11" x14ac:dyDescent="0.25">
      <c r="C9" s="51" t="s">
        <v>201</v>
      </c>
      <c r="D9" s="52">
        <v>1.8946000000000001</v>
      </c>
      <c r="E9" s="52">
        <v>10189.459999999999</v>
      </c>
      <c r="F9" s="52">
        <v>10.923299999999999</v>
      </c>
      <c r="G9" s="52">
        <v>13647.97896451152</v>
      </c>
      <c r="H9" s="52">
        <v>15.940099999999999</v>
      </c>
      <c r="I9" s="52">
        <v>20949.243903360148</v>
      </c>
      <c r="J9" s="52">
        <v>12.2941</v>
      </c>
      <c r="K9" s="52">
        <v>324946.50984764233</v>
      </c>
    </row>
    <row r="10" spans="3:11" x14ac:dyDescent="0.25">
      <c r="C10" s="51" t="s">
        <v>202</v>
      </c>
      <c r="D10" s="53">
        <v>139.57</v>
      </c>
      <c r="E10" s="54"/>
      <c r="F10" s="53">
        <v>97.71</v>
      </c>
      <c r="G10" s="54"/>
      <c r="H10" s="53">
        <v>72.36</v>
      </c>
      <c r="I10" s="54"/>
      <c r="J10" s="53">
        <v>10</v>
      </c>
      <c r="K10" s="54"/>
    </row>
    <row r="12" spans="3:11" ht="15.75" x14ac:dyDescent="0.25">
      <c r="C12" s="43" t="s">
        <v>203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192</v>
      </c>
      <c r="D13" s="46" t="s">
        <v>193</v>
      </c>
      <c r="E13" s="46"/>
      <c r="F13" s="46" t="s">
        <v>194</v>
      </c>
      <c r="G13" s="46"/>
      <c r="H13" s="46" t="s">
        <v>195</v>
      </c>
      <c r="I13" s="46"/>
      <c r="J13" s="47" t="s">
        <v>196</v>
      </c>
      <c r="K13" s="47"/>
    </row>
    <row r="14" spans="3:11" ht="63.75" x14ac:dyDescent="0.25">
      <c r="C14" s="48"/>
      <c r="D14" s="49" t="s">
        <v>197</v>
      </c>
      <c r="E14" s="49" t="s">
        <v>198</v>
      </c>
      <c r="F14" s="49" t="s">
        <v>197</v>
      </c>
      <c r="G14" s="49" t="s">
        <v>198</v>
      </c>
      <c r="H14" s="49" t="s">
        <v>197</v>
      </c>
      <c r="I14" s="49" t="s">
        <v>198</v>
      </c>
      <c r="J14" s="50" t="s">
        <v>197</v>
      </c>
      <c r="K14" s="50" t="s">
        <v>198</v>
      </c>
    </row>
    <row r="15" spans="3:11" x14ac:dyDescent="0.25">
      <c r="C15" s="51" t="s">
        <v>199</v>
      </c>
      <c r="D15" s="52">
        <v>-2.0735000000000001</v>
      </c>
      <c r="E15" s="52">
        <v>9839.1693811074929</v>
      </c>
      <c r="F15" s="52">
        <v>12.0648</v>
      </c>
      <c r="G15" s="52">
        <v>14078.06583163414</v>
      </c>
      <c r="H15" s="52">
        <v>13.735300000000001</v>
      </c>
      <c r="I15" s="52">
        <v>19045.054512018916</v>
      </c>
      <c r="J15" s="52">
        <v>10.1509</v>
      </c>
      <c r="K15" s="52">
        <v>32567.385444743937</v>
      </c>
    </row>
    <row r="16" spans="3:11" x14ac:dyDescent="0.25">
      <c r="C16" s="51" t="s">
        <v>200</v>
      </c>
      <c r="D16" s="52">
        <v>1.4914000000000001</v>
      </c>
      <c r="E16" s="52">
        <v>10149.140000000001</v>
      </c>
      <c r="F16" s="52">
        <v>11.9663</v>
      </c>
      <c r="G16" s="52">
        <v>14036.601831535676</v>
      </c>
      <c r="H16" s="52">
        <v>16.8108</v>
      </c>
      <c r="I16" s="52">
        <v>21747.783024204942</v>
      </c>
      <c r="J16" s="52">
        <v>13.060499999999999</v>
      </c>
      <c r="K16" s="52">
        <v>44498.78977565674</v>
      </c>
    </row>
    <row r="17" spans="3:11" x14ac:dyDescent="0.25">
      <c r="C17" s="51" t="s">
        <v>201</v>
      </c>
      <c r="D17" s="52">
        <v>1.8946000000000001</v>
      </c>
      <c r="E17" s="52">
        <v>10189.459999999999</v>
      </c>
      <c r="F17" s="52">
        <v>10.923299999999999</v>
      </c>
      <c r="G17" s="52">
        <v>13647.97896451152</v>
      </c>
      <c r="H17" s="52">
        <v>15.940099999999999</v>
      </c>
      <c r="I17" s="52">
        <v>20949.243903360148</v>
      </c>
      <c r="J17" s="52">
        <v>12.672599999999999</v>
      </c>
      <c r="K17" s="52">
        <v>42677.198648306716</v>
      </c>
    </row>
    <row r="18" spans="3:11" x14ac:dyDescent="0.25">
      <c r="C18" s="55" t="s">
        <v>204</v>
      </c>
      <c r="D18" s="53">
        <v>147.36000000000001</v>
      </c>
      <c r="E18" s="54"/>
      <c r="F18" s="53">
        <v>102.99</v>
      </c>
      <c r="G18" s="54"/>
      <c r="H18" s="53">
        <v>76.13</v>
      </c>
      <c r="I18" s="54"/>
      <c r="J18" s="53">
        <v>44.52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2025-03-06T12:10:47Z</dcterms:created>
  <dcterms:modified xsi:type="dcterms:W3CDTF">2025-03-06T14:56:05Z</dcterms:modified>
</cp:coreProperties>
</file>