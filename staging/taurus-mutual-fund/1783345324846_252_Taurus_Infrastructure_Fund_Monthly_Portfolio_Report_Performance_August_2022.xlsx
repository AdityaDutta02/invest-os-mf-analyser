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Performance'!$C$8:$C$55</definedName>
    <definedName name="XDO_?FINAL_ISIN?7?">'TISF-Risk-O-Meter &amp; Performance'!$D$10:$D$55</definedName>
    <definedName name="XDO_?FINAL_ISIN?8?">'TISF-Risk-O-Meter &amp; Performance'!$D$10:$D$97</definedName>
    <definedName name="XDO_?FINAL_MV?7?">'TISF-Risk-O-Meter &amp; Performance'!$H$10:$H$55</definedName>
    <definedName name="XDO_?FINAL_MV?8?">'TISF-Risk-O-Meter &amp; Performance'!$H$10:$H$97</definedName>
    <definedName name="XDO_?FINAL_NAME?7?">'TISF-Risk-O-Meter &amp; Performance'!$C$10:$C$55</definedName>
    <definedName name="XDO_?FINAL_NAME?8?">'TISF-Risk-O-Meter &amp; Performance'!$C$10:$C$97</definedName>
    <definedName name="XDO_?FINAL_PER_NET?7?">'TISF-Risk-O-Meter &amp; Performance'!$I$10:$I$55</definedName>
    <definedName name="XDO_?FINAL_PER_NET?8?">'TISF-Risk-O-Meter &amp; Performance'!$I$10:$I$97</definedName>
    <definedName name="XDO_?FINAL_QUANTITE?7?">'TISF-Risk-O-Meter &amp; Performance'!$G$10:$G$55</definedName>
    <definedName name="XDO_?FINAL_QUANTITE?8?">'TISF-Risk-O-Meter &amp; Performance'!$G$10:$G$97</definedName>
    <definedName name="XDO_?IND_01?7?">'TISF-Risk-O-Meter &amp; Performance'!$F$10:$F$55</definedName>
    <definedName name="XDO_?IND_01?8?">'TISF-Risk-O-Meter &amp; Performance'!$F$10:$F$97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Performance'!$B$10:$B$55</definedName>
    <definedName name="XDO_?NOVAL?8?">'TISF-Risk-O-Meter &amp; Performance'!$B$10:$B$97</definedName>
    <definedName name="XDO_?NPTF?4?">'TISF-Risk-O-Meter &amp; Performance'!$D$2:$D$55</definedName>
    <definedName name="XDO_?RATING?7?">'TISF-Risk-O-Meter &amp; Performance'!$E$10:$E$55</definedName>
    <definedName name="XDO_?RATING?8?">'TISF-Risk-O-Meter &amp; Performance'!$E$10:$E$97</definedName>
    <definedName name="XDO_?REMARKS?7?">'TISF-Risk-O-Meter &amp; Performance'!$J$10:$J$55</definedName>
    <definedName name="XDO_?REMARKS?8?">'TISF-Risk-O-Meter &amp; Performance'!$J$10:$J$97</definedName>
    <definedName name="XDO_?TITL?4?">'TISF-Risk-O-Meter &amp; Performance'!$A$8:$A$55</definedName>
    <definedName name="XDO_GROUP_?G_2?4?">'TISF-Risk-O-Meter &amp; Performance'!$2:$100</definedName>
    <definedName name="XDO_GROUP_?G_3?4?">'TISF-Risk-O-Meter &amp; Performance'!$8:$99</definedName>
    <definedName name="XDO_GROUP_?G_4?7?">'TISF-Risk-O-Meter &amp; Performance'!$B$10:$IV$55</definedName>
    <definedName name="XDO_GROUP_?G_4?8?">'TISF-Risk-O-Meter &amp; Performance'!$B$97:$IV$97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<sst xmlns="http://schemas.openxmlformats.org/spreadsheetml/2006/main" count="295" uniqueCount="216">
  <si>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</si>
  <si>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</si>
  <si>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</si>
  <si>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</si>
  <si>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</si>
  <si>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</si>
  <si>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</si>
  <si>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</si>
  <si>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</si>
  <si>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</si>
  <si>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</si>
  <si>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</si>
  <si>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</si>
  <si>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</si>
  <si>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</si>
  <si>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</si>
  <si>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</si>
  <si>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</si>
  <si>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</si>
  <si>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</si>
  <si>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</si>
  <si>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</si>
  <si>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</si>
  <si>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100108</t>
  </si>
  <si>
    <t>Adani Ports and Special Economic Zone Ltd.</t>
  </si>
  <si>
    <t>INE742F01042</t>
  </si>
  <si>
    <t>Transport Infrastructure</t>
  </si>
  <si>
    <t>100181</t>
  </si>
  <si>
    <t>NTPC Ltd.</t>
  </si>
  <si>
    <t>INE733E01010</t>
  </si>
  <si>
    <t>Power</t>
  </si>
  <si>
    <t>100161</t>
  </si>
  <si>
    <t>Cummins India Ltd.</t>
  </si>
  <si>
    <t>INE298A01020</t>
  </si>
  <si>
    <t>Industrial Products</t>
  </si>
  <si>
    <t>100282</t>
  </si>
  <si>
    <t>Blue Star Ltd.</t>
  </si>
  <si>
    <t>INE472A01039</t>
  </si>
  <si>
    <t>Consumer Durables</t>
  </si>
  <si>
    <t>101348</t>
  </si>
  <si>
    <t>Ami Organics Ltd.</t>
  </si>
  <si>
    <t>INE00FF01017</t>
  </si>
  <si>
    <t>Pharmaceuticals &amp; Biotechnology</t>
  </si>
  <si>
    <t>100178</t>
  </si>
  <si>
    <t>Ambuja Cements Ltd.</t>
  </si>
  <si>
    <t>INE079A01024</t>
  </si>
  <si>
    <t>Cement &amp; Cement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</si>
  <si>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</si>
  <si>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</si>
  <si>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</si>
  <si>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</si>
  <si>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</si>
  <si>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</si>
  <si>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</si>
  <si>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100016</t>
  </si>
  <si>
    <t>Gujarat Mineral Development Corporation Ltd.</t>
  </si>
  <si>
    <t>INE131A01031</t>
  </si>
  <si>
    <t>Minerals &amp; Mining</t>
  </si>
  <si>
    <t>100335</t>
  </si>
  <si>
    <t>Kajaria Ceramics Ltd.</t>
  </si>
  <si>
    <t>INE217B01036</t>
  </si>
  <si>
    <t>100095</t>
  </si>
  <si>
    <t>Bharti Airtel Ltd.</t>
  </si>
  <si>
    <t>INE397D01024</t>
  </si>
  <si>
    <t>Telecom - Services</t>
  </si>
  <si>
    <t>101306</t>
  </si>
  <si>
    <t>Apollo Pipes Ltd.</t>
  </si>
  <si>
    <t>INE126J01016</t>
  </si>
  <si>
    <t>100747</t>
  </si>
  <si>
    <t>Mahindra Logistics Ltd.</t>
  </si>
  <si>
    <t>INE766P01016</t>
  </si>
  <si>
    <t>Transport Services</t>
  </si>
  <si>
    <t>100281</t>
  </si>
  <si>
    <t>Century Textiles &amp; Industries Ltd.</t>
  </si>
  <si>
    <t>INE055A01016</t>
  </si>
  <si>
    <t>Paper, Forest &amp; Jute Products</t>
  </si>
  <si>
    <t>100417</t>
  </si>
  <si>
    <t>CEAT Ltd.</t>
  </si>
  <si>
    <t>INE482A01020</t>
  </si>
  <si>
    <t>Auto Components</t>
  </si>
  <si>
    <t>101102</t>
  </si>
  <si>
    <t>ESAB India Ltd.</t>
  </si>
  <si>
    <t>INE284A01012</t>
  </si>
  <si>
    <t>100446</t>
  </si>
  <si>
    <t>V.S.T Tillers Tractors Ltd.</t>
  </si>
  <si>
    <t>INE764D01017</t>
  </si>
  <si>
    <t>Agricultural, Commercial &amp; Construction Vehicles</t>
  </si>
  <si>
    <t>100315</t>
  </si>
  <si>
    <t>Prestige Estates Projects Ltd.</t>
  </si>
  <si>
    <t>INE811K01011</t>
  </si>
  <si>
    <t>Realty</t>
  </si>
  <si>
    <t>100314</t>
  </si>
  <si>
    <t>SRF Ltd.</t>
  </si>
  <si>
    <t>INE647A01010</t>
  </si>
  <si>
    <t>Chemicals &amp; Petrochemicals</t>
  </si>
  <si>
    <t>100271</t>
  </si>
  <si>
    <t>Balkrishna Industries Ltd.</t>
  </si>
  <si>
    <t>INE787D01026</t>
  </si>
  <si>
    <t>100654</t>
  </si>
  <si>
    <t>Automotive Axles Ltd.</t>
  </si>
  <si>
    <t>INE449A01011</t>
  </si>
  <si>
    <t>100399</t>
  </si>
  <si>
    <t>Cholamandalam Investment &amp; Finance Co. Ltd.</t>
  </si>
  <si>
    <t>INE121A01024</t>
  </si>
  <si>
    <t>Finance</t>
  </si>
  <si>
    <t>100130</t>
  </si>
  <si>
    <t>Gujarat Gas Ltd.</t>
  </si>
  <si>
    <t>INE844O01030</t>
  </si>
  <si>
    <t>Gas</t>
  </si>
  <si>
    <t>101493</t>
  </si>
  <si>
    <t>Meghmani Finechem Ltd.</t>
  </si>
  <si>
    <t>INE071N01016</t>
  </si>
  <si>
    <t>100302</t>
  </si>
  <si>
    <t>DLF Ltd.</t>
  </si>
  <si>
    <t>INE271C01023</t>
  </si>
  <si>
    <t>100237</t>
  </si>
  <si>
    <t>SKF India Ltd.</t>
  </si>
  <si>
    <t>INE640A01023</t>
  </si>
  <si>
    <t>100896</t>
  </si>
  <si>
    <t>Polycab India Ltd.</t>
  </si>
  <si>
    <t>INE455K01017</t>
  </si>
  <si>
    <t>100229</t>
  </si>
  <si>
    <t>NCC Ltd.</t>
  </si>
  <si>
    <t>INE868B01028</t>
  </si>
  <si>
    <t>100115</t>
  </si>
  <si>
    <t>Siemens Ltd.</t>
  </si>
  <si>
    <t>INE003A01024</t>
  </si>
  <si>
    <t>Electrical Equipment</t>
  </si>
  <si>
    <t>100386</t>
  </si>
  <si>
    <t>Carborundum Universal Ltd.</t>
  </si>
  <si>
    <t>INE120A01034</t>
  </si>
  <si>
    <t>100266</t>
  </si>
  <si>
    <t>Gujarat State Petronet Ltd.</t>
  </si>
  <si>
    <t>INE246F01010</t>
  </si>
  <si>
    <t>100461</t>
  </si>
  <si>
    <t>Astral Limited</t>
  </si>
  <si>
    <t>INE006I01046</t>
  </si>
  <si>
    <t>100119</t>
  </si>
  <si>
    <t>Tata Motors Ltd.</t>
  </si>
  <si>
    <t>INE155A01022</t>
  </si>
  <si>
    <t>100560</t>
  </si>
  <si>
    <t>NESCO Ltd.</t>
  </si>
  <si>
    <t>INE317F01035</t>
  </si>
  <si>
    <t>Commercial Services &amp; Supplies</t>
  </si>
  <si>
    <t>100816</t>
  </si>
  <si>
    <t>APL Apollo Tubes Ltd.</t>
  </si>
  <si>
    <t>INE702C01027</t>
  </si>
  <si>
    <t>100273</t>
  </si>
  <si>
    <t>Havells India Ltd.</t>
  </si>
  <si>
    <t>INE176B01034</t>
  </si>
  <si>
    <t>100082</t>
  </si>
  <si>
    <t>Ultratech Cement Ltd.</t>
  </si>
  <si>
    <t>INE481G01011</t>
  </si>
  <si>
    <t>100554</t>
  </si>
  <si>
    <t>V-Guard Industries Ltd.</t>
  </si>
  <si>
    <t>INE951I01027</t>
  </si>
  <si>
    <t>100740</t>
  </si>
  <si>
    <t>Sterlite Technologies Ltd.</t>
  </si>
  <si>
    <t>INE089C01029</t>
  </si>
  <si>
    <t>101574</t>
  </si>
  <si>
    <t>Linde India Ltd.</t>
  </si>
  <si>
    <t>INE473A01011</t>
  </si>
  <si>
    <t>100406</t>
  </si>
  <si>
    <t>KSB Ltd.</t>
  </si>
  <si>
    <t>INE999A01015</t>
  </si>
  <si>
    <t>100444</t>
  </si>
  <si>
    <t>PCBL Ltd.</t>
  </si>
  <si>
    <t>INE602A01031</t>
  </si>
  <si>
    <t>100090</t>
  </si>
  <si>
    <t>Bharat Forge Ltd.</t>
  </si>
  <si>
    <t>INE465A01025</t>
  </si>
  <si>
    <t>100052</t>
  </si>
  <si>
    <t>The Great Eastern Shipping Company Ltd.</t>
  </si>
  <si>
    <t>INE017A01032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</si>
  <si>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</si>
  <si>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</si>
  <si>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</si>
  <si>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</si>
  <si>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</si>
  <si>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</si>
  <si>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</si>
  <si>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</si>
  <si>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</si>
  <si>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</si>
  <si>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</si>
  <si>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</si>
  <si>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</si>
  <si>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</si>
  <si>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</si>
  <si>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</si>
  <si>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</si>
  <si>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</si>
  <si>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</si>
  <si>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</si>
  <si>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</si>
  <si>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</si>
  <si>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</si>
  <si>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</si>
  <si>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</si>
  <si>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</si>
  <si>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</si>
  <si>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</si>
  <si>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</si>
  <si>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</si>
  <si>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</si>
  <si>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</si>
  <si>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</si>
  <si>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</si>
  <si>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</si>
  <si>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</si>
  <si>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</si>
  <si>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</si>
  <si>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</si>
  <si>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August 30, 2022 : 40.16)</t>
  </si>
  <si>
    <t>Taurus Infrastructure Fund - Direct Plan Growth Option</t>
  </si>
  <si>
    <t>NAV [Rs.] Per Unit (as on August 30, 2022 : 42.52)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</si>
</sst>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ust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6"/>
  <sheetViews>
    <sheetView showGridLines="0"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38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44804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1854</v>
      </c>
      <c r="H10" s="32">
        <v>48.93</v>
      </c>
      <c r="I10" s="32">
        <v>9.0399999999999991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1692</v>
      </c>
      <c r="H11" s="32">
        <v>32.520000000000003</v>
      </c>
      <c r="I11" s="32">
        <v>6.01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2690</v>
      </c>
      <c r="H12" s="32">
        <v>22.66</v>
      </c>
      <c r="I12" s="32">
        <v>4.1900000000000004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12610</v>
      </c>
      <c r="H13" s="32">
        <v>20.66</v>
      </c>
      <c r="I13" s="32">
        <v>3.82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1415</v>
      </c>
      <c r="H14" s="32">
        <v>16.87</v>
      </c>
      <c r="I14" s="32">
        <v>3.12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1430</v>
      </c>
      <c r="H15" s="32">
        <v>15.7</v>
      </c>
      <c r="I15" s="32">
        <v>2.9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1441</v>
      </c>
      <c r="H16" s="32">
        <v>14.3</v>
      </c>
      <c r="I16" s="32">
        <v>2.64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3350</v>
      </c>
      <c r="H17" s="32">
        <v>13.78</v>
      </c>
      <c r="I17" s="32">
        <v>2.5499999999999998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143</v>
      </c>
      <c r="H18" s="32">
        <v>13</v>
      </c>
      <c r="I18" s="32">
        <v>2.4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50</v>
      </c>
      <c r="G19" s="31">
        <v>950</v>
      </c>
      <c r="H19" s="32">
        <v>12.43</v>
      </c>
      <c r="I19" s="32">
        <v>2.2999999999999998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7210</v>
      </c>
      <c r="H20" s="32">
        <v>11.99</v>
      </c>
      <c r="I20" s="32">
        <v>2.2200000000000002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38</v>
      </c>
      <c r="G21" s="31">
        <v>1027</v>
      </c>
      <c r="H21" s="32">
        <v>11.95</v>
      </c>
      <c r="I21" s="32">
        <v>2.21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1644</v>
      </c>
      <c r="H22" s="32">
        <v>11.94</v>
      </c>
      <c r="I22" s="32">
        <v>2.21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34</v>
      </c>
      <c r="G23" s="31">
        <v>2161</v>
      </c>
      <c r="H23" s="32">
        <v>11.82</v>
      </c>
      <c r="I23" s="32">
        <v>2.1800000000000002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2392</v>
      </c>
      <c r="H24" s="32">
        <v>11.5</v>
      </c>
      <c r="I24" s="32">
        <v>2.12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1309</v>
      </c>
      <c r="H25" s="32">
        <v>11.3</v>
      </c>
      <c r="I25" s="32">
        <v>2.09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806</v>
      </c>
      <c r="H26" s="32">
        <v>11.21</v>
      </c>
      <c r="I26" s="32">
        <v>2.0699999999999998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34</v>
      </c>
      <c r="G27" s="31">
        <v>333</v>
      </c>
      <c r="H27" s="32">
        <v>10.81</v>
      </c>
      <c r="I27" s="32">
        <v>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424</v>
      </c>
      <c r="H28" s="32">
        <v>10.68</v>
      </c>
      <c r="I28" s="32">
        <v>1.97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2293</v>
      </c>
      <c r="H29" s="32">
        <v>10.47</v>
      </c>
      <c r="I29" s="32">
        <v>1.93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399</v>
      </c>
      <c r="H30" s="32">
        <v>10.15</v>
      </c>
      <c r="I30" s="32">
        <v>1.88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79</v>
      </c>
      <c r="G31" s="31">
        <v>495</v>
      </c>
      <c r="H31" s="32">
        <v>10.130000000000001</v>
      </c>
      <c r="I31" s="32">
        <v>1.87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79</v>
      </c>
      <c r="G32" s="31">
        <v>490</v>
      </c>
      <c r="H32" s="32">
        <v>9.5</v>
      </c>
      <c r="I32" s="32">
        <v>1.76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104</v>
      </c>
      <c r="G33" s="31">
        <v>1164</v>
      </c>
      <c r="H33" s="32">
        <v>9.19</v>
      </c>
      <c r="I33" s="32">
        <v>1.7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108</v>
      </c>
      <c r="G34" s="31">
        <v>1930</v>
      </c>
      <c r="H34" s="32">
        <v>9.1</v>
      </c>
      <c r="I34" s="32">
        <v>1.68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94</v>
      </c>
      <c r="G35" s="31">
        <v>619</v>
      </c>
      <c r="H35" s="32">
        <v>8.83</v>
      </c>
      <c r="I35" s="32">
        <v>1.63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90</v>
      </c>
      <c r="G36" s="31">
        <v>2240</v>
      </c>
      <c r="H36" s="32">
        <v>8.73</v>
      </c>
      <c r="I36" s="32">
        <v>1.61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34</v>
      </c>
      <c r="G37" s="31">
        <v>178</v>
      </c>
      <c r="H37" s="32">
        <v>8.65</v>
      </c>
      <c r="I37" s="32">
        <v>1.6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34</v>
      </c>
      <c r="G38" s="31">
        <v>348</v>
      </c>
      <c r="H38" s="32">
        <v>8.59</v>
      </c>
      <c r="I38" s="32">
        <v>1.59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22</v>
      </c>
      <c r="G39" s="31">
        <v>11971</v>
      </c>
      <c r="H39" s="32">
        <v>8.39</v>
      </c>
      <c r="I39" s="32">
        <v>1.55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290</v>
      </c>
      <c r="H40" s="32">
        <v>8.36</v>
      </c>
      <c r="I40" s="32">
        <v>1.55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34</v>
      </c>
      <c r="G41" s="31">
        <v>989</v>
      </c>
      <c r="H41" s="32">
        <v>8.35</v>
      </c>
      <c r="I41" s="32">
        <v>1.54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108</v>
      </c>
      <c r="G42" s="31">
        <v>3373</v>
      </c>
      <c r="H42" s="32">
        <v>8.17</v>
      </c>
      <c r="I42" s="32">
        <v>1.51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34</v>
      </c>
      <c r="G43" s="31">
        <v>372</v>
      </c>
      <c r="H43" s="32">
        <v>7.79</v>
      </c>
      <c r="I43" s="32">
        <v>1.44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50</v>
      </c>
      <c r="G44" s="31">
        <v>1649</v>
      </c>
      <c r="H44" s="32">
        <v>7.77</v>
      </c>
      <c r="I44" s="32">
        <v>1.43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1338</v>
      </c>
      <c r="H45" s="32">
        <v>7.66</v>
      </c>
      <c r="I45" s="32">
        <v>1.42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34</v>
      </c>
      <c r="G46" s="31">
        <v>749</v>
      </c>
      <c r="H46" s="32">
        <v>7.09</v>
      </c>
      <c r="I46" s="32">
        <v>1.31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38</v>
      </c>
      <c r="G47" s="31">
        <v>506</v>
      </c>
      <c r="H47" s="32">
        <v>7.04</v>
      </c>
      <c r="I47" s="32">
        <v>1.3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46</v>
      </c>
      <c r="G48" s="31">
        <v>99</v>
      </c>
      <c r="H48" s="32">
        <v>6.61</v>
      </c>
      <c r="I48" s="32">
        <v>1.22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38</v>
      </c>
      <c r="G49" s="31">
        <v>2869</v>
      </c>
      <c r="H49" s="32">
        <v>6.52</v>
      </c>
      <c r="I49" s="32">
        <v>1.2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64</v>
      </c>
      <c r="G50" s="31">
        <v>3732</v>
      </c>
      <c r="H50" s="32">
        <v>6.42</v>
      </c>
      <c r="I50" s="32">
        <v>1.19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94</v>
      </c>
      <c r="G51" s="31">
        <v>176</v>
      </c>
      <c r="H51" s="32">
        <v>6.03</v>
      </c>
      <c r="I51" s="32">
        <v>1.1100000000000001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34</v>
      </c>
      <c r="G52" s="31">
        <v>297</v>
      </c>
      <c r="H52" s="32">
        <v>5.68</v>
      </c>
      <c r="I52" s="32">
        <v>1.05</v>
      </c>
      <c r="J52" s="33"/>
    </row>
    <row r="53" spans="2:10">
      <c r="B53" s="1" t="s">
        <v>165</v>
      </c>
      <c r="C53" s="20" t="s">
        <v>166</v>
      </c>
      <c r="D53" s="29" t="s">
        <v>167</v>
      </c>
      <c r="E53" s="30"/>
      <c r="F53" s="30" t="s">
        <v>94</v>
      </c>
      <c r="G53" s="31">
        <v>2000</v>
      </c>
      <c r="H53" s="32">
        <v>2.75</v>
      </c>
      <c r="I53" s="32">
        <v>0.51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34</v>
      </c>
      <c r="G54" s="31">
        <v>343</v>
      </c>
      <c r="H54" s="32">
        <v>2.54</v>
      </c>
      <c r="I54" s="32">
        <v>0.47</v>
      </c>
      <c r="J54" s="33"/>
    </row>
    <row r="55" spans="2:10">
      <c r="B55" s="1" t="s">
        <v>171</v>
      </c>
      <c r="C55" s="20" t="s">
        <v>172</v>
      </c>
      <c r="D55" s="29" t="s">
        <v>173</v>
      </c>
      <c r="E55" s="30"/>
      <c r="F55" s="30" t="s">
        <v>71</v>
      </c>
      <c r="G55" s="31">
        <v>10</v>
      </c>
      <c r="H55" s="32">
        <v>0.06</v>
      </c>
      <c r="I55" s="32">
        <v>0.01</v>
      </c>
      <c r="J55" s="33"/>
    </row>
    <row r="56" spans="2:10">
      <c r="C56" s="28" t="s">
        <v>174</v>
      </c>
      <c r="D56" s="29"/>
      <c r="E56" s="30"/>
      <c r="F56" s="30"/>
      <c r="G56" s="31"/>
      <c r="H56" s="35">
        <v>514.62</v>
      </c>
      <c r="I56" s="35">
        <v>95.1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175</v>
      </c>
      <c r="D58" s="29"/>
      <c r="E58" s="30"/>
      <c r="F58" s="30"/>
      <c r="G58" s="31"/>
      <c r="H58" s="32" t="s">
        <v>176</v>
      </c>
      <c r="I58" s="32" t="s">
        <v>176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177</v>
      </c>
      <c r="D60" s="29"/>
      <c r="E60" s="30"/>
      <c r="F60" s="30"/>
      <c r="G60" s="31"/>
      <c r="H60" s="32" t="s">
        <v>176</v>
      </c>
      <c r="I60" s="32" t="s">
        <v>176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178</v>
      </c>
      <c r="D62" s="29"/>
      <c r="E62" s="30"/>
      <c r="F62" s="30"/>
      <c r="G62" s="31"/>
      <c r="H62" s="32"/>
      <c r="I62" s="32"/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179</v>
      </c>
      <c r="D64" s="29"/>
      <c r="E64" s="30"/>
      <c r="F64" s="30"/>
      <c r="G64" s="31"/>
      <c r="H64" s="32" t="s">
        <v>176</v>
      </c>
      <c r="I64" s="32" t="s">
        <v>176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180</v>
      </c>
      <c r="D66" s="29"/>
      <c r="E66" s="30"/>
      <c r="F66" s="30"/>
      <c r="G66" s="31"/>
      <c r="H66" s="32" t="s">
        <v>176</v>
      </c>
      <c r="I66" s="32" t="s">
        <v>176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181</v>
      </c>
      <c r="D68" s="29"/>
      <c r="E68" s="30"/>
      <c r="F68" s="30"/>
      <c r="G68" s="31"/>
      <c r="H68" s="32" t="s">
        <v>176</v>
      </c>
      <c r="I68" s="32" t="s">
        <v>176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182</v>
      </c>
      <c r="D70" s="29"/>
      <c r="E70" s="30"/>
      <c r="F70" s="30"/>
      <c r="G70" s="31"/>
      <c r="H70" s="32" t="s">
        <v>176</v>
      </c>
      <c r="I70" s="32" t="s">
        <v>176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183</v>
      </c>
      <c r="D72" s="29"/>
      <c r="E72" s="30"/>
      <c r="F72" s="30"/>
      <c r="G72" s="31"/>
      <c r="H72" s="32" t="s">
        <v>176</v>
      </c>
      <c r="I72" s="32" t="s">
        <v>176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184</v>
      </c>
      <c r="D74" s="29"/>
      <c r="E74" s="30"/>
      <c r="F74" s="30"/>
      <c r="G74" s="31"/>
      <c r="H74" s="32"/>
      <c r="I74" s="32"/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185</v>
      </c>
      <c r="D76" s="29"/>
      <c r="E76" s="30"/>
      <c r="F76" s="30"/>
      <c r="G76" s="31"/>
      <c r="H76" s="32" t="s">
        <v>176</v>
      </c>
      <c r="I76" s="32" t="s">
        <v>176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186</v>
      </c>
      <c r="D78" s="29"/>
      <c r="E78" s="30"/>
      <c r="F78" s="30"/>
      <c r="G78" s="31"/>
      <c r="H78" s="32" t="s">
        <v>176</v>
      </c>
      <c r="I78" s="32" t="s">
        <v>176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187</v>
      </c>
      <c r="D80" s="29"/>
      <c r="E80" s="30"/>
      <c r="F80" s="30"/>
      <c r="G80" s="31"/>
      <c r="H80" s="32" t="s">
        <v>176</v>
      </c>
      <c r="I80" s="32" t="s">
        <v>176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188</v>
      </c>
      <c r="D82" s="29"/>
      <c r="E82" s="30"/>
      <c r="F82" s="30"/>
      <c r="G82" s="31"/>
      <c r="H82" s="32" t="s">
        <v>176</v>
      </c>
      <c r="I82" s="32" t="s">
        <v>176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189</v>
      </c>
      <c r="D84" s="29"/>
      <c r="E84" s="30"/>
      <c r="F84" s="30"/>
      <c r="G84" s="31"/>
      <c r="H84" s="32"/>
      <c r="I84" s="32"/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190</v>
      </c>
      <c r="D86" s="29"/>
      <c r="E86" s="30"/>
      <c r="F86" s="30"/>
      <c r="G86" s="31"/>
      <c r="H86" s="32" t="s">
        <v>176</v>
      </c>
      <c r="I86" s="32" t="s">
        <v>176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191</v>
      </c>
      <c r="D88" s="29"/>
      <c r="E88" s="30"/>
      <c r="F88" s="30"/>
      <c r="G88" s="31"/>
      <c r="H88" s="32" t="s">
        <v>176</v>
      </c>
      <c r="I88" s="32" t="s">
        <v>176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192</v>
      </c>
      <c r="D90" s="29"/>
      <c r="E90" s="30"/>
      <c r="F90" s="30"/>
      <c r="G90" s="31"/>
      <c r="H90" s="32" t="s">
        <v>176</v>
      </c>
      <c r="I90" s="32" t="s">
        <v>176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193</v>
      </c>
      <c r="D92" s="29"/>
      <c r="E92" s="30"/>
      <c r="F92" s="30"/>
      <c r="G92" s="31"/>
      <c r="H92" s="32" t="s">
        <v>176</v>
      </c>
      <c r="I92" s="32" t="s">
        <v>176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C94" s="28" t="s">
        <v>194</v>
      </c>
      <c r="D94" s="29"/>
      <c r="E94" s="30"/>
      <c r="F94" s="30"/>
      <c r="G94" s="31"/>
      <c r="H94" s="32" t="s">
        <v>176</v>
      </c>
      <c r="I94" s="32" t="s">
        <v>176</v>
      </c>
      <c r="J94" s="33"/>
    </row>
    <row r="95" spans="1:10">
      <c r="C95" s="20"/>
      <c r="D95" s="29"/>
      <c r="E95" s="30"/>
      <c r="F95" s="30"/>
      <c r="G95" s="31"/>
      <c r="H95" s="32"/>
      <c r="I95" s="32"/>
      <c r="J95" s="33"/>
    </row>
    <row r="96" spans="1:10">
      <c r="A96" s="26"/>
      <c r="B96" s="27"/>
      <c r="C96" s="28" t="s">
        <v>195</v>
      </c>
      <c r="D96" s="29"/>
      <c r="E96" s="30"/>
      <c r="F96" s="30"/>
      <c r="G96" s="31"/>
      <c r="H96" s="32"/>
      <c r="I96" s="32"/>
      <c r="J96" s="33"/>
    </row>
    <row r="97" spans="2:10">
      <c r="B97" s="1"/>
      <c r="C97" s="20" t="s">
        <v>196</v>
      </c>
      <c r="D97" s="29"/>
      <c r="E97" s="30"/>
      <c r="F97" s="30"/>
      <c r="G97" s="31"/>
      <c r="H97" s="32">
        <v>26.65</v>
      </c>
      <c r="I97" s="32">
        <v>4.9000000000000004</v>
      </c>
      <c r="J97" s="33"/>
    </row>
    <row r="98" spans="2:10">
      <c r="C98" s="28" t="s">
        <v>174</v>
      </c>
      <c r="D98" s="29"/>
      <c r="E98" s="30"/>
      <c r="F98" s="30"/>
      <c r="G98" s="31"/>
      <c r="H98" s="35">
        <v>26.65</v>
      </c>
      <c r="I98" s="35">
        <v>4.9000000000000004</v>
      </c>
      <c r="J98" s="33"/>
    </row>
    <row r="99" spans="2:10">
      <c r="C99" s="20"/>
      <c r="D99" s="29"/>
      <c r="E99" s="30"/>
      <c r="F99" s="30"/>
      <c r="G99" s="31"/>
      <c r="H99" s="32"/>
      <c r="I99" s="32"/>
      <c r="J99" s="33"/>
    </row>
    <row r="100" spans="2:10" ht="13.5" thickBot="1">
      <c r="C100" s="36" t="s">
        <v>197</v>
      </c>
      <c r="D100" s="37"/>
      <c r="E100" s="38"/>
      <c r="F100" s="39"/>
      <c r="G100" s="40"/>
      <c r="H100" s="41">
        <v>541.27</v>
      </c>
      <c r="I100" s="41">
        <f>SUMIFS(I:I,C:C,"Total")</f>
        <v>100</v>
      </c>
      <c r="J100" s="42"/>
    </row>
    <row r="103" spans="2:10">
      <c r="C103" s="11" t="s">
        <v>198</v>
      </c>
    </row>
    <row r="104" spans="2:10">
      <c r="C104" s="2" t="s">
        <v>199</v>
      </c>
    </row>
    <row r="105" spans="2:10">
      <c r="C105" s="2" t="s">
        <v>200</v>
      </c>
    </row>
    <row r="106" spans="2:10">
      <c r="C106" s="2" t="s">
        <v>201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8"/>
  <sheetViews>
    <sheetView workbookViewId="0">
      <selection activeCell="A4" sqref="A4"/>
    </sheetView>
  </sheetViews>
  <sheetFormatPr defaultRowHeight="15"/>
  <cols>
    <col min="1" max="1" width="45.2851562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75">
      <c r="A4" s="43" t="s">
        <v>202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203</v>
      </c>
      <c r="B5" s="50" t="s">
        <v>204</v>
      </c>
      <c r="C5" s="50"/>
      <c r="D5" s="50" t="s">
        <v>205</v>
      </c>
      <c r="E5" s="50"/>
      <c r="F5" s="50" t="s">
        <v>206</v>
      </c>
      <c r="G5" s="50"/>
      <c r="H5" s="50" t="s">
        <v>207</v>
      </c>
      <c r="I5" s="50"/>
    </row>
    <row r="6" spans="1:9" ht="63.75">
      <c r="A6" s="46"/>
      <c r="B6" s="47" t="s">
        <v>208</v>
      </c>
      <c r="C6" s="47" t="s">
        <v>209</v>
      </c>
      <c r="D6" s="47" t="s">
        <v>208</v>
      </c>
      <c r="E6" s="47" t="s">
        <v>209</v>
      </c>
      <c r="F6" s="47" t="s">
        <v>208</v>
      </c>
      <c r="G6" s="47" t="s">
        <v>209</v>
      </c>
      <c r="H6" s="47" t="s">
        <v>208</v>
      </c>
      <c r="I6" s="47" t="s">
        <v>209</v>
      </c>
    </row>
    <row r="7" spans="1:9">
      <c r="A7" s="48" t="s">
        <v>210</v>
      </c>
      <c r="B7" s="49">
        <v>7.0077271516120421</v>
      </c>
      <c r="C7" s="49">
        <v>10700.772715161203</v>
      </c>
      <c r="D7" s="49">
        <v>21.497491183687067</v>
      </c>
      <c r="E7" s="49">
        <v>17944.593386952634</v>
      </c>
      <c r="F7" s="49">
        <v>11.237182624287612</v>
      </c>
      <c r="G7" s="49">
        <v>17031.382527565733</v>
      </c>
      <c r="H7" s="49">
        <v>9.3832920857538369</v>
      </c>
      <c r="I7" s="49">
        <v>40160</v>
      </c>
    </row>
    <row r="8" spans="1:9">
      <c r="A8" s="48" t="s">
        <v>211</v>
      </c>
      <c r="B8" s="49">
        <v>11.025166987759039</v>
      </c>
      <c r="C8" s="49">
        <v>11102.516698775904</v>
      </c>
      <c r="D8" s="49">
        <v>21.503435025330365</v>
      </c>
      <c r="E8" s="49">
        <v>17937.655054089708</v>
      </c>
      <c r="F8" s="49">
        <v>11.030132568609762</v>
      </c>
      <c r="G8" s="49">
        <v>16873.465652465631</v>
      </c>
      <c r="H8" s="49">
        <v>5.2610339289346664</v>
      </c>
      <c r="I8" s="49">
        <v>22136.950080924271</v>
      </c>
    </row>
    <row r="9" spans="1:9">
      <c r="A9" s="48" t="s">
        <v>212</v>
      </c>
      <c r="B9" s="49">
        <v>5.1410540204544608</v>
      </c>
      <c r="C9" s="49">
        <v>10514.105402045447</v>
      </c>
      <c r="D9" s="49">
        <v>18.625136484194549</v>
      </c>
      <c r="E9" s="49">
        <v>16692.837871692274</v>
      </c>
      <c r="F9" s="49">
        <v>13.782855266252803</v>
      </c>
      <c r="G9" s="49">
        <v>19071.468667697653</v>
      </c>
      <c r="H9" s="49">
        <v>12.24660907581292</v>
      </c>
      <c r="I9" s="49">
        <v>59926.14417079241</v>
      </c>
    </row>
    <row r="10" spans="1:9">
      <c r="A10" s="48" t="s">
        <v>213</v>
      </c>
      <c r="B10" s="51">
        <v>37.53</v>
      </c>
      <c r="C10" s="52"/>
      <c r="D10" s="51">
        <v>22.38</v>
      </c>
      <c r="E10" s="52"/>
      <c r="F10" s="51">
        <v>23.58</v>
      </c>
      <c r="G10" s="52"/>
      <c r="H10" s="51">
        <v>10</v>
      </c>
      <c r="I10" s="52"/>
    </row>
    <row r="12" spans="1:9" ht="15.75">
      <c r="A12" s="43" t="s">
        <v>214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203</v>
      </c>
      <c r="B13" s="50" t="s">
        <v>204</v>
      </c>
      <c r="C13" s="50"/>
      <c r="D13" s="50" t="s">
        <v>205</v>
      </c>
      <c r="E13" s="50"/>
      <c r="F13" s="50" t="s">
        <v>206</v>
      </c>
      <c r="G13" s="50"/>
      <c r="H13" s="50" t="s">
        <v>207</v>
      </c>
      <c r="I13" s="50"/>
    </row>
    <row r="14" spans="1:9" ht="63.75">
      <c r="A14" s="46"/>
      <c r="B14" s="47" t="s">
        <v>208</v>
      </c>
      <c r="C14" s="47" t="s">
        <v>209</v>
      </c>
      <c r="D14" s="47" t="s">
        <v>208</v>
      </c>
      <c r="E14" s="47" t="s">
        <v>209</v>
      </c>
      <c r="F14" s="47" t="s">
        <v>208</v>
      </c>
      <c r="G14" s="47" t="s">
        <v>209</v>
      </c>
      <c r="H14" s="47" t="s">
        <v>208</v>
      </c>
      <c r="I14" s="47" t="s">
        <v>209</v>
      </c>
    </row>
    <row r="15" spans="1:9">
      <c r="A15" s="48" t="s">
        <v>210</v>
      </c>
      <c r="B15" s="49">
        <v>7.4279939363314895</v>
      </c>
      <c r="C15" s="49">
        <v>10742.79939363315</v>
      </c>
      <c r="D15" s="49">
        <v>22.005735322579611</v>
      </c>
      <c r="E15" s="49">
        <v>18170.940170940172</v>
      </c>
      <c r="F15" s="49">
        <v>11.729928089151876</v>
      </c>
      <c r="G15" s="49">
        <v>17411.957411957414</v>
      </c>
      <c r="H15" s="49">
        <v>13.20644374544495</v>
      </c>
      <c r="I15" s="49">
        <v>33166.926677067087</v>
      </c>
    </row>
    <row r="16" spans="1:9">
      <c r="A16" s="48" t="s">
        <v>211</v>
      </c>
      <c r="B16" s="49">
        <v>11.025166987759039</v>
      </c>
      <c r="C16" s="49">
        <v>11102.516698775904</v>
      </c>
      <c r="D16" s="49">
        <v>21.503435025330365</v>
      </c>
      <c r="E16" s="49">
        <v>17937.655054089708</v>
      </c>
      <c r="F16" s="49">
        <v>11.030132568609762</v>
      </c>
      <c r="G16" s="49">
        <v>16873.465652465631</v>
      </c>
      <c r="H16" s="49">
        <v>8.9264563117081419</v>
      </c>
      <c r="I16" s="49">
        <v>22851.885892535123</v>
      </c>
    </row>
    <row r="17" spans="1:9">
      <c r="A17" s="48" t="s">
        <v>212</v>
      </c>
      <c r="B17" s="49">
        <v>5.1410540204544608</v>
      </c>
      <c r="C17" s="49">
        <v>10514.105402045447</v>
      </c>
      <c r="D17" s="49">
        <v>18.625136484194549</v>
      </c>
      <c r="E17" s="49">
        <v>16692.837871692274</v>
      </c>
      <c r="F17" s="49">
        <v>13.782855266252803</v>
      </c>
      <c r="G17" s="49">
        <v>19071.468667697653</v>
      </c>
      <c r="H17" s="49">
        <v>13.394856913984565</v>
      </c>
      <c r="I17" s="49">
        <v>33704.348030668589</v>
      </c>
    </row>
    <row r="18" spans="1:9">
      <c r="A18" s="48" t="s">
        <v>215</v>
      </c>
      <c r="B18" s="51">
        <v>39.58</v>
      </c>
      <c r="C18" s="52"/>
      <c r="D18" s="51">
        <v>23.4</v>
      </c>
      <c r="E18" s="52"/>
      <c r="F18" s="51">
        <v>24.42</v>
      </c>
      <c r="G18" s="52"/>
      <c r="H18" s="51">
        <v>12.82</v>
      </c>
      <c r="I18" s="52"/>
    </row>
  </sheetData>
  <mergeCells count="16">
    <mergeCell ref="B5:C5"/>
    <mergeCell ref="D5:E5"/>
    <mergeCell ref="F5:G5"/>
    <mergeCell ref="H5:I5"/>
    <mergeCell ref="B10:C10"/>
    <mergeCell ref="D10:E10"/>
    <mergeCell ref="F10:G10"/>
    <mergeCell ref="H10:I10"/>
    <mergeCell ref="B13:C13"/>
    <mergeCell ref="D13:E13"/>
    <mergeCell ref="F13:G13"/>
    <mergeCell ref="H13:I13"/>
    <mergeCell ref="B18:C18"/>
    <mergeCell ref="D18:E18"/>
    <mergeCell ref="F18:G18"/>
    <mergeCell ref="H18:I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2022-09-02T14:05:30Z</dcterms:created>
  <dcterms:modified xsi:type="dcterms:W3CDTF">2022-09-09T02:48:19Z</dcterms:modified>
</cp:coreProperties>
</file>