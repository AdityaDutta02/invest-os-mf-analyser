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099D1CB1-BBFC-4128-8B29-5E8168FD222E}" xr6:coauthVersionLast="47" xr6:coauthVersionMax="47" xr10:uidLastSave="{00000000-0000-0000-0000-000000000000}"/>
  <bookViews>
    <workbookView xWindow="-120" yWindow="-120" windowWidth="20730" windowHeight="11160" xr2:uid="{4C75AAB3-9462-4E11-99F4-6F95FA8239A0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TEF!$C$8:$C$55</definedName>
    <definedName name="XDO_?FINAL_ISIN?5?">TEF!$D$10:$D$55</definedName>
    <definedName name="XDO_?FINAL_ISIN?6?">TEF!$D$10:$D$97</definedName>
    <definedName name="XDO_?FINAL_MV?5?">TEF!$H$10:$H$55</definedName>
    <definedName name="XDO_?FINAL_MV?6?">TEF!$H$10:$H$97</definedName>
    <definedName name="XDO_?FINAL_NAME?5?">TEF!$C$10:$C$55</definedName>
    <definedName name="XDO_?FINAL_NAME?6?">TEF!$C$10:$C$97</definedName>
    <definedName name="XDO_?FINAL_PER_NET?5?">TEF!$I$10:$I$55</definedName>
    <definedName name="XDO_?FINAL_PER_NET?6?">TEF!$I$10:$I$97</definedName>
    <definedName name="XDO_?FINAL_QUANTITE?5?">TEF!$G$10:$G$55</definedName>
    <definedName name="XDO_?FINAL_QUANTITE?6?">TEF!$G$10:$G$97</definedName>
    <definedName name="XDO_?IND_01?5?">TEF!$F$10:$F$55</definedName>
    <definedName name="XDO_?IND_01?6?">TEF!$F$10:$F$97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TEF!$C$2:$C$55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TEF!$B$10:$B$55</definedName>
    <definedName name="XDO_?NOVAL?6?">TEF!$B$10:$B$97</definedName>
    <definedName name="XDO_?NPTF?3?">TEF!$D$2:$D$55</definedName>
    <definedName name="XDO_?RATING?5?">TEF!$E$10:$E$55</definedName>
    <definedName name="XDO_?RATING?6?">TEF!$E$10:$E$97</definedName>
    <definedName name="XDO_?REMARKS?5?">TEF!$J$10:$J$55</definedName>
    <definedName name="XDO_?REMARKS?6?">TEF!$J$10:$J$97</definedName>
    <definedName name="XDO_?TITL?3?">TEF!$A$8:$A$55</definedName>
    <definedName name="XDO_GROUP_?G_2?3?">TEF!$2:$100</definedName>
    <definedName name="XDO_GROUP_?G_3?3?">TEF!$8:$99</definedName>
    <definedName name="XDO_GROUP_?G_4?5?">TEF!$B$10:$IV$55</definedName>
    <definedName name="XDO_GROUP_?G_4?6?">TEF!$B$97:$IV$97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<sst xmlns="http://schemas.openxmlformats.org/spreadsheetml/2006/main" count="295" uniqueCount="222">
  <si>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</si>
  <si>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</si>
  <si>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</si>
  <si>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</si>
  <si>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</si>
  <si>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</si>
  <si>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</si>
  <si>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</si>
  <si>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</si>
  <si>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</si>
  <si>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</si>
  <si>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</si>
  <si>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</si>
  <si>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</si>
  <si>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</si>
  <si>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</si>
  <si>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</si>
  <si>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</si>
  <si>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</si>
  <si>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</si>
  <si>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</si>
  <si>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</si>
  <si>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</si>
  <si>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</si>
  <si>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</si>
  <si>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</si>
  <si>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100032</t>
  </si>
  <si>
    <t>Tata Consultancy Services Ltd.</t>
  </si>
  <si>
    <t>INE467B01029</t>
  </si>
  <si>
    <t>101178</t>
  </si>
  <si>
    <t>Computer Age Management Services Ltd.</t>
  </si>
  <si>
    <t>INE596I01012</t>
  </si>
  <si>
    <t>Capital Markets</t>
  </si>
  <si>
    <t>100147</t>
  </si>
  <si>
    <t>Tech Mahindra Ltd.</t>
  </si>
  <si>
    <t>INE669C01036</t>
  </si>
  <si>
    <t>100020</t>
  </si>
  <si>
    <t>Tata Consumer Products Ltd.</t>
  </si>
  <si>
    <t>INE192A01025</t>
  </si>
  <si>
    <t>Agricultural Food &amp; other Products</t>
  </si>
  <si>
    <t>100164</t>
  </si>
  <si>
    <t>Petronet LNG Ltd.</t>
  </si>
  <si>
    <t>INE347G01014</t>
  </si>
  <si>
    <t>Gas</t>
  </si>
  <si>
    <t>100106</t>
  </si>
  <si>
    <t>Maruti Suzuki India Ltd.</t>
  </si>
  <si>
    <t>INE585B01010</t>
  </si>
  <si>
    <t>Automobiles</t>
  </si>
  <si>
    <t>100153</t>
  </si>
  <si>
    <t>Cipla Ltd.</t>
  </si>
  <si>
    <t>INE059A01026</t>
  </si>
  <si>
    <t>Pharmaceuticals &amp; Biotechnology</t>
  </si>
  <si>
    <t>100474</t>
  </si>
  <si>
    <t>Narayana Hrudayalaya Ltd.</t>
  </si>
  <si>
    <t>INE410P01011</t>
  </si>
  <si>
    <t>Healthcare Services</t>
  </si>
  <si>
    <t>100271</t>
  </si>
  <si>
    <t>Balkrishna Industries Ltd.</t>
  </si>
  <si>
    <t>INE787D01026</t>
  </si>
  <si>
    <t>Auto Components</t>
  </si>
  <si>
    <t>100133</t>
  </si>
  <si>
    <t>Oracle Financial Services Software Ltd.</t>
  </si>
  <si>
    <t>INE881D01027</t>
  </si>
  <si>
    <t>100089</t>
  </si>
  <si>
    <t>Bharat Electronics Ltd.</t>
  </si>
  <si>
    <t>INE263A01024</t>
  </si>
  <si>
    <t>Aerospace &amp; Defense</t>
  </si>
  <si>
    <t>100027</t>
  </si>
  <si>
    <t>Pidilite Industries Ltd.</t>
  </si>
  <si>
    <t>INE318A01026</t>
  </si>
  <si>
    <t>Chemicals &amp; Petrochemicals</t>
  </si>
  <si>
    <t>100008</t>
  </si>
  <si>
    <t>Sun Pharmaceutical Industries Ltd.</t>
  </si>
  <si>
    <t>INE044A01036</t>
  </si>
  <si>
    <t>100029</t>
  </si>
  <si>
    <t>Mphasis Ltd.</t>
  </si>
  <si>
    <t>INE356A01018</t>
  </si>
  <si>
    <t>100099</t>
  </si>
  <si>
    <t>Hindustan Unilever Ltd.</t>
  </si>
  <si>
    <t>INE030A01027</t>
  </si>
  <si>
    <t>Diversified FMCG</t>
  </si>
  <si>
    <t>100324</t>
  </si>
  <si>
    <t>NBCC (India) Ltd.</t>
  </si>
  <si>
    <t>INE095N01031</t>
  </si>
  <si>
    <t>Construction</t>
  </si>
  <si>
    <t>100442</t>
  </si>
  <si>
    <t>Coromandel International Ltd.</t>
  </si>
  <si>
    <t>INE169A01031</t>
  </si>
  <si>
    <t>Fertilizers &amp; Agrochemicals</t>
  </si>
  <si>
    <t>100176</t>
  </si>
  <si>
    <t>GAIL (India) Ltd.</t>
  </si>
  <si>
    <t>INE129A01019</t>
  </si>
  <si>
    <t>100035</t>
  </si>
  <si>
    <t>NMDC Ltd.</t>
  </si>
  <si>
    <t>INE584A01023</t>
  </si>
  <si>
    <t>Minerals &amp; Mining</t>
  </si>
  <si>
    <t>100944</t>
  </si>
  <si>
    <t>Mishra Dhatu Nigam Ltd.</t>
  </si>
  <si>
    <t>INE099Z01011</t>
  </si>
  <si>
    <t>100018</t>
  </si>
  <si>
    <t>Tata Communications Ltd.</t>
  </si>
  <si>
    <t>INE151A01013</t>
  </si>
  <si>
    <t>Telecom - Services</t>
  </si>
  <si>
    <t>100004</t>
  </si>
  <si>
    <t>Zydus Lifesciences Ltd.</t>
  </si>
  <si>
    <t>INE010B01027</t>
  </si>
  <si>
    <t>100565</t>
  </si>
  <si>
    <t>Glaxosmithkline Pharmaceuticals Ltd.</t>
  </si>
  <si>
    <t>INE159A01016</t>
  </si>
  <si>
    <t>100155</t>
  </si>
  <si>
    <t>Divi's Laboratories Ltd.</t>
  </si>
  <si>
    <t>INE361B01024</t>
  </si>
  <si>
    <t>100096</t>
  </si>
  <si>
    <t>Container Corporation of India Ltd.</t>
  </si>
  <si>
    <t>INE111A01025</t>
  </si>
  <si>
    <t>Transport Services</t>
  </si>
  <si>
    <t>100080</t>
  </si>
  <si>
    <t>Dr. Reddy's Laboratories Ltd.</t>
  </si>
  <si>
    <t>INE089A01023</t>
  </si>
  <si>
    <t>100534</t>
  </si>
  <si>
    <t>Sheela Foam Ltd.</t>
  </si>
  <si>
    <t>INE916U01025</t>
  </si>
  <si>
    <t>Consumer Durables</t>
  </si>
  <si>
    <t>100293</t>
  </si>
  <si>
    <t>AIA Engineering Ltd.</t>
  </si>
  <si>
    <t>INE212H01026</t>
  </si>
  <si>
    <t>Industrial Products</t>
  </si>
  <si>
    <t>100172</t>
  </si>
  <si>
    <t>ACC Ltd.</t>
  </si>
  <si>
    <t>INE012A01025</t>
  </si>
  <si>
    <t>Cement &amp; Cement Products</t>
  </si>
  <si>
    <t>100132</t>
  </si>
  <si>
    <t>Info Edge (India) Ltd.</t>
  </si>
  <si>
    <t>INE663F01024</t>
  </si>
  <si>
    <t>Retailing</t>
  </si>
  <si>
    <t>100090</t>
  </si>
  <si>
    <t>Bharat Forge Ltd.</t>
  </si>
  <si>
    <t>INE465A01025</t>
  </si>
  <si>
    <t>100283</t>
  </si>
  <si>
    <t>Honeywell Automation India Ltd.</t>
  </si>
  <si>
    <t>INE671A01010</t>
  </si>
  <si>
    <t>Industrial Manufacturing</t>
  </si>
  <si>
    <t>100093</t>
  </si>
  <si>
    <t>Blue Dart Express Ltd.</t>
  </si>
  <si>
    <t>INE233B01017</t>
  </si>
  <si>
    <t>100635</t>
  </si>
  <si>
    <t>L&amp;T Technology Services Ltd.</t>
  </si>
  <si>
    <t>INE010V01017</t>
  </si>
  <si>
    <t>IT - Services</t>
  </si>
  <si>
    <t>100830</t>
  </si>
  <si>
    <t>Varun Beverages Ltd.</t>
  </si>
  <si>
    <t>INE200M01021</t>
  </si>
  <si>
    <t>Beverages</t>
  </si>
  <si>
    <t>100031</t>
  </si>
  <si>
    <t>Bayer Cropscience Ltd.</t>
  </si>
  <si>
    <t>INE462A01022</t>
  </si>
  <si>
    <t>100447</t>
  </si>
  <si>
    <t>LTIMindtree Ltd.</t>
  </si>
  <si>
    <t>INE214T01019</t>
  </si>
  <si>
    <t>100342</t>
  </si>
  <si>
    <t>Vardhman Textiles Ltd.</t>
  </si>
  <si>
    <t>INE825A01020</t>
  </si>
  <si>
    <t>Textiles &amp; Apparels</t>
  </si>
  <si>
    <t>100045</t>
  </si>
  <si>
    <t>Gujarat Pipavav Port Ltd.</t>
  </si>
  <si>
    <t>INE517F01014</t>
  </si>
  <si>
    <t>Transport Infrastructure</t>
  </si>
  <si>
    <t>100143</t>
  </si>
  <si>
    <t>Thermax Ltd.</t>
  </si>
  <si>
    <t>INE152A01029</t>
  </si>
  <si>
    <t>Electrical Equipment</t>
  </si>
  <si>
    <t>100130</t>
  </si>
  <si>
    <t>Gujarat Gas Ltd.</t>
  </si>
  <si>
    <t>INE844O01030</t>
  </si>
  <si>
    <t>100473</t>
  </si>
  <si>
    <t>Aarti Industries Ltd.</t>
  </si>
  <si>
    <t>INE769A01020</t>
  </si>
  <si>
    <t>100159</t>
  </si>
  <si>
    <t>Sanofi India Ltd.</t>
  </si>
  <si>
    <t>INE058A01010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</si>
  <si>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</si>
  <si>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</si>
  <si>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</si>
  <si>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</si>
  <si>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</si>
  <si>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</si>
  <si>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</si>
  <si>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</si>
  <si>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</si>
  <si>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</si>
  <si>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</si>
  <si>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</si>
  <si>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</si>
  <si>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</si>
  <si>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</si>
  <si>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</si>
  <si>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</si>
  <si>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</si>
  <si>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</si>
  <si>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</si>
  <si>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</si>
  <si>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</si>
  <si>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</si>
  <si>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</si>
  <si>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</si>
  <si>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</si>
  <si>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</si>
  <si>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</si>
  <si>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</si>
  <si>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</si>
  <si>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</si>
  <si>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</si>
  <si>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</si>
  <si>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</si>
  <si>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</si>
  <si>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</si>
  <si>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</si>
  <si>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</si>
  <si>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</si>
  <si>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December 29, 2023 : 107.97)</t>
  </si>
  <si>
    <t>Taurus Ethical Fund - Direct Plan Growth Option</t>
  </si>
  <si>
    <t>NAV [Rs.] Per Unit  (as on December 29, 2023 : 119.17)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</si>
</sst>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A78664E-92EB-4624-BF83-85709687B133}"/>
    <cellStyle name="Hyperlink" xfId="2" builtinId="8"/>
    <cellStyle name="Normal" xfId="0" builtinId="0"/>
    <cellStyle name="Normal 2" xfId="4" xr:uid="{43C516A4-F231-41E6-BD7B-4C432A3C7178}"/>
    <cellStyle name="Style 1" xfId="3" xr:uid="{DACA89C3-2528-48FA-8FA5-D13370A30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1957917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8B278A1F-41B5-4EBF-9C05-488CE23C0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5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9A85-EA19-4CFA-B5A8-FE5CF25E39CD}">
  <dimension ref="A1:IV106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7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61267</v>
      </c>
      <c r="H10" s="32">
        <v>898.24</v>
      </c>
      <c r="I10" s="32">
        <v>6.54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34237</v>
      </c>
      <c r="H11" s="32">
        <v>884.98</v>
      </c>
      <c r="I11" s="32">
        <v>6.44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47115</v>
      </c>
      <c r="H12" s="32">
        <v>726.91</v>
      </c>
      <c r="I12" s="32">
        <v>5.29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15099</v>
      </c>
      <c r="H13" s="32">
        <v>573</v>
      </c>
      <c r="I13" s="32">
        <v>4.17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20770</v>
      </c>
      <c r="H14" s="32">
        <v>550.92999999999995</v>
      </c>
      <c r="I14" s="32">
        <v>4.01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34086</v>
      </c>
      <c r="H15" s="32">
        <v>433.78</v>
      </c>
      <c r="I15" s="32">
        <v>3.16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36157</v>
      </c>
      <c r="H16" s="32">
        <v>392.95</v>
      </c>
      <c r="I16" s="32">
        <v>2.86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171525</v>
      </c>
      <c r="H17" s="32">
        <v>381.9</v>
      </c>
      <c r="I17" s="32">
        <v>2.78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3702</v>
      </c>
      <c r="H18" s="32">
        <v>381.28</v>
      </c>
      <c r="I18" s="32">
        <v>2.77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29372</v>
      </c>
      <c r="H19" s="32">
        <v>366.2</v>
      </c>
      <c r="I19" s="32">
        <v>2.66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29770</v>
      </c>
      <c r="H20" s="32">
        <v>357.24</v>
      </c>
      <c r="I20" s="32">
        <v>2.6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13407</v>
      </c>
      <c r="H21" s="32">
        <v>344.3</v>
      </c>
      <c r="I21" s="32">
        <v>2.5099999999999998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18</v>
      </c>
      <c r="G22" s="31">
        <v>7993</v>
      </c>
      <c r="H22" s="32">
        <v>336.89</v>
      </c>
      <c r="I22" s="32">
        <v>2.4500000000000002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182312</v>
      </c>
      <c r="H23" s="32">
        <v>335.64</v>
      </c>
      <c r="I23" s="32">
        <v>2.44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11809</v>
      </c>
      <c r="H24" s="32">
        <v>320.87</v>
      </c>
      <c r="I24" s="32">
        <v>2.33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51</v>
      </c>
      <c r="G25" s="31">
        <v>25000</v>
      </c>
      <c r="H25" s="32">
        <v>315</v>
      </c>
      <c r="I25" s="32">
        <v>2.29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18</v>
      </c>
      <c r="G26" s="31">
        <v>11133</v>
      </c>
      <c r="H26" s="32">
        <v>305.08999999999997</v>
      </c>
      <c r="I26" s="32">
        <v>2.2200000000000002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11408</v>
      </c>
      <c r="H27" s="32">
        <v>303.83</v>
      </c>
      <c r="I27" s="32">
        <v>2.21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366503</v>
      </c>
      <c r="H28" s="32">
        <v>298.88</v>
      </c>
      <c r="I28" s="32">
        <v>2.17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23768</v>
      </c>
      <c r="H29" s="32">
        <v>297.66000000000003</v>
      </c>
      <c r="I29" s="32">
        <v>2.17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43</v>
      </c>
      <c r="G30" s="31">
        <v>177835</v>
      </c>
      <c r="H30" s="32">
        <v>288.18</v>
      </c>
      <c r="I30" s="32">
        <v>2.1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133320</v>
      </c>
      <c r="H31" s="32">
        <v>279.11</v>
      </c>
      <c r="I31" s="32">
        <v>2.0299999999999998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66</v>
      </c>
      <c r="G32" s="31">
        <v>63316</v>
      </c>
      <c r="H32" s="32">
        <v>264.69</v>
      </c>
      <c r="I32" s="32">
        <v>1.93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14775</v>
      </c>
      <c r="H33" s="32">
        <v>261.48</v>
      </c>
      <c r="I33" s="32">
        <v>1.9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51</v>
      </c>
      <c r="G34" s="31">
        <v>37887</v>
      </c>
      <c r="H34" s="32">
        <v>261.06</v>
      </c>
      <c r="I34" s="32">
        <v>1.9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51</v>
      </c>
      <c r="G35" s="31">
        <v>12003</v>
      </c>
      <c r="H35" s="32">
        <v>227.74</v>
      </c>
      <c r="I35" s="32">
        <v>1.66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51</v>
      </c>
      <c r="G36" s="31">
        <v>5530</v>
      </c>
      <c r="H36" s="32">
        <v>215.77</v>
      </c>
      <c r="I36" s="32">
        <v>1.57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22872</v>
      </c>
      <c r="H37" s="32">
        <v>196.58</v>
      </c>
      <c r="I37" s="32">
        <v>1.43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51</v>
      </c>
      <c r="G38" s="31">
        <v>3050</v>
      </c>
      <c r="H38" s="32">
        <v>176.84</v>
      </c>
      <c r="I38" s="32">
        <v>1.29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14021</v>
      </c>
      <c r="H39" s="32">
        <v>173.67</v>
      </c>
      <c r="I39" s="32">
        <v>1.26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4614</v>
      </c>
      <c r="H40" s="32">
        <v>170.52</v>
      </c>
      <c r="I40" s="32">
        <v>1.24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7622</v>
      </c>
      <c r="H41" s="32">
        <v>168.36</v>
      </c>
      <c r="I41" s="32">
        <v>1.23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3146</v>
      </c>
      <c r="H42" s="32">
        <v>161.61000000000001</v>
      </c>
      <c r="I42" s="32">
        <v>1.18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126</v>
      </c>
      <c r="G43" s="31">
        <v>13000</v>
      </c>
      <c r="H43" s="32">
        <v>161.04</v>
      </c>
      <c r="I43" s="32">
        <v>1.17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435</v>
      </c>
      <c r="H44" s="32">
        <v>160.19</v>
      </c>
      <c r="I44" s="32">
        <v>1.17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115</v>
      </c>
      <c r="G45" s="31">
        <v>2080</v>
      </c>
      <c r="H45" s="32">
        <v>152.85</v>
      </c>
      <c r="I45" s="32">
        <v>1.1100000000000001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2730</v>
      </c>
      <c r="H46" s="32">
        <v>143.5</v>
      </c>
      <c r="I46" s="32">
        <v>1.04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11454</v>
      </c>
      <c r="H47" s="32">
        <v>141.63</v>
      </c>
      <c r="I47" s="32">
        <v>1.03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88</v>
      </c>
      <c r="G48" s="31">
        <v>2461</v>
      </c>
      <c r="H48" s="32">
        <v>136.16999999999999</v>
      </c>
      <c r="I48" s="32">
        <v>0.99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18</v>
      </c>
      <c r="G49" s="31">
        <v>2161</v>
      </c>
      <c r="H49" s="32">
        <v>135.93</v>
      </c>
      <c r="I49" s="32">
        <v>0.99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31552</v>
      </c>
      <c r="H50" s="32">
        <v>121.49</v>
      </c>
      <c r="I50" s="32">
        <v>0.88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166</v>
      </c>
      <c r="G51" s="31">
        <v>72134</v>
      </c>
      <c r="H51" s="32">
        <v>110.37</v>
      </c>
      <c r="I51" s="32">
        <v>0.8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170</v>
      </c>
      <c r="G52" s="31">
        <v>3549</v>
      </c>
      <c r="H52" s="32">
        <v>109.37</v>
      </c>
      <c r="I52" s="32">
        <v>0.8</v>
      </c>
      <c r="J52" s="33"/>
    </row>
    <row r="53" spans="2:10" x14ac:dyDescent="0.25">
      <c r="B53" s="1" t="s">
        <v>171</v>
      </c>
      <c r="C53" s="20" t="s">
        <v>172</v>
      </c>
      <c r="D53" s="29" t="s">
        <v>173</v>
      </c>
      <c r="E53" s="30"/>
      <c r="F53" s="30" t="s">
        <v>43</v>
      </c>
      <c r="G53" s="31">
        <v>22429</v>
      </c>
      <c r="H53" s="32">
        <v>103.46</v>
      </c>
      <c r="I53" s="32">
        <v>0.75</v>
      </c>
      <c r="J53" s="33"/>
    </row>
    <row r="54" spans="2:10" x14ac:dyDescent="0.25">
      <c r="B54" s="1" t="s">
        <v>174</v>
      </c>
      <c r="C54" s="20" t="s">
        <v>175</v>
      </c>
      <c r="D54" s="29" t="s">
        <v>176</v>
      </c>
      <c r="E54" s="30"/>
      <c r="F54" s="30" t="s">
        <v>70</v>
      </c>
      <c r="G54" s="31">
        <v>9322</v>
      </c>
      <c r="H54" s="32">
        <v>60.57</v>
      </c>
      <c r="I54" s="32">
        <v>0.44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51</v>
      </c>
      <c r="G55" s="31">
        <v>600</v>
      </c>
      <c r="H55" s="32">
        <v>48.4</v>
      </c>
      <c r="I55" s="32">
        <v>0.35</v>
      </c>
      <c r="J55" s="33"/>
    </row>
    <row r="56" spans="2:10" x14ac:dyDescent="0.25">
      <c r="C56" s="28" t="s">
        <v>180</v>
      </c>
      <c r="D56" s="29"/>
      <c r="E56" s="30"/>
      <c r="F56" s="30"/>
      <c r="G56" s="31"/>
      <c r="H56" s="35">
        <v>13236.15</v>
      </c>
      <c r="I56" s="35">
        <v>96.31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181</v>
      </c>
      <c r="D58" s="29"/>
      <c r="E58" s="30"/>
      <c r="F58" s="30"/>
      <c r="G58" s="31"/>
      <c r="H58" s="32" t="s">
        <v>182</v>
      </c>
      <c r="I58" s="32" t="s">
        <v>182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183</v>
      </c>
      <c r="D60" s="29"/>
      <c r="E60" s="30"/>
      <c r="F60" s="30"/>
      <c r="G60" s="31"/>
      <c r="H60" s="32" t="s">
        <v>182</v>
      </c>
      <c r="I60" s="32" t="s">
        <v>182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184</v>
      </c>
      <c r="D62" s="29"/>
      <c r="E62" s="30"/>
      <c r="F62" s="30"/>
      <c r="G62" s="31"/>
      <c r="H62" s="32"/>
      <c r="I62" s="32"/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185</v>
      </c>
      <c r="D64" s="29"/>
      <c r="E64" s="30"/>
      <c r="F64" s="30"/>
      <c r="G64" s="31"/>
      <c r="H64" s="32" t="s">
        <v>182</v>
      </c>
      <c r="I64" s="32" t="s">
        <v>182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186</v>
      </c>
      <c r="D66" s="29"/>
      <c r="E66" s="30"/>
      <c r="F66" s="30"/>
      <c r="G66" s="31"/>
      <c r="H66" s="32" t="s">
        <v>182</v>
      </c>
      <c r="I66" s="32" t="s">
        <v>182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187</v>
      </c>
      <c r="D68" s="29"/>
      <c r="E68" s="30"/>
      <c r="F68" s="30"/>
      <c r="G68" s="31"/>
      <c r="H68" s="32" t="s">
        <v>182</v>
      </c>
      <c r="I68" s="32" t="s">
        <v>182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188</v>
      </c>
      <c r="D70" s="29"/>
      <c r="E70" s="30"/>
      <c r="F70" s="30"/>
      <c r="G70" s="31"/>
      <c r="H70" s="32" t="s">
        <v>182</v>
      </c>
      <c r="I70" s="32" t="s">
        <v>182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189</v>
      </c>
      <c r="D72" s="29"/>
      <c r="E72" s="30"/>
      <c r="F72" s="30"/>
      <c r="G72" s="31"/>
      <c r="H72" s="32" t="s">
        <v>182</v>
      </c>
      <c r="I72" s="32" t="s">
        <v>182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190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191</v>
      </c>
      <c r="D76" s="29"/>
      <c r="E76" s="30"/>
      <c r="F76" s="30"/>
      <c r="G76" s="31"/>
      <c r="H76" s="32" t="s">
        <v>182</v>
      </c>
      <c r="I76" s="32" t="s">
        <v>182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192</v>
      </c>
      <c r="D78" s="29"/>
      <c r="E78" s="30"/>
      <c r="F78" s="30"/>
      <c r="G78" s="31"/>
      <c r="H78" s="32" t="s">
        <v>182</v>
      </c>
      <c r="I78" s="32" t="s">
        <v>182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193</v>
      </c>
      <c r="D80" s="29"/>
      <c r="E80" s="30"/>
      <c r="F80" s="30"/>
      <c r="G80" s="31"/>
      <c r="H80" s="32" t="s">
        <v>182</v>
      </c>
      <c r="I80" s="32" t="s">
        <v>182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194</v>
      </c>
      <c r="D82" s="29"/>
      <c r="E82" s="30"/>
      <c r="F82" s="30"/>
      <c r="G82" s="31"/>
      <c r="H82" s="32" t="s">
        <v>182</v>
      </c>
      <c r="I82" s="32" t="s">
        <v>182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195</v>
      </c>
      <c r="D84" s="29"/>
      <c r="E84" s="30"/>
      <c r="F84" s="30"/>
      <c r="G84" s="31"/>
      <c r="H84" s="32"/>
      <c r="I84" s="32"/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196</v>
      </c>
      <c r="D86" s="29"/>
      <c r="E86" s="30"/>
      <c r="F86" s="30"/>
      <c r="G86" s="31"/>
      <c r="H86" s="32" t="s">
        <v>182</v>
      </c>
      <c r="I86" s="32" t="s">
        <v>182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197</v>
      </c>
      <c r="D88" s="29"/>
      <c r="E88" s="30"/>
      <c r="F88" s="30"/>
      <c r="G88" s="31"/>
      <c r="H88" s="32" t="s">
        <v>182</v>
      </c>
      <c r="I88" s="32" t="s">
        <v>182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198</v>
      </c>
      <c r="D90" s="29"/>
      <c r="E90" s="30"/>
      <c r="F90" s="30"/>
      <c r="G90" s="31"/>
      <c r="H90" s="32" t="s">
        <v>182</v>
      </c>
      <c r="I90" s="32" t="s">
        <v>182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199</v>
      </c>
      <c r="D92" s="29"/>
      <c r="E92" s="30"/>
      <c r="F92" s="30"/>
      <c r="G92" s="31"/>
      <c r="H92" s="32" t="s">
        <v>182</v>
      </c>
      <c r="I92" s="32" t="s">
        <v>182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200</v>
      </c>
      <c r="D94" s="29"/>
      <c r="E94" s="30"/>
      <c r="F94" s="30"/>
      <c r="G94" s="31"/>
      <c r="H94" s="32" t="s">
        <v>182</v>
      </c>
      <c r="I94" s="32" t="s">
        <v>182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A96" s="26"/>
      <c r="B96" s="27"/>
      <c r="C96" s="28" t="s">
        <v>201</v>
      </c>
      <c r="D96" s="29"/>
      <c r="E96" s="30"/>
      <c r="F96" s="30"/>
      <c r="G96" s="31"/>
      <c r="H96" s="32"/>
      <c r="I96" s="32"/>
      <c r="J96" s="33"/>
    </row>
    <row r="97" spans="2:10" x14ac:dyDescent="0.25">
      <c r="B97" s="1"/>
      <c r="C97" s="20" t="s">
        <v>202</v>
      </c>
      <c r="D97" s="29"/>
      <c r="E97" s="30"/>
      <c r="F97" s="30"/>
      <c r="G97" s="31"/>
      <c r="H97" s="32">
        <v>506.73</v>
      </c>
      <c r="I97" s="32">
        <v>3.69</v>
      </c>
      <c r="J97" s="33"/>
    </row>
    <row r="98" spans="2:10" x14ac:dyDescent="0.25">
      <c r="C98" s="28" t="s">
        <v>180</v>
      </c>
      <c r="D98" s="29"/>
      <c r="E98" s="30"/>
      <c r="F98" s="30"/>
      <c r="G98" s="31"/>
      <c r="H98" s="35">
        <v>506.73</v>
      </c>
      <c r="I98" s="35">
        <v>3.69</v>
      </c>
      <c r="J98" s="33"/>
    </row>
    <row r="99" spans="2:10" x14ac:dyDescent="0.25">
      <c r="C99" s="20"/>
      <c r="D99" s="29"/>
      <c r="E99" s="30"/>
      <c r="F99" s="30"/>
      <c r="G99" s="31"/>
      <c r="H99" s="32"/>
      <c r="I99" s="32"/>
      <c r="J99" s="33"/>
    </row>
    <row r="100" spans="2:10" ht="15.75" thickBot="1" x14ac:dyDescent="0.3">
      <c r="C100" s="36" t="s">
        <v>203</v>
      </c>
      <c r="D100" s="37"/>
      <c r="E100" s="38"/>
      <c r="F100" s="39"/>
      <c r="G100" s="40"/>
      <c r="H100" s="41">
        <v>13742.88</v>
      </c>
      <c r="I100" s="41">
        <f>SUMIFS(I:I,C:C,"Total")</f>
        <v>100</v>
      </c>
      <c r="J100" s="42"/>
    </row>
    <row r="103" spans="2:10" x14ac:dyDescent="0.25">
      <c r="C103" s="11" t="s">
        <v>204</v>
      </c>
    </row>
    <row r="104" spans="2:10" x14ac:dyDescent="0.25">
      <c r="C104" s="2" t="s">
        <v>205</v>
      </c>
    </row>
    <row r="105" spans="2:10" x14ac:dyDescent="0.25">
      <c r="C105" s="2" t="s">
        <v>206</v>
      </c>
    </row>
    <row r="106" spans="2:10" x14ac:dyDescent="0.25">
      <c r="C106" s="2" t="s">
        <v>207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07A3-C946-4E77-81D2-103E2AD071A5}">
  <dimension ref="B2:J16"/>
  <sheetViews>
    <sheetView workbookViewId="0"/>
  </sheetViews>
  <sheetFormatPr defaultRowHeight="15" x14ac:dyDescent="0.25"/>
  <cols>
    <col min="2" max="2" width="50.5703125" customWidth="1"/>
    <col min="4" max="4" width="11.140625" customWidth="1"/>
    <col min="6" max="6" width="12.5703125" customWidth="1"/>
    <col min="8" max="8" width="11.7109375" customWidth="1"/>
    <col min="10" max="10" width="12.28515625" customWidth="1"/>
  </cols>
  <sheetData>
    <row r="2" spans="2:10" ht="15.75" x14ac:dyDescent="0.25">
      <c r="B2" s="43" t="s">
        <v>208</v>
      </c>
      <c r="C2" s="44"/>
      <c r="D2" s="44"/>
      <c r="E2" s="44"/>
      <c r="F2" s="44"/>
      <c r="G2" s="44"/>
      <c r="H2" s="44"/>
      <c r="I2" s="44"/>
      <c r="J2" s="44"/>
    </row>
    <row r="3" spans="2:10" x14ac:dyDescent="0.25">
      <c r="B3" s="45" t="s">
        <v>209</v>
      </c>
      <c r="C3" s="50" t="s">
        <v>210</v>
      </c>
      <c r="D3" s="50"/>
      <c r="E3" s="50" t="s">
        <v>211</v>
      </c>
      <c r="F3" s="50"/>
      <c r="G3" s="50" t="s">
        <v>212</v>
      </c>
      <c r="H3" s="50"/>
      <c r="I3" s="50" t="s">
        <v>213</v>
      </c>
      <c r="J3" s="50"/>
    </row>
    <row r="4" spans="2:10" ht="63.75" x14ac:dyDescent="0.25">
      <c r="B4" s="46"/>
      <c r="C4" s="47" t="s">
        <v>214</v>
      </c>
      <c r="D4" s="47" t="s">
        <v>215</v>
      </c>
      <c r="E4" s="47" t="s">
        <v>214</v>
      </c>
      <c r="F4" s="47" t="s">
        <v>215</v>
      </c>
      <c r="G4" s="47" t="s">
        <v>214</v>
      </c>
      <c r="H4" s="47" t="s">
        <v>215</v>
      </c>
      <c r="I4" s="47" t="s">
        <v>214</v>
      </c>
      <c r="J4" s="47" t="s">
        <v>215</v>
      </c>
    </row>
    <row r="5" spans="2:10" x14ac:dyDescent="0.25">
      <c r="B5" s="48" t="s">
        <v>216</v>
      </c>
      <c r="C5" s="49">
        <v>28.398144844809138</v>
      </c>
      <c r="D5" s="49">
        <v>12839.814484480912</v>
      </c>
      <c r="E5" s="49">
        <v>17.391342368097519</v>
      </c>
      <c r="F5" s="49">
        <v>16163.17365269461</v>
      </c>
      <c r="G5" s="49">
        <v>16.617664465058812</v>
      </c>
      <c r="H5" s="49">
        <v>21559.504792332267</v>
      </c>
      <c r="I5" s="49">
        <v>17.514173214508521</v>
      </c>
      <c r="J5" s="49">
        <v>107970</v>
      </c>
    </row>
    <row r="6" spans="2:10" x14ac:dyDescent="0.25">
      <c r="B6" s="48" t="s">
        <v>217</v>
      </c>
      <c r="C6" s="49">
        <v>24.145101419699856</v>
      </c>
      <c r="D6" s="49">
        <v>12414.510141969986</v>
      </c>
      <c r="E6" s="49">
        <v>17.165301623335871</v>
      </c>
      <c r="F6" s="49">
        <v>16084.110372263032</v>
      </c>
      <c r="G6" s="49">
        <v>18.470771057189992</v>
      </c>
      <c r="H6" s="49">
        <v>23337.593728498257</v>
      </c>
      <c r="I6" s="49">
        <v>17.041215341484506</v>
      </c>
      <c r="J6" s="49">
        <v>101694.04567151997</v>
      </c>
    </row>
    <row r="7" spans="2:10" x14ac:dyDescent="0.25">
      <c r="B7" s="48" t="s">
        <v>218</v>
      </c>
      <c r="C7" s="49">
        <v>21.300164056039627</v>
      </c>
      <c r="D7" s="49">
        <v>12130.016405603963</v>
      </c>
      <c r="E7" s="49">
        <v>17.240979467859585</v>
      </c>
      <c r="F7" s="49">
        <v>16115.297007580128</v>
      </c>
      <c r="G7" s="49">
        <v>16.247838958951345</v>
      </c>
      <c r="H7" s="49">
        <v>21228.750880739215</v>
      </c>
      <c r="I7" s="49">
        <v>15.111311029936857</v>
      </c>
      <c r="J7" s="49">
        <v>79590.746617979632</v>
      </c>
    </row>
    <row r="8" spans="2:10" x14ac:dyDescent="0.25">
      <c r="B8" s="48" t="s">
        <v>219</v>
      </c>
      <c r="C8" s="51">
        <v>84.09</v>
      </c>
      <c r="D8" s="52"/>
      <c r="E8" s="51">
        <v>66.8</v>
      </c>
      <c r="F8" s="52"/>
      <c r="G8" s="51">
        <v>50.08</v>
      </c>
      <c r="H8" s="52"/>
      <c r="I8" s="51">
        <v>10</v>
      </c>
      <c r="J8" s="52"/>
    </row>
    <row r="10" spans="2:10" ht="15.75" x14ac:dyDescent="0.25">
      <c r="B10" s="43" t="s">
        <v>220</v>
      </c>
      <c r="C10" s="44"/>
      <c r="D10" s="44"/>
      <c r="E10" s="44"/>
      <c r="F10" s="44"/>
      <c r="G10" s="44"/>
      <c r="H10" s="44"/>
      <c r="I10" s="44"/>
      <c r="J10" s="44"/>
    </row>
    <row r="11" spans="2:10" x14ac:dyDescent="0.25">
      <c r="B11" s="45" t="s">
        <v>209</v>
      </c>
      <c r="C11" s="50" t="s">
        <v>210</v>
      </c>
      <c r="D11" s="50"/>
      <c r="E11" s="50" t="s">
        <v>211</v>
      </c>
      <c r="F11" s="50"/>
      <c r="G11" s="50" t="s">
        <v>212</v>
      </c>
      <c r="H11" s="50"/>
      <c r="I11" s="50" t="s">
        <v>213</v>
      </c>
      <c r="J11" s="50"/>
    </row>
    <row r="12" spans="2:10" ht="63.75" x14ac:dyDescent="0.25">
      <c r="B12" s="46"/>
      <c r="C12" s="47" t="s">
        <v>214</v>
      </c>
      <c r="D12" s="47" t="s">
        <v>215</v>
      </c>
      <c r="E12" s="47" t="s">
        <v>214</v>
      </c>
      <c r="F12" s="47" t="s">
        <v>215</v>
      </c>
      <c r="G12" s="47" t="s">
        <v>214</v>
      </c>
      <c r="H12" s="47" t="s">
        <v>215</v>
      </c>
      <c r="I12" s="47" t="s">
        <v>214</v>
      </c>
      <c r="J12" s="47" t="s">
        <v>215</v>
      </c>
    </row>
    <row r="13" spans="2:10" x14ac:dyDescent="0.25">
      <c r="B13" s="48" t="s">
        <v>216</v>
      </c>
      <c r="C13" s="49">
        <v>29.984729493891791</v>
      </c>
      <c r="D13" s="49">
        <v>12998.472949389179</v>
      </c>
      <c r="E13" s="49">
        <v>18.628874404140827</v>
      </c>
      <c r="F13" s="49">
        <v>16678.79636109167</v>
      </c>
      <c r="G13" s="49">
        <v>17.87530893804994</v>
      </c>
      <c r="H13" s="49">
        <v>22746.707386905899</v>
      </c>
      <c r="I13" s="49">
        <v>15.926616755141044</v>
      </c>
      <c r="J13" s="49">
        <v>50797.10144927536</v>
      </c>
    </row>
    <row r="14" spans="2:10" x14ac:dyDescent="0.25">
      <c r="B14" s="48" t="s">
        <v>217</v>
      </c>
      <c r="C14" s="49">
        <v>24.145101419699856</v>
      </c>
      <c r="D14" s="49">
        <v>12414.510141969986</v>
      </c>
      <c r="E14" s="49">
        <v>17.165301623335871</v>
      </c>
      <c r="F14" s="49">
        <v>16084.110372263032</v>
      </c>
      <c r="G14" s="49">
        <v>18.470771057189992</v>
      </c>
      <c r="H14" s="49">
        <v>23337.593728498257</v>
      </c>
      <c r="I14" s="49">
        <v>16.630387271565873</v>
      </c>
      <c r="J14" s="49">
        <v>54293.25119972961</v>
      </c>
    </row>
    <row r="15" spans="2:10" x14ac:dyDescent="0.25">
      <c r="B15" s="48" t="s">
        <v>218</v>
      </c>
      <c r="C15" s="49">
        <v>21.300164056039627</v>
      </c>
      <c r="D15" s="49">
        <v>12130.016405603963</v>
      </c>
      <c r="E15" s="49">
        <v>17.240979467859585</v>
      </c>
      <c r="F15" s="49">
        <v>16115.297007580128</v>
      </c>
      <c r="G15" s="49">
        <v>16.247838958951345</v>
      </c>
      <c r="H15" s="49">
        <v>21228.750880739215</v>
      </c>
      <c r="I15" s="49">
        <v>13.87468272314778</v>
      </c>
      <c r="J15" s="49">
        <v>41739.225337937663</v>
      </c>
    </row>
    <row r="16" spans="2:10" x14ac:dyDescent="0.25">
      <c r="B16" s="48" t="s">
        <v>221</v>
      </c>
      <c r="C16" s="51">
        <v>91.68</v>
      </c>
      <c r="D16" s="52"/>
      <c r="E16" s="51">
        <v>71.45</v>
      </c>
      <c r="F16" s="52"/>
      <c r="G16" s="51">
        <v>52.39</v>
      </c>
      <c r="H16" s="52"/>
      <c r="I16" s="51">
        <v>23.46</v>
      </c>
      <c r="J16" s="52"/>
    </row>
  </sheetData>
  <mergeCells count="16">
    <mergeCell ref="C11:D11"/>
    <mergeCell ref="E11:F11"/>
    <mergeCell ref="G11:H11"/>
    <mergeCell ref="I11:J11"/>
    <mergeCell ref="C16:D16"/>
    <mergeCell ref="E16:F16"/>
    <mergeCell ref="G16:H16"/>
    <mergeCell ref="I16:J16"/>
    <mergeCell ref="C3:D3"/>
    <mergeCell ref="E3:F3"/>
    <mergeCell ref="G3:H3"/>
    <mergeCell ref="I3:J3"/>
    <mergeCell ref="C8:D8"/>
    <mergeCell ref="E8:F8"/>
    <mergeCell ref="G8:H8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Madhura Shinde</cp:lastModifiedBy>
  <dcterms:created xsi:type="dcterms:W3CDTF">2024-01-02T11:04:26Z</dcterms:created>
  <dcterms:modified xsi:type="dcterms:W3CDTF">2024-01-04T10:37:59Z</dcterms:modified>
</cp:coreProperties>
</file>