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8. Nov 2025\Monthly Portfolio\Ops\"/>
    </mc:Choice>
  </mc:AlternateContent>
  <xr:revisionPtr revIDLastSave="0" documentId="13_ncr:1_{E2019007-E782-4BC5-80E9-4F7C73C6D695}" xr6:coauthVersionLast="47" xr6:coauthVersionMax="47" xr10:uidLastSave="{00000000-0000-0000-0000-000000000000}"/>
  <bookViews>
    <workbookView xWindow="-120" yWindow="-120" windowWidth="20730" windowHeight="11040" xr2:uid="{46992330-12DB-48A7-84AC-C12A71C79F1F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TTS!$C$8:$C$40</definedName>
    <definedName name="XDO_?FINAL_ISIN?14?">TTS!$D$10:$D$40</definedName>
    <definedName name="XDO_?FINAL_ISIN?15?">TTS!$D$10:$D$84</definedName>
    <definedName name="XDO_?FINAL_MV?14?">TTS!$H$10:$H$40</definedName>
    <definedName name="XDO_?FINAL_MV?15?">TTS!$H$10:$H$84</definedName>
    <definedName name="XDO_?FINAL_NAME?14?">TTS!$C$10:$C$40</definedName>
    <definedName name="XDO_?FINAL_NAME?15?">TTS!$C$10:$C$84</definedName>
    <definedName name="XDO_?FINAL_PER_NET?14?">TTS!$I$10:$I$40</definedName>
    <definedName name="XDO_?FINAL_PER_NET?15?">TTS!$I$10:$I$84</definedName>
    <definedName name="XDO_?FINAL_QUANTITE?14?">TTS!$G$10:$G$40</definedName>
    <definedName name="XDO_?FINAL_QUANTITE?15?">TTS!$G$10:$G$84</definedName>
    <definedName name="XDO_?IND_01?14?">TTS!$F$10:$F$40</definedName>
    <definedName name="XDO_?IND_01?15?">TTS!$F$10:$F$84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4?">TTS!$B$10:$B$40</definedName>
    <definedName name="XDO_?NOVAL?15?">TTS!$B$10:$B$84</definedName>
    <definedName name="XDO_?NPTF?7?">TTS!$D$2:$D$40</definedName>
    <definedName name="XDO_?RATING?14?">TTS!$E$10:$E$40</definedName>
    <definedName name="XDO_?RATING?15?">TTS!$E$10:$E$84</definedName>
    <definedName name="XDO_?REMARKS?14?">TTS!$J$10:$J$40</definedName>
    <definedName name="XDO_?REMARKS?15?">TTS!$J$10:$J$84</definedName>
    <definedName name="XDO_?TITL?7?">TTS!$A$8:$A$40</definedName>
    <definedName name="XDO_GROUP_?G_2?7?">TTS!$2:$87</definedName>
    <definedName name="XDO_GROUP_?G_3?7?">TTS!$8:$86</definedName>
    <definedName name="XDO_GROUP_?G_4?14?">TTS!$B$10:$IV$40</definedName>
    <definedName name="XDO_GROUP_?G_4?15?">TTS!$B$84:$IV$84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1" l="1"/>
</calcChain>
</file>

<file path=xl/sharedStrings.xml><?xml version="1.0" encoding="utf-8"?>
<sst xmlns="http://schemas.openxmlformats.org/spreadsheetml/2006/main" count="269" uniqueCount="194">
  <si>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</si>
  <si>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</si>
  <si>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</si>
  <si>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</si>
  <si>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</si>
  <si>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</si>
  <si>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</si>
  <si>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</si>
  <si>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</si>
  <si>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</si>
  <si>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</si>
  <si>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</si>
  <si>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</si>
  <si>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</si>
  <si>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</si>
  <si>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</si>
  <si>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</si>
  <si>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</si>
  <si>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</si>
  <si>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</si>
  <si>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</si>
  <si>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</si>
  <si>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</si>
  <si>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</si>
  <si>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</si>
  <si>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</si>
  <si>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</si>
  <si>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</si>
  <si>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</si>
  <si>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</si>
  <si>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100474</t>
  </si>
  <si>
    <t>Narayana Hrudayalaya Ltd.</t>
  </si>
  <si>
    <t>INE410P01011</t>
  </si>
  <si>
    <t>Healthcare Services</t>
  </si>
  <si>
    <t>102663</t>
  </si>
  <si>
    <t>Pace Digitek Ltd.</t>
  </si>
  <si>
    <t>INE0S3G01027</t>
  </si>
  <si>
    <t>Telecom - Services</t>
  </si>
  <si>
    <t>100024</t>
  </si>
  <si>
    <t>Axis Bank Ltd.</t>
  </si>
  <si>
    <t>INE238A01034</t>
  </si>
  <si>
    <t>100182</t>
  </si>
  <si>
    <t>Power Grid Corporation of India Ltd.</t>
  </si>
  <si>
    <t>INE752E01010</t>
  </si>
  <si>
    <t>Power</t>
  </si>
  <si>
    <t>102528</t>
  </si>
  <si>
    <t>DAM Capital Advisors Ltd.</t>
  </si>
  <si>
    <t>INE284H01025</t>
  </si>
  <si>
    <t>Capital Markets</t>
  </si>
  <si>
    <t>100389</t>
  </si>
  <si>
    <t>Zydus Wellness Ltd.</t>
  </si>
  <si>
    <t>INE768C01028</t>
  </si>
  <si>
    <t>Food Products</t>
  </si>
  <si>
    <t>100014</t>
  </si>
  <si>
    <t>Mahindra &amp; Mahindra Ltd.</t>
  </si>
  <si>
    <t>INE101A01026</t>
  </si>
  <si>
    <t>Automobiles</t>
  </si>
  <si>
    <t>100097</t>
  </si>
  <si>
    <t>Coal India Ltd.</t>
  </si>
  <si>
    <t>INE522F01014</t>
  </si>
  <si>
    <t>Consumable Fuels</t>
  </si>
  <si>
    <t>100037</t>
  </si>
  <si>
    <t>HCL Technologies Ltd.</t>
  </si>
  <si>
    <t>INE860A01027</t>
  </si>
  <si>
    <t>IT - Software</t>
  </si>
  <si>
    <t>100153</t>
  </si>
  <si>
    <t>Cipla Ltd.</t>
  </si>
  <si>
    <t>INE059A01026</t>
  </si>
  <si>
    <t>Pharmaceuticals &amp; Biotechnology</t>
  </si>
  <si>
    <t>100095</t>
  </si>
  <si>
    <t>Bharti Airtel Ltd.</t>
  </si>
  <si>
    <t>INE397D01024</t>
  </si>
  <si>
    <t>100133</t>
  </si>
  <si>
    <t>Oracle Financial Services Software Ltd.</t>
  </si>
  <si>
    <t>INE881D01027</t>
  </si>
  <si>
    <t>101178</t>
  </si>
  <si>
    <t>Computer Age Management Services Ltd.</t>
  </si>
  <si>
    <t>INE596I01012</t>
  </si>
  <si>
    <t>100003</t>
  </si>
  <si>
    <t>Infosys Ltd.</t>
  </si>
  <si>
    <t>INE009A01021</t>
  </si>
  <si>
    <t>100100</t>
  </si>
  <si>
    <t>Hindustan Petroleum Corporation Ltd.</t>
  </si>
  <si>
    <t>INE094A01015</t>
  </si>
  <si>
    <t>Petroleum Products</t>
  </si>
  <si>
    <t>101184</t>
  </si>
  <si>
    <t>Mazagon Dock Shipbuilders Ltd.</t>
  </si>
  <si>
    <t>INE249Z01020</t>
  </si>
  <si>
    <t>Industrial Manufacturing</t>
  </si>
  <si>
    <t>102644</t>
  </si>
  <si>
    <t>Vikram Solar Ltd.</t>
  </si>
  <si>
    <t>INE078V01014</t>
  </si>
  <si>
    <t>Electrical Equipment</t>
  </si>
  <si>
    <t>100194</t>
  </si>
  <si>
    <t>Power Finance Corporation Ltd.</t>
  </si>
  <si>
    <t>INE134E01011</t>
  </si>
  <si>
    <t>100155</t>
  </si>
  <si>
    <t>Divi's Laboratories Ltd.</t>
  </si>
  <si>
    <t>INE361B01024</t>
  </si>
  <si>
    <t>100177</t>
  </si>
  <si>
    <t>Grasim Industries Ltd.</t>
  </si>
  <si>
    <t>INE047A01021</t>
  </si>
  <si>
    <t>Cement &amp; Cement Products</t>
  </si>
  <si>
    <t>100083</t>
  </si>
  <si>
    <t>Samvardhana Motherson International Ltd.</t>
  </si>
  <si>
    <t>INE775A01035</t>
  </si>
  <si>
    <t>Auto Components</t>
  </si>
  <si>
    <t>100172</t>
  </si>
  <si>
    <t>ACC Ltd.</t>
  </si>
  <si>
    <t>INE012A01025</t>
  </si>
  <si>
    <t>100045</t>
  </si>
  <si>
    <t>Gujarat Pipavav Port Ltd.</t>
  </si>
  <si>
    <t>INE517F01014</t>
  </si>
  <si>
    <t>Transport Infrastructure</t>
  </si>
  <si>
    <t>100694</t>
  </si>
  <si>
    <t>Indian Energy Exchange Ltd.</t>
  </si>
  <si>
    <t>INE022Q01020</t>
  </si>
  <si>
    <t>101550</t>
  </si>
  <si>
    <t>Life Insurance Corporation of India</t>
  </si>
  <si>
    <t>INE0J1Y01017</t>
  </si>
  <si>
    <t>Insurance</t>
  </si>
  <si>
    <t>102206</t>
  </si>
  <si>
    <t>Chemtech Industrial Valves Ltd.</t>
  </si>
  <si>
    <t>INE212P01011</t>
  </si>
  <si>
    <t>100147</t>
  </si>
  <si>
    <t>Tech Mahindra Ltd.</t>
  </si>
  <si>
    <t>INE669C01036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</si>
  <si>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</si>
  <si>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</si>
  <si>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</si>
  <si>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</si>
  <si>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</si>
  <si>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</si>
  <si>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</si>
  <si>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</si>
  <si>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</si>
  <si>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</si>
  <si>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</si>
  <si>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</si>
  <si>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I**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</si>
  <si>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</si>
  <si>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</si>
  <si>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</si>
  <si>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</si>
  <si>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</si>
  <si>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</si>
  <si>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</si>
  <si>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</si>
  <si>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</si>
  <si>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</si>
  <si>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</si>
  <si>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</si>
  <si>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</si>
  <si>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</si>
  <si>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</si>
  <si>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</si>
  <si>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</si>
  <si>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</si>
  <si>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</si>
  <si>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 Net Assets Value per unit (in Rupees) are as follows:</t>
  </si>
  <si>
    <t>NAV per unit</t>
  </si>
  <si>
    <t>Plan/Option</t>
  </si>
  <si>
    <t>As on</t>
  </si>
  <si>
    <t>September 30, 2025</t>
  </si>
  <si>
    <t>October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</si>
  <si>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</si>
  <si>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</si>
  <si>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</si>
  <si>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</si>
  <si>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October 31, 2025.</t>
  </si>
  <si>
    <t>7. The Scheme did not declare any bonus during the month ended As on October 31, 2025.</t>
  </si>
  <si>
    <t>8. Total outstanding exposure in derivative instruments as on As on October 31, 2025 is Nil</t>
  </si>
  <si>
    <t>9. Total investments in Foreign Securities /ADRs/GDRs /Overseas ETFs as at As on October 31, 2025 and its percentage to NAV is Nil.</t>
  </si>
  <si>
    <t>10. During the period, the portfolio turnover ratio is 0.80 times.</t>
  </si>
  <si>
    <t>      Portfolio Turnover Ratio = Lower of sales or purchase of securities divided by average AUM for 12 months ended As on October 31, 2025</t>
  </si>
  <si>
    <t>11. The Scheme did not invest in repo transactions of corporate debt securities during the month ended As on October 31, 2025.</t>
  </si>
  <si>
    <t>12. The Scheme did not invest in credit default swaps during the month ended As on October 31, 2025.</t>
  </si>
  <si>
    <t>13. There are Nil instances of deviation from the valuation principles/guidelilys during the month ended as on October 31st, 2025.</t>
  </si>
  <si>
    <t>Taurus Elss Tax Saver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</si>
  <si>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</si>
  <si>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</si>
  <si>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</si>
  <si>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</si>
  <si>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</si>
  <si>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</si>
  <si>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</si>
  <si>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</si>
  <si>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</si>
  <si>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</si>
  <si>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</si>
  <si>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</si>
  <si>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October 31,2025 :188.41)</t>
  </si>
  <si>
    <t>Taurus Elss Tax Saver Fund - Direct Plan Growth Option</t>
  </si>
  <si>
    <t>NAV [Rs.] Per Unit (as on October 31,2025 :205.73)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</si>
</sst>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9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7" fontId="3" fillId="0" borderId="24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E2CD87DF-FB1B-42CD-8D15-4638185B28E6}"/>
    <cellStyle name="Hyperlink" xfId="2" builtinId="8"/>
    <cellStyle name="Normal" xfId="0" builtinId="0"/>
    <cellStyle name="Normal 2" xfId="4" xr:uid="{D68E6444-0452-4717-8FAB-D7469D517F8E}"/>
    <cellStyle name="Style 1" xfId="3" xr:uid="{25034637-AC54-4642-A282-CABAFBE46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258063</xdr:colOff>
      <xdr:row>0</xdr:row>
      <xdr:rowOff>1920240</xdr:rowOff>
    </xdr:to>
    <xdr:pic>
      <xdr:nvPicPr>
        <xdr:cNvPr id="2" name="Picture 1" descr="Product Label - 9th Dec 2024 - ELSS.jpg">
          <a:extLst>
            <a:ext uri="{FF2B5EF4-FFF2-40B4-BE49-F238E27FC236}">
              <a16:creationId xmlns:a16="http://schemas.microsoft.com/office/drawing/2014/main" id="{1A4A7592-49B7-468A-80F2-897DEC2DB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7010230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Oct_2025\Final\TMF_Monthly_Portfolio_Report_Oct_25.xls" TargetMode="External"/><Relationship Id="rId1" Type="http://schemas.openxmlformats.org/officeDocument/2006/relationships/externalLinkPath" Target="file:///Q:\5.TMF\Reporting\Monthly%20Reports\Monthly%20Portfolio\2025-26\Oct_2025\Final\TMF_Monthly_Portfolio_Report_Oct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4CDB-DBAA-4162-A0B5-B49948C6999D}">
  <dimension ref="A1:BB113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45961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76490</v>
      </c>
      <c r="H10" s="32">
        <v>755.45</v>
      </c>
      <c r="I10" s="32">
        <v>9.61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5200</v>
      </c>
      <c r="H11" s="32">
        <v>639.98</v>
      </c>
      <c r="I11" s="32">
        <v>8.14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147908</v>
      </c>
      <c r="H12" s="32">
        <v>621.58000000000004</v>
      </c>
      <c r="I12" s="32">
        <v>7.9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41805</v>
      </c>
      <c r="H13" s="32">
        <v>562.29999999999995</v>
      </c>
      <c r="I13" s="32">
        <v>7.15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23293</v>
      </c>
      <c r="H14" s="32">
        <v>408.79</v>
      </c>
      <c r="I14" s="32">
        <v>5.2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182716</v>
      </c>
      <c r="H15" s="32">
        <v>393.39</v>
      </c>
      <c r="I15" s="32">
        <v>5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28650</v>
      </c>
      <c r="H16" s="32">
        <v>353.25</v>
      </c>
      <c r="I16" s="32">
        <v>4.49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114996</v>
      </c>
      <c r="H17" s="32">
        <v>331.36</v>
      </c>
      <c r="I17" s="32">
        <v>4.21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122125</v>
      </c>
      <c r="H18" s="32">
        <v>298.52999999999997</v>
      </c>
      <c r="I18" s="32">
        <v>3.8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54975</v>
      </c>
      <c r="H19" s="32">
        <v>262.42</v>
      </c>
      <c r="I19" s="32">
        <v>3.34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7337</v>
      </c>
      <c r="H20" s="32">
        <v>255.79</v>
      </c>
      <c r="I20" s="32">
        <v>3.25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65000</v>
      </c>
      <c r="H21" s="32">
        <v>252.66</v>
      </c>
      <c r="I21" s="32">
        <v>3.21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14191</v>
      </c>
      <c r="H22" s="32">
        <v>218.74</v>
      </c>
      <c r="I22" s="32">
        <v>2.78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13798</v>
      </c>
      <c r="H23" s="32">
        <v>207.2</v>
      </c>
      <c r="I23" s="32">
        <v>2.63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37</v>
      </c>
      <c r="G24" s="31">
        <v>8882</v>
      </c>
      <c r="H24" s="32">
        <v>182.49</v>
      </c>
      <c r="I24" s="32">
        <v>2.3199999999999998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64</v>
      </c>
      <c r="G25" s="31">
        <v>1912</v>
      </c>
      <c r="H25" s="32">
        <v>162.79</v>
      </c>
      <c r="I25" s="32">
        <v>2.0699999999999998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48</v>
      </c>
      <c r="G26" s="31">
        <v>4035</v>
      </c>
      <c r="H26" s="32">
        <v>158.84</v>
      </c>
      <c r="I26" s="32">
        <v>2.02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64</v>
      </c>
      <c r="G27" s="31">
        <v>10579</v>
      </c>
      <c r="H27" s="32">
        <v>156.83000000000001</v>
      </c>
      <c r="I27" s="32">
        <v>1.99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31987</v>
      </c>
      <c r="H28" s="32">
        <v>152.26</v>
      </c>
      <c r="I28" s="32">
        <v>1.94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5445</v>
      </c>
      <c r="H29" s="32">
        <v>148.59</v>
      </c>
      <c r="I29" s="32">
        <v>1.89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45413</v>
      </c>
      <c r="H30" s="32">
        <v>148.25</v>
      </c>
      <c r="I30" s="32">
        <v>1.88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22</v>
      </c>
      <c r="G31" s="31">
        <v>34916</v>
      </c>
      <c r="H31" s="32">
        <v>140.80000000000001</v>
      </c>
      <c r="I31" s="32">
        <v>1.79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68</v>
      </c>
      <c r="G32" s="31">
        <v>1928</v>
      </c>
      <c r="H32" s="32">
        <v>130.07</v>
      </c>
      <c r="I32" s="32">
        <v>1.65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3981</v>
      </c>
      <c r="H33" s="32">
        <v>115.18</v>
      </c>
      <c r="I33" s="32">
        <v>1.46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107347</v>
      </c>
      <c r="H34" s="32">
        <v>113.09</v>
      </c>
      <c r="I34" s="32">
        <v>1.44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102</v>
      </c>
      <c r="G35" s="31">
        <v>4007</v>
      </c>
      <c r="H35" s="32">
        <v>75.38</v>
      </c>
      <c r="I35" s="32">
        <v>0.96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45104</v>
      </c>
      <c r="H36" s="32">
        <v>75.12</v>
      </c>
      <c r="I36" s="32">
        <v>0.96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48</v>
      </c>
      <c r="G37" s="31">
        <v>53045</v>
      </c>
      <c r="H37" s="32">
        <v>73.790000000000006</v>
      </c>
      <c r="I37" s="32">
        <v>0.94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8000</v>
      </c>
      <c r="H38" s="32">
        <v>71.58</v>
      </c>
      <c r="I38" s="32">
        <v>0.91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88</v>
      </c>
      <c r="G39" s="31">
        <v>50000</v>
      </c>
      <c r="H39" s="32">
        <v>55.8</v>
      </c>
      <c r="I39" s="32">
        <v>0.71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64</v>
      </c>
      <c r="G40" s="31">
        <v>2739</v>
      </c>
      <c r="H40" s="32">
        <v>39.03</v>
      </c>
      <c r="I40" s="32">
        <v>0.5</v>
      </c>
      <c r="J40" s="33"/>
    </row>
    <row r="41" spans="2:10" x14ac:dyDescent="0.25">
      <c r="C41" s="28" t="s">
        <v>127</v>
      </c>
      <c r="D41" s="29"/>
      <c r="E41" s="30"/>
      <c r="F41" s="30"/>
      <c r="G41" s="31"/>
      <c r="H41" s="35">
        <v>7561.33</v>
      </c>
      <c r="I41" s="35">
        <v>96.14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128</v>
      </c>
      <c r="D43" s="29"/>
      <c r="E43" s="30"/>
      <c r="F43" s="30"/>
      <c r="G43" s="31"/>
      <c r="H43" s="32" t="s">
        <v>129</v>
      </c>
      <c r="I43" s="32" t="s">
        <v>129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130</v>
      </c>
      <c r="D45" s="29"/>
      <c r="E45" s="30"/>
      <c r="F45" s="30"/>
      <c r="G45" s="31"/>
      <c r="H45" s="32" t="s">
        <v>129</v>
      </c>
      <c r="I45" s="32" t="s">
        <v>129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131</v>
      </c>
      <c r="D47" s="29"/>
      <c r="E47" s="30"/>
      <c r="F47" s="30"/>
      <c r="G47" s="31"/>
      <c r="H47" s="32"/>
      <c r="I47" s="32"/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132</v>
      </c>
      <c r="D49" s="29"/>
      <c r="E49" s="30"/>
      <c r="F49" s="30"/>
      <c r="G49" s="31"/>
      <c r="H49" s="32" t="s">
        <v>129</v>
      </c>
      <c r="I49" s="32" t="s">
        <v>129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133</v>
      </c>
      <c r="D51" s="29"/>
      <c r="E51" s="30"/>
      <c r="F51" s="30"/>
      <c r="G51" s="31"/>
      <c r="H51" s="32" t="s">
        <v>129</v>
      </c>
      <c r="I51" s="32" t="s">
        <v>129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134</v>
      </c>
      <c r="D53" s="29"/>
      <c r="E53" s="30"/>
      <c r="F53" s="30"/>
      <c r="G53" s="31"/>
      <c r="H53" s="32" t="s">
        <v>129</v>
      </c>
      <c r="I53" s="32" t="s">
        <v>129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135</v>
      </c>
      <c r="D55" s="29"/>
      <c r="E55" s="30"/>
      <c r="F55" s="30"/>
      <c r="G55" s="31"/>
      <c r="H55" s="32" t="s">
        <v>129</v>
      </c>
      <c r="I55" s="32" t="s">
        <v>129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136</v>
      </c>
      <c r="D57" s="29"/>
      <c r="E57" s="30"/>
      <c r="F57" s="30"/>
      <c r="G57" s="31"/>
      <c r="H57" s="32" t="s">
        <v>129</v>
      </c>
      <c r="I57" s="32" t="s">
        <v>129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137</v>
      </c>
      <c r="D59" s="29"/>
      <c r="E59" s="30"/>
      <c r="F59" s="30"/>
      <c r="G59" s="31"/>
      <c r="H59" s="32"/>
      <c r="I59" s="32"/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138</v>
      </c>
      <c r="D61" s="29"/>
      <c r="E61" s="30"/>
      <c r="F61" s="30"/>
      <c r="G61" s="31"/>
      <c r="H61" s="32" t="s">
        <v>129</v>
      </c>
      <c r="I61" s="32" t="s">
        <v>129</v>
      </c>
      <c r="J61" s="33" t="s">
        <v>139</v>
      </c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140</v>
      </c>
      <c r="D63" s="29"/>
      <c r="E63" s="30"/>
      <c r="F63" s="30"/>
      <c r="G63" s="31"/>
      <c r="H63" s="32" t="s">
        <v>129</v>
      </c>
      <c r="I63" s="32" t="s">
        <v>129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141</v>
      </c>
      <c r="D65" s="29"/>
      <c r="E65" s="30"/>
      <c r="F65" s="30"/>
      <c r="G65" s="31"/>
      <c r="H65" s="32" t="s">
        <v>129</v>
      </c>
      <c r="I65" s="32" t="s">
        <v>129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142</v>
      </c>
      <c r="D67" s="29"/>
      <c r="E67" s="30"/>
      <c r="F67" s="30"/>
      <c r="G67" s="31"/>
      <c r="H67" s="32" t="s">
        <v>129</v>
      </c>
      <c r="I67" s="32" t="s">
        <v>129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143</v>
      </c>
      <c r="D69" s="29"/>
      <c r="E69" s="30"/>
      <c r="F69" s="30"/>
      <c r="G69" s="31"/>
      <c r="H69" s="32"/>
      <c r="I69" s="32"/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144</v>
      </c>
      <c r="D71" s="29"/>
      <c r="E71" s="30"/>
      <c r="F71" s="30"/>
      <c r="G71" s="31"/>
      <c r="H71" s="32" t="s">
        <v>129</v>
      </c>
      <c r="I71" s="32" t="s">
        <v>129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145</v>
      </c>
      <c r="D73" s="29"/>
      <c r="E73" s="30"/>
      <c r="F73" s="30"/>
      <c r="G73" s="31"/>
      <c r="H73" s="32" t="s">
        <v>129</v>
      </c>
      <c r="I73" s="32" t="s">
        <v>129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146</v>
      </c>
      <c r="D75" s="29"/>
      <c r="E75" s="30"/>
      <c r="F75" s="30"/>
      <c r="G75" s="31"/>
      <c r="H75" s="32" t="s">
        <v>129</v>
      </c>
      <c r="I75" s="32" t="s">
        <v>129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147</v>
      </c>
      <c r="D77" s="29"/>
      <c r="E77" s="30"/>
      <c r="F77" s="30"/>
      <c r="G77" s="31"/>
      <c r="H77" s="32" t="s">
        <v>129</v>
      </c>
      <c r="I77" s="32" t="s">
        <v>129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148</v>
      </c>
      <c r="D79" s="29"/>
      <c r="E79" s="30"/>
      <c r="F79" s="30"/>
      <c r="G79" s="31"/>
      <c r="H79" s="32" t="s">
        <v>129</v>
      </c>
      <c r="I79" s="32" t="s">
        <v>129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149</v>
      </c>
      <c r="D81" s="29"/>
      <c r="E81" s="30"/>
      <c r="F81" s="30"/>
      <c r="G81" s="31"/>
      <c r="H81" s="32" t="s">
        <v>129</v>
      </c>
      <c r="I81" s="32" t="s">
        <v>129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A83" s="26"/>
      <c r="B83" s="27"/>
      <c r="C83" s="28" t="s">
        <v>150</v>
      </c>
      <c r="D83" s="29"/>
      <c r="E83" s="30"/>
      <c r="F83" s="30"/>
      <c r="G83" s="31"/>
      <c r="H83" s="32"/>
      <c r="I83" s="32"/>
      <c r="J83" s="33"/>
    </row>
    <row r="84" spans="1:10" x14ac:dyDescent="0.25">
      <c r="B84" s="1"/>
      <c r="C84" s="20" t="s">
        <v>151</v>
      </c>
      <c r="D84" s="29"/>
      <c r="E84" s="30"/>
      <c r="F84" s="30"/>
      <c r="G84" s="31"/>
      <c r="H84" s="32">
        <v>303.70999999999998</v>
      </c>
      <c r="I84" s="32">
        <v>3.86</v>
      </c>
      <c r="J84" s="33"/>
    </row>
    <row r="85" spans="1:10" x14ac:dyDescent="0.25">
      <c r="C85" s="28" t="s">
        <v>127</v>
      </c>
      <c r="D85" s="29"/>
      <c r="E85" s="30"/>
      <c r="F85" s="30"/>
      <c r="G85" s="31"/>
      <c r="H85" s="35">
        <v>303.70999999999998</v>
      </c>
      <c r="I85" s="35">
        <v>3.86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ht="14.25" thickBot="1" x14ac:dyDescent="0.3">
      <c r="C87" s="36" t="s">
        <v>152</v>
      </c>
      <c r="D87" s="37"/>
      <c r="E87" s="38"/>
      <c r="F87" s="39"/>
      <c r="G87" s="40"/>
      <c r="H87" s="41">
        <v>7865.04</v>
      </c>
      <c r="I87" s="41">
        <f>SUMIFS(I:I,C:C,"Total")</f>
        <v>100</v>
      </c>
      <c r="J87" s="42"/>
    </row>
    <row r="90" spans="1:10" x14ac:dyDescent="0.25">
      <c r="C90" s="11" t="s">
        <v>153</v>
      </c>
    </row>
    <row r="91" spans="1:10" x14ac:dyDescent="0.25">
      <c r="C91" s="2" t="s">
        <v>154</v>
      </c>
    </row>
    <row r="92" spans="1:10" x14ac:dyDescent="0.25">
      <c r="C92" s="2" t="s">
        <v>155</v>
      </c>
    </row>
    <row r="93" spans="1:10" x14ac:dyDescent="0.25">
      <c r="C93" s="2" t="s">
        <v>156</v>
      </c>
    </row>
    <row r="94" spans="1:10" x14ac:dyDescent="0.25">
      <c r="C94" s="2" t="s">
        <v>157</v>
      </c>
    </row>
    <row r="95" spans="1:10" x14ac:dyDescent="0.25">
      <c r="C95" s="2" t="s">
        <v>158</v>
      </c>
    </row>
    <row r="96" spans="1:10" ht="14.25" thickBot="1" x14ac:dyDescent="0.3">
      <c r="C96" s="2" t="s">
        <v>159</v>
      </c>
    </row>
    <row r="97" spans="3:5" ht="14.25" thickBot="1" x14ac:dyDescent="0.3">
      <c r="C97" s="43"/>
      <c r="D97" s="52" t="s">
        <v>160</v>
      </c>
      <c r="E97" s="53"/>
    </row>
    <row r="98" spans="3:5" x14ac:dyDescent="0.25">
      <c r="C98" s="44" t="s">
        <v>161</v>
      </c>
      <c r="D98" s="45" t="s">
        <v>162</v>
      </c>
      <c r="E98" s="46" t="s">
        <v>162</v>
      </c>
    </row>
    <row r="99" spans="3:5" ht="14.25" thickBot="1" x14ac:dyDescent="0.3">
      <c r="C99" s="47"/>
      <c r="D99" s="48" t="s">
        <v>163</v>
      </c>
      <c r="E99" s="49" t="s">
        <v>164</v>
      </c>
    </row>
    <row r="100" spans="3:5" ht="14.25" thickBot="1" x14ac:dyDescent="0.3">
      <c r="C100" s="50" t="s">
        <v>165</v>
      </c>
      <c r="D100" s="51">
        <v>85.3</v>
      </c>
      <c r="E100" s="51">
        <v>88.26</v>
      </c>
    </row>
    <row r="101" spans="3:5" ht="14.25" thickBot="1" x14ac:dyDescent="0.3">
      <c r="C101" s="50" t="s">
        <v>166</v>
      </c>
      <c r="D101" s="51">
        <v>182.07</v>
      </c>
      <c r="E101" s="51">
        <v>188.41</v>
      </c>
    </row>
    <row r="102" spans="3:5" ht="14.25" thickBot="1" x14ac:dyDescent="0.3">
      <c r="C102" s="50" t="s">
        <v>167</v>
      </c>
      <c r="D102" s="51">
        <v>91.58</v>
      </c>
      <c r="E102" s="51">
        <v>94.82</v>
      </c>
    </row>
    <row r="103" spans="3:5" ht="14.25" thickBot="1" x14ac:dyDescent="0.3">
      <c r="C103" s="50" t="s">
        <v>168</v>
      </c>
      <c r="D103" s="51">
        <v>198.7</v>
      </c>
      <c r="E103" s="51">
        <v>205.73</v>
      </c>
    </row>
    <row r="105" spans="3:5" x14ac:dyDescent="0.25">
      <c r="C105" s="2" t="s">
        <v>169</v>
      </c>
    </row>
    <row r="106" spans="3:5" x14ac:dyDescent="0.25">
      <c r="C106" s="2" t="s">
        <v>170</v>
      </c>
    </row>
    <row r="107" spans="3:5" x14ac:dyDescent="0.25">
      <c r="C107" s="2" t="s">
        <v>171</v>
      </c>
    </row>
    <row r="108" spans="3:5" x14ac:dyDescent="0.25">
      <c r="C108" s="2" t="s">
        <v>172</v>
      </c>
    </row>
    <row r="109" spans="3:5" x14ac:dyDescent="0.25">
      <c r="C109" s="2" t="s">
        <v>173</v>
      </c>
    </row>
    <row r="110" spans="3:5" x14ac:dyDescent="0.25">
      <c r="C110" s="2" t="s">
        <v>174</v>
      </c>
    </row>
    <row r="111" spans="3:5" x14ac:dyDescent="0.25">
      <c r="C111" s="2" t="s">
        <v>175</v>
      </c>
    </row>
    <row r="112" spans="3:5" x14ac:dyDescent="0.25">
      <c r="C112" s="2" t="s">
        <v>176</v>
      </c>
    </row>
    <row r="113" spans="3:3" x14ac:dyDescent="0.25">
      <c r="C113" s="2" t="s">
        <v>177</v>
      </c>
    </row>
  </sheetData>
  <mergeCells count="1">
    <mergeCell ref="D97:E97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5987-9C28-48DA-AD40-83CDF88F8EB1}">
  <dimension ref="C3:M17"/>
  <sheetViews>
    <sheetView workbookViewId="0"/>
  </sheetViews>
  <sheetFormatPr defaultRowHeight="15" x14ac:dyDescent="0.25"/>
  <cols>
    <col min="3" max="3" width="45.28515625" customWidth="1"/>
    <col min="4" max="4" width="6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4" t="s">
        <v>178</v>
      </c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3:13" x14ac:dyDescent="0.25">
      <c r="C4" s="56" t="s">
        <v>179</v>
      </c>
      <c r="D4" s="57" t="s">
        <v>180</v>
      </c>
      <c r="E4" s="58"/>
      <c r="F4" s="57" t="s">
        <v>181</v>
      </c>
      <c r="G4" s="58"/>
      <c r="H4" s="57" t="s">
        <v>182</v>
      </c>
      <c r="I4" s="58"/>
      <c r="J4" s="57" t="s">
        <v>183</v>
      </c>
      <c r="K4" s="58"/>
      <c r="L4" s="59" t="s">
        <v>184</v>
      </c>
      <c r="M4" s="60"/>
    </row>
    <row r="5" spans="3:13" ht="63.75" x14ac:dyDescent="0.25">
      <c r="C5" s="61"/>
      <c r="D5" s="62" t="s">
        <v>185</v>
      </c>
      <c r="E5" s="62" t="s">
        <v>186</v>
      </c>
      <c r="F5" s="62" t="s">
        <v>185</v>
      </c>
      <c r="G5" s="62" t="s">
        <v>186</v>
      </c>
      <c r="H5" s="62" t="s">
        <v>185</v>
      </c>
      <c r="I5" s="62" t="s">
        <v>186</v>
      </c>
      <c r="J5" s="62" t="s">
        <v>185</v>
      </c>
      <c r="K5" s="62" t="s">
        <v>186</v>
      </c>
      <c r="L5" s="63" t="s">
        <v>185</v>
      </c>
      <c r="M5" s="63" t="s">
        <v>186</v>
      </c>
    </row>
    <row r="6" spans="3:13" x14ac:dyDescent="0.25">
      <c r="C6" s="64" t="s">
        <v>187</v>
      </c>
      <c r="D6" s="65">
        <v>3.7157</v>
      </c>
      <c r="E6" s="65">
        <v>10371.573268743807</v>
      </c>
      <c r="F6" s="65">
        <v>16.889900000000001</v>
      </c>
      <c r="G6" s="65">
        <v>15900.919908853068</v>
      </c>
      <c r="H6" s="65">
        <v>18.472999999999999</v>
      </c>
      <c r="I6" s="65">
        <v>23361.438313701176</v>
      </c>
      <c r="J6" s="65">
        <v>13.5495</v>
      </c>
      <c r="K6" s="65">
        <v>35670.200681560011</v>
      </c>
      <c r="L6" s="65">
        <v>11.994999999999999</v>
      </c>
      <c r="M6" s="65">
        <v>188410</v>
      </c>
    </row>
    <row r="7" spans="3:13" x14ac:dyDescent="0.25">
      <c r="C7" s="64" t="s">
        <v>188</v>
      </c>
      <c r="D7" s="65">
        <v>5.3249000000000004</v>
      </c>
      <c r="E7" s="65">
        <v>10532.490000000002</v>
      </c>
      <c r="F7" s="65">
        <v>16.191500000000001</v>
      </c>
      <c r="G7" s="65">
        <v>15686.392409657359</v>
      </c>
      <c r="H7" s="65">
        <v>21.032699999999998</v>
      </c>
      <c r="I7" s="65">
        <v>25972.491226288144</v>
      </c>
      <c r="J7" s="65">
        <v>14.702199999999999</v>
      </c>
      <c r="K7" s="65">
        <v>19854.490141687209</v>
      </c>
      <c r="L7" s="65" t="s">
        <v>189</v>
      </c>
      <c r="M7" s="65" t="s">
        <v>189</v>
      </c>
    </row>
    <row r="8" spans="3:13" x14ac:dyDescent="0.25">
      <c r="C8" s="64" t="s">
        <v>190</v>
      </c>
      <c r="D8" s="65">
        <v>7.5879000000000003</v>
      </c>
      <c r="E8" s="65">
        <v>10758.79</v>
      </c>
      <c r="F8" s="65">
        <v>13.8985</v>
      </c>
      <c r="G8" s="65">
        <v>14775.902403238213</v>
      </c>
      <c r="H8" s="65">
        <v>18.561499999999999</v>
      </c>
      <c r="I8" s="65">
        <v>23427.094320875454</v>
      </c>
      <c r="J8" s="65">
        <v>13.668900000000001</v>
      </c>
      <c r="K8" s="65">
        <v>18976.157934478382</v>
      </c>
      <c r="L8" s="65">
        <v>13.2</v>
      </c>
      <c r="M8" s="65">
        <v>392779.92578657786</v>
      </c>
    </row>
    <row r="9" spans="3:13" x14ac:dyDescent="0.25">
      <c r="C9" s="64" t="s">
        <v>191</v>
      </c>
      <c r="D9" s="66">
        <v>181.66</v>
      </c>
      <c r="E9" s="67"/>
      <c r="F9" s="66">
        <v>118.49</v>
      </c>
      <c r="G9" s="67"/>
      <c r="H9" s="66">
        <v>80.650000000000006</v>
      </c>
      <c r="I9" s="67"/>
      <c r="J9" s="66">
        <v>52.82</v>
      </c>
      <c r="K9" s="67"/>
      <c r="L9" s="66">
        <v>10</v>
      </c>
      <c r="M9" s="67"/>
    </row>
    <row r="11" spans="3:13" ht="15.75" x14ac:dyDescent="0.25">
      <c r="C11" s="54" t="s">
        <v>192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3:13" x14ac:dyDescent="0.25">
      <c r="C12" s="56" t="s">
        <v>179</v>
      </c>
      <c r="D12" s="57" t="s">
        <v>180</v>
      </c>
      <c r="E12" s="58"/>
      <c r="F12" s="57" t="s">
        <v>181</v>
      </c>
      <c r="G12" s="58"/>
      <c r="H12" s="57" t="s">
        <v>182</v>
      </c>
      <c r="I12" s="58"/>
      <c r="J12" s="57" t="s">
        <v>183</v>
      </c>
      <c r="K12" s="58"/>
      <c r="L12" s="59" t="s">
        <v>184</v>
      </c>
      <c r="M12" s="60"/>
    </row>
    <row r="13" spans="3:13" ht="63.75" x14ac:dyDescent="0.25">
      <c r="C13" s="61"/>
      <c r="D13" s="62" t="s">
        <v>185</v>
      </c>
      <c r="E13" s="62" t="s">
        <v>186</v>
      </c>
      <c r="F13" s="62" t="s">
        <v>185</v>
      </c>
      <c r="G13" s="62" t="s">
        <v>186</v>
      </c>
      <c r="H13" s="62" t="s">
        <v>185</v>
      </c>
      <c r="I13" s="62" t="s">
        <v>186</v>
      </c>
      <c r="J13" s="62" t="s">
        <v>185</v>
      </c>
      <c r="K13" s="62" t="s">
        <v>186</v>
      </c>
      <c r="L13" s="63" t="s">
        <v>185</v>
      </c>
      <c r="M13" s="63" t="s">
        <v>186</v>
      </c>
    </row>
    <row r="14" spans="3:13" x14ac:dyDescent="0.25">
      <c r="C14" s="64" t="s">
        <v>187</v>
      </c>
      <c r="D14" s="65">
        <v>4.3520000000000003</v>
      </c>
      <c r="E14" s="65">
        <v>10435.201623129597</v>
      </c>
      <c r="F14" s="65">
        <v>17.6401</v>
      </c>
      <c r="G14" s="65">
        <v>16208.146222327265</v>
      </c>
      <c r="H14" s="65">
        <v>19.241299999999999</v>
      </c>
      <c r="I14" s="65">
        <v>24129.720853858784</v>
      </c>
      <c r="J14" s="65">
        <v>14.3819</v>
      </c>
      <c r="K14" s="65">
        <v>38375.303115090464</v>
      </c>
      <c r="L14" s="65">
        <v>13.8238</v>
      </c>
      <c r="M14" s="65">
        <v>53173.946756267767</v>
      </c>
    </row>
    <row r="15" spans="3:13" x14ac:dyDescent="0.25">
      <c r="C15" s="64" t="s">
        <v>188</v>
      </c>
      <c r="D15" s="65">
        <v>5.3249000000000004</v>
      </c>
      <c r="E15" s="65">
        <v>10532.490000000002</v>
      </c>
      <c r="F15" s="65">
        <v>16.191500000000001</v>
      </c>
      <c r="G15" s="65">
        <v>15686.392409657359</v>
      </c>
      <c r="H15" s="65">
        <v>21.032699999999998</v>
      </c>
      <c r="I15" s="65">
        <v>25972.491226288144</v>
      </c>
      <c r="J15" s="65">
        <v>14.702199999999999</v>
      </c>
      <c r="K15" s="65">
        <v>19854.490141687209</v>
      </c>
      <c r="L15" s="65">
        <v>14.329000000000001</v>
      </c>
      <c r="M15" s="65">
        <v>55779.331665693964</v>
      </c>
    </row>
    <row r="16" spans="3:13" x14ac:dyDescent="0.25">
      <c r="C16" s="64" t="s">
        <v>190</v>
      </c>
      <c r="D16" s="65">
        <v>7.5879000000000003</v>
      </c>
      <c r="E16" s="65">
        <v>10758.79</v>
      </c>
      <c r="F16" s="65">
        <v>13.8985</v>
      </c>
      <c r="G16" s="65">
        <v>14775.902403238213</v>
      </c>
      <c r="H16" s="65">
        <v>18.561499999999999</v>
      </c>
      <c r="I16" s="65">
        <v>23427.094320875454</v>
      </c>
      <c r="J16" s="65">
        <v>13.668900000000001</v>
      </c>
      <c r="K16" s="65">
        <v>18976.157934478382</v>
      </c>
      <c r="L16" s="65">
        <v>13.3986</v>
      </c>
      <c r="M16" s="65">
        <v>50225.399535313605</v>
      </c>
    </row>
    <row r="17" spans="3:13" x14ac:dyDescent="0.25">
      <c r="C17" s="64" t="s">
        <v>193</v>
      </c>
      <c r="D17" s="66">
        <v>197.15</v>
      </c>
      <c r="E17" s="67"/>
      <c r="F17" s="66">
        <v>126.93</v>
      </c>
      <c r="G17" s="67"/>
      <c r="H17" s="66">
        <v>85.26</v>
      </c>
      <c r="I17" s="67"/>
      <c r="J17" s="66">
        <v>53.61</v>
      </c>
      <c r="K17" s="67"/>
      <c r="L17" s="66">
        <v>38.69</v>
      </c>
      <c r="M17" s="67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2025-11-07T02:40:14Z</dcterms:created>
  <dcterms:modified xsi:type="dcterms:W3CDTF">2025-11-07T13:52:44Z</dcterms:modified>
</cp:coreProperties>
</file>