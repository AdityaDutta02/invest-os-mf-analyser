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2. March 2026\Monthly Portfolio\Ops\"/>
    </mc:Choice>
  </mc:AlternateContent>
  <xr:revisionPtr revIDLastSave="0" documentId="13_ncr:1_{49126450-A270-4296-8B6E-E5813229DEC9}" xr6:coauthVersionLast="47" xr6:coauthVersionMax="47" xr10:uidLastSave="{00000000-0000-0000-0000-000000000000}"/>
  <bookViews>
    <workbookView xWindow="-120" yWindow="-120" windowWidth="20730" windowHeight="11040" activeTab="1" xr2:uid="{7FA4B3DF-AC9E-4DF7-9F18-01922C7F1DB7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TDF!$C$8:$C$47</definedName>
    <definedName name="XDO_?FINAL_ISIN?3?">TDF!$D$10:$D$47</definedName>
    <definedName name="XDO_?FINAL_ISIN?4?">TDF!$D$10:$D$78</definedName>
    <definedName name="XDO_?FINAL_ISIN?5?">TDF!$D$10:$D$94</definedName>
    <definedName name="XDO_?FINAL_MV?3?">TDF!$H$10:$H$47</definedName>
    <definedName name="XDO_?FINAL_MV?4?">TDF!$H$10:$H$78</definedName>
    <definedName name="XDO_?FINAL_MV?5?">TDF!$H$10:$H$94</definedName>
    <definedName name="XDO_?FINAL_NAME?3?">TDF!$C$10:$C$47</definedName>
    <definedName name="XDO_?FINAL_NAME?4?">TDF!$C$10:$C$78</definedName>
    <definedName name="XDO_?FINAL_NAME?5?">TDF!$C$10:$C$94</definedName>
    <definedName name="XDO_?FINAL_PER_NET?3?">TDF!$I$10:$I$47</definedName>
    <definedName name="XDO_?FINAL_PER_NET?4?">TDF!$I$10:$I$78</definedName>
    <definedName name="XDO_?FINAL_PER_NET?5?">TDF!$I$10:$I$94</definedName>
    <definedName name="XDO_?FINAL_QUANTITE?3?">TDF!$G$10:$G$47</definedName>
    <definedName name="XDO_?FINAL_QUANTITE?4?">TDF!$G$10:$G$78</definedName>
    <definedName name="XDO_?FINAL_QUANTITE?5?">TDF!$G$10:$G$94</definedName>
    <definedName name="XDO_?IND_01?3?">TDF!$F$10:$F$47</definedName>
    <definedName name="XDO_?IND_01?4?">TDF!$F$10:$F$78</definedName>
    <definedName name="XDO_?IND_01?5?">TDF!$F$10:$F$94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TDF!$C$2:$C$47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TDF!$B$10:$B$47</definedName>
    <definedName name="XDO_?NOVAL?4?">TDF!$B$10:$B$78</definedName>
    <definedName name="XDO_?NOVAL?5?">TDF!$B$10:$B$94</definedName>
    <definedName name="XDO_?NPTF?2?">TDF!$D$2:$D$47</definedName>
    <definedName name="XDO_?RATING?3?">TDF!$E$10:$E$47</definedName>
    <definedName name="XDO_?RATING?4?">TDF!$E$10:$E$78</definedName>
    <definedName name="XDO_?RATING?5?">TDF!$E$10:$E$94</definedName>
    <definedName name="XDO_?REMARKS?3?">TDF!$J$10:$J$47</definedName>
    <definedName name="XDO_?REMARKS?4?">TDF!$J$10:$J$78</definedName>
    <definedName name="XDO_?REMARKS?5?">TDF!$J$10:$J$94</definedName>
    <definedName name="XDO_?TITL?2?">TDF!$A$8:$A$47</definedName>
    <definedName name="XDO_GROUP_?G_2?2?">TDF!$2:$97</definedName>
    <definedName name="XDO_GROUP_?G_3?2?">TDF!$8:$96</definedName>
    <definedName name="XDO_GROUP_?G_4?3?">TDF!$B$10:$IV$47</definedName>
    <definedName name="XDO_GROUP_?G_4?4?">TDF!$B$78:$IV$78</definedName>
    <definedName name="XDO_GROUP_?G_4?5?">TDF!$B$94:$IV$94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1" l="1"/>
</calcChain>
</file>

<file path=xl/sharedStrings.xml><?xml version="1.0" encoding="utf-8"?>
<sst xmlns="http://schemas.openxmlformats.org/spreadsheetml/2006/main" count="300" uniqueCount="224">
  <si>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</si>
  <si>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</si>
  <si>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</si>
  <si>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</si>
  <si>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</si>
  <si>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</si>
  <si>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</si>
  <si>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</si>
  <si>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</si>
  <si>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</si>
  <si>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</si>
  <si>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</si>
  <si>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</si>
  <si>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</si>
  <si>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</si>
  <si>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101574</t>
  </si>
  <si>
    <t>Linde India Ltd.</t>
  </si>
  <si>
    <t>INE473A01011</t>
  </si>
  <si>
    <t>Chemicals &amp; Petrochemicals</t>
  </si>
  <si>
    <t>100361</t>
  </si>
  <si>
    <t>Bank of India</t>
  </si>
  <si>
    <t>INE084A01016</t>
  </si>
  <si>
    <t>Banks</t>
  </si>
  <si>
    <t>100164</t>
  </si>
  <si>
    <t>Petronet LNG Ltd.</t>
  </si>
  <si>
    <t>INE347G01014</t>
  </si>
  <si>
    <t>Gas</t>
  </si>
  <si>
    <t>100055</t>
  </si>
  <si>
    <t>The Federal Bank Ltd.</t>
  </si>
  <si>
    <t>INE171A01029</t>
  </si>
  <si>
    <t>102663</t>
  </si>
  <si>
    <t>Pace Digitek Ltd.</t>
  </si>
  <si>
    <t>INE0S3G01027</t>
  </si>
  <si>
    <t>Telecom - Services</t>
  </si>
  <si>
    <t>100201</t>
  </si>
  <si>
    <t>Aurobindo Pharma Ltd.</t>
  </si>
  <si>
    <t>INE406A01037</t>
  </si>
  <si>
    <t>Pharmaceuticals &amp; Biotechnology</t>
  </si>
  <si>
    <t>100195</t>
  </si>
  <si>
    <t>REC Ltd.</t>
  </si>
  <si>
    <t>INE020B01018</t>
  </si>
  <si>
    <t>Finance</t>
  </si>
  <si>
    <t>100416</t>
  </si>
  <si>
    <t>GMR Airports Ltd.</t>
  </si>
  <si>
    <t>INE776C01039</t>
  </si>
  <si>
    <t>Transport Infrastructure</t>
  </si>
  <si>
    <t>100096</t>
  </si>
  <si>
    <t>Container Corporation of India Ltd.</t>
  </si>
  <si>
    <t>INE111A01025</t>
  </si>
  <si>
    <t>Transport Services</t>
  </si>
  <si>
    <t>100270</t>
  </si>
  <si>
    <t>PI Industries Ltd.</t>
  </si>
  <si>
    <t>INE603J01030</t>
  </si>
  <si>
    <t>Fertilizers &amp; Agrochemicals</t>
  </si>
  <si>
    <t>100060</t>
  </si>
  <si>
    <t>Deepak Nitrite Ltd.</t>
  </si>
  <si>
    <t>INE288B01029</t>
  </si>
  <si>
    <t>102642</t>
  </si>
  <si>
    <t>Regaal Resources Ltd.</t>
  </si>
  <si>
    <t>INE0MHO01029</t>
  </si>
  <si>
    <t>Agricultural Food &amp; other Products</t>
  </si>
  <si>
    <t>100174</t>
  </si>
  <si>
    <t>Vodafone Idea Ltd.</t>
  </si>
  <si>
    <t>INE669E01016</t>
  </si>
  <si>
    <t>100026</t>
  </si>
  <si>
    <t>Persistent Systems Ltd.</t>
  </si>
  <si>
    <t>INE262H01021</t>
  </si>
  <si>
    <t>IT - Software</t>
  </si>
  <si>
    <t>100100</t>
  </si>
  <si>
    <t>Hindustan Petroleum Corporation Ltd.</t>
  </si>
  <si>
    <t>INE094A01015</t>
  </si>
  <si>
    <t>Petroleum Products</t>
  </si>
  <si>
    <t>100694</t>
  </si>
  <si>
    <t>Indian Energy Exchange Ltd.</t>
  </si>
  <si>
    <t>INE022Q01020</t>
  </si>
  <si>
    <t>Capital Markets</t>
  </si>
  <si>
    <t>100234</t>
  </si>
  <si>
    <t>Coforge Ltd.</t>
  </si>
  <si>
    <t>INE591G01025</t>
  </si>
  <si>
    <t>100217</t>
  </si>
  <si>
    <t>Torrent Power Ltd.</t>
  </si>
  <si>
    <t>INE813H01021</t>
  </si>
  <si>
    <t>Power</t>
  </si>
  <si>
    <t>102449</t>
  </si>
  <si>
    <t>Swiggy Ltd.</t>
  </si>
  <si>
    <t>INE00H001014</t>
  </si>
  <si>
    <t>Retailing</t>
  </si>
  <si>
    <t>100134</t>
  </si>
  <si>
    <t>Inox Wind Ltd.</t>
  </si>
  <si>
    <t>INE066P01011</t>
  </si>
  <si>
    <t>Electrical Equipment</t>
  </si>
  <si>
    <t>100677</t>
  </si>
  <si>
    <t>Dixon Technologies (India) Ltd.</t>
  </si>
  <si>
    <t>INE935N01020</t>
  </si>
  <si>
    <t>Consumer Durables</t>
  </si>
  <si>
    <t>100367</t>
  </si>
  <si>
    <t>Exide Industries Ltd.</t>
  </si>
  <si>
    <t>INE302A01020</t>
  </si>
  <si>
    <t>Auto Components</t>
  </si>
  <si>
    <t>100088</t>
  </si>
  <si>
    <t>Bharat Heavy Electricals Ltd.</t>
  </si>
  <si>
    <t>INE257A01026</t>
  </si>
  <si>
    <t>100042</t>
  </si>
  <si>
    <t>LIC Housing Finance Ltd.</t>
  </si>
  <si>
    <t>INE115A01026</t>
  </si>
  <si>
    <t>100306</t>
  </si>
  <si>
    <t>Abbott India Ltd.</t>
  </si>
  <si>
    <t>INE358A01014</t>
  </si>
  <si>
    <t>101949</t>
  </si>
  <si>
    <t>Samhi Hotels Ltd.</t>
  </si>
  <si>
    <t>INE08U801020</t>
  </si>
  <si>
    <t>Leisure Services</t>
  </si>
  <si>
    <t>100461</t>
  </si>
  <si>
    <t>Astral Ltd.</t>
  </si>
  <si>
    <t>INE006I01046</t>
  </si>
  <si>
    <t>Industrial Products</t>
  </si>
  <si>
    <t>100154</t>
  </si>
  <si>
    <t>Colgate Palmolive (India) Ltd.</t>
  </si>
  <si>
    <t>INE259A01022</t>
  </si>
  <si>
    <t>Personal Products</t>
  </si>
  <si>
    <t>100565</t>
  </si>
  <si>
    <t>Glaxosmithkline Pharmaceuticals Ltd.</t>
  </si>
  <si>
    <t>INE159A01016</t>
  </si>
  <si>
    <t>100814</t>
  </si>
  <si>
    <t>HDFC Asset Management Co. Ltd.</t>
  </si>
  <si>
    <t>INE127D01025</t>
  </si>
  <si>
    <t>100271</t>
  </si>
  <si>
    <t>Balkrishna Industries Ltd.</t>
  </si>
  <si>
    <t>INE787D01026</t>
  </si>
  <si>
    <t>101674</t>
  </si>
  <si>
    <t>Bharat Dynamics Ltd.</t>
  </si>
  <si>
    <t>INE171Z01026</t>
  </si>
  <si>
    <t>Aerospace &amp; Defense</t>
  </si>
  <si>
    <t>100170</t>
  </si>
  <si>
    <t>Titagarh Rail Systems Ltd.</t>
  </si>
  <si>
    <t>INE615H01020</t>
  </si>
  <si>
    <t>Industrial Manufacturing</t>
  </si>
  <si>
    <t>100138</t>
  </si>
  <si>
    <t>PVR Inox Ltd.</t>
  </si>
  <si>
    <t>INE191H01014</t>
  </si>
  <si>
    <t>Entertainment</t>
  </si>
  <si>
    <t>101152</t>
  </si>
  <si>
    <t>Sumitomo Chemical India Ltd.</t>
  </si>
  <si>
    <t>INE258G01013</t>
  </si>
  <si>
    <t>102729</t>
  </si>
  <si>
    <t>Park Medi World Ltd.</t>
  </si>
  <si>
    <t>INE119201023</t>
  </si>
  <si>
    <t>Healthcare Services</t>
  </si>
  <si>
    <t>100019</t>
  </si>
  <si>
    <t>ITC Ltd.</t>
  </si>
  <si>
    <t>INE154A01025</t>
  </si>
  <si>
    <t>Diversified FMCG</t>
  </si>
  <si>
    <t>102206</t>
  </si>
  <si>
    <t>Chemtech Industrial Valves Ltd.</t>
  </si>
  <si>
    <t>INE212P01011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</si>
  <si>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</si>
  <si>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</si>
  <si>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</si>
  <si>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</si>
  <si>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</si>
  <si>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</si>
  <si>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</si>
  <si>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</si>
  <si>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</si>
  <si>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</si>
  <si>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</si>
  <si>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</si>
  <si>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</si>
  <si>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</si>
  <si>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</si>
  <si>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</si>
  <si>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e) TREPS / Reverse Repo Investments</t>
  </si>
  <si>
    <t>203260100</t>
  </si>
  <si>
    <t>TREPS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</si>
  <si>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</si>
  <si>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</si>
  <si>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</si>
  <si>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</si>
  <si>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</si>
  <si>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</si>
  <si>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</si>
  <si>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</si>
  <si>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</si>
  <si>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</si>
  <si>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</si>
  <si>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</si>
  <si>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</si>
  <si>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</si>
  <si>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</si>
  <si>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</si>
  <si>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</si>
  <si>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</si>
  <si>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</si>
  <si>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31, 2026</t>
  </si>
  <si>
    <t>February 28,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</si>
  <si>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</si>
  <si>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</si>
  <si>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</si>
  <si>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</si>
  <si>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February 28, 2026.</t>
  </si>
  <si>
    <t>7. The Scheme did not declare any bonus during the month ended as on February 28, 2026.</t>
  </si>
  <si>
    <t>8. Total outstanding exposure in derivative instruments as on February 28, 2026 is Nil</t>
  </si>
  <si>
    <t>9. Total investments in Foreign Securities /ADRs/GDRs /Overseas ETFs as on February 28, 2026 and its percentage to NAV is Nil.</t>
  </si>
  <si>
    <t>10. During the period, the portfolio turnover ratio is 0.81 times.</t>
  </si>
  <si>
    <t>      Portfolio Turnover Ratio = Lower of sales or purchase of securities divided by average AUM for 12 months ended as on February 28, 2026</t>
  </si>
  <si>
    <t>11. The Scheme did not invest in repo transactions of corporate debt securities during the month ended as on February 28, 2026.</t>
  </si>
  <si>
    <t>12. The Scheme did not invest in credit default swaps during the month ended as on February 28, 2026.</t>
  </si>
  <si>
    <t>13. There are Nil instances of deviation from the valuation principles/guidelines during the month ended as on February 28th, 2026.</t>
  </si>
  <si>
    <t>Taurus Midcap Fund - Direct 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</si>
  <si>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</si>
  <si>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</si>
  <si>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</si>
  <si>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</si>
  <si>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</si>
  <si>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</si>
  <si>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</si>
  <si>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</si>
  <si>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</si>
  <si>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</si>
  <si>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</si>
  <si>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</si>
  <si>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February 27,2026 :115.79)</t>
  </si>
  <si>
    <t>Taurus Midcap Fund - Regular Plan Growth Option</t>
  </si>
  <si>
    <t>NAV [Rs.] Per Unit (as on February 27,2026 :122.58)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</si>
</sst>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Times New Roman"/>
      <family val="1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BB7EC3D3-92DD-4AD0-A29D-F75EBD5ACD13}"/>
    <cellStyle name="Hyperlink" xfId="2" builtinId="8"/>
    <cellStyle name="Normal" xfId="0" builtinId="0"/>
    <cellStyle name="Normal 2" xfId="4" xr:uid="{453ABA00-EFB2-4532-BFB6-FF8A516B32E6}"/>
    <cellStyle name="Style 1" xfId="3" xr:uid="{3AB9F1C9-E5F2-4FB2-ACF9-40375238B9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279569</xdr:colOff>
      <xdr:row>0</xdr:row>
      <xdr:rowOff>2011680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DBCE41-DF8A-4484-A132-BCC2E7205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Feb_2026\Final\TMF_Monthly_Portfolio_Report_Feb_26.xlsx" TargetMode="External"/><Relationship Id="rId1" Type="http://schemas.openxmlformats.org/officeDocument/2006/relationships/externalLinkPath" Target="file:///Q:\5.TMF\Reporting\Monthly%20Reports\Monthly%20Portfolio\2025-26\Feb_2026\Final\TMF_Monthly_Portfolio_Report_Feb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06E8-C8C7-4F4A-B2EC-7C9CD98577D4}">
  <dimension ref="A1:BB123"/>
  <sheetViews>
    <sheetView showGridLines="0" zoomScale="90" zoomScaleNormal="90" workbookViewId="0">
      <selection activeCell="C1" sqref="C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68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46081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10130</v>
      </c>
      <c r="H10" s="32">
        <v>681.15</v>
      </c>
      <c r="I10" s="32">
        <v>5.53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321241</v>
      </c>
      <c r="H11" s="32">
        <v>566.03</v>
      </c>
      <c r="I11" s="32">
        <v>4.5999999999999996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175000</v>
      </c>
      <c r="H12" s="32">
        <v>565.86</v>
      </c>
      <c r="I12" s="32">
        <v>4.5999999999999996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183012</v>
      </c>
      <c r="H13" s="32">
        <v>548.94000000000005</v>
      </c>
      <c r="I13" s="32">
        <v>4.46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299040</v>
      </c>
      <c r="H14" s="32">
        <v>512.41</v>
      </c>
      <c r="I14" s="32">
        <v>4.16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41000</v>
      </c>
      <c r="H15" s="32">
        <v>500.84</v>
      </c>
      <c r="I15" s="32">
        <v>4.07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140000</v>
      </c>
      <c r="H16" s="32">
        <v>490.14</v>
      </c>
      <c r="I16" s="32">
        <v>3.98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450000</v>
      </c>
      <c r="H17" s="32">
        <v>452.93</v>
      </c>
      <c r="I17" s="32">
        <v>3.68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87500</v>
      </c>
      <c r="H18" s="32">
        <v>433.69</v>
      </c>
      <c r="I18" s="32">
        <v>3.52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13500</v>
      </c>
      <c r="H19" s="32">
        <v>419.68</v>
      </c>
      <c r="I19" s="32">
        <v>3.41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18</v>
      </c>
      <c r="G20" s="31">
        <v>26000</v>
      </c>
      <c r="H20" s="32">
        <v>411.05</v>
      </c>
      <c r="I20" s="32">
        <v>3.34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539280</v>
      </c>
      <c r="H21" s="32">
        <v>393.4</v>
      </c>
      <c r="I21" s="32">
        <v>3.2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33</v>
      </c>
      <c r="G22" s="31">
        <v>3621441</v>
      </c>
      <c r="H22" s="32">
        <v>384.23</v>
      </c>
      <c r="I22" s="32">
        <v>3.12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7812</v>
      </c>
      <c r="H23" s="32">
        <v>369.85</v>
      </c>
      <c r="I23" s="32">
        <v>3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76997</v>
      </c>
      <c r="H24" s="32">
        <v>338.09</v>
      </c>
      <c r="I24" s="32">
        <v>2.75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260000</v>
      </c>
      <c r="H25" s="32">
        <v>325.39</v>
      </c>
      <c r="I25" s="32">
        <v>2.64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67</v>
      </c>
      <c r="G26" s="31">
        <v>26550</v>
      </c>
      <c r="H26" s="32">
        <v>314.98</v>
      </c>
      <c r="I26" s="32">
        <v>2.56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19500</v>
      </c>
      <c r="H27" s="32">
        <v>305.33</v>
      </c>
      <c r="I27" s="32">
        <v>2.48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100000</v>
      </c>
      <c r="H28" s="32">
        <v>302.10000000000002</v>
      </c>
      <c r="I28" s="32">
        <v>2.4500000000000002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311398</v>
      </c>
      <c r="H29" s="32">
        <v>286.95</v>
      </c>
      <c r="I29" s="32">
        <v>2.33</v>
      </c>
      <c r="J29" s="33"/>
    </row>
    <row r="30" spans="2:10" x14ac:dyDescent="0.25">
      <c r="B30" s="1" t="s">
        <v>91</v>
      </c>
      <c r="C30" s="20" t="s">
        <v>92</v>
      </c>
      <c r="D30" s="29" t="s">
        <v>93</v>
      </c>
      <c r="E30" s="30"/>
      <c r="F30" s="30" t="s">
        <v>94</v>
      </c>
      <c r="G30" s="31">
        <v>2700</v>
      </c>
      <c r="H30" s="32">
        <v>284.54000000000002</v>
      </c>
      <c r="I30" s="32">
        <v>2.31</v>
      </c>
      <c r="J30" s="33"/>
    </row>
    <row r="31" spans="2:10" x14ac:dyDescent="0.25">
      <c r="B31" s="1" t="s">
        <v>95</v>
      </c>
      <c r="C31" s="20" t="s">
        <v>96</v>
      </c>
      <c r="D31" s="29" t="s">
        <v>97</v>
      </c>
      <c r="E31" s="30"/>
      <c r="F31" s="30" t="s">
        <v>98</v>
      </c>
      <c r="G31" s="31">
        <v>83104</v>
      </c>
      <c r="H31" s="32">
        <v>278.32</v>
      </c>
      <c r="I31" s="32">
        <v>2.2599999999999998</v>
      </c>
      <c r="J31" s="33"/>
    </row>
    <row r="32" spans="2:10" x14ac:dyDescent="0.25">
      <c r="B32" s="1" t="s">
        <v>99</v>
      </c>
      <c r="C32" s="20" t="s">
        <v>100</v>
      </c>
      <c r="D32" s="29" t="s">
        <v>101</v>
      </c>
      <c r="E32" s="30"/>
      <c r="F32" s="30" t="s">
        <v>90</v>
      </c>
      <c r="G32" s="31">
        <v>100622</v>
      </c>
      <c r="H32" s="32">
        <v>266.5</v>
      </c>
      <c r="I32" s="32">
        <v>2.17</v>
      </c>
      <c r="J32" s="33"/>
    </row>
    <row r="33" spans="2:10" x14ac:dyDescent="0.25">
      <c r="B33" s="1" t="s">
        <v>102</v>
      </c>
      <c r="C33" s="20" t="s">
        <v>103</v>
      </c>
      <c r="D33" s="29" t="s">
        <v>104</v>
      </c>
      <c r="E33" s="30"/>
      <c r="F33" s="30" t="s">
        <v>41</v>
      </c>
      <c r="G33" s="31">
        <v>48000</v>
      </c>
      <c r="H33" s="32">
        <v>258.02</v>
      </c>
      <c r="I33" s="32">
        <v>2.1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37</v>
      </c>
      <c r="G34" s="31">
        <v>947</v>
      </c>
      <c r="H34" s="32">
        <v>250.91</v>
      </c>
      <c r="I34" s="32">
        <v>2.04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135000</v>
      </c>
      <c r="H35" s="32">
        <v>219.38</v>
      </c>
      <c r="I35" s="32">
        <v>1.78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115</v>
      </c>
      <c r="G36" s="31">
        <v>12958</v>
      </c>
      <c r="H36" s="32">
        <v>216.04</v>
      </c>
      <c r="I36" s="32">
        <v>1.76</v>
      </c>
      <c r="J36" s="33"/>
    </row>
    <row r="37" spans="2:10" x14ac:dyDescent="0.25">
      <c r="B37" s="1" t="s">
        <v>116</v>
      </c>
      <c r="C37" s="20" t="s">
        <v>117</v>
      </c>
      <c r="D37" s="29" t="s">
        <v>118</v>
      </c>
      <c r="E37" s="30"/>
      <c r="F37" s="30" t="s">
        <v>119</v>
      </c>
      <c r="G37" s="31">
        <v>9250</v>
      </c>
      <c r="H37" s="32">
        <v>208.46</v>
      </c>
      <c r="I37" s="32">
        <v>1.69</v>
      </c>
      <c r="J37" s="33"/>
    </row>
    <row r="38" spans="2:10" x14ac:dyDescent="0.25">
      <c r="B38" s="1" t="s">
        <v>120</v>
      </c>
      <c r="C38" s="20" t="s">
        <v>121</v>
      </c>
      <c r="D38" s="29" t="s">
        <v>122</v>
      </c>
      <c r="E38" s="30"/>
      <c r="F38" s="30" t="s">
        <v>37</v>
      </c>
      <c r="G38" s="31">
        <v>7623</v>
      </c>
      <c r="H38" s="32">
        <v>195.91</v>
      </c>
      <c r="I38" s="32">
        <v>1.59</v>
      </c>
      <c r="J38" s="33"/>
    </row>
    <row r="39" spans="2:10" x14ac:dyDescent="0.25">
      <c r="B39" s="1" t="s">
        <v>123</v>
      </c>
      <c r="C39" s="20" t="s">
        <v>124</v>
      </c>
      <c r="D39" s="29" t="s">
        <v>125</v>
      </c>
      <c r="E39" s="30"/>
      <c r="F39" s="30" t="s">
        <v>75</v>
      </c>
      <c r="G39" s="31">
        <v>6936</v>
      </c>
      <c r="H39" s="32">
        <v>187.6</v>
      </c>
      <c r="I39" s="32">
        <v>1.52</v>
      </c>
      <c r="J39" s="33"/>
    </row>
    <row r="40" spans="2:10" x14ac:dyDescent="0.25">
      <c r="B40" s="1" t="s">
        <v>126</v>
      </c>
      <c r="C40" s="20" t="s">
        <v>127</v>
      </c>
      <c r="D40" s="29" t="s">
        <v>128</v>
      </c>
      <c r="E40" s="30"/>
      <c r="F40" s="30" t="s">
        <v>98</v>
      </c>
      <c r="G40" s="31">
        <v>7579</v>
      </c>
      <c r="H40" s="32">
        <v>181.24</v>
      </c>
      <c r="I40" s="32">
        <v>1.47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12000</v>
      </c>
      <c r="H41" s="32">
        <v>151.84</v>
      </c>
      <c r="I41" s="32">
        <v>1.23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136</v>
      </c>
      <c r="G42" s="31">
        <v>16400</v>
      </c>
      <c r="H42" s="32">
        <v>114.99</v>
      </c>
      <c r="I42" s="32">
        <v>0.93</v>
      </c>
      <c r="J42" s="33"/>
    </row>
    <row r="43" spans="2:10" x14ac:dyDescent="0.25">
      <c r="B43" s="1" t="s">
        <v>137</v>
      </c>
      <c r="C43" s="20" t="s">
        <v>138</v>
      </c>
      <c r="D43" s="29" t="s">
        <v>139</v>
      </c>
      <c r="E43" s="30"/>
      <c r="F43" s="30" t="s">
        <v>140</v>
      </c>
      <c r="G43" s="31">
        <v>11000</v>
      </c>
      <c r="H43" s="32">
        <v>112.44</v>
      </c>
      <c r="I43" s="32">
        <v>0.91</v>
      </c>
      <c r="J43" s="33"/>
    </row>
    <row r="44" spans="2:10" x14ac:dyDescent="0.25">
      <c r="B44" s="1" t="s">
        <v>141</v>
      </c>
      <c r="C44" s="20" t="s">
        <v>142</v>
      </c>
      <c r="D44" s="29" t="s">
        <v>143</v>
      </c>
      <c r="E44" s="30"/>
      <c r="F44" s="30" t="s">
        <v>53</v>
      </c>
      <c r="G44" s="31">
        <v>20000</v>
      </c>
      <c r="H44" s="32">
        <v>80.3</v>
      </c>
      <c r="I44" s="32">
        <v>0.65</v>
      </c>
      <c r="J44" s="33"/>
    </row>
    <row r="45" spans="2:10" x14ac:dyDescent="0.25">
      <c r="B45" s="1" t="s">
        <v>144</v>
      </c>
      <c r="C45" s="20" t="s">
        <v>145</v>
      </c>
      <c r="D45" s="29" t="s">
        <v>146</v>
      </c>
      <c r="E45" s="30"/>
      <c r="F45" s="30" t="s">
        <v>147</v>
      </c>
      <c r="G45" s="31">
        <v>32620</v>
      </c>
      <c r="H45" s="32">
        <v>62.97</v>
      </c>
      <c r="I45" s="32">
        <v>0.51</v>
      </c>
      <c r="J45" s="33"/>
    </row>
    <row r="46" spans="2:10" x14ac:dyDescent="0.25">
      <c r="B46" s="1" t="s">
        <v>148</v>
      </c>
      <c r="C46" s="20" t="s">
        <v>149</v>
      </c>
      <c r="D46" s="29" t="s">
        <v>150</v>
      </c>
      <c r="E46" s="30"/>
      <c r="F46" s="30" t="s">
        <v>151</v>
      </c>
      <c r="G46" s="31">
        <v>15000</v>
      </c>
      <c r="H46" s="32">
        <v>47.04</v>
      </c>
      <c r="I46" s="32">
        <v>0.38</v>
      </c>
      <c r="J46" s="33"/>
    </row>
    <row r="47" spans="2:10" x14ac:dyDescent="0.25">
      <c r="B47" s="1" t="s">
        <v>152</v>
      </c>
      <c r="C47" s="20" t="s">
        <v>153</v>
      </c>
      <c r="D47" s="29" t="s">
        <v>154</v>
      </c>
      <c r="E47" s="30"/>
      <c r="F47" s="30" t="s">
        <v>136</v>
      </c>
      <c r="G47" s="31">
        <v>62060</v>
      </c>
      <c r="H47" s="32">
        <v>40.08</v>
      </c>
      <c r="I47" s="32">
        <v>0.33</v>
      </c>
      <c r="J47" s="33"/>
    </row>
    <row r="48" spans="2:10" x14ac:dyDescent="0.25">
      <c r="C48" s="28" t="s">
        <v>155</v>
      </c>
      <c r="D48" s="29"/>
      <c r="E48" s="30"/>
      <c r="F48" s="30"/>
      <c r="G48" s="31"/>
      <c r="H48" s="35">
        <v>11759.62</v>
      </c>
      <c r="I48" s="35">
        <v>95.51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156</v>
      </c>
      <c r="D50" s="29"/>
      <c r="E50" s="30"/>
      <c r="F50" s="30"/>
      <c r="G50" s="31"/>
      <c r="H50" s="32" t="s">
        <v>157</v>
      </c>
      <c r="I50" s="32" t="s">
        <v>157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158</v>
      </c>
      <c r="D52" s="29"/>
      <c r="E52" s="30"/>
      <c r="F52" s="30"/>
      <c r="G52" s="31"/>
      <c r="H52" s="32" t="s">
        <v>157</v>
      </c>
      <c r="I52" s="32" t="s">
        <v>157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159</v>
      </c>
      <c r="D54" s="29"/>
      <c r="E54" s="30"/>
      <c r="F54" s="30"/>
      <c r="G54" s="31"/>
      <c r="H54" s="32"/>
      <c r="I54" s="32"/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160</v>
      </c>
      <c r="D56" s="29"/>
      <c r="E56" s="30"/>
      <c r="F56" s="30"/>
      <c r="G56" s="31"/>
      <c r="H56" s="32" t="s">
        <v>157</v>
      </c>
      <c r="I56" s="32" t="s">
        <v>157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161</v>
      </c>
      <c r="D58" s="29"/>
      <c r="E58" s="30"/>
      <c r="F58" s="30"/>
      <c r="G58" s="31"/>
      <c r="H58" s="32" t="s">
        <v>157</v>
      </c>
      <c r="I58" s="32" t="s">
        <v>157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162</v>
      </c>
      <c r="D60" s="29"/>
      <c r="E60" s="30"/>
      <c r="F60" s="30"/>
      <c r="G60" s="31"/>
      <c r="H60" s="32" t="s">
        <v>157</v>
      </c>
      <c r="I60" s="32" t="s">
        <v>157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163</v>
      </c>
      <c r="D62" s="29"/>
      <c r="E62" s="30"/>
      <c r="F62" s="30"/>
      <c r="G62" s="31"/>
      <c r="H62" s="32" t="s">
        <v>157</v>
      </c>
      <c r="I62" s="32" t="s">
        <v>157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164</v>
      </c>
      <c r="D64" s="29"/>
      <c r="E64" s="30"/>
      <c r="F64" s="30"/>
      <c r="G64" s="31"/>
      <c r="H64" s="32" t="s">
        <v>157</v>
      </c>
      <c r="I64" s="32" t="s">
        <v>157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165</v>
      </c>
      <c r="D66" s="29"/>
      <c r="E66" s="30"/>
      <c r="F66" s="30"/>
      <c r="G66" s="31"/>
      <c r="H66" s="32"/>
      <c r="I66" s="32"/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166</v>
      </c>
      <c r="D68" s="29"/>
      <c r="E68" s="30"/>
      <c r="F68" s="30"/>
      <c r="G68" s="31"/>
      <c r="H68" s="32" t="s">
        <v>157</v>
      </c>
      <c r="I68" s="32" t="s">
        <v>157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C70" s="28" t="s">
        <v>167</v>
      </c>
      <c r="D70" s="29"/>
      <c r="E70" s="30"/>
      <c r="F70" s="30"/>
      <c r="G70" s="31"/>
      <c r="H70" s="32" t="s">
        <v>157</v>
      </c>
      <c r="I70" s="32" t="s">
        <v>157</v>
      </c>
      <c r="J70" s="33"/>
    </row>
    <row r="71" spans="1:10" x14ac:dyDescent="0.25">
      <c r="C71" s="20"/>
      <c r="D71" s="29"/>
      <c r="E71" s="30"/>
      <c r="F71" s="30"/>
      <c r="G71" s="31"/>
      <c r="H71" s="32"/>
      <c r="I71" s="32"/>
      <c r="J71" s="33"/>
    </row>
    <row r="72" spans="1:10" x14ac:dyDescent="0.25">
      <c r="C72" s="28" t="s">
        <v>168</v>
      </c>
      <c r="D72" s="29"/>
      <c r="E72" s="30"/>
      <c r="F72" s="30"/>
      <c r="G72" s="31"/>
      <c r="H72" s="32" t="s">
        <v>157</v>
      </c>
      <c r="I72" s="32" t="s">
        <v>157</v>
      </c>
      <c r="J72" s="33"/>
    </row>
    <row r="73" spans="1:10" x14ac:dyDescent="0.25">
      <c r="C73" s="20"/>
      <c r="D73" s="29"/>
      <c r="E73" s="30"/>
      <c r="F73" s="30"/>
      <c r="G73" s="31"/>
      <c r="H73" s="32"/>
      <c r="I73" s="32"/>
      <c r="J73" s="33"/>
    </row>
    <row r="74" spans="1:10" x14ac:dyDescent="0.25">
      <c r="C74" s="28" t="s">
        <v>169</v>
      </c>
      <c r="D74" s="29"/>
      <c r="E74" s="30"/>
      <c r="F74" s="30"/>
      <c r="G74" s="31"/>
      <c r="H74" s="32" t="s">
        <v>157</v>
      </c>
      <c r="I74" s="32" t="s">
        <v>157</v>
      </c>
      <c r="J74" s="33"/>
    </row>
    <row r="75" spans="1:10" x14ac:dyDescent="0.25">
      <c r="C75" s="20"/>
      <c r="D75" s="29"/>
      <c r="E75" s="30"/>
      <c r="F75" s="30"/>
      <c r="G75" s="31"/>
      <c r="H75" s="32"/>
      <c r="I75" s="32"/>
      <c r="J75" s="33"/>
    </row>
    <row r="76" spans="1:10" x14ac:dyDescent="0.25">
      <c r="A76" s="26"/>
      <c r="B76" s="27"/>
      <c r="C76" s="28" t="s">
        <v>170</v>
      </c>
      <c r="D76" s="29"/>
      <c r="E76" s="30"/>
      <c r="F76" s="30"/>
      <c r="G76" s="31"/>
      <c r="H76" s="32"/>
      <c r="I76" s="32"/>
      <c r="J76" s="33"/>
    </row>
    <row r="77" spans="1:10" x14ac:dyDescent="0.25">
      <c r="C77" s="34" t="s">
        <v>171</v>
      </c>
      <c r="D77" s="29"/>
      <c r="E77" s="30"/>
      <c r="F77" s="30"/>
      <c r="G77" s="31"/>
      <c r="H77" s="32"/>
      <c r="I77" s="32"/>
      <c r="J77" s="33"/>
    </row>
    <row r="78" spans="1:10" x14ac:dyDescent="0.25">
      <c r="B78" s="1" t="s">
        <v>172</v>
      </c>
      <c r="C78" s="20" t="s">
        <v>173</v>
      </c>
      <c r="D78" s="29"/>
      <c r="E78" s="30"/>
      <c r="F78" s="30"/>
      <c r="G78" s="31"/>
      <c r="H78" s="32">
        <v>449.94</v>
      </c>
      <c r="I78" s="32">
        <v>3.66</v>
      </c>
      <c r="J78" s="33"/>
    </row>
    <row r="79" spans="1:10" x14ac:dyDescent="0.25">
      <c r="C79" s="28" t="s">
        <v>155</v>
      </c>
      <c r="D79" s="29"/>
      <c r="E79" s="30"/>
      <c r="F79" s="30"/>
      <c r="G79" s="31"/>
      <c r="H79" s="35">
        <v>449.94</v>
      </c>
      <c r="I79" s="35">
        <v>3.66</v>
      </c>
      <c r="J79" s="33"/>
    </row>
    <row r="80" spans="1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174</v>
      </c>
      <c r="D81" s="29"/>
      <c r="E81" s="30"/>
      <c r="F81" s="30"/>
      <c r="G81" s="31"/>
      <c r="H81" s="32" t="s">
        <v>157</v>
      </c>
      <c r="I81" s="32" t="s">
        <v>157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175</v>
      </c>
      <c r="D83" s="29"/>
      <c r="E83" s="30"/>
      <c r="F83" s="30"/>
      <c r="G83" s="31"/>
      <c r="H83" s="32" t="s">
        <v>157</v>
      </c>
      <c r="I83" s="32" t="s">
        <v>157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176</v>
      </c>
      <c r="D85" s="29"/>
      <c r="E85" s="30"/>
      <c r="F85" s="30"/>
      <c r="G85" s="31"/>
      <c r="H85" s="32" t="s">
        <v>157</v>
      </c>
      <c r="I85" s="32" t="s">
        <v>157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177</v>
      </c>
      <c r="D87" s="29"/>
      <c r="E87" s="30"/>
      <c r="F87" s="30"/>
      <c r="G87" s="31"/>
      <c r="H87" s="32" t="s">
        <v>157</v>
      </c>
      <c r="I87" s="32" t="s">
        <v>157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C89" s="28" t="s">
        <v>178</v>
      </c>
      <c r="D89" s="29"/>
      <c r="E89" s="30"/>
      <c r="F89" s="30"/>
      <c r="G89" s="31"/>
      <c r="H89" s="32" t="s">
        <v>157</v>
      </c>
      <c r="I89" s="32" t="s">
        <v>157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x14ac:dyDescent="0.25">
      <c r="C91" s="28" t="s">
        <v>179</v>
      </c>
      <c r="D91" s="29"/>
      <c r="E91" s="30"/>
      <c r="F91" s="30"/>
      <c r="G91" s="31"/>
      <c r="H91" s="32" t="s">
        <v>157</v>
      </c>
      <c r="I91" s="32" t="s">
        <v>157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x14ac:dyDescent="0.25">
      <c r="A93" s="26"/>
      <c r="B93" s="27"/>
      <c r="C93" s="28" t="s">
        <v>180</v>
      </c>
      <c r="D93" s="29"/>
      <c r="E93" s="30"/>
      <c r="F93" s="30"/>
      <c r="G93" s="31"/>
      <c r="H93" s="32"/>
      <c r="I93" s="32"/>
      <c r="J93" s="33"/>
    </row>
    <row r="94" spans="1:10" x14ac:dyDescent="0.25">
      <c r="B94" s="1"/>
      <c r="C94" s="20" t="s">
        <v>181</v>
      </c>
      <c r="D94" s="29"/>
      <c r="E94" s="30"/>
      <c r="F94" s="30"/>
      <c r="G94" s="31"/>
      <c r="H94" s="32">
        <v>99.27</v>
      </c>
      <c r="I94" s="32">
        <v>0.83000000000000007</v>
      </c>
      <c r="J94" s="33"/>
    </row>
    <row r="95" spans="1:10" x14ac:dyDescent="0.25">
      <c r="C95" s="28" t="s">
        <v>155</v>
      </c>
      <c r="D95" s="29"/>
      <c r="E95" s="30"/>
      <c r="F95" s="30"/>
      <c r="G95" s="31"/>
      <c r="H95" s="35">
        <v>99.27</v>
      </c>
      <c r="I95" s="35">
        <v>0.83000000000000007</v>
      </c>
      <c r="J95" s="33"/>
    </row>
    <row r="96" spans="1:10" x14ac:dyDescent="0.25">
      <c r="C96" s="20"/>
      <c r="D96" s="29"/>
      <c r="E96" s="30"/>
      <c r="F96" s="30"/>
      <c r="G96" s="31"/>
      <c r="H96" s="32"/>
      <c r="I96" s="32"/>
      <c r="J96" s="33"/>
    </row>
    <row r="97" spans="3:10" ht="14.25" thickBot="1" x14ac:dyDescent="0.3">
      <c r="C97" s="36" t="s">
        <v>182</v>
      </c>
      <c r="D97" s="37"/>
      <c r="E97" s="38"/>
      <c r="F97" s="39"/>
      <c r="G97" s="40"/>
      <c r="H97" s="41">
        <v>12308.83</v>
      </c>
      <c r="I97" s="41">
        <f>SUMIFS(I:I,C:C,"Total")</f>
        <v>100</v>
      </c>
      <c r="J97" s="42"/>
    </row>
    <row r="100" spans="3:10" x14ac:dyDescent="0.25">
      <c r="C100" s="11" t="s">
        <v>183</v>
      </c>
    </row>
    <row r="101" spans="3:10" x14ac:dyDescent="0.25">
      <c r="C101" s="2" t="s">
        <v>184</v>
      </c>
    </row>
    <row r="102" spans="3:10" x14ac:dyDescent="0.25">
      <c r="C102" s="2" t="s">
        <v>185</v>
      </c>
    </row>
    <row r="103" spans="3:10" x14ac:dyDescent="0.25">
      <c r="C103" s="2" t="s">
        <v>186</v>
      </c>
    </row>
    <row r="104" spans="3:10" x14ac:dyDescent="0.25">
      <c r="C104" s="43" t="s">
        <v>187</v>
      </c>
      <c r="D104" s="44"/>
      <c r="E104" s="44"/>
    </row>
    <row r="105" spans="3:10" x14ac:dyDescent="0.25">
      <c r="C105" s="43" t="s">
        <v>188</v>
      </c>
      <c r="D105" s="44"/>
      <c r="E105" s="44"/>
    </row>
    <row r="106" spans="3:10" ht="14.25" thickBot="1" x14ac:dyDescent="0.3">
      <c r="C106" s="43" t="s">
        <v>189</v>
      </c>
      <c r="D106" s="44"/>
      <c r="E106" s="44"/>
    </row>
    <row r="107" spans="3:10" ht="14.25" thickBot="1" x14ac:dyDescent="0.3">
      <c r="C107" s="45"/>
      <c r="D107" s="63" t="s">
        <v>190</v>
      </c>
      <c r="E107" s="64"/>
    </row>
    <row r="108" spans="3:10" x14ac:dyDescent="0.25">
      <c r="C108" s="46" t="s">
        <v>191</v>
      </c>
      <c r="D108" s="47" t="s">
        <v>192</v>
      </c>
      <c r="E108" s="48" t="s">
        <v>192</v>
      </c>
    </row>
    <row r="109" spans="3:10" ht="14.25" thickBot="1" x14ac:dyDescent="0.3">
      <c r="C109" s="49"/>
      <c r="D109" s="50" t="s">
        <v>193</v>
      </c>
      <c r="E109" s="51" t="s">
        <v>194</v>
      </c>
    </row>
    <row r="110" spans="3:10" ht="14.25" thickBot="1" x14ac:dyDescent="0.3">
      <c r="C110" s="52" t="s">
        <v>195</v>
      </c>
      <c r="D110" s="53">
        <v>103.11</v>
      </c>
      <c r="E110" s="53">
        <v>103.21</v>
      </c>
    </row>
    <row r="111" spans="3:10" ht="14.25" thickBot="1" x14ac:dyDescent="0.3">
      <c r="C111" s="52" t="s">
        <v>196</v>
      </c>
      <c r="D111" s="53">
        <v>115.68</v>
      </c>
      <c r="E111" s="53">
        <v>115.78</v>
      </c>
    </row>
    <row r="112" spans="3:10" ht="14.25" thickBot="1" x14ac:dyDescent="0.3">
      <c r="C112" s="52" t="s">
        <v>197</v>
      </c>
      <c r="D112" s="53">
        <v>108.73</v>
      </c>
      <c r="E112" s="53">
        <v>108.89</v>
      </c>
    </row>
    <row r="113" spans="3:5" ht="14.25" thickBot="1" x14ac:dyDescent="0.3">
      <c r="C113" s="52" t="s">
        <v>198</v>
      </c>
      <c r="D113" s="53">
        <v>122.4</v>
      </c>
      <c r="E113" s="53">
        <v>122.58</v>
      </c>
    </row>
    <row r="114" spans="3:5" x14ac:dyDescent="0.25">
      <c r="C114" s="44"/>
      <c r="D114" s="44"/>
      <c r="E114" s="44"/>
    </row>
    <row r="115" spans="3:5" x14ac:dyDescent="0.25">
      <c r="C115" s="43" t="s">
        <v>199</v>
      </c>
      <c r="D115" s="43"/>
      <c r="E115" s="54"/>
    </row>
    <row r="116" spans="3:5" x14ac:dyDescent="0.25">
      <c r="C116" s="43" t="s">
        <v>200</v>
      </c>
      <c r="D116" s="43"/>
      <c r="E116" s="54"/>
    </row>
    <row r="117" spans="3:5" x14ac:dyDescent="0.25">
      <c r="C117" s="43" t="s">
        <v>201</v>
      </c>
      <c r="D117" s="43"/>
      <c r="E117" s="54"/>
    </row>
    <row r="118" spans="3:5" x14ac:dyDescent="0.25">
      <c r="C118" s="43" t="s">
        <v>202</v>
      </c>
      <c r="D118" s="43"/>
      <c r="E118" s="43"/>
    </row>
    <row r="119" spans="3:5" x14ac:dyDescent="0.25">
      <c r="C119" s="43" t="s">
        <v>203</v>
      </c>
      <c r="D119" s="44"/>
      <c r="E119" s="44"/>
    </row>
    <row r="120" spans="3:5" x14ac:dyDescent="0.25">
      <c r="C120" s="43" t="s">
        <v>204</v>
      </c>
      <c r="D120" s="43"/>
      <c r="E120" s="43"/>
    </row>
    <row r="121" spans="3:5" x14ac:dyDescent="0.25">
      <c r="C121" s="43" t="s">
        <v>205</v>
      </c>
      <c r="D121" s="43"/>
      <c r="E121" s="43"/>
    </row>
    <row r="122" spans="3:5" x14ac:dyDescent="0.25">
      <c r="C122" s="43" t="s">
        <v>206</v>
      </c>
      <c r="D122" s="43"/>
      <c r="E122" s="43"/>
    </row>
    <row r="123" spans="3:5" ht="15" x14ac:dyDescent="0.25">
      <c r="C123" s="43" t="s">
        <v>207</v>
      </c>
      <c r="D123"/>
      <c r="E123"/>
    </row>
  </sheetData>
  <mergeCells count="1">
    <mergeCell ref="D107:E107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E34A-A3A7-43E8-8451-8C1B61CB9E9B}">
  <dimension ref="C3:M17"/>
  <sheetViews>
    <sheetView tabSelected="1" workbookViewId="0">
      <selection activeCell="C3" sqref="C3"/>
    </sheetView>
  </sheetViews>
  <sheetFormatPr defaultRowHeight="15" x14ac:dyDescent="0.25"/>
  <cols>
    <col min="3" max="3" width="57.5703125" bestFit="1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.5703125" bestFit="1" customWidth="1"/>
  </cols>
  <sheetData>
    <row r="3" spans="3:13" ht="15.75" x14ac:dyDescent="0.25">
      <c r="C3" s="55" t="s">
        <v>222</v>
      </c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3:13" x14ac:dyDescent="0.25">
      <c r="C4" s="57" t="s">
        <v>209</v>
      </c>
      <c r="D4" s="65" t="s">
        <v>210</v>
      </c>
      <c r="E4" s="65"/>
      <c r="F4" s="65" t="s">
        <v>211</v>
      </c>
      <c r="G4" s="65"/>
      <c r="H4" s="65" t="s">
        <v>212</v>
      </c>
      <c r="I4" s="65"/>
      <c r="J4" s="66" t="s">
        <v>213</v>
      </c>
      <c r="K4" s="67"/>
      <c r="L4" s="68" t="s">
        <v>214</v>
      </c>
      <c r="M4" s="68"/>
    </row>
    <row r="5" spans="3:13" ht="63.75" x14ac:dyDescent="0.25">
      <c r="C5" s="58"/>
      <c r="D5" s="59" t="s">
        <v>215</v>
      </c>
      <c r="E5" s="59" t="s">
        <v>216</v>
      </c>
      <c r="F5" s="59" t="s">
        <v>215</v>
      </c>
      <c r="G5" s="59" t="s">
        <v>216</v>
      </c>
      <c r="H5" s="59" t="s">
        <v>215</v>
      </c>
      <c r="I5" s="59" t="s">
        <v>216</v>
      </c>
      <c r="J5" s="59" t="s">
        <v>215</v>
      </c>
      <c r="K5" s="59" t="s">
        <v>216</v>
      </c>
      <c r="L5" s="60" t="s">
        <v>215</v>
      </c>
      <c r="M5" s="60" t="s">
        <v>216</v>
      </c>
    </row>
    <row r="6" spans="3:13" x14ac:dyDescent="0.25">
      <c r="C6" s="61" t="s">
        <v>217</v>
      </c>
      <c r="D6" s="62">
        <v>13.109299999999999</v>
      </c>
      <c r="E6" s="62">
        <v>11310.930936797889</v>
      </c>
      <c r="F6" s="62">
        <v>16.1995</v>
      </c>
      <c r="G6" s="62">
        <v>15696.082418327234</v>
      </c>
      <c r="H6" s="62">
        <v>14.0663</v>
      </c>
      <c r="I6" s="62">
        <v>19324.098798397863</v>
      </c>
      <c r="J6" s="62">
        <v>16.500299999999999</v>
      </c>
      <c r="K6" s="62">
        <v>46131.474103585657</v>
      </c>
      <c r="L6" s="62">
        <v>8.0851000000000006</v>
      </c>
      <c r="M6" s="62">
        <v>115790</v>
      </c>
    </row>
    <row r="7" spans="3:13" x14ac:dyDescent="0.25">
      <c r="C7" s="61" t="s">
        <v>218</v>
      </c>
      <c r="D7" s="62">
        <v>20.9633</v>
      </c>
      <c r="E7" s="62">
        <v>12096.33</v>
      </c>
      <c r="F7" s="62">
        <v>25.160799999999998</v>
      </c>
      <c r="G7" s="62">
        <v>19606.72200397748</v>
      </c>
      <c r="H7" s="62">
        <v>20.7468</v>
      </c>
      <c r="I7" s="62">
        <v>25667.179635516946</v>
      </c>
      <c r="J7" s="62">
        <v>20.182200000000002</v>
      </c>
      <c r="K7" s="62">
        <v>25072.679473035467</v>
      </c>
      <c r="L7" s="62" t="s">
        <v>219</v>
      </c>
      <c r="M7" s="62" t="s">
        <v>219</v>
      </c>
    </row>
    <row r="8" spans="3:13" x14ac:dyDescent="0.25">
      <c r="C8" s="61" t="s">
        <v>220</v>
      </c>
      <c r="D8" s="62">
        <v>12.9283</v>
      </c>
      <c r="E8" s="62">
        <v>11292.83</v>
      </c>
      <c r="F8" s="62">
        <v>14.430300000000001</v>
      </c>
      <c r="G8" s="62">
        <v>14983.839401403065</v>
      </c>
      <c r="H8" s="62">
        <v>12.929500000000001</v>
      </c>
      <c r="I8" s="62">
        <v>18366.949269106684</v>
      </c>
      <c r="J8" s="62">
        <v>15.0045</v>
      </c>
      <c r="K8" s="62">
        <v>20117.507447051736</v>
      </c>
      <c r="L8" s="62">
        <v>11.161799999999999</v>
      </c>
      <c r="M8" s="62">
        <v>280326.02858783409</v>
      </c>
    </row>
    <row r="9" spans="3:13" x14ac:dyDescent="0.25">
      <c r="C9" s="61" t="s">
        <v>221</v>
      </c>
      <c r="D9" s="69">
        <v>102.37</v>
      </c>
      <c r="E9" s="70"/>
      <c r="F9" s="69">
        <v>73.77</v>
      </c>
      <c r="G9" s="70"/>
      <c r="H9" s="69">
        <v>59.92</v>
      </c>
      <c r="I9" s="70"/>
      <c r="J9" s="69">
        <v>25.1</v>
      </c>
      <c r="K9" s="70"/>
      <c r="L9" s="69">
        <v>10</v>
      </c>
      <c r="M9" s="70"/>
    </row>
    <row r="11" spans="3:13" ht="15.75" x14ac:dyDescent="0.25">
      <c r="C11" s="55" t="s">
        <v>208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spans="3:13" x14ac:dyDescent="0.25">
      <c r="C12" s="57" t="s">
        <v>209</v>
      </c>
      <c r="D12" s="65" t="s">
        <v>210</v>
      </c>
      <c r="E12" s="65"/>
      <c r="F12" s="65" t="s">
        <v>211</v>
      </c>
      <c r="G12" s="65"/>
      <c r="H12" s="65" t="s">
        <v>212</v>
      </c>
      <c r="I12" s="65"/>
      <c r="J12" s="66" t="s">
        <v>213</v>
      </c>
      <c r="K12" s="67"/>
      <c r="L12" s="68" t="s">
        <v>214</v>
      </c>
      <c r="M12" s="68"/>
    </row>
    <row r="13" spans="3:13" ht="63.75" x14ac:dyDescent="0.25">
      <c r="C13" s="58"/>
      <c r="D13" s="59" t="s">
        <v>215</v>
      </c>
      <c r="E13" s="59" t="s">
        <v>216</v>
      </c>
      <c r="F13" s="59" t="s">
        <v>215</v>
      </c>
      <c r="G13" s="59" t="s">
        <v>216</v>
      </c>
      <c r="H13" s="59" t="s">
        <v>215</v>
      </c>
      <c r="I13" s="59" t="s">
        <v>216</v>
      </c>
      <c r="J13" s="59" t="s">
        <v>215</v>
      </c>
      <c r="K13" s="59" t="s">
        <v>216</v>
      </c>
      <c r="L13" s="60" t="s">
        <v>215</v>
      </c>
      <c r="M13" s="60" t="s">
        <v>216</v>
      </c>
    </row>
    <row r="14" spans="3:13" x14ac:dyDescent="0.25">
      <c r="C14" s="61" t="s">
        <v>217</v>
      </c>
      <c r="D14" s="62">
        <v>13.6157</v>
      </c>
      <c r="E14" s="62">
        <v>11361.571971452404</v>
      </c>
      <c r="F14" s="62">
        <v>16.667000000000002</v>
      </c>
      <c r="G14" s="62">
        <v>15886.469673405909</v>
      </c>
      <c r="H14" s="62">
        <v>14.5037</v>
      </c>
      <c r="I14" s="62">
        <v>19697.894905993893</v>
      </c>
      <c r="J14" s="62">
        <v>16.984999999999999</v>
      </c>
      <c r="K14" s="62">
        <v>48089.446841898789</v>
      </c>
      <c r="L14" s="62">
        <v>15.784700000000001</v>
      </c>
      <c r="M14" s="62">
        <v>69215.132693393549</v>
      </c>
    </row>
    <row r="15" spans="3:13" x14ac:dyDescent="0.25">
      <c r="C15" s="61" t="s">
        <v>218</v>
      </c>
      <c r="D15" s="62">
        <v>20.9633</v>
      </c>
      <c r="E15" s="62">
        <v>12096.33</v>
      </c>
      <c r="F15" s="62">
        <v>25.160799999999998</v>
      </c>
      <c r="G15" s="62">
        <v>19606.72200397748</v>
      </c>
      <c r="H15" s="62">
        <v>20.7468</v>
      </c>
      <c r="I15" s="62">
        <v>25667.179635516946</v>
      </c>
      <c r="J15" s="62">
        <v>20.182200000000002</v>
      </c>
      <c r="K15" s="62">
        <v>25072.679473035467</v>
      </c>
      <c r="L15" s="62">
        <v>18.321400000000001</v>
      </c>
      <c r="M15" s="62">
        <v>91544.683539295467</v>
      </c>
    </row>
    <row r="16" spans="3:13" x14ac:dyDescent="0.25">
      <c r="C16" s="61" t="s">
        <v>220</v>
      </c>
      <c r="D16" s="62">
        <v>12.9283</v>
      </c>
      <c r="E16" s="62">
        <v>11292.83</v>
      </c>
      <c r="F16" s="62">
        <v>14.430300000000001</v>
      </c>
      <c r="G16" s="62">
        <v>14983.839401403065</v>
      </c>
      <c r="H16" s="62">
        <v>12.929500000000001</v>
      </c>
      <c r="I16" s="62">
        <v>18366.949269106684</v>
      </c>
      <c r="J16" s="62">
        <v>15.0045</v>
      </c>
      <c r="K16" s="62">
        <v>20117.507447051736</v>
      </c>
      <c r="L16" s="62">
        <v>12.8764</v>
      </c>
      <c r="M16" s="62">
        <v>49242.934250118211</v>
      </c>
    </row>
    <row r="17" spans="3:13" x14ac:dyDescent="0.25">
      <c r="C17" s="61" t="s">
        <v>223</v>
      </c>
      <c r="D17" s="69">
        <v>107.89</v>
      </c>
      <c r="E17" s="70"/>
      <c r="F17" s="69">
        <v>77.16</v>
      </c>
      <c r="G17" s="70"/>
      <c r="H17" s="69">
        <v>62.23</v>
      </c>
      <c r="I17" s="70"/>
      <c r="J17" s="69">
        <v>25.49</v>
      </c>
      <c r="K17" s="70"/>
      <c r="L17" s="69">
        <v>17.71</v>
      </c>
      <c r="M17" s="70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TDF</vt:lpstr>
      <vt:lpstr>TDF Performance</vt:lpstr>
      <vt:lpstr>XDO_?CLASS_3?2?</vt:lpstr>
      <vt:lpstr>XDO_?FINAL_ISIN?3?</vt:lpstr>
      <vt:lpstr>XDO_?FINAL_ISIN?4?</vt:lpstr>
      <vt:lpstr>XDO_?FINAL_ISIN?5?</vt:lpstr>
      <vt:lpstr>XDO_?FINAL_MV?3?</vt:lpstr>
      <vt:lpstr>XDO_?FINAL_MV?4?</vt:lpstr>
      <vt:lpstr>XDO_?FINAL_MV?5?</vt:lpstr>
      <vt:lpstr>XDO_?FINAL_NAME?3?</vt:lpstr>
      <vt:lpstr>XDO_?FINAL_NAME?4?</vt:lpstr>
      <vt:lpstr>XDO_?FINAL_NAME?5?</vt:lpstr>
      <vt:lpstr>XDO_?FINAL_PER_NET?3?</vt:lpstr>
      <vt:lpstr>XDO_?FINAL_PER_NET?4?</vt:lpstr>
      <vt:lpstr>XDO_?FINAL_PER_NET?5?</vt:lpstr>
      <vt:lpstr>XDO_?FINAL_QUANTITE?3?</vt:lpstr>
      <vt:lpstr>XDO_?FINAL_QUANTITE?4?</vt:lpstr>
      <vt:lpstr>XDO_?FINAL_QUANTITE?5?</vt:lpstr>
      <vt:lpstr>XDO_?IND_01?3?</vt:lpstr>
      <vt:lpstr>XDO_?IND_01?4?</vt:lpstr>
      <vt:lpstr>XDO_?IND_01?5?</vt:lpstr>
      <vt:lpstr>XDO_?NAMCNAME?2?</vt:lpstr>
      <vt:lpstr>XDO_?NOVAL?3?</vt:lpstr>
      <vt:lpstr>XDO_?NOVAL?4?</vt:lpstr>
      <vt:lpstr>XDO_?NOVAL?5?</vt:lpstr>
      <vt:lpstr>XDO_?NPTF?2?</vt:lpstr>
      <vt:lpstr>XDO_?RATING?3?</vt:lpstr>
      <vt:lpstr>XDO_?RATING?4?</vt:lpstr>
      <vt:lpstr>XDO_?RATING?5?</vt:lpstr>
      <vt:lpstr>XDO_?REMARKS?3?</vt:lpstr>
      <vt:lpstr>XDO_?REMARKS?4?</vt:lpstr>
      <vt:lpstr>XDO_?REMARKS?5?</vt:lpstr>
      <vt:lpstr>XDO_?TITL?2?</vt:lpstr>
      <vt:lpstr>XDO_GROUP_?G_2?2?</vt:lpstr>
      <vt:lpstr>XDO_GROUP_?G_3?2?</vt:lpstr>
      <vt:lpstr>XDO_GROUP_?G_4?3?</vt:lpstr>
      <vt:lpstr>XDO_GROUP_?G_4?4?</vt:lpstr>
      <vt:lpstr>XDO_GROUP_?G_4?5?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Gangaram Bharat Chavan</cp:lastModifiedBy>
  <dcterms:created xsi:type="dcterms:W3CDTF">2026-03-06T09:35:25Z</dcterms:created>
  <dcterms:modified xsi:type="dcterms:W3CDTF">2026-03-09T06:33:06Z</dcterms:modified>
</cp:coreProperties>
</file>