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:\Audit\All Audit\Operations\MIS Reports\FY2024-25\9. Dec 2024\Monthly Portfolio Nov 2024\Ops\"/>
    </mc:Choice>
  </mc:AlternateContent>
  <xr:revisionPtr revIDLastSave="0" documentId="13_ncr:1_{3E8F802A-33FB-4B84-830D-AF30C1FE7126}" xr6:coauthVersionLast="47" xr6:coauthVersionMax="47" xr10:uidLastSave="{00000000-0000-0000-0000-000000000000}"/>
  <bookViews>
    <workbookView xWindow="-120" yWindow="-120" windowWidth="20730" windowHeight="11040" xr2:uid="{EAF6C7F5-6C48-4C4F-9F14-59BBC5C57D12}"/>
  </bookViews>
  <sheets>
    <sheet name="TBF" sheetId="1" r:id="rId1"/>
    <sheet name="TBF-Performance" sheetId="2" r:id="rId2"/>
  </sheets>
  <externalReferences>
    <externalReference r:id="rId3"/>
  </externalReferences>
  <definedNames>
    <definedName name="XDO_?AUM?">TBF!$H$13</definedName>
    <definedName name="XDO_?CLASS_3?">TBF!$C$8:$C$47</definedName>
    <definedName name="XDO_?CLASS_4?">TBF!$C$9</definedName>
    <definedName name="XDO_?CS_1?">TBF!$H$11</definedName>
    <definedName name="XDO_?CS_2?">TBF!$I$11</definedName>
    <definedName name="XDO_?FINAL_ISIN?">TBF!$D$10:$D$91</definedName>
    <definedName name="XDO_?FINAL_MV?">TBF!$H$10:$H$91</definedName>
    <definedName name="XDO_?FINAL_NAME?">TBF!$C$10:$C$91</definedName>
    <definedName name="XDO_?FINAL_PER_NET?">TBF!$I$10:$I$91</definedName>
    <definedName name="XDO_?FINAL_QUANTITE?">TBF!$G$10:$G$91</definedName>
    <definedName name="XDO_?IND_01?">TBF!$F$10:$F$91</definedName>
    <definedName name="XDO_?LONG_DESC?">TBF!$D$3</definedName>
    <definedName name="XDO_?NAMC?">TBF!#REF!</definedName>
    <definedName name="XDO_?NAMC?1?">[1]TBFS!#REF!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">TBF!$C$2:$C$47</definedName>
    <definedName name="XDO_?NDATE?">TBF!#REF!</definedName>
    <definedName name="XDO_?NDATE?1?">[1]TBFS!#REF!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TBF!#REF!</definedName>
    <definedName name="XDO_?NNPTF?1?">[1]TBFS!#REF!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">TBF!$B$10:$B$91</definedName>
    <definedName name="XDO_?NPTF?">TBF!$D$2:$D$47</definedName>
    <definedName name="XDO_?RATING?">TBF!$E$10:$E$91</definedName>
    <definedName name="XDO_?REMARKS?">TBF!$J$10:$J$91</definedName>
    <definedName name="XDO_?TDATE?">TBF!$D$4</definedName>
    <definedName name="XDO_?TITL?">TBF!$A$8:$A$47</definedName>
    <definedName name="XDO_GROUP_?G_2?">TBF!$2:$94</definedName>
    <definedName name="XDO_GROUP_?G_3?">TBF!$8:$93</definedName>
    <definedName name="XDO_GROUP_?G_4?">TBF!$B$91:$IV$91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4" i="1" l="1"/>
</calcChain>
</file>

<file path=xl/sharedStrings.xml><?xml version="1.0" encoding="utf-8"?>
<sst xmlns="http://schemas.openxmlformats.org/spreadsheetml/2006/main" count="288" uniqueCount="215">
  <si>
    <t>TAURUS MUTUAL FUND</t>
  </si>
  <si>
    <t>TBF</t>
  </si>
  <si>
    <t>SCHEME NAME :</t>
  </si>
  <si>
    <t>Taurus Large Cap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</si>
  <si>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</si>
  <si>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</si>
  <si>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</si>
  <si>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</si>
  <si>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</si>
  <si>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</si>
  <si>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</si>
  <si>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</si>
  <si>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</si>
  <si>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</si>
  <si>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</si>
  <si>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</si>
  <si>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</si>
  <si>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</si>
  <si>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</si>
  <si>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100010</t>
  </si>
  <si>
    <t>State Bank of India</t>
  </si>
  <si>
    <t>INE062A01020</t>
  </si>
  <si>
    <t>100037</t>
  </si>
  <si>
    <t>HCL Technologies Ltd.</t>
  </si>
  <si>
    <t>INE860A01027</t>
  </si>
  <si>
    <t>IT - Software</t>
  </si>
  <si>
    <t>100012</t>
  </si>
  <si>
    <t>ICICI Bank Ltd.</t>
  </si>
  <si>
    <t>INE090A01021</t>
  </si>
  <si>
    <t>100019</t>
  </si>
  <si>
    <t>ITC Ltd.</t>
  </si>
  <si>
    <t>INE154A01025</t>
  </si>
  <si>
    <t>Diversified FMCG</t>
  </si>
  <si>
    <t>100014</t>
  </si>
  <si>
    <t>Mahindra &amp; Mahindra Ltd.</t>
  </si>
  <si>
    <t>INE101A01026</t>
  </si>
  <si>
    <t>Automobiles</t>
  </si>
  <si>
    <t>100003</t>
  </si>
  <si>
    <t>Infosys Ltd.</t>
  </si>
  <si>
    <t>INE009A01021</t>
  </si>
  <si>
    <t>100830</t>
  </si>
  <si>
    <t>Varun Beverages Ltd.</t>
  </si>
  <si>
    <t>INE200M01039</t>
  </si>
  <si>
    <t>Beverages</t>
  </si>
  <si>
    <t>100106</t>
  </si>
  <si>
    <t>Maruti Suzuki India Ltd.</t>
  </si>
  <si>
    <t>INE585B01010</t>
  </si>
  <si>
    <t>100024</t>
  </si>
  <si>
    <t>Axis Bank Ltd.</t>
  </si>
  <si>
    <t>INE238A01034</t>
  </si>
  <si>
    <t>100005</t>
  </si>
  <si>
    <t>Larsen &amp; Toubro Ltd.</t>
  </si>
  <si>
    <t>INE018A01030</t>
  </si>
  <si>
    <t>Construction</t>
  </si>
  <si>
    <t>101178</t>
  </si>
  <si>
    <t>Computer Age Management Services Ltd.</t>
  </si>
  <si>
    <t>INE596I01012</t>
  </si>
  <si>
    <t>Capital Markets</t>
  </si>
  <si>
    <t>100097</t>
  </si>
  <si>
    <t>Coal India Ltd.</t>
  </si>
  <si>
    <t>INE522F01014</t>
  </si>
  <si>
    <t>Consumable Fuels</t>
  </si>
  <si>
    <t>102135</t>
  </si>
  <si>
    <t>Le Travenues Technology Pvt. Ltd.</t>
  </si>
  <si>
    <t>INE0HV901016</t>
  </si>
  <si>
    <t>Leisure Services</t>
  </si>
  <si>
    <t>100169</t>
  </si>
  <si>
    <t>Indian Oil Corporation Ltd.</t>
  </si>
  <si>
    <t>INE242A01010</t>
  </si>
  <si>
    <t>Petroleum Products</t>
  </si>
  <si>
    <t>100181</t>
  </si>
  <si>
    <t>NTPC Ltd.</t>
  </si>
  <si>
    <t>INE733E01010</t>
  </si>
  <si>
    <t>Power</t>
  </si>
  <si>
    <t>100182</t>
  </si>
  <si>
    <t>Power Grid Corporation of India Ltd.</t>
  </si>
  <si>
    <t>INE752E01010</t>
  </si>
  <si>
    <t>100111</t>
  </si>
  <si>
    <t>Oil &amp; Natural Gas Corporation Ltd.</t>
  </si>
  <si>
    <t>INE213A01029</t>
  </si>
  <si>
    <t>Oil</t>
  </si>
  <si>
    <t>100147</t>
  </si>
  <si>
    <t>Tech Mahindra Ltd.</t>
  </si>
  <si>
    <t>INE669C01036</t>
  </si>
  <si>
    <t>100008</t>
  </si>
  <si>
    <t>Sun Pharmaceutical Industries Ltd.</t>
  </si>
  <si>
    <t>INE044A01036</t>
  </si>
  <si>
    <t>Pharmaceuticals &amp; Biotechnology</t>
  </si>
  <si>
    <t>100153</t>
  </si>
  <si>
    <t>Cipla Ltd.</t>
  </si>
  <si>
    <t>INE059A01026</t>
  </si>
  <si>
    <t>100399</t>
  </si>
  <si>
    <t>Cholamandalam Investment &amp; Finance Co. Ltd.</t>
  </si>
  <si>
    <t>INE121A01024</t>
  </si>
  <si>
    <t>Finance</t>
  </si>
  <si>
    <t>100184</t>
  </si>
  <si>
    <t>Tata Steel Ltd.</t>
  </si>
  <si>
    <t>INE081A01020</t>
  </si>
  <si>
    <t>Ferrous Metals</t>
  </si>
  <si>
    <t>100002</t>
  </si>
  <si>
    <t>Reliance Industries Ltd.</t>
  </si>
  <si>
    <t>INE002A01018</t>
  </si>
  <si>
    <t>100302</t>
  </si>
  <si>
    <t>DLF Ltd.</t>
  </si>
  <si>
    <t>INE271C01023</t>
  </si>
  <si>
    <t>Realty</t>
  </si>
  <si>
    <t>100083</t>
  </si>
  <si>
    <t>Samvardhana Motherson International Ltd.</t>
  </si>
  <si>
    <t>INE775A01035</t>
  </si>
  <si>
    <t>Auto Components</t>
  </si>
  <si>
    <t>100359</t>
  </si>
  <si>
    <t>Wockhardt Ltd.</t>
  </si>
  <si>
    <t>INE049B01025</t>
  </si>
  <si>
    <t>100380</t>
  </si>
  <si>
    <t>Bajaj Finserv Ltd.</t>
  </si>
  <si>
    <t>INE918I01026</t>
  </si>
  <si>
    <t>100263</t>
  </si>
  <si>
    <t>BEML Ltd.</t>
  </si>
  <si>
    <t>INE258A01016</t>
  </si>
  <si>
    <t>Agricultural, Commercial &amp; Construction Vehicles</t>
  </si>
  <si>
    <t>100150</t>
  </si>
  <si>
    <t>Apollo Hospitals Enterprise Ltd.</t>
  </si>
  <si>
    <t>INE437A01024</t>
  </si>
  <si>
    <t>Healthcare Services</t>
  </si>
  <si>
    <t>100292</t>
  </si>
  <si>
    <t>Steel Authority of India Ltd.</t>
  </si>
  <si>
    <t>INE114A01011</t>
  </si>
  <si>
    <t>100092</t>
  </si>
  <si>
    <t>Bank of Baroda</t>
  </si>
  <si>
    <t>INE028A01039</t>
  </si>
  <si>
    <t>101433</t>
  </si>
  <si>
    <t>Metro Brands Ltd.</t>
  </si>
  <si>
    <t>INE317I01021</t>
  </si>
  <si>
    <t>Consumer Durables</t>
  </si>
  <si>
    <t>100185</t>
  </si>
  <si>
    <t>Tata Power Company Ltd.</t>
  </si>
  <si>
    <t>INE245A01021</t>
  </si>
  <si>
    <t>100081</t>
  </si>
  <si>
    <t>Titan Company Ltd.</t>
  </si>
  <si>
    <t>INE280A01028</t>
  </si>
  <si>
    <t>102005</t>
  </si>
  <si>
    <t>Tata Technologies Ltd.</t>
  </si>
  <si>
    <t>INE142M01025</t>
  </si>
  <si>
    <t>IT - Services</t>
  </si>
  <si>
    <t>100095</t>
  </si>
  <si>
    <t>Bharti Airtel Ltd.</t>
  </si>
  <si>
    <t>INE397D01024</t>
  </si>
  <si>
    <t>Telecom - Services</t>
  </si>
  <si>
    <t>101949</t>
  </si>
  <si>
    <t>Samhi Hotels Ltd.</t>
  </si>
  <si>
    <t>INE08U801020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</si>
  <si>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</si>
  <si>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</si>
  <si>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</si>
  <si>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</si>
  <si>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</si>
  <si>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</si>
  <si>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</si>
  <si>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</si>
  <si>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</si>
  <si>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</si>
  <si>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</si>
  <si>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</si>
  <si>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</si>
  <si>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</si>
  <si>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</si>
  <si>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</si>
  <si>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</si>
  <si>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</si>
  <si>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</si>
  <si>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</si>
  <si>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</si>
  <si>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</si>
  <si>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</si>
  <si>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</si>
  <si>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</si>
  <si>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</si>
  <si>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</si>
  <si>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(1) Non Convertible Debentures and  Bonds are considered as Traded based on information provided by external agencies.</t>
  </si>
  <si>
    <t>(2) ^ The Name of the Industry is in accordance with Industry Classification as recommended by AMFI.</t>
  </si>
  <si>
    <t>(3)  Total NPAs provided for and its percentage to NAV is Nil.</t>
  </si>
  <si>
    <t>(4)  Total Value and percentage of illiquid equity shares is Nil.</t>
  </si>
  <si>
    <t>(5)  Net Assets Value per unit (in Rupees) are as follows:</t>
  </si>
  <si>
    <t>NAV per unit</t>
  </si>
  <si>
    <t>Plan/Option</t>
  </si>
  <si>
    <t>As on</t>
  </si>
  <si>
    <t>October 31, 2024</t>
  </si>
  <si>
    <t>November 30, 2024</t>
  </si>
  <si>
    <t>Regular Plan - IDCW</t>
  </si>
  <si>
    <t>Regular Plan - Growth</t>
  </si>
  <si>
    <t>Direct Plan - IDCW</t>
  </si>
  <si>
    <t>Direct Plan - Growth</t>
  </si>
  <si>
    <t>(6) The Scheme did not declare any dividend during the month ended As on  November 30, 2024.</t>
  </si>
  <si>
    <t>(7) The Scheme did not declare any bonus during the month ended As on  November 30, 2024.</t>
  </si>
  <si>
    <t>(8) Total outstanding exposure in derivative instruments as on As on  November 30, 2024 is Nil</t>
  </si>
  <si>
    <t>(9) Total investments in Foreign Securities /ADRs/GDRs /Overseas ETFs as at As on  November 30, 2024 and its percentage to NAV is Nil.</t>
  </si>
  <si>
    <t>(10) During the period, the portfolio turnover ratio is 0.69 times.</t>
  </si>
  <si>
    <t>      Portfolio Turnover Ratio = Lower of sales or purchase of securities divided by average AUM for 12 months ended As on  November 30, 2024</t>
  </si>
  <si>
    <t>(11) The Scheme did not invest in repo transactions of corporate debt securities during the month ended As on  November 30, 2024.</t>
  </si>
  <si>
    <t>(12) The Scheme did not invest in credit default swaps during the month ended As on  November 30, 2024.</t>
  </si>
  <si>
    <t>(13) There are Nil instances of deviation from the valuation principles/guidelines during the month ended as on November 30th, 2024.</t>
  </si>
  <si>
    <t>Taurus Largecap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</si>
  <si>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</si>
  <si>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</si>
  <si>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</si>
  <si>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</si>
  <si>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</si>
  <si>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</si>
  <si>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</si>
  <si>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</si>
  <si>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BSE 100 TRI (Benchmark)</t>
  </si>
  <si>
    <t>Nifty 50 TRI (Additional Benchmark)</t>
  </si>
  <si>
    <t>NAV [Rs.] Per Unit (as on November 29,2024 :155.98)</t>
  </si>
  <si>
    <t>Taurus Largecap Fund - Direct Plan Growth Option</t>
  </si>
  <si>
    <t>NAV [Rs.] Per Unit (as on November 29,2024 :164.83)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</si>
</sst>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_(\ #,##0.00_);_(\ \(#,##0.00\);_(\ \-??_);_(@_)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4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7" fontId="1" fillId="0" borderId="13" xfId="1" applyNumberFormat="1" applyBorder="1" applyAlignment="1">
      <alignment horizontal="center"/>
    </xf>
    <xf numFmtId="0" fontId="14" fillId="0" borderId="13" xfId="0" applyFont="1" applyBorder="1"/>
    <xf numFmtId="0" fontId="13" fillId="3" borderId="13" xfId="0" applyFont="1" applyFill="1" applyBorder="1" applyAlignment="1">
      <alignment horizontal="center"/>
    </xf>
    <xf numFmtId="0" fontId="14" fillId="3" borderId="13" xfId="0" applyFont="1" applyFill="1" applyBorder="1" applyAlignment="1">
      <alignment horizontal="center"/>
    </xf>
    <xf numFmtId="167" fontId="1" fillId="0" borderId="19" xfId="1" applyNumberFormat="1" applyBorder="1" applyAlignment="1">
      <alignment horizontal="center"/>
    </xf>
    <xf numFmtId="167" fontId="1" fillId="0" borderId="20" xfId="1" applyNumberFormat="1" applyBorder="1" applyAlignment="1">
      <alignment horizontal="center"/>
    </xf>
  </cellXfs>
  <cellStyles count="6">
    <cellStyle name="Comma" xfId="1" builtinId="3"/>
    <cellStyle name="Comma 2" xfId="5" xr:uid="{C34FADA5-D6C1-49C0-A239-6C9A6F82F769}"/>
    <cellStyle name="Hyperlink" xfId="2" builtinId="8"/>
    <cellStyle name="Normal" xfId="0" builtinId="0"/>
    <cellStyle name="Normal 2" xfId="4" xr:uid="{FAAA9758-6CFA-497D-8709-1115B2D4238B}"/>
    <cellStyle name="Style 1" xfId="3" xr:uid="{18A0CD60-71AA-472C-99B9-C9A9BFF3D93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337481</xdr:colOff>
      <xdr:row>0</xdr:row>
      <xdr:rowOff>1908048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E19335A-0017-40ED-8A0C-0DCD16A60B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0"/>
          <a:ext cx="7089648" cy="190804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4-25\Nov_2024\Final%20Report\TMF_Monthly_Portfolio_Report_November%2024.xls" TargetMode="External"/><Relationship Id="rId1" Type="http://schemas.openxmlformats.org/officeDocument/2006/relationships/externalLinkPath" Target="file:///Q:\5.TMF\Reporting\Monthly%20Reports\Monthly%20Portfolio\2024-25\Nov_2024\Final%20Report\TMF_Monthly_Portfolio_Report_November%202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ABF5A-5301-41B7-B3EB-346613281A6E}">
  <sheetPr codeName="Sheet1"/>
  <dimension ref="A1:BB120"/>
  <sheetViews>
    <sheetView showGridLines="0" tabSelected="1" zoomScale="90" zoomScaleNormal="90" workbookViewId="0"/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70.1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45626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26985</v>
      </c>
      <c r="H10" s="32">
        <v>485.1</v>
      </c>
      <c r="I10" s="32">
        <v>9.61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18</v>
      </c>
      <c r="G11" s="31">
        <v>32804</v>
      </c>
      <c r="H11" s="32">
        <v>275.23</v>
      </c>
      <c r="I11" s="32">
        <v>5.45</v>
      </c>
      <c r="J11" s="33"/>
    </row>
    <row r="12" spans="1:54" x14ac:dyDescent="0.25">
      <c r="B12" s="1" t="s">
        <v>22</v>
      </c>
      <c r="C12" s="20" t="s">
        <v>23</v>
      </c>
      <c r="D12" s="29" t="s">
        <v>24</v>
      </c>
      <c r="E12" s="30"/>
      <c r="F12" s="30" t="s">
        <v>25</v>
      </c>
      <c r="G12" s="31">
        <v>14147</v>
      </c>
      <c r="H12" s="32">
        <v>261.56</v>
      </c>
      <c r="I12" s="32">
        <v>5.18</v>
      </c>
      <c r="J12" s="33"/>
    </row>
    <row r="13" spans="1:54" x14ac:dyDescent="0.25">
      <c r="B13" s="1" t="s">
        <v>26</v>
      </c>
      <c r="C13" s="20" t="s">
        <v>27</v>
      </c>
      <c r="D13" s="29" t="s">
        <v>28</v>
      </c>
      <c r="E13" s="30"/>
      <c r="F13" s="30" t="s">
        <v>18</v>
      </c>
      <c r="G13" s="31">
        <v>19245</v>
      </c>
      <c r="H13" s="32">
        <v>250.31</v>
      </c>
      <c r="I13" s="32">
        <v>4.96</v>
      </c>
      <c r="J13" s="33"/>
    </row>
    <row r="14" spans="1:54" x14ac:dyDescent="0.25">
      <c r="B14" s="1" t="s">
        <v>29</v>
      </c>
      <c r="C14" s="20" t="s">
        <v>30</v>
      </c>
      <c r="D14" s="29" t="s">
        <v>31</v>
      </c>
      <c r="E14" s="30"/>
      <c r="F14" s="30" t="s">
        <v>32</v>
      </c>
      <c r="G14" s="31">
        <v>49580</v>
      </c>
      <c r="H14" s="32">
        <v>236.52</v>
      </c>
      <c r="I14" s="32">
        <v>4.6900000000000004</v>
      </c>
      <c r="J14" s="33"/>
    </row>
    <row r="15" spans="1:54" x14ac:dyDescent="0.25">
      <c r="B15" s="1" t="s">
        <v>33</v>
      </c>
      <c r="C15" s="20" t="s">
        <v>34</v>
      </c>
      <c r="D15" s="29" t="s">
        <v>35</v>
      </c>
      <c r="E15" s="30"/>
      <c r="F15" s="30" t="s">
        <v>36</v>
      </c>
      <c r="G15" s="31">
        <v>7910</v>
      </c>
      <c r="H15" s="32">
        <v>234.84</v>
      </c>
      <c r="I15" s="32">
        <v>4.6500000000000004</v>
      </c>
      <c r="J15" s="33"/>
    </row>
    <row r="16" spans="1:54" x14ac:dyDescent="0.25">
      <c r="B16" s="1" t="s">
        <v>37</v>
      </c>
      <c r="C16" s="20" t="s">
        <v>38</v>
      </c>
      <c r="D16" s="29" t="s">
        <v>39</v>
      </c>
      <c r="E16" s="30"/>
      <c r="F16" s="30" t="s">
        <v>25</v>
      </c>
      <c r="G16" s="31">
        <v>9839</v>
      </c>
      <c r="H16" s="32">
        <v>182.85</v>
      </c>
      <c r="I16" s="32">
        <v>3.62</v>
      </c>
      <c r="J16" s="33"/>
    </row>
    <row r="17" spans="2:10" x14ac:dyDescent="0.25">
      <c r="B17" s="1" t="s">
        <v>40</v>
      </c>
      <c r="C17" s="20" t="s">
        <v>41</v>
      </c>
      <c r="D17" s="29" t="s">
        <v>42</v>
      </c>
      <c r="E17" s="30"/>
      <c r="F17" s="30" t="s">
        <v>43</v>
      </c>
      <c r="G17" s="31">
        <v>28215</v>
      </c>
      <c r="H17" s="32">
        <v>175.22</v>
      </c>
      <c r="I17" s="32">
        <v>3.47</v>
      </c>
      <c r="J17" s="33"/>
    </row>
    <row r="18" spans="2:10" x14ac:dyDescent="0.25">
      <c r="B18" s="1" t="s">
        <v>44</v>
      </c>
      <c r="C18" s="20" t="s">
        <v>45</v>
      </c>
      <c r="D18" s="29" t="s">
        <v>46</v>
      </c>
      <c r="E18" s="30"/>
      <c r="F18" s="30" t="s">
        <v>36</v>
      </c>
      <c r="G18" s="31">
        <v>1553</v>
      </c>
      <c r="H18" s="32">
        <v>171.96</v>
      </c>
      <c r="I18" s="32">
        <v>3.41</v>
      </c>
      <c r="J18" s="33"/>
    </row>
    <row r="19" spans="2:10" x14ac:dyDescent="0.25">
      <c r="B19" s="1" t="s">
        <v>47</v>
      </c>
      <c r="C19" s="20" t="s">
        <v>48</v>
      </c>
      <c r="D19" s="29" t="s">
        <v>49</v>
      </c>
      <c r="E19" s="30"/>
      <c r="F19" s="30" t="s">
        <v>18</v>
      </c>
      <c r="G19" s="31">
        <v>14966</v>
      </c>
      <c r="H19" s="32">
        <v>170.12</v>
      </c>
      <c r="I19" s="32">
        <v>3.37</v>
      </c>
      <c r="J19" s="33"/>
    </row>
    <row r="20" spans="2:10" x14ac:dyDescent="0.25">
      <c r="B20" s="1" t="s">
        <v>50</v>
      </c>
      <c r="C20" s="20" t="s">
        <v>51</v>
      </c>
      <c r="D20" s="29" t="s">
        <v>52</v>
      </c>
      <c r="E20" s="30"/>
      <c r="F20" s="30" t="s">
        <v>53</v>
      </c>
      <c r="G20" s="31">
        <v>4166</v>
      </c>
      <c r="H20" s="32">
        <v>155.22</v>
      </c>
      <c r="I20" s="32">
        <v>3.08</v>
      </c>
      <c r="J20" s="33"/>
    </row>
    <row r="21" spans="2:10" x14ac:dyDescent="0.25">
      <c r="B21" s="1" t="s">
        <v>54</v>
      </c>
      <c r="C21" s="20" t="s">
        <v>55</v>
      </c>
      <c r="D21" s="29" t="s">
        <v>56</v>
      </c>
      <c r="E21" s="30"/>
      <c r="F21" s="30" t="s">
        <v>57</v>
      </c>
      <c r="G21" s="31">
        <v>3057</v>
      </c>
      <c r="H21" s="32">
        <v>150.57</v>
      </c>
      <c r="I21" s="32">
        <v>2.98</v>
      </c>
      <c r="J21" s="33"/>
    </row>
    <row r="22" spans="2:10" x14ac:dyDescent="0.25">
      <c r="B22" s="1" t="s">
        <v>58</v>
      </c>
      <c r="C22" s="20" t="s">
        <v>59</v>
      </c>
      <c r="D22" s="29" t="s">
        <v>60</v>
      </c>
      <c r="E22" s="30"/>
      <c r="F22" s="30" t="s">
        <v>61</v>
      </c>
      <c r="G22" s="31">
        <v>28749</v>
      </c>
      <c r="H22" s="32">
        <v>119.75</v>
      </c>
      <c r="I22" s="32">
        <v>2.37</v>
      </c>
      <c r="J22" s="33"/>
    </row>
    <row r="23" spans="2:10" x14ac:dyDescent="0.25">
      <c r="B23" s="1" t="s">
        <v>62</v>
      </c>
      <c r="C23" s="20" t="s">
        <v>63</v>
      </c>
      <c r="D23" s="29" t="s">
        <v>64</v>
      </c>
      <c r="E23" s="30"/>
      <c r="F23" s="30" t="s">
        <v>65</v>
      </c>
      <c r="G23" s="31">
        <v>81978</v>
      </c>
      <c r="H23" s="32">
        <v>117.31</v>
      </c>
      <c r="I23" s="32">
        <v>2.3199999999999998</v>
      </c>
      <c r="J23" s="33"/>
    </row>
    <row r="24" spans="2:10" x14ac:dyDescent="0.25">
      <c r="B24" s="1" t="s">
        <v>66</v>
      </c>
      <c r="C24" s="20" t="s">
        <v>67</v>
      </c>
      <c r="D24" s="29" t="s">
        <v>68</v>
      </c>
      <c r="E24" s="30"/>
      <c r="F24" s="30" t="s">
        <v>69</v>
      </c>
      <c r="G24" s="31">
        <v>84070</v>
      </c>
      <c r="H24" s="32">
        <v>116.56</v>
      </c>
      <c r="I24" s="32">
        <v>2.31</v>
      </c>
      <c r="J24" s="33"/>
    </row>
    <row r="25" spans="2:10" x14ac:dyDescent="0.25">
      <c r="B25" s="1" t="s">
        <v>70</v>
      </c>
      <c r="C25" s="20" t="s">
        <v>71</v>
      </c>
      <c r="D25" s="29" t="s">
        <v>72</v>
      </c>
      <c r="E25" s="30"/>
      <c r="F25" s="30" t="s">
        <v>73</v>
      </c>
      <c r="G25" s="31">
        <v>31179</v>
      </c>
      <c r="H25" s="32">
        <v>113.44</v>
      </c>
      <c r="I25" s="32">
        <v>2.25</v>
      </c>
      <c r="J25" s="33"/>
    </row>
    <row r="26" spans="2:10" x14ac:dyDescent="0.25">
      <c r="B26" s="1" t="s">
        <v>74</v>
      </c>
      <c r="C26" s="20" t="s">
        <v>75</v>
      </c>
      <c r="D26" s="29" t="s">
        <v>76</v>
      </c>
      <c r="E26" s="30"/>
      <c r="F26" s="30" t="s">
        <v>73</v>
      </c>
      <c r="G26" s="31">
        <v>33010</v>
      </c>
      <c r="H26" s="32">
        <v>108.8</v>
      </c>
      <c r="I26" s="32">
        <v>2.16</v>
      </c>
      <c r="J26" s="33"/>
    </row>
    <row r="27" spans="2:10" x14ac:dyDescent="0.25">
      <c r="B27" s="1" t="s">
        <v>77</v>
      </c>
      <c r="C27" s="20" t="s">
        <v>78</v>
      </c>
      <c r="D27" s="29" t="s">
        <v>79</v>
      </c>
      <c r="E27" s="30"/>
      <c r="F27" s="30" t="s">
        <v>80</v>
      </c>
      <c r="G27" s="31">
        <v>42238</v>
      </c>
      <c r="H27" s="32">
        <v>108.45</v>
      </c>
      <c r="I27" s="32">
        <v>2.15</v>
      </c>
      <c r="J27" s="33"/>
    </row>
    <row r="28" spans="2:10" x14ac:dyDescent="0.25">
      <c r="B28" s="1" t="s">
        <v>81</v>
      </c>
      <c r="C28" s="20" t="s">
        <v>82</v>
      </c>
      <c r="D28" s="29" t="s">
        <v>83</v>
      </c>
      <c r="E28" s="30"/>
      <c r="F28" s="30" t="s">
        <v>25</v>
      </c>
      <c r="G28" s="31">
        <v>6281</v>
      </c>
      <c r="H28" s="32">
        <v>107.5</v>
      </c>
      <c r="I28" s="32">
        <v>2.13</v>
      </c>
      <c r="J28" s="33"/>
    </row>
    <row r="29" spans="2:10" x14ac:dyDescent="0.25">
      <c r="B29" s="1" t="s">
        <v>84</v>
      </c>
      <c r="C29" s="20" t="s">
        <v>85</v>
      </c>
      <c r="D29" s="29" t="s">
        <v>86</v>
      </c>
      <c r="E29" s="30"/>
      <c r="F29" s="30" t="s">
        <v>87</v>
      </c>
      <c r="G29" s="31">
        <v>5849</v>
      </c>
      <c r="H29" s="32">
        <v>104.21</v>
      </c>
      <c r="I29" s="32">
        <v>2.06</v>
      </c>
      <c r="J29" s="33"/>
    </row>
    <row r="30" spans="2:10" x14ac:dyDescent="0.25">
      <c r="B30" s="1" t="s">
        <v>88</v>
      </c>
      <c r="C30" s="20" t="s">
        <v>89</v>
      </c>
      <c r="D30" s="29" t="s">
        <v>90</v>
      </c>
      <c r="E30" s="30"/>
      <c r="F30" s="30" t="s">
        <v>87</v>
      </c>
      <c r="G30" s="31">
        <v>6725</v>
      </c>
      <c r="H30" s="32">
        <v>103.19</v>
      </c>
      <c r="I30" s="32">
        <v>2.04</v>
      </c>
      <c r="J30" s="33"/>
    </row>
    <row r="31" spans="2:10" x14ac:dyDescent="0.25">
      <c r="B31" s="1" t="s">
        <v>91</v>
      </c>
      <c r="C31" s="20" t="s">
        <v>92</v>
      </c>
      <c r="D31" s="29" t="s">
        <v>93</v>
      </c>
      <c r="E31" s="30"/>
      <c r="F31" s="30" t="s">
        <v>94</v>
      </c>
      <c r="G31" s="31">
        <v>8050</v>
      </c>
      <c r="H31" s="32">
        <v>99.39</v>
      </c>
      <c r="I31" s="32">
        <v>1.97</v>
      </c>
      <c r="J31" s="33"/>
    </row>
    <row r="32" spans="2:10" x14ac:dyDescent="0.25">
      <c r="B32" s="1" t="s">
        <v>95</v>
      </c>
      <c r="C32" s="20" t="s">
        <v>96</v>
      </c>
      <c r="D32" s="29" t="s">
        <v>97</v>
      </c>
      <c r="E32" s="30"/>
      <c r="F32" s="30" t="s">
        <v>98</v>
      </c>
      <c r="G32" s="31">
        <v>67885</v>
      </c>
      <c r="H32" s="32">
        <v>98.13</v>
      </c>
      <c r="I32" s="32">
        <v>1.94</v>
      </c>
      <c r="J32" s="33"/>
    </row>
    <row r="33" spans="2:10" x14ac:dyDescent="0.25">
      <c r="B33" s="1" t="s">
        <v>99</v>
      </c>
      <c r="C33" s="20" t="s">
        <v>100</v>
      </c>
      <c r="D33" s="29" t="s">
        <v>101</v>
      </c>
      <c r="E33" s="30"/>
      <c r="F33" s="30" t="s">
        <v>69</v>
      </c>
      <c r="G33" s="31">
        <v>7590</v>
      </c>
      <c r="H33" s="32">
        <v>98.1</v>
      </c>
      <c r="I33" s="32">
        <v>1.94</v>
      </c>
      <c r="J33" s="33"/>
    </row>
    <row r="34" spans="2:10" x14ac:dyDescent="0.25">
      <c r="B34" s="1" t="s">
        <v>102</v>
      </c>
      <c r="C34" s="20" t="s">
        <v>103</v>
      </c>
      <c r="D34" s="29" t="s">
        <v>104</v>
      </c>
      <c r="E34" s="30"/>
      <c r="F34" s="30" t="s">
        <v>105</v>
      </c>
      <c r="G34" s="31">
        <v>10345</v>
      </c>
      <c r="H34" s="32">
        <v>85.12</v>
      </c>
      <c r="I34" s="32">
        <v>1.69</v>
      </c>
      <c r="J34" s="33"/>
    </row>
    <row r="35" spans="2:10" x14ac:dyDescent="0.25">
      <c r="B35" s="1" t="s">
        <v>106</v>
      </c>
      <c r="C35" s="20" t="s">
        <v>107</v>
      </c>
      <c r="D35" s="29" t="s">
        <v>108</v>
      </c>
      <c r="E35" s="30"/>
      <c r="F35" s="30" t="s">
        <v>109</v>
      </c>
      <c r="G35" s="31">
        <v>51757</v>
      </c>
      <c r="H35" s="32">
        <v>84.08</v>
      </c>
      <c r="I35" s="32">
        <v>1.67</v>
      </c>
      <c r="J35" s="33"/>
    </row>
    <row r="36" spans="2:10" x14ac:dyDescent="0.25">
      <c r="B36" s="1" t="s">
        <v>110</v>
      </c>
      <c r="C36" s="20" t="s">
        <v>111</v>
      </c>
      <c r="D36" s="29" t="s">
        <v>112</v>
      </c>
      <c r="E36" s="30"/>
      <c r="F36" s="30" t="s">
        <v>87</v>
      </c>
      <c r="G36" s="31">
        <v>5570</v>
      </c>
      <c r="H36" s="32">
        <v>78.45</v>
      </c>
      <c r="I36" s="32">
        <v>1.55</v>
      </c>
      <c r="J36" s="33"/>
    </row>
    <row r="37" spans="2:10" x14ac:dyDescent="0.25">
      <c r="B37" s="1" t="s">
        <v>113</v>
      </c>
      <c r="C37" s="20" t="s">
        <v>114</v>
      </c>
      <c r="D37" s="29" t="s">
        <v>115</v>
      </c>
      <c r="E37" s="30"/>
      <c r="F37" s="30" t="s">
        <v>94</v>
      </c>
      <c r="G37" s="31">
        <v>4712</v>
      </c>
      <c r="H37" s="32">
        <v>74.45</v>
      </c>
      <c r="I37" s="32">
        <v>1.48</v>
      </c>
      <c r="J37" s="33"/>
    </row>
    <row r="38" spans="2:10" x14ac:dyDescent="0.25">
      <c r="B38" s="1" t="s">
        <v>116</v>
      </c>
      <c r="C38" s="20" t="s">
        <v>117</v>
      </c>
      <c r="D38" s="29" t="s">
        <v>118</v>
      </c>
      <c r="E38" s="30"/>
      <c r="F38" s="30" t="s">
        <v>119</v>
      </c>
      <c r="G38" s="31">
        <v>1520</v>
      </c>
      <c r="H38" s="32">
        <v>64.44</v>
      </c>
      <c r="I38" s="32">
        <v>1.28</v>
      </c>
      <c r="J38" s="33"/>
    </row>
    <row r="39" spans="2:10" x14ac:dyDescent="0.25">
      <c r="B39" s="1" t="s">
        <v>120</v>
      </c>
      <c r="C39" s="20" t="s">
        <v>121</v>
      </c>
      <c r="D39" s="29" t="s">
        <v>122</v>
      </c>
      <c r="E39" s="30"/>
      <c r="F39" s="30" t="s">
        <v>123</v>
      </c>
      <c r="G39" s="31">
        <v>837</v>
      </c>
      <c r="H39" s="32">
        <v>57.17</v>
      </c>
      <c r="I39" s="32">
        <v>1.1299999999999999</v>
      </c>
      <c r="J39" s="33"/>
    </row>
    <row r="40" spans="2:10" x14ac:dyDescent="0.25">
      <c r="B40" s="1" t="s">
        <v>124</v>
      </c>
      <c r="C40" s="20" t="s">
        <v>125</v>
      </c>
      <c r="D40" s="29" t="s">
        <v>126</v>
      </c>
      <c r="E40" s="30"/>
      <c r="F40" s="30" t="s">
        <v>98</v>
      </c>
      <c r="G40" s="31">
        <v>46227</v>
      </c>
      <c r="H40" s="32">
        <v>54.13</v>
      </c>
      <c r="I40" s="32">
        <v>1.07</v>
      </c>
      <c r="J40" s="33"/>
    </row>
    <row r="41" spans="2:10" x14ac:dyDescent="0.25">
      <c r="B41" s="1" t="s">
        <v>127</v>
      </c>
      <c r="C41" s="20" t="s">
        <v>128</v>
      </c>
      <c r="D41" s="29" t="s">
        <v>129</v>
      </c>
      <c r="E41" s="30"/>
      <c r="F41" s="30" t="s">
        <v>18</v>
      </c>
      <c r="G41" s="31">
        <v>19380</v>
      </c>
      <c r="H41" s="32">
        <v>47.74</v>
      </c>
      <c r="I41" s="32">
        <v>0.95</v>
      </c>
      <c r="J41" s="33"/>
    </row>
    <row r="42" spans="2:10" x14ac:dyDescent="0.25">
      <c r="B42" s="1" t="s">
        <v>130</v>
      </c>
      <c r="C42" s="20" t="s">
        <v>131</v>
      </c>
      <c r="D42" s="29" t="s">
        <v>132</v>
      </c>
      <c r="E42" s="30"/>
      <c r="F42" s="30" t="s">
        <v>133</v>
      </c>
      <c r="G42" s="31">
        <v>3825</v>
      </c>
      <c r="H42" s="32">
        <v>47.3</v>
      </c>
      <c r="I42" s="32">
        <v>0.94</v>
      </c>
      <c r="J42" s="33"/>
    </row>
    <row r="43" spans="2:10" x14ac:dyDescent="0.25">
      <c r="B43" s="1" t="s">
        <v>134</v>
      </c>
      <c r="C43" s="20" t="s">
        <v>135</v>
      </c>
      <c r="D43" s="29" t="s">
        <v>136</v>
      </c>
      <c r="E43" s="30"/>
      <c r="F43" s="30" t="s">
        <v>73</v>
      </c>
      <c r="G43" s="31">
        <v>11400</v>
      </c>
      <c r="H43" s="32">
        <v>47.2</v>
      </c>
      <c r="I43" s="32">
        <v>0.94</v>
      </c>
      <c r="J43" s="33"/>
    </row>
    <row r="44" spans="2:10" x14ac:dyDescent="0.25">
      <c r="B44" s="1" t="s">
        <v>137</v>
      </c>
      <c r="C44" s="20" t="s">
        <v>138</v>
      </c>
      <c r="D44" s="29" t="s">
        <v>139</v>
      </c>
      <c r="E44" s="30"/>
      <c r="F44" s="30" t="s">
        <v>133</v>
      </c>
      <c r="G44" s="31">
        <v>1393</v>
      </c>
      <c r="H44" s="32">
        <v>45.26</v>
      </c>
      <c r="I44" s="32">
        <v>0.9</v>
      </c>
      <c r="J44" s="33"/>
    </row>
    <row r="45" spans="2:10" x14ac:dyDescent="0.25">
      <c r="B45" s="1" t="s">
        <v>140</v>
      </c>
      <c r="C45" s="20" t="s">
        <v>141</v>
      </c>
      <c r="D45" s="29" t="s">
        <v>142</v>
      </c>
      <c r="E45" s="30"/>
      <c r="F45" s="30" t="s">
        <v>143</v>
      </c>
      <c r="G45" s="31">
        <v>4776</v>
      </c>
      <c r="H45" s="32">
        <v>44.8</v>
      </c>
      <c r="I45" s="32">
        <v>0.89</v>
      </c>
      <c r="J45" s="33"/>
    </row>
    <row r="46" spans="2:10" x14ac:dyDescent="0.25">
      <c r="B46" s="1" t="s">
        <v>144</v>
      </c>
      <c r="C46" s="20" t="s">
        <v>145</v>
      </c>
      <c r="D46" s="29" t="s">
        <v>146</v>
      </c>
      <c r="E46" s="30"/>
      <c r="F46" s="30" t="s">
        <v>147</v>
      </c>
      <c r="G46" s="31">
        <v>2600</v>
      </c>
      <c r="H46" s="32">
        <v>42.31</v>
      </c>
      <c r="I46" s="32">
        <v>0.84</v>
      </c>
      <c r="J46" s="33"/>
    </row>
    <row r="47" spans="2:10" x14ac:dyDescent="0.25">
      <c r="B47" s="1" t="s">
        <v>148</v>
      </c>
      <c r="C47" s="20" t="s">
        <v>149</v>
      </c>
      <c r="D47" s="29" t="s">
        <v>150</v>
      </c>
      <c r="E47" s="30"/>
      <c r="F47" s="30" t="s">
        <v>65</v>
      </c>
      <c r="G47" s="31">
        <v>7883</v>
      </c>
      <c r="H47" s="32">
        <v>14.43</v>
      </c>
      <c r="I47" s="32">
        <v>0.28999999999999998</v>
      </c>
      <c r="J47" s="33"/>
    </row>
    <row r="48" spans="2:10" x14ac:dyDescent="0.25">
      <c r="C48" s="28" t="s">
        <v>151</v>
      </c>
      <c r="D48" s="29"/>
      <c r="E48" s="30"/>
      <c r="F48" s="30"/>
      <c r="G48" s="31"/>
      <c r="H48" s="35">
        <v>4831.21</v>
      </c>
      <c r="I48" s="35">
        <v>95.73</v>
      </c>
      <c r="J48" s="33"/>
    </row>
    <row r="49" spans="3:10" x14ac:dyDescent="0.25">
      <c r="C49" s="20"/>
      <c r="D49" s="29"/>
      <c r="E49" s="30"/>
      <c r="F49" s="30"/>
      <c r="G49" s="31"/>
      <c r="H49" s="32"/>
      <c r="I49" s="32"/>
      <c r="J49" s="33"/>
    </row>
    <row r="50" spans="3:10" x14ac:dyDescent="0.25">
      <c r="C50" s="28" t="s">
        <v>152</v>
      </c>
      <c r="D50" s="29"/>
      <c r="E50" s="30"/>
      <c r="F50" s="30"/>
      <c r="G50" s="31"/>
      <c r="H50" s="32" t="s">
        <v>153</v>
      </c>
      <c r="I50" s="32" t="s">
        <v>153</v>
      </c>
      <c r="J50" s="33"/>
    </row>
    <row r="51" spans="3:10" x14ac:dyDescent="0.25">
      <c r="C51" s="20"/>
      <c r="D51" s="29"/>
      <c r="E51" s="30"/>
      <c r="F51" s="30"/>
      <c r="G51" s="31"/>
      <c r="H51" s="32"/>
      <c r="I51" s="32"/>
      <c r="J51" s="33"/>
    </row>
    <row r="52" spans="3:10" x14ac:dyDescent="0.25">
      <c r="C52" s="28" t="s">
        <v>154</v>
      </c>
      <c r="D52" s="29"/>
      <c r="E52" s="30"/>
      <c r="F52" s="30"/>
      <c r="G52" s="31"/>
      <c r="H52" s="32" t="s">
        <v>153</v>
      </c>
      <c r="I52" s="32" t="s">
        <v>153</v>
      </c>
      <c r="J52" s="33"/>
    </row>
    <row r="53" spans="3:10" x14ac:dyDescent="0.25">
      <c r="C53" s="20"/>
      <c r="D53" s="29"/>
      <c r="E53" s="30"/>
      <c r="F53" s="30"/>
      <c r="G53" s="31"/>
      <c r="H53" s="32"/>
      <c r="I53" s="32"/>
      <c r="J53" s="33"/>
    </row>
    <row r="54" spans="3:10" x14ac:dyDescent="0.25">
      <c r="C54" s="28" t="s">
        <v>155</v>
      </c>
      <c r="D54" s="29"/>
      <c r="E54" s="30"/>
      <c r="F54" s="30"/>
      <c r="G54" s="31"/>
      <c r="H54" s="32"/>
      <c r="I54" s="32"/>
      <c r="J54" s="33"/>
    </row>
    <row r="55" spans="3:10" x14ac:dyDescent="0.25">
      <c r="C55" s="20"/>
      <c r="D55" s="29"/>
      <c r="E55" s="30"/>
      <c r="F55" s="30"/>
      <c r="G55" s="31"/>
      <c r="H55" s="32"/>
      <c r="I55" s="32"/>
      <c r="J55" s="33"/>
    </row>
    <row r="56" spans="3:10" x14ac:dyDescent="0.25">
      <c r="C56" s="28" t="s">
        <v>156</v>
      </c>
      <c r="D56" s="29"/>
      <c r="E56" s="30"/>
      <c r="F56" s="30"/>
      <c r="G56" s="31"/>
      <c r="H56" s="32" t="s">
        <v>153</v>
      </c>
      <c r="I56" s="32" t="s">
        <v>153</v>
      </c>
      <c r="J56" s="33"/>
    </row>
    <row r="57" spans="3:10" x14ac:dyDescent="0.25">
      <c r="C57" s="20"/>
      <c r="D57" s="29"/>
      <c r="E57" s="30"/>
      <c r="F57" s="30"/>
      <c r="G57" s="31"/>
      <c r="H57" s="32"/>
      <c r="I57" s="32"/>
      <c r="J57" s="33"/>
    </row>
    <row r="58" spans="3:10" x14ac:dyDescent="0.25">
      <c r="C58" s="28" t="s">
        <v>157</v>
      </c>
      <c r="D58" s="29"/>
      <c r="E58" s="30"/>
      <c r="F58" s="30"/>
      <c r="G58" s="31"/>
      <c r="H58" s="32" t="s">
        <v>153</v>
      </c>
      <c r="I58" s="32" t="s">
        <v>153</v>
      </c>
      <c r="J58" s="33"/>
    </row>
    <row r="59" spans="3:10" x14ac:dyDescent="0.25">
      <c r="C59" s="20"/>
      <c r="D59" s="29"/>
      <c r="E59" s="30"/>
      <c r="F59" s="30"/>
      <c r="G59" s="31"/>
      <c r="H59" s="32"/>
      <c r="I59" s="32"/>
      <c r="J59" s="33"/>
    </row>
    <row r="60" spans="3:10" x14ac:dyDescent="0.25">
      <c r="C60" s="28" t="s">
        <v>158</v>
      </c>
      <c r="D60" s="29"/>
      <c r="E60" s="30"/>
      <c r="F60" s="30"/>
      <c r="G60" s="31"/>
      <c r="H60" s="32" t="s">
        <v>153</v>
      </c>
      <c r="I60" s="32" t="s">
        <v>153</v>
      </c>
      <c r="J60" s="33"/>
    </row>
    <row r="61" spans="3:10" x14ac:dyDescent="0.25">
      <c r="C61" s="20"/>
      <c r="D61" s="29"/>
      <c r="E61" s="30"/>
      <c r="F61" s="30"/>
      <c r="G61" s="31"/>
      <c r="H61" s="32"/>
      <c r="I61" s="32"/>
      <c r="J61" s="33"/>
    </row>
    <row r="62" spans="3:10" x14ac:dyDescent="0.25">
      <c r="C62" s="28" t="s">
        <v>159</v>
      </c>
      <c r="D62" s="29"/>
      <c r="E62" s="30"/>
      <c r="F62" s="30"/>
      <c r="G62" s="31"/>
      <c r="H62" s="32" t="s">
        <v>153</v>
      </c>
      <c r="I62" s="32" t="s">
        <v>153</v>
      </c>
      <c r="J62" s="33"/>
    </row>
    <row r="63" spans="3:10" x14ac:dyDescent="0.25">
      <c r="C63" s="20"/>
      <c r="D63" s="29"/>
      <c r="E63" s="30"/>
      <c r="F63" s="30"/>
      <c r="G63" s="31"/>
      <c r="H63" s="32"/>
      <c r="I63" s="32"/>
      <c r="J63" s="33"/>
    </row>
    <row r="64" spans="3:10" x14ac:dyDescent="0.25">
      <c r="C64" s="28" t="s">
        <v>160</v>
      </c>
      <c r="D64" s="29"/>
      <c r="E64" s="30"/>
      <c r="F64" s="30"/>
      <c r="G64" s="31"/>
      <c r="H64" s="32" t="s">
        <v>153</v>
      </c>
      <c r="I64" s="32" t="s">
        <v>153</v>
      </c>
      <c r="J64" s="33"/>
    </row>
    <row r="65" spans="3:10" x14ac:dyDescent="0.25">
      <c r="C65" s="20"/>
      <c r="D65" s="29"/>
      <c r="E65" s="30"/>
      <c r="F65" s="30"/>
      <c r="G65" s="31"/>
      <c r="H65" s="32"/>
      <c r="I65" s="32"/>
      <c r="J65" s="33"/>
    </row>
    <row r="66" spans="3:10" x14ac:dyDescent="0.25">
      <c r="C66" s="28" t="s">
        <v>161</v>
      </c>
      <c r="D66" s="29"/>
      <c r="E66" s="30"/>
      <c r="F66" s="30"/>
      <c r="G66" s="31"/>
      <c r="H66" s="32"/>
      <c r="I66" s="32"/>
      <c r="J66" s="33"/>
    </row>
    <row r="67" spans="3:10" x14ac:dyDescent="0.25">
      <c r="C67" s="20"/>
      <c r="D67" s="29"/>
      <c r="E67" s="30"/>
      <c r="F67" s="30"/>
      <c r="G67" s="31"/>
      <c r="H67" s="32"/>
      <c r="I67" s="32"/>
      <c r="J67" s="33"/>
    </row>
    <row r="68" spans="3:10" x14ac:dyDescent="0.25">
      <c r="C68" s="28" t="s">
        <v>162</v>
      </c>
      <c r="D68" s="29"/>
      <c r="E68" s="30"/>
      <c r="F68" s="30"/>
      <c r="G68" s="31"/>
      <c r="H68" s="32" t="s">
        <v>153</v>
      </c>
      <c r="I68" s="32" t="s">
        <v>153</v>
      </c>
      <c r="J68" s="33"/>
    </row>
    <row r="69" spans="3:10" x14ac:dyDescent="0.25">
      <c r="C69" s="20"/>
      <c r="D69" s="29"/>
      <c r="E69" s="30"/>
      <c r="F69" s="30"/>
      <c r="G69" s="31"/>
      <c r="H69" s="32"/>
      <c r="I69" s="32"/>
      <c r="J69" s="33"/>
    </row>
    <row r="70" spans="3:10" x14ac:dyDescent="0.25">
      <c r="C70" s="28" t="s">
        <v>163</v>
      </c>
      <c r="D70" s="29"/>
      <c r="E70" s="30"/>
      <c r="F70" s="30"/>
      <c r="G70" s="31"/>
      <c r="H70" s="32" t="s">
        <v>153</v>
      </c>
      <c r="I70" s="32" t="s">
        <v>153</v>
      </c>
      <c r="J70" s="33"/>
    </row>
    <row r="71" spans="3:10" x14ac:dyDescent="0.25">
      <c r="C71" s="20"/>
      <c r="D71" s="29"/>
      <c r="E71" s="30"/>
      <c r="F71" s="30"/>
      <c r="G71" s="31"/>
      <c r="H71" s="32"/>
      <c r="I71" s="32"/>
      <c r="J71" s="33"/>
    </row>
    <row r="72" spans="3:10" x14ac:dyDescent="0.25">
      <c r="C72" s="28" t="s">
        <v>164</v>
      </c>
      <c r="D72" s="29"/>
      <c r="E72" s="30"/>
      <c r="F72" s="30"/>
      <c r="G72" s="31"/>
      <c r="H72" s="32" t="s">
        <v>153</v>
      </c>
      <c r="I72" s="32" t="s">
        <v>153</v>
      </c>
      <c r="J72" s="33"/>
    </row>
    <row r="73" spans="3:10" x14ac:dyDescent="0.25">
      <c r="C73" s="20"/>
      <c r="D73" s="29"/>
      <c r="E73" s="30"/>
      <c r="F73" s="30"/>
      <c r="G73" s="31"/>
      <c r="H73" s="32"/>
      <c r="I73" s="32"/>
      <c r="J73" s="33"/>
    </row>
    <row r="74" spans="3:10" x14ac:dyDescent="0.25">
      <c r="C74" s="28" t="s">
        <v>165</v>
      </c>
      <c r="D74" s="29"/>
      <c r="E74" s="30"/>
      <c r="F74" s="30"/>
      <c r="G74" s="31"/>
      <c r="H74" s="32" t="s">
        <v>153</v>
      </c>
      <c r="I74" s="32" t="s">
        <v>153</v>
      </c>
      <c r="J74" s="33"/>
    </row>
    <row r="75" spans="3:10" x14ac:dyDescent="0.25">
      <c r="C75" s="20"/>
      <c r="D75" s="29"/>
      <c r="E75" s="30"/>
      <c r="F75" s="30"/>
      <c r="G75" s="31"/>
      <c r="H75" s="32"/>
      <c r="I75" s="32"/>
      <c r="J75" s="33"/>
    </row>
    <row r="76" spans="3:10" x14ac:dyDescent="0.25">
      <c r="C76" s="28" t="s">
        <v>166</v>
      </c>
      <c r="D76" s="29"/>
      <c r="E76" s="30"/>
      <c r="F76" s="30"/>
      <c r="G76" s="31"/>
      <c r="H76" s="32"/>
      <c r="I76" s="32"/>
      <c r="J76" s="33"/>
    </row>
    <row r="77" spans="3:10" x14ac:dyDescent="0.25">
      <c r="C77" s="20"/>
      <c r="D77" s="29"/>
      <c r="E77" s="30"/>
      <c r="F77" s="30"/>
      <c r="G77" s="31"/>
      <c r="H77" s="32"/>
      <c r="I77" s="32"/>
      <c r="J77" s="33"/>
    </row>
    <row r="78" spans="3:10" x14ac:dyDescent="0.25">
      <c r="C78" s="28" t="s">
        <v>167</v>
      </c>
      <c r="D78" s="29"/>
      <c r="E78" s="30"/>
      <c r="F78" s="30"/>
      <c r="G78" s="31"/>
      <c r="H78" s="32" t="s">
        <v>153</v>
      </c>
      <c r="I78" s="32" t="s">
        <v>153</v>
      </c>
      <c r="J78" s="33"/>
    </row>
    <row r="79" spans="3:10" x14ac:dyDescent="0.25">
      <c r="C79" s="20"/>
      <c r="D79" s="29"/>
      <c r="E79" s="30"/>
      <c r="F79" s="30"/>
      <c r="G79" s="31"/>
      <c r="H79" s="32"/>
      <c r="I79" s="32"/>
      <c r="J79" s="33"/>
    </row>
    <row r="80" spans="3:10" x14ac:dyDescent="0.25">
      <c r="C80" s="28" t="s">
        <v>168</v>
      </c>
      <c r="D80" s="29"/>
      <c r="E80" s="30"/>
      <c r="F80" s="30"/>
      <c r="G80" s="31"/>
      <c r="H80" s="32" t="s">
        <v>153</v>
      </c>
      <c r="I80" s="32" t="s">
        <v>153</v>
      </c>
      <c r="J80" s="33"/>
    </row>
    <row r="81" spans="1:10" x14ac:dyDescent="0.25">
      <c r="C81" s="20"/>
      <c r="D81" s="29"/>
      <c r="E81" s="30"/>
      <c r="F81" s="30"/>
      <c r="G81" s="31"/>
      <c r="H81" s="32"/>
      <c r="I81" s="32"/>
      <c r="J81" s="33"/>
    </row>
    <row r="82" spans="1:10" x14ac:dyDescent="0.25">
      <c r="C82" s="28" t="s">
        <v>169</v>
      </c>
      <c r="D82" s="29"/>
      <c r="E82" s="30"/>
      <c r="F82" s="30"/>
      <c r="G82" s="31"/>
      <c r="H82" s="32" t="s">
        <v>153</v>
      </c>
      <c r="I82" s="32" t="s">
        <v>153</v>
      </c>
      <c r="J82" s="33"/>
    </row>
    <row r="83" spans="1:10" x14ac:dyDescent="0.25">
      <c r="C83" s="20"/>
      <c r="D83" s="29"/>
      <c r="E83" s="30"/>
      <c r="F83" s="30"/>
      <c r="G83" s="31"/>
      <c r="H83" s="32"/>
      <c r="I83" s="32"/>
      <c r="J83" s="33"/>
    </row>
    <row r="84" spans="1:10" x14ac:dyDescent="0.25">
      <c r="C84" s="28" t="s">
        <v>170</v>
      </c>
      <c r="D84" s="29"/>
      <c r="E84" s="30"/>
      <c r="F84" s="30"/>
      <c r="G84" s="31"/>
      <c r="H84" s="32" t="s">
        <v>153</v>
      </c>
      <c r="I84" s="32" t="s">
        <v>153</v>
      </c>
      <c r="J84" s="33"/>
    </row>
    <row r="85" spans="1:10" x14ac:dyDescent="0.25">
      <c r="C85" s="20"/>
      <c r="D85" s="29"/>
      <c r="E85" s="30"/>
      <c r="F85" s="30"/>
      <c r="G85" s="31"/>
      <c r="H85" s="32"/>
      <c r="I85" s="32"/>
      <c r="J85" s="33"/>
    </row>
    <row r="86" spans="1:10" x14ac:dyDescent="0.25">
      <c r="C86" s="28" t="s">
        <v>171</v>
      </c>
      <c r="D86" s="29"/>
      <c r="E86" s="30"/>
      <c r="F86" s="30"/>
      <c r="G86" s="31"/>
      <c r="H86" s="32" t="s">
        <v>153</v>
      </c>
      <c r="I86" s="32" t="s">
        <v>153</v>
      </c>
      <c r="J86" s="33"/>
    </row>
    <row r="87" spans="1:10" x14ac:dyDescent="0.25">
      <c r="C87" s="20"/>
      <c r="D87" s="29"/>
      <c r="E87" s="30"/>
      <c r="F87" s="30"/>
      <c r="G87" s="31"/>
      <c r="H87" s="32"/>
      <c r="I87" s="32"/>
      <c r="J87" s="33"/>
    </row>
    <row r="88" spans="1:10" x14ac:dyDescent="0.25">
      <c r="C88" s="28" t="s">
        <v>172</v>
      </c>
      <c r="D88" s="29"/>
      <c r="E88" s="30"/>
      <c r="F88" s="30"/>
      <c r="G88" s="31"/>
      <c r="H88" s="32" t="s">
        <v>153</v>
      </c>
      <c r="I88" s="32" t="s">
        <v>153</v>
      </c>
      <c r="J88" s="33"/>
    </row>
    <row r="89" spans="1:10" x14ac:dyDescent="0.25">
      <c r="C89" s="20"/>
      <c r="D89" s="29"/>
      <c r="E89" s="30"/>
      <c r="F89" s="30"/>
      <c r="G89" s="31"/>
      <c r="H89" s="32"/>
      <c r="I89" s="32"/>
      <c r="J89" s="33"/>
    </row>
    <row r="90" spans="1:10" x14ac:dyDescent="0.25">
      <c r="A90" s="26"/>
      <c r="B90" s="27"/>
      <c r="C90" s="28" t="s">
        <v>173</v>
      </c>
      <c r="D90" s="29"/>
      <c r="E90" s="30"/>
      <c r="F90" s="30"/>
      <c r="G90" s="31"/>
      <c r="H90" s="32"/>
      <c r="I90" s="32"/>
      <c r="J90" s="33"/>
    </row>
    <row r="91" spans="1:10" x14ac:dyDescent="0.25">
      <c r="B91" s="1"/>
      <c r="C91" s="20" t="s">
        <v>174</v>
      </c>
      <c r="D91" s="29"/>
      <c r="E91" s="30"/>
      <c r="F91" s="30"/>
      <c r="G91" s="31"/>
      <c r="H91" s="32">
        <v>215.88</v>
      </c>
      <c r="I91" s="32">
        <v>4.2700000000000005</v>
      </c>
      <c r="J91" s="33"/>
    </row>
    <row r="92" spans="1:10" x14ac:dyDescent="0.25">
      <c r="C92" s="28" t="s">
        <v>151</v>
      </c>
      <c r="D92" s="29"/>
      <c r="E92" s="30"/>
      <c r="F92" s="30"/>
      <c r="G92" s="31"/>
      <c r="H92" s="35">
        <v>215.88</v>
      </c>
      <c r="I92" s="35">
        <v>4.2700000000000005</v>
      </c>
      <c r="J92" s="33"/>
    </row>
    <row r="93" spans="1:10" x14ac:dyDescent="0.25">
      <c r="C93" s="20"/>
      <c r="D93" s="29"/>
      <c r="E93" s="30"/>
      <c r="F93" s="30"/>
      <c r="G93" s="31"/>
      <c r="H93" s="32"/>
      <c r="I93" s="32"/>
      <c r="J93" s="33"/>
    </row>
    <row r="94" spans="1:10" ht="14.25" thickBot="1" x14ac:dyDescent="0.3">
      <c r="C94" s="36" t="s">
        <v>175</v>
      </c>
      <c r="D94" s="37"/>
      <c r="E94" s="38"/>
      <c r="F94" s="39"/>
      <c r="G94" s="40"/>
      <c r="H94" s="41">
        <v>5047.09</v>
      </c>
      <c r="I94" s="41">
        <f>SUMIFS(I:I,C:C,"Total")</f>
        <v>100</v>
      </c>
      <c r="J94" s="42"/>
    </row>
    <row r="97" spans="3:5" x14ac:dyDescent="0.25">
      <c r="C97" s="11" t="s">
        <v>176</v>
      </c>
    </row>
    <row r="98" spans="3:5" x14ac:dyDescent="0.25">
      <c r="C98" s="2" t="s">
        <v>177</v>
      </c>
    </row>
    <row r="99" spans="3:5" x14ac:dyDescent="0.25">
      <c r="C99" s="2" t="s">
        <v>178</v>
      </c>
    </row>
    <row r="100" spans="3:5" x14ac:dyDescent="0.25">
      <c r="C100" s="2" t="s">
        <v>179</v>
      </c>
    </row>
    <row r="101" spans="3:5" x14ac:dyDescent="0.25">
      <c r="C101" s="2" t="s">
        <v>180</v>
      </c>
    </row>
    <row r="102" spans="3:5" x14ac:dyDescent="0.25">
      <c r="C102" s="2" t="s">
        <v>181</v>
      </c>
    </row>
    <row r="103" spans="3:5" x14ac:dyDescent="0.25">
      <c r="C103" s="2" t="s">
        <v>182</v>
      </c>
    </row>
    <row r="104" spans="3:5" x14ac:dyDescent="0.25">
      <c r="D104" s="2" t="s">
        <v>183</v>
      </c>
    </row>
    <row r="105" spans="3:5" x14ac:dyDescent="0.25">
      <c r="C105" s="2" t="s">
        <v>184</v>
      </c>
      <c r="D105" s="2" t="s">
        <v>185</v>
      </c>
      <c r="E105" s="2" t="s">
        <v>185</v>
      </c>
    </row>
    <row r="106" spans="3:5" x14ac:dyDescent="0.25">
      <c r="D106" s="2" t="s">
        <v>186</v>
      </c>
      <c r="E106" s="2" t="s">
        <v>187</v>
      </c>
    </row>
    <row r="107" spans="3:5" x14ac:dyDescent="0.25">
      <c r="C107" s="2" t="s">
        <v>188</v>
      </c>
      <c r="D107" s="2">
        <v>67.7</v>
      </c>
      <c r="E107" s="2">
        <v>68.33</v>
      </c>
    </row>
    <row r="108" spans="3:5" x14ac:dyDescent="0.25">
      <c r="C108" s="2" t="s">
        <v>189</v>
      </c>
      <c r="D108" s="2">
        <v>154.55000000000001</v>
      </c>
      <c r="E108" s="2">
        <v>155.97</v>
      </c>
    </row>
    <row r="109" spans="3:5" x14ac:dyDescent="0.25">
      <c r="C109" s="2" t="s">
        <v>190</v>
      </c>
      <c r="D109" s="2">
        <v>71.930000000000007</v>
      </c>
      <c r="E109" s="2">
        <v>72.599999999999994</v>
      </c>
    </row>
    <row r="110" spans="3:5" x14ac:dyDescent="0.25">
      <c r="C110" s="2" t="s">
        <v>191</v>
      </c>
      <c r="D110" s="2">
        <v>163.30000000000001</v>
      </c>
      <c r="E110" s="2">
        <v>164.82</v>
      </c>
    </row>
    <row r="112" spans="3:5" x14ac:dyDescent="0.25">
      <c r="C112" s="2" t="s">
        <v>192</v>
      </c>
    </row>
    <row r="113" spans="3:3" x14ac:dyDescent="0.25">
      <c r="C113" s="2" t="s">
        <v>193</v>
      </c>
    </row>
    <row r="114" spans="3:3" x14ac:dyDescent="0.25">
      <c r="C114" s="2" t="s">
        <v>194</v>
      </c>
    </row>
    <row r="115" spans="3:3" x14ac:dyDescent="0.25">
      <c r="C115" s="2" t="s">
        <v>195</v>
      </c>
    </row>
    <row r="116" spans="3:3" x14ac:dyDescent="0.25">
      <c r="C116" s="2" t="s">
        <v>196</v>
      </c>
    </row>
    <row r="117" spans="3:3" x14ac:dyDescent="0.25">
      <c r="C117" s="2" t="s">
        <v>197</v>
      </c>
    </row>
    <row r="118" spans="3:3" x14ac:dyDescent="0.25">
      <c r="C118" s="2" t="s">
        <v>198</v>
      </c>
    </row>
    <row r="119" spans="3:3" x14ac:dyDescent="0.25">
      <c r="C119" s="2" t="s">
        <v>199</v>
      </c>
    </row>
    <row r="120" spans="3:3" x14ac:dyDescent="0.25">
      <c r="C120" s="2" t="s">
        <v>200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F0790-9D30-470D-BEA8-D8C48C0F8551}">
  <dimension ref="C3:K17"/>
  <sheetViews>
    <sheetView workbookViewId="0"/>
  </sheetViews>
  <sheetFormatPr defaultRowHeight="15" x14ac:dyDescent="0.25"/>
  <cols>
    <col min="3" max="3" width="47.7109375" customWidth="1"/>
    <col min="4" max="4" width="7.42578125" bestFit="1" customWidth="1"/>
    <col min="5" max="5" width="11" bestFit="1" customWidth="1"/>
    <col min="6" max="6" width="7.42578125" bestFit="1" customWidth="1"/>
    <col min="7" max="7" width="11" bestFit="1" customWidth="1"/>
    <col min="8" max="8" width="7.42578125" bestFit="1" customWidth="1"/>
    <col min="9" max="9" width="11" bestFit="1" customWidth="1"/>
    <col min="10" max="10" width="7.42578125" bestFit="1" customWidth="1"/>
    <col min="11" max="11" width="12" bestFit="1" customWidth="1"/>
  </cols>
  <sheetData>
    <row r="3" spans="3:11" ht="15.75" x14ac:dyDescent="0.25">
      <c r="C3" s="43" t="s">
        <v>201</v>
      </c>
      <c r="D3" s="44"/>
      <c r="E3" s="44"/>
      <c r="F3" s="44"/>
      <c r="G3" s="44"/>
      <c r="H3" s="44"/>
      <c r="I3" s="44"/>
      <c r="J3" s="44"/>
      <c r="K3" s="44"/>
    </row>
    <row r="4" spans="3:11" x14ac:dyDescent="0.25">
      <c r="C4" s="45" t="s">
        <v>202</v>
      </c>
      <c r="D4" s="52" t="s">
        <v>203</v>
      </c>
      <c r="E4" s="52"/>
      <c r="F4" s="52" t="s">
        <v>204</v>
      </c>
      <c r="G4" s="52"/>
      <c r="H4" s="52" t="s">
        <v>205</v>
      </c>
      <c r="I4" s="52"/>
      <c r="J4" s="53" t="s">
        <v>206</v>
      </c>
      <c r="K4" s="53"/>
    </row>
    <row r="5" spans="3:11" ht="63.75" x14ac:dyDescent="0.25">
      <c r="C5" s="46"/>
      <c r="D5" s="47" t="s">
        <v>207</v>
      </c>
      <c r="E5" s="47" t="s">
        <v>208</v>
      </c>
      <c r="F5" s="47" t="s">
        <v>207</v>
      </c>
      <c r="G5" s="47" t="s">
        <v>208</v>
      </c>
      <c r="H5" s="47" t="s">
        <v>207</v>
      </c>
      <c r="I5" s="47" t="s">
        <v>208</v>
      </c>
      <c r="J5" s="48" t="s">
        <v>207</v>
      </c>
      <c r="K5" s="48" t="s">
        <v>208</v>
      </c>
    </row>
    <row r="6" spans="3:11" x14ac:dyDescent="0.25">
      <c r="C6" s="49" t="s">
        <v>209</v>
      </c>
      <c r="D6" s="50">
        <v>28.209800000000001</v>
      </c>
      <c r="E6" s="50">
        <v>12903.706154864329</v>
      </c>
      <c r="F6" s="50">
        <v>16.283799999999999</v>
      </c>
      <c r="G6" s="50">
        <v>15681.109882376595</v>
      </c>
      <c r="H6" s="50">
        <v>15.2478</v>
      </c>
      <c r="I6" s="50">
        <v>20346.986694495172</v>
      </c>
      <c r="J6" s="50">
        <v>11.042199999999999</v>
      </c>
      <c r="K6" s="50">
        <v>155980</v>
      </c>
    </row>
    <row r="7" spans="3:11" x14ac:dyDescent="0.25">
      <c r="C7" s="49" t="s">
        <v>210</v>
      </c>
      <c r="D7" s="50">
        <v>24.819700000000001</v>
      </c>
      <c r="E7" s="50">
        <v>12481.97</v>
      </c>
      <c r="F7" s="50">
        <v>15.3992</v>
      </c>
      <c r="G7" s="50">
        <v>15367.683030375678</v>
      </c>
      <c r="H7" s="50">
        <v>17.569800000000001</v>
      </c>
      <c r="I7" s="50">
        <v>22463.576198848859</v>
      </c>
      <c r="J7" s="50">
        <v>12.571899999999999</v>
      </c>
      <c r="K7" s="50">
        <v>339785.50346816971</v>
      </c>
    </row>
    <row r="8" spans="3:11" x14ac:dyDescent="0.25">
      <c r="C8" s="49" t="s">
        <v>211</v>
      </c>
      <c r="D8" s="50">
        <v>21.272200000000002</v>
      </c>
      <c r="E8" s="50">
        <v>12127.220000000001</v>
      </c>
      <c r="F8" s="50">
        <v>13.763500000000001</v>
      </c>
      <c r="G8" s="50">
        <v>14723.424536015229</v>
      </c>
      <c r="H8" s="50">
        <v>16.2056</v>
      </c>
      <c r="I8" s="50">
        <v>21190.211284671968</v>
      </c>
      <c r="J8" s="50">
        <v>12.721299999999999</v>
      </c>
      <c r="K8" s="50">
        <v>353470.88265748619</v>
      </c>
    </row>
    <row r="9" spans="3:11" x14ac:dyDescent="0.25">
      <c r="C9" s="49" t="s">
        <v>212</v>
      </c>
      <c r="D9" s="54">
        <v>120.88</v>
      </c>
      <c r="E9" s="55"/>
      <c r="F9" s="54">
        <v>99.47</v>
      </c>
      <c r="G9" s="55"/>
      <c r="H9" s="54">
        <v>76.66</v>
      </c>
      <c r="I9" s="55"/>
      <c r="J9" s="54">
        <v>10</v>
      </c>
      <c r="K9" s="55"/>
    </row>
    <row r="11" spans="3:11" ht="15.75" x14ac:dyDescent="0.25">
      <c r="C11" s="43" t="s">
        <v>213</v>
      </c>
      <c r="D11" s="44"/>
      <c r="E11" s="44"/>
      <c r="F11" s="44"/>
      <c r="G11" s="44"/>
      <c r="H11" s="44"/>
      <c r="I11" s="44"/>
      <c r="J11" s="44"/>
      <c r="K11" s="44"/>
    </row>
    <row r="12" spans="3:11" x14ac:dyDescent="0.25">
      <c r="C12" s="45" t="s">
        <v>202</v>
      </c>
      <c r="D12" s="52" t="s">
        <v>203</v>
      </c>
      <c r="E12" s="52"/>
      <c r="F12" s="52" t="s">
        <v>204</v>
      </c>
      <c r="G12" s="52"/>
      <c r="H12" s="52" t="s">
        <v>205</v>
      </c>
      <c r="I12" s="52"/>
      <c r="J12" s="53" t="s">
        <v>206</v>
      </c>
      <c r="K12" s="53"/>
    </row>
    <row r="13" spans="3:11" ht="63.75" x14ac:dyDescent="0.25">
      <c r="C13" s="46"/>
      <c r="D13" s="47" t="s">
        <v>207</v>
      </c>
      <c r="E13" s="47" t="s">
        <v>208</v>
      </c>
      <c r="F13" s="47" t="s">
        <v>207</v>
      </c>
      <c r="G13" s="47" t="s">
        <v>208</v>
      </c>
      <c r="H13" s="47" t="s">
        <v>207</v>
      </c>
      <c r="I13" s="47" t="s">
        <v>208</v>
      </c>
      <c r="J13" s="48" t="s">
        <v>207</v>
      </c>
      <c r="K13" s="48" t="s">
        <v>208</v>
      </c>
    </row>
    <row r="14" spans="3:11" x14ac:dyDescent="0.25">
      <c r="C14" s="49" t="s">
        <v>209</v>
      </c>
      <c r="D14" s="50">
        <v>28.3523</v>
      </c>
      <c r="E14" s="50">
        <v>12916.699318235249</v>
      </c>
      <c r="F14" s="50">
        <v>16.390599999999999</v>
      </c>
      <c r="G14" s="50">
        <v>15725.052470902501</v>
      </c>
      <c r="H14" s="50">
        <v>15.370200000000001</v>
      </c>
      <c r="I14" s="50">
        <v>20455.448001985606</v>
      </c>
      <c r="J14" s="50">
        <v>11.5687</v>
      </c>
      <c r="K14" s="50">
        <v>37023.809523809527</v>
      </c>
    </row>
    <row r="15" spans="3:11" x14ac:dyDescent="0.25">
      <c r="C15" s="49" t="s">
        <v>210</v>
      </c>
      <c r="D15" s="50">
        <v>24.819700000000001</v>
      </c>
      <c r="E15" s="50">
        <v>12481.97</v>
      </c>
      <c r="F15" s="50">
        <v>15.3992</v>
      </c>
      <c r="G15" s="50">
        <v>15367.683030375678</v>
      </c>
      <c r="H15" s="50">
        <v>17.569800000000001</v>
      </c>
      <c r="I15" s="50">
        <v>22463.576198848859</v>
      </c>
      <c r="J15" s="50">
        <v>14.3409</v>
      </c>
      <c r="K15" s="50">
        <v>49353.35365379064</v>
      </c>
    </row>
    <row r="16" spans="3:11" x14ac:dyDescent="0.25">
      <c r="C16" s="49" t="s">
        <v>211</v>
      </c>
      <c r="D16" s="50">
        <v>21.272200000000002</v>
      </c>
      <c r="E16" s="50">
        <v>12127.220000000001</v>
      </c>
      <c r="F16" s="50">
        <v>13.763500000000001</v>
      </c>
      <c r="G16" s="50">
        <v>14723.424536015229</v>
      </c>
      <c r="H16" s="50">
        <v>16.2056</v>
      </c>
      <c r="I16" s="50">
        <v>21190.211284671968</v>
      </c>
      <c r="J16" s="50">
        <v>13.7545</v>
      </c>
      <c r="K16" s="50">
        <v>46421.182109391601</v>
      </c>
    </row>
    <row r="17" spans="3:11" x14ac:dyDescent="0.25">
      <c r="C17" s="51" t="s">
        <v>214</v>
      </c>
      <c r="D17" s="54">
        <v>127.61</v>
      </c>
      <c r="E17" s="55"/>
      <c r="F17" s="54">
        <v>104.82</v>
      </c>
      <c r="G17" s="55"/>
      <c r="H17" s="54">
        <v>80.58</v>
      </c>
      <c r="I17" s="55"/>
      <c r="J17" s="54">
        <v>44.52</v>
      </c>
      <c r="K17" s="55"/>
    </row>
  </sheetData>
  <mergeCells count="16">
    <mergeCell ref="D12:E12"/>
    <mergeCell ref="F12:G12"/>
    <mergeCell ref="H12:I12"/>
    <mergeCell ref="J12:K12"/>
    <mergeCell ref="D17:E17"/>
    <mergeCell ref="F17:G17"/>
    <mergeCell ref="H17:I17"/>
    <mergeCell ref="J17:K17"/>
    <mergeCell ref="D4:E4"/>
    <mergeCell ref="F4:G4"/>
    <mergeCell ref="H4:I4"/>
    <mergeCell ref="J4:K4"/>
    <mergeCell ref="D9:E9"/>
    <mergeCell ref="F9:G9"/>
    <mergeCell ref="H9:I9"/>
    <mergeCell ref="J9:K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22</vt:i4>
      </vt:variant>
    </vt:vector>
  </HeadingPairs>
  <TitlesOfParts>
    <vt:vector size="24" baseType="lpstr">
      <vt:lpstr>TBF</vt:lpstr>
      <vt:lpstr>TBF-Performance</vt:lpstr>
      <vt:lpstr>XDO_?AUM?</vt:lpstr>
      <vt:lpstr>XDO_?CLASS_3?</vt:lpstr>
      <vt:lpstr>XDO_?CLASS_4?</vt:lpstr>
      <vt:lpstr>XDO_?CS_1?</vt:lpstr>
      <vt:lpstr>XDO_?CS_2?</vt:lpstr>
      <vt:lpstr>XDO_?FINAL_ISIN?</vt:lpstr>
      <vt:lpstr>XDO_?FINAL_MV?</vt:lpstr>
      <vt:lpstr>XDO_?FINAL_NAME?</vt:lpstr>
      <vt:lpstr>XDO_?FINAL_PER_NET?</vt:lpstr>
      <vt:lpstr>XDO_?FINAL_QUANTITE?</vt:lpstr>
      <vt:lpstr>XDO_?IND_01?</vt:lpstr>
      <vt:lpstr>XDO_?LONG_DESC?</vt:lpstr>
      <vt:lpstr>XDO_?NAMCNAME?</vt:lpstr>
      <vt:lpstr>XDO_?NOVAL?</vt:lpstr>
      <vt:lpstr>XDO_?NPTF?</vt:lpstr>
      <vt:lpstr>XDO_?RATING?</vt:lpstr>
      <vt:lpstr>XDO_?REMARKS?</vt:lpstr>
      <vt:lpstr>XDO_?TDATE?</vt:lpstr>
      <vt:lpstr>XDO_?TITL?</vt:lpstr>
      <vt:lpstr>XDO_GROUP_?G_2?</vt:lpstr>
      <vt:lpstr>XDO_GROUP_?G_3?</vt:lpstr>
      <vt:lpstr>XDO_GROUP_?G_4?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Sagar Ghadigaonkar</cp:lastModifiedBy>
  <dcterms:created xsi:type="dcterms:W3CDTF">2024-12-05T10:08:34Z</dcterms:created>
  <dcterms:modified xsi:type="dcterms:W3CDTF">2024-12-09T10:21:15Z</dcterms:modified>
</cp:coreProperties>
</file>