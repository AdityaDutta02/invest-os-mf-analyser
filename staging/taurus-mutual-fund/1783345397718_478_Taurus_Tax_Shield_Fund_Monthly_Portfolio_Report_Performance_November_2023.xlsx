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DEC 2023\Portfolio\OPS\TMF_Monthly_Portfolio_Report_Nov 23\"/>
    </mc:Choice>
  </mc:AlternateContent>
  <xr:revisionPtr revIDLastSave="0" documentId="13_ncr:1_{5A75613D-95AD-4F3C-9822-E8E9120C4FCE}" xr6:coauthVersionLast="47" xr6:coauthVersionMax="47" xr10:uidLastSave="{00000000-0000-0000-0000-000000000000}"/>
  <bookViews>
    <workbookView xWindow="-120" yWindow="-120" windowWidth="20730" windowHeight="11160" xr2:uid="{EC83317A-A9D5-4B78-ACA0-8C1CD5172979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TTS!$C$8:$C$37</definedName>
    <definedName name="XDO_?FINAL_ISIN?15?">TTS!$D$10:$D$37</definedName>
    <definedName name="XDO_?FINAL_ISIN?16?">TTS!$D$10:$D$76</definedName>
    <definedName name="XDO_?FINAL_ISIN?17?">TTS!$D$10:$D$80</definedName>
    <definedName name="XDO_?FINAL_MV?15?">TTS!$H$10:$H$37</definedName>
    <definedName name="XDO_?FINAL_MV?16?">TTS!$H$10:$H$76</definedName>
    <definedName name="XDO_?FINAL_MV?17?">TTS!$H$10:$H$80</definedName>
    <definedName name="XDO_?FINAL_NAME?15?">TTS!$C$10:$C$37</definedName>
    <definedName name="XDO_?FINAL_NAME?16?">TTS!$C$10:$C$76</definedName>
    <definedName name="XDO_?FINAL_NAME?17?">TTS!$C$10:$C$80</definedName>
    <definedName name="XDO_?FINAL_PER_NET?15?">TTS!$I$10:$I$37</definedName>
    <definedName name="XDO_?FINAL_PER_NET?16?">TTS!$I$10:$I$76</definedName>
    <definedName name="XDO_?FINAL_PER_NET?17?">TTS!$I$10:$I$80</definedName>
    <definedName name="XDO_?FINAL_QUANTITE?15?">TTS!$G$10:$G$37</definedName>
    <definedName name="XDO_?FINAL_QUANTITE?16?">TTS!$G$10:$G$76</definedName>
    <definedName name="XDO_?FINAL_QUANTITE?17?">TTS!$G$10:$G$80</definedName>
    <definedName name="XDO_?IND_01?15?">TTS!$F$10:$F$37</definedName>
    <definedName name="XDO_?IND_01?16?">TTS!$F$10:$F$76</definedName>
    <definedName name="XDO_?IND_01?17?">TTS!$F$10:$F$80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5?">TTS!$B$10:$B$37</definedName>
    <definedName name="XDO_?NOVAL?16?">TTS!$B$10:$B$76</definedName>
    <definedName name="XDO_?NOVAL?17?">TTS!$B$10:$B$80</definedName>
    <definedName name="XDO_?NPTF?7?">TTS!$D$2:$D$37</definedName>
    <definedName name="XDO_?RATING?15?">TTS!$E$10:$E$37</definedName>
    <definedName name="XDO_?RATING?16?">TTS!$E$10:$E$76</definedName>
    <definedName name="XDO_?RATING?17?">TTS!$E$10:$E$80</definedName>
    <definedName name="XDO_?REMARKS?15?">TTS!$J$10:$J$37</definedName>
    <definedName name="XDO_?REMARKS?16?">TTS!$J$10:$J$76</definedName>
    <definedName name="XDO_?REMARKS?17?">TTS!$J$10:$J$80</definedName>
    <definedName name="XDO_?TITL?7?">TTS!$A$8:$A$37</definedName>
    <definedName name="XDO_GROUP_?G_2?7?">TTS!$2:$83</definedName>
    <definedName name="XDO_GROUP_?G_3?7?">TTS!$8:$82</definedName>
    <definedName name="XDO_GROUP_?G_4?15?">TTS!$B$10:$IV$37</definedName>
    <definedName name="XDO_GROUP_?G_4?16?">TTS!$B$76:$IV$76</definedName>
    <definedName name="XDO_GROUP_?G_4?17?">TTS!$B$80:$IV$80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3" i="1" l="1"/>
</calcChain>
</file>

<file path=xl/sharedStrings.xml><?xml version="1.0" encoding="utf-8"?>
<sst xmlns="http://schemas.openxmlformats.org/spreadsheetml/2006/main" count="224" uniqueCount="161">
  <si>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</si>
  <si>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</si>
  <si>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</si>
  <si>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</si>
  <si>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</si>
  <si>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</si>
  <si>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</si>
  <si>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</si>
  <si>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</si>
  <si>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</si>
  <si>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</si>
  <si>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</si>
  <si>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</si>
  <si>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</si>
  <si>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</si>
  <si>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100037</t>
  </si>
  <si>
    <t>HCL Technologies Ltd.</t>
  </si>
  <si>
    <t>INE860A01027</t>
  </si>
  <si>
    <t>IT - Software</t>
  </si>
  <si>
    <t>100006</t>
  </si>
  <si>
    <t>HDFC Bank Ltd.</t>
  </si>
  <si>
    <t>INE040A01034</t>
  </si>
  <si>
    <t>Banks</t>
  </si>
  <si>
    <t>100325</t>
  </si>
  <si>
    <t>Bajaj Holdings &amp; Investment Ltd.</t>
  </si>
  <si>
    <t>INE118A01012</t>
  </si>
  <si>
    <t>Finance</t>
  </si>
  <si>
    <t>100147</t>
  </si>
  <si>
    <t>Tech Mahindra Ltd.</t>
  </si>
  <si>
    <t>INE669C01036</t>
  </si>
  <si>
    <t>100024</t>
  </si>
  <si>
    <t>Axis Bank Ltd.</t>
  </si>
  <si>
    <t>INE238A01034</t>
  </si>
  <si>
    <t>100019</t>
  </si>
  <si>
    <t>ITC Ltd.</t>
  </si>
  <si>
    <t>INE154A01025</t>
  </si>
  <si>
    <t>Diversified FMCG</t>
  </si>
  <si>
    <t>100045</t>
  </si>
  <si>
    <t>Gujarat Pipavav Port Ltd.</t>
  </si>
  <si>
    <t>INE517F01014</t>
  </si>
  <si>
    <t>Transport Infrastructure</t>
  </si>
  <si>
    <t>100012</t>
  </si>
  <si>
    <t>ICICI Bank Ltd.</t>
  </si>
  <si>
    <t>INE090A01021</t>
  </si>
  <si>
    <t>100474</t>
  </si>
  <si>
    <t>Narayana Hrudayalaya Ltd.</t>
  </si>
  <si>
    <t>INE410P01011</t>
  </si>
  <si>
    <t>Healthcare Services</t>
  </si>
  <si>
    <t>100097</t>
  </si>
  <si>
    <t>Coal India Ltd.</t>
  </si>
  <si>
    <t>INE522F01014</t>
  </si>
  <si>
    <t>Consumable Fuels</t>
  </si>
  <si>
    <t>100003</t>
  </si>
  <si>
    <t>Infosys Ltd.</t>
  </si>
  <si>
    <t>INE009A01021</t>
  </si>
  <si>
    <t>100035</t>
  </si>
  <si>
    <t>NMDC Ltd.</t>
  </si>
  <si>
    <t>INE584A01023</t>
  </si>
  <si>
    <t>Minerals &amp; Mining</t>
  </si>
  <si>
    <t>101181</t>
  </si>
  <si>
    <t>UTI Asset Management Co. Ltd.</t>
  </si>
  <si>
    <t>INE094J01016</t>
  </si>
  <si>
    <t>Capital Markets</t>
  </si>
  <si>
    <t>100263</t>
  </si>
  <si>
    <t>BEML Ltd.</t>
  </si>
  <si>
    <t>INE258A01016</t>
  </si>
  <si>
    <t>Agricultural, Commercial &amp; Construction Vehicles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</si>
  <si>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</si>
  <si>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</si>
  <si>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</si>
  <si>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</si>
  <si>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</si>
  <si>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</si>
  <si>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</si>
  <si>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100172</t>
  </si>
  <si>
    <t>ACC Ltd.</t>
  </si>
  <si>
    <t>INE012A01025</t>
  </si>
  <si>
    <t>Cement &amp; Cement Products</t>
  </si>
  <si>
    <t>100342</t>
  </si>
  <si>
    <t>Vardhman Textiles Ltd.</t>
  </si>
  <si>
    <t>INE825A01020</t>
  </si>
  <si>
    <t>Textiles &amp; Apparels</t>
  </si>
  <si>
    <t>100080</t>
  </si>
  <si>
    <t>Dr. Reddy's Laboratories Ltd.</t>
  </si>
  <si>
    <t>INE089A01023</t>
  </si>
  <si>
    <t>100096</t>
  </si>
  <si>
    <t>Container Corporation of India Ltd.</t>
  </si>
  <si>
    <t>INE111A01025</t>
  </si>
  <si>
    <t>Transport Services</t>
  </si>
  <si>
    <t>100155</t>
  </si>
  <si>
    <t>Divi's Laboratories Ltd.</t>
  </si>
  <si>
    <t>INE361B01024</t>
  </si>
  <si>
    <t>100783</t>
  </si>
  <si>
    <t>JM Financial Ltd.</t>
  </si>
  <si>
    <t>INE780C01023</t>
  </si>
  <si>
    <t>101966</t>
  </si>
  <si>
    <t>Cyient DLM Ltd.</t>
  </si>
  <si>
    <t>INE055S01018</t>
  </si>
  <si>
    <t>Industrial Manufacturing</t>
  </si>
  <si>
    <t>100410</t>
  </si>
  <si>
    <t>Healthcare Global Enterprises Ltd.</t>
  </si>
  <si>
    <t>INE075I01017</t>
  </si>
  <si>
    <t>100130</t>
  </si>
  <si>
    <t>Gujarat Gas Ltd.</t>
  </si>
  <si>
    <t>INE844O01030</t>
  </si>
  <si>
    <t>Gas</t>
  </si>
  <si>
    <t>100747</t>
  </si>
  <si>
    <t>Mahindra Logistics Ltd.</t>
  </si>
  <si>
    <t>INE766P01016</t>
  </si>
  <si>
    <t>101946</t>
  </si>
  <si>
    <t>National Fertilizers Ltd.</t>
  </si>
  <si>
    <t>INE870D01012</t>
  </si>
  <si>
    <t>Fertilizers &amp; Agrochemicals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</si>
  <si>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</si>
  <si>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</si>
  <si>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</si>
  <si>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</si>
  <si>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</si>
  <si>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</si>
  <si>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</si>
  <si>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</si>
  <si>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</si>
  <si>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</si>
  <si>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</si>
  <si>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</si>
  <si>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</si>
  <si>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</si>
  <si>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</si>
  <si>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</si>
  <si>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</si>
  <si>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</si>
  <si>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</si>
  <si>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</si>
  <si>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</si>
  <si>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</si>
  <si>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</si>
  <si>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</si>
  <si>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</si>
  <si>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112230100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</si>
  <si>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</si>
  <si>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</si>
  <si>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</si>
  <si>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</si>
  <si>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</si>
  <si>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</si>
  <si>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</si>
  <si>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</si>
  <si>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</si>
  <si>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</si>
  <si>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</si>
  <si>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</si>
  <si>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</si>
  <si>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</si>
  <si>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</si>
  <si>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</si>
  <si>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</si>
  <si>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</si>
  <si>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</si>
  <si>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November 30, 2023 : 143.37)</t>
  </si>
  <si>
    <t>Taurus Elss Tax Saver Fund - Direct Plan Growth Option</t>
  </si>
  <si>
    <t>NAV [Rs.] Per Unit (as on November 30, 2023 : 154.72)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</si>
</sst>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7F18E38F-A371-4C55-8474-158EA6519227}"/>
    <cellStyle name="Hyperlink" xfId="2" builtinId="8"/>
    <cellStyle name="Normal" xfId="0" builtinId="0"/>
    <cellStyle name="Normal 2" xfId="4" xr:uid="{A11737AF-B674-4CD3-948C-2E314CA582C2}"/>
    <cellStyle name="Style 1" xfId="3" xr:uid="{DAD10303-63DF-4E8C-9166-963B167E64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239945</xdr:colOff>
      <xdr:row>0</xdr:row>
      <xdr:rowOff>1923288</xdr:rowOff>
    </xdr:to>
    <xdr:pic>
      <xdr:nvPicPr>
        <xdr:cNvPr id="3" name="Picture 2" descr="Tax Prodcut label - 9th Dec 2022.jpg">
          <a:extLst>
            <a:ext uri="{FF2B5EF4-FFF2-40B4-BE49-F238E27FC236}">
              <a16:creationId xmlns:a16="http://schemas.microsoft.com/office/drawing/2014/main" id="{9B378221-9471-4E2E-AD37-97F231A0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Nov%2023\Client%20Report\TMF_Monthly_Portfolio_Report_Nov%2023.xls" TargetMode="External"/><Relationship Id="rId1" Type="http://schemas.openxmlformats.org/officeDocument/2006/relationships/externalLinkPath" Target="TMF_Monthly_Portfolio_Report_Nov%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D2CC-09EC-4954-9247-A5525FF19AAD}">
  <dimension ref="A1:BB89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2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45260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48200</v>
      </c>
      <c r="H10" s="32">
        <v>646.02</v>
      </c>
      <c r="I10" s="32">
        <v>9.5500000000000007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37729</v>
      </c>
      <c r="H11" s="32">
        <v>588.20000000000005</v>
      </c>
      <c r="I11" s="32">
        <v>8.6999999999999993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5500</v>
      </c>
      <c r="H12" s="32">
        <v>404.58</v>
      </c>
      <c r="I12" s="32">
        <v>5.98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31000</v>
      </c>
      <c r="H13" s="32">
        <v>378.39</v>
      </c>
      <c r="I13" s="32">
        <v>5.6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22</v>
      </c>
      <c r="G14" s="31">
        <v>35000</v>
      </c>
      <c r="H14" s="32">
        <v>376.13</v>
      </c>
      <c r="I14" s="32">
        <v>5.56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348.48</v>
      </c>
      <c r="I15" s="32">
        <v>5.15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240000</v>
      </c>
      <c r="H16" s="32">
        <v>338.52</v>
      </c>
      <c r="I16" s="32">
        <v>5.01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22</v>
      </c>
      <c r="G17" s="31">
        <v>36000</v>
      </c>
      <c r="H17" s="32">
        <v>336.67</v>
      </c>
      <c r="I17" s="32">
        <v>4.9800000000000004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47</v>
      </c>
      <c r="G18" s="31">
        <v>25000</v>
      </c>
      <c r="H18" s="32">
        <v>306.64999999999998</v>
      </c>
      <c r="I18" s="32">
        <v>4.53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51</v>
      </c>
      <c r="G19" s="31">
        <v>80000</v>
      </c>
      <c r="H19" s="32">
        <v>273.8</v>
      </c>
      <c r="I19" s="32">
        <v>4.05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18</v>
      </c>
      <c r="G20" s="31">
        <v>16361</v>
      </c>
      <c r="H20" s="32">
        <v>238.1</v>
      </c>
      <c r="I20" s="32">
        <v>3.52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100000</v>
      </c>
      <c r="H21" s="32">
        <v>181.4</v>
      </c>
      <c r="I21" s="32">
        <v>2.68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22000</v>
      </c>
      <c r="H22" s="32">
        <v>181.14</v>
      </c>
      <c r="I22" s="32">
        <v>2.68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6882</v>
      </c>
      <c r="H23" s="32">
        <v>169.76</v>
      </c>
      <c r="I23" s="32">
        <v>2.5099999999999998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13798</v>
      </c>
      <c r="H24" s="32">
        <v>167.16</v>
      </c>
      <c r="I24" s="32">
        <v>2.4700000000000002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62</v>
      </c>
      <c r="G25" s="31">
        <v>5500</v>
      </c>
      <c r="H25" s="32">
        <v>154.33000000000001</v>
      </c>
      <c r="I25" s="32">
        <v>2.2799999999999998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8139</v>
      </c>
      <c r="H26" s="32">
        <v>152.69999999999999</v>
      </c>
      <c r="I26" s="32">
        <v>2.2599999999999998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30000</v>
      </c>
      <c r="H27" s="32">
        <v>121.7</v>
      </c>
      <c r="I27" s="32">
        <v>1.8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70</v>
      </c>
      <c r="G28" s="31">
        <v>2087</v>
      </c>
      <c r="H28" s="32">
        <v>120.79</v>
      </c>
      <c r="I28" s="32">
        <v>1.79</v>
      </c>
      <c r="J28" s="33"/>
    </row>
    <row r="29" spans="2:10" x14ac:dyDescent="0.25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15000</v>
      </c>
      <c r="H29" s="32">
        <v>116.39</v>
      </c>
      <c r="I29" s="32">
        <v>1.72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70</v>
      </c>
      <c r="G30" s="31">
        <v>2780</v>
      </c>
      <c r="H30" s="32">
        <v>105.28</v>
      </c>
      <c r="I30" s="32">
        <v>1.56</v>
      </c>
      <c r="J30" s="33"/>
    </row>
    <row r="31" spans="2:10" x14ac:dyDescent="0.25">
      <c r="B31" s="1" t="s">
        <v>92</v>
      </c>
      <c r="C31" s="20" t="s">
        <v>93</v>
      </c>
      <c r="D31" s="29" t="s">
        <v>94</v>
      </c>
      <c r="E31" s="30"/>
      <c r="F31" s="30" t="s">
        <v>26</v>
      </c>
      <c r="G31" s="31">
        <v>123189</v>
      </c>
      <c r="H31" s="32">
        <v>103.29</v>
      </c>
      <c r="I31" s="32">
        <v>1.53</v>
      </c>
      <c r="J31" s="33"/>
    </row>
    <row r="32" spans="2:10" x14ac:dyDescent="0.25">
      <c r="B32" s="1" t="s">
        <v>95</v>
      </c>
      <c r="C32" s="20" t="s">
        <v>96</v>
      </c>
      <c r="D32" s="29" t="s">
        <v>97</v>
      </c>
      <c r="E32" s="30"/>
      <c r="F32" s="30" t="s">
        <v>98</v>
      </c>
      <c r="G32" s="31">
        <v>13892</v>
      </c>
      <c r="H32" s="32">
        <v>90.05</v>
      </c>
      <c r="I32" s="32">
        <v>1.33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47</v>
      </c>
      <c r="G33" s="31">
        <v>20000</v>
      </c>
      <c r="H33" s="32">
        <v>74.06</v>
      </c>
      <c r="I33" s="32">
        <v>1.1000000000000001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105</v>
      </c>
      <c r="G34" s="31">
        <v>16660</v>
      </c>
      <c r="H34" s="32">
        <v>72.150000000000006</v>
      </c>
      <c r="I34" s="32">
        <v>1.07</v>
      </c>
      <c r="J34" s="33"/>
    </row>
    <row r="35" spans="2:10" x14ac:dyDescent="0.25">
      <c r="B35" s="1" t="s">
        <v>106</v>
      </c>
      <c r="C35" s="20" t="s">
        <v>107</v>
      </c>
      <c r="D35" s="29" t="s">
        <v>108</v>
      </c>
      <c r="E35" s="30"/>
      <c r="F35" s="30" t="s">
        <v>88</v>
      </c>
      <c r="G35" s="31">
        <v>17000</v>
      </c>
      <c r="H35" s="32">
        <v>60.9</v>
      </c>
      <c r="I35" s="32">
        <v>0.9</v>
      </c>
      <c r="J35" s="33"/>
    </row>
    <row r="36" spans="2:10" x14ac:dyDescent="0.25">
      <c r="B36" s="1" t="s">
        <v>109</v>
      </c>
      <c r="C36" s="20" t="s">
        <v>110</v>
      </c>
      <c r="D36" s="29" t="s">
        <v>111</v>
      </c>
      <c r="E36" s="30"/>
      <c r="F36" s="30" t="s">
        <v>112</v>
      </c>
      <c r="G36" s="31">
        <v>64160</v>
      </c>
      <c r="H36" s="32">
        <v>45.87</v>
      </c>
      <c r="I36" s="32">
        <v>0.68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116</v>
      </c>
      <c r="G37" s="31">
        <v>4330</v>
      </c>
      <c r="H37" s="32">
        <v>21.81</v>
      </c>
      <c r="I37" s="32">
        <v>0.32</v>
      </c>
      <c r="J37" s="33"/>
    </row>
    <row r="38" spans="2:10" x14ac:dyDescent="0.25">
      <c r="C38" s="28" t="s">
        <v>117</v>
      </c>
      <c r="D38" s="29"/>
      <c r="E38" s="30"/>
      <c r="F38" s="30"/>
      <c r="G38" s="31"/>
      <c r="H38" s="35">
        <v>6174.32</v>
      </c>
      <c r="I38" s="35">
        <v>91.31</v>
      </c>
      <c r="J38" s="33"/>
    </row>
    <row r="39" spans="2:10" x14ac:dyDescent="0.25">
      <c r="C39" s="20"/>
      <c r="D39" s="29"/>
      <c r="E39" s="30"/>
      <c r="F39" s="30"/>
      <c r="G39" s="31"/>
      <c r="H39" s="32"/>
      <c r="I39" s="32"/>
      <c r="J39" s="33"/>
    </row>
    <row r="40" spans="2:10" x14ac:dyDescent="0.25">
      <c r="C40" s="28" t="s">
        <v>118</v>
      </c>
      <c r="D40" s="29"/>
      <c r="E40" s="30"/>
      <c r="F40" s="30"/>
      <c r="G40" s="31"/>
      <c r="H40" s="32" t="s">
        <v>119</v>
      </c>
      <c r="I40" s="32" t="s">
        <v>119</v>
      </c>
      <c r="J40" s="33"/>
    </row>
    <row r="41" spans="2:10" x14ac:dyDescent="0.25">
      <c r="C41" s="20"/>
      <c r="D41" s="29"/>
      <c r="E41" s="30"/>
      <c r="F41" s="30"/>
      <c r="G41" s="31"/>
      <c r="H41" s="32"/>
      <c r="I41" s="32"/>
      <c r="J41" s="33"/>
    </row>
    <row r="42" spans="2:10" x14ac:dyDescent="0.25">
      <c r="C42" s="28" t="s">
        <v>120</v>
      </c>
      <c r="D42" s="29"/>
      <c r="E42" s="30"/>
      <c r="F42" s="30"/>
      <c r="G42" s="31"/>
      <c r="H42" s="32" t="s">
        <v>119</v>
      </c>
      <c r="I42" s="32" t="s">
        <v>119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121</v>
      </c>
      <c r="D44" s="29"/>
      <c r="E44" s="30"/>
      <c r="F44" s="30"/>
      <c r="G44" s="31"/>
      <c r="H44" s="32"/>
      <c r="I44" s="32"/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122</v>
      </c>
      <c r="D46" s="29"/>
      <c r="E46" s="30"/>
      <c r="F46" s="30"/>
      <c r="G46" s="31"/>
      <c r="H46" s="32" t="s">
        <v>119</v>
      </c>
      <c r="I46" s="32" t="s">
        <v>119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123</v>
      </c>
      <c r="D48" s="29"/>
      <c r="E48" s="30"/>
      <c r="F48" s="30"/>
      <c r="G48" s="31"/>
      <c r="H48" s="32" t="s">
        <v>119</v>
      </c>
      <c r="I48" s="32" t="s">
        <v>119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124</v>
      </c>
      <c r="D50" s="29"/>
      <c r="E50" s="30"/>
      <c r="F50" s="30"/>
      <c r="G50" s="31"/>
      <c r="H50" s="32" t="s">
        <v>119</v>
      </c>
      <c r="I50" s="32" t="s">
        <v>119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125</v>
      </c>
      <c r="D52" s="29"/>
      <c r="E52" s="30"/>
      <c r="F52" s="30"/>
      <c r="G52" s="31"/>
      <c r="H52" s="32" t="s">
        <v>119</v>
      </c>
      <c r="I52" s="32" t="s">
        <v>119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126</v>
      </c>
      <c r="D54" s="29"/>
      <c r="E54" s="30"/>
      <c r="F54" s="30"/>
      <c r="G54" s="31"/>
      <c r="H54" s="32" t="s">
        <v>119</v>
      </c>
      <c r="I54" s="32" t="s">
        <v>119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127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128</v>
      </c>
      <c r="D58" s="29"/>
      <c r="E58" s="30"/>
      <c r="F58" s="30"/>
      <c r="G58" s="31"/>
      <c r="H58" s="32" t="s">
        <v>119</v>
      </c>
      <c r="I58" s="32" t="s">
        <v>119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129</v>
      </c>
      <c r="D60" s="29"/>
      <c r="E60" s="30"/>
      <c r="F60" s="30"/>
      <c r="G60" s="31"/>
      <c r="H60" s="32" t="s">
        <v>119</v>
      </c>
      <c r="I60" s="32" t="s">
        <v>119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130</v>
      </c>
      <c r="D62" s="29"/>
      <c r="E62" s="30"/>
      <c r="F62" s="30"/>
      <c r="G62" s="31"/>
      <c r="H62" s="32" t="s">
        <v>119</v>
      </c>
      <c r="I62" s="32" t="s">
        <v>119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131</v>
      </c>
      <c r="D64" s="29"/>
      <c r="E64" s="30"/>
      <c r="F64" s="30"/>
      <c r="G64" s="31"/>
      <c r="H64" s="32" t="s">
        <v>119</v>
      </c>
      <c r="I64" s="32" t="s">
        <v>119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A66" s="26"/>
      <c r="B66" s="27"/>
      <c r="C66" s="28" t="s">
        <v>132</v>
      </c>
      <c r="D66" s="29"/>
      <c r="E66" s="30"/>
      <c r="F66" s="30"/>
      <c r="G66" s="31"/>
      <c r="H66" s="32"/>
      <c r="I66" s="32"/>
      <c r="J66" s="33"/>
    </row>
    <row r="67" spans="1:10" x14ac:dyDescent="0.25">
      <c r="A67" s="27"/>
      <c r="B67" s="27"/>
      <c r="C67" s="28" t="s">
        <v>133</v>
      </c>
      <c r="D67" s="29"/>
      <c r="E67" s="30"/>
      <c r="F67" s="30"/>
      <c r="G67" s="31"/>
      <c r="H67" s="32" t="s">
        <v>119</v>
      </c>
      <c r="I67" s="32" t="s">
        <v>119</v>
      </c>
      <c r="J67" s="33"/>
    </row>
    <row r="68" spans="1:10" x14ac:dyDescent="0.25">
      <c r="A68" s="27"/>
      <c r="B68" s="27"/>
      <c r="C68" s="28"/>
      <c r="D68" s="29"/>
      <c r="E68" s="30"/>
      <c r="F68" s="30"/>
      <c r="G68" s="31"/>
      <c r="H68" s="32"/>
      <c r="I68" s="32"/>
      <c r="J68" s="33"/>
    </row>
    <row r="69" spans="1:10" x14ac:dyDescent="0.25">
      <c r="A69" s="27"/>
      <c r="B69" s="27"/>
      <c r="C69" s="28" t="s">
        <v>134</v>
      </c>
      <c r="D69" s="29"/>
      <c r="E69" s="30"/>
      <c r="F69" s="30"/>
      <c r="G69" s="31"/>
      <c r="H69" s="32" t="s">
        <v>119</v>
      </c>
      <c r="I69" s="32" t="s">
        <v>119</v>
      </c>
      <c r="J69" s="33"/>
    </row>
    <row r="70" spans="1:10" x14ac:dyDescent="0.25">
      <c r="A70" s="27"/>
      <c r="B70" s="27"/>
      <c r="C70" s="28"/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135</v>
      </c>
      <c r="D71" s="29"/>
      <c r="E71" s="30"/>
      <c r="F71" s="30"/>
      <c r="G71" s="31"/>
      <c r="H71" s="32" t="s">
        <v>119</v>
      </c>
      <c r="I71" s="32" t="s">
        <v>119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136</v>
      </c>
      <c r="D73" s="29"/>
      <c r="E73" s="30"/>
      <c r="F73" s="30"/>
      <c r="G73" s="31"/>
      <c r="H73" s="32" t="s">
        <v>119</v>
      </c>
      <c r="I73" s="32" t="s">
        <v>119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C75" s="34" t="s">
        <v>137</v>
      </c>
      <c r="D75" s="29"/>
      <c r="E75" s="30"/>
      <c r="F75" s="30"/>
      <c r="G75" s="31"/>
      <c r="H75" s="32"/>
      <c r="I75" s="32"/>
      <c r="J75" s="33"/>
    </row>
    <row r="76" spans="1:10" x14ac:dyDescent="0.25">
      <c r="B76" s="1" t="s">
        <v>138</v>
      </c>
      <c r="C76" s="20" t="s">
        <v>139</v>
      </c>
      <c r="D76" s="29"/>
      <c r="E76" s="30"/>
      <c r="F76" s="30"/>
      <c r="G76" s="31"/>
      <c r="H76" s="32">
        <v>520</v>
      </c>
      <c r="I76" s="32">
        <v>7.69</v>
      </c>
      <c r="J76" s="33"/>
    </row>
    <row r="77" spans="1:10" x14ac:dyDescent="0.25">
      <c r="C77" s="28" t="s">
        <v>117</v>
      </c>
      <c r="D77" s="29"/>
      <c r="E77" s="30"/>
      <c r="F77" s="30"/>
      <c r="G77" s="31"/>
      <c r="H77" s="35">
        <v>520</v>
      </c>
      <c r="I77" s="35">
        <v>7.69</v>
      </c>
      <c r="J77" s="33"/>
    </row>
    <row r="78" spans="1:10" x14ac:dyDescent="0.25">
      <c r="C78" s="20"/>
      <c r="D78" s="29"/>
      <c r="E78" s="30"/>
      <c r="F78" s="30"/>
      <c r="G78" s="31"/>
      <c r="H78" s="32"/>
      <c r="I78" s="32"/>
      <c r="J78" s="33"/>
    </row>
    <row r="79" spans="1:10" x14ac:dyDescent="0.25">
      <c r="A79" s="26"/>
      <c r="B79" s="27"/>
      <c r="C79" s="28" t="s">
        <v>140</v>
      </c>
      <c r="D79" s="29"/>
      <c r="E79" s="30"/>
      <c r="F79" s="30"/>
      <c r="G79" s="31"/>
      <c r="H79" s="32"/>
      <c r="I79" s="32"/>
      <c r="J79" s="33"/>
    </row>
    <row r="80" spans="1:10" x14ac:dyDescent="0.25">
      <c r="B80" s="1"/>
      <c r="C80" s="20" t="s">
        <v>141</v>
      </c>
      <c r="D80" s="29"/>
      <c r="E80" s="30"/>
      <c r="F80" s="30"/>
      <c r="G80" s="31"/>
      <c r="H80" s="32">
        <v>67.97</v>
      </c>
      <c r="I80" s="32">
        <v>1</v>
      </c>
      <c r="J80" s="33"/>
    </row>
    <row r="81" spans="3:10" x14ac:dyDescent="0.25">
      <c r="C81" s="28" t="s">
        <v>117</v>
      </c>
      <c r="D81" s="29"/>
      <c r="E81" s="30"/>
      <c r="F81" s="30"/>
      <c r="G81" s="31"/>
      <c r="H81" s="35">
        <v>67.97</v>
      </c>
      <c r="I81" s="35">
        <v>1</v>
      </c>
      <c r="J81" s="33"/>
    </row>
    <row r="82" spans="3:10" x14ac:dyDescent="0.25">
      <c r="C82" s="20"/>
      <c r="D82" s="29"/>
      <c r="E82" s="30"/>
      <c r="F82" s="30"/>
      <c r="G82" s="31"/>
      <c r="H82" s="32"/>
      <c r="I82" s="32"/>
      <c r="J82" s="33"/>
    </row>
    <row r="83" spans="3:10" ht="14.25" thickBot="1" x14ac:dyDescent="0.3">
      <c r="C83" s="36" t="s">
        <v>142</v>
      </c>
      <c r="D83" s="37"/>
      <c r="E83" s="38"/>
      <c r="F83" s="39"/>
      <c r="G83" s="40"/>
      <c r="H83" s="41">
        <v>6762.29</v>
      </c>
      <c r="I83" s="41">
        <f>SUMIFS(I:I,C:C,"Total")</f>
        <v>100</v>
      </c>
      <c r="J83" s="42"/>
    </row>
    <row r="86" spans="3:10" x14ac:dyDescent="0.25">
      <c r="C86" s="11" t="s">
        <v>143</v>
      </c>
    </row>
    <row r="87" spans="3:10" x14ac:dyDescent="0.25">
      <c r="C87" s="2" t="s">
        <v>144</v>
      </c>
    </row>
    <row r="88" spans="3:10" x14ac:dyDescent="0.25">
      <c r="C88" s="2" t="s">
        <v>145</v>
      </c>
    </row>
    <row r="89" spans="3:10" x14ac:dyDescent="0.25">
      <c r="C89" s="2" t="s">
        <v>146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6699-A993-4D9C-A4A6-7996E8021D12}">
  <dimension ref="B4:J18"/>
  <sheetViews>
    <sheetView workbookViewId="0"/>
  </sheetViews>
  <sheetFormatPr defaultRowHeight="15" x14ac:dyDescent="0.25"/>
  <cols>
    <col min="2" max="2" width="51.85546875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6.28515625" customWidth="1"/>
  </cols>
  <sheetData>
    <row r="4" spans="2:10" ht="15.75" x14ac:dyDescent="0.25">
      <c r="B4" s="43" t="s">
        <v>147</v>
      </c>
      <c r="C4" s="44"/>
      <c r="D4" s="44"/>
      <c r="E4" s="44"/>
      <c r="F4" s="44"/>
      <c r="G4" s="44"/>
      <c r="H4" s="44"/>
      <c r="I4" s="44"/>
      <c r="J4" s="44"/>
    </row>
    <row r="5" spans="2:10" x14ac:dyDescent="0.25">
      <c r="B5" s="45" t="s">
        <v>148</v>
      </c>
      <c r="C5" s="50" t="s">
        <v>149</v>
      </c>
      <c r="D5" s="50"/>
      <c r="E5" s="50" t="s">
        <v>150</v>
      </c>
      <c r="F5" s="50"/>
      <c r="G5" s="50" t="s">
        <v>151</v>
      </c>
      <c r="H5" s="50"/>
      <c r="I5" s="50" t="s">
        <v>152</v>
      </c>
      <c r="J5" s="50"/>
    </row>
    <row r="6" spans="2:10" ht="63.75" x14ac:dyDescent="0.25">
      <c r="B6" s="46"/>
      <c r="C6" s="47" t="s">
        <v>153</v>
      </c>
      <c r="D6" s="47" t="s">
        <v>154</v>
      </c>
      <c r="E6" s="47" t="s">
        <v>153</v>
      </c>
      <c r="F6" s="47" t="s">
        <v>154</v>
      </c>
      <c r="G6" s="47" t="s">
        <v>153</v>
      </c>
      <c r="H6" s="47" t="s">
        <v>154</v>
      </c>
      <c r="I6" s="47" t="s">
        <v>153</v>
      </c>
      <c r="J6" s="47" t="s">
        <v>154</v>
      </c>
    </row>
    <row r="7" spans="2:10" x14ac:dyDescent="0.25">
      <c r="B7" s="48" t="s">
        <v>155</v>
      </c>
      <c r="C7" s="49">
        <v>19.186964834982124</v>
      </c>
      <c r="D7" s="49">
        <v>11918.696483498212</v>
      </c>
      <c r="E7" s="49">
        <v>18.131185341819855</v>
      </c>
      <c r="F7" s="49">
        <v>16507.772020725391</v>
      </c>
      <c r="G7" s="49">
        <v>13.628686195610573</v>
      </c>
      <c r="H7" s="49">
        <v>18949.246629659003</v>
      </c>
      <c r="I7" s="49">
        <v>11.76896883211791</v>
      </c>
      <c r="J7" s="49">
        <v>143370</v>
      </c>
    </row>
    <row r="8" spans="2:10" x14ac:dyDescent="0.25">
      <c r="B8" s="48" t="s">
        <v>156</v>
      </c>
      <c r="C8" s="49">
        <v>13.443290425103216</v>
      </c>
      <c r="D8" s="49">
        <v>11344.329042510322</v>
      </c>
      <c r="E8" s="49">
        <v>20.210016490064575</v>
      </c>
      <c r="F8" s="49">
        <v>17370.88600127367</v>
      </c>
      <c r="G8" s="49">
        <v>16.003542864946475</v>
      </c>
      <c r="H8" s="49">
        <v>21006.624197287591</v>
      </c>
      <c r="I8" s="49">
        <v>0</v>
      </c>
      <c r="J8" s="49">
        <v>0</v>
      </c>
    </row>
    <row r="9" spans="2:10" x14ac:dyDescent="0.25">
      <c r="B9" s="48" t="s">
        <v>157</v>
      </c>
      <c r="C9" s="49">
        <v>8.4665975705390917</v>
      </c>
      <c r="D9" s="49">
        <v>10846.659757053909</v>
      </c>
      <c r="E9" s="49">
        <v>17.118015846042802</v>
      </c>
      <c r="F9" s="49">
        <v>16064.644470298446</v>
      </c>
      <c r="G9" s="49">
        <v>14.451605518387399</v>
      </c>
      <c r="H9" s="49">
        <v>19638.551254443326</v>
      </c>
      <c r="I9" s="49">
        <v>12.844820489709541</v>
      </c>
      <c r="J9" s="49">
        <v>283759.44906494243</v>
      </c>
    </row>
    <row r="10" spans="2:10" x14ac:dyDescent="0.25">
      <c r="B10" s="48" t="s">
        <v>158</v>
      </c>
      <c r="C10" s="51">
        <v>120.29</v>
      </c>
      <c r="D10" s="52"/>
      <c r="E10" s="51">
        <v>86.85</v>
      </c>
      <c r="F10" s="52"/>
      <c r="G10" s="51">
        <v>75.66</v>
      </c>
      <c r="H10" s="52"/>
      <c r="I10" s="51">
        <v>10</v>
      </c>
      <c r="J10" s="52"/>
    </row>
    <row r="12" spans="2:10" ht="15.75" x14ac:dyDescent="0.25">
      <c r="B12" s="43" t="s">
        <v>159</v>
      </c>
      <c r="C12" s="44"/>
      <c r="D12" s="44"/>
      <c r="E12" s="44"/>
      <c r="F12" s="44"/>
      <c r="G12" s="44"/>
      <c r="H12" s="44"/>
      <c r="I12" s="44"/>
      <c r="J12" s="44"/>
    </row>
    <row r="13" spans="2:10" x14ac:dyDescent="0.25">
      <c r="B13" s="45" t="s">
        <v>148</v>
      </c>
      <c r="C13" s="50" t="s">
        <v>149</v>
      </c>
      <c r="D13" s="50"/>
      <c r="E13" s="50" t="s">
        <v>150</v>
      </c>
      <c r="F13" s="50"/>
      <c r="G13" s="50" t="s">
        <v>151</v>
      </c>
      <c r="H13" s="50"/>
      <c r="I13" s="50" t="s">
        <v>152</v>
      </c>
      <c r="J13" s="50"/>
    </row>
    <row r="14" spans="2:10" ht="63.75" x14ac:dyDescent="0.25">
      <c r="B14" s="46"/>
      <c r="C14" s="47" t="s">
        <v>153</v>
      </c>
      <c r="D14" s="47" t="s">
        <v>154</v>
      </c>
      <c r="E14" s="47" t="s">
        <v>153</v>
      </c>
      <c r="F14" s="47" t="s">
        <v>154</v>
      </c>
      <c r="G14" s="47" t="s">
        <v>153</v>
      </c>
      <c r="H14" s="47" t="s">
        <v>154</v>
      </c>
      <c r="I14" s="47" t="s">
        <v>153</v>
      </c>
      <c r="J14" s="47" t="s">
        <v>154</v>
      </c>
    </row>
    <row r="15" spans="2:10" x14ac:dyDescent="0.25">
      <c r="B15" s="48" t="s">
        <v>155</v>
      </c>
      <c r="C15" s="49">
        <v>20.012410797393756</v>
      </c>
      <c r="D15" s="49">
        <v>12001.241079739373</v>
      </c>
      <c r="E15" s="49">
        <v>18.927651912514353</v>
      </c>
      <c r="F15" s="49">
        <v>16844.855743059336</v>
      </c>
      <c r="G15" s="49">
        <v>14.432641505897825</v>
      </c>
      <c r="H15" s="49">
        <v>19629.535650850041</v>
      </c>
      <c r="I15" s="49">
        <v>13.536233957773437</v>
      </c>
      <c r="J15" s="49">
        <v>39989.66141121737</v>
      </c>
    </row>
    <row r="16" spans="2:10" x14ac:dyDescent="0.25">
      <c r="B16" s="48" t="s">
        <v>156</v>
      </c>
      <c r="C16" s="49">
        <v>13.443290425103216</v>
      </c>
      <c r="D16" s="49">
        <v>11344.329042510322</v>
      </c>
      <c r="E16" s="49">
        <v>20.210016490064575</v>
      </c>
      <c r="F16" s="49">
        <v>17370.88600127367</v>
      </c>
      <c r="G16" s="49">
        <v>16.003542864946475</v>
      </c>
      <c r="H16" s="49">
        <v>21006.624197287591</v>
      </c>
      <c r="I16" s="49">
        <v>14.287114813290946</v>
      </c>
      <c r="J16" s="49">
        <v>42973.73098289498</v>
      </c>
    </row>
    <row r="17" spans="2:10" x14ac:dyDescent="0.25">
      <c r="B17" s="48" t="s">
        <v>157</v>
      </c>
      <c r="C17" s="49">
        <v>8.4665975705390917</v>
      </c>
      <c r="D17" s="49">
        <v>10846.659757053909</v>
      </c>
      <c r="E17" s="49">
        <v>17.118015846042802</v>
      </c>
      <c r="F17" s="49">
        <v>16064.644470298446</v>
      </c>
      <c r="G17" s="49">
        <v>14.451605518387399</v>
      </c>
      <c r="H17" s="49">
        <v>19638.551254443326</v>
      </c>
      <c r="I17" s="49">
        <v>13.187679545772401</v>
      </c>
      <c r="J17" s="49">
        <v>38669.52823357498</v>
      </c>
    </row>
    <row r="18" spans="2:10" x14ac:dyDescent="0.25">
      <c r="B18" s="48" t="s">
        <v>160</v>
      </c>
      <c r="C18" s="51">
        <v>128.91999999999999</v>
      </c>
      <c r="D18" s="52"/>
      <c r="E18" s="51">
        <v>91.85</v>
      </c>
      <c r="F18" s="52"/>
      <c r="G18" s="51">
        <v>78.819999999999993</v>
      </c>
      <c r="H18" s="52"/>
      <c r="I18" s="51">
        <v>38.69</v>
      </c>
      <c r="J18" s="52"/>
    </row>
  </sheetData>
  <mergeCells count="16">
    <mergeCell ref="C5:D5"/>
    <mergeCell ref="E5:F5"/>
    <mergeCell ref="G5:H5"/>
    <mergeCell ref="I5:J5"/>
    <mergeCell ref="C10:D10"/>
    <mergeCell ref="E10:F10"/>
    <mergeCell ref="G10:H10"/>
    <mergeCell ref="I10:J10"/>
    <mergeCell ref="C13:D13"/>
    <mergeCell ref="E13:F13"/>
    <mergeCell ref="G13:H13"/>
    <mergeCell ref="I13:J13"/>
    <mergeCell ref="C18:D18"/>
    <mergeCell ref="E18:F18"/>
    <mergeCell ref="G18:H18"/>
    <mergeCell ref="I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TTS</vt:lpstr>
      <vt:lpstr>TTS Performance</vt:lpstr>
      <vt:lpstr>XDO_?CLASS_3?7?</vt:lpstr>
      <vt:lpstr>XDO_?FINAL_ISIN?15?</vt:lpstr>
      <vt:lpstr>XDO_?FINAL_ISIN?16?</vt:lpstr>
      <vt:lpstr>XDO_?FINAL_ISIN?17?</vt:lpstr>
      <vt:lpstr>XDO_?FINAL_MV?15?</vt:lpstr>
      <vt:lpstr>XDO_?FINAL_MV?16?</vt:lpstr>
      <vt:lpstr>XDO_?FINAL_MV?17?</vt:lpstr>
      <vt:lpstr>XDO_?FINAL_NAME?15?</vt:lpstr>
      <vt:lpstr>XDO_?FINAL_NAME?16?</vt:lpstr>
      <vt:lpstr>XDO_?FINAL_NAME?17?</vt:lpstr>
      <vt:lpstr>XDO_?FINAL_PER_NET?15?</vt:lpstr>
      <vt:lpstr>XDO_?FINAL_PER_NET?16?</vt:lpstr>
      <vt:lpstr>XDO_?FINAL_PER_NET?17?</vt:lpstr>
      <vt:lpstr>XDO_?FINAL_QUANTITE?15?</vt:lpstr>
      <vt:lpstr>XDO_?FINAL_QUANTITE?16?</vt:lpstr>
      <vt:lpstr>XDO_?FINAL_QUANTITE?17?</vt:lpstr>
      <vt:lpstr>XDO_?IND_01?15?</vt:lpstr>
      <vt:lpstr>XDO_?IND_01?16?</vt:lpstr>
      <vt:lpstr>XDO_?IND_01?17?</vt:lpstr>
      <vt:lpstr>XDO_?NAMCNAME?7?</vt:lpstr>
      <vt:lpstr>XDO_?NOVAL?15?</vt:lpstr>
      <vt:lpstr>XDO_?NOVAL?16?</vt:lpstr>
      <vt:lpstr>XDO_?NOVAL?17?</vt:lpstr>
      <vt:lpstr>XDO_?NPTF?7?</vt:lpstr>
      <vt:lpstr>XDO_?RATING?15?</vt:lpstr>
      <vt:lpstr>XDO_?RATING?16?</vt:lpstr>
      <vt:lpstr>XDO_?RATING?17?</vt:lpstr>
      <vt:lpstr>XDO_?REMARKS?15?</vt:lpstr>
      <vt:lpstr>XDO_?REMARKS?16?</vt:lpstr>
      <vt:lpstr>XDO_?REMARKS?17?</vt:lpstr>
      <vt:lpstr>XDO_?TITL?7?</vt:lpstr>
      <vt:lpstr>XDO_GROUP_?G_2?7?</vt:lpstr>
      <vt:lpstr>XDO_GROUP_?G_3?7?</vt:lpstr>
      <vt:lpstr>XDO_GROUP_?G_4?15?</vt:lpstr>
      <vt:lpstr>XDO_GROUP_?G_4?16?</vt:lpstr>
      <vt:lpstr>XDO_GROUP_?G_4?17?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sbisgfa.edelweissmf@sbisgcsl.co.in</dc:creator>
  <cp:lastModifiedBy>Madhura Shinde</cp:lastModifiedBy>
  <dcterms:created xsi:type="dcterms:W3CDTF">2023-12-01T11:47:55Z</dcterms:created>
  <dcterms:modified xsi:type="dcterms:W3CDTF">2023-12-07T04:15:20Z</dcterms:modified>
</cp:coreProperties>
</file>