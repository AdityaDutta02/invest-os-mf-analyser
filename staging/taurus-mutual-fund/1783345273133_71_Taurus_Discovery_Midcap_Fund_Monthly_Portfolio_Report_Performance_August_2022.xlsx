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Portfolio'!$C$8:$C$47</definedName>
    <definedName name="XDO_?FINAL_ISIN?3?">'TDF-Risk-O-Meter &amp; Portfolio'!$D$10:$D$47</definedName>
    <definedName name="XDO_?FINAL_ISIN?4?">'TDF-Risk-O-Meter &amp; Portfolio'!$D$10:$D$89</definedName>
    <definedName name="XDO_?FINAL_MV?3?">'TDF-Risk-O-Meter &amp; Portfolio'!$H$10:$H$47</definedName>
    <definedName name="XDO_?FINAL_MV?4?">'TDF-Risk-O-Meter &amp; Portfolio'!$H$10:$H$89</definedName>
    <definedName name="XDO_?FINAL_NAME?3?">'TDF-Risk-O-Meter &amp; Portfolio'!$C$10:$C$47</definedName>
    <definedName name="XDO_?FINAL_NAME?4?">'TDF-Risk-O-Meter &amp; Portfolio'!$C$10:$C$89</definedName>
    <definedName name="XDO_?FINAL_PER_NET?3?">'TDF-Risk-O-Meter &amp; Portfolio'!$I$10:$I$47</definedName>
    <definedName name="XDO_?FINAL_PER_NET?4?">'TDF-Risk-O-Meter &amp; Portfolio'!$I$10:$I$89</definedName>
    <definedName name="XDO_?FINAL_QUANTITE?3?">'TDF-Risk-O-Meter &amp; Portfolio'!$G$10:$G$47</definedName>
    <definedName name="XDO_?FINAL_QUANTITE?4?">'TDF-Risk-O-Meter &amp; Portfolio'!$G$10:$G$89</definedName>
    <definedName name="XDO_?IND_01?3?">'TDF-Risk-O-Meter &amp; Portfolio'!$F$10:$F$47</definedName>
    <definedName name="XDO_?IND_01?4?">'TDF-Risk-O-Meter &amp; Portfolio'!$F$10:$F$89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Portfolio'!$C$2:$C$47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Portfolio'!$B$10:$B$47</definedName>
    <definedName name="XDO_?NOVAL?4?">'TDF-Risk-O-Meter &amp; Portfolio'!$B$10:$B$89</definedName>
    <definedName name="XDO_?NPTF?2?">'TDF-Risk-O-Meter &amp; Portfolio'!$D$2:$D$47</definedName>
    <definedName name="XDO_?RATING?3?">'TDF-Risk-O-Meter &amp; Portfolio'!$E$10:$E$47</definedName>
    <definedName name="XDO_?RATING?4?">'TDF-Risk-O-Meter &amp; Portfolio'!$E$10:$E$89</definedName>
    <definedName name="XDO_?REMARKS?3?">'TDF-Risk-O-Meter &amp; Portfolio'!$J$10:$J$47</definedName>
    <definedName name="XDO_?REMARKS?4?">'TDF-Risk-O-Meter &amp; Portfolio'!$J$10:$J$89</definedName>
    <definedName name="XDO_?TITL?2?">'TDF-Risk-O-Meter &amp; Portfolio'!$A$8:$A$47</definedName>
    <definedName name="XDO_GROUP_?G_2?2?">'TDF-Risk-O-Meter &amp; Portfolio'!$2:$92</definedName>
    <definedName name="XDO_GROUP_?G_3?2?">'TDF-Risk-O-Meter &amp; Portfolio'!$8:$91</definedName>
    <definedName name="XDO_GROUP_?G_4?3?">'TDF-Risk-O-Meter &amp; Portfolio'!$B$10:$IV$47</definedName>
    <definedName name="XDO_GROUP_?G_4?4?">'TDF-Risk-O-Meter &amp; Portfolio'!$B$89:$IV$89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<sst xmlns="http://schemas.openxmlformats.org/spreadsheetml/2006/main" count="264" uniqueCount="193">
  <si>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</si>
  <si>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</si>
  <si>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</si>
  <si>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</si>
  <si>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</si>
  <si>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</si>
  <si>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</si>
  <si>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</si>
  <si>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</si>
  <si>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</si>
  <si>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</si>
  <si>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</si>
  <si>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</si>
  <si>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</si>
  <si>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</si>
  <si>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</si>
  <si>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</si>
  <si>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</si>
  <si>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</si>
  <si>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</si>
  <si>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</si>
  <si>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</si>
  <si>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</si>
  <si>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100398</t>
  </si>
  <si>
    <t>Aditya Birla Fashion and Retail Ltd.</t>
  </si>
  <si>
    <t>INE647O01011</t>
  </si>
  <si>
    <t>Retailing</t>
  </si>
  <si>
    <t>100476</t>
  </si>
  <si>
    <t>Caplin Point Laboratories Ltd.</t>
  </si>
  <si>
    <t>INE475E01026</t>
  </si>
  <si>
    <t>101522</t>
  </si>
  <si>
    <t>Hariom Pipe Industries Ltd.</t>
  </si>
  <si>
    <t>INE00EV01017</t>
  </si>
  <si>
    <t>Industrial Products</t>
  </si>
  <si>
    <t>100055</t>
  </si>
  <si>
    <t>The Federal Bank Ltd.</t>
  </si>
  <si>
    <t>INE171A01029</t>
  </si>
  <si>
    <t>Banks</t>
  </si>
  <si>
    <t>100325</t>
  </si>
  <si>
    <t>Bajaj Holdings &amp; Investment Ltd.</t>
  </si>
  <si>
    <t>INE118A01012</t>
  </si>
  <si>
    <t>Finance</t>
  </si>
  <si>
    <t>100843</t>
  </si>
  <si>
    <t>Dalmia Bharat Ltd.</t>
  </si>
  <si>
    <t>INE00R701025</t>
  </si>
  <si>
    <t>Cement &amp; Cement Products</t>
  </si>
  <si>
    <t>100371</t>
  </si>
  <si>
    <t>Sun TV Network Ltd.</t>
  </si>
  <si>
    <t>INE424H01027</t>
  </si>
  <si>
    <t>Entertainment</t>
  </si>
  <si>
    <t>101412</t>
  </si>
  <si>
    <t>Punjab Chemicals &amp; Crop Protection Ltd.</t>
  </si>
  <si>
    <t>INE277B01014</t>
  </si>
  <si>
    <t>Fertilizers &amp; Agrochemicals</t>
  </si>
  <si>
    <t>100435</t>
  </si>
  <si>
    <t>Crompton Greaves Consumer Electricals Ltd.</t>
  </si>
  <si>
    <t>INE299U01018</t>
  </si>
  <si>
    <t>Consumer Durables</t>
  </si>
  <si>
    <t>100161</t>
  </si>
  <si>
    <t>Cummins India Ltd.</t>
  </si>
  <si>
    <t>INE298A01020</t>
  </si>
  <si>
    <t>101152</t>
  </si>
  <si>
    <t>Sumitomo Chemical India Ltd.</t>
  </si>
  <si>
    <t>INE258G01013</t>
  </si>
  <si>
    <t>100665</t>
  </si>
  <si>
    <t>Aditya Birla Capital Ltd.</t>
  </si>
  <si>
    <t>INE674K01013</t>
  </si>
  <si>
    <t>Insurance</t>
  </si>
  <si>
    <t>100271</t>
  </si>
  <si>
    <t>Balkrishna Industries Ltd.</t>
  </si>
  <si>
    <t>INE787D01026</t>
  </si>
  <si>
    <t>Auto Components</t>
  </si>
  <si>
    <t>100090</t>
  </si>
  <si>
    <t>Bharat Forge Ltd.</t>
  </si>
  <si>
    <t>INE465A01025</t>
  </si>
  <si>
    <t>101415</t>
  </si>
  <si>
    <t>HINDUSTAN OIL EXPLORATION CO.LTD.</t>
  </si>
  <si>
    <t>INE345A01011</t>
  </si>
  <si>
    <t>Oil</t>
  </si>
  <si>
    <t>100719</t>
  </si>
  <si>
    <t>Mayur Uniquoters Ltd.</t>
  </si>
  <si>
    <t>INE040D01038</t>
  </si>
  <si>
    <t>100740</t>
  </si>
  <si>
    <t>Sterlite Technologies Ltd.</t>
  </si>
  <si>
    <t>INE089C01029</t>
  </si>
  <si>
    <t>Telecom - Services</t>
  </si>
  <si>
    <t>100234</t>
  </si>
  <si>
    <t>Coforge Ltd.</t>
  </si>
  <si>
    <t>INE591G01017</t>
  </si>
  <si>
    <t>IT - Software</t>
  </si>
  <si>
    <t>100026</t>
  </si>
  <si>
    <t>Persistent Systems Ltd.</t>
  </si>
  <si>
    <t>INE262H01013</t>
  </si>
  <si>
    <t>100122</t>
  </si>
  <si>
    <t>Union Bank of India</t>
  </si>
  <si>
    <t>INE692A01016</t>
  </si>
  <si>
    <t>100068</t>
  </si>
  <si>
    <t>Kansai Nerolac Paints Ltd.</t>
  </si>
  <si>
    <t>INE531A01024</t>
  </si>
  <si>
    <t>100088</t>
  </si>
  <si>
    <t>Bharat Heavy Electricals Ltd.</t>
  </si>
  <si>
    <t>INE257A01026</t>
  </si>
  <si>
    <t>Electrical Equipment</t>
  </si>
  <si>
    <t>100461</t>
  </si>
  <si>
    <t>Astral Limited</t>
  </si>
  <si>
    <t>INE006I01046</t>
  </si>
  <si>
    <t>100570</t>
  </si>
  <si>
    <t>K.P.R. Mill Ltd.</t>
  </si>
  <si>
    <t>INE930H01031</t>
  </si>
  <si>
    <t>Textiles &amp; Apparels</t>
  </si>
  <si>
    <t>100016</t>
  </si>
  <si>
    <t>Gujarat Mineral Development Corporation Ltd.</t>
  </si>
  <si>
    <t>INE131A01031</t>
  </si>
  <si>
    <t>Minerals &amp; Mining</t>
  </si>
  <si>
    <t>100284</t>
  </si>
  <si>
    <t>Dr. Lal Path labs Ltd.</t>
  </si>
  <si>
    <t>INE600L01024</t>
  </si>
  <si>
    <t>Healthcare Services</t>
  </si>
  <si>
    <t>100050</t>
  </si>
  <si>
    <t>Trent Ltd.</t>
  </si>
  <si>
    <t>INE849A01020</t>
  </si>
  <si>
    <t>100116</t>
  </si>
  <si>
    <t>Sundaram Finance Ltd.</t>
  </si>
  <si>
    <t>INE660A01013</t>
  </si>
  <si>
    <t>100260</t>
  </si>
  <si>
    <t>Solar Industries India Ltd.</t>
  </si>
  <si>
    <t>INE343H01029</t>
  </si>
  <si>
    <t>Chemicals &amp; Petrochemicals</t>
  </si>
  <si>
    <t>100235</t>
  </si>
  <si>
    <t>CRISIL Ltd.</t>
  </si>
  <si>
    <t>INE007A01025</t>
  </si>
  <si>
    <t>100114</t>
  </si>
  <si>
    <t>Shriram Transport Finance Company Ltd.</t>
  </si>
  <si>
    <t>INE721A01013</t>
  </si>
  <si>
    <t>100144</t>
  </si>
  <si>
    <t>Voltas Ltd.</t>
  </si>
  <si>
    <t>INE226A01021</t>
  </si>
  <si>
    <t>100143</t>
  </si>
  <si>
    <t>Thermax Ltd.</t>
  </si>
  <si>
    <t>INE152A01029</t>
  </si>
  <si>
    <t>100056</t>
  </si>
  <si>
    <t>Supreme Industries Ltd.</t>
  </si>
  <si>
    <t>INE195A01028</t>
  </si>
  <si>
    <t>101493</t>
  </si>
  <si>
    <t>Meghmani Finechem Ltd.</t>
  </si>
  <si>
    <t>INE071N01016</t>
  </si>
  <si>
    <t>100222</t>
  </si>
  <si>
    <t>The Indian Hotels Company Ltd.</t>
  </si>
  <si>
    <t>INE053A01029</t>
  </si>
  <si>
    <t>Leisure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</si>
  <si>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</si>
  <si>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</si>
  <si>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</si>
  <si>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</si>
  <si>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</si>
  <si>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</si>
  <si>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</si>
  <si>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</si>
  <si>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</si>
  <si>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</si>
  <si>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</si>
  <si>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</si>
  <si>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</si>
  <si>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</si>
  <si>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</si>
  <si>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</si>
  <si>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</si>
  <si>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</si>
  <si>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</si>
  <si>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</si>
  <si>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</si>
  <si>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</si>
  <si>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</si>
  <si>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</si>
  <si>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</si>
  <si>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</si>
  <si>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</si>
  <si>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</si>
  <si>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</si>
  <si>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</si>
  <si>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</si>
  <si>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</si>
  <si>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</si>
  <si>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</si>
  <si>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</si>
  <si>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</si>
  <si>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</si>
  <si>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</si>
  <si>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</si>
  <si>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August 30, 2022 : 74.67)</t>
  </si>
  <si>
    <t>Taurus Discovery (Midcap) Fund-Direct Plan-Growth Option</t>
  </si>
  <si>
    <t>NAV [Rs.] Per Unit (as on August 30, 2022 : 77.97)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</si>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</sst>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0</xdr:rowOff>
    </xdr:from>
    <xdr:to>
      <xdr:col>5</xdr:col>
      <xdr:colOff>115147</xdr:colOff>
      <xdr:row>0</xdr:row>
      <xdr:rowOff>2167128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2184400</xdr:rowOff>
    </xdr:from>
    <xdr:to>
      <xdr:col>5</xdr:col>
      <xdr:colOff>89747</xdr:colOff>
      <xdr:row>0</xdr:row>
      <xdr:rowOff>4473448</xdr:rowOff>
    </xdr:to>
    <xdr:pic>
      <xdr:nvPicPr>
        <xdr:cNvPr id="3" name="Picture 2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184400"/>
          <a:ext cx="7040880" cy="228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ust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8"/>
  <sheetViews>
    <sheetView showGridLines="0"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359.4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44804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35000</v>
      </c>
      <c r="H10" s="32">
        <v>347.43</v>
      </c>
      <c r="I10" s="32">
        <v>4.51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36741</v>
      </c>
      <c r="H11" s="32">
        <v>317.19</v>
      </c>
      <c r="I11" s="32">
        <v>4.12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100200</v>
      </c>
      <c r="H12" s="32">
        <v>306.61</v>
      </c>
      <c r="I12" s="32">
        <v>3.98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36000</v>
      </c>
      <c r="H13" s="32">
        <v>280.02999999999997</v>
      </c>
      <c r="I13" s="32">
        <v>3.64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100000</v>
      </c>
      <c r="H14" s="32">
        <v>274.3</v>
      </c>
      <c r="I14" s="32">
        <v>3.56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225000</v>
      </c>
      <c r="H15" s="32">
        <v>263.25</v>
      </c>
      <c r="I15" s="32">
        <v>3.42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4665</v>
      </c>
      <c r="H16" s="32">
        <v>254.76</v>
      </c>
      <c r="I16" s="32">
        <v>3.31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16500</v>
      </c>
      <c r="H17" s="32">
        <v>253.63</v>
      </c>
      <c r="I17" s="32">
        <v>3.29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50000</v>
      </c>
      <c r="H18" s="32">
        <v>250.83</v>
      </c>
      <c r="I18" s="32">
        <v>3.26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18000</v>
      </c>
      <c r="H19" s="32">
        <v>238.69</v>
      </c>
      <c r="I19" s="32">
        <v>3.1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56500</v>
      </c>
      <c r="H20" s="32">
        <v>230.12</v>
      </c>
      <c r="I20" s="32">
        <v>2.99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33</v>
      </c>
      <c r="G21" s="31">
        <v>19000</v>
      </c>
      <c r="H21" s="32">
        <v>226.58</v>
      </c>
      <c r="I21" s="32">
        <v>2.94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53</v>
      </c>
      <c r="G22" s="31">
        <v>44500</v>
      </c>
      <c r="H22" s="32">
        <v>217.85</v>
      </c>
      <c r="I22" s="32">
        <v>2.83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190000</v>
      </c>
      <c r="H23" s="32">
        <v>217.08</v>
      </c>
      <c r="I23" s="32">
        <v>2.82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10500</v>
      </c>
      <c r="H24" s="32">
        <v>214.81</v>
      </c>
      <c r="I24" s="32">
        <v>2.79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33</v>
      </c>
      <c r="G25" s="31">
        <v>29000</v>
      </c>
      <c r="H25" s="32">
        <v>214.79</v>
      </c>
      <c r="I25" s="32">
        <v>2.79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125000</v>
      </c>
      <c r="H26" s="32">
        <v>204.31</v>
      </c>
      <c r="I26" s="32">
        <v>2.65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57</v>
      </c>
      <c r="G27" s="31">
        <v>42000</v>
      </c>
      <c r="H27" s="32">
        <v>202.63</v>
      </c>
      <c r="I27" s="32">
        <v>2.63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112000</v>
      </c>
      <c r="H28" s="32">
        <v>192.64</v>
      </c>
      <c r="I28" s="32">
        <v>2.5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5400</v>
      </c>
      <c r="H29" s="32">
        <v>192.37</v>
      </c>
      <c r="I29" s="32">
        <v>2.5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89</v>
      </c>
      <c r="G30" s="31">
        <v>5450</v>
      </c>
      <c r="H30" s="32">
        <v>191.45</v>
      </c>
      <c r="I30" s="32">
        <v>2.4900000000000002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37</v>
      </c>
      <c r="G31" s="31">
        <v>450000</v>
      </c>
      <c r="H31" s="32">
        <v>190.58</v>
      </c>
      <c r="I31" s="32">
        <v>2.48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57</v>
      </c>
      <c r="G32" s="31">
        <v>37500</v>
      </c>
      <c r="H32" s="32">
        <v>189.79</v>
      </c>
      <c r="I32" s="32">
        <v>2.4700000000000002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321096</v>
      </c>
      <c r="H33" s="32">
        <v>188.64</v>
      </c>
      <c r="I33" s="32">
        <v>2.4500000000000002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33</v>
      </c>
      <c r="G34" s="31">
        <v>8750</v>
      </c>
      <c r="H34" s="32">
        <v>183.19</v>
      </c>
      <c r="I34" s="32">
        <v>2.38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29300</v>
      </c>
      <c r="H35" s="32">
        <v>177.35</v>
      </c>
      <c r="I35" s="32">
        <v>2.2999999999999998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100000</v>
      </c>
      <c r="H36" s="32">
        <v>166.35</v>
      </c>
      <c r="I36" s="32">
        <v>2.16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6150</v>
      </c>
      <c r="H37" s="32">
        <v>157.84</v>
      </c>
      <c r="I37" s="32">
        <v>2.0499999999999998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26</v>
      </c>
      <c r="G38" s="31">
        <v>11000</v>
      </c>
      <c r="H38" s="32">
        <v>155.07</v>
      </c>
      <c r="I38" s="32">
        <v>2.0099999999999998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41</v>
      </c>
      <c r="G39" s="31">
        <v>7300</v>
      </c>
      <c r="H39" s="32">
        <v>152.81</v>
      </c>
      <c r="I39" s="32">
        <v>1.98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4500</v>
      </c>
      <c r="H40" s="32">
        <v>149.74</v>
      </c>
      <c r="I40" s="32">
        <v>1.95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41</v>
      </c>
      <c r="G41" s="31">
        <v>4323</v>
      </c>
      <c r="H41" s="32">
        <v>141.71</v>
      </c>
      <c r="I41" s="32">
        <v>1.84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41</v>
      </c>
      <c r="G42" s="31">
        <v>9950</v>
      </c>
      <c r="H42" s="32">
        <v>134.78</v>
      </c>
      <c r="I42" s="32">
        <v>1.75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57</v>
      </c>
      <c r="G43" s="31">
        <v>13000</v>
      </c>
      <c r="H43" s="32">
        <v>130.1</v>
      </c>
      <c r="I43" s="32">
        <v>1.69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102</v>
      </c>
      <c r="G44" s="31">
        <v>5300</v>
      </c>
      <c r="H44" s="32">
        <v>128.21</v>
      </c>
      <c r="I44" s="32">
        <v>1.67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33</v>
      </c>
      <c r="G45" s="31">
        <v>6000</v>
      </c>
      <c r="H45" s="32">
        <v>117.79</v>
      </c>
      <c r="I45" s="32">
        <v>1.53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127</v>
      </c>
      <c r="G46" s="31">
        <v>8000</v>
      </c>
      <c r="H46" s="32">
        <v>114.14</v>
      </c>
      <c r="I46" s="32">
        <v>1.48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24000</v>
      </c>
      <c r="H47" s="32">
        <v>68.5</v>
      </c>
      <c r="I47" s="32">
        <v>0.89</v>
      </c>
      <c r="J47" s="33"/>
    </row>
    <row r="48" spans="2:10">
      <c r="C48" s="28" t="s">
        <v>150</v>
      </c>
      <c r="D48" s="29"/>
      <c r="E48" s="30"/>
      <c r="F48" s="30"/>
      <c r="G48" s="31"/>
      <c r="H48" s="35">
        <v>7637.94</v>
      </c>
      <c r="I48" s="35">
        <v>99.2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151</v>
      </c>
      <c r="D50" s="29"/>
      <c r="E50" s="30"/>
      <c r="F50" s="30"/>
      <c r="G50" s="31"/>
      <c r="H50" s="32" t="s">
        <v>152</v>
      </c>
      <c r="I50" s="32" t="s">
        <v>152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153</v>
      </c>
      <c r="D52" s="29"/>
      <c r="E52" s="30"/>
      <c r="F52" s="30"/>
      <c r="G52" s="31"/>
      <c r="H52" s="32" t="s">
        <v>152</v>
      </c>
      <c r="I52" s="32" t="s">
        <v>152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154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155</v>
      </c>
      <c r="D56" s="29"/>
      <c r="E56" s="30"/>
      <c r="F56" s="30"/>
      <c r="G56" s="31"/>
      <c r="H56" s="32" t="s">
        <v>152</v>
      </c>
      <c r="I56" s="32" t="s">
        <v>152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156</v>
      </c>
      <c r="D58" s="29"/>
      <c r="E58" s="30"/>
      <c r="F58" s="30"/>
      <c r="G58" s="31"/>
      <c r="H58" s="32" t="s">
        <v>152</v>
      </c>
      <c r="I58" s="32" t="s">
        <v>152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157</v>
      </c>
      <c r="D60" s="29"/>
      <c r="E60" s="30"/>
      <c r="F60" s="30"/>
      <c r="G60" s="31"/>
      <c r="H60" s="32" t="s">
        <v>152</v>
      </c>
      <c r="I60" s="32" t="s">
        <v>152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158</v>
      </c>
      <c r="D62" s="29"/>
      <c r="E62" s="30"/>
      <c r="F62" s="30"/>
      <c r="G62" s="31"/>
      <c r="H62" s="32" t="s">
        <v>152</v>
      </c>
      <c r="I62" s="32" t="s">
        <v>152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159</v>
      </c>
      <c r="D64" s="29"/>
      <c r="E64" s="30"/>
      <c r="F64" s="30"/>
      <c r="G64" s="31"/>
      <c r="H64" s="32" t="s">
        <v>152</v>
      </c>
      <c r="I64" s="32" t="s">
        <v>152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160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161</v>
      </c>
      <c r="D68" s="29"/>
      <c r="E68" s="30"/>
      <c r="F68" s="30"/>
      <c r="G68" s="31"/>
      <c r="H68" s="32" t="s">
        <v>152</v>
      </c>
      <c r="I68" s="32" t="s">
        <v>152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162</v>
      </c>
      <c r="D70" s="29"/>
      <c r="E70" s="30"/>
      <c r="F70" s="30"/>
      <c r="G70" s="31"/>
      <c r="H70" s="32" t="s">
        <v>152</v>
      </c>
      <c r="I70" s="32" t="s">
        <v>152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163</v>
      </c>
      <c r="D72" s="29"/>
      <c r="E72" s="30"/>
      <c r="F72" s="30"/>
      <c r="G72" s="31"/>
      <c r="H72" s="32" t="s">
        <v>152</v>
      </c>
      <c r="I72" s="32" t="s">
        <v>152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164</v>
      </c>
      <c r="D74" s="29"/>
      <c r="E74" s="30"/>
      <c r="F74" s="30"/>
      <c r="G74" s="31"/>
      <c r="H74" s="32" t="s">
        <v>152</v>
      </c>
      <c r="I74" s="32" t="s">
        <v>152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165</v>
      </c>
      <c r="D76" s="29"/>
      <c r="E76" s="30"/>
      <c r="F76" s="30"/>
      <c r="G76" s="31"/>
      <c r="H76" s="32"/>
      <c r="I76" s="32"/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166</v>
      </c>
      <c r="D78" s="29"/>
      <c r="E78" s="30"/>
      <c r="F78" s="30"/>
      <c r="G78" s="31"/>
      <c r="H78" s="32" t="s">
        <v>152</v>
      </c>
      <c r="I78" s="32" t="s">
        <v>152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167</v>
      </c>
      <c r="D80" s="29"/>
      <c r="E80" s="30"/>
      <c r="F80" s="30"/>
      <c r="G80" s="31"/>
      <c r="H80" s="32" t="s">
        <v>152</v>
      </c>
      <c r="I80" s="32" t="s">
        <v>152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168</v>
      </c>
      <c r="D82" s="29"/>
      <c r="E82" s="30"/>
      <c r="F82" s="30"/>
      <c r="G82" s="31"/>
      <c r="H82" s="32" t="s">
        <v>152</v>
      </c>
      <c r="I82" s="32" t="s">
        <v>152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169</v>
      </c>
      <c r="D84" s="29"/>
      <c r="E84" s="30"/>
      <c r="F84" s="30"/>
      <c r="G84" s="31"/>
      <c r="H84" s="32" t="s">
        <v>152</v>
      </c>
      <c r="I84" s="32" t="s">
        <v>152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170</v>
      </c>
      <c r="D86" s="29"/>
      <c r="E86" s="30"/>
      <c r="F86" s="30"/>
      <c r="G86" s="31"/>
      <c r="H86" s="32" t="s">
        <v>152</v>
      </c>
      <c r="I86" s="32" t="s">
        <v>152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A88" s="26"/>
      <c r="B88" s="27"/>
      <c r="C88" s="28" t="s">
        <v>171</v>
      </c>
      <c r="D88" s="29"/>
      <c r="E88" s="30"/>
      <c r="F88" s="30"/>
      <c r="G88" s="31"/>
      <c r="H88" s="32"/>
      <c r="I88" s="32"/>
      <c r="J88" s="33"/>
    </row>
    <row r="89" spans="1:10">
      <c r="B89" s="1"/>
      <c r="C89" s="20" t="s">
        <v>172</v>
      </c>
      <c r="D89" s="29"/>
      <c r="E89" s="30"/>
      <c r="F89" s="30"/>
      <c r="G89" s="31"/>
      <c r="H89" s="32">
        <v>60.45</v>
      </c>
      <c r="I89" s="32">
        <v>0.8</v>
      </c>
      <c r="J89" s="33"/>
    </row>
    <row r="90" spans="1:10">
      <c r="C90" s="28" t="s">
        <v>150</v>
      </c>
      <c r="D90" s="29"/>
      <c r="E90" s="30"/>
      <c r="F90" s="30"/>
      <c r="G90" s="31"/>
      <c r="H90" s="35">
        <v>60.45</v>
      </c>
      <c r="I90" s="35">
        <v>0.8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 ht="13.5" thickBot="1">
      <c r="C92" s="36" t="s">
        <v>173</v>
      </c>
      <c r="D92" s="37"/>
      <c r="E92" s="38"/>
      <c r="F92" s="39"/>
      <c r="G92" s="40"/>
      <c r="H92" s="41">
        <v>7698.39</v>
      </c>
      <c r="I92" s="41">
        <f>SUMIFS(I:I,C:C,"Total")</f>
        <v>100</v>
      </c>
      <c r="J92" s="42"/>
    </row>
    <row r="95" spans="1:10">
      <c r="C95" s="11" t="s">
        <v>174</v>
      </c>
    </row>
    <row r="96" spans="1:10">
      <c r="C96" s="2" t="s">
        <v>175</v>
      </c>
    </row>
    <row r="97" spans="3:3">
      <c r="C97" s="2" t="s">
        <v>176</v>
      </c>
    </row>
    <row r="98" spans="3:3">
      <c r="C98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0"/>
  <sheetViews>
    <sheetView workbookViewId="0"/>
  </sheetViews>
  <sheetFormatPr defaultRowHeight="15"/>
  <cols>
    <col min="1" max="1" width="44.425781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75">
      <c r="A4" s="43" t="s">
        <v>178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179</v>
      </c>
      <c r="B5" s="50" t="s">
        <v>180</v>
      </c>
      <c r="C5" s="50"/>
      <c r="D5" s="50" t="s">
        <v>181</v>
      </c>
      <c r="E5" s="50"/>
      <c r="F5" s="50" t="s">
        <v>182</v>
      </c>
      <c r="G5" s="50"/>
      <c r="H5" s="50" t="s">
        <v>183</v>
      </c>
      <c r="I5" s="50"/>
    </row>
    <row r="6" spans="1:9" ht="63.75">
      <c r="A6" s="46"/>
      <c r="B6" s="47" t="s">
        <v>184</v>
      </c>
      <c r="C6" s="47" t="s">
        <v>185</v>
      </c>
      <c r="D6" s="47" t="s">
        <v>184</v>
      </c>
      <c r="E6" s="47" t="s">
        <v>185</v>
      </c>
      <c r="F6" s="47" t="s">
        <v>184</v>
      </c>
      <c r="G6" s="47" t="s">
        <v>185</v>
      </c>
      <c r="H6" s="47" t="s">
        <v>184</v>
      </c>
      <c r="I6" s="47" t="s">
        <v>185</v>
      </c>
    </row>
    <row r="7" spans="1:9">
      <c r="A7" s="48" t="s">
        <v>186</v>
      </c>
      <c r="B7" s="49">
        <v>5.5257207461842706</v>
      </c>
      <c r="C7" s="49">
        <v>10552.572074618429</v>
      </c>
      <c r="D7" s="49">
        <v>24.190909500251401</v>
      </c>
      <c r="E7" s="49">
        <v>19165.811088295686</v>
      </c>
      <c r="F7" s="49">
        <v>12.574290871660043</v>
      </c>
      <c r="G7" s="49">
        <v>18079.903147699759</v>
      </c>
      <c r="H7" s="49">
        <v>7.4428920618846872</v>
      </c>
      <c r="I7" s="49">
        <v>74670</v>
      </c>
    </row>
    <row r="8" spans="1:9">
      <c r="A8" s="48" t="s">
        <v>187</v>
      </c>
      <c r="B8" s="49">
        <v>11.815640306480768</v>
      </c>
      <c r="C8" s="49">
        <v>11181.564030648076</v>
      </c>
      <c r="D8" s="49">
        <v>28.749812138395825</v>
      </c>
      <c r="E8" s="49">
        <v>21342.230795897627</v>
      </c>
      <c r="F8" s="49">
        <v>14.861582727730438</v>
      </c>
      <c r="G8" s="49">
        <v>19992.816576963891</v>
      </c>
      <c r="H8" s="49">
        <v>0</v>
      </c>
      <c r="I8" s="49">
        <v>0</v>
      </c>
    </row>
    <row r="9" spans="1:9">
      <c r="A9" s="48" t="s">
        <v>188</v>
      </c>
      <c r="B9" s="49">
        <v>5.1410540204544608</v>
      </c>
      <c r="C9" s="49">
        <v>10514.105402045447</v>
      </c>
      <c r="D9" s="49">
        <v>18.625136484194549</v>
      </c>
      <c r="E9" s="49">
        <v>16692.837871692274</v>
      </c>
      <c r="F9" s="49">
        <v>13.782855266252803</v>
      </c>
      <c r="G9" s="49">
        <v>19071.468667697653</v>
      </c>
      <c r="H9" s="49">
        <v>10.874281470268432</v>
      </c>
      <c r="I9" s="49">
        <v>180046.93742465079</v>
      </c>
    </row>
    <row r="10" spans="1:9">
      <c r="A10" s="48" t="s">
        <v>189</v>
      </c>
      <c r="B10" s="51">
        <v>70.760000000000005</v>
      </c>
      <c r="C10" s="52"/>
      <c r="D10" s="51">
        <v>38.96</v>
      </c>
      <c r="E10" s="52"/>
      <c r="F10" s="51">
        <v>41.3</v>
      </c>
      <c r="G10" s="52"/>
      <c r="H10" s="51">
        <v>10</v>
      </c>
      <c r="I10" s="52"/>
    </row>
    <row r="12" spans="1:9" ht="15.75">
      <c r="A12" s="43" t="s">
        <v>190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179</v>
      </c>
      <c r="B13" s="50" t="s">
        <v>180</v>
      </c>
      <c r="C13" s="50"/>
      <c r="D13" s="50" t="s">
        <v>181</v>
      </c>
      <c r="E13" s="50"/>
      <c r="F13" s="50" t="s">
        <v>182</v>
      </c>
      <c r="G13" s="50"/>
      <c r="H13" s="50" t="s">
        <v>183</v>
      </c>
      <c r="I13" s="50"/>
    </row>
    <row r="14" spans="1:9" ht="63.75">
      <c r="A14" s="46"/>
      <c r="B14" s="47" t="s">
        <v>184</v>
      </c>
      <c r="C14" s="47" t="s">
        <v>185</v>
      </c>
      <c r="D14" s="47" t="s">
        <v>184</v>
      </c>
      <c r="E14" s="47" t="s">
        <v>185</v>
      </c>
      <c r="F14" s="47" t="s">
        <v>184</v>
      </c>
      <c r="G14" s="47" t="s">
        <v>185</v>
      </c>
      <c r="H14" s="47" t="s">
        <v>184</v>
      </c>
      <c r="I14" s="47" t="s">
        <v>185</v>
      </c>
    </row>
    <row r="15" spans="1:9">
      <c r="A15" s="48" t="s">
        <v>186</v>
      </c>
      <c r="B15" s="49">
        <v>5.8943365476028742</v>
      </c>
      <c r="C15" s="49">
        <v>10589.433654760289</v>
      </c>
      <c r="D15" s="49">
        <v>24.663999112165147</v>
      </c>
      <c r="E15" s="49">
        <v>19385.877672799601</v>
      </c>
      <c r="F15" s="49">
        <v>13.036880626863191</v>
      </c>
      <c r="G15" s="49">
        <v>18454.437869822486</v>
      </c>
      <c r="H15" s="49">
        <v>16.572705244949226</v>
      </c>
      <c r="I15" s="49">
        <v>44025.974025974021</v>
      </c>
    </row>
    <row r="16" spans="1:9">
      <c r="A16" s="48" t="s">
        <v>187</v>
      </c>
      <c r="B16" s="49">
        <v>11.815640306480768</v>
      </c>
      <c r="C16" s="49">
        <v>11181.564030648076</v>
      </c>
      <c r="D16" s="49">
        <v>28.749812138395825</v>
      </c>
      <c r="E16" s="49">
        <v>21342.230795897627</v>
      </c>
      <c r="F16" s="49">
        <v>14.861582727730438</v>
      </c>
      <c r="G16" s="49">
        <v>19992.816576963891</v>
      </c>
      <c r="H16" s="49">
        <v>17.855613435605289</v>
      </c>
      <c r="I16" s="49">
        <v>48938.893148946256</v>
      </c>
    </row>
    <row r="17" spans="1:9">
      <c r="A17" s="48" t="s">
        <v>188</v>
      </c>
      <c r="B17" s="49">
        <v>5.1410540204544608</v>
      </c>
      <c r="C17" s="49">
        <v>10514.105402045447</v>
      </c>
      <c r="D17" s="49">
        <v>18.625136484194549</v>
      </c>
      <c r="E17" s="49">
        <v>16692.837871692274</v>
      </c>
      <c r="F17" s="49">
        <v>13.782855266252803</v>
      </c>
      <c r="G17" s="49">
        <v>19071.468667697653</v>
      </c>
      <c r="H17" s="49">
        <v>13.394856913984565</v>
      </c>
      <c r="I17" s="49">
        <v>33704.348030668589</v>
      </c>
    </row>
    <row r="18" spans="1:9">
      <c r="A18" s="48" t="s">
        <v>191</v>
      </c>
      <c r="B18" s="51">
        <v>73.63</v>
      </c>
      <c r="C18" s="52"/>
      <c r="D18" s="51">
        <v>40.22</v>
      </c>
      <c r="E18" s="52"/>
      <c r="F18" s="51">
        <v>42.25</v>
      </c>
      <c r="G18" s="52"/>
      <c r="H18" s="51">
        <v>17.71</v>
      </c>
      <c r="I18" s="52"/>
    </row>
    <row r="20" spans="1:9">
      <c r="A20" t="s">
        <v>192</v>
      </c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2022-09-02T14:05:28Z</dcterms:created>
  <dcterms:modified xsi:type="dcterms:W3CDTF">2022-09-09T02:47:06Z</dcterms:modified>
</cp:coreProperties>
</file>