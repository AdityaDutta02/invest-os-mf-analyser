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Portfolio'!$C$8:$C$37</definedName>
    <definedName name="XDO_?FINAL_ISIN?14?">'TTS-Risk-O-Meter &amp; Portfolio'!$D$10:$D$37</definedName>
    <definedName name="XDO_?FINAL_ISIN?15?">'TTS-Risk-O-Meter &amp; Portfolio'!$D$10:$D$79</definedName>
    <definedName name="XDO_?FINAL_MV?14?">'TTS-Risk-O-Meter &amp; Portfolio'!$H$10:$H$37</definedName>
    <definedName name="XDO_?FINAL_MV?15?">'TTS-Risk-O-Meter &amp; Portfolio'!$H$10:$H$79</definedName>
    <definedName name="XDO_?FINAL_NAME?14?">'TTS-Risk-O-Meter &amp; Portfolio'!$C$10:$C$37</definedName>
    <definedName name="XDO_?FINAL_NAME?15?">'TTS-Risk-O-Meter &amp; Portfolio'!$C$10:$C$79</definedName>
    <definedName name="XDO_?FINAL_PER_NET?14?">'TTS-Risk-O-Meter &amp; Portfolio'!$I$10:$I$37</definedName>
    <definedName name="XDO_?FINAL_PER_NET?15?">'TTS-Risk-O-Meter &amp; Portfolio'!$I$10:$I$79</definedName>
    <definedName name="XDO_?FINAL_QUANTITE?14?">'TTS-Risk-O-Meter &amp; Portfolio'!$G$10:$G$37</definedName>
    <definedName name="XDO_?FINAL_QUANTITE?15?">'TTS-Risk-O-Meter &amp; Portfolio'!$G$10:$G$79</definedName>
    <definedName name="XDO_?IND_01?14?">'TTS-Risk-O-Meter &amp; Portfolio'!$F$10:$F$37</definedName>
    <definedName name="XDO_?IND_01?15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Portfolio'!$B$10:$B$37</definedName>
    <definedName name="XDO_?NOVAL?15?">'TTS-Risk-O-Meter &amp; Portfolio'!$B$10:$B$79</definedName>
    <definedName name="XDO_?NPTF?7?">'TTS-Risk-O-Meter &amp; Portfolio'!$D$2:$D$37</definedName>
    <definedName name="XDO_?RATING?14?">'TTS-Risk-O-Meter &amp; Portfolio'!$E$10:$E$37</definedName>
    <definedName name="XDO_?RATING?15?">'TTS-Risk-O-Meter &amp; Portfolio'!$E$10:$E$79</definedName>
    <definedName name="XDO_?REMARKS?14?">'TTS-Risk-O-Meter &amp; Portfolio'!$J$10:$J$37</definedName>
    <definedName name="XDO_?REMARKS?15?">'TTS-Risk-O-Meter &amp; Portfolio'!$J$10:$J$79</definedName>
    <definedName name="XDO_?TITL?7?">'TTS-Risk-O-Meter &amp; Portfolio'!$A$8:$A$37</definedName>
    <definedName name="XDO_GROUP_?G_2?7?">'TTS-Risk-O-Meter &amp; Portfolio'!$2:$82</definedName>
    <definedName name="XDO_GROUP_?G_3?7?">'TTS-Risk-O-Meter &amp; Portfolio'!$8:$81</definedName>
    <definedName name="XDO_GROUP_?G_4?14?">'TTS-Risk-O-Meter &amp; Portfolio'!$B$10:$IV$37</definedName>
    <definedName name="XDO_GROUP_?G_4?15?">'TTS-Risk-O-Meter &amp; Portfolio'!$B$79:$IV$79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<sst xmlns="http://schemas.openxmlformats.org/spreadsheetml/2006/main" count="224" uniqueCount="157">
  <si>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</si>
  <si>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</si>
  <si>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</si>
  <si>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</si>
  <si>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</si>
  <si>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</si>
  <si>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</si>
  <si>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</si>
  <si>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</si>
  <si>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</si>
  <si>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</si>
  <si>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</si>
  <si>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</si>
  <si>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</si>
  <si>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</si>
  <si>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</si>
  <si>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</si>
  <si>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</si>
  <si>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</si>
  <si>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</si>
  <si>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</si>
  <si>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</si>
  <si>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</si>
  <si>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</si>
  <si>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</si>
  <si>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</si>
  <si>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</si>
  <si>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</si>
  <si>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</si>
  <si>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</si>
  <si>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</si>
  <si>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100005</t>
  </si>
  <si>
    <t>Larsen &amp; Toubro Ltd.</t>
  </si>
  <si>
    <t>INE018A01030</t>
  </si>
  <si>
    <t>Construction</t>
  </si>
  <si>
    <t>100325</t>
  </si>
  <si>
    <t>Bajaj Holdings &amp; Investment Ltd.</t>
  </si>
  <si>
    <t>INE118A01012</t>
  </si>
  <si>
    <t>100392</t>
  </si>
  <si>
    <t>Gujarat Narmada Valley Fertilizers &amp; Chemicals Ltd.</t>
  </si>
  <si>
    <t>INE113A01013</t>
  </si>
  <si>
    <t>Chemicals &amp; Petrochemicals</t>
  </si>
  <si>
    <t>100006</t>
  </si>
  <si>
    <t>HDFC Bank Ltd.</t>
  </si>
  <si>
    <t>INE040A01034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</si>
  <si>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</si>
  <si>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</si>
  <si>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</si>
  <si>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</si>
  <si>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</si>
  <si>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</si>
  <si>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</si>
  <si>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100235</t>
  </si>
  <si>
    <t>CRISIL Ltd.</t>
  </si>
  <si>
    <t>INE007A01025</t>
  </si>
  <si>
    <t>100003</t>
  </si>
  <si>
    <t>Infosys Ltd.</t>
  </si>
  <si>
    <t>INE009A01021</t>
  </si>
  <si>
    <t>100008</t>
  </si>
  <si>
    <t>Sun Pharmaceutical Industries Ltd.</t>
  </si>
  <si>
    <t>INE044A01036</t>
  </si>
  <si>
    <t>Pharmaceuticals &amp; Biotechnology</t>
  </si>
  <si>
    <t>100148</t>
  </si>
  <si>
    <t>Motilal Oswal Financial Services Ltd.</t>
  </si>
  <si>
    <t>INE338I01027</t>
  </si>
  <si>
    <t>Capital Markets</t>
  </si>
  <si>
    <t>100747</t>
  </si>
  <si>
    <t>Mahindra Logistics Ltd.</t>
  </si>
  <si>
    <t>INE766P01016</t>
  </si>
  <si>
    <t>Transport Services</t>
  </si>
  <si>
    <t>100271</t>
  </si>
  <si>
    <t>Balkrishna Industries Ltd.</t>
  </si>
  <si>
    <t>INE787D01026</t>
  </si>
  <si>
    <t>Auto Components</t>
  </si>
  <si>
    <t>100153</t>
  </si>
  <si>
    <t>Cipla Ltd.</t>
  </si>
  <si>
    <t>INE059A01026</t>
  </si>
  <si>
    <t>101412</t>
  </si>
  <si>
    <t>Punjab Chemicals &amp; Crop Protection Ltd.</t>
  </si>
  <si>
    <t>INE277B01014</t>
  </si>
  <si>
    <t>Fertilizers &amp; Agrochemicals</t>
  </si>
  <si>
    <t>100165</t>
  </si>
  <si>
    <t>Rallis India Ltd.</t>
  </si>
  <si>
    <t>INE613A01020</t>
  </si>
  <si>
    <t>100039</t>
  </si>
  <si>
    <t>Bajaj Auto Ltd.</t>
  </si>
  <si>
    <t>INE917I01010</t>
  </si>
  <si>
    <t>Automobiles</t>
  </si>
  <si>
    <t>100654</t>
  </si>
  <si>
    <t>Automotive Axles Ltd.</t>
  </si>
  <si>
    <t>INE449A01011</t>
  </si>
  <si>
    <t>100104</t>
  </si>
  <si>
    <t>Kotak Mahindra Bank Ltd.</t>
  </si>
  <si>
    <t>INE237A01028</t>
  </si>
  <si>
    <t>100821</t>
  </si>
  <si>
    <t>TTK Prestige Ltd.</t>
  </si>
  <si>
    <t>INE690A01028</t>
  </si>
  <si>
    <t>Consumer Durables</t>
  </si>
  <si>
    <t>100133</t>
  </si>
  <si>
    <t>Oracle Financial Services Software Ltd.</t>
  </si>
  <si>
    <t>INE881D01027</t>
  </si>
  <si>
    <t>100446</t>
  </si>
  <si>
    <t>V.S.T Tillers Tractors Ltd.</t>
  </si>
  <si>
    <t>INE764D01017</t>
  </si>
  <si>
    <t>Agricultural, Commercial &amp; Construction Vehicles</t>
  </si>
  <si>
    <t>101348</t>
  </si>
  <si>
    <t>Ami Organics Ltd.</t>
  </si>
  <si>
    <t>INE00FF01017</t>
  </si>
  <si>
    <t>100080</t>
  </si>
  <si>
    <t>Dr. Reddy's Laboratories Ltd.</t>
  </si>
  <si>
    <t>INE089A01023</t>
  </si>
  <si>
    <t>100014</t>
  </si>
  <si>
    <t>Mahindra &amp; Mahindra Ltd.</t>
  </si>
  <si>
    <t>INE101A01026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</si>
  <si>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</si>
  <si>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</si>
  <si>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</si>
  <si>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</si>
  <si>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</si>
  <si>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</si>
  <si>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</si>
  <si>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</si>
  <si>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</si>
  <si>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</si>
  <si>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</si>
  <si>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</si>
  <si>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</si>
  <si>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</si>
  <si>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</si>
  <si>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</si>
  <si>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</si>
  <si>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</si>
  <si>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</si>
  <si>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</si>
  <si>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</si>
  <si>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</si>
  <si>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</si>
  <si>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</si>
  <si>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</si>
  <si>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</si>
  <si>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</si>
  <si>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</si>
  <si>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</si>
  <si>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</si>
  <si>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</si>
  <si>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</si>
  <si>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</si>
  <si>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</si>
  <si>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</si>
  <si>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</si>
  <si>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</si>
  <si>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</si>
  <si>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</si>
  <si>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May 31, 2022 : 107.46)</t>
  </si>
  <si>
    <t>Taurus Tax Shield - Direct Plan Growth Option</t>
  </si>
  <si>
    <t>NAV [Rs.] Per Unit (as on May 31, 2022 : 114.80)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</si>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</sst>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7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18500</v>
      </c>
      <c r="H10" s="32">
        <v>426.83</v>
      </c>
      <c r="I10" s="32">
        <v>7.09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53799</v>
      </c>
      <c r="H11" s="32">
        <v>404.3</v>
      </c>
      <c r="I11" s="32">
        <v>6.71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120000</v>
      </c>
      <c r="H12" s="32">
        <v>324.72000000000003</v>
      </c>
      <c r="I12" s="32">
        <v>5.39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27000</v>
      </c>
      <c r="H13" s="32">
        <v>280.88</v>
      </c>
      <c r="I13" s="32">
        <v>4.67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15026</v>
      </c>
      <c r="H14" s="32">
        <v>248.46</v>
      </c>
      <c r="I14" s="32">
        <v>4.13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4787</v>
      </c>
      <c r="H15" s="32">
        <v>244.48</v>
      </c>
      <c r="I15" s="32">
        <v>4.0599999999999996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35000</v>
      </c>
      <c r="H16" s="32">
        <v>232.89</v>
      </c>
      <c r="I16" s="32">
        <v>3.87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22</v>
      </c>
      <c r="G17" s="31">
        <v>15533</v>
      </c>
      <c r="H17" s="32">
        <v>215.51</v>
      </c>
      <c r="I17" s="32">
        <v>3.58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30000</v>
      </c>
      <c r="H18" s="32">
        <v>205.62</v>
      </c>
      <c r="I18" s="32">
        <v>3.42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254553</v>
      </c>
      <c r="H19" s="32">
        <v>204.41</v>
      </c>
      <c r="I19" s="32">
        <v>3.39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5338</v>
      </c>
      <c r="H20" s="32">
        <v>182.14</v>
      </c>
      <c r="I20" s="32">
        <v>3.03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30</v>
      </c>
      <c r="G21" s="31">
        <v>11708</v>
      </c>
      <c r="H21" s="32">
        <v>176.08</v>
      </c>
      <c r="I21" s="32">
        <v>2.92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19000</v>
      </c>
      <c r="H22" s="32">
        <v>163.49</v>
      </c>
      <c r="I22" s="32">
        <v>2.72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20000</v>
      </c>
      <c r="H23" s="32">
        <v>158.65</v>
      </c>
      <c r="I23" s="32">
        <v>2.63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32000</v>
      </c>
      <c r="H24" s="32">
        <v>147.31</v>
      </c>
      <c r="I24" s="32">
        <v>2.4500000000000002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5862</v>
      </c>
      <c r="H25" s="32">
        <v>137.15</v>
      </c>
      <c r="I25" s="32">
        <v>2.2799999999999998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61</v>
      </c>
      <c r="G26" s="31">
        <v>12700</v>
      </c>
      <c r="H26" s="32">
        <v>126.22</v>
      </c>
      <c r="I26" s="32">
        <v>2.1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9769</v>
      </c>
      <c r="H27" s="32">
        <v>122.2</v>
      </c>
      <c r="I27" s="32">
        <v>2.0299999999999998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80</v>
      </c>
      <c r="G28" s="31">
        <v>60000</v>
      </c>
      <c r="H28" s="32">
        <v>120.03</v>
      </c>
      <c r="I28" s="32">
        <v>1.99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3000</v>
      </c>
      <c r="H29" s="32">
        <v>115.89</v>
      </c>
      <c r="I29" s="32">
        <v>1.92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73</v>
      </c>
      <c r="G30" s="31">
        <v>7000</v>
      </c>
      <c r="H30" s="32">
        <v>113.65</v>
      </c>
      <c r="I30" s="32">
        <v>1.89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22</v>
      </c>
      <c r="G31" s="31">
        <v>6000</v>
      </c>
      <c r="H31" s="32">
        <v>111.25</v>
      </c>
      <c r="I31" s="32">
        <v>1.85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13185</v>
      </c>
      <c r="H32" s="32">
        <v>109.66</v>
      </c>
      <c r="I32" s="32">
        <v>1.82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30</v>
      </c>
      <c r="G33" s="31">
        <v>3259</v>
      </c>
      <c r="H33" s="32">
        <v>107.34</v>
      </c>
      <c r="I33" s="32">
        <v>1.78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4050</v>
      </c>
      <c r="H34" s="32">
        <v>104.41</v>
      </c>
      <c r="I34" s="32">
        <v>1.73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61</v>
      </c>
      <c r="G35" s="31">
        <v>11049</v>
      </c>
      <c r="H35" s="32">
        <v>96.29</v>
      </c>
      <c r="I35" s="32">
        <v>1.6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61</v>
      </c>
      <c r="G36" s="31">
        <v>1500</v>
      </c>
      <c r="H36" s="32">
        <v>65.540000000000006</v>
      </c>
      <c r="I36" s="32">
        <v>1.0900000000000001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87</v>
      </c>
      <c r="G37" s="31">
        <v>3665</v>
      </c>
      <c r="H37" s="32">
        <v>37.89</v>
      </c>
      <c r="I37" s="32">
        <v>0.63</v>
      </c>
      <c r="J37" s="33"/>
    </row>
    <row r="38" spans="2:10">
      <c r="C38" s="28" t="s">
        <v>114</v>
      </c>
      <c r="D38" s="29"/>
      <c r="E38" s="30"/>
      <c r="F38" s="30"/>
      <c r="G38" s="31"/>
      <c r="H38" s="35">
        <v>4983.29</v>
      </c>
      <c r="I38" s="35">
        <v>82.77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115</v>
      </c>
      <c r="D40" s="29"/>
      <c r="E40" s="30"/>
      <c r="F40" s="30"/>
      <c r="G40" s="31"/>
      <c r="H40" s="32" t="s">
        <v>116</v>
      </c>
      <c r="I40" s="32" t="s">
        <v>116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117</v>
      </c>
      <c r="D42" s="29"/>
      <c r="E42" s="30"/>
      <c r="F42" s="30"/>
      <c r="G42" s="31"/>
      <c r="H42" s="32" t="s">
        <v>116</v>
      </c>
      <c r="I42" s="32" t="s">
        <v>116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118</v>
      </c>
      <c r="D44" s="29"/>
      <c r="E44" s="30"/>
      <c r="F44" s="30"/>
      <c r="G44" s="31"/>
      <c r="H44" s="32"/>
      <c r="I44" s="32"/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119</v>
      </c>
      <c r="D46" s="29"/>
      <c r="E46" s="30"/>
      <c r="F46" s="30"/>
      <c r="G46" s="31"/>
      <c r="H46" s="32" t="s">
        <v>116</v>
      </c>
      <c r="I46" s="32" t="s">
        <v>116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120</v>
      </c>
      <c r="D48" s="29"/>
      <c r="E48" s="30"/>
      <c r="F48" s="30"/>
      <c r="G48" s="31"/>
      <c r="H48" s="32" t="s">
        <v>116</v>
      </c>
      <c r="I48" s="32" t="s">
        <v>116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121</v>
      </c>
      <c r="D50" s="29"/>
      <c r="E50" s="30"/>
      <c r="F50" s="30"/>
      <c r="G50" s="31"/>
      <c r="H50" s="32" t="s">
        <v>116</v>
      </c>
      <c r="I50" s="32" t="s">
        <v>116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122</v>
      </c>
      <c r="D52" s="29"/>
      <c r="E52" s="30"/>
      <c r="F52" s="30"/>
      <c r="G52" s="31"/>
      <c r="H52" s="32" t="s">
        <v>116</v>
      </c>
      <c r="I52" s="32" t="s">
        <v>116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123</v>
      </c>
      <c r="D54" s="29"/>
      <c r="E54" s="30"/>
      <c r="F54" s="30"/>
      <c r="G54" s="31"/>
      <c r="H54" s="32" t="s">
        <v>116</v>
      </c>
      <c r="I54" s="32" t="s">
        <v>116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124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125</v>
      </c>
      <c r="D58" s="29"/>
      <c r="E58" s="30"/>
      <c r="F58" s="30"/>
      <c r="G58" s="31"/>
      <c r="H58" s="32" t="s">
        <v>116</v>
      </c>
      <c r="I58" s="32" t="s">
        <v>116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126</v>
      </c>
      <c r="D60" s="29"/>
      <c r="E60" s="30"/>
      <c r="F60" s="30"/>
      <c r="G60" s="31"/>
      <c r="H60" s="32" t="s">
        <v>116</v>
      </c>
      <c r="I60" s="32" t="s">
        <v>116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127</v>
      </c>
      <c r="D62" s="29"/>
      <c r="E62" s="30"/>
      <c r="F62" s="30"/>
      <c r="G62" s="31"/>
      <c r="H62" s="32" t="s">
        <v>116</v>
      </c>
      <c r="I62" s="32" t="s">
        <v>116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128</v>
      </c>
      <c r="D64" s="29"/>
      <c r="E64" s="30"/>
      <c r="F64" s="30"/>
      <c r="G64" s="31"/>
      <c r="H64" s="32" t="s">
        <v>116</v>
      </c>
      <c r="I64" s="32" t="s">
        <v>116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129</v>
      </c>
      <c r="D66" s="29"/>
      <c r="E66" s="30"/>
      <c r="F66" s="30"/>
      <c r="G66" s="31"/>
      <c r="H66" s="32"/>
      <c r="I66" s="32"/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130</v>
      </c>
      <c r="D68" s="29"/>
      <c r="E68" s="30"/>
      <c r="F68" s="30"/>
      <c r="G68" s="31"/>
      <c r="H68" s="32" t="s">
        <v>116</v>
      </c>
      <c r="I68" s="32" t="s">
        <v>116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131</v>
      </c>
      <c r="D70" s="29"/>
      <c r="E70" s="30"/>
      <c r="F70" s="30"/>
      <c r="G70" s="31"/>
      <c r="H70" s="32" t="s">
        <v>116</v>
      </c>
      <c r="I70" s="32" t="s">
        <v>116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132</v>
      </c>
      <c r="D72" s="29"/>
      <c r="E72" s="30"/>
      <c r="F72" s="30"/>
      <c r="G72" s="31"/>
      <c r="H72" s="32" t="s">
        <v>116</v>
      </c>
      <c r="I72" s="32" t="s">
        <v>116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133</v>
      </c>
      <c r="D74" s="29"/>
      <c r="E74" s="30"/>
      <c r="F74" s="30"/>
      <c r="G74" s="31"/>
      <c r="H74" s="32" t="s">
        <v>116</v>
      </c>
      <c r="I74" s="32" t="s">
        <v>116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134</v>
      </c>
      <c r="D76" s="29"/>
      <c r="E76" s="30"/>
      <c r="F76" s="30"/>
      <c r="G76" s="31"/>
      <c r="H76" s="32" t="s">
        <v>116</v>
      </c>
      <c r="I76" s="32" t="s">
        <v>116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135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136</v>
      </c>
      <c r="D79" s="29"/>
      <c r="E79" s="30"/>
      <c r="F79" s="30"/>
      <c r="G79" s="31"/>
      <c r="H79" s="32">
        <v>1037.71</v>
      </c>
      <c r="I79" s="32">
        <v>17.23</v>
      </c>
      <c r="J79" s="33"/>
    </row>
    <row r="80" spans="1:10">
      <c r="C80" s="28" t="s">
        <v>114</v>
      </c>
      <c r="D80" s="29"/>
      <c r="E80" s="30"/>
      <c r="F80" s="30"/>
      <c r="G80" s="31"/>
      <c r="H80" s="35">
        <v>1037.71</v>
      </c>
      <c r="I80" s="35">
        <v>17.23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8" thickBot="1">
      <c r="C82" s="36" t="s">
        <v>137</v>
      </c>
      <c r="D82" s="37"/>
      <c r="E82" s="38"/>
      <c r="F82" s="39"/>
      <c r="G82" s="40"/>
      <c r="H82" s="41">
        <v>6021</v>
      </c>
      <c r="I82" s="41">
        <f>SUMIFS(I:I,C:C,"Total")</f>
        <v>100</v>
      </c>
      <c r="J82" s="42"/>
    </row>
    <row r="85" spans="3:10">
      <c r="C85" s="11" t="s">
        <v>138</v>
      </c>
    </row>
    <row r="86" spans="3:10">
      <c r="C86" s="2" t="s">
        <v>139</v>
      </c>
    </row>
    <row r="87" spans="3:10">
      <c r="C87" s="2" t="s">
        <v>140</v>
      </c>
    </row>
    <row r="88" spans="3:10">
      <c r="C88" s="2" t="s">
        <v>141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142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143</v>
      </c>
      <c r="B5" s="46" t="s">
        <v>144</v>
      </c>
      <c r="C5" s="46"/>
      <c r="D5" s="46" t="s">
        <v>145</v>
      </c>
      <c r="E5" s="46"/>
      <c r="F5" s="46" t="s">
        <v>146</v>
      </c>
      <c r="G5" s="46"/>
      <c r="H5" s="46" t="s">
        <v>147</v>
      </c>
      <c r="I5" s="46"/>
    </row>
    <row r="6" spans="1:9" ht="66">
      <c r="A6" s="47"/>
      <c r="B6" s="48" t="s">
        <v>148</v>
      </c>
      <c r="C6" s="48" t="s">
        <v>149</v>
      </c>
      <c r="D6" s="48" t="s">
        <v>148</v>
      </c>
      <c r="E6" s="48" t="s">
        <v>149</v>
      </c>
      <c r="F6" s="48" t="s">
        <v>148</v>
      </c>
      <c r="G6" s="48" t="s">
        <v>149</v>
      </c>
      <c r="H6" s="48" t="s">
        <v>148</v>
      </c>
      <c r="I6" s="48" t="s">
        <v>149</v>
      </c>
    </row>
    <row r="7" spans="1:9">
      <c r="A7" s="49" t="s">
        <v>150</v>
      </c>
      <c r="B7" s="50">
        <v>4.3300970873786371</v>
      </c>
      <c r="C7" s="50">
        <v>10433.009708737864</v>
      </c>
      <c r="D7" s="50">
        <v>10.239409206308171</v>
      </c>
      <c r="E7" s="50">
        <v>13400.6734006734</v>
      </c>
      <c r="F7" s="50">
        <v>9.7924593347349607</v>
      </c>
      <c r="G7" s="50">
        <v>15957.825957825957</v>
      </c>
      <c r="H7" s="50">
        <v>11.252592400260752</v>
      </c>
      <c r="I7" s="50">
        <v>107460</v>
      </c>
    </row>
    <row r="8" spans="1:9">
      <c r="A8" s="49" t="s">
        <v>151</v>
      </c>
      <c r="B8" s="50">
        <v>8.2993317866371328</v>
      </c>
      <c r="C8" s="50">
        <v>10829.933178663714</v>
      </c>
      <c r="D8" s="50">
        <v>14.65384644222063</v>
      </c>
      <c r="E8" s="50">
        <v>15071.826548067123</v>
      </c>
      <c r="F8" s="50">
        <v>12.677354457249335</v>
      </c>
      <c r="G8" s="50">
        <v>18162.817046805849</v>
      </c>
      <c r="H8" s="50">
        <v>0</v>
      </c>
      <c r="I8" s="50">
        <v>0</v>
      </c>
    </row>
    <row r="9" spans="1:9">
      <c r="A9" s="49" t="s">
        <v>152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12.717584538028269</v>
      </c>
      <c r="I9" s="50">
        <v>229787.91772115848</v>
      </c>
    </row>
    <row r="10" spans="1:9">
      <c r="A10" s="49" t="s">
        <v>153</v>
      </c>
      <c r="B10" s="51">
        <v>103</v>
      </c>
      <c r="C10" s="52"/>
      <c r="D10" s="51">
        <v>80.19</v>
      </c>
      <c r="E10" s="52"/>
      <c r="F10" s="51">
        <v>67.34</v>
      </c>
      <c r="G10" s="52"/>
      <c r="H10" s="51">
        <v>10</v>
      </c>
      <c r="I10" s="52"/>
    </row>
    <row r="12" spans="1:9" ht="15.6">
      <c r="A12" s="43" t="s">
        <v>154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143</v>
      </c>
      <c r="B13" s="46" t="s">
        <v>144</v>
      </c>
      <c r="C13" s="46"/>
      <c r="D13" s="46" t="s">
        <v>145</v>
      </c>
      <c r="E13" s="46"/>
      <c r="F13" s="46" t="s">
        <v>146</v>
      </c>
      <c r="G13" s="46"/>
      <c r="H13" s="46" t="s">
        <v>147</v>
      </c>
      <c r="I13" s="46"/>
    </row>
    <row r="14" spans="1:9" ht="66">
      <c r="A14" s="47"/>
      <c r="B14" s="48" t="s">
        <v>148</v>
      </c>
      <c r="C14" s="48" t="s">
        <v>149</v>
      </c>
      <c r="D14" s="48" t="s">
        <v>148</v>
      </c>
      <c r="E14" s="48" t="s">
        <v>149</v>
      </c>
      <c r="F14" s="48" t="s">
        <v>148</v>
      </c>
      <c r="G14" s="48" t="s">
        <v>149</v>
      </c>
      <c r="H14" s="48" t="s">
        <v>148</v>
      </c>
      <c r="I14" s="48" t="s">
        <v>149</v>
      </c>
    </row>
    <row r="15" spans="1:9">
      <c r="A15" s="49" t="s">
        <v>150</v>
      </c>
      <c r="B15" s="50">
        <v>5.0704740984806707</v>
      </c>
      <c r="C15" s="50">
        <v>10507.047409848068</v>
      </c>
      <c r="D15" s="50">
        <v>11.029430203844704</v>
      </c>
      <c r="E15" s="50">
        <v>13691.115086463924</v>
      </c>
      <c r="F15" s="50">
        <v>10.529995464058594</v>
      </c>
      <c r="G15" s="50">
        <v>16501.365531119736</v>
      </c>
      <c r="H15" s="50">
        <v>12.243590739931465</v>
      </c>
      <c r="I15" s="50">
        <v>29671.74980615146</v>
      </c>
    </row>
    <row r="16" spans="1:9">
      <c r="A16" s="49" t="s">
        <v>151</v>
      </c>
      <c r="B16" s="50">
        <v>8.2993317866371328</v>
      </c>
      <c r="C16" s="50">
        <v>10829.933178663714</v>
      </c>
      <c r="D16" s="50">
        <v>14.65384644222063</v>
      </c>
      <c r="E16" s="50">
        <v>15071.826548067123</v>
      </c>
      <c r="F16" s="50">
        <v>12.677354457249335</v>
      </c>
      <c r="G16" s="50">
        <v>18162.817046805849</v>
      </c>
      <c r="H16" s="50">
        <v>13.622597390087954</v>
      </c>
      <c r="I16" s="50">
        <v>33287.413457695846</v>
      </c>
    </row>
    <row r="17" spans="1:9">
      <c r="A17" s="49" t="s">
        <v>152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12.887719117115882</v>
      </c>
      <c r="I17" s="50">
        <v>31314.421199296306</v>
      </c>
    </row>
    <row r="18" spans="1:9">
      <c r="A18" s="49" t="s">
        <v>155</v>
      </c>
      <c r="B18" s="51">
        <v>109.26</v>
      </c>
      <c r="C18" s="52"/>
      <c r="D18" s="51">
        <v>83.85</v>
      </c>
      <c r="E18" s="52"/>
      <c r="F18" s="51">
        <v>69.569999999999993</v>
      </c>
      <c r="G18" s="52"/>
      <c r="H18" s="51">
        <v>38.69</v>
      </c>
      <c r="I18" s="52"/>
    </row>
    <row r="20" spans="1:9">
      <c r="A20" t="s">
        <v>156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2022-06-02T11:51:38Z</dcterms:created>
  <dcterms:modified xsi:type="dcterms:W3CDTF">2022-06-07T06:05:18Z</dcterms:modified>
</cp:coreProperties>
</file>