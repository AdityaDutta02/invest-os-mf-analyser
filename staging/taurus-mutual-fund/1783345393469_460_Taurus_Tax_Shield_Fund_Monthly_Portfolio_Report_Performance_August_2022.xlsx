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0730" windowHeight="11160"/>
  </bookViews>
  <sheets>
    <sheet name="TTS-Risk-O-Meter &amp; Portfolio" sheetId="1" r:id="rId1"/>
    <sheet name="TTS - Performance" sheetId="2" r:id="rId2"/>
  </sheets>
  <externalReferences>
    <externalReference r:id="rId3"/>
  </externalReferences>
  <definedNames>
    <definedName name="XDO_?CLASS_3?7?">'TTS-Risk-O-Meter &amp; Portfolio'!$C$8:$C$33</definedName>
    <definedName name="XDO_?FINAL_ISIN?14?">'TTS-Risk-O-Meter &amp; Portfolio'!$D$10:$D$33</definedName>
    <definedName name="XDO_?FINAL_ISIN?15?">'TTS-Risk-O-Meter &amp; Portfolio'!$D$10:$D$75</definedName>
    <definedName name="XDO_?FINAL_MV?14?">'TTS-Risk-O-Meter &amp; Portfolio'!$H$10:$H$33</definedName>
    <definedName name="XDO_?FINAL_MV?15?">'TTS-Risk-O-Meter &amp; Portfolio'!$H$10:$H$75</definedName>
    <definedName name="XDO_?FINAL_NAME?14?">'TTS-Risk-O-Meter &amp; Portfolio'!$C$10:$C$33</definedName>
    <definedName name="XDO_?FINAL_NAME?15?">'TTS-Risk-O-Meter &amp; Portfolio'!$C$10:$C$75</definedName>
    <definedName name="XDO_?FINAL_PER_NET?14?">'TTS-Risk-O-Meter &amp; Portfolio'!$I$10:$I$33</definedName>
    <definedName name="XDO_?FINAL_PER_NET?15?">'TTS-Risk-O-Meter &amp; Portfolio'!$I$10:$I$75</definedName>
    <definedName name="XDO_?FINAL_QUANTITE?14?">'TTS-Risk-O-Meter &amp; Portfolio'!$G$10:$G$33</definedName>
    <definedName name="XDO_?FINAL_QUANTITE?15?">'TTS-Risk-O-Meter &amp; Portfolio'!$G$10:$G$75</definedName>
    <definedName name="XDO_?IND_01?14?">'TTS-Risk-O-Meter &amp; Portfolio'!$F$10:$F$33</definedName>
    <definedName name="XDO_?IND_01?15?">'TTS-Risk-O-Meter &amp; Portfolio'!$F$10:$F$75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'TTS-Risk-O-Meter &amp; Portfolio'!#REF!</definedName>
    <definedName name="XDO_?NAMCNAME?7?">'TTS-Risk-O-Meter &amp; Portfolio'!$C$2:$C$33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'TTS-Risk-O-Meter &amp; Portfolio'!#REF!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'TTS-Risk-O-Meter &amp; Portfolio'!#REF!</definedName>
    <definedName name="XDO_?NOVAL?14?">'TTS-Risk-O-Meter &amp; Portfolio'!$B$10:$B$33</definedName>
    <definedName name="XDO_?NOVAL?15?">'TTS-Risk-O-Meter &amp; Portfolio'!$B$10:$B$75</definedName>
    <definedName name="XDO_?NPTF?7?">'TTS-Risk-O-Meter &amp; Portfolio'!$D$2:$D$33</definedName>
    <definedName name="XDO_?RATING?14?">'TTS-Risk-O-Meter &amp; Portfolio'!$E$10:$E$33</definedName>
    <definedName name="XDO_?RATING?15?">'TTS-Risk-O-Meter &amp; Portfolio'!$E$10:$E$75</definedName>
    <definedName name="XDO_?REMARKS?14?">'TTS-Risk-O-Meter &amp; Portfolio'!$J$10:$J$33</definedName>
    <definedName name="XDO_?REMARKS?15?">'TTS-Risk-O-Meter &amp; Portfolio'!$J$10:$J$75</definedName>
    <definedName name="XDO_?TITL?7?">'TTS-Risk-O-Meter &amp; Portfolio'!$A$8:$A$33</definedName>
    <definedName name="XDO_GROUP_?G_2?7?">'TTS-Risk-O-Meter &amp; Portfolio'!$2:$78</definedName>
    <definedName name="XDO_GROUP_?G_3?7?">'TTS-Risk-O-Meter &amp; Portfolio'!$8:$77</definedName>
    <definedName name="XDO_GROUP_?G_4?14?">'TTS-Risk-O-Meter &amp; Portfolio'!$B$10:$IV$33</definedName>
    <definedName name="XDO_GROUP_?G_4?15?">'TTS-Risk-O-Meter &amp; Portfolio'!$B$75:$IV$75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8" i="1" l="1"/>
</calcChain>
</file>

<file path=xl/sharedStrings.xml><?xml version="1.0" encoding="utf-8"?>
<sst xmlns="http://schemas.openxmlformats.org/spreadsheetml/2006/main" count="208" uniqueCount="143">
  <si>
    <t>TAURUS MUTUAL FUND</t>
  </si>
  <si>
    <t>TTS</t>
  </si>
  <si>
    <t>SCHEME NAME :</t>
  </si>
  <si>
    <t>Taurus Tax Shield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</si>
  <si>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</si>
  <si>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</si>
  <si>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</si>
  <si>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</si>
  <si>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</si>
  <si>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</si>
  <si>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</si>
  <si>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</si>
  <si>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</si>
  <si>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</si>
  <si>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</si>
  <si>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100001</t>
  </si>
  <si>
    <t>Housing Development Finance Corporation Ltd.</t>
  </si>
  <si>
    <t>INE001A01036</t>
  </si>
  <si>
    <t>Finance</t>
  </si>
  <si>
    <t>100012</t>
  </si>
  <si>
    <t>ICICI Bank Ltd.</t>
  </si>
  <si>
    <t>INE090A01021</t>
  </si>
  <si>
    <t>Banks</t>
  </si>
  <si>
    <t>100019</t>
  </si>
  <si>
    <t>ITC Ltd.</t>
  </si>
  <si>
    <t>INE154A01025</t>
  </si>
  <si>
    <t>Diversified FMCG</t>
  </si>
  <si>
    <t>100037</t>
  </si>
  <si>
    <t>HCL Technologies Ltd.</t>
  </si>
  <si>
    <t>INE860A01027</t>
  </si>
  <si>
    <t>IT - Software</t>
  </si>
  <si>
    <t>100325</t>
  </si>
  <si>
    <t>Bajaj Holdings &amp; Investment Ltd.</t>
  </si>
  <si>
    <t>INE118A01012</t>
  </si>
  <si>
    <t>100005</t>
  </si>
  <si>
    <t>Larsen &amp; Toubro Ltd.</t>
  </si>
  <si>
    <t>INE018A01030</t>
  </si>
  <si>
    <t>Construction</t>
  </si>
  <si>
    <t>100147</t>
  </si>
  <si>
    <t>Tech Mahindra Ltd.</t>
  </si>
  <si>
    <t>INE669C01036</t>
  </si>
  <si>
    <t>100024</t>
  </si>
  <si>
    <t>Axis Bank Ltd.</t>
  </si>
  <si>
    <t>INE238A01034</t>
  </si>
  <si>
    <t>100032</t>
  </si>
  <si>
    <t>Tata Consultancy Services Ltd.</t>
  </si>
  <si>
    <t>INE467B01029</t>
  </si>
  <si>
    <t>100474</t>
  </si>
  <si>
    <t>Narayana Hrudayalaya Ltd.</t>
  </si>
  <si>
    <t>INE410P01011</t>
  </si>
  <si>
    <t>Healthcare Services</t>
  </si>
  <si>
    <t>100011</t>
  </si>
  <si>
    <t>Wipro Ltd.</t>
  </si>
  <si>
    <t>INE075A01022</t>
  </si>
  <si>
    <t>100006</t>
  </si>
  <si>
    <t>HDFC Bank Ltd.</t>
  </si>
  <si>
    <t>INE040A01034</t>
  </si>
  <si>
    <t>100045</t>
  </si>
  <si>
    <t>Gujarat Pipavav Port Ltd.</t>
  </si>
  <si>
    <t>INE517F01014</t>
  </si>
  <si>
    <t>Transport Infrastructure</t>
  </si>
  <si>
    <t>100039</t>
  </si>
  <si>
    <t>Bajaj Auto Ltd.</t>
  </si>
  <si>
    <t>INE917I01010</t>
  </si>
  <si>
    <t>Automobiles</t>
  </si>
  <si>
    <t>100148</t>
  </si>
  <si>
    <t>Motilal Oswal Financial Services Ltd.</t>
  </si>
  <si>
    <t>INE338I01027</t>
  </si>
  <si>
    <t>Capital Markets</t>
  </si>
  <si>
    <t>100153</t>
  </si>
  <si>
    <t>Cipla Ltd.</t>
  </si>
  <si>
    <t>INE059A01026</t>
  </si>
  <si>
    <t>Pharmaceuticals &amp; Biotechnology</t>
  </si>
  <si>
    <t>100747</t>
  </si>
  <si>
    <t>Mahindra Logistics Ltd.</t>
  </si>
  <si>
    <t>INE766P01016</t>
  </si>
  <si>
    <t>Transport Services</t>
  </si>
  <si>
    <t>100271</t>
  </si>
  <si>
    <t>Balkrishna Industries Ltd.</t>
  </si>
  <si>
    <t>INE787D01026</t>
  </si>
  <si>
    <t>Auto Components</t>
  </si>
  <si>
    <t>100008</t>
  </si>
  <si>
    <t>Sun Pharmaceutical Industries Ltd.</t>
  </si>
  <si>
    <t>INE044A01036</t>
  </si>
  <si>
    <t>100080</t>
  </si>
  <si>
    <t>Dr. Reddy's Laboratories Ltd.</t>
  </si>
  <si>
    <t>INE089A01023</t>
  </si>
  <si>
    <t>100235</t>
  </si>
  <si>
    <t>CRISIL Ltd.</t>
  </si>
  <si>
    <t>INE007A01025</t>
  </si>
  <si>
    <t>100061</t>
  </si>
  <si>
    <t>KEC International Ltd.</t>
  </si>
  <si>
    <t>INE389H01022</t>
  </si>
  <si>
    <t>Electrical Equipment</t>
  </si>
  <si>
    <t>101103</t>
  </si>
  <si>
    <t>FDC Ltd.</t>
  </si>
  <si>
    <t>INE258B01022</t>
  </si>
  <si>
    <t>101469</t>
  </si>
  <si>
    <t>Equitas Small Finance Bank Ltd.</t>
  </si>
  <si>
    <t>INE063P01018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</si>
  <si>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</si>
  <si>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</si>
  <si>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</si>
  <si>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</si>
  <si>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</si>
  <si>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</si>
  <si>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</si>
  <si>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</si>
  <si>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</si>
  <si>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</si>
  <si>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</si>
  <si>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</si>
  <si>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</si>
  <si>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</si>
  <si>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</si>
  <si>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</si>
  <si>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</si>
  <si>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</si>
  <si>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</si>
  <si>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</si>
  <si>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</si>
  <si>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</si>
  <si>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</si>
  <si>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</si>
  <si>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</si>
  <si>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</si>
  <si>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</si>
  <si>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</si>
  <si>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Tax Shield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</si>
  <si>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</si>
  <si>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</si>
  <si>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</si>
  <si>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</si>
  <si>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</si>
  <si>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</si>
  <si>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</si>
  <si>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</si>
  <si>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500 TRI (Benchmark)</t>
  </si>
  <si>
    <t>Nifty 50 TRI (Additional Benchmark)</t>
  </si>
  <si>
    <t>NAV [Rs.] Per Unit (as on August 30, 2022 : 112.53)</t>
  </si>
  <si>
    <t>Taurus Tax Shield - Direct Plan Growth Option</t>
  </si>
  <si>
    <t>NAV [Rs.] Per Unit (as on August 30, 2022 : 120.41)</t>
  </si>
  <si>
    <r>
      <rPr>
        <b/>
        <sz val="11"/>
        <color theme="1"/>
        <rFont val="Calibri"/>
        <family val="2"/>
        <scheme val="minor"/>
      </rPr>
      <t>*Note:</t>
    </r>
    <r>
      <rPr>
        <sz val="11"/>
        <color theme="1"/>
        <rFont val="Calibri"/>
        <family val="2"/>
        <scheme val="minor"/>
      </rPr>
      <t xml:space="preserve"> Total &amp; Price Benchmark index for S&amp;P BSE 500 is not available for inception date of Taurus Tax Shield- Regular Plan, returns is NIL for same.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</si>
</sst>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_(\ #,##0.00_);_(\ \(#,##0.00\);_(\ \-??_);_(@_)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2" fillId="0" borderId="0" xfId="0" applyFont="1"/>
    <xf numFmtId="0" fontId="13" fillId="0" borderId="0" xfId="0" applyFont="1"/>
    <xf numFmtId="0" fontId="14" fillId="3" borderId="13" xfId="0" applyFont="1" applyFill="1" applyBorder="1"/>
    <xf numFmtId="0" fontId="14" fillId="3" borderId="13" xfId="0" applyFont="1" applyFill="1" applyBorder="1" applyAlignment="1">
      <alignment wrapText="1"/>
    </xf>
    <xf numFmtId="0" fontId="14" fillId="3" borderId="13" xfId="0" applyFont="1" applyFill="1" applyBorder="1" applyAlignment="1">
      <alignment horizontal="center" vertical="center" wrapText="1"/>
    </xf>
    <xf numFmtId="0" fontId="14" fillId="0" borderId="13" xfId="0" applyFont="1" applyBorder="1"/>
    <xf numFmtId="167" fontId="9" fillId="0" borderId="13" xfId="1" applyNumberFormat="1" applyFont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167" fontId="9" fillId="0" borderId="19" xfId="1" applyNumberFormat="1" applyFont="1" applyBorder="1" applyAlignment="1">
      <alignment horizontal="center"/>
    </xf>
    <xf numFmtId="167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89747</xdr:colOff>
      <xdr:row>0</xdr:row>
      <xdr:rowOff>2167128</xdr:rowOff>
    </xdr:to>
    <xdr:pic>
      <xdr:nvPicPr>
        <xdr:cNvPr id="2" name="Picture 1" descr="Taurus Tax Shield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7800" y="0"/>
          <a:ext cx="7040880" cy="2167128"/>
        </a:xfrm>
        <a:prstGeom prst="rect">
          <a:avLst/>
        </a:prstGeom>
      </xdr:spPr>
    </xdr:pic>
    <xdr:clientData/>
  </xdr:twoCellAnchor>
  <xdr:twoCellAnchor editAs="oneCell">
    <xdr:from>
      <xdr:col>2</xdr:col>
      <xdr:colOff>8467</xdr:colOff>
      <xdr:row>0</xdr:row>
      <xdr:rowOff>2413000</xdr:rowOff>
    </xdr:from>
    <xdr:to>
      <xdr:col>5</xdr:col>
      <xdr:colOff>98214</xdr:colOff>
      <xdr:row>0</xdr:row>
      <xdr:rowOff>4744720</xdr:rowOff>
    </xdr:to>
    <xdr:pic>
      <xdr:nvPicPr>
        <xdr:cNvPr id="3" name="Picture 2" descr="for half yearly - Taurus Tax Shield Product Label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86267" y="2413000"/>
          <a:ext cx="7040880" cy="233172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August%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84"/>
  <sheetViews>
    <sheetView showGridLines="0" tabSelected="1" zoomScale="90" zoomScaleNormal="9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2" sqref="F2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384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8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4.25">
      <c r="C4" s="11" t="s">
        <v>4</v>
      </c>
      <c r="D4" s="13">
        <v>44804</v>
      </c>
    </row>
    <row r="5" spans="1:54" ht="13.5" thickBot="1">
      <c r="C5" s="11"/>
    </row>
    <row r="6" spans="1:54" ht="25.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22000</v>
      </c>
      <c r="H10" s="32">
        <v>538.16</v>
      </c>
      <c r="I10" s="32">
        <v>8.74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56299</v>
      </c>
      <c r="H11" s="32">
        <v>499.71</v>
      </c>
      <c r="I11" s="32">
        <v>8.11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140000</v>
      </c>
      <c r="H12" s="32">
        <v>448.42</v>
      </c>
      <c r="I12" s="32">
        <v>7.28</v>
      </c>
      <c r="J12" s="33"/>
    </row>
    <row r="13" spans="1:54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46000</v>
      </c>
      <c r="H13" s="32">
        <v>432.1</v>
      </c>
      <c r="I13" s="32">
        <v>7.01</v>
      </c>
      <c r="J13" s="33"/>
    </row>
    <row r="14" spans="1:54">
      <c r="B14" s="1" t="s">
        <v>31</v>
      </c>
      <c r="C14" s="20" t="s">
        <v>32</v>
      </c>
      <c r="D14" s="29" t="s">
        <v>33</v>
      </c>
      <c r="E14" s="30"/>
      <c r="F14" s="30" t="s">
        <v>18</v>
      </c>
      <c r="G14" s="31">
        <v>7414</v>
      </c>
      <c r="H14" s="32">
        <v>404.89</v>
      </c>
      <c r="I14" s="32">
        <v>6.57</v>
      </c>
      <c r="J14" s="33"/>
    </row>
    <row r="15" spans="1:54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17526</v>
      </c>
      <c r="H15" s="32">
        <v>336.81</v>
      </c>
      <c r="I15" s="32">
        <v>5.47</v>
      </c>
      <c r="J15" s="33"/>
    </row>
    <row r="16" spans="1:54">
      <c r="B16" s="1" t="s">
        <v>38</v>
      </c>
      <c r="C16" s="20" t="s">
        <v>39</v>
      </c>
      <c r="D16" s="29" t="s">
        <v>40</v>
      </c>
      <c r="E16" s="30"/>
      <c r="F16" s="30" t="s">
        <v>30</v>
      </c>
      <c r="G16" s="31">
        <v>28500</v>
      </c>
      <c r="H16" s="32">
        <v>306.86</v>
      </c>
      <c r="I16" s="32">
        <v>4.9800000000000004</v>
      </c>
      <c r="J16" s="33"/>
    </row>
    <row r="17" spans="2:10">
      <c r="B17" s="1" t="s">
        <v>41</v>
      </c>
      <c r="C17" s="20" t="s">
        <v>42</v>
      </c>
      <c r="D17" s="29" t="s">
        <v>43</v>
      </c>
      <c r="E17" s="30"/>
      <c r="F17" s="30" t="s">
        <v>22</v>
      </c>
      <c r="G17" s="31">
        <v>39000</v>
      </c>
      <c r="H17" s="32">
        <v>292.95</v>
      </c>
      <c r="I17" s="32">
        <v>4.76</v>
      </c>
      <c r="J17" s="33"/>
    </row>
    <row r="18" spans="2:10">
      <c r="B18" s="1" t="s">
        <v>44</v>
      </c>
      <c r="C18" s="20" t="s">
        <v>45</v>
      </c>
      <c r="D18" s="29" t="s">
        <v>46</v>
      </c>
      <c r="E18" s="30"/>
      <c r="F18" s="30" t="s">
        <v>30</v>
      </c>
      <c r="G18" s="31">
        <v>8200</v>
      </c>
      <c r="H18" s="32">
        <v>263.35000000000002</v>
      </c>
      <c r="I18" s="32">
        <v>4.2699999999999996</v>
      </c>
      <c r="J18" s="33"/>
    </row>
    <row r="19" spans="2:10">
      <c r="B19" s="1" t="s">
        <v>47</v>
      </c>
      <c r="C19" s="20" t="s">
        <v>48</v>
      </c>
      <c r="D19" s="29" t="s">
        <v>49</v>
      </c>
      <c r="E19" s="30"/>
      <c r="F19" s="30" t="s">
        <v>50</v>
      </c>
      <c r="G19" s="31">
        <v>34022</v>
      </c>
      <c r="H19" s="32">
        <v>238.46</v>
      </c>
      <c r="I19" s="32">
        <v>3.87</v>
      </c>
      <c r="J19" s="33"/>
    </row>
    <row r="20" spans="2:10">
      <c r="B20" s="1" t="s">
        <v>51</v>
      </c>
      <c r="C20" s="20" t="s">
        <v>52</v>
      </c>
      <c r="D20" s="29" t="s">
        <v>53</v>
      </c>
      <c r="E20" s="30"/>
      <c r="F20" s="30" t="s">
        <v>30</v>
      </c>
      <c r="G20" s="31">
        <v>56000</v>
      </c>
      <c r="H20" s="32">
        <v>231.53</v>
      </c>
      <c r="I20" s="32">
        <v>3.76</v>
      </c>
      <c r="J20" s="33"/>
    </row>
    <row r="21" spans="2:10">
      <c r="B21" s="1" t="s">
        <v>54</v>
      </c>
      <c r="C21" s="20" t="s">
        <v>55</v>
      </c>
      <c r="D21" s="29" t="s">
        <v>56</v>
      </c>
      <c r="E21" s="30"/>
      <c r="F21" s="30" t="s">
        <v>22</v>
      </c>
      <c r="G21" s="31">
        <v>15533</v>
      </c>
      <c r="H21" s="32">
        <v>230.85</v>
      </c>
      <c r="I21" s="32">
        <v>3.75</v>
      </c>
      <c r="J21" s="33"/>
    </row>
    <row r="22" spans="2:10">
      <c r="B22" s="1" t="s">
        <v>57</v>
      </c>
      <c r="C22" s="20" t="s">
        <v>58</v>
      </c>
      <c r="D22" s="29" t="s">
        <v>59</v>
      </c>
      <c r="E22" s="30"/>
      <c r="F22" s="30" t="s">
        <v>60</v>
      </c>
      <c r="G22" s="31">
        <v>254553</v>
      </c>
      <c r="H22" s="32">
        <v>220.82</v>
      </c>
      <c r="I22" s="32">
        <v>3.58</v>
      </c>
      <c r="J22" s="33"/>
    </row>
    <row r="23" spans="2:10">
      <c r="B23" s="1" t="s">
        <v>61</v>
      </c>
      <c r="C23" s="20" t="s">
        <v>62</v>
      </c>
      <c r="D23" s="29" t="s">
        <v>63</v>
      </c>
      <c r="E23" s="30"/>
      <c r="F23" s="30" t="s">
        <v>64</v>
      </c>
      <c r="G23" s="31">
        <v>4500</v>
      </c>
      <c r="H23" s="32">
        <v>183.83</v>
      </c>
      <c r="I23" s="32">
        <v>2.98</v>
      </c>
      <c r="J23" s="33"/>
    </row>
    <row r="24" spans="2:10">
      <c r="B24" s="1" t="s">
        <v>65</v>
      </c>
      <c r="C24" s="20" t="s">
        <v>66</v>
      </c>
      <c r="D24" s="29" t="s">
        <v>67</v>
      </c>
      <c r="E24" s="30"/>
      <c r="F24" s="30" t="s">
        <v>68</v>
      </c>
      <c r="G24" s="31">
        <v>21275</v>
      </c>
      <c r="H24" s="32">
        <v>163.82</v>
      </c>
      <c r="I24" s="32">
        <v>2.66</v>
      </c>
      <c r="J24" s="33"/>
    </row>
    <row r="25" spans="2:10">
      <c r="B25" s="1" t="s">
        <v>69</v>
      </c>
      <c r="C25" s="20" t="s">
        <v>70</v>
      </c>
      <c r="D25" s="29" t="s">
        <v>71</v>
      </c>
      <c r="E25" s="30"/>
      <c r="F25" s="30" t="s">
        <v>72</v>
      </c>
      <c r="G25" s="31">
        <v>15000</v>
      </c>
      <c r="H25" s="32">
        <v>155.84</v>
      </c>
      <c r="I25" s="32">
        <v>2.5299999999999998</v>
      </c>
      <c r="J25" s="33"/>
    </row>
    <row r="26" spans="2:10">
      <c r="B26" s="1" t="s">
        <v>73</v>
      </c>
      <c r="C26" s="20" t="s">
        <v>74</v>
      </c>
      <c r="D26" s="29" t="s">
        <v>75</v>
      </c>
      <c r="E26" s="30"/>
      <c r="F26" s="30" t="s">
        <v>76</v>
      </c>
      <c r="G26" s="31">
        <v>32000</v>
      </c>
      <c r="H26" s="32">
        <v>153.79</v>
      </c>
      <c r="I26" s="32">
        <v>2.5</v>
      </c>
      <c r="J26" s="33"/>
    </row>
    <row r="27" spans="2:10">
      <c r="B27" s="1" t="s">
        <v>77</v>
      </c>
      <c r="C27" s="20" t="s">
        <v>78</v>
      </c>
      <c r="D27" s="29" t="s">
        <v>79</v>
      </c>
      <c r="E27" s="30"/>
      <c r="F27" s="30" t="s">
        <v>80</v>
      </c>
      <c r="G27" s="31">
        <v>5862</v>
      </c>
      <c r="H27" s="32">
        <v>119.93</v>
      </c>
      <c r="I27" s="32">
        <v>1.95</v>
      </c>
      <c r="J27" s="33"/>
    </row>
    <row r="28" spans="2:10">
      <c r="B28" s="1" t="s">
        <v>81</v>
      </c>
      <c r="C28" s="20" t="s">
        <v>82</v>
      </c>
      <c r="D28" s="29" t="s">
        <v>83</v>
      </c>
      <c r="E28" s="30"/>
      <c r="F28" s="30" t="s">
        <v>72</v>
      </c>
      <c r="G28" s="31">
        <v>8000</v>
      </c>
      <c r="H28" s="32">
        <v>71.459999999999994</v>
      </c>
      <c r="I28" s="32">
        <v>1.1599999999999999</v>
      </c>
      <c r="J28" s="33"/>
    </row>
    <row r="29" spans="2:10">
      <c r="B29" s="1" t="s">
        <v>84</v>
      </c>
      <c r="C29" s="20" t="s">
        <v>85</v>
      </c>
      <c r="D29" s="29" t="s">
        <v>86</v>
      </c>
      <c r="E29" s="30"/>
      <c r="F29" s="30" t="s">
        <v>72</v>
      </c>
      <c r="G29" s="31">
        <v>1500</v>
      </c>
      <c r="H29" s="32">
        <v>63.67</v>
      </c>
      <c r="I29" s="32">
        <v>1.03</v>
      </c>
      <c r="J29" s="33"/>
    </row>
    <row r="30" spans="2:10">
      <c r="B30" s="1" t="s">
        <v>87</v>
      </c>
      <c r="C30" s="20" t="s">
        <v>88</v>
      </c>
      <c r="D30" s="29" t="s">
        <v>89</v>
      </c>
      <c r="E30" s="30"/>
      <c r="F30" s="30" t="s">
        <v>18</v>
      </c>
      <c r="G30" s="31">
        <v>1897</v>
      </c>
      <c r="H30" s="32">
        <v>62.18</v>
      </c>
      <c r="I30" s="32">
        <v>1.01</v>
      </c>
      <c r="J30" s="33"/>
    </row>
    <row r="31" spans="2:10">
      <c r="B31" s="1" t="s">
        <v>90</v>
      </c>
      <c r="C31" s="20" t="s">
        <v>91</v>
      </c>
      <c r="D31" s="29" t="s">
        <v>92</v>
      </c>
      <c r="E31" s="30"/>
      <c r="F31" s="30" t="s">
        <v>93</v>
      </c>
      <c r="G31" s="31">
        <v>15000</v>
      </c>
      <c r="H31" s="32">
        <v>60.98</v>
      </c>
      <c r="I31" s="32">
        <v>0.99</v>
      </c>
      <c r="J31" s="33"/>
    </row>
    <row r="32" spans="2:10">
      <c r="B32" s="1" t="s">
        <v>94</v>
      </c>
      <c r="C32" s="20" t="s">
        <v>95</v>
      </c>
      <c r="D32" s="29" t="s">
        <v>96</v>
      </c>
      <c r="E32" s="30"/>
      <c r="F32" s="30" t="s">
        <v>72</v>
      </c>
      <c r="G32" s="31">
        <v>22000</v>
      </c>
      <c r="H32" s="32">
        <v>57.92</v>
      </c>
      <c r="I32" s="32">
        <v>0.94</v>
      </c>
      <c r="J32" s="33"/>
    </row>
    <row r="33" spans="2:10">
      <c r="B33" s="1" t="s">
        <v>97</v>
      </c>
      <c r="C33" s="20" t="s">
        <v>98</v>
      </c>
      <c r="D33" s="29" t="s">
        <v>99</v>
      </c>
      <c r="E33" s="30"/>
      <c r="F33" s="30" t="s">
        <v>22</v>
      </c>
      <c r="G33" s="31">
        <v>125000</v>
      </c>
      <c r="H33" s="32">
        <v>57.5</v>
      </c>
      <c r="I33" s="32">
        <v>0.93</v>
      </c>
      <c r="J33" s="33"/>
    </row>
    <row r="34" spans="2:10">
      <c r="C34" s="28" t="s">
        <v>100</v>
      </c>
      <c r="D34" s="29"/>
      <c r="E34" s="30"/>
      <c r="F34" s="30"/>
      <c r="G34" s="31"/>
      <c r="H34" s="35">
        <v>5595.83</v>
      </c>
      <c r="I34" s="35">
        <v>90.83</v>
      </c>
      <c r="J34" s="33"/>
    </row>
    <row r="35" spans="2:10">
      <c r="C35" s="20"/>
      <c r="D35" s="29"/>
      <c r="E35" s="30"/>
      <c r="F35" s="30"/>
      <c r="G35" s="31"/>
      <c r="H35" s="32"/>
      <c r="I35" s="32"/>
      <c r="J35" s="33"/>
    </row>
    <row r="36" spans="2:10">
      <c r="C36" s="28" t="s">
        <v>101</v>
      </c>
      <c r="D36" s="29"/>
      <c r="E36" s="30"/>
      <c r="F36" s="30"/>
      <c r="G36" s="31"/>
      <c r="H36" s="32" t="s">
        <v>102</v>
      </c>
      <c r="I36" s="32" t="s">
        <v>102</v>
      </c>
      <c r="J36" s="33"/>
    </row>
    <row r="37" spans="2:10">
      <c r="C37" s="20"/>
      <c r="D37" s="29"/>
      <c r="E37" s="30"/>
      <c r="F37" s="30"/>
      <c r="G37" s="31"/>
      <c r="H37" s="32"/>
      <c r="I37" s="32"/>
      <c r="J37" s="33"/>
    </row>
    <row r="38" spans="2:10">
      <c r="C38" s="28" t="s">
        <v>103</v>
      </c>
      <c r="D38" s="29"/>
      <c r="E38" s="30"/>
      <c r="F38" s="30"/>
      <c r="G38" s="31"/>
      <c r="H38" s="32" t="s">
        <v>102</v>
      </c>
      <c r="I38" s="32" t="s">
        <v>102</v>
      </c>
      <c r="J38" s="33"/>
    </row>
    <row r="39" spans="2:10">
      <c r="C39" s="20"/>
      <c r="D39" s="29"/>
      <c r="E39" s="30"/>
      <c r="F39" s="30"/>
      <c r="G39" s="31"/>
      <c r="H39" s="32"/>
      <c r="I39" s="32"/>
      <c r="J39" s="33"/>
    </row>
    <row r="40" spans="2:10">
      <c r="C40" s="28" t="s">
        <v>104</v>
      </c>
      <c r="D40" s="29"/>
      <c r="E40" s="30"/>
      <c r="F40" s="30"/>
      <c r="G40" s="31"/>
      <c r="H40" s="32"/>
      <c r="I40" s="32"/>
      <c r="J40" s="33"/>
    </row>
    <row r="41" spans="2:10">
      <c r="C41" s="20"/>
      <c r="D41" s="29"/>
      <c r="E41" s="30"/>
      <c r="F41" s="30"/>
      <c r="G41" s="31"/>
      <c r="H41" s="32"/>
      <c r="I41" s="32"/>
      <c r="J41" s="33"/>
    </row>
    <row r="42" spans="2:10">
      <c r="C42" s="28" t="s">
        <v>105</v>
      </c>
      <c r="D42" s="29"/>
      <c r="E42" s="30"/>
      <c r="F42" s="30"/>
      <c r="G42" s="31"/>
      <c r="H42" s="32" t="s">
        <v>102</v>
      </c>
      <c r="I42" s="32" t="s">
        <v>102</v>
      </c>
      <c r="J42" s="33"/>
    </row>
    <row r="43" spans="2:10">
      <c r="C43" s="20"/>
      <c r="D43" s="29"/>
      <c r="E43" s="30"/>
      <c r="F43" s="30"/>
      <c r="G43" s="31"/>
      <c r="H43" s="32"/>
      <c r="I43" s="32"/>
      <c r="J43" s="33"/>
    </row>
    <row r="44" spans="2:10">
      <c r="C44" s="28" t="s">
        <v>106</v>
      </c>
      <c r="D44" s="29"/>
      <c r="E44" s="30"/>
      <c r="F44" s="30"/>
      <c r="G44" s="31"/>
      <c r="H44" s="32" t="s">
        <v>102</v>
      </c>
      <c r="I44" s="32" t="s">
        <v>102</v>
      </c>
      <c r="J44" s="33"/>
    </row>
    <row r="45" spans="2:10">
      <c r="C45" s="20"/>
      <c r="D45" s="29"/>
      <c r="E45" s="30"/>
      <c r="F45" s="30"/>
      <c r="G45" s="31"/>
      <c r="H45" s="32"/>
      <c r="I45" s="32"/>
      <c r="J45" s="33"/>
    </row>
    <row r="46" spans="2:10">
      <c r="C46" s="28" t="s">
        <v>107</v>
      </c>
      <c r="D46" s="29"/>
      <c r="E46" s="30"/>
      <c r="F46" s="30"/>
      <c r="G46" s="31"/>
      <c r="H46" s="32" t="s">
        <v>102</v>
      </c>
      <c r="I46" s="32" t="s">
        <v>102</v>
      </c>
      <c r="J46" s="33"/>
    </row>
    <row r="47" spans="2:10">
      <c r="C47" s="20"/>
      <c r="D47" s="29"/>
      <c r="E47" s="30"/>
      <c r="F47" s="30"/>
      <c r="G47" s="31"/>
      <c r="H47" s="32"/>
      <c r="I47" s="32"/>
      <c r="J47" s="33"/>
    </row>
    <row r="48" spans="2:10">
      <c r="C48" s="28" t="s">
        <v>108</v>
      </c>
      <c r="D48" s="29"/>
      <c r="E48" s="30"/>
      <c r="F48" s="30"/>
      <c r="G48" s="31"/>
      <c r="H48" s="32" t="s">
        <v>102</v>
      </c>
      <c r="I48" s="32" t="s">
        <v>102</v>
      </c>
      <c r="J48" s="33"/>
    </row>
    <row r="49" spans="3:10">
      <c r="C49" s="20"/>
      <c r="D49" s="29"/>
      <c r="E49" s="30"/>
      <c r="F49" s="30"/>
      <c r="G49" s="31"/>
      <c r="H49" s="32"/>
      <c r="I49" s="32"/>
      <c r="J49" s="33"/>
    </row>
    <row r="50" spans="3:10">
      <c r="C50" s="28" t="s">
        <v>109</v>
      </c>
      <c r="D50" s="29"/>
      <c r="E50" s="30"/>
      <c r="F50" s="30"/>
      <c r="G50" s="31"/>
      <c r="H50" s="32" t="s">
        <v>102</v>
      </c>
      <c r="I50" s="32" t="s">
        <v>102</v>
      </c>
      <c r="J50" s="33"/>
    </row>
    <row r="51" spans="3:10">
      <c r="C51" s="20"/>
      <c r="D51" s="29"/>
      <c r="E51" s="30"/>
      <c r="F51" s="30"/>
      <c r="G51" s="31"/>
      <c r="H51" s="32"/>
      <c r="I51" s="32"/>
      <c r="J51" s="33"/>
    </row>
    <row r="52" spans="3:10">
      <c r="C52" s="28" t="s">
        <v>110</v>
      </c>
      <c r="D52" s="29"/>
      <c r="E52" s="30"/>
      <c r="F52" s="30"/>
      <c r="G52" s="31"/>
      <c r="H52" s="32"/>
      <c r="I52" s="32"/>
      <c r="J52" s="33"/>
    </row>
    <row r="53" spans="3:10">
      <c r="C53" s="20"/>
      <c r="D53" s="29"/>
      <c r="E53" s="30"/>
      <c r="F53" s="30"/>
      <c r="G53" s="31"/>
      <c r="H53" s="32"/>
      <c r="I53" s="32"/>
      <c r="J53" s="33"/>
    </row>
    <row r="54" spans="3:10">
      <c r="C54" s="28" t="s">
        <v>111</v>
      </c>
      <c r="D54" s="29"/>
      <c r="E54" s="30"/>
      <c r="F54" s="30"/>
      <c r="G54" s="31"/>
      <c r="H54" s="32" t="s">
        <v>102</v>
      </c>
      <c r="I54" s="32" t="s">
        <v>102</v>
      </c>
      <c r="J54" s="33"/>
    </row>
    <row r="55" spans="3:10">
      <c r="C55" s="20"/>
      <c r="D55" s="29"/>
      <c r="E55" s="30"/>
      <c r="F55" s="30"/>
      <c r="G55" s="31"/>
      <c r="H55" s="32"/>
      <c r="I55" s="32"/>
      <c r="J55" s="33"/>
    </row>
    <row r="56" spans="3:10">
      <c r="C56" s="28" t="s">
        <v>112</v>
      </c>
      <c r="D56" s="29"/>
      <c r="E56" s="30"/>
      <c r="F56" s="30"/>
      <c r="G56" s="31"/>
      <c r="H56" s="32" t="s">
        <v>102</v>
      </c>
      <c r="I56" s="32" t="s">
        <v>102</v>
      </c>
      <c r="J56" s="33"/>
    </row>
    <row r="57" spans="3:10">
      <c r="C57" s="20"/>
      <c r="D57" s="29"/>
      <c r="E57" s="30"/>
      <c r="F57" s="30"/>
      <c r="G57" s="31"/>
      <c r="H57" s="32"/>
      <c r="I57" s="32"/>
      <c r="J57" s="33"/>
    </row>
    <row r="58" spans="3:10">
      <c r="C58" s="28" t="s">
        <v>113</v>
      </c>
      <c r="D58" s="29"/>
      <c r="E58" s="30"/>
      <c r="F58" s="30"/>
      <c r="G58" s="31"/>
      <c r="H58" s="32" t="s">
        <v>102</v>
      </c>
      <c r="I58" s="32" t="s">
        <v>102</v>
      </c>
      <c r="J58" s="33"/>
    </row>
    <row r="59" spans="3:10">
      <c r="C59" s="20"/>
      <c r="D59" s="29"/>
      <c r="E59" s="30"/>
      <c r="F59" s="30"/>
      <c r="G59" s="31"/>
      <c r="H59" s="32"/>
      <c r="I59" s="32"/>
      <c r="J59" s="33"/>
    </row>
    <row r="60" spans="3:10">
      <c r="C60" s="28" t="s">
        <v>114</v>
      </c>
      <c r="D60" s="29"/>
      <c r="E60" s="30"/>
      <c r="F60" s="30"/>
      <c r="G60" s="31"/>
      <c r="H60" s="32" t="s">
        <v>102</v>
      </c>
      <c r="I60" s="32" t="s">
        <v>102</v>
      </c>
      <c r="J60" s="33"/>
    </row>
    <row r="61" spans="3:10">
      <c r="C61" s="20"/>
      <c r="D61" s="29"/>
      <c r="E61" s="30"/>
      <c r="F61" s="30"/>
      <c r="G61" s="31"/>
      <c r="H61" s="32"/>
      <c r="I61" s="32"/>
      <c r="J61" s="33"/>
    </row>
    <row r="62" spans="3:10">
      <c r="C62" s="28" t="s">
        <v>115</v>
      </c>
      <c r="D62" s="29"/>
      <c r="E62" s="30"/>
      <c r="F62" s="30"/>
      <c r="G62" s="31"/>
      <c r="H62" s="32"/>
      <c r="I62" s="32"/>
      <c r="J62" s="33"/>
    </row>
    <row r="63" spans="3:10">
      <c r="C63" s="20"/>
      <c r="D63" s="29"/>
      <c r="E63" s="30"/>
      <c r="F63" s="30"/>
      <c r="G63" s="31"/>
      <c r="H63" s="32"/>
      <c r="I63" s="32"/>
      <c r="J63" s="33"/>
    </row>
    <row r="64" spans="3:10">
      <c r="C64" s="28" t="s">
        <v>116</v>
      </c>
      <c r="D64" s="29"/>
      <c r="E64" s="30"/>
      <c r="F64" s="30"/>
      <c r="G64" s="31"/>
      <c r="H64" s="32" t="s">
        <v>102</v>
      </c>
      <c r="I64" s="32" t="s">
        <v>102</v>
      </c>
      <c r="J64" s="33"/>
    </row>
    <row r="65" spans="1:10">
      <c r="C65" s="20"/>
      <c r="D65" s="29"/>
      <c r="E65" s="30"/>
      <c r="F65" s="30"/>
      <c r="G65" s="31"/>
      <c r="H65" s="32"/>
      <c r="I65" s="32"/>
      <c r="J65" s="33"/>
    </row>
    <row r="66" spans="1:10">
      <c r="C66" s="28" t="s">
        <v>117</v>
      </c>
      <c r="D66" s="29"/>
      <c r="E66" s="30"/>
      <c r="F66" s="30"/>
      <c r="G66" s="31"/>
      <c r="H66" s="32" t="s">
        <v>102</v>
      </c>
      <c r="I66" s="32" t="s">
        <v>102</v>
      </c>
      <c r="J66" s="33"/>
    </row>
    <row r="67" spans="1:10">
      <c r="C67" s="20"/>
      <c r="D67" s="29"/>
      <c r="E67" s="30"/>
      <c r="F67" s="30"/>
      <c r="G67" s="31"/>
      <c r="H67" s="32"/>
      <c r="I67" s="32"/>
      <c r="J67" s="33"/>
    </row>
    <row r="68" spans="1:10">
      <c r="C68" s="28" t="s">
        <v>118</v>
      </c>
      <c r="D68" s="29"/>
      <c r="E68" s="30"/>
      <c r="F68" s="30"/>
      <c r="G68" s="31"/>
      <c r="H68" s="32" t="s">
        <v>102</v>
      </c>
      <c r="I68" s="32" t="s">
        <v>102</v>
      </c>
      <c r="J68" s="33"/>
    </row>
    <row r="69" spans="1:10">
      <c r="C69" s="20"/>
      <c r="D69" s="29"/>
      <c r="E69" s="30"/>
      <c r="F69" s="30"/>
      <c r="G69" s="31"/>
      <c r="H69" s="32"/>
      <c r="I69" s="32"/>
      <c r="J69" s="33"/>
    </row>
    <row r="70" spans="1:10">
      <c r="C70" s="28" t="s">
        <v>119</v>
      </c>
      <c r="D70" s="29"/>
      <c r="E70" s="30"/>
      <c r="F70" s="30"/>
      <c r="G70" s="31"/>
      <c r="H70" s="32" t="s">
        <v>102</v>
      </c>
      <c r="I70" s="32" t="s">
        <v>102</v>
      </c>
      <c r="J70" s="33"/>
    </row>
    <row r="71" spans="1:10">
      <c r="C71" s="20"/>
      <c r="D71" s="29"/>
      <c r="E71" s="30"/>
      <c r="F71" s="30"/>
      <c r="G71" s="31"/>
      <c r="H71" s="32"/>
      <c r="I71" s="32"/>
      <c r="J71" s="33"/>
    </row>
    <row r="72" spans="1:10">
      <c r="C72" s="28" t="s">
        <v>120</v>
      </c>
      <c r="D72" s="29"/>
      <c r="E72" s="30"/>
      <c r="F72" s="30"/>
      <c r="G72" s="31"/>
      <c r="H72" s="32" t="s">
        <v>102</v>
      </c>
      <c r="I72" s="32" t="s">
        <v>102</v>
      </c>
      <c r="J72" s="33"/>
    </row>
    <row r="73" spans="1:10">
      <c r="C73" s="20"/>
      <c r="D73" s="29"/>
      <c r="E73" s="30"/>
      <c r="F73" s="30"/>
      <c r="G73" s="31"/>
      <c r="H73" s="32"/>
      <c r="I73" s="32"/>
      <c r="J73" s="33"/>
    </row>
    <row r="74" spans="1:10">
      <c r="A74" s="26"/>
      <c r="B74" s="27"/>
      <c r="C74" s="28" t="s">
        <v>121</v>
      </c>
      <c r="D74" s="29"/>
      <c r="E74" s="30"/>
      <c r="F74" s="30"/>
      <c r="G74" s="31"/>
      <c r="H74" s="32"/>
      <c r="I74" s="32"/>
      <c r="J74" s="33"/>
    </row>
    <row r="75" spans="1:10">
      <c r="B75" s="1"/>
      <c r="C75" s="20" t="s">
        <v>122</v>
      </c>
      <c r="D75" s="29"/>
      <c r="E75" s="30"/>
      <c r="F75" s="30"/>
      <c r="G75" s="31"/>
      <c r="H75" s="32">
        <v>564.91</v>
      </c>
      <c r="I75" s="32">
        <v>9.17</v>
      </c>
      <c r="J75" s="33"/>
    </row>
    <row r="76" spans="1:10">
      <c r="C76" s="28" t="s">
        <v>100</v>
      </c>
      <c r="D76" s="29"/>
      <c r="E76" s="30"/>
      <c r="F76" s="30"/>
      <c r="G76" s="31"/>
      <c r="H76" s="35">
        <v>564.91</v>
      </c>
      <c r="I76" s="35">
        <v>9.17</v>
      </c>
      <c r="J76" s="33"/>
    </row>
    <row r="77" spans="1:10">
      <c r="C77" s="20"/>
      <c r="D77" s="29"/>
      <c r="E77" s="30"/>
      <c r="F77" s="30"/>
      <c r="G77" s="31"/>
      <c r="H77" s="32"/>
      <c r="I77" s="32"/>
      <c r="J77" s="33"/>
    </row>
    <row r="78" spans="1:10" ht="13.5" thickBot="1">
      <c r="C78" s="36" t="s">
        <v>123</v>
      </c>
      <c r="D78" s="37"/>
      <c r="E78" s="38"/>
      <c r="F78" s="39"/>
      <c r="G78" s="40"/>
      <c r="H78" s="41">
        <v>6160.74</v>
      </c>
      <c r="I78" s="41">
        <f>SUMIFS(I:I,C:C,"Total")</f>
        <v>100</v>
      </c>
      <c r="J78" s="42"/>
    </row>
    <row r="81" spans="3:3">
      <c r="C81" s="11" t="s">
        <v>124</v>
      </c>
    </row>
    <row r="82" spans="3:3">
      <c r="C82" s="2" t="s">
        <v>125</v>
      </c>
    </row>
    <row r="83" spans="3:3">
      <c r="C83" s="2" t="s">
        <v>126</v>
      </c>
    </row>
    <row r="84" spans="3:3">
      <c r="C84" s="2" t="s">
        <v>127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I20"/>
  <sheetViews>
    <sheetView workbookViewId="0">
      <selection activeCell="A4" sqref="A4"/>
    </sheetView>
  </sheetViews>
  <sheetFormatPr defaultRowHeight="15"/>
  <cols>
    <col min="1" max="1" width="53.5703125" customWidth="1"/>
    <col min="3" max="3" width="11" bestFit="1" customWidth="1"/>
    <col min="5" max="5" width="11" bestFit="1" customWidth="1"/>
    <col min="7" max="7" width="11" bestFit="1" customWidth="1"/>
    <col min="9" max="9" width="12" bestFit="1" customWidth="1"/>
  </cols>
  <sheetData>
    <row r="4" spans="1:9" ht="15.75">
      <c r="A4" s="43" t="s">
        <v>128</v>
      </c>
      <c r="B4" s="44"/>
      <c r="C4" s="44"/>
      <c r="D4" s="44"/>
      <c r="E4" s="44"/>
      <c r="F4" s="44"/>
      <c r="G4" s="44"/>
      <c r="H4" s="44"/>
      <c r="I4" s="44"/>
    </row>
    <row r="5" spans="1:9">
      <c r="A5" s="45" t="s">
        <v>129</v>
      </c>
      <c r="B5" s="50" t="s">
        <v>130</v>
      </c>
      <c r="C5" s="50"/>
      <c r="D5" s="50" t="s">
        <v>131</v>
      </c>
      <c r="E5" s="50"/>
      <c r="F5" s="50" t="s">
        <v>132</v>
      </c>
      <c r="G5" s="50"/>
      <c r="H5" s="50" t="s">
        <v>133</v>
      </c>
      <c r="I5" s="50"/>
    </row>
    <row r="6" spans="1:9" ht="63.75">
      <c r="A6" s="46"/>
      <c r="B6" s="47" t="s">
        <v>134</v>
      </c>
      <c r="C6" s="47" t="s">
        <v>135</v>
      </c>
      <c r="D6" s="47" t="s">
        <v>134</v>
      </c>
      <c r="E6" s="47" t="s">
        <v>135</v>
      </c>
      <c r="F6" s="47" t="s">
        <v>134</v>
      </c>
      <c r="G6" s="47" t="s">
        <v>135</v>
      </c>
      <c r="H6" s="47" t="s">
        <v>134</v>
      </c>
      <c r="I6" s="47" t="s">
        <v>135</v>
      </c>
    </row>
    <row r="7" spans="1:9">
      <c r="A7" s="48" t="s">
        <v>136</v>
      </c>
      <c r="B7" s="49">
        <v>1.5888778550148919</v>
      </c>
      <c r="C7" s="49">
        <v>10158.887785501491</v>
      </c>
      <c r="D7" s="49">
        <v>14.995845109425066</v>
      </c>
      <c r="E7" s="49">
        <v>15212.924158442613</v>
      </c>
      <c r="F7" s="49">
        <v>9.9190322198494876</v>
      </c>
      <c r="G7" s="49">
        <v>16045.914729787537</v>
      </c>
      <c r="H7" s="49">
        <v>11.334754322072449</v>
      </c>
      <c r="I7" s="49">
        <v>112530</v>
      </c>
    </row>
    <row r="8" spans="1:9">
      <c r="A8" s="48" t="s">
        <v>137</v>
      </c>
      <c r="B8" s="49">
        <v>6.9945581826506231</v>
      </c>
      <c r="C8" s="49">
        <v>10699.455818265062</v>
      </c>
      <c r="D8" s="49">
        <v>21.243025771598511</v>
      </c>
      <c r="E8" s="49">
        <v>17822.568746532092</v>
      </c>
      <c r="F8" s="49">
        <v>13.586394029778637</v>
      </c>
      <c r="G8" s="49">
        <v>18907.389118277577</v>
      </c>
      <c r="H8" s="49">
        <v>0</v>
      </c>
      <c r="I8" s="49">
        <v>0</v>
      </c>
    </row>
    <row r="9" spans="1:9">
      <c r="A9" s="48" t="s">
        <v>138</v>
      </c>
      <c r="B9" s="49">
        <v>5.1410540204544608</v>
      </c>
      <c r="C9" s="49">
        <v>10514.105402045447</v>
      </c>
      <c r="D9" s="49">
        <v>18.625136484194549</v>
      </c>
      <c r="E9" s="49">
        <v>16692.837871692274</v>
      </c>
      <c r="F9" s="49">
        <v>13.782855266252803</v>
      </c>
      <c r="G9" s="49">
        <v>19071.468667697653</v>
      </c>
      <c r="H9" s="49">
        <v>12.904074570795832</v>
      </c>
      <c r="I9" s="49">
        <v>247324.2863306822</v>
      </c>
    </row>
    <row r="10" spans="1:9">
      <c r="A10" s="48" t="s">
        <v>139</v>
      </c>
      <c r="B10" s="51">
        <v>110.77</v>
      </c>
      <c r="C10" s="52"/>
      <c r="D10" s="51">
        <v>73.97</v>
      </c>
      <c r="E10" s="52"/>
      <c r="F10" s="51">
        <v>70.13</v>
      </c>
      <c r="G10" s="52"/>
      <c r="H10" s="51">
        <v>10</v>
      </c>
      <c r="I10" s="52"/>
    </row>
    <row r="12" spans="1:9" ht="15.75">
      <c r="A12" s="43" t="s">
        <v>140</v>
      </c>
      <c r="B12" s="44"/>
      <c r="C12" s="44"/>
      <c r="D12" s="44"/>
      <c r="E12" s="44"/>
      <c r="F12" s="44"/>
      <c r="G12" s="44"/>
      <c r="H12" s="44"/>
      <c r="I12" s="44"/>
    </row>
    <row r="13" spans="1:9">
      <c r="A13" s="45" t="s">
        <v>129</v>
      </c>
      <c r="B13" s="50" t="s">
        <v>130</v>
      </c>
      <c r="C13" s="50"/>
      <c r="D13" s="50" t="s">
        <v>131</v>
      </c>
      <c r="E13" s="50"/>
      <c r="F13" s="50" t="s">
        <v>132</v>
      </c>
      <c r="G13" s="50"/>
      <c r="H13" s="50" t="s">
        <v>133</v>
      </c>
      <c r="I13" s="50"/>
    </row>
    <row r="14" spans="1:9" ht="63.75">
      <c r="A14" s="46"/>
      <c r="B14" s="47" t="s">
        <v>134</v>
      </c>
      <c r="C14" s="47" t="s">
        <v>135</v>
      </c>
      <c r="D14" s="47" t="s">
        <v>134</v>
      </c>
      <c r="E14" s="47" t="s">
        <v>135</v>
      </c>
      <c r="F14" s="47" t="s">
        <v>134</v>
      </c>
      <c r="G14" s="47" t="s">
        <v>135</v>
      </c>
      <c r="H14" s="47" t="s">
        <v>134</v>
      </c>
      <c r="I14" s="47" t="s">
        <v>135</v>
      </c>
    </row>
    <row r="15" spans="1:9">
      <c r="A15" s="48" t="s">
        <v>136</v>
      </c>
      <c r="B15" s="49">
        <v>2.2850832483859884</v>
      </c>
      <c r="C15" s="49">
        <v>10228.5083248386</v>
      </c>
      <c r="D15" s="49">
        <v>15.815338518570954</v>
      </c>
      <c r="E15" s="49">
        <v>15540.784718637065</v>
      </c>
      <c r="F15" s="49">
        <v>10.669761950984968</v>
      </c>
      <c r="G15" s="49">
        <v>16601.406314628428</v>
      </c>
      <c r="H15" s="49">
        <v>12.463455155043878</v>
      </c>
      <c r="I15" s="49">
        <v>31121.73688291548</v>
      </c>
    </row>
    <row r="16" spans="1:9">
      <c r="A16" s="48" t="s">
        <v>137</v>
      </c>
      <c r="B16" s="49">
        <v>6.9945581826506231</v>
      </c>
      <c r="C16" s="49">
        <v>10699.455818265062</v>
      </c>
      <c r="D16" s="49">
        <v>21.243025771598511</v>
      </c>
      <c r="E16" s="49">
        <v>17822.568746532092</v>
      </c>
      <c r="F16" s="49">
        <v>13.586394029778637</v>
      </c>
      <c r="G16" s="49">
        <v>18907.389118277577</v>
      </c>
      <c r="H16" s="49">
        <v>14.283897850725037</v>
      </c>
      <c r="I16" s="49">
        <v>36347.047690825137</v>
      </c>
    </row>
    <row r="17" spans="1:9">
      <c r="A17" s="48" t="s">
        <v>138</v>
      </c>
      <c r="B17" s="49">
        <v>5.1410540204544608</v>
      </c>
      <c r="C17" s="49">
        <v>10514.105402045447</v>
      </c>
      <c r="D17" s="49">
        <v>18.625136484194549</v>
      </c>
      <c r="E17" s="49">
        <v>16692.837871692274</v>
      </c>
      <c r="F17" s="49">
        <v>13.782855266252803</v>
      </c>
      <c r="G17" s="49">
        <v>19071.468667697653</v>
      </c>
      <c r="H17" s="49">
        <v>13.394856913984565</v>
      </c>
      <c r="I17" s="49">
        <v>33704.348030668589</v>
      </c>
    </row>
    <row r="18" spans="1:9">
      <c r="A18" s="48" t="s">
        <v>141</v>
      </c>
      <c r="B18" s="51">
        <v>117.72</v>
      </c>
      <c r="C18" s="52"/>
      <c r="D18" s="51">
        <v>77.48</v>
      </c>
      <c r="E18" s="52"/>
      <c r="F18" s="51">
        <v>72.53</v>
      </c>
      <c r="G18" s="52"/>
      <c r="H18" s="51">
        <v>38.69</v>
      </c>
      <c r="I18" s="52"/>
    </row>
    <row r="20" spans="1:9">
      <c r="A20" t="s">
        <v>142</v>
      </c>
    </row>
  </sheetData>
  <mergeCells count="16">
    <mergeCell ref="B5:C5"/>
    <mergeCell ref="D5:E5"/>
    <mergeCell ref="F5:G5"/>
    <mergeCell ref="H5:I5"/>
    <mergeCell ref="B10:C10"/>
    <mergeCell ref="D10:E10"/>
    <mergeCell ref="F10:G10"/>
    <mergeCell ref="H10:I10"/>
    <mergeCell ref="B13:C13"/>
    <mergeCell ref="D13:E13"/>
    <mergeCell ref="F13:G13"/>
    <mergeCell ref="H13:I13"/>
    <mergeCell ref="B18:C18"/>
    <mergeCell ref="D18:E18"/>
    <mergeCell ref="F18:G18"/>
    <mergeCell ref="H18:I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TTS-Risk-O-Meter &amp; Portfolio</vt:lpstr>
      <vt:lpstr>TTS - Performance</vt:lpstr>
      <vt:lpstr>XDO_?CLASS_3?7?</vt:lpstr>
      <vt:lpstr>XDO_?FINAL_ISIN?14?</vt:lpstr>
      <vt:lpstr>XDO_?FINAL_ISIN?15?</vt:lpstr>
      <vt:lpstr>XDO_?FINAL_MV?14?</vt:lpstr>
      <vt:lpstr>XDO_?FINAL_MV?15?</vt:lpstr>
      <vt:lpstr>XDO_?FINAL_NAME?14?</vt:lpstr>
      <vt:lpstr>XDO_?FINAL_NAME?15?</vt:lpstr>
      <vt:lpstr>XDO_?FINAL_PER_NET?14?</vt:lpstr>
      <vt:lpstr>XDO_?FINAL_PER_NET?15?</vt:lpstr>
      <vt:lpstr>XDO_?FINAL_QUANTITE?14?</vt:lpstr>
      <vt:lpstr>XDO_?FINAL_QUANTITE?15?</vt:lpstr>
      <vt:lpstr>XDO_?IND_01?14?</vt:lpstr>
      <vt:lpstr>XDO_?IND_01?15?</vt:lpstr>
      <vt:lpstr>XDO_?NAMCNAME?7?</vt:lpstr>
      <vt:lpstr>XDO_?NOVAL?14?</vt:lpstr>
      <vt:lpstr>XDO_?NOVAL?15?</vt:lpstr>
      <vt:lpstr>XDO_?NPTF?7?</vt:lpstr>
      <vt:lpstr>XDO_?RATING?14?</vt:lpstr>
      <vt:lpstr>XDO_?RATING?15?</vt:lpstr>
      <vt:lpstr>XDO_?REMARKS?14?</vt:lpstr>
      <vt:lpstr>XDO_?REMARKS?15?</vt:lpstr>
      <vt:lpstr>XDO_?TITL?7?</vt:lpstr>
      <vt:lpstr>XDO_GROUP_?G_2?7?</vt:lpstr>
      <vt:lpstr>XDO_GROUP_?G_3?7?</vt:lpstr>
      <vt:lpstr>XDO_GROUP_?G_4?14?</vt:lpstr>
      <vt:lpstr>XDO_GROUP_?G_4?15?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MADHURA SHINDE</cp:lastModifiedBy>
  <dcterms:created xsi:type="dcterms:W3CDTF">2022-09-02T14:05:33Z</dcterms:created>
  <dcterms:modified xsi:type="dcterms:W3CDTF">2022-09-09T02:50:23Z</dcterms:modified>
</cp:coreProperties>
</file>