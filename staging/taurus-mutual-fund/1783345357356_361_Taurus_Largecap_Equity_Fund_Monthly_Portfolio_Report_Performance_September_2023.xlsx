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OCT 2023\Portfolio\SAHU\RE_ TMF_Monthly_Portfolio_Report_SEPT 23\"/>
    </mc:Choice>
  </mc:AlternateContent>
  <xr:revisionPtr revIDLastSave="0" documentId="13_ncr:1_{73A8E696-9DA3-40B5-A11A-292C77B4FB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Portfolio'!$C$8:$C$40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Portfolio'!$D$10:$D$82</definedName>
    <definedName name="XDO_?FINAL_MV?">'TBF-Risk-o-meter &amp; Portfolio'!$H$10:$H$82</definedName>
    <definedName name="XDO_?FINAL_NAME?">'TBF-Risk-o-meter &amp; Portfolio'!$C$10:$C$82</definedName>
    <definedName name="XDO_?FINAL_PER_NET?">'TBF-Risk-o-meter &amp; Portfolio'!$I$10:$I$82</definedName>
    <definedName name="XDO_?FINAL_QUANTITE?">'TBF-Risk-o-meter &amp; Portfolio'!$G$10:$G$82</definedName>
    <definedName name="XDO_?IND_01?">'TBF-Risk-o-meter &amp; Portfolio'!$F$10:$F$82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Portfolio'!$C$2:$C$40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Portfolio'!$B$10:$B$82</definedName>
    <definedName name="XDO_?NPTF?">'TBF-Risk-o-meter &amp; Portfolio'!$D$2:$D$40</definedName>
    <definedName name="XDO_?RATING?">'TBF-Risk-o-meter &amp; Portfolio'!$E$10:$E$82</definedName>
    <definedName name="XDO_?REMARKS?">'TBF-Risk-o-meter &amp; Portfolio'!$J$10:$J$82</definedName>
    <definedName name="XDO_?TDATE?">'TBF-Risk-o-meter &amp; Portfolio'!$D$4</definedName>
    <definedName name="XDO_?TITL?">'TBF-Risk-o-meter &amp; Portfolio'!$A$8:$A$40</definedName>
    <definedName name="XDO_GROUP_?G_2?">'TBF-Risk-o-meter &amp; Portfolio'!$2:$85</definedName>
    <definedName name="XDO_GROUP_?G_3?">'TBF-Risk-o-meter &amp; Portfolio'!$8:$84</definedName>
    <definedName name="XDO_GROUP_?G_4?">'TBF-Risk-o-meter &amp; Portfolio'!$B$82:$IV$82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5" i="1" l="1"/>
</calcChain>
</file>

<file path=xl/sharedStrings.xml><?xml version="1.0" encoding="utf-8"?>
<sst xmlns="http://schemas.openxmlformats.org/spreadsheetml/2006/main" count="235" uniqueCount="169">
  <si>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</si>
  <si>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</si>
  <si>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</si>
  <si>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</si>
  <si>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</si>
  <si>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</si>
  <si>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</si>
  <si>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</si>
  <si>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</si>
  <si>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</si>
  <si>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</si>
  <si>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</si>
  <si>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</si>
  <si>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</si>
  <si>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</si>
  <si>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</si>
  <si>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</si>
  <si>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</si>
  <si>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</si>
  <si>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</si>
  <si>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</si>
  <si>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</si>
  <si>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</si>
  <si>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100010</t>
  </si>
  <si>
    <t>State Bank of India</t>
  </si>
  <si>
    <t>INE062A01020</t>
  </si>
  <si>
    <t>100024</t>
  </si>
  <si>
    <t>Axis Bank Ltd.</t>
  </si>
  <si>
    <t>INE238A01034</t>
  </si>
  <si>
    <t>100012</t>
  </si>
  <si>
    <t>ICICI Bank Ltd.</t>
  </si>
  <si>
    <t>INE090A01021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</si>
  <si>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</si>
  <si>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</si>
  <si>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</si>
  <si>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</si>
  <si>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</si>
  <si>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</si>
  <si>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</si>
  <si>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100180</t>
  </si>
  <si>
    <t>Hindalco Industries Ltd.</t>
  </si>
  <si>
    <t>INE038A01020</t>
  </si>
  <si>
    <t>Non - Ferrous Metals</t>
  </si>
  <si>
    <t>100019</t>
  </si>
  <si>
    <t>ITC Ltd.</t>
  </si>
  <si>
    <t>INE154A01025</t>
  </si>
  <si>
    <t>Diversified FMCG</t>
  </si>
  <si>
    <t>100147</t>
  </si>
  <si>
    <t>Tech Mahindra Ltd.</t>
  </si>
  <si>
    <t>INE669C01036</t>
  </si>
  <si>
    <t>100014</t>
  </si>
  <si>
    <t>Mahindra &amp; Mahindra Ltd.</t>
  </si>
  <si>
    <t>INE101A01026</t>
  </si>
  <si>
    <t>Automobiles</t>
  </si>
  <si>
    <t>101178</t>
  </si>
  <si>
    <t>Computer Age Management Services Ltd.</t>
  </si>
  <si>
    <t>INE596I01012</t>
  </si>
  <si>
    <t>Capital Markets</t>
  </si>
  <si>
    <t>100128</t>
  </si>
  <si>
    <t>Eicher Motors Ltd.</t>
  </si>
  <si>
    <t>INE066A01021</t>
  </si>
  <si>
    <t>100150</t>
  </si>
  <si>
    <t>Apollo Hospitals Enterprise Ltd.</t>
  </si>
  <si>
    <t>INE437A01024</t>
  </si>
  <si>
    <t>Healthcare Services</t>
  </si>
  <si>
    <t>100263</t>
  </si>
  <si>
    <t>BEML Ltd.</t>
  </si>
  <si>
    <t>INE258A01016</t>
  </si>
  <si>
    <t>Agricultural, Commercial &amp; Construction Vehicles</t>
  </si>
  <si>
    <t>100172</t>
  </si>
  <si>
    <t>ACC Ltd.</t>
  </si>
  <si>
    <t>INE012A01025</t>
  </si>
  <si>
    <t>Cement &amp; Cement Products</t>
  </si>
  <si>
    <t>100181</t>
  </si>
  <si>
    <t>NTPC Ltd.</t>
  </si>
  <si>
    <t>INE733E01010</t>
  </si>
  <si>
    <t>Power</t>
  </si>
  <si>
    <t>100002</t>
  </si>
  <si>
    <t>Reliance Industries Ltd.</t>
  </si>
  <si>
    <t>INE002A01018</t>
  </si>
  <si>
    <t>Petroleum Products</t>
  </si>
  <si>
    <t>100080</t>
  </si>
  <si>
    <t>Dr. Reddy's Laboratories Ltd.</t>
  </si>
  <si>
    <t>INE089A01023</t>
  </si>
  <si>
    <t>Pharmaceuticals &amp; Biotechnology</t>
  </si>
  <si>
    <t>100302</t>
  </si>
  <si>
    <t>DLF Ltd.</t>
  </si>
  <si>
    <t>INE271C01023</t>
  </si>
  <si>
    <t>Realty</t>
  </si>
  <si>
    <t>100008</t>
  </si>
  <si>
    <t>Sun Pharmaceutical Industries Ltd.</t>
  </si>
  <si>
    <t>INE044A01036</t>
  </si>
  <si>
    <t>100119</t>
  </si>
  <si>
    <t>Tata Motors Ltd.</t>
  </si>
  <si>
    <t>INE155A01022</t>
  </si>
  <si>
    <t>100106</t>
  </si>
  <si>
    <t>Maruti Suzuki India Ltd.</t>
  </si>
  <si>
    <t>INE585B01010</t>
  </si>
  <si>
    <t>100153</t>
  </si>
  <si>
    <t>Cipla Ltd.</t>
  </si>
  <si>
    <t>INE059A01026</t>
  </si>
  <si>
    <t>100193</t>
  </si>
  <si>
    <t>JSW Steel Ltd.</t>
  </si>
  <si>
    <t>INE019A01038</t>
  </si>
  <si>
    <t>Ferrous Metals</t>
  </si>
  <si>
    <t>100361</t>
  </si>
  <si>
    <t>Bank of India</t>
  </si>
  <si>
    <t>INE084A01016</t>
  </si>
  <si>
    <t>100092</t>
  </si>
  <si>
    <t>Bank of Baroda</t>
  </si>
  <si>
    <t>INE028A01039</t>
  </si>
  <si>
    <t>100081</t>
  </si>
  <si>
    <t>Titan Company Ltd.</t>
  </si>
  <si>
    <t>INE280A01028</t>
  </si>
  <si>
    <t>Consumer Durables</t>
  </si>
  <si>
    <t>100163</t>
  </si>
  <si>
    <t>Bosch Ltd.</t>
  </si>
  <si>
    <t>INE323A01026</t>
  </si>
  <si>
    <t>Auto Components</t>
  </si>
  <si>
    <t>100176</t>
  </si>
  <si>
    <t>GAIL (India) Ltd.</t>
  </si>
  <si>
    <t>INE129A01019</t>
  </si>
  <si>
    <t>Gas</t>
  </si>
  <si>
    <t>101946</t>
  </si>
  <si>
    <t>National Fertilizers Ltd.</t>
  </si>
  <si>
    <t>INE870D01012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</si>
  <si>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</si>
  <si>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</si>
  <si>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</si>
  <si>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</si>
  <si>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</si>
  <si>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</si>
  <si>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</si>
  <si>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</si>
  <si>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</si>
  <si>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</si>
  <si>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</si>
  <si>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</si>
  <si>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</si>
  <si>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</si>
  <si>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</si>
  <si>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</si>
  <si>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</si>
  <si>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</si>
  <si>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</si>
  <si>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</si>
  <si>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</si>
  <si>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</si>
  <si>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</si>
  <si>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</si>
  <si>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</si>
  <si>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</si>
  <si>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</si>
  <si>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</si>
  <si>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</si>
  <si>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</si>
  <si>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</si>
  <si>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</si>
  <si>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</si>
  <si>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</si>
  <si>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</si>
  <si>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</si>
  <si>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</si>
  <si>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</si>
  <si>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</si>
  <si>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September 29, 2023 : 116.83)</t>
  </si>
  <si>
    <t>Taurus Largecap Equity Fund - Direct Plan Growth Option</t>
  </si>
  <si>
    <t>NAV [Rs.] Per Unit (as on September 29, 2023 : 123.31)</t>
  </si>
  <si>
    <t>Taurus Largecap Equity Fund - Regular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</si>
</sst>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_);_(* \(#,##0.00\);_(* \-??_);_(@_)"/>
    <numFmt numFmtId="169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8" fontId="9" fillId="0" borderId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3" borderId="13" xfId="4" applyFont="1" applyFill="1" applyBorder="1"/>
    <xf numFmtId="0" fontId="11" fillId="3" borderId="13" xfId="4" applyFont="1" applyFill="1" applyBorder="1" applyAlignment="1">
      <alignment wrapText="1"/>
    </xf>
    <xf numFmtId="0" fontId="11" fillId="3" borderId="13" xfId="4" applyFont="1" applyFill="1" applyBorder="1" applyAlignment="1">
      <alignment horizontal="center" vertical="center" wrapText="1"/>
    </xf>
    <xf numFmtId="0" fontId="11" fillId="0" borderId="13" xfId="4" applyFont="1" applyBorder="1"/>
    <xf numFmtId="169" fontId="9" fillId="0" borderId="13" xfId="6" applyNumberFormat="1" applyBorder="1" applyAlignment="1">
      <alignment horizontal="center"/>
    </xf>
    <xf numFmtId="0" fontId="12" fillId="0" borderId="0" xfId="4" applyFont="1"/>
    <xf numFmtId="0" fontId="13" fillId="0" borderId="0" xfId="4" applyFont="1"/>
    <xf numFmtId="0" fontId="11" fillId="3" borderId="13" xfId="4" applyFont="1" applyFill="1" applyBorder="1" applyAlignment="1">
      <alignment horizontal="center"/>
    </xf>
    <xf numFmtId="169" fontId="9" fillId="0" borderId="19" xfId="6" applyNumberFormat="1" applyBorder="1" applyAlignment="1">
      <alignment horizontal="center"/>
    </xf>
    <xf numFmtId="169" fontId="9" fillId="0" borderId="20" xfId="6" applyNumberFormat="1" applyBorder="1" applyAlignment="1">
      <alignment horizontal="center"/>
    </xf>
  </cellXfs>
  <cellStyles count="7">
    <cellStyle name="Comma" xfId="1" builtinId="3"/>
    <cellStyle name="Comma 2" xfId="5" xr:uid="{00000000-0005-0000-0000-000001000000}"/>
    <cellStyle name="Comma 3" xfId="6" xr:uid="{00000000-0005-0000-0000-000002000000}"/>
    <cellStyle name="Hyperlink" xfId="2" builtinId="8"/>
    <cellStyle name="Normal" xfId="0" builtinId="0"/>
    <cellStyle name="Normal 2" xfId="4" xr:uid="{00000000-0005-0000-0000-000005000000}"/>
    <cellStyle name="Style 1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48683</xdr:colOff>
      <xdr:row>0</xdr:row>
      <xdr:rowOff>1924050</xdr:rowOff>
    </xdr:to>
    <xdr:pic>
      <xdr:nvPicPr>
        <xdr:cNvPr id="2" name="Picture 1" descr="Large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80085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91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6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45199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21331</v>
      </c>
      <c r="H10" s="32">
        <v>325.63</v>
      </c>
      <c r="I10" s="32">
        <v>8.91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19988</v>
      </c>
      <c r="H11" s="32">
        <v>247.09</v>
      </c>
      <c r="I11" s="32">
        <v>6.76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34404</v>
      </c>
      <c r="H12" s="32">
        <v>205.98</v>
      </c>
      <c r="I12" s="32">
        <v>5.64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19761</v>
      </c>
      <c r="H13" s="32">
        <v>204.87</v>
      </c>
      <c r="I13" s="32">
        <v>5.61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18</v>
      </c>
      <c r="G14" s="31">
        <v>19245</v>
      </c>
      <c r="H14" s="32">
        <v>183.22</v>
      </c>
      <c r="I14" s="32">
        <v>5.0199999999999996</v>
      </c>
      <c r="J14" s="33"/>
    </row>
    <row r="15" spans="1:54" x14ac:dyDescent="0.25">
      <c r="B15" s="1" t="s">
        <v>32</v>
      </c>
      <c r="C15" s="20" t="s">
        <v>33</v>
      </c>
      <c r="D15" s="29" t="s">
        <v>34</v>
      </c>
      <c r="E15" s="30"/>
      <c r="F15" s="30" t="s">
        <v>22</v>
      </c>
      <c r="G15" s="31">
        <v>12217</v>
      </c>
      <c r="H15" s="32">
        <v>175.32</v>
      </c>
      <c r="I15" s="32">
        <v>4.8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57649</v>
      </c>
      <c r="H16" s="32">
        <v>170.15</v>
      </c>
      <c r="I16" s="32">
        <v>4.66</v>
      </c>
      <c r="J16" s="33"/>
    </row>
    <row r="17" spans="2:10" x14ac:dyDescent="0.25">
      <c r="B17" s="1" t="s">
        <v>39</v>
      </c>
      <c r="C17" s="20" t="s">
        <v>40</v>
      </c>
      <c r="D17" s="29" t="s">
        <v>41</v>
      </c>
      <c r="E17" s="30"/>
      <c r="F17" s="30" t="s">
        <v>42</v>
      </c>
      <c r="G17" s="31">
        <v>34036</v>
      </c>
      <c r="H17" s="32">
        <v>167.81</v>
      </c>
      <c r="I17" s="32">
        <v>4.59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36337</v>
      </c>
      <c r="H18" s="32">
        <v>161.47999999999999</v>
      </c>
      <c r="I18" s="32">
        <v>4.42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22</v>
      </c>
      <c r="G19" s="31">
        <v>12396</v>
      </c>
      <c r="H19" s="32">
        <v>151.62</v>
      </c>
      <c r="I19" s="32">
        <v>4.1500000000000004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8410</v>
      </c>
      <c r="H20" s="32">
        <v>130.66</v>
      </c>
      <c r="I20" s="32">
        <v>3.58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4880</v>
      </c>
      <c r="H21" s="32">
        <v>122.53</v>
      </c>
      <c r="I21" s="32">
        <v>3.35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53</v>
      </c>
      <c r="G22" s="31">
        <v>3450</v>
      </c>
      <c r="H22" s="32">
        <v>119.23</v>
      </c>
      <c r="I22" s="32">
        <v>3.26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2184</v>
      </c>
      <c r="H23" s="32">
        <v>112.2</v>
      </c>
      <c r="I23" s="32">
        <v>3.07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4710</v>
      </c>
      <c r="H24" s="32">
        <v>109.16</v>
      </c>
      <c r="I24" s="32">
        <v>2.99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5293</v>
      </c>
      <c r="H25" s="32">
        <v>106.55</v>
      </c>
      <c r="I25" s="32">
        <v>2.92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38578</v>
      </c>
      <c r="H26" s="32">
        <v>94.77</v>
      </c>
      <c r="I26" s="32">
        <v>2.59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3976</v>
      </c>
      <c r="H27" s="32">
        <v>93.3</v>
      </c>
      <c r="I27" s="32">
        <v>2.5499999999999998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1505</v>
      </c>
      <c r="H28" s="32">
        <v>84.08</v>
      </c>
      <c r="I28" s="32">
        <v>2.2999999999999998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15145</v>
      </c>
      <c r="H29" s="32">
        <v>80.400000000000006</v>
      </c>
      <c r="I29" s="32">
        <v>2.2000000000000002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84</v>
      </c>
      <c r="G30" s="31">
        <v>6749</v>
      </c>
      <c r="H30" s="32">
        <v>78.23</v>
      </c>
      <c r="I30" s="32">
        <v>2.14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53</v>
      </c>
      <c r="G31" s="31">
        <v>11097</v>
      </c>
      <c r="H31" s="32">
        <v>69.95</v>
      </c>
      <c r="I31" s="32">
        <v>1.91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53</v>
      </c>
      <c r="G32" s="31">
        <v>623</v>
      </c>
      <c r="H32" s="32">
        <v>66.05</v>
      </c>
      <c r="I32" s="32">
        <v>1.81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84</v>
      </c>
      <c r="G33" s="31">
        <v>4961</v>
      </c>
      <c r="H33" s="32">
        <v>58.88</v>
      </c>
      <c r="I33" s="32">
        <v>1.61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7364</v>
      </c>
      <c r="H34" s="32">
        <v>57.38</v>
      </c>
      <c r="I34" s="32">
        <v>1.57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18</v>
      </c>
      <c r="G35" s="31">
        <v>52109</v>
      </c>
      <c r="H35" s="32">
        <v>57.01</v>
      </c>
      <c r="I35" s="32">
        <v>1.56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18</v>
      </c>
      <c r="G36" s="31">
        <v>24008</v>
      </c>
      <c r="H36" s="32">
        <v>51.33</v>
      </c>
      <c r="I36" s="32">
        <v>1.41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1393</v>
      </c>
      <c r="H37" s="32">
        <v>43.87</v>
      </c>
      <c r="I37" s="32">
        <v>1.2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220</v>
      </c>
      <c r="H38" s="32">
        <v>41.85</v>
      </c>
      <c r="I38" s="32">
        <v>1.1499999999999999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29659</v>
      </c>
      <c r="H39" s="32">
        <v>36.880000000000003</v>
      </c>
      <c r="I39" s="32">
        <v>1.01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47543</v>
      </c>
      <c r="H40" s="32">
        <v>34.659999999999997</v>
      </c>
      <c r="I40" s="32">
        <v>0.95</v>
      </c>
      <c r="J40" s="33"/>
    </row>
    <row r="41" spans="2:10" x14ac:dyDescent="0.25">
      <c r="C41" s="28" t="s">
        <v>127</v>
      </c>
      <c r="D41" s="29"/>
      <c r="E41" s="30"/>
      <c r="F41" s="30"/>
      <c r="G41" s="31"/>
      <c r="H41" s="35">
        <v>3642.14</v>
      </c>
      <c r="I41" s="35">
        <v>99.69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128</v>
      </c>
      <c r="D43" s="29"/>
      <c r="E43" s="30"/>
      <c r="F43" s="30"/>
      <c r="G43" s="31"/>
      <c r="H43" s="32" t="s">
        <v>129</v>
      </c>
      <c r="I43" s="32" t="s">
        <v>129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130</v>
      </c>
      <c r="D45" s="29"/>
      <c r="E45" s="30"/>
      <c r="F45" s="30"/>
      <c r="G45" s="31"/>
      <c r="H45" s="32" t="s">
        <v>129</v>
      </c>
      <c r="I45" s="32" t="s">
        <v>129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131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132</v>
      </c>
      <c r="D49" s="29"/>
      <c r="E49" s="30"/>
      <c r="F49" s="30"/>
      <c r="G49" s="31"/>
      <c r="H49" s="32" t="s">
        <v>129</v>
      </c>
      <c r="I49" s="32" t="s">
        <v>129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133</v>
      </c>
      <c r="D51" s="29"/>
      <c r="E51" s="30"/>
      <c r="F51" s="30"/>
      <c r="G51" s="31"/>
      <c r="H51" s="32" t="s">
        <v>129</v>
      </c>
      <c r="I51" s="32" t="s">
        <v>129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134</v>
      </c>
      <c r="D53" s="29"/>
      <c r="E53" s="30"/>
      <c r="F53" s="30"/>
      <c r="G53" s="31"/>
      <c r="H53" s="32" t="s">
        <v>129</v>
      </c>
      <c r="I53" s="32" t="s">
        <v>129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135</v>
      </c>
      <c r="D55" s="29"/>
      <c r="E55" s="30"/>
      <c r="F55" s="30"/>
      <c r="G55" s="31"/>
      <c r="H55" s="32" t="s">
        <v>129</v>
      </c>
      <c r="I55" s="32" t="s">
        <v>129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136</v>
      </c>
      <c r="D57" s="29"/>
      <c r="E57" s="30"/>
      <c r="F57" s="30"/>
      <c r="G57" s="31"/>
      <c r="H57" s="32" t="s">
        <v>129</v>
      </c>
      <c r="I57" s="32" t="s">
        <v>129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137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138</v>
      </c>
      <c r="D61" s="29"/>
      <c r="E61" s="30"/>
      <c r="F61" s="30"/>
      <c r="G61" s="31"/>
      <c r="H61" s="32" t="s">
        <v>129</v>
      </c>
      <c r="I61" s="32" t="s">
        <v>129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139</v>
      </c>
      <c r="D63" s="29"/>
      <c r="E63" s="30"/>
      <c r="F63" s="30"/>
      <c r="G63" s="31"/>
      <c r="H63" s="32" t="s">
        <v>129</v>
      </c>
      <c r="I63" s="32" t="s">
        <v>129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140</v>
      </c>
      <c r="D65" s="29"/>
      <c r="E65" s="30"/>
      <c r="F65" s="30"/>
      <c r="G65" s="31"/>
      <c r="H65" s="32" t="s">
        <v>129</v>
      </c>
      <c r="I65" s="32" t="s">
        <v>129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141</v>
      </c>
      <c r="D67" s="29"/>
      <c r="E67" s="30"/>
      <c r="F67" s="30"/>
      <c r="G67" s="31"/>
      <c r="H67" s="32" t="s">
        <v>129</v>
      </c>
      <c r="I67" s="32" t="s">
        <v>129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142</v>
      </c>
      <c r="D69" s="29"/>
      <c r="E69" s="30"/>
      <c r="F69" s="30"/>
      <c r="G69" s="31"/>
      <c r="H69" s="32"/>
      <c r="I69" s="32"/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143</v>
      </c>
      <c r="D71" s="29"/>
      <c r="E71" s="30"/>
      <c r="F71" s="30"/>
      <c r="G71" s="31"/>
      <c r="H71" s="32" t="s">
        <v>129</v>
      </c>
      <c r="I71" s="32" t="s">
        <v>129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144</v>
      </c>
      <c r="D73" s="29"/>
      <c r="E73" s="30"/>
      <c r="F73" s="30"/>
      <c r="G73" s="31"/>
      <c r="H73" s="32" t="s">
        <v>129</v>
      </c>
      <c r="I73" s="32" t="s">
        <v>129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145</v>
      </c>
      <c r="D75" s="29"/>
      <c r="E75" s="30"/>
      <c r="F75" s="30"/>
      <c r="G75" s="31"/>
      <c r="H75" s="32" t="s">
        <v>129</v>
      </c>
      <c r="I75" s="32" t="s">
        <v>129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146</v>
      </c>
      <c r="D77" s="29"/>
      <c r="E77" s="30"/>
      <c r="F77" s="30"/>
      <c r="G77" s="31"/>
      <c r="H77" s="32" t="s">
        <v>129</v>
      </c>
      <c r="I77" s="32" t="s">
        <v>129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147</v>
      </c>
      <c r="D79" s="29"/>
      <c r="E79" s="30"/>
      <c r="F79" s="30"/>
      <c r="G79" s="31"/>
      <c r="H79" s="32" t="s">
        <v>129</v>
      </c>
      <c r="I79" s="32" t="s">
        <v>129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A81" s="26"/>
      <c r="B81" s="27"/>
      <c r="C81" s="28" t="s">
        <v>148</v>
      </c>
      <c r="D81" s="29"/>
      <c r="E81" s="30"/>
      <c r="F81" s="30"/>
      <c r="G81" s="31"/>
      <c r="H81" s="32"/>
      <c r="I81" s="32"/>
      <c r="J81" s="33"/>
    </row>
    <row r="82" spans="1:10" x14ac:dyDescent="0.25">
      <c r="B82" s="1"/>
      <c r="C82" s="20" t="s">
        <v>149</v>
      </c>
      <c r="D82" s="29"/>
      <c r="E82" s="30"/>
      <c r="F82" s="30"/>
      <c r="G82" s="31"/>
      <c r="H82" s="32">
        <v>10.62</v>
      </c>
      <c r="I82" s="32">
        <v>0.31</v>
      </c>
      <c r="J82" s="33"/>
    </row>
    <row r="83" spans="1:10" x14ac:dyDescent="0.25">
      <c r="C83" s="28" t="s">
        <v>127</v>
      </c>
      <c r="D83" s="29"/>
      <c r="E83" s="30"/>
      <c r="F83" s="30"/>
      <c r="G83" s="31"/>
      <c r="H83" s="35">
        <v>10.62</v>
      </c>
      <c r="I83" s="35">
        <v>0.31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ht="14.25" thickBot="1" x14ac:dyDescent="0.3">
      <c r="C85" s="36" t="s">
        <v>150</v>
      </c>
      <c r="D85" s="37"/>
      <c r="E85" s="38"/>
      <c r="F85" s="39"/>
      <c r="G85" s="40"/>
      <c r="H85" s="41">
        <v>3652.76</v>
      </c>
      <c r="I85" s="41">
        <f>SUMIFS(I:I,C:C,"Total")</f>
        <v>100</v>
      </c>
      <c r="J85" s="42"/>
    </row>
    <row r="88" spans="1:10" x14ac:dyDescent="0.25">
      <c r="C88" s="11" t="s">
        <v>151</v>
      </c>
    </row>
    <row r="89" spans="1:10" x14ac:dyDescent="0.25">
      <c r="C89" s="2" t="s">
        <v>152</v>
      </c>
    </row>
    <row r="90" spans="1:10" x14ac:dyDescent="0.25">
      <c r="C90" s="2" t="s">
        <v>153</v>
      </c>
    </row>
    <row r="91" spans="1:10" x14ac:dyDescent="0.25">
      <c r="C91" s="2" t="s">
        <v>154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17"/>
  <sheetViews>
    <sheetView workbookViewId="0"/>
  </sheetViews>
  <sheetFormatPr defaultRowHeight="15" x14ac:dyDescent="0.25"/>
  <cols>
    <col min="2" max="2" width="51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42578125" bestFit="1" customWidth="1"/>
  </cols>
  <sheetData>
    <row r="3" spans="2:10" ht="15.75" x14ac:dyDescent="0.25">
      <c r="B3" s="48" t="s">
        <v>168</v>
      </c>
    </row>
    <row r="4" spans="2:10" x14ac:dyDescent="0.25">
      <c r="B4" s="43" t="s">
        <v>155</v>
      </c>
      <c r="C4" s="50" t="s">
        <v>156</v>
      </c>
      <c r="D4" s="50"/>
      <c r="E4" s="50" t="s">
        <v>157</v>
      </c>
      <c r="F4" s="50"/>
      <c r="G4" s="50" t="s">
        <v>158</v>
      </c>
      <c r="H4" s="50"/>
      <c r="I4" s="50" t="s">
        <v>159</v>
      </c>
      <c r="J4" s="50"/>
    </row>
    <row r="5" spans="2:10" ht="63.75" x14ac:dyDescent="0.25">
      <c r="B5" s="44"/>
      <c r="C5" s="45" t="s">
        <v>160</v>
      </c>
      <c r="D5" s="45" t="s">
        <v>161</v>
      </c>
      <c r="E5" s="45" t="s">
        <v>160</v>
      </c>
      <c r="F5" s="45" t="s">
        <v>161</v>
      </c>
      <c r="G5" s="45" t="s">
        <v>160</v>
      </c>
      <c r="H5" s="45" t="s">
        <v>161</v>
      </c>
      <c r="I5" s="45" t="s">
        <v>160</v>
      </c>
      <c r="J5" s="45" t="s">
        <v>161</v>
      </c>
    </row>
    <row r="6" spans="2:10" x14ac:dyDescent="0.25">
      <c r="B6" s="46" t="s">
        <v>162</v>
      </c>
      <c r="C6" s="47">
        <v>9.2992796332678438</v>
      </c>
      <c r="D6" s="47">
        <v>10929.927963326785</v>
      </c>
      <c r="E6" s="47">
        <v>18.054615349276414</v>
      </c>
      <c r="F6" s="47">
        <v>16445.664414414416</v>
      </c>
      <c r="G6" s="47">
        <v>9.9982915343672207</v>
      </c>
      <c r="H6" s="47">
        <v>16112.260377878913</v>
      </c>
      <c r="I6" s="47">
        <v>10.396685293555862</v>
      </c>
      <c r="J6" s="47">
        <v>116830</v>
      </c>
    </row>
    <row r="7" spans="2:10" x14ac:dyDescent="0.25">
      <c r="B7" s="46" t="s">
        <v>163</v>
      </c>
      <c r="C7" s="47">
        <v>16.089016554456315</v>
      </c>
      <c r="D7" s="47">
        <v>11608.901655445632</v>
      </c>
      <c r="E7" s="47">
        <v>22.548517661344782</v>
      </c>
      <c r="F7" s="47">
        <v>18404.506946624468</v>
      </c>
      <c r="G7" s="47">
        <v>14.029472456543935</v>
      </c>
      <c r="H7" s="47">
        <v>19279.047598859353</v>
      </c>
      <c r="I7" s="47">
        <v>12.121392718621937</v>
      </c>
      <c r="J7" s="47">
        <v>263770.83081181452</v>
      </c>
    </row>
    <row r="8" spans="2:10" x14ac:dyDescent="0.25">
      <c r="B8" s="46" t="s">
        <v>164</v>
      </c>
      <c r="C8" s="47">
        <v>16.061710449343856</v>
      </c>
      <c r="D8" s="47">
        <v>11606.171044934386</v>
      </c>
      <c r="E8" s="47">
        <v>21.888816626902386</v>
      </c>
      <c r="F8" s="47">
        <v>18108.87963047763</v>
      </c>
      <c r="G8" s="47">
        <v>13.753365408579876</v>
      </c>
      <c r="H8" s="47">
        <v>19046.767079692381</v>
      </c>
      <c r="I8" s="47">
        <v>12.188074746825905</v>
      </c>
      <c r="J8" s="47">
        <v>268294.84144846373</v>
      </c>
    </row>
    <row r="9" spans="2:10" x14ac:dyDescent="0.25">
      <c r="B9" s="46" t="s">
        <v>165</v>
      </c>
      <c r="C9" s="51">
        <v>106.89</v>
      </c>
      <c r="D9" s="52"/>
      <c r="E9" s="51">
        <v>71.040000000000006</v>
      </c>
      <c r="F9" s="52"/>
      <c r="G9" s="51">
        <v>72.510000000000005</v>
      </c>
      <c r="H9" s="52"/>
      <c r="I9" s="51">
        <v>10</v>
      </c>
      <c r="J9" s="52"/>
    </row>
    <row r="11" spans="2:10" ht="15.75" x14ac:dyDescent="0.25">
      <c r="B11" s="48" t="s">
        <v>166</v>
      </c>
      <c r="C11" s="49"/>
      <c r="D11" s="49"/>
      <c r="E11" s="49"/>
      <c r="F11" s="49"/>
      <c r="G11" s="49"/>
      <c r="H11" s="49"/>
      <c r="I11" s="49"/>
      <c r="J11" s="49"/>
    </row>
    <row r="12" spans="2:10" x14ac:dyDescent="0.25">
      <c r="B12" s="43" t="s">
        <v>155</v>
      </c>
      <c r="C12" s="50" t="s">
        <v>156</v>
      </c>
      <c r="D12" s="50"/>
      <c r="E12" s="50" t="s">
        <v>157</v>
      </c>
      <c r="F12" s="50"/>
      <c r="G12" s="50" t="s">
        <v>158</v>
      </c>
      <c r="H12" s="50"/>
      <c r="I12" s="50" t="s">
        <v>159</v>
      </c>
      <c r="J12" s="50"/>
    </row>
    <row r="13" spans="2:10" ht="63.75" x14ac:dyDescent="0.25">
      <c r="B13" s="44"/>
      <c r="C13" s="45" t="s">
        <v>160</v>
      </c>
      <c r="D13" s="45" t="s">
        <v>161</v>
      </c>
      <c r="E13" s="45" t="s">
        <v>160</v>
      </c>
      <c r="F13" s="45" t="s">
        <v>161</v>
      </c>
      <c r="G13" s="45" t="s">
        <v>160</v>
      </c>
      <c r="H13" s="45" t="s">
        <v>161</v>
      </c>
      <c r="I13" s="45" t="s">
        <v>160</v>
      </c>
      <c r="J13" s="45" t="s">
        <v>161</v>
      </c>
    </row>
    <row r="14" spans="2:10" x14ac:dyDescent="0.25">
      <c r="B14" s="46" t="s">
        <v>162</v>
      </c>
      <c r="C14" s="47">
        <v>9.3949609652235644</v>
      </c>
      <c r="D14" s="47">
        <v>10939.496096522356</v>
      </c>
      <c r="E14" s="47">
        <v>18.154723139502483</v>
      </c>
      <c r="F14" s="47">
        <v>16487.498328653564</v>
      </c>
      <c r="G14" s="47">
        <v>10.180607278332609</v>
      </c>
      <c r="H14" s="47">
        <v>16246.3768115942</v>
      </c>
      <c r="I14" s="47">
        <v>9.9450968309568122</v>
      </c>
      <c r="J14" s="47">
        <v>27697.663971248876</v>
      </c>
    </row>
    <row r="15" spans="2:10" x14ac:dyDescent="0.25">
      <c r="B15" s="46" t="s">
        <v>163</v>
      </c>
      <c r="C15" s="47">
        <v>16.089016554456315</v>
      </c>
      <c r="D15" s="47">
        <v>11608.901655445632</v>
      </c>
      <c r="E15" s="47">
        <v>22.548517661344782</v>
      </c>
      <c r="F15" s="47">
        <v>18404.506946624468</v>
      </c>
      <c r="G15" s="47">
        <v>14.029472456543935</v>
      </c>
      <c r="H15" s="47">
        <v>19279.047598859353</v>
      </c>
      <c r="I15" s="47">
        <v>13.347365115628218</v>
      </c>
      <c r="J15" s="47">
        <v>38429.256685471388</v>
      </c>
    </row>
    <row r="16" spans="2:10" x14ac:dyDescent="0.25">
      <c r="B16" s="46" t="s">
        <v>164</v>
      </c>
      <c r="C16" s="47">
        <v>16.061710449343856</v>
      </c>
      <c r="D16" s="47">
        <v>11606.171044934386</v>
      </c>
      <c r="E16" s="47">
        <v>21.888816626902386</v>
      </c>
      <c r="F16" s="47">
        <v>18108.87963047763</v>
      </c>
      <c r="G16" s="47">
        <v>13.753365408579876</v>
      </c>
      <c r="H16" s="47">
        <v>19046.767079692381</v>
      </c>
      <c r="I16" s="47">
        <v>13.057595458837735</v>
      </c>
      <c r="J16" s="47">
        <v>37386.663309696094</v>
      </c>
    </row>
    <row r="17" spans="2:10" x14ac:dyDescent="0.25">
      <c r="B17" s="46" t="s">
        <v>167</v>
      </c>
      <c r="C17" s="51">
        <v>112.72</v>
      </c>
      <c r="D17" s="52"/>
      <c r="E17" s="51">
        <v>74.790000000000006</v>
      </c>
      <c r="F17" s="52"/>
      <c r="G17" s="51">
        <v>75.900000000000006</v>
      </c>
      <c r="H17" s="52"/>
      <c r="I17" s="51">
        <v>44.52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2023-10-03T07:24:31Z</dcterms:created>
  <dcterms:modified xsi:type="dcterms:W3CDTF">2023-10-09T12:35:58Z</dcterms:modified>
</cp:coreProperties>
</file>