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SEPT 2023\Portfolio\SAHU\"/>
    </mc:Choice>
  </mc:AlternateContent>
  <xr:revisionPtr revIDLastSave="0" documentId="13_ncr:1_{D2D1EF95-2145-43C4-80A9-6E2F4AEFD2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TS-Risk-O-Meter &amp; Portfolio" sheetId="1" r:id="rId1"/>
    <sheet name="TTS Performance" sheetId="2" r:id="rId2"/>
  </sheets>
  <externalReferences>
    <externalReference r:id="rId3"/>
  </externalReferences>
  <definedNames>
    <definedName name="XDO_?CLASS_3?7?">'TTS-Risk-O-Meter &amp; Portfolio'!$C$8:$C$37</definedName>
    <definedName name="XDO_?FINAL_ISIN?14?">'TTS-Risk-O-Meter &amp; Portfolio'!$D$10:$D$37</definedName>
    <definedName name="XDO_?FINAL_ISIN?15?">'TTS-Risk-O-Meter &amp; Portfolio'!$D$10:$D$76</definedName>
    <definedName name="XDO_?FINAL_ISIN?16?">'TTS-Risk-O-Meter &amp; Portfolio'!$D$10:$D$80</definedName>
    <definedName name="XDO_?FINAL_MV?14?">'TTS-Risk-O-Meter &amp; Portfolio'!$H$10:$H$37</definedName>
    <definedName name="XDO_?FINAL_MV?15?">'TTS-Risk-O-Meter &amp; Portfolio'!$H$10:$H$76</definedName>
    <definedName name="XDO_?FINAL_MV?16?">'TTS-Risk-O-Meter &amp; Portfolio'!$H$10:$H$80</definedName>
    <definedName name="XDO_?FINAL_NAME?14?">'TTS-Risk-O-Meter &amp; Portfolio'!$C$10:$C$37</definedName>
    <definedName name="XDO_?FINAL_NAME?15?">'TTS-Risk-O-Meter &amp; Portfolio'!$C$10:$C$76</definedName>
    <definedName name="XDO_?FINAL_NAME?16?">'TTS-Risk-O-Meter &amp; Portfolio'!$C$10:$C$80</definedName>
    <definedName name="XDO_?FINAL_PER_NET?14?">'TTS-Risk-O-Meter &amp; Portfolio'!$I$10:$I$37</definedName>
    <definedName name="XDO_?FINAL_PER_NET?15?">'TTS-Risk-O-Meter &amp; Portfolio'!$I$10:$I$76</definedName>
    <definedName name="XDO_?FINAL_PER_NET?16?">'TTS-Risk-O-Meter &amp; Portfolio'!$I$10:$I$80</definedName>
    <definedName name="XDO_?FINAL_QUANTITE?14?">'TTS-Risk-O-Meter &amp; Portfolio'!$G$10:$G$37</definedName>
    <definedName name="XDO_?FINAL_QUANTITE?15?">'TTS-Risk-O-Meter &amp; Portfolio'!$G$10:$G$76</definedName>
    <definedName name="XDO_?FINAL_QUANTITE?16?">'TTS-Risk-O-Meter &amp; Portfolio'!$G$10:$G$80</definedName>
    <definedName name="XDO_?IND_01?14?">'TTS-Risk-O-Meter &amp; Portfolio'!$F$10:$F$37</definedName>
    <definedName name="XDO_?IND_01?15?">'TTS-Risk-O-Meter &amp; Portfolio'!$F$10:$F$76</definedName>
    <definedName name="XDO_?IND_01?16?">'TTS-Risk-O-Meter &amp; Portfolio'!$F$10:$F$80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Portfolio'!$B$10:$B$37</definedName>
    <definedName name="XDO_?NOVAL?15?">'TTS-Risk-O-Meter &amp; Portfolio'!$B$10:$B$76</definedName>
    <definedName name="XDO_?NOVAL?16?">'TTS-Risk-O-Meter &amp; Portfolio'!$B$10:$B$80</definedName>
    <definedName name="XDO_?NPTF?7?">'TTS-Risk-O-Meter &amp; Portfolio'!$D$2:$D$37</definedName>
    <definedName name="XDO_?RATING?14?">'TTS-Risk-O-Meter &amp; Portfolio'!$E$10:$E$37</definedName>
    <definedName name="XDO_?RATING?15?">'TTS-Risk-O-Meter &amp; Portfolio'!$E$10:$E$76</definedName>
    <definedName name="XDO_?RATING?16?">'TTS-Risk-O-Meter &amp; Portfolio'!$E$10:$E$80</definedName>
    <definedName name="XDO_?REMARKS?14?">'TTS-Risk-O-Meter &amp; Portfolio'!$J$10:$J$37</definedName>
    <definedName name="XDO_?REMARKS?15?">'TTS-Risk-O-Meter &amp; Portfolio'!$J$10:$J$76</definedName>
    <definedName name="XDO_?REMARKS?16?">'TTS-Risk-O-Meter &amp; Portfolio'!$J$10:$J$80</definedName>
    <definedName name="XDO_?TITL?7?">'TTS-Risk-O-Meter &amp; Portfolio'!$A$8:$A$37</definedName>
    <definedName name="XDO_GROUP_?G_2?7?">'TTS-Risk-O-Meter &amp; Portfolio'!$2:$83</definedName>
    <definedName name="XDO_GROUP_?G_3?7?">'TTS-Risk-O-Meter &amp; Portfolio'!$8:$82</definedName>
    <definedName name="XDO_GROUP_?G_4?14?">'TTS-Risk-O-Meter &amp; Portfolio'!$B$10:$IV$37</definedName>
    <definedName name="XDO_GROUP_?G_4?15?">'TTS-Risk-O-Meter &amp; Portfolio'!$B$76:$IV$76</definedName>
    <definedName name="XDO_GROUP_?G_4?16?">'TTS-Risk-O-Meter &amp; Portfolio'!$B$80:$IV$80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 l="1"/>
</calcChain>
</file>

<file path=xl/sharedStrings.xml><?xml version="1.0" encoding="utf-8"?>
<sst xmlns="http://schemas.openxmlformats.org/spreadsheetml/2006/main" count="225" uniqueCount="161">
  <si>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</si>
  <si>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</si>
  <si>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</si>
  <si>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</si>
  <si>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</si>
  <si>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</si>
  <si>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</si>
  <si>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</si>
  <si>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</si>
  <si>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</si>
  <si>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</si>
  <si>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</si>
  <si>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</si>
  <si>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</si>
  <si>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</si>
  <si>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</si>
  <si>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</si>
  <si>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</si>
  <si>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</si>
  <si>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</si>
  <si>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</si>
  <si>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</si>
  <si>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</si>
  <si>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</si>
  <si>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</si>
  <si>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</si>
  <si>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</si>
  <si>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100147</t>
  </si>
  <si>
    <t>Tech Mahindra Ltd.</t>
  </si>
  <si>
    <t>INE669C01036</t>
  </si>
  <si>
    <t>100003</t>
  </si>
  <si>
    <t>Infosys Ltd.</t>
  </si>
  <si>
    <t>INE009A01021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</si>
  <si>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</si>
  <si>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</si>
  <si>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</si>
  <si>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</si>
  <si>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</si>
  <si>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</si>
  <si>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</si>
  <si>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100024</t>
  </si>
  <si>
    <t>Axis Bank Ltd.</t>
  </si>
  <si>
    <t>INE238A01034</t>
  </si>
  <si>
    <t>100045</t>
  </si>
  <si>
    <t>Gujarat Pipavav Port Ltd.</t>
  </si>
  <si>
    <t>INE517F01014</t>
  </si>
  <si>
    <t>Transport Infrastructure</t>
  </si>
  <si>
    <t>100172</t>
  </si>
  <si>
    <t>ACC Ltd.</t>
  </si>
  <si>
    <t>INE012A01025</t>
  </si>
  <si>
    <t>Cement &amp; Cement Products</t>
  </si>
  <si>
    <t>100474</t>
  </si>
  <si>
    <t>Narayana Hrudayalaya Ltd.</t>
  </si>
  <si>
    <t>INE410P01011</t>
  </si>
  <si>
    <t>Healthcare Services</t>
  </si>
  <si>
    <t>100263</t>
  </si>
  <si>
    <t>BEML Ltd.</t>
  </si>
  <si>
    <t>INE258A01016</t>
  </si>
  <si>
    <t>Agricultural, Commercial &amp; Construction Vehicles</t>
  </si>
  <si>
    <t>100097</t>
  </si>
  <si>
    <t>Coal India Ltd.</t>
  </si>
  <si>
    <t>INE522F01014</t>
  </si>
  <si>
    <t>Consumable Fuels</t>
  </si>
  <si>
    <t>101181</t>
  </si>
  <si>
    <t>UTI Asset Management Co. Ltd.</t>
  </si>
  <si>
    <t>INE094J01016</t>
  </si>
  <si>
    <t>Capital Markets</t>
  </si>
  <si>
    <t>100153</t>
  </si>
  <si>
    <t>Cipla Ltd.</t>
  </si>
  <si>
    <t>INE059A01026</t>
  </si>
  <si>
    <t>Pharmaceuticals &amp; Biotechnology</t>
  </si>
  <si>
    <t>100148</t>
  </si>
  <si>
    <t>Motilal Oswal Financial Services Ltd.</t>
  </si>
  <si>
    <t>INE338I01027</t>
  </si>
  <si>
    <t>101178</t>
  </si>
  <si>
    <t>Computer Age Management Services Ltd.</t>
  </si>
  <si>
    <t>INE596I01012</t>
  </si>
  <si>
    <t>100035</t>
  </si>
  <si>
    <t>NMDC Ltd.</t>
  </si>
  <si>
    <t>INE584A01023</t>
  </si>
  <si>
    <t>Minerals &amp; Mining</t>
  </si>
  <si>
    <t>100130</t>
  </si>
  <si>
    <t>Gujarat Gas Ltd.</t>
  </si>
  <si>
    <t>INE844O01030</t>
  </si>
  <si>
    <t>Gas</t>
  </si>
  <si>
    <t>100342</t>
  </si>
  <si>
    <t>Vardhman Textiles Ltd.</t>
  </si>
  <si>
    <t>INE825A01020</t>
  </si>
  <si>
    <t>Textiles &amp; Apparels</t>
  </si>
  <si>
    <t>100096</t>
  </si>
  <si>
    <t>Container Corporation of India Ltd.</t>
  </si>
  <si>
    <t>INE111A01025</t>
  </si>
  <si>
    <t>Transport Services</t>
  </si>
  <si>
    <t>100401</t>
  </si>
  <si>
    <t>Jamna Auto Industries Ltd.</t>
  </si>
  <si>
    <t>INE039C01032</t>
  </si>
  <si>
    <t>Auto Components</t>
  </si>
  <si>
    <t>100410</t>
  </si>
  <si>
    <t>Healthcare Global Enterprises Ltd.</t>
  </si>
  <si>
    <t>INE075I01017</t>
  </si>
  <si>
    <t>100080</t>
  </si>
  <si>
    <t>Dr. Reddy's Laboratories Ltd.</t>
  </si>
  <si>
    <t>INE089A01023</t>
  </si>
  <si>
    <t>100747</t>
  </si>
  <si>
    <t>Mahindra Logistics Ltd.</t>
  </si>
  <si>
    <t>INE766P01016</t>
  </si>
  <si>
    <t>100155</t>
  </si>
  <si>
    <t>Divi's Laboratories Ltd.</t>
  </si>
  <si>
    <t>INE361B01024</t>
  </si>
  <si>
    <t>100271</t>
  </si>
  <si>
    <t>Balkrishna Industries Ltd.</t>
  </si>
  <si>
    <t>INE787D01026</t>
  </si>
  <si>
    <t>100165</t>
  </si>
  <si>
    <t>Rallis India Ltd.</t>
  </si>
  <si>
    <t>INE613A01020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</si>
  <si>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</si>
  <si>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</si>
  <si>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</si>
  <si>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</si>
  <si>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</si>
  <si>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</si>
  <si>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</si>
  <si>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</si>
  <si>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</si>
  <si>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</si>
  <si>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</si>
  <si>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</si>
  <si>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</si>
  <si>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</si>
  <si>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</si>
  <si>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</si>
  <si>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</si>
  <si>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</si>
  <si>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</si>
  <si>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</si>
  <si>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</si>
  <si>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</si>
  <si>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</si>
  <si>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</si>
  <si>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</si>
  <si>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</si>
  <si>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</si>
  <si>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</si>
  <si>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</si>
  <si>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</si>
  <si>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</si>
  <si>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</si>
  <si>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</si>
  <si>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</si>
  <si>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</si>
  <si>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</si>
  <si>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</si>
  <si>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</si>
  <si>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</si>
  <si>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</si>
  <si>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</si>
  <si>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</si>
  <si>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August 31, 2023 : 134.86)</t>
  </si>
  <si>
    <t>Taurus Tax Shield - Direct Plan Growth Option</t>
  </si>
  <si>
    <t>NAV [Rs.] Per Unit (as on August 31, 2023 : 145.31)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</si>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</sst>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9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48200</v>
      </c>
      <c r="H10" s="32">
        <v>565.34</v>
      </c>
      <c r="I10" s="32">
        <v>8.65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33600</v>
      </c>
      <c r="H11" s="32">
        <v>528.17999999999995</v>
      </c>
      <c r="I11" s="32">
        <v>8.08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6000</v>
      </c>
      <c r="H12" s="32">
        <v>446.03</v>
      </c>
      <c r="I12" s="32">
        <v>6.83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31000</v>
      </c>
      <c r="H13" s="32">
        <v>372.54</v>
      </c>
      <c r="I13" s="32">
        <v>5.7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25000</v>
      </c>
      <c r="H14" s="32">
        <v>358.53</v>
      </c>
      <c r="I14" s="32">
        <v>5.49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80000</v>
      </c>
      <c r="H15" s="32">
        <v>351.72</v>
      </c>
      <c r="I15" s="32">
        <v>5.38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36000</v>
      </c>
      <c r="H16" s="32">
        <v>344.95</v>
      </c>
      <c r="I16" s="32">
        <v>5.28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22</v>
      </c>
      <c r="G17" s="31">
        <v>35000</v>
      </c>
      <c r="H17" s="32">
        <v>340.9</v>
      </c>
      <c r="I17" s="32">
        <v>5.22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240000</v>
      </c>
      <c r="H18" s="32">
        <v>311.27999999999997</v>
      </c>
      <c r="I18" s="32">
        <v>4.76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14500</v>
      </c>
      <c r="H19" s="32">
        <v>291.38</v>
      </c>
      <c r="I19" s="32">
        <v>4.46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25000</v>
      </c>
      <c r="H20" s="32">
        <v>259.91000000000003</v>
      </c>
      <c r="I20" s="32">
        <v>3.98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8562</v>
      </c>
      <c r="H21" s="32">
        <v>211.07</v>
      </c>
      <c r="I21" s="32">
        <v>3.23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80000</v>
      </c>
      <c r="H22" s="32">
        <v>184.08</v>
      </c>
      <c r="I22" s="32">
        <v>2.82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22000</v>
      </c>
      <c r="H23" s="32">
        <v>164.78</v>
      </c>
      <c r="I23" s="32">
        <v>2.52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11000</v>
      </c>
      <c r="H24" s="32">
        <v>138.29</v>
      </c>
      <c r="I24" s="32">
        <v>2.12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66</v>
      </c>
      <c r="G25" s="31">
        <v>14558</v>
      </c>
      <c r="H25" s="32">
        <v>133.75</v>
      </c>
      <c r="I25" s="32">
        <v>2.0499999999999998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66</v>
      </c>
      <c r="G26" s="31">
        <v>5500</v>
      </c>
      <c r="H26" s="32">
        <v>130.68</v>
      </c>
      <c r="I26" s="32">
        <v>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100000</v>
      </c>
      <c r="H27" s="32">
        <v>122.85</v>
      </c>
      <c r="I27" s="32">
        <v>1.88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26867</v>
      </c>
      <c r="H28" s="32">
        <v>120.75</v>
      </c>
      <c r="I28" s="32">
        <v>1.85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30000</v>
      </c>
      <c r="H29" s="32">
        <v>117.83</v>
      </c>
      <c r="I29" s="32">
        <v>1.8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15000</v>
      </c>
      <c r="H30" s="32">
        <v>100.85</v>
      </c>
      <c r="I30" s="32">
        <v>1.54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80000</v>
      </c>
      <c r="H31" s="32">
        <v>95.56</v>
      </c>
      <c r="I31" s="32">
        <v>1.46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54</v>
      </c>
      <c r="G32" s="31">
        <v>20000</v>
      </c>
      <c r="H32" s="32">
        <v>69.95</v>
      </c>
      <c r="I32" s="32">
        <v>1.07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70</v>
      </c>
      <c r="G33" s="31">
        <v>1200</v>
      </c>
      <c r="H33" s="32">
        <v>67.39</v>
      </c>
      <c r="I33" s="32">
        <v>1.03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92</v>
      </c>
      <c r="G34" s="31">
        <v>17000</v>
      </c>
      <c r="H34" s="32">
        <v>66.09</v>
      </c>
      <c r="I34" s="32">
        <v>1.01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70</v>
      </c>
      <c r="G35" s="31">
        <v>1500</v>
      </c>
      <c r="H35" s="32">
        <v>53.83</v>
      </c>
      <c r="I35" s="32">
        <v>0.82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96</v>
      </c>
      <c r="G36" s="31">
        <v>1500</v>
      </c>
      <c r="H36" s="32">
        <v>34.89</v>
      </c>
      <c r="I36" s="32">
        <v>0.53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9405</v>
      </c>
      <c r="H37" s="32">
        <v>22.09</v>
      </c>
      <c r="I37" s="32">
        <v>0.34</v>
      </c>
      <c r="J37" s="33"/>
    </row>
    <row r="38" spans="2:10" x14ac:dyDescent="0.25">
      <c r="C38" s="28" t="s">
        <v>116</v>
      </c>
      <c r="D38" s="29"/>
      <c r="E38" s="30"/>
      <c r="F38" s="30"/>
      <c r="G38" s="31"/>
      <c r="H38" s="35">
        <v>6005.49</v>
      </c>
      <c r="I38" s="35">
        <v>91.9</v>
      </c>
      <c r="J38" s="33"/>
    </row>
    <row r="39" spans="2:10" x14ac:dyDescent="0.25">
      <c r="C39" s="20"/>
      <c r="D39" s="29"/>
      <c r="E39" s="30"/>
      <c r="F39" s="30"/>
      <c r="G39" s="31"/>
      <c r="H39" s="32"/>
      <c r="I39" s="32"/>
      <c r="J39" s="33"/>
    </row>
    <row r="40" spans="2:10" x14ac:dyDescent="0.25">
      <c r="C40" s="28" t="s">
        <v>117</v>
      </c>
      <c r="D40" s="29"/>
      <c r="E40" s="30"/>
      <c r="F40" s="30"/>
      <c r="G40" s="31"/>
      <c r="H40" s="32" t="s">
        <v>118</v>
      </c>
      <c r="I40" s="32" t="s">
        <v>118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119</v>
      </c>
      <c r="D42" s="29"/>
      <c r="E42" s="30"/>
      <c r="F42" s="30"/>
      <c r="G42" s="31"/>
      <c r="H42" s="32" t="s">
        <v>118</v>
      </c>
      <c r="I42" s="32" t="s">
        <v>118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120</v>
      </c>
      <c r="D44" s="29"/>
      <c r="E44" s="30"/>
      <c r="F44" s="30"/>
      <c r="G44" s="31"/>
      <c r="H44" s="32"/>
      <c r="I44" s="32"/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121</v>
      </c>
      <c r="D46" s="29"/>
      <c r="E46" s="30"/>
      <c r="F46" s="30"/>
      <c r="G46" s="31"/>
      <c r="H46" s="32" t="s">
        <v>118</v>
      </c>
      <c r="I46" s="32" t="s">
        <v>118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122</v>
      </c>
      <c r="D48" s="29"/>
      <c r="E48" s="30"/>
      <c r="F48" s="30"/>
      <c r="G48" s="31"/>
      <c r="H48" s="32" t="s">
        <v>118</v>
      </c>
      <c r="I48" s="32" t="s">
        <v>118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123</v>
      </c>
      <c r="D50" s="29"/>
      <c r="E50" s="30"/>
      <c r="F50" s="30"/>
      <c r="G50" s="31"/>
      <c r="H50" s="32" t="s">
        <v>118</v>
      </c>
      <c r="I50" s="32" t="s">
        <v>118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124</v>
      </c>
      <c r="D52" s="29"/>
      <c r="E52" s="30"/>
      <c r="F52" s="30"/>
      <c r="G52" s="31"/>
      <c r="H52" s="32" t="s">
        <v>118</v>
      </c>
      <c r="I52" s="32" t="s">
        <v>118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125</v>
      </c>
      <c r="D54" s="29"/>
      <c r="E54" s="30"/>
      <c r="F54" s="30"/>
      <c r="G54" s="31"/>
      <c r="H54" s="32" t="s">
        <v>118</v>
      </c>
      <c r="I54" s="32" t="s">
        <v>118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126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127</v>
      </c>
      <c r="D58" s="29"/>
      <c r="E58" s="30"/>
      <c r="F58" s="30"/>
      <c r="G58" s="31"/>
      <c r="H58" s="32" t="s">
        <v>118</v>
      </c>
      <c r="I58" s="32" t="s">
        <v>118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128</v>
      </c>
      <c r="D60" s="29"/>
      <c r="E60" s="30"/>
      <c r="F60" s="30"/>
      <c r="G60" s="31"/>
      <c r="H60" s="32" t="s">
        <v>118</v>
      </c>
      <c r="I60" s="32" t="s">
        <v>118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129</v>
      </c>
      <c r="D62" s="29"/>
      <c r="E62" s="30"/>
      <c r="F62" s="30"/>
      <c r="G62" s="31"/>
      <c r="H62" s="32" t="s">
        <v>118</v>
      </c>
      <c r="I62" s="32" t="s">
        <v>118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130</v>
      </c>
      <c r="D64" s="29"/>
      <c r="E64" s="30"/>
      <c r="F64" s="30"/>
      <c r="G64" s="31"/>
      <c r="H64" s="32" t="s">
        <v>118</v>
      </c>
      <c r="I64" s="32" t="s">
        <v>118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A66" s="26"/>
      <c r="B66" s="27"/>
      <c r="C66" s="28" t="s">
        <v>131</v>
      </c>
      <c r="D66" s="29"/>
      <c r="E66" s="30"/>
      <c r="F66" s="30"/>
      <c r="G66" s="31"/>
      <c r="H66" s="32"/>
      <c r="I66" s="32"/>
      <c r="J66" s="33"/>
    </row>
    <row r="67" spans="1:10" x14ac:dyDescent="0.25">
      <c r="A67" s="27"/>
      <c r="B67" s="27"/>
      <c r="C67" s="28" t="s">
        <v>132</v>
      </c>
      <c r="D67" s="29"/>
      <c r="E67" s="30"/>
      <c r="F67" s="30"/>
      <c r="G67" s="31"/>
      <c r="H67" s="32" t="s">
        <v>118</v>
      </c>
      <c r="I67" s="32" t="s">
        <v>118</v>
      </c>
      <c r="J67" s="33"/>
    </row>
    <row r="68" spans="1:10" x14ac:dyDescent="0.25">
      <c r="A68" s="27"/>
      <c r="B68" s="27"/>
      <c r="C68" s="28"/>
      <c r="D68" s="29"/>
      <c r="E68" s="30"/>
      <c r="F68" s="30"/>
      <c r="G68" s="31"/>
      <c r="H68" s="32"/>
      <c r="I68" s="32"/>
      <c r="J68" s="33"/>
    </row>
    <row r="69" spans="1:10" x14ac:dyDescent="0.25">
      <c r="A69" s="27"/>
      <c r="B69" s="27"/>
      <c r="C69" s="28" t="s">
        <v>133</v>
      </c>
      <c r="D69" s="29"/>
      <c r="E69" s="30"/>
      <c r="F69" s="30"/>
      <c r="G69" s="31"/>
      <c r="H69" s="32" t="s">
        <v>118</v>
      </c>
      <c r="I69" s="32" t="s">
        <v>118</v>
      </c>
      <c r="J69" s="33"/>
    </row>
    <row r="70" spans="1:10" x14ac:dyDescent="0.25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134</v>
      </c>
      <c r="D71" s="29"/>
      <c r="E71" s="30"/>
      <c r="F71" s="30"/>
      <c r="G71" s="31"/>
      <c r="H71" s="32" t="s">
        <v>118</v>
      </c>
      <c r="I71" s="32" t="s">
        <v>118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135</v>
      </c>
      <c r="D73" s="29"/>
      <c r="E73" s="30"/>
      <c r="F73" s="30"/>
      <c r="G73" s="31"/>
      <c r="H73" s="32" t="s">
        <v>118</v>
      </c>
      <c r="I73" s="32" t="s">
        <v>118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C75" s="34" t="s">
        <v>136</v>
      </c>
      <c r="D75" s="29"/>
      <c r="E75" s="30"/>
      <c r="F75" s="30"/>
      <c r="G75" s="31"/>
      <c r="H75" s="32"/>
      <c r="I75" s="32"/>
      <c r="J75" s="33"/>
    </row>
    <row r="76" spans="1:10" x14ac:dyDescent="0.25">
      <c r="B76" s="1" t="s">
        <v>137</v>
      </c>
      <c r="C76" s="20" t="s">
        <v>138</v>
      </c>
      <c r="D76" s="29"/>
      <c r="E76" s="30"/>
      <c r="F76" s="30"/>
      <c r="G76" s="31"/>
      <c r="H76" s="32">
        <v>400</v>
      </c>
      <c r="I76" s="32">
        <v>6.12</v>
      </c>
      <c r="J76" s="33"/>
    </row>
    <row r="77" spans="1:10" x14ac:dyDescent="0.25">
      <c r="C77" s="28" t="s">
        <v>116</v>
      </c>
      <c r="D77" s="29"/>
      <c r="E77" s="30"/>
      <c r="F77" s="30"/>
      <c r="G77" s="31"/>
      <c r="H77" s="35">
        <v>400</v>
      </c>
      <c r="I77" s="35">
        <v>6.12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x14ac:dyDescent="0.25">
      <c r="A79" s="26"/>
      <c r="B79" s="27"/>
      <c r="C79" s="28" t="s">
        <v>139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/>
      <c r="C80" s="20" t="s">
        <v>140</v>
      </c>
      <c r="D80" s="29"/>
      <c r="E80" s="30"/>
      <c r="F80" s="30"/>
      <c r="G80" s="31"/>
      <c r="H80" s="32">
        <v>127.59</v>
      </c>
      <c r="I80" s="32">
        <v>1.98</v>
      </c>
      <c r="J80" s="33"/>
    </row>
    <row r="81" spans="3:10" x14ac:dyDescent="0.25">
      <c r="C81" s="28" t="s">
        <v>116</v>
      </c>
      <c r="D81" s="29"/>
      <c r="E81" s="30"/>
      <c r="F81" s="30"/>
      <c r="G81" s="31"/>
      <c r="H81" s="35">
        <v>127.59</v>
      </c>
      <c r="I81" s="35">
        <v>1.98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ht="14.25" thickBot="1" x14ac:dyDescent="0.3">
      <c r="C83" s="36" t="s">
        <v>141</v>
      </c>
      <c r="D83" s="37"/>
      <c r="E83" s="38"/>
      <c r="F83" s="39"/>
      <c r="G83" s="40"/>
      <c r="H83" s="41">
        <v>6533.08</v>
      </c>
      <c r="I83" s="41">
        <f>SUMIFS(I:I,C:C,"Total")</f>
        <v>100.00000000000001</v>
      </c>
      <c r="J83" s="42"/>
    </row>
    <row r="86" spans="3:10" x14ac:dyDescent="0.25">
      <c r="C86" s="11" t="s">
        <v>142</v>
      </c>
    </row>
    <row r="87" spans="3:10" x14ac:dyDescent="0.25">
      <c r="C87" s="2" t="s">
        <v>143</v>
      </c>
    </row>
    <row r="88" spans="3:10" x14ac:dyDescent="0.25">
      <c r="C88" s="2" t="s">
        <v>144</v>
      </c>
    </row>
    <row r="89" spans="3:10" x14ac:dyDescent="0.25">
      <c r="C89" s="2" t="s">
        <v>145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20"/>
  <sheetViews>
    <sheetView workbookViewId="0">
      <selection activeCell="N9" sqref="N9"/>
    </sheetView>
  </sheetViews>
  <sheetFormatPr defaultRowHeight="15" x14ac:dyDescent="0.25"/>
  <cols>
    <col min="2" max="2" width="45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 x14ac:dyDescent="0.25">
      <c r="B4" s="43" t="s">
        <v>146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147</v>
      </c>
      <c r="C5" s="50" t="s">
        <v>148</v>
      </c>
      <c r="D5" s="50"/>
      <c r="E5" s="50" t="s">
        <v>149</v>
      </c>
      <c r="F5" s="50"/>
      <c r="G5" s="50" t="s">
        <v>150</v>
      </c>
      <c r="H5" s="50"/>
      <c r="I5" s="50" t="s">
        <v>151</v>
      </c>
      <c r="J5" s="50"/>
    </row>
    <row r="6" spans="2:10" ht="63.75" x14ac:dyDescent="0.25">
      <c r="B6" s="46"/>
      <c r="C6" s="47" t="s">
        <v>152</v>
      </c>
      <c r="D6" s="47" t="s">
        <v>153</v>
      </c>
      <c r="E6" s="47" t="s">
        <v>152</v>
      </c>
      <c r="F6" s="47" t="s">
        <v>153</v>
      </c>
      <c r="G6" s="47" t="s">
        <v>152</v>
      </c>
      <c r="H6" s="47" t="s">
        <v>153</v>
      </c>
      <c r="I6" s="47" t="s">
        <v>152</v>
      </c>
      <c r="J6" s="47" t="s">
        <v>153</v>
      </c>
    </row>
    <row r="7" spans="2:10" x14ac:dyDescent="0.25">
      <c r="B7" s="48" t="s">
        <v>154</v>
      </c>
      <c r="C7" s="49">
        <v>19.784339321268064</v>
      </c>
      <c r="D7" s="49">
        <v>11984.359726295212</v>
      </c>
      <c r="E7" s="49">
        <v>20.197450611635027</v>
      </c>
      <c r="F7" s="49">
        <v>17365.43909348442</v>
      </c>
      <c r="G7" s="49">
        <v>10.210161104590988</v>
      </c>
      <c r="H7" s="49">
        <v>16263.868789194406</v>
      </c>
      <c r="I7" s="49">
        <v>11.632787542928025</v>
      </c>
      <c r="J7" s="49">
        <v>134860</v>
      </c>
    </row>
    <row r="8" spans="2:10" x14ac:dyDescent="0.25">
      <c r="B8" s="48" t="s">
        <v>155</v>
      </c>
      <c r="C8" s="49">
        <v>11.311356094296166</v>
      </c>
      <c r="D8" s="49">
        <v>11131.135609429617</v>
      </c>
      <c r="E8" s="49">
        <v>23.30913957169227</v>
      </c>
      <c r="F8" s="49">
        <v>18749.332116084195</v>
      </c>
      <c r="G8" s="49">
        <v>12.550346968679582</v>
      </c>
      <c r="H8" s="49">
        <v>18060.683869010962</v>
      </c>
      <c r="I8" s="49">
        <v>0</v>
      </c>
      <c r="J8" s="49">
        <v>0</v>
      </c>
    </row>
    <row r="9" spans="2:10" x14ac:dyDescent="0.25">
      <c r="B9" s="48" t="s">
        <v>156</v>
      </c>
      <c r="C9" s="49">
        <v>9.5015556201178519</v>
      </c>
      <c r="D9" s="49">
        <v>10950.155562011785</v>
      </c>
      <c r="E9" s="49">
        <v>20.579901791269894</v>
      </c>
      <c r="F9" s="49">
        <v>17531.730153872704</v>
      </c>
      <c r="G9" s="49">
        <v>11.829978219909387</v>
      </c>
      <c r="H9" s="49">
        <v>17490.056062883898</v>
      </c>
      <c r="I9" s="49">
        <v>12.777887285820789</v>
      </c>
      <c r="J9" s="49">
        <v>270892.12805476272</v>
      </c>
    </row>
    <row r="10" spans="2:10" x14ac:dyDescent="0.25">
      <c r="B10" s="48" t="s">
        <v>157</v>
      </c>
      <c r="C10" s="51">
        <v>112.53</v>
      </c>
      <c r="D10" s="52"/>
      <c r="E10" s="51">
        <v>77.66</v>
      </c>
      <c r="F10" s="52"/>
      <c r="G10" s="51">
        <v>82.92</v>
      </c>
      <c r="H10" s="52"/>
      <c r="I10" s="51">
        <v>10</v>
      </c>
      <c r="J10" s="52"/>
    </row>
    <row r="12" spans="2:10" ht="15.75" x14ac:dyDescent="0.25">
      <c r="B12" s="43" t="s">
        <v>158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147</v>
      </c>
      <c r="C13" s="50" t="s">
        <v>148</v>
      </c>
      <c r="D13" s="50"/>
      <c r="E13" s="50" t="s">
        <v>149</v>
      </c>
      <c r="F13" s="50"/>
      <c r="G13" s="50" t="s">
        <v>150</v>
      </c>
      <c r="H13" s="50"/>
      <c r="I13" s="50" t="s">
        <v>151</v>
      </c>
      <c r="J13" s="50"/>
    </row>
    <row r="14" spans="2:10" ht="63.75" x14ac:dyDescent="0.25">
      <c r="B14" s="46"/>
      <c r="C14" s="47" t="s">
        <v>152</v>
      </c>
      <c r="D14" s="47" t="s">
        <v>153</v>
      </c>
      <c r="E14" s="47" t="s">
        <v>152</v>
      </c>
      <c r="F14" s="47" t="s">
        <v>153</v>
      </c>
      <c r="G14" s="47" t="s">
        <v>152</v>
      </c>
      <c r="H14" s="47" t="s">
        <v>153</v>
      </c>
      <c r="I14" s="47" t="s">
        <v>152</v>
      </c>
      <c r="J14" s="47" t="s">
        <v>153</v>
      </c>
    </row>
    <row r="15" spans="2:10" x14ac:dyDescent="0.25">
      <c r="B15" s="48" t="s">
        <v>154</v>
      </c>
      <c r="C15" s="49">
        <v>20.617384128806538</v>
      </c>
      <c r="D15" s="49">
        <v>12067.934556930488</v>
      </c>
      <c r="E15" s="49">
        <v>20.996905605411808</v>
      </c>
      <c r="F15" s="49">
        <v>17714.250883822991</v>
      </c>
      <c r="G15" s="49">
        <v>10.987074240910854</v>
      </c>
      <c r="H15" s="49">
        <v>16845.583120797586</v>
      </c>
      <c r="I15" s="49">
        <v>13.205779219418057</v>
      </c>
      <c r="J15" s="49">
        <v>37557.508400103383</v>
      </c>
    </row>
    <row r="16" spans="2:10" x14ac:dyDescent="0.25">
      <c r="B16" s="48" t="s">
        <v>155</v>
      </c>
      <c r="C16" s="49">
        <v>11.311356094296166</v>
      </c>
      <c r="D16" s="49">
        <v>11131.135609429617</v>
      </c>
      <c r="E16" s="49">
        <v>23.30913957169227</v>
      </c>
      <c r="F16" s="49">
        <v>18749.332116084195</v>
      </c>
      <c r="G16" s="49">
        <v>12.550346968679582</v>
      </c>
      <c r="H16" s="49">
        <v>18060.683869010962</v>
      </c>
      <c r="I16" s="49">
        <v>14.001158965494543</v>
      </c>
      <c r="J16" s="49">
        <v>40470.271690930698</v>
      </c>
    </row>
    <row r="17" spans="2:10" x14ac:dyDescent="0.25">
      <c r="B17" s="48" t="s">
        <v>156</v>
      </c>
      <c r="C17" s="49">
        <v>9.5015556201178519</v>
      </c>
      <c r="D17" s="49">
        <v>10950.155562011785</v>
      </c>
      <c r="E17" s="49">
        <v>20.579901791269894</v>
      </c>
      <c r="F17" s="49">
        <v>17531.730153872704</v>
      </c>
      <c r="G17" s="49">
        <v>11.829978219909387</v>
      </c>
      <c r="H17" s="49">
        <v>17490.056062883898</v>
      </c>
      <c r="I17" s="49">
        <v>13.023103701596806</v>
      </c>
      <c r="J17" s="49">
        <v>36915.964563275607</v>
      </c>
    </row>
    <row r="18" spans="2:10" x14ac:dyDescent="0.25">
      <c r="B18" s="48" t="s">
        <v>159</v>
      </c>
      <c r="C18" s="51">
        <v>120.41</v>
      </c>
      <c r="D18" s="52"/>
      <c r="E18" s="51">
        <v>82.03</v>
      </c>
      <c r="F18" s="52"/>
      <c r="G18" s="51">
        <v>86.26</v>
      </c>
      <c r="H18" s="52"/>
      <c r="I18" s="51">
        <v>38.69</v>
      </c>
      <c r="J18" s="52"/>
    </row>
    <row r="20" spans="2:10" x14ac:dyDescent="0.25">
      <c r="B20" t="s">
        <v>160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TTS-Risk-O-Meter &amp; Portfolio</vt:lpstr>
      <vt:lpstr>TTS Performance</vt:lpstr>
      <vt:lpstr>XDO_?CLASS_3?7?</vt:lpstr>
      <vt:lpstr>XDO_?FINAL_ISIN?14?</vt:lpstr>
      <vt:lpstr>XDO_?FINAL_ISIN?15?</vt:lpstr>
      <vt:lpstr>XDO_?FINAL_ISIN?16?</vt:lpstr>
      <vt:lpstr>XDO_?FINAL_MV?14?</vt:lpstr>
      <vt:lpstr>XDO_?FINAL_MV?15?</vt:lpstr>
      <vt:lpstr>XDO_?FINAL_MV?16?</vt:lpstr>
      <vt:lpstr>XDO_?FINAL_NAME?14?</vt:lpstr>
      <vt:lpstr>XDO_?FINAL_NAME?15?</vt:lpstr>
      <vt:lpstr>XDO_?FINAL_NAME?16?</vt:lpstr>
      <vt:lpstr>XDO_?FINAL_PER_NET?14?</vt:lpstr>
      <vt:lpstr>XDO_?FINAL_PER_NET?15?</vt:lpstr>
      <vt:lpstr>XDO_?FINAL_PER_NET?16?</vt:lpstr>
      <vt:lpstr>XDO_?FINAL_QUANTITE?14?</vt:lpstr>
      <vt:lpstr>XDO_?FINAL_QUANTITE?15?</vt:lpstr>
      <vt:lpstr>XDO_?FINAL_QUANTITE?16?</vt:lpstr>
      <vt:lpstr>XDO_?IND_01?14?</vt:lpstr>
      <vt:lpstr>XDO_?IND_01?15?</vt:lpstr>
      <vt:lpstr>XDO_?IND_01?16?</vt:lpstr>
      <vt:lpstr>XDO_?NAMCNAME?7?</vt:lpstr>
      <vt:lpstr>XDO_?NOVAL?14?</vt:lpstr>
      <vt:lpstr>XDO_?NOVAL?15?</vt:lpstr>
      <vt:lpstr>XDO_?NOVAL?16?</vt:lpstr>
      <vt:lpstr>XDO_?NPTF?7?</vt:lpstr>
      <vt:lpstr>XDO_?RATING?14?</vt:lpstr>
      <vt:lpstr>XDO_?RATING?15?</vt:lpstr>
      <vt:lpstr>XDO_?RATING?16?</vt:lpstr>
      <vt:lpstr>XDO_?REMARKS?14?</vt:lpstr>
      <vt:lpstr>XDO_?REMARKS?15?</vt:lpstr>
      <vt:lpstr>XDO_?REMARKS?16?</vt:lpstr>
      <vt:lpstr>XDO_?TITL?7?</vt:lpstr>
      <vt:lpstr>XDO_GROUP_?G_2?7?</vt:lpstr>
      <vt:lpstr>XDO_GROUP_?G_3?7?</vt:lpstr>
      <vt:lpstr>XDO_GROUP_?G_4?14?</vt:lpstr>
      <vt:lpstr>XDO_GROUP_?G_4?15?</vt:lpstr>
      <vt:lpstr>XDO_GROUP_?G_4?16?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Madhura Shinde</cp:lastModifiedBy>
  <dcterms:created xsi:type="dcterms:W3CDTF">2023-09-02T11:45:20Z</dcterms:created>
  <dcterms:modified xsi:type="dcterms:W3CDTF">2023-09-08T09:57:45Z</dcterms:modified>
</cp:coreProperties>
</file>