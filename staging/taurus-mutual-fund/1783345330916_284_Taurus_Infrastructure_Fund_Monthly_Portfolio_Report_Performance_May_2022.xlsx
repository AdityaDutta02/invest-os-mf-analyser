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0736" windowHeight="11160"/>
  </bookViews>
  <sheets>
    <sheet name="TISF-Risk-O-Meter &amp; Performance" sheetId="1" r:id="rId1"/>
    <sheet name="TISF-Portfolio" sheetId="2" r:id="rId2"/>
  </sheets>
  <externalReferences>
    <externalReference r:id="rId3"/>
  </externalReferences>
  <definedNames>
    <definedName name="XDO_?CLASS_3?4?">'TISF-Risk-O-Meter &amp; Performance'!$C$8:$C$53</definedName>
    <definedName name="XDO_?FINAL_ISIN?7?">'TISF-Risk-O-Meter &amp; Performance'!$D$10:$D$53</definedName>
    <definedName name="XDO_?FINAL_ISIN?8?">'TISF-Risk-O-Meter &amp; Performance'!$D$10:$D$95</definedName>
    <definedName name="XDO_?FINAL_MV?7?">'TISF-Risk-O-Meter &amp; Performance'!$H$10:$H$53</definedName>
    <definedName name="XDO_?FINAL_MV?8?">'TISF-Risk-O-Meter &amp; Performance'!$H$10:$H$95</definedName>
    <definedName name="XDO_?FINAL_NAME?7?">'TISF-Risk-O-Meter &amp; Performance'!$C$10:$C$53</definedName>
    <definedName name="XDO_?FINAL_NAME?8?">'TISF-Risk-O-Meter &amp; Performance'!$C$10:$C$95</definedName>
    <definedName name="XDO_?FINAL_PER_NET?7?">'TISF-Risk-O-Meter &amp; Performance'!$I$10:$I$53</definedName>
    <definedName name="XDO_?FINAL_PER_NET?8?">'TISF-Risk-O-Meter &amp; Performance'!$I$10:$I$95</definedName>
    <definedName name="XDO_?FINAL_QUANTITE?7?">'TISF-Risk-O-Meter &amp; Performance'!$G$10:$G$53</definedName>
    <definedName name="XDO_?FINAL_QUANTITE?8?">'TISF-Risk-O-Meter &amp; Performance'!$G$10:$G$95</definedName>
    <definedName name="XDO_?IND_01?7?">'TISF-Risk-O-Meter &amp; Performance'!$F$10:$F$53</definedName>
    <definedName name="XDO_?IND_01?8?">'TISF-Risk-O-Meter &amp; Performance'!$F$10:$F$95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'TISF-Risk-O-Meter &amp; Performance'!#REF!</definedName>
    <definedName name="XDO_?NAMC?5?">[1]TNI!#REF!</definedName>
    <definedName name="XDO_?NAMC?6?">[1]TSS!#REF!</definedName>
    <definedName name="XDO_?NAMC?7?">[1]TTS!#REF!</definedName>
    <definedName name="XDO_?NAMCNAME?4?">'TISF-Risk-O-Meter &amp; Performance'!$C$2:$C$53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'TISF-Risk-O-Meter &amp; Performance'!#REF!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'TISF-Risk-O-Meter &amp; Performance'!#REF!</definedName>
    <definedName name="XDO_?NNPTF?5?">[1]TNI!#REF!</definedName>
    <definedName name="XDO_?NNPTF?6?">[1]TSS!#REF!</definedName>
    <definedName name="XDO_?NNPTF?7?">[1]TTS!#REF!</definedName>
    <definedName name="XDO_?NOVAL?7?">'TISF-Risk-O-Meter &amp; Performance'!$B$10:$B$53</definedName>
    <definedName name="XDO_?NOVAL?8?">'TISF-Risk-O-Meter &amp; Performance'!$B$10:$B$95</definedName>
    <definedName name="XDO_?NPTF?4?">'TISF-Risk-O-Meter &amp; Performance'!$D$2:$D$53</definedName>
    <definedName name="XDO_?RATING?7?">'TISF-Risk-O-Meter &amp; Performance'!$E$10:$E$53</definedName>
    <definedName name="XDO_?RATING?8?">'TISF-Risk-O-Meter &amp; Performance'!$E$10:$E$95</definedName>
    <definedName name="XDO_?REMARKS?7?">'TISF-Risk-O-Meter &amp; Performance'!$J$10:$J$53</definedName>
    <definedName name="XDO_?REMARKS?8?">'TISF-Risk-O-Meter &amp; Performance'!$J$10:$J$95</definedName>
    <definedName name="XDO_?TITL?4?">'TISF-Risk-O-Meter &amp; Performance'!$A$8:$A$53</definedName>
    <definedName name="XDO_GROUP_?G_2?4?">'TISF-Risk-O-Meter &amp; Performance'!$2:$98</definedName>
    <definedName name="XDO_GROUP_?G_3?4?">'TISF-Risk-O-Meter &amp; Performance'!$8:$97</definedName>
    <definedName name="XDO_GROUP_?G_4?7?">'TISF-Risk-O-Meter &amp; Performance'!$B$10:$IV$53</definedName>
    <definedName name="XDO_GROUP_?G_4?8?">'TISF-Risk-O-Meter &amp; Performance'!$B$95:$IV$95</definedName>
  </definedName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98" i="1"/>
</calcChain>
</file>

<file path=xl/sharedStrings.xml><?xml version="1.0" encoding="utf-8"?>
<sst xmlns="http://schemas.openxmlformats.org/spreadsheetml/2006/main" count="287" uniqueCount="215">
  <si>
    <t>TAURUS MUTUAL FUND</t>
  </si>
  <si>
    <t>TISF</t>
  </si>
  <si>
    <t>SCHEME NAME :</t>
  </si>
  <si>
    <t>Taurus Infrastructure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</si>
  <si>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</si>
  <si>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</si>
  <si>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</si>
  <si>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</si>
  <si>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</si>
  <si>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</si>
  <si>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</si>
  <si>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</si>
  <si>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</si>
  <si>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</si>
  <si>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</si>
  <si>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100002</t>
  </si>
  <si>
    <t>Reliance Industries Ltd.</t>
  </si>
  <si>
    <t>INE002A01018</t>
  </si>
  <si>
    <t>Petroleum Products</t>
  </si>
  <si>
    <t>100108</t>
  </si>
  <si>
    <t>Adani Ports and Special Economic Zone Ltd.</t>
  </si>
  <si>
    <t>INE742F01042</t>
  </si>
  <si>
    <t>Transport Infrastructure</t>
  </si>
  <si>
    <t>100005</t>
  </si>
  <si>
    <t>Larsen &amp; Toubro Ltd.</t>
  </si>
  <si>
    <t>INE018A01030</t>
  </si>
  <si>
    <t>Construction</t>
  </si>
  <si>
    <t>100095</t>
  </si>
  <si>
    <t>Bharti Airtel Ltd.</t>
  </si>
  <si>
    <t>INE397D01024</t>
  </si>
  <si>
    <t>Telecom - Services</t>
  </si>
  <si>
    <t>100161</t>
  </si>
  <si>
    <t>Cummins India Ltd.</t>
  </si>
  <si>
    <t>INE298A01020</t>
  </si>
  <si>
    <t>Industrial Products</t>
  </si>
  <si>
    <t>100302</t>
  </si>
  <si>
    <t>DLF Ltd.</t>
  </si>
  <si>
    <t>INE271C01023</t>
  </si>
  <si>
    <t>Realty</t>
  </si>
  <si>
    <t>100082</t>
  </si>
  <si>
    <t>Ultratech Cement Ltd.</t>
  </si>
  <si>
    <t>INE481G01011</t>
  </si>
  <si>
    <t>Cement &amp; Cement Products</t>
  </si>
  <si>
    <t>100654</t>
  </si>
  <si>
    <t>Automotive Axles Ltd.</t>
  </si>
  <si>
    <t>INE449A01011</t>
  </si>
  <si>
    <t>Auto Components</t>
  </si>
  <si>
    <t>100816</t>
  </si>
  <si>
    <t>APL Apollo Tubes Ltd.</t>
  </si>
  <si>
    <t>INE702C01027</t>
  </si>
  <si>
    <t>100115</t>
  </si>
  <si>
    <t>Siemens Ltd.</t>
  </si>
  <si>
    <t>INE003A01024</t>
  </si>
  <si>
    <t>Electrical Equipment</t>
  </si>
  <si>
    <t>100423</t>
  </si>
  <si>
    <t>Maharashtra Seamless Ltd.</t>
  </si>
  <si>
    <t>INE271B01025</t>
  </si>
  <si>
    <t>100374</t>
  </si>
  <si>
    <t>CESC Ltd.</t>
  </si>
  <si>
    <t>INE486A01021</t>
  </si>
  <si>
    <t>Power</t>
  </si>
  <si>
    <t>100183</t>
  </si>
  <si>
    <t>Vedanta Ltd.</t>
  </si>
  <si>
    <t>INE205A01025</t>
  </si>
  <si>
    <t>Diversified Metals</t>
  </si>
  <si>
    <t>100315</t>
  </si>
  <si>
    <t>Prestige Estates Projects Ltd.</t>
  </si>
  <si>
    <t>INE811K01011</t>
  </si>
  <si>
    <t>101152</t>
  </si>
  <si>
    <t>Sumitomo Chemical India Ltd.</t>
  </si>
  <si>
    <t>INE258G01013</t>
  </si>
  <si>
    <t>Fertilizers &amp; Agrochemicals</t>
  </si>
  <si>
    <t>100014</t>
  </si>
  <si>
    <t>Mahindra &amp; Mahindra Ltd.</t>
  </si>
  <si>
    <t>INE101A01026</t>
  </si>
  <si>
    <t>Automobiles</t>
  </si>
  <si>
    <t>101412</t>
  </si>
  <si>
    <t>Punjab Chemicals &amp; Crop Protection Ltd.</t>
  </si>
  <si>
    <t>INE277B01014</t>
  </si>
  <si>
    <t>100553</t>
  </si>
  <si>
    <t>Kennametal India Ltd.</t>
  </si>
  <si>
    <t>INE717A01029</t>
  </si>
  <si>
    <t>Industrial Manufacturing</t>
  </si>
  <si>
    <t>101348</t>
  </si>
  <si>
    <t>Ami Organics Ltd.</t>
  </si>
  <si>
    <t>INE00FF01017</t>
  </si>
  <si>
    <t>Pharmaceuticals &amp; Biotechnology</t>
  </si>
  <si>
    <t>100446</t>
  </si>
  <si>
    <t>V.S.T Tillers Tractors Ltd.</t>
  </si>
  <si>
    <t>INE764D01017</t>
  </si>
  <si>
    <t>Agricultural, Commercial &amp; Construction Vehicles</t>
  </si>
  <si>
    <t>100406</t>
  </si>
  <si>
    <t>KSB Ltd.</t>
  </si>
  <si>
    <t>INE999A01015</t>
  </si>
  <si>
    <t>101415</t>
  </si>
  <si>
    <t>HINDUSTAN OIL EXPLORATION CO.LTD.</t>
  </si>
  <si>
    <t>INE345A01011</t>
  </si>
  <si>
    <t>Oil</t>
  </si>
  <si>
    <t>100193</t>
  </si>
  <si>
    <t>JSW Steel Ltd.</t>
  </si>
  <si>
    <t>INE019A01038</t>
  </si>
  <si>
    <t>Ferrous Metals</t>
  </si>
  <si>
    <t>100282</t>
  </si>
  <si>
    <t>Blue Star Ltd.</t>
  </si>
  <si>
    <t>INE472A01039</t>
  </si>
  <si>
    <t>Consumer Durables</t>
  </si>
  <si>
    <t>100843</t>
  </si>
  <si>
    <t>Dalmia Bharat Ltd.</t>
  </si>
  <si>
    <t>INE00R701025</t>
  </si>
  <si>
    <t>100571</t>
  </si>
  <si>
    <t>KNR Constructions Ltd.</t>
  </si>
  <si>
    <t>INE634I01029</t>
  </si>
  <si>
    <t>100399</t>
  </si>
  <si>
    <t>Cholamandalam Investment &amp; Finance Co. Ltd.</t>
  </si>
  <si>
    <t>INE121A01024</t>
  </si>
  <si>
    <t>Finance</t>
  </si>
  <si>
    <t>100747</t>
  </si>
  <si>
    <t>Mahindra Logistics Ltd.</t>
  </si>
  <si>
    <t>INE766P01016</t>
  </si>
  <si>
    <t>Transport Services</t>
  </si>
  <si>
    <t>100035</t>
  </si>
  <si>
    <t>NMDC Ltd.</t>
  </si>
  <si>
    <t>INE584A01023</t>
  </si>
  <si>
    <t>Minerals &amp; Mining</t>
  </si>
  <si>
    <t>100271</t>
  </si>
  <si>
    <t>Balkrishna Industries Ltd.</t>
  </si>
  <si>
    <t>INE787D01026</t>
  </si>
  <si>
    <t>101102</t>
  </si>
  <si>
    <t>ESAB India Ltd.</t>
  </si>
  <si>
    <t>INE284A01012</t>
  </si>
  <si>
    <t>100229</t>
  </si>
  <si>
    <t>NCC Ltd.</t>
  </si>
  <si>
    <t>INE868B01028</t>
  </si>
  <si>
    <t>100392</t>
  </si>
  <si>
    <t>Gujarat Narmada Valley Fertilizers &amp; Chemicals Ltd.</t>
  </si>
  <si>
    <t>INE113A01013</t>
  </si>
  <si>
    <t>Chemicals &amp; Petrochemicals</t>
  </si>
  <si>
    <t>100560</t>
  </si>
  <si>
    <t>NESCO Ltd.</t>
  </si>
  <si>
    <t>INE317F01035</t>
  </si>
  <si>
    <t>Commercial Services &amp; Supplies</t>
  </si>
  <si>
    <t>101564</t>
  </si>
  <si>
    <t>Borosil Renewables Ltd.</t>
  </si>
  <si>
    <t>INE666D01022</t>
  </si>
  <si>
    <t>100143</t>
  </si>
  <si>
    <t>Thermax Ltd.</t>
  </si>
  <si>
    <t>INE152A01029</t>
  </si>
  <si>
    <t>100314</t>
  </si>
  <si>
    <t>SRF Ltd.</t>
  </si>
  <si>
    <t>INE647A01010</t>
  </si>
  <si>
    <t>100281</t>
  </si>
  <si>
    <t>Century Textiles &amp; Industries Ltd.</t>
  </si>
  <si>
    <t>INE055A01016</t>
  </si>
  <si>
    <t>Paper, Forest &amp; Jute Products</t>
  </si>
  <si>
    <t>100718</t>
  </si>
  <si>
    <t>Network18 Media &amp; Investments Ltd.</t>
  </si>
  <si>
    <t>INE870H01013</t>
  </si>
  <si>
    <t>Entertainment</t>
  </si>
  <si>
    <t>100896</t>
  </si>
  <si>
    <t>Polycab India Ltd.</t>
  </si>
  <si>
    <t>INE455K01017</t>
  </si>
  <si>
    <t>100461</t>
  </si>
  <si>
    <t>Astral Limited</t>
  </si>
  <si>
    <t>INE006I01046</t>
  </si>
  <si>
    <t>100016</t>
  </si>
  <si>
    <t>Gujarat Mineral Development Corporation Ltd.</t>
  </si>
  <si>
    <t>INE131A01031</t>
  </si>
  <si>
    <t>100273</t>
  </si>
  <si>
    <t>Havells India Ltd.</t>
  </si>
  <si>
    <t>INE176B01034</t>
  </si>
  <si>
    <t>100335</t>
  </si>
  <si>
    <t>Kajaria Ceramics Ltd.</t>
  </si>
  <si>
    <t>INE217B01036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</si>
  <si>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</si>
  <si>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</si>
  <si>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</si>
  <si>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</si>
  <si>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</si>
  <si>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</si>
  <si>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</si>
  <si>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</si>
  <si>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</si>
  <si>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</si>
  <si>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</si>
  <si>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</si>
  <si>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</si>
  <si>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</si>
  <si>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</si>
  <si>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</si>
  <si>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</si>
  <si>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</si>
  <si>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</si>
  <si>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</si>
  <si>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</si>
  <si>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</si>
  <si>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</si>
  <si>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</si>
  <si>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</si>
  <si>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</si>
  <si>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</si>
  <si>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</si>
  <si>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Infrastructure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</si>
  <si>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</si>
  <si>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</si>
  <si>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</si>
  <si>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</si>
  <si>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</si>
  <si>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</si>
  <si>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</si>
  <si>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</si>
  <si>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Infrastructure Index TRI (Benchmark)</t>
  </si>
  <si>
    <t>Nifty 50 TRI (Additional Benchmark)</t>
  </si>
  <si>
    <t>NAV [Rs.] Per Unit (as on May 31, 2022 : 36.44)</t>
  </si>
  <si>
    <t>Taurus Infrastructure Fund - Direct Plan Growth Option</t>
  </si>
  <si>
    <t>NAV [Rs.] Per Unit (as on May 31, 2022 : 38.55)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</si>
</sst>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2423160</xdr:rowOff>
    </xdr:from>
    <xdr:to>
      <xdr:col>5</xdr:col>
      <xdr:colOff>89747</xdr:colOff>
      <xdr:row>0</xdr:row>
      <xdr:rowOff>4757928</xdr:rowOff>
    </xdr:to>
    <xdr:pic>
      <xdr:nvPicPr>
        <xdr:cNvPr id="2" name="Picture 1" descr="for half yearly - Taurus Infra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7800" y="2423160"/>
          <a:ext cx="7040880" cy="233476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5</xdr:col>
      <xdr:colOff>89747</xdr:colOff>
      <xdr:row>0</xdr:row>
      <xdr:rowOff>2167128</xdr:rowOff>
    </xdr:to>
    <xdr:pic>
      <xdr:nvPicPr>
        <xdr:cNvPr id="3" name="Picture 2" descr="Taurus Infrastrucre Product Label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7800" y="0"/>
          <a:ext cx="7040880" cy="216712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May%202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104"/>
  <sheetViews>
    <sheetView showGridLines="0" tabSelected="1" zoomScale="90" zoomScaleNormal="90" workbookViewId="0">
      <pane ySplit="6" topLeftCell="A7" activePane="bottomLeft" state="frozen"/>
      <selection pane="bottomLeft" activeCell="A2" sqref="A2"/>
    </sheetView>
  </sheetViews>
  <sheetFormatPr defaultColWidth="13.88671875" defaultRowHeight="13.2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7" customWidth="1"/>
    <col min="8" max="9" width="19.5546875" style="8" customWidth="1"/>
    <col min="10" max="10" width="19.5546875" style="10" customWidth="1"/>
    <col min="11" max="11" width="9" style="10" bestFit="1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2" width="23.6640625" style="2" customWidth="1"/>
    <col min="263" max="266" width="19.5546875" style="2" customWidth="1"/>
    <col min="267" max="267" width="9" style="2" bestFit="1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8" width="23.6640625" style="2" customWidth="1"/>
    <col min="519" max="522" width="19.5546875" style="2" customWidth="1"/>
    <col min="523" max="523" width="9" style="2" bestFit="1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4" width="23.6640625" style="2" customWidth="1"/>
    <col min="775" max="778" width="19.5546875" style="2" customWidth="1"/>
    <col min="779" max="779" width="9" style="2" bestFit="1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30" width="23.6640625" style="2" customWidth="1"/>
    <col min="1031" max="1034" width="19.5546875" style="2" customWidth="1"/>
    <col min="1035" max="1035" width="9" style="2" bestFit="1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6" width="23.6640625" style="2" customWidth="1"/>
    <col min="1287" max="1290" width="19.5546875" style="2" customWidth="1"/>
    <col min="1291" max="1291" width="9" style="2" bestFit="1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2" width="23.6640625" style="2" customWidth="1"/>
    <col min="1543" max="1546" width="19.5546875" style="2" customWidth="1"/>
    <col min="1547" max="1547" width="9" style="2" bestFit="1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8" width="23.6640625" style="2" customWidth="1"/>
    <col min="1799" max="1802" width="19.5546875" style="2" customWidth="1"/>
    <col min="1803" max="1803" width="9" style="2" bestFit="1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4" width="23.6640625" style="2" customWidth="1"/>
    <col min="2055" max="2058" width="19.5546875" style="2" customWidth="1"/>
    <col min="2059" max="2059" width="9" style="2" bestFit="1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10" width="23.6640625" style="2" customWidth="1"/>
    <col min="2311" max="2314" width="19.5546875" style="2" customWidth="1"/>
    <col min="2315" max="2315" width="9" style="2" bestFit="1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6" width="23.6640625" style="2" customWidth="1"/>
    <col min="2567" max="2570" width="19.5546875" style="2" customWidth="1"/>
    <col min="2571" max="2571" width="9" style="2" bestFit="1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2" width="23.6640625" style="2" customWidth="1"/>
    <col min="2823" max="2826" width="19.5546875" style="2" customWidth="1"/>
    <col min="2827" max="2827" width="9" style="2" bestFit="1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8" width="23.6640625" style="2" customWidth="1"/>
    <col min="3079" max="3082" width="19.5546875" style="2" customWidth="1"/>
    <col min="3083" max="3083" width="9" style="2" bestFit="1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4" width="23.6640625" style="2" customWidth="1"/>
    <col min="3335" max="3338" width="19.5546875" style="2" customWidth="1"/>
    <col min="3339" max="3339" width="9" style="2" bestFit="1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90" width="23.6640625" style="2" customWidth="1"/>
    <col min="3591" max="3594" width="19.5546875" style="2" customWidth="1"/>
    <col min="3595" max="3595" width="9" style="2" bestFit="1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6" width="23.6640625" style="2" customWidth="1"/>
    <col min="3847" max="3850" width="19.5546875" style="2" customWidth="1"/>
    <col min="3851" max="3851" width="9" style="2" bestFit="1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2" width="23.6640625" style="2" customWidth="1"/>
    <col min="4103" max="4106" width="19.5546875" style="2" customWidth="1"/>
    <col min="4107" max="4107" width="9" style="2" bestFit="1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8" width="23.6640625" style="2" customWidth="1"/>
    <col min="4359" max="4362" width="19.5546875" style="2" customWidth="1"/>
    <col min="4363" max="4363" width="9" style="2" bestFit="1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4" width="23.6640625" style="2" customWidth="1"/>
    <col min="4615" max="4618" width="19.5546875" style="2" customWidth="1"/>
    <col min="4619" max="4619" width="9" style="2" bestFit="1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70" width="23.6640625" style="2" customWidth="1"/>
    <col min="4871" max="4874" width="19.5546875" style="2" customWidth="1"/>
    <col min="4875" max="4875" width="9" style="2" bestFit="1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6" width="23.6640625" style="2" customWidth="1"/>
    <col min="5127" max="5130" width="19.5546875" style="2" customWidth="1"/>
    <col min="5131" max="5131" width="9" style="2" bestFit="1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2" width="23.6640625" style="2" customWidth="1"/>
    <col min="5383" max="5386" width="19.5546875" style="2" customWidth="1"/>
    <col min="5387" max="5387" width="9" style="2" bestFit="1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8" width="23.6640625" style="2" customWidth="1"/>
    <col min="5639" max="5642" width="19.5546875" style="2" customWidth="1"/>
    <col min="5643" max="5643" width="9" style="2" bestFit="1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4" width="23.6640625" style="2" customWidth="1"/>
    <col min="5895" max="5898" width="19.5546875" style="2" customWidth="1"/>
    <col min="5899" max="5899" width="9" style="2" bestFit="1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50" width="23.6640625" style="2" customWidth="1"/>
    <col min="6151" max="6154" width="19.5546875" style="2" customWidth="1"/>
    <col min="6155" max="6155" width="9" style="2" bestFit="1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6" width="23.6640625" style="2" customWidth="1"/>
    <col min="6407" max="6410" width="19.5546875" style="2" customWidth="1"/>
    <col min="6411" max="6411" width="9" style="2" bestFit="1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2" width="23.6640625" style="2" customWidth="1"/>
    <col min="6663" max="6666" width="19.5546875" style="2" customWidth="1"/>
    <col min="6667" max="6667" width="9" style="2" bestFit="1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8" width="23.6640625" style="2" customWidth="1"/>
    <col min="6919" max="6922" width="19.5546875" style="2" customWidth="1"/>
    <col min="6923" max="6923" width="9" style="2" bestFit="1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4" width="23.6640625" style="2" customWidth="1"/>
    <col min="7175" max="7178" width="19.5546875" style="2" customWidth="1"/>
    <col min="7179" max="7179" width="9" style="2" bestFit="1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30" width="23.6640625" style="2" customWidth="1"/>
    <col min="7431" max="7434" width="19.5546875" style="2" customWidth="1"/>
    <col min="7435" max="7435" width="9" style="2" bestFit="1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6" width="23.6640625" style="2" customWidth="1"/>
    <col min="7687" max="7690" width="19.5546875" style="2" customWidth="1"/>
    <col min="7691" max="7691" width="9" style="2" bestFit="1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2" width="23.6640625" style="2" customWidth="1"/>
    <col min="7943" max="7946" width="19.5546875" style="2" customWidth="1"/>
    <col min="7947" max="7947" width="9" style="2" bestFit="1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8" width="23.6640625" style="2" customWidth="1"/>
    <col min="8199" max="8202" width="19.5546875" style="2" customWidth="1"/>
    <col min="8203" max="8203" width="9" style="2" bestFit="1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4" width="23.6640625" style="2" customWidth="1"/>
    <col min="8455" max="8458" width="19.5546875" style="2" customWidth="1"/>
    <col min="8459" max="8459" width="9" style="2" bestFit="1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10" width="23.6640625" style="2" customWidth="1"/>
    <col min="8711" max="8714" width="19.5546875" style="2" customWidth="1"/>
    <col min="8715" max="8715" width="9" style="2" bestFit="1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6" width="23.6640625" style="2" customWidth="1"/>
    <col min="8967" max="8970" width="19.5546875" style="2" customWidth="1"/>
    <col min="8971" max="8971" width="9" style="2" bestFit="1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2" width="23.6640625" style="2" customWidth="1"/>
    <col min="9223" max="9226" width="19.5546875" style="2" customWidth="1"/>
    <col min="9227" max="9227" width="9" style="2" bestFit="1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8" width="23.6640625" style="2" customWidth="1"/>
    <col min="9479" max="9482" width="19.5546875" style="2" customWidth="1"/>
    <col min="9483" max="9483" width="9" style="2" bestFit="1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4" width="23.6640625" style="2" customWidth="1"/>
    <col min="9735" max="9738" width="19.5546875" style="2" customWidth="1"/>
    <col min="9739" max="9739" width="9" style="2" bestFit="1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90" width="23.6640625" style="2" customWidth="1"/>
    <col min="9991" max="9994" width="19.5546875" style="2" customWidth="1"/>
    <col min="9995" max="9995" width="9" style="2" bestFit="1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6" width="23.6640625" style="2" customWidth="1"/>
    <col min="10247" max="10250" width="19.5546875" style="2" customWidth="1"/>
    <col min="10251" max="10251" width="9" style="2" bestFit="1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2" width="23.6640625" style="2" customWidth="1"/>
    <col min="10503" max="10506" width="19.5546875" style="2" customWidth="1"/>
    <col min="10507" max="10507" width="9" style="2" bestFit="1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8" width="23.6640625" style="2" customWidth="1"/>
    <col min="10759" max="10762" width="19.5546875" style="2" customWidth="1"/>
    <col min="10763" max="10763" width="9" style="2" bestFit="1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4" width="23.6640625" style="2" customWidth="1"/>
    <col min="11015" max="11018" width="19.5546875" style="2" customWidth="1"/>
    <col min="11019" max="11019" width="9" style="2" bestFit="1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70" width="23.6640625" style="2" customWidth="1"/>
    <col min="11271" max="11274" width="19.5546875" style="2" customWidth="1"/>
    <col min="11275" max="11275" width="9" style="2" bestFit="1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6" width="23.6640625" style="2" customWidth="1"/>
    <col min="11527" max="11530" width="19.5546875" style="2" customWidth="1"/>
    <col min="11531" max="11531" width="9" style="2" bestFit="1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2" width="23.6640625" style="2" customWidth="1"/>
    <col min="11783" max="11786" width="19.5546875" style="2" customWidth="1"/>
    <col min="11787" max="11787" width="9" style="2" bestFit="1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8" width="23.6640625" style="2" customWidth="1"/>
    <col min="12039" max="12042" width="19.5546875" style="2" customWidth="1"/>
    <col min="12043" max="12043" width="9" style="2" bestFit="1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4" width="23.6640625" style="2" customWidth="1"/>
    <col min="12295" max="12298" width="19.5546875" style="2" customWidth="1"/>
    <col min="12299" max="12299" width="9" style="2" bestFit="1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50" width="23.6640625" style="2" customWidth="1"/>
    <col min="12551" max="12554" width="19.5546875" style="2" customWidth="1"/>
    <col min="12555" max="12555" width="9" style="2" bestFit="1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6" width="23.6640625" style="2" customWidth="1"/>
    <col min="12807" max="12810" width="19.5546875" style="2" customWidth="1"/>
    <col min="12811" max="12811" width="9" style="2" bestFit="1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2" width="23.6640625" style="2" customWidth="1"/>
    <col min="13063" max="13066" width="19.5546875" style="2" customWidth="1"/>
    <col min="13067" max="13067" width="9" style="2" bestFit="1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8" width="23.6640625" style="2" customWidth="1"/>
    <col min="13319" max="13322" width="19.5546875" style="2" customWidth="1"/>
    <col min="13323" max="13323" width="9" style="2" bestFit="1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4" width="23.6640625" style="2" customWidth="1"/>
    <col min="13575" max="13578" width="19.5546875" style="2" customWidth="1"/>
    <col min="13579" max="13579" width="9" style="2" bestFit="1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30" width="23.6640625" style="2" customWidth="1"/>
    <col min="13831" max="13834" width="19.5546875" style="2" customWidth="1"/>
    <col min="13835" max="13835" width="9" style="2" bestFit="1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6" width="23.6640625" style="2" customWidth="1"/>
    <col min="14087" max="14090" width="19.5546875" style="2" customWidth="1"/>
    <col min="14091" max="14091" width="9" style="2" bestFit="1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2" width="23.6640625" style="2" customWidth="1"/>
    <col min="14343" max="14346" width="19.5546875" style="2" customWidth="1"/>
    <col min="14347" max="14347" width="9" style="2" bestFit="1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8" width="23.6640625" style="2" customWidth="1"/>
    <col min="14599" max="14602" width="19.5546875" style="2" customWidth="1"/>
    <col min="14603" max="14603" width="9" style="2" bestFit="1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4" width="23.6640625" style="2" customWidth="1"/>
    <col min="14855" max="14858" width="19.5546875" style="2" customWidth="1"/>
    <col min="14859" max="14859" width="9" style="2" bestFit="1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10" width="23.6640625" style="2" customWidth="1"/>
    <col min="15111" max="15114" width="19.5546875" style="2" customWidth="1"/>
    <col min="15115" max="15115" width="9" style="2" bestFit="1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6" width="23.6640625" style="2" customWidth="1"/>
    <col min="15367" max="15370" width="19.5546875" style="2" customWidth="1"/>
    <col min="15371" max="15371" width="9" style="2" bestFit="1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2" width="23.6640625" style="2" customWidth="1"/>
    <col min="15623" max="15626" width="19.5546875" style="2" customWidth="1"/>
    <col min="15627" max="15627" width="9" style="2" bestFit="1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8" width="23.6640625" style="2" customWidth="1"/>
    <col min="15879" max="15882" width="19.5546875" style="2" customWidth="1"/>
    <col min="15883" max="15883" width="9" style="2" bestFit="1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4" width="23.6640625" style="2" customWidth="1"/>
    <col min="16135" max="16138" width="19.5546875" style="2" customWidth="1"/>
    <col min="16139" max="16139" width="9" style="2" bestFit="1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ht="385.2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7.399999999999999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3.8">
      <c r="C4" s="11" t="s">
        <v>4</v>
      </c>
      <c r="D4" s="13">
        <v>44712</v>
      </c>
    </row>
    <row r="5" spans="1:54" ht="13.8" thickBot="1">
      <c r="C5" s="11"/>
    </row>
    <row r="6" spans="1:54" ht="26.4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1680</v>
      </c>
      <c r="H10" s="32">
        <v>44.25</v>
      </c>
      <c r="I10" s="32">
        <v>8.9700000000000006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3302</v>
      </c>
      <c r="H11" s="32">
        <v>24.41</v>
      </c>
      <c r="I11" s="32">
        <v>4.95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1455</v>
      </c>
      <c r="H12" s="32">
        <v>24.06</v>
      </c>
      <c r="I12" s="32">
        <v>4.88</v>
      </c>
      <c r="J12" s="33"/>
    </row>
    <row r="13" spans="1:54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3032</v>
      </c>
      <c r="H13" s="32">
        <v>21.26</v>
      </c>
      <c r="I13" s="32">
        <v>4.3099999999999996</v>
      </c>
      <c r="J13" s="33"/>
    </row>
    <row r="14" spans="1:54">
      <c r="B14" s="1" t="s">
        <v>31</v>
      </c>
      <c r="C14" s="20" t="s">
        <v>32</v>
      </c>
      <c r="D14" s="29" t="s">
        <v>33</v>
      </c>
      <c r="E14" s="30"/>
      <c r="F14" s="30" t="s">
        <v>34</v>
      </c>
      <c r="G14" s="31">
        <v>1938</v>
      </c>
      <c r="H14" s="32">
        <v>19.86</v>
      </c>
      <c r="I14" s="32">
        <v>4.03</v>
      </c>
      <c r="J14" s="33"/>
    </row>
    <row r="15" spans="1:54">
      <c r="B15" s="1" t="s">
        <v>35</v>
      </c>
      <c r="C15" s="20" t="s">
        <v>36</v>
      </c>
      <c r="D15" s="29" t="s">
        <v>37</v>
      </c>
      <c r="E15" s="30"/>
      <c r="F15" s="30" t="s">
        <v>38</v>
      </c>
      <c r="G15" s="31">
        <v>5525</v>
      </c>
      <c r="H15" s="32">
        <v>19.09</v>
      </c>
      <c r="I15" s="32">
        <v>3.87</v>
      </c>
      <c r="J15" s="33"/>
    </row>
    <row r="16" spans="1:54">
      <c r="B16" s="1" t="s">
        <v>39</v>
      </c>
      <c r="C16" s="20" t="s">
        <v>40</v>
      </c>
      <c r="D16" s="29" t="s">
        <v>41</v>
      </c>
      <c r="E16" s="30"/>
      <c r="F16" s="30" t="s">
        <v>42</v>
      </c>
      <c r="G16" s="31">
        <v>276</v>
      </c>
      <c r="H16" s="32">
        <v>16.79</v>
      </c>
      <c r="I16" s="32">
        <v>3.4</v>
      </c>
      <c r="J16" s="33"/>
    </row>
    <row r="17" spans="2:10">
      <c r="B17" s="1" t="s">
        <v>43</v>
      </c>
      <c r="C17" s="20" t="s">
        <v>44</v>
      </c>
      <c r="D17" s="29" t="s">
        <v>45</v>
      </c>
      <c r="E17" s="30"/>
      <c r="F17" s="30" t="s">
        <v>46</v>
      </c>
      <c r="G17" s="31">
        <v>968</v>
      </c>
      <c r="H17" s="32">
        <v>15.72</v>
      </c>
      <c r="I17" s="32">
        <v>3.19</v>
      </c>
      <c r="J17" s="33"/>
    </row>
    <row r="18" spans="2:10">
      <c r="B18" s="1" t="s">
        <v>47</v>
      </c>
      <c r="C18" s="20" t="s">
        <v>48</v>
      </c>
      <c r="D18" s="29" t="s">
        <v>49</v>
      </c>
      <c r="E18" s="30"/>
      <c r="F18" s="30" t="s">
        <v>34</v>
      </c>
      <c r="G18" s="31">
        <v>1621</v>
      </c>
      <c r="H18" s="32">
        <v>15.21</v>
      </c>
      <c r="I18" s="32">
        <v>3.08</v>
      </c>
      <c r="J18" s="33"/>
    </row>
    <row r="19" spans="2:10">
      <c r="B19" s="1" t="s">
        <v>50</v>
      </c>
      <c r="C19" s="20" t="s">
        <v>51</v>
      </c>
      <c r="D19" s="29" t="s">
        <v>52</v>
      </c>
      <c r="E19" s="30"/>
      <c r="F19" s="30" t="s">
        <v>53</v>
      </c>
      <c r="G19" s="31">
        <v>562</v>
      </c>
      <c r="H19" s="32">
        <v>13.69</v>
      </c>
      <c r="I19" s="32">
        <v>2.77</v>
      </c>
      <c r="J19" s="33"/>
    </row>
    <row r="20" spans="2:10">
      <c r="B20" s="1" t="s">
        <v>54</v>
      </c>
      <c r="C20" s="20" t="s">
        <v>55</v>
      </c>
      <c r="D20" s="29" t="s">
        <v>56</v>
      </c>
      <c r="E20" s="30"/>
      <c r="F20" s="30" t="s">
        <v>34</v>
      </c>
      <c r="G20" s="31">
        <v>2355</v>
      </c>
      <c r="H20" s="32">
        <v>13.04</v>
      </c>
      <c r="I20" s="32">
        <v>2.64</v>
      </c>
      <c r="J20" s="33"/>
    </row>
    <row r="21" spans="2:10">
      <c r="B21" s="1" t="s">
        <v>57</v>
      </c>
      <c r="C21" s="20" t="s">
        <v>58</v>
      </c>
      <c r="D21" s="29" t="s">
        <v>59</v>
      </c>
      <c r="E21" s="30"/>
      <c r="F21" s="30" t="s">
        <v>60</v>
      </c>
      <c r="G21" s="31">
        <v>15886</v>
      </c>
      <c r="H21" s="32">
        <v>12.39</v>
      </c>
      <c r="I21" s="32">
        <v>2.5099999999999998</v>
      </c>
      <c r="J21" s="33"/>
    </row>
    <row r="22" spans="2:10">
      <c r="B22" s="1" t="s">
        <v>61</v>
      </c>
      <c r="C22" s="20" t="s">
        <v>62</v>
      </c>
      <c r="D22" s="29" t="s">
        <v>63</v>
      </c>
      <c r="E22" s="30"/>
      <c r="F22" s="30" t="s">
        <v>64</v>
      </c>
      <c r="G22" s="31">
        <v>3712</v>
      </c>
      <c r="H22" s="32">
        <v>11.92</v>
      </c>
      <c r="I22" s="32">
        <v>2.42</v>
      </c>
      <c r="J22" s="33"/>
    </row>
    <row r="23" spans="2:10">
      <c r="B23" s="1" t="s">
        <v>65</v>
      </c>
      <c r="C23" s="20" t="s">
        <v>66</v>
      </c>
      <c r="D23" s="29" t="s">
        <v>67</v>
      </c>
      <c r="E23" s="30"/>
      <c r="F23" s="30" t="s">
        <v>38</v>
      </c>
      <c r="G23" s="31">
        <v>2732</v>
      </c>
      <c r="H23" s="32">
        <v>11.73</v>
      </c>
      <c r="I23" s="32">
        <v>2.38</v>
      </c>
      <c r="J23" s="33"/>
    </row>
    <row r="24" spans="2:10">
      <c r="B24" s="1" t="s">
        <v>68</v>
      </c>
      <c r="C24" s="20" t="s">
        <v>69</v>
      </c>
      <c r="D24" s="29" t="s">
        <v>70</v>
      </c>
      <c r="E24" s="30"/>
      <c r="F24" s="30" t="s">
        <v>71</v>
      </c>
      <c r="G24" s="31">
        <v>2254</v>
      </c>
      <c r="H24" s="32">
        <v>10.44</v>
      </c>
      <c r="I24" s="32">
        <v>2.12</v>
      </c>
      <c r="J24" s="33"/>
    </row>
    <row r="25" spans="2:10">
      <c r="B25" s="1" t="s">
        <v>72</v>
      </c>
      <c r="C25" s="20" t="s">
        <v>73</v>
      </c>
      <c r="D25" s="29" t="s">
        <v>74</v>
      </c>
      <c r="E25" s="30"/>
      <c r="F25" s="30" t="s">
        <v>75</v>
      </c>
      <c r="G25" s="31">
        <v>950</v>
      </c>
      <c r="H25" s="32">
        <v>9.82</v>
      </c>
      <c r="I25" s="32">
        <v>1.99</v>
      </c>
      <c r="J25" s="33"/>
    </row>
    <row r="26" spans="2:10">
      <c r="B26" s="1" t="s">
        <v>76</v>
      </c>
      <c r="C26" s="20" t="s">
        <v>77</v>
      </c>
      <c r="D26" s="29" t="s">
        <v>78</v>
      </c>
      <c r="E26" s="30"/>
      <c r="F26" s="30" t="s">
        <v>71</v>
      </c>
      <c r="G26" s="31">
        <v>774</v>
      </c>
      <c r="H26" s="32">
        <v>9.68</v>
      </c>
      <c r="I26" s="32">
        <v>1.96</v>
      </c>
      <c r="J26" s="33"/>
    </row>
    <row r="27" spans="2:10">
      <c r="B27" s="1" t="s">
        <v>79</v>
      </c>
      <c r="C27" s="20" t="s">
        <v>80</v>
      </c>
      <c r="D27" s="29" t="s">
        <v>81</v>
      </c>
      <c r="E27" s="30"/>
      <c r="F27" s="30" t="s">
        <v>82</v>
      </c>
      <c r="G27" s="31">
        <v>530</v>
      </c>
      <c r="H27" s="32">
        <v>9.67</v>
      </c>
      <c r="I27" s="32">
        <v>1.96</v>
      </c>
      <c r="J27" s="33"/>
    </row>
    <row r="28" spans="2:10">
      <c r="B28" s="1" t="s">
        <v>83</v>
      </c>
      <c r="C28" s="20" t="s">
        <v>84</v>
      </c>
      <c r="D28" s="29" t="s">
        <v>85</v>
      </c>
      <c r="E28" s="30"/>
      <c r="F28" s="30" t="s">
        <v>86</v>
      </c>
      <c r="G28" s="31">
        <v>1071</v>
      </c>
      <c r="H28" s="32">
        <v>9.33</v>
      </c>
      <c r="I28" s="32">
        <v>1.89</v>
      </c>
      <c r="J28" s="33"/>
    </row>
    <row r="29" spans="2:10">
      <c r="B29" s="1" t="s">
        <v>87</v>
      </c>
      <c r="C29" s="20" t="s">
        <v>88</v>
      </c>
      <c r="D29" s="29" t="s">
        <v>89</v>
      </c>
      <c r="E29" s="30"/>
      <c r="F29" s="30" t="s">
        <v>90</v>
      </c>
      <c r="G29" s="31">
        <v>350</v>
      </c>
      <c r="H29" s="32">
        <v>9.02</v>
      </c>
      <c r="I29" s="32">
        <v>1.83</v>
      </c>
      <c r="J29" s="33"/>
    </row>
    <row r="30" spans="2:10">
      <c r="B30" s="1" t="s">
        <v>91</v>
      </c>
      <c r="C30" s="20" t="s">
        <v>92</v>
      </c>
      <c r="D30" s="29" t="s">
        <v>93</v>
      </c>
      <c r="E30" s="30"/>
      <c r="F30" s="30" t="s">
        <v>34</v>
      </c>
      <c r="G30" s="31">
        <v>642</v>
      </c>
      <c r="H30" s="32">
        <v>8.65</v>
      </c>
      <c r="I30" s="32">
        <v>1.75</v>
      </c>
      <c r="J30" s="33"/>
    </row>
    <row r="31" spans="2:10">
      <c r="B31" s="1" t="s">
        <v>94</v>
      </c>
      <c r="C31" s="20" t="s">
        <v>95</v>
      </c>
      <c r="D31" s="29" t="s">
        <v>96</v>
      </c>
      <c r="E31" s="30"/>
      <c r="F31" s="30" t="s">
        <v>97</v>
      </c>
      <c r="G31" s="31">
        <v>4729</v>
      </c>
      <c r="H31" s="32">
        <v>8.41</v>
      </c>
      <c r="I31" s="32">
        <v>1.7</v>
      </c>
      <c r="J31" s="33"/>
    </row>
    <row r="32" spans="2:10">
      <c r="B32" s="1" t="s">
        <v>98</v>
      </c>
      <c r="C32" s="20" t="s">
        <v>99</v>
      </c>
      <c r="D32" s="29" t="s">
        <v>100</v>
      </c>
      <c r="E32" s="30"/>
      <c r="F32" s="30" t="s">
        <v>101</v>
      </c>
      <c r="G32" s="31">
        <v>1514</v>
      </c>
      <c r="H32" s="32">
        <v>8.35</v>
      </c>
      <c r="I32" s="32">
        <v>1.69</v>
      </c>
      <c r="J32" s="33"/>
    </row>
    <row r="33" spans="2:10">
      <c r="B33" s="1" t="s">
        <v>102</v>
      </c>
      <c r="C33" s="20" t="s">
        <v>103</v>
      </c>
      <c r="D33" s="29" t="s">
        <v>104</v>
      </c>
      <c r="E33" s="30"/>
      <c r="F33" s="30" t="s">
        <v>105</v>
      </c>
      <c r="G33" s="31">
        <v>814</v>
      </c>
      <c r="H33" s="32">
        <v>8.34</v>
      </c>
      <c r="I33" s="32">
        <v>1.69</v>
      </c>
      <c r="J33" s="33"/>
    </row>
    <row r="34" spans="2:10">
      <c r="B34" s="1" t="s">
        <v>106</v>
      </c>
      <c r="C34" s="20" t="s">
        <v>107</v>
      </c>
      <c r="D34" s="29" t="s">
        <v>108</v>
      </c>
      <c r="E34" s="30"/>
      <c r="F34" s="30" t="s">
        <v>42</v>
      </c>
      <c r="G34" s="31">
        <v>578</v>
      </c>
      <c r="H34" s="32">
        <v>7.87</v>
      </c>
      <c r="I34" s="32">
        <v>1.59</v>
      </c>
      <c r="J34" s="33"/>
    </row>
    <row r="35" spans="2:10">
      <c r="B35" s="1" t="s">
        <v>109</v>
      </c>
      <c r="C35" s="20" t="s">
        <v>110</v>
      </c>
      <c r="D35" s="29" t="s">
        <v>111</v>
      </c>
      <c r="E35" s="30"/>
      <c r="F35" s="30" t="s">
        <v>26</v>
      </c>
      <c r="G35" s="31">
        <v>2920</v>
      </c>
      <c r="H35" s="32">
        <v>7.59</v>
      </c>
      <c r="I35" s="32">
        <v>1.54</v>
      </c>
      <c r="J35" s="33"/>
    </row>
    <row r="36" spans="2:10">
      <c r="B36" s="1" t="s">
        <v>112</v>
      </c>
      <c r="C36" s="20" t="s">
        <v>113</v>
      </c>
      <c r="D36" s="29" t="s">
        <v>114</v>
      </c>
      <c r="E36" s="30"/>
      <c r="F36" s="30" t="s">
        <v>115</v>
      </c>
      <c r="G36" s="31">
        <v>1084</v>
      </c>
      <c r="H36" s="32">
        <v>7.37</v>
      </c>
      <c r="I36" s="32">
        <v>1.49</v>
      </c>
      <c r="J36" s="33"/>
    </row>
    <row r="37" spans="2:10">
      <c r="B37" s="1" t="s">
        <v>116</v>
      </c>
      <c r="C37" s="20" t="s">
        <v>117</v>
      </c>
      <c r="D37" s="29" t="s">
        <v>118</v>
      </c>
      <c r="E37" s="30"/>
      <c r="F37" s="30" t="s">
        <v>119</v>
      </c>
      <c r="G37" s="31">
        <v>1540</v>
      </c>
      <c r="H37" s="32">
        <v>7.09</v>
      </c>
      <c r="I37" s="32">
        <v>1.44</v>
      </c>
      <c r="J37" s="33"/>
    </row>
    <row r="38" spans="2:10">
      <c r="B38" s="1" t="s">
        <v>120</v>
      </c>
      <c r="C38" s="20" t="s">
        <v>121</v>
      </c>
      <c r="D38" s="29" t="s">
        <v>122</v>
      </c>
      <c r="E38" s="30"/>
      <c r="F38" s="30" t="s">
        <v>123</v>
      </c>
      <c r="G38" s="31">
        <v>5523</v>
      </c>
      <c r="H38" s="32">
        <v>6.97</v>
      </c>
      <c r="I38" s="32">
        <v>1.41</v>
      </c>
      <c r="J38" s="33"/>
    </row>
    <row r="39" spans="2:10">
      <c r="B39" s="1" t="s">
        <v>124</v>
      </c>
      <c r="C39" s="20" t="s">
        <v>125</v>
      </c>
      <c r="D39" s="29" t="s">
        <v>126</v>
      </c>
      <c r="E39" s="30"/>
      <c r="F39" s="30" t="s">
        <v>46</v>
      </c>
      <c r="G39" s="31">
        <v>297</v>
      </c>
      <c r="H39" s="32">
        <v>6.95</v>
      </c>
      <c r="I39" s="32">
        <v>1.41</v>
      </c>
      <c r="J39" s="33"/>
    </row>
    <row r="40" spans="2:10">
      <c r="B40" s="1" t="s">
        <v>127</v>
      </c>
      <c r="C40" s="20" t="s">
        <v>128</v>
      </c>
      <c r="D40" s="29" t="s">
        <v>129</v>
      </c>
      <c r="E40" s="30"/>
      <c r="F40" s="30" t="s">
        <v>34</v>
      </c>
      <c r="G40" s="31">
        <v>217</v>
      </c>
      <c r="H40" s="32">
        <v>6.92</v>
      </c>
      <c r="I40" s="32">
        <v>1.4</v>
      </c>
      <c r="J40" s="33"/>
    </row>
    <row r="41" spans="2:10">
      <c r="B41" s="1" t="s">
        <v>130</v>
      </c>
      <c r="C41" s="20" t="s">
        <v>131</v>
      </c>
      <c r="D41" s="29" t="s">
        <v>132</v>
      </c>
      <c r="E41" s="30"/>
      <c r="F41" s="30" t="s">
        <v>26</v>
      </c>
      <c r="G41" s="31">
        <v>10592</v>
      </c>
      <c r="H41" s="32">
        <v>6.83</v>
      </c>
      <c r="I41" s="32">
        <v>1.39</v>
      </c>
      <c r="J41" s="33"/>
    </row>
    <row r="42" spans="2:10">
      <c r="B42" s="1" t="s">
        <v>133</v>
      </c>
      <c r="C42" s="20" t="s">
        <v>134</v>
      </c>
      <c r="D42" s="29" t="s">
        <v>135</v>
      </c>
      <c r="E42" s="30"/>
      <c r="F42" s="30" t="s">
        <v>136</v>
      </c>
      <c r="G42" s="31">
        <v>966</v>
      </c>
      <c r="H42" s="32">
        <v>6.43</v>
      </c>
      <c r="I42" s="32">
        <v>1.3</v>
      </c>
      <c r="J42" s="33"/>
    </row>
    <row r="43" spans="2:10">
      <c r="B43" s="1" t="s">
        <v>137</v>
      </c>
      <c r="C43" s="20" t="s">
        <v>138</v>
      </c>
      <c r="D43" s="29" t="s">
        <v>139</v>
      </c>
      <c r="E43" s="30"/>
      <c r="F43" s="30" t="s">
        <v>140</v>
      </c>
      <c r="G43" s="31">
        <v>1138</v>
      </c>
      <c r="H43" s="32">
        <v>6.13</v>
      </c>
      <c r="I43" s="32">
        <v>1.24</v>
      </c>
      <c r="J43" s="33"/>
    </row>
    <row r="44" spans="2:10">
      <c r="B44" s="1" t="s">
        <v>141</v>
      </c>
      <c r="C44" s="20" t="s">
        <v>142</v>
      </c>
      <c r="D44" s="29" t="s">
        <v>143</v>
      </c>
      <c r="E44" s="30"/>
      <c r="F44" s="30" t="s">
        <v>34</v>
      </c>
      <c r="G44" s="31">
        <v>911</v>
      </c>
      <c r="H44" s="32">
        <v>6</v>
      </c>
      <c r="I44" s="32">
        <v>1.22</v>
      </c>
      <c r="J44" s="33"/>
    </row>
    <row r="45" spans="2:10">
      <c r="B45" s="1" t="s">
        <v>144</v>
      </c>
      <c r="C45" s="20" t="s">
        <v>145</v>
      </c>
      <c r="D45" s="29" t="s">
        <v>146</v>
      </c>
      <c r="E45" s="30"/>
      <c r="F45" s="30" t="s">
        <v>53</v>
      </c>
      <c r="G45" s="31">
        <v>289</v>
      </c>
      <c r="H45" s="32">
        <v>5.76</v>
      </c>
      <c r="I45" s="32">
        <v>1.17</v>
      </c>
      <c r="J45" s="33"/>
    </row>
    <row r="46" spans="2:10">
      <c r="B46" s="1" t="s">
        <v>147</v>
      </c>
      <c r="C46" s="20" t="s">
        <v>148</v>
      </c>
      <c r="D46" s="29" t="s">
        <v>149</v>
      </c>
      <c r="E46" s="30"/>
      <c r="F46" s="30" t="s">
        <v>136</v>
      </c>
      <c r="G46" s="31">
        <v>231</v>
      </c>
      <c r="H46" s="32">
        <v>5.69</v>
      </c>
      <c r="I46" s="32">
        <v>1.1499999999999999</v>
      </c>
      <c r="J46" s="33"/>
    </row>
    <row r="47" spans="2:10">
      <c r="B47" s="1" t="s">
        <v>150</v>
      </c>
      <c r="C47" s="20" t="s">
        <v>151</v>
      </c>
      <c r="D47" s="29" t="s">
        <v>152</v>
      </c>
      <c r="E47" s="30"/>
      <c r="F47" s="30" t="s">
        <v>153</v>
      </c>
      <c r="G47" s="31">
        <v>702</v>
      </c>
      <c r="H47" s="32">
        <v>5.61</v>
      </c>
      <c r="I47" s="32">
        <v>1.1399999999999999</v>
      </c>
      <c r="J47" s="33"/>
    </row>
    <row r="48" spans="2:10">
      <c r="B48" s="1" t="s">
        <v>154</v>
      </c>
      <c r="C48" s="20" t="s">
        <v>155</v>
      </c>
      <c r="D48" s="29" t="s">
        <v>156</v>
      </c>
      <c r="E48" s="30"/>
      <c r="F48" s="30" t="s">
        <v>157</v>
      </c>
      <c r="G48" s="31">
        <v>7310</v>
      </c>
      <c r="H48" s="32">
        <v>5.51</v>
      </c>
      <c r="I48" s="32">
        <v>1.1200000000000001</v>
      </c>
      <c r="J48" s="33"/>
    </row>
    <row r="49" spans="2:10">
      <c r="B49" s="1" t="s">
        <v>158</v>
      </c>
      <c r="C49" s="20" t="s">
        <v>159</v>
      </c>
      <c r="D49" s="29" t="s">
        <v>160</v>
      </c>
      <c r="E49" s="30"/>
      <c r="F49" s="30" t="s">
        <v>34</v>
      </c>
      <c r="G49" s="31">
        <v>221</v>
      </c>
      <c r="H49" s="32">
        <v>5.39</v>
      </c>
      <c r="I49" s="32">
        <v>1.0900000000000001</v>
      </c>
      <c r="J49" s="33"/>
    </row>
    <row r="50" spans="2:10">
      <c r="B50" s="1" t="s">
        <v>161</v>
      </c>
      <c r="C50" s="20" t="s">
        <v>162</v>
      </c>
      <c r="D50" s="29" t="s">
        <v>163</v>
      </c>
      <c r="E50" s="30"/>
      <c r="F50" s="30" t="s">
        <v>34</v>
      </c>
      <c r="G50" s="31">
        <v>311</v>
      </c>
      <c r="H50" s="32">
        <v>5.38</v>
      </c>
      <c r="I50" s="32">
        <v>1.0900000000000001</v>
      </c>
      <c r="J50" s="33"/>
    </row>
    <row r="51" spans="2:10">
      <c r="B51" s="1" t="s">
        <v>164</v>
      </c>
      <c r="C51" s="20" t="s">
        <v>165</v>
      </c>
      <c r="D51" s="29" t="s">
        <v>166</v>
      </c>
      <c r="E51" s="30"/>
      <c r="F51" s="30" t="s">
        <v>123</v>
      </c>
      <c r="G51" s="31">
        <v>3359</v>
      </c>
      <c r="H51" s="32">
        <v>5.21</v>
      </c>
      <c r="I51" s="32">
        <v>1.06</v>
      </c>
      <c r="J51" s="33"/>
    </row>
    <row r="52" spans="2:10">
      <c r="B52" s="1" t="s">
        <v>167</v>
      </c>
      <c r="C52" s="20" t="s">
        <v>168</v>
      </c>
      <c r="D52" s="29" t="s">
        <v>169</v>
      </c>
      <c r="E52" s="30"/>
      <c r="F52" s="30" t="s">
        <v>105</v>
      </c>
      <c r="G52" s="31">
        <v>206</v>
      </c>
      <c r="H52" s="32">
        <v>2.4700000000000002</v>
      </c>
      <c r="I52" s="32">
        <v>0.5</v>
      </c>
      <c r="J52" s="33"/>
    </row>
    <row r="53" spans="2:10">
      <c r="B53" s="1" t="s">
        <v>170</v>
      </c>
      <c r="C53" s="20" t="s">
        <v>171</v>
      </c>
      <c r="D53" s="29" t="s">
        <v>172</v>
      </c>
      <c r="E53" s="30"/>
      <c r="F53" s="30" t="s">
        <v>105</v>
      </c>
      <c r="G53" s="31">
        <v>234</v>
      </c>
      <c r="H53" s="32">
        <v>2.41</v>
      </c>
      <c r="I53" s="32">
        <v>0.49</v>
      </c>
      <c r="J53" s="33"/>
    </row>
    <row r="54" spans="2:10">
      <c r="C54" s="28" t="s">
        <v>173</v>
      </c>
      <c r="D54" s="29"/>
      <c r="E54" s="30"/>
      <c r="F54" s="30"/>
      <c r="G54" s="31"/>
      <c r="H54" s="35">
        <v>474.71</v>
      </c>
      <c r="I54" s="35">
        <v>96.22</v>
      </c>
      <c r="J54" s="33"/>
    </row>
    <row r="55" spans="2:10">
      <c r="C55" s="20"/>
      <c r="D55" s="29"/>
      <c r="E55" s="30"/>
      <c r="F55" s="30"/>
      <c r="G55" s="31"/>
      <c r="H55" s="32"/>
      <c r="I55" s="32"/>
      <c r="J55" s="33"/>
    </row>
    <row r="56" spans="2:10">
      <c r="C56" s="28" t="s">
        <v>174</v>
      </c>
      <c r="D56" s="29"/>
      <c r="E56" s="30"/>
      <c r="F56" s="30"/>
      <c r="G56" s="31"/>
      <c r="H56" s="32" t="s">
        <v>175</v>
      </c>
      <c r="I56" s="32" t="s">
        <v>175</v>
      </c>
      <c r="J56" s="33"/>
    </row>
    <row r="57" spans="2:10">
      <c r="C57" s="20"/>
      <c r="D57" s="29"/>
      <c r="E57" s="30"/>
      <c r="F57" s="30"/>
      <c r="G57" s="31"/>
      <c r="H57" s="32"/>
      <c r="I57" s="32"/>
      <c r="J57" s="33"/>
    </row>
    <row r="58" spans="2:10">
      <c r="C58" s="28" t="s">
        <v>176</v>
      </c>
      <c r="D58" s="29"/>
      <c r="E58" s="30"/>
      <c r="F58" s="30"/>
      <c r="G58" s="31"/>
      <c r="H58" s="32" t="s">
        <v>175</v>
      </c>
      <c r="I58" s="32" t="s">
        <v>175</v>
      </c>
      <c r="J58" s="33"/>
    </row>
    <row r="59" spans="2:10">
      <c r="C59" s="20"/>
      <c r="D59" s="29"/>
      <c r="E59" s="30"/>
      <c r="F59" s="30"/>
      <c r="G59" s="31"/>
      <c r="H59" s="32"/>
      <c r="I59" s="32"/>
      <c r="J59" s="33"/>
    </row>
    <row r="60" spans="2:10">
      <c r="C60" s="28" t="s">
        <v>177</v>
      </c>
      <c r="D60" s="29"/>
      <c r="E60" s="30"/>
      <c r="F60" s="30"/>
      <c r="G60" s="31"/>
      <c r="H60" s="32"/>
      <c r="I60" s="32"/>
      <c r="J60" s="33"/>
    </row>
    <row r="61" spans="2:10">
      <c r="C61" s="20"/>
      <c r="D61" s="29"/>
      <c r="E61" s="30"/>
      <c r="F61" s="30"/>
      <c r="G61" s="31"/>
      <c r="H61" s="32"/>
      <c r="I61" s="32"/>
      <c r="J61" s="33"/>
    </row>
    <row r="62" spans="2:10">
      <c r="C62" s="28" t="s">
        <v>178</v>
      </c>
      <c r="D62" s="29"/>
      <c r="E62" s="30"/>
      <c r="F62" s="30"/>
      <c r="G62" s="31"/>
      <c r="H62" s="32" t="s">
        <v>175</v>
      </c>
      <c r="I62" s="32" t="s">
        <v>175</v>
      </c>
      <c r="J62" s="33"/>
    </row>
    <row r="63" spans="2:10">
      <c r="C63" s="20"/>
      <c r="D63" s="29"/>
      <c r="E63" s="30"/>
      <c r="F63" s="30"/>
      <c r="G63" s="31"/>
      <c r="H63" s="32"/>
      <c r="I63" s="32"/>
      <c r="J63" s="33"/>
    </row>
    <row r="64" spans="2:10">
      <c r="C64" s="28" t="s">
        <v>179</v>
      </c>
      <c r="D64" s="29"/>
      <c r="E64" s="30"/>
      <c r="F64" s="30"/>
      <c r="G64" s="31"/>
      <c r="H64" s="32" t="s">
        <v>175</v>
      </c>
      <c r="I64" s="32" t="s">
        <v>175</v>
      </c>
      <c r="J64" s="33"/>
    </row>
    <row r="65" spans="3:10">
      <c r="C65" s="20"/>
      <c r="D65" s="29"/>
      <c r="E65" s="30"/>
      <c r="F65" s="30"/>
      <c r="G65" s="31"/>
      <c r="H65" s="32"/>
      <c r="I65" s="32"/>
      <c r="J65" s="33"/>
    </row>
    <row r="66" spans="3:10">
      <c r="C66" s="28" t="s">
        <v>180</v>
      </c>
      <c r="D66" s="29"/>
      <c r="E66" s="30"/>
      <c r="F66" s="30"/>
      <c r="G66" s="31"/>
      <c r="H66" s="32" t="s">
        <v>175</v>
      </c>
      <c r="I66" s="32" t="s">
        <v>175</v>
      </c>
      <c r="J66" s="33"/>
    </row>
    <row r="67" spans="3:10">
      <c r="C67" s="20"/>
      <c r="D67" s="29"/>
      <c r="E67" s="30"/>
      <c r="F67" s="30"/>
      <c r="G67" s="31"/>
      <c r="H67" s="32"/>
      <c r="I67" s="32"/>
      <c r="J67" s="33"/>
    </row>
    <row r="68" spans="3:10">
      <c r="C68" s="28" t="s">
        <v>181</v>
      </c>
      <c r="D68" s="29"/>
      <c r="E68" s="30"/>
      <c r="F68" s="30"/>
      <c r="G68" s="31"/>
      <c r="H68" s="32" t="s">
        <v>175</v>
      </c>
      <c r="I68" s="32" t="s">
        <v>175</v>
      </c>
      <c r="J68" s="33"/>
    </row>
    <row r="69" spans="3:10">
      <c r="C69" s="20"/>
      <c r="D69" s="29"/>
      <c r="E69" s="30"/>
      <c r="F69" s="30"/>
      <c r="G69" s="31"/>
      <c r="H69" s="32"/>
      <c r="I69" s="32"/>
      <c r="J69" s="33"/>
    </row>
    <row r="70" spans="3:10">
      <c r="C70" s="28" t="s">
        <v>182</v>
      </c>
      <c r="D70" s="29"/>
      <c r="E70" s="30"/>
      <c r="F70" s="30"/>
      <c r="G70" s="31"/>
      <c r="H70" s="32" t="s">
        <v>175</v>
      </c>
      <c r="I70" s="32" t="s">
        <v>175</v>
      </c>
      <c r="J70" s="33"/>
    </row>
    <row r="71" spans="3:10">
      <c r="C71" s="20"/>
      <c r="D71" s="29"/>
      <c r="E71" s="30"/>
      <c r="F71" s="30"/>
      <c r="G71" s="31"/>
      <c r="H71" s="32"/>
      <c r="I71" s="32"/>
      <c r="J71" s="33"/>
    </row>
    <row r="72" spans="3:10">
      <c r="C72" s="28" t="s">
        <v>183</v>
      </c>
      <c r="D72" s="29"/>
      <c r="E72" s="30"/>
      <c r="F72" s="30"/>
      <c r="G72" s="31"/>
      <c r="H72" s="32"/>
      <c r="I72" s="32"/>
      <c r="J72" s="33"/>
    </row>
    <row r="73" spans="3:10">
      <c r="C73" s="20"/>
      <c r="D73" s="29"/>
      <c r="E73" s="30"/>
      <c r="F73" s="30"/>
      <c r="G73" s="31"/>
      <c r="H73" s="32"/>
      <c r="I73" s="32"/>
      <c r="J73" s="33"/>
    </row>
    <row r="74" spans="3:10">
      <c r="C74" s="28" t="s">
        <v>184</v>
      </c>
      <c r="D74" s="29"/>
      <c r="E74" s="30"/>
      <c r="F74" s="30"/>
      <c r="G74" s="31"/>
      <c r="H74" s="32" t="s">
        <v>175</v>
      </c>
      <c r="I74" s="32" t="s">
        <v>175</v>
      </c>
      <c r="J74" s="33"/>
    </row>
    <row r="75" spans="3:10">
      <c r="C75" s="20"/>
      <c r="D75" s="29"/>
      <c r="E75" s="30"/>
      <c r="F75" s="30"/>
      <c r="G75" s="31"/>
      <c r="H75" s="32"/>
      <c r="I75" s="32"/>
      <c r="J75" s="33"/>
    </row>
    <row r="76" spans="3:10">
      <c r="C76" s="28" t="s">
        <v>185</v>
      </c>
      <c r="D76" s="29"/>
      <c r="E76" s="30"/>
      <c r="F76" s="30"/>
      <c r="G76" s="31"/>
      <c r="H76" s="32" t="s">
        <v>175</v>
      </c>
      <c r="I76" s="32" t="s">
        <v>175</v>
      </c>
      <c r="J76" s="33"/>
    </row>
    <row r="77" spans="3:10">
      <c r="C77" s="20"/>
      <c r="D77" s="29"/>
      <c r="E77" s="30"/>
      <c r="F77" s="30"/>
      <c r="G77" s="31"/>
      <c r="H77" s="32"/>
      <c r="I77" s="32"/>
      <c r="J77" s="33"/>
    </row>
    <row r="78" spans="3:10">
      <c r="C78" s="28" t="s">
        <v>186</v>
      </c>
      <c r="D78" s="29"/>
      <c r="E78" s="30"/>
      <c r="F78" s="30"/>
      <c r="G78" s="31"/>
      <c r="H78" s="32" t="s">
        <v>175</v>
      </c>
      <c r="I78" s="32" t="s">
        <v>175</v>
      </c>
      <c r="J78" s="33"/>
    </row>
    <row r="79" spans="3:10">
      <c r="C79" s="20"/>
      <c r="D79" s="29"/>
      <c r="E79" s="30"/>
      <c r="F79" s="30"/>
      <c r="G79" s="31"/>
      <c r="H79" s="32"/>
      <c r="I79" s="32"/>
      <c r="J79" s="33"/>
    </row>
    <row r="80" spans="3:10">
      <c r="C80" s="28" t="s">
        <v>187</v>
      </c>
      <c r="D80" s="29"/>
      <c r="E80" s="30"/>
      <c r="F80" s="30"/>
      <c r="G80" s="31"/>
      <c r="H80" s="32" t="s">
        <v>175</v>
      </c>
      <c r="I80" s="32" t="s">
        <v>175</v>
      </c>
      <c r="J80" s="33"/>
    </row>
    <row r="81" spans="1:10">
      <c r="C81" s="20"/>
      <c r="D81" s="29"/>
      <c r="E81" s="30"/>
      <c r="F81" s="30"/>
      <c r="G81" s="31"/>
      <c r="H81" s="32"/>
      <c r="I81" s="32"/>
      <c r="J81" s="33"/>
    </row>
    <row r="82" spans="1:10">
      <c r="C82" s="28" t="s">
        <v>188</v>
      </c>
      <c r="D82" s="29"/>
      <c r="E82" s="30"/>
      <c r="F82" s="30"/>
      <c r="G82" s="31"/>
      <c r="H82" s="32"/>
      <c r="I82" s="32"/>
      <c r="J82" s="33"/>
    </row>
    <row r="83" spans="1:10">
      <c r="C83" s="20"/>
      <c r="D83" s="29"/>
      <c r="E83" s="30"/>
      <c r="F83" s="30"/>
      <c r="G83" s="31"/>
      <c r="H83" s="32"/>
      <c r="I83" s="32"/>
      <c r="J83" s="33"/>
    </row>
    <row r="84" spans="1:10">
      <c r="C84" s="28" t="s">
        <v>189</v>
      </c>
      <c r="D84" s="29"/>
      <c r="E84" s="30"/>
      <c r="F84" s="30"/>
      <c r="G84" s="31"/>
      <c r="H84" s="32" t="s">
        <v>175</v>
      </c>
      <c r="I84" s="32" t="s">
        <v>175</v>
      </c>
      <c r="J84" s="33"/>
    </row>
    <row r="85" spans="1:10">
      <c r="C85" s="20"/>
      <c r="D85" s="29"/>
      <c r="E85" s="30"/>
      <c r="F85" s="30"/>
      <c r="G85" s="31"/>
      <c r="H85" s="32"/>
      <c r="I85" s="32"/>
      <c r="J85" s="33"/>
    </row>
    <row r="86" spans="1:10">
      <c r="C86" s="28" t="s">
        <v>190</v>
      </c>
      <c r="D86" s="29"/>
      <c r="E86" s="30"/>
      <c r="F86" s="30"/>
      <c r="G86" s="31"/>
      <c r="H86" s="32" t="s">
        <v>175</v>
      </c>
      <c r="I86" s="32" t="s">
        <v>175</v>
      </c>
      <c r="J86" s="33"/>
    </row>
    <row r="87" spans="1:10">
      <c r="C87" s="20"/>
      <c r="D87" s="29"/>
      <c r="E87" s="30"/>
      <c r="F87" s="30"/>
      <c r="G87" s="31"/>
      <c r="H87" s="32"/>
      <c r="I87" s="32"/>
      <c r="J87" s="33"/>
    </row>
    <row r="88" spans="1:10">
      <c r="C88" s="28" t="s">
        <v>191</v>
      </c>
      <c r="D88" s="29"/>
      <c r="E88" s="30"/>
      <c r="F88" s="30"/>
      <c r="G88" s="31"/>
      <c r="H88" s="32" t="s">
        <v>175</v>
      </c>
      <c r="I88" s="32" t="s">
        <v>175</v>
      </c>
      <c r="J88" s="33"/>
    </row>
    <row r="89" spans="1:10">
      <c r="C89" s="20"/>
      <c r="D89" s="29"/>
      <c r="E89" s="30"/>
      <c r="F89" s="30"/>
      <c r="G89" s="31"/>
      <c r="H89" s="32"/>
      <c r="I89" s="32"/>
      <c r="J89" s="33"/>
    </row>
    <row r="90" spans="1:10">
      <c r="C90" s="28" t="s">
        <v>192</v>
      </c>
      <c r="D90" s="29"/>
      <c r="E90" s="30"/>
      <c r="F90" s="30"/>
      <c r="G90" s="31"/>
      <c r="H90" s="32" t="s">
        <v>175</v>
      </c>
      <c r="I90" s="32" t="s">
        <v>175</v>
      </c>
      <c r="J90" s="33"/>
    </row>
    <row r="91" spans="1:10">
      <c r="C91" s="20"/>
      <c r="D91" s="29"/>
      <c r="E91" s="30"/>
      <c r="F91" s="30"/>
      <c r="G91" s="31"/>
      <c r="H91" s="32"/>
      <c r="I91" s="32"/>
      <c r="J91" s="33"/>
    </row>
    <row r="92" spans="1:10">
      <c r="C92" s="28" t="s">
        <v>193</v>
      </c>
      <c r="D92" s="29"/>
      <c r="E92" s="30"/>
      <c r="F92" s="30"/>
      <c r="G92" s="31"/>
      <c r="H92" s="32" t="s">
        <v>175</v>
      </c>
      <c r="I92" s="32" t="s">
        <v>175</v>
      </c>
      <c r="J92" s="33"/>
    </row>
    <row r="93" spans="1:10">
      <c r="C93" s="20"/>
      <c r="D93" s="29"/>
      <c r="E93" s="30"/>
      <c r="F93" s="30"/>
      <c r="G93" s="31"/>
      <c r="H93" s="32"/>
      <c r="I93" s="32"/>
      <c r="J93" s="33"/>
    </row>
    <row r="94" spans="1:10">
      <c r="A94" s="26"/>
      <c r="B94" s="27"/>
      <c r="C94" s="28" t="s">
        <v>194</v>
      </c>
      <c r="D94" s="29"/>
      <c r="E94" s="30"/>
      <c r="F94" s="30"/>
      <c r="G94" s="31"/>
      <c r="H94" s="32"/>
      <c r="I94" s="32"/>
      <c r="J94" s="33"/>
    </row>
    <row r="95" spans="1:10">
      <c r="B95" s="1"/>
      <c r="C95" s="20" t="s">
        <v>195</v>
      </c>
      <c r="D95" s="29"/>
      <c r="E95" s="30"/>
      <c r="F95" s="30"/>
      <c r="G95" s="31"/>
      <c r="H95" s="32">
        <v>18.53</v>
      </c>
      <c r="I95" s="32">
        <v>3.78</v>
      </c>
      <c r="J95" s="33"/>
    </row>
    <row r="96" spans="1:10">
      <c r="C96" s="28" t="s">
        <v>173</v>
      </c>
      <c r="D96" s="29"/>
      <c r="E96" s="30"/>
      <c r="F96" s="30"/>
      <c r="G96" s="31"/>
      <c r="H96" s="35">
        <v>18.53</v>
      </c>
      <c r="I96" s="35">
        <v>3.78</v>
      </c>
      <c r="J96" s="33"/>
    </row>
    <row r="97" spans="3:10">
      <c r="C97" s="20"/>
      <c r="D97" s="29"/>
      <c r="E97" s="30"/>
      <c r="F97" s="30"/>
      <c r="G97" s="31"/>
      <c r="H97" s="32"/>
      <c r="I97" s="32"/>
      <c r="J97" s="33"/>
    </row>
    <row r="98" spans="3:10" ht="13.8" thickBot="1">
      <c r="C98" s="36" t="s">
        <v>196</v>
      </c>
      <c r="D98" s="37"/>
      <c r="E98" s="38"/>
      <c r="F98" s="39"/>
      <c r="G98" s="40"/>
      <c r="H98" s="41">
        <v>493.24</v>
      </c>
      <c r="I98" s="41">
        <f>SUMIFS(I:I,C:C,"Total")</f>
        <v>100</v>
      </c>
      <c r="J98" s="42"/>
    </row>
    <row r="101" spans="3:10">
      <c r="C101" s="11" t="s">
        <v>197</v>
      </c>
    </row>
    <row r="102" spans="3:10">
      <c r="C102" s="2" t="s">
        <v>198</v>
      </c>
    </row>
    <row r="103" spans="3:10">
      <c r="C103" s="2" t="s">
        <v>199</v>
      </c>
    </row>
    <row r="104" spans="3:10">
      <c r="C104" s="2" t="s">
        <v>200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4:I18"/>
  <sheetViews>
    <sheetView workbookViewId="0">
      <selection activeCell="A4" sqref="A4:I18"/>
    </sheetView>
  </sheetViews>
  <sheetFormatPr defaultRowHeight="14.4"/>
  <cols>
    <col min="1" max="1" width="44.44140625" customWidth="1"/>
    <col min="3" max="3" width="11" bestFit="1" customWidth="1"/>
    <col min="5" max="5" width="11" bestFit="1" customWidth="1"/>
    <col min="7" max="7" width="11" bestFit="1" customWidth="1"/>
    <col min="9" max="9" width="11" bestFit="1" customWidth="1"/>
  </cols>
  <sheetData>
    <row r="4" spans="1:9" ht="15.6">
      <c r="A4" s="43" t="s">
        <v>201</v>
      </c>
      <c r="B4" s="44"/>
      <c r="C4" s="44"/>
      <c r="D4" s="44"/>
      <c r="E4" s="44"/>
      <c r="F4" s="44"/>
      <c r="G4" s="44"/>
      <c r="H4" s="44"/>
      <c r="I4" s="44"/>
    </row>
    <row r="5" spans="1:9">
      <c r="A5" s="45" t="s">
        <v>202</v>
      </c>
      <c r="B5" s="46" t="s">
        <v>203</v>
      </c>
      <c r="C5" s="46"/>
      <c r="D5" s="46" t="s">
        <v>204</v>
      </c>
      <c r="E5" s="46"/>
      <c r="F5" s="46" t="s">
        <v>205</v>
      </c>
      <c r="G5" s="46"/>
      <c r="H5" s="46" t="s">
        <v>206</v>
      </c>
      <c r="I5" s="46"/>
    </row>
    <row r="6" spans="1:9" ht="66">
      <c r="A6" s="47"/>
      <c r="B6" s="48" t="s">
        <v>207</v>
      </c>
      <c r="C6" s="48" t="s">
        <v>208</v>
      </c>
      <c r="D6" s="48" t="s">
        <v>207</v>
      </c>
      <c r="E6" s="48" t="s">
        <v>208</v>
      </c>
      <c r="F6" s="48" t="s">
        <v>207</v>
      </c>
      <c r="G6" s="48" t="s">
        <v>208</v>
      </c>
      <c r="H6" s="48" t="s">
        <v>207</v>
      </c>
      <c r="I6" s="48" t="s">
        <v>208</v>
      </c>
    </row>
    <row r="7" spans="1:9">
      <c r="A7" s="49" t="s">
        <v>209</v>
      </c>
      <c r="B7" s="50">
        <v>5.3179190751444949</v>
      </c>
      <c r="C7" s="50">
        <v>10531.791907514451</v>
      </c>
      <c r="D7" s="50">
        <v>12.90519724512238</v>
      </c>
      <c r="E7" s="50">
        <v>14397.471355195576</v>
      </c>
      <c r="F7" s="50">
        <v>10.176263882774727</v>
      </c>
      <c r="G7" s="50">
        <v>16238.85918003565</v>
      </c>
      <c r="H7" s="50">
        <v>8.847848691210336</v>
      </c>
      <c r="I7" s="50">
        <v>36440</v>
      </c>
    </row>
    <row r="8" spans="1:9">
      <c r="A8" s="49" t="s">
        <v>210</v>
      </c>
      <c r="B8" s="50">
        <v>14.495453193113184</v>
      </c>
      <c r="C8" s="50">
        <v>11449.545319311319</v>
      </c>
      <c r="D8" s="50">
        <v>15.419681809439645</v>
      </c>
      <c r="E8" s="50">
        <v>15375.867155325643</v>
      </c>
      <c r="F8" s="50">
        <v>10.626845918223671</v>
      </c>
      <c r="G8" s="50">
        <v>16569.242418553633</v>
      </c>
      <c r="H8" s="50">
        <v>4.9514986099599367</v>
      </c>
      <c r="I8" s="50">
        <v>20895.965836711675</v>
      </c>
    </row>
    <row r="9" spans="1:9">
      <c r="A9" s="49" t="s">
        <v>211</v>
      </c>
      <c r="B9" s="50">
        <v>7.9019203651301329</v>
      </c>
      <c r="C9" s="50">
        <v>10790.192036513014</v>
      </c>
      <c r="D9" s="50">
        <v>13.034360395190792</v>
      </c>
      <c r="E9" s="50">
        <v>14442.136439350015</v>
      </c>
      <c r="F9" s="50">
        <v>12.966066007428623</v>
      </c>
      <c r="G9" s="50">
        <v>18396.704163514089</v>
      </c>
      <c r="H9" s="50">
        <v>11.917791842748816</v>
      </c>
      <c r="I9" s="50">
        <v>55677.315007254001</v>
      </c>
    </row>
    <row r="10" spans="1:9">
      <c r="A10" s="49" t="s">
        <v>212</v>
      </c>
      <c r="B10" s="51">
        <v>34.6</v>
      </c>
      <c r="C10" s="52"/>
      <c r="D10" s="51">
        <v>25.31</v>
      </c>
      <c r="E10" s="52"/>
      <c r="F10" s="51">
        <v>22.44</v>
      </c>
      <c r="G10" s="52"/>
      <c r="H10" s="51">
        <v>10</v>
      </c>
      <c r="I10" s="52"/>
    </row>
    <row r="12" spans="1:9" ht="15.6">
      <c r="A12" s="43" t="s">
        <v>213</v>
      </c>
      <c r="B12" s="44"/>
      <c r="C12" s="44"/>
      <c r="D12" s="44"/>
      <c r="E12" s="44"/>
      <c r="F12" s="44"/>
      <c r="G12" s="44"/>
      <c r="H12" s="44"/>
      <c r="I12" s="44"/>
    </row>
    <row r="13" spans="1:9">
      <c r="A13" s="45" t="s">
        <v>202</v>
      </c>
      <c r="B13" s="46" t="s">
        <v>203</v>
      </c>
      <c r="C13" s="46"/>
      <c r="D13" s="46" t="s">
        <v>204</v>
      </c>
      <c r="E13" s="46"/>
      <c r="F13" s="46" t="s">
        <v>205</v>
      </c>
      <c r="G13" s="46"/>
      <c r="H13" s="46" t="s">
        <v>206</v>
      </c>
      <c r="I13" s="46"/>
    </row>
    <row r="14" spans="1:9" ht="66">
      <c r="A14" s="47"/>
      <c r="B14" s="48" t="s">
        <v>207</v>
      </c>
      <c r="C14" s="48" t="s">
        <v>208</v>
      </c>
      <c r="D14" s="48" t="s">
        <v>207</v>
      </c>
      <c r="E14" s="48" t="s">
        <v>208</v>
      </c>
      <c r="F14" s="48" t="s">
        <v>207</v>
      </c>
      <c r="G14" s="48" t="s">
        <v>208</v>
      </c>
      <c r="H14" s="48" t="s">
        <v>207</v>
      </c>
      <c r="I14" s="48" t="s">
        <v>208</v>
      </c>
    </row>
    <row r="15" spans="1:9">
      <c r="A15" s="49" t="s">
        <v>209</v>
      </c>
      <c r="B15" s="50">
        <v>5.7613168724279573</v>
      </c>
      <c r="C15" s="50">
        <v>10576.131687242796</v>
      </c>
      <c r="D15" s="50">
        <v>13.39464617131727</v>
      </c>
      <c r="E15" s="50">
        <v>14585.698070374574</v>
      </c>
      <c r="F15" s="50">
        <v>10.67402731020486</v>
      </c>
      <c r="G15" s="50">
        <v>16609.22016372253</v>
      </c>
      <c r="H15" s="50">
        <v>12.402707767291599</v>
      </c>
      <c r="I15" s="50">
        <v>30070.202808112321</v>
      </c>
    </row>
    <row r="16" spans="1:9">
      <c r="A16" s="49" t="s">
        <v>210</v>
      </c>
      <c r="B16" s="50">
        <v>14.495453193113184</v>
      </c>
      <c r="C16" s="50">
        <v>11449.545319311319</v>
      </c>
      <c r="D16" s="50">
        <v>15.419681809439645</v>
      </c>
      <c r="E16" s="50">
        <v>15375.867155325643</v>
      </c>
      <c r="F16" s="50">
        <v>10.626845918223671</v>
      </c>
      <c r="G16" s="50">
        <v>16569.242418553633</v>
      </c>
      <c r="H16" s="50">
        <v>8.5064011595203048</v>
      </c>
      <c r="I16" s="50">
        <v>21570.64873032122</v>
      </c>
    </row>
    <row r="17" spans="1:9">
      <c r="A17" s="49" t="s">
        <v>211</v>
      </c>
      <c r="B17" s="50">
        <v>7.9019203651301329</v>
      </c>
      <c r="C17" s="50">
        <v>10790.192036513014</v>
      </c>
      <c r="D17" s="50">
        <v>13.034360395190792</v>
      </c>
      <c r="E17" s="50">
        <v>14442.136439350015</v>
      </c>
      <c r="F17" s="50">
        <v>12.966066007428623</v>
      </c>
      <c r="G17" s="50">
        <v>18396.704163514089</v>
      </c>
      <c r="H17" s="50">
        <v>12.887719117115882</v>
      </c>
      <c r="I17" s="50">
        <v>31314.421199296306</v>
      </c>
    </row>
    <row r="18" spans="1:9">
      <c r="A18" s="49" t="s">
        <v>214</v>
      </c>
      <c r="B18" s="51">
        <v>36.450000000000003</v>
      </c>
      <c r="C18" s="52"/>
      <c r="D18" s="51">
        <v>26.43</v>
      </c>
      <c r="E18" s="52"/>
      <c r="F18" s="51">
        <v>23.21</v>
      </c>
      <c r="G18" s="52"/>
      <c r="H18" s="51">
        <v>12.82</v>
      </c>
      <c r="I18" s="52"/>
    </row>
  </sheetData>
  <mergeCells count="16">
    <mergeCell ref="B13:C13"/>
    <mergeCell ref="D13:E13"/>
    <mergeCell ref="F13:G13"/>
    <mergeCell ref="H13:I13"/>
    <mergeCell ref="B18:C18"/>
    <mergeCell ref="D18:E18"/>
    <mergeCell ref="F18:G18"/>
    <mergeCell ref="H18:I18"/>
    <mergeCell ref="B5:C5"/>
    <mergeCell ref="D5:E5"/>
    <mergeCell ref="F5:G5"/>
    <mergeCell ref="H5:I5"/>
    <mergeCell ref="B10:C10"/>
    <mergeCell ref="D10:E10"/>
    <mergeCell ref="F10:G10"/>
    <mergeCell ref="H10:I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TISF-Risk-O-Meter &amp; Performance</vt:lpstr>
      <vt:lpstr>TISF-Portfolio</vt:lpstr>
      <vt:lpstr>XDO_?CLASS_3?4?</vt:lpstr>
      <vt:lpstr>XDO_?FINAL_ISIN?7?</vt:lpstr>
      <vt:lpstr>XDO_?FINAL_ISIN?8?</vt:lpstr>
      <vt:lpstr>XDO_?FINAL_MV?7?</vt:lpstr>
      <vt:lpstr>XDO_?FINAL_MV?8?</vt:lpstr>
      <vt:lpstr>XDO_?FINAL_NAME?7?</vt:lpstr>
      <vt:lpstr>XDO_?FINAL_NAME?8?</vt:lpstr>
      <vt:lpstr>XDO_?FINAL_PER_NET?7?</vt:lpstr>
      <vt:lpstr>XDO_?FINAL_PER_NET?8?</vt:lpstr>
      <vt:lpstr>XDO_?FINAL_QUANTITE?7?</vt:lpstr>
      <vt:lpstr>XDO_?FINAL_QUANTITE?8?</vt:lpstr>
      <vt:lpstr>XDO_?IND_01?7?</vt:lpstr>
      <vt:lpstr>XDO_?IND_01?8?</vt:lpstr>
      <vt:lpstr>XDO_?NAMCNAME?4?</vt:lpstr>
      <vt:lpstr>XDO_?NOVAL?7?</vt:lpstr>
      <vt:lpstr>XDO_?NOVAL?8?</vt:lpstr>
      <vt:lpstr>XDO_?NPTF?4?</vt:lpstr>
      <vt:lpstr>XDO_?RATING?7?</vt:lpstr>
      <vt:lpstr>XDO_?RATING?8?</vt:lpstr>
      <vt:lpstr>XDO_?REMARKS?7?</vt:lpstr>
      <vt:lpstr>XDO_?REMARKS?8?</vt:lpstr>
      <vt:lpstr>XDO_?TITL?4?</vt:lpstr>
      <vt:lpstr>XDO_GROUP_?G_2?4?</vt:lpstr>
      <vt:lpstr>XDO_GROUP_?G_3?4?</vt:lpstr>
      <vt:lpstr>XDO_GROUP_?G_4?7?</vt:lpstr>
      <vt:lpstr>XDO_GROUP_?G_4?8?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Acer</cp:lastModifiedBy>
  <dcterms:created xsi:type="dcterms:W3CDTF">2022-06-02T11:51:35Z</dcterms:created>
  <dcterms:modified xsi:type="dcterms:W3CDTF">2022-06-07T06:00:38Z</dcterms:modified>
</cp:coreProperties>
</file>