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3672B7B7-B5A1-4DB9-817E-FE1B47D63796}" xr6:coauthVersionLast="47" xr6:coauthVersionMax="47" xr10:uidLastSave="{00000000-0000-0000-0000-000000000000}"/>
  <bookViews>
    <workbookView xWindow="-120" yWindow="-120" windowWidth="20730" windowHeight="11160" xr2:uid="{BE4606E0-242B-46EC-9CD6-9A57D0667301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TDF!$C$8:$C$51</definedName>
    <definedName name="XDO_?FINAL_ISIN?3?">TDF!$D$10:$D$51</definedName>
    <definedName name="XDO_?FINAL_ISIN?4?">TDF!$D$10:$D$93</definedName>
    <definedName name="XDO_?FINAL_MV?3?">TDF!$H$10:$H$51</definedName>
    <definedName name="XDO_?FINAL_MV?4?">TDF!$H$10:$H$93</definedName>
    <definedName name="XDO_?FINAL_NAME?3?">TDF!$C$10:$C$51</definedName>
    <definedName name="XDO_?FINAL_NAME?4?">TDF!$C$10:$C$93</definedName>
    <definedName name="XDO_?FINAL_PER_NET?3?">TDF!$I$10:$I$51</definedName>
    <definedName name="XDO_?FINAL_PER_NET?4?">TDF!$I$10:$I$93</definedName>
    <definedName name="XDO_?FINAL_QUANTITE?3?">TDF!$G$10:$G$51</definedName>
    <definedName name="XDO_?FINAL_QUANTITE?4?">TDF!$G$10:$G$93</definedName>
    <definedName name="XDO_?IND_01?3?">TDF!$F$10:$F$51</definedName>
    <definedName name="XDO_?IND_01?4?">TDF!$F$10:$F$93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TDF!$C$2:$C$51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TDF!$B$10:$B$51</definedName>
    <definedName name="XDO_?NOVAL?4?">TDF!$B$10:$B$93</definedName>
    <definedName name="XDO_?NPTF?2?">TDF!$D$2:$D$51</definedName>
    <definedName name="XDO_?RATING?3?">TDF!$E$10:$E$51</definedName>
    <definedName name="XDO_?RATING?4?">TDF!$E$10:$E$93</definedName>
    <definedName name="XDO_?REMARKS?3?">TDF!$J$10:$J$51</definedName>
    <definedName name="XDO_?REMARKS?4?">TDF!$J$10:$J$93</definedName>
    <definedName name="XDO_?TITL?2?">TDF!$A$8:$A$51</definedName>
    <definedName name="XDO_GROUP_?G_2?2?">TDF!$2:$96</definedName>
    <definedName name="XDO_GROUP_?G_3?2?">TDF!$8:$95</definedName>
    <definedName name="XDO_GROUP_?G_4?3?">TDF!$B$10:$IV$51</definedName>
    <definedName name="XDO_GROUP_?G_4?4?">TDF!$B$93:$IV$93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 l="1"/>
</calcChain>
</file>

<file path=xl/sharedStrings.xml><?xml version="1.0" encoding="utf-8"?>
<sst xmlns="http://schemas.openxmlformats.org/spreadsheetml/2006/main" count="279" uniqueCount="204">
  <si>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</si>
  <si>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</si>
  <si>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</si>
  <si>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</si>
  <si>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</si>
  <si>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</si>
  <si>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</si>
  <si>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</si>
  <si>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</si>
  <si>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</si>
  <si>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</si>
  <si>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</si>
  <si>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</si>
  <si>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</si>
  <si>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</si>
  <si>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100281</t>
  </si>
  <si>
    <t>Century Textiles &amp; Industries Ltd.</t>
  </si>
  <si>
    <t>INE055A01016</t>
  </si>
  <si>
    <t>Paper, Forest &amp; Jute Products</t>
  </si>
  <si>
    <t>101348</t>
  </si>
  <si>
    <t>Ami Organics Ltd.</t>
  </si>
  <si>
    <t>INE00FF01017</t>
  </si>
  <si>
    <t>Pharmaceuticals &amp; Biotechnology</t>
  </si>
  <si>
    <t>101800</t>
  </si>
  <si>
    <t>Hindware Home Innovation Ltd.</t>
  </si>
  <si>
    <t>INE05AN01011</t>
  </si>
  <si>
    <t>Consumer Durables</t>
  </si>
  <si>
    <t>100088</t>
  </si>
  <si>
    <t>Bharat Heavy Electricals Ltd.</t>
  </si>
  <si>
    <t>INE257A01026</t>
  </si>
  <si>
    <t>Electrical Equipment</t>
  </si>
  <si>
    <t>100814</t>
  </si>
  <si>
    <t>HDFC Asset Management Co. Ltd.</t>
  </si>
  <si>
    <t>INE127D01025</t>
  </si>
  <si>
    <t>Capital Markets</t>
  </si>
  <si>
    <t>100055</t>
  </si>
  <si>
    <t>The Federal Bank Ltd.</t>
  </si>
  <si>
    <t>INE171A01029</t>
  </si>
  <si>
    <t>Banks</t>
  </si>
  <si>
    <t>101718</t>
  </si>
  <si>
    <t>Faze Three Ltd.</t>
  </si>
  <si>
    <t>INE963C01033</t>
  </si>
  <si>
    <t>Textiles &amp; Apparels</t>
  </si>
  <si>
    <t>100719</t>
  </si>
  <si>
    <t>Mayur Uniquoters Ltd.</t>
  </si>
  <si>
    <t>INE040D01038</t>
  </si>
  <si>
    <t>100466</t>
  </si>
  <si>
    <t>Igarashi Motors India Ltd.</t>
  </si>
  <si>
    <t>INE188B01013</t>
  </si>
  <si>
    <t>Auto Components</t>
  </si>
  <si>
    <t>100234</t>
  </si>
  <si>
    <t>Coforge Ltd.</t>
  </si>
  <si>
    <t>INE591G01017</t>
  </si>
  <si>
    <t>IT - Software</t>
  </si>
  <si>
    <t>100116</t>
  </si>
  <si>
    <t>Sundaram Finance Ltd.</t>
  </si>
  <si>
    <t>INE660A01013</t>
  </si>
  <si>
    <t>Finance</t>
  </si>
  <si>
    <t>100109</t>
  </si>
  <si>
    <t>Piramal Enterprises Ltd.</t>
  </si>
  <si>
    <t>INE140A01024</t>
  </si>
  <si>
    <t>100090</t>
  </si>
  <si>
    <t>Bharat Forge Ltd.</t>
  </si>
  <si>
    <t>INE465A01025</t>
  </si>
  <si>
    <t>Industrial Products</t>
  </si>
  <si>
    <t>100029</t>
  </si>
  <si>
    <t>Mphasis Ltd.</t>
  </si>
  <si>
    <t>INE356A01018</t>
  </si>
  <si>
    <t>100018</t>
  </si>
  <si>
    <t>Tata Communications Ltd.</t>
  </si>
  <si>
    <t>INE151A01013</t>
  </si>
  <si>
    <t>Telecom - Services</t>
  </si>
  <si>
    <t>100843</t>
  </si>
  <si>
    <t>Dalmia Bharat Ltd.</t>
  </si>
  <si>
    <t>INE00R701025</t>
  </si>
  <si>
    <t>Cement &amp; Cement Products</t>
  </si>
  <si>
    <t>101152</t>
  </si>
  <si>
    <t>Sumitomo Chemical India Ltd.</t>
  </si>
  <si>
    <t>INE258G01013</t>
  </si>
  <si>
    <t>Fertilizers &amp; Agrochemicals</t>
  </si>
  <si>
    <t>100042</t>
  </si>
  <si>
    <t>LIC Housing Finance Ltd.</t>
  </si>
  <si>
    <t>INE115A01026</t>
  </si>
  <si>
    <t>100035</t>
  </si>
  <si>
    <t>NMDC Ltd.</t>
  </si>
  <si>
    <t>INE584A01023</t>
  </si>
  <si>
    <t>Minerals &amp; Mining</t>
  </si>
  <si>
    <t>100195</t>
  </si>
  <si>
    <t>REC Ltd.</t>
  </si>
  <si>
    <t>INE020B01018</t>
  </si>
  <si>
    <t>101883</t>
  </si>
  <si>
    <t>Anant Raj Ltd.</t>
  </si>
  <si>
    <t>INE242C01024</t>
  </si>
  <si>
    <t>Realty</t>
  </si>
  <si>
    <t>100227</t>
  </si>
  <si>
    <t>Jubilant Foodworks Ltd.</t>
  </si>
  <si>
    <t>INE797F01020</t>
  </si>
  <si>
    <t>Leisure Services</t>
  </si>
  <si>
    <t>100242</t>
  </si>
  <si>
    <t>Schaeffler India Ltd.</t>
  </si>
  <si>
    <t>INE513A01022</t>
  </si>
  <si>
    <t>100107</t>
  </si>
  <si>
    <t>Max Financial Services Ltd.</t>
  </si>
  <si>
    <t>INE180A01020</t>
  </si>
  <si>
    <t>Insurance</t>
  </si>
  <si>
    <t>100144</t>
  </si>
  <si>
    <t>Voltas Ltd.</t>
  </si>
  <si>
    <t>INE226A01021</t>
  </si>
  <si>
    <t>100471</t>
  </si>
  <si>
    <t>Endurance Technologies Ltd.</t>
  </si>
  <si>
    <t>INE913H01037</t>
  </si>
  <si>
    <t>100570</t>
  </si>
  <si>
    <t>K.P.R. Mill Ltd.</t>
  </si>
  <si>
    <t>INE930H01031</t>
  </si>
  <si>
    <t>100426</t>
  </si>
  <si>
    <t>Relaxo Footwears Ltd.</t>
  </si>
  <si>
    <t>INE131B01039</t>
  </si>
  <si>
    <t>100335</t>
  </si>
  <si>
    <t>Kajaria Ceramics Ltd.</t>
  </si>
  <si>
    <t>INE217B01036</t>
  </si>
  <si>
    <t>100566</t>
  </si>
  <si>
    <t>Laurus Labs Ltd.</t>
  </si>
  <si>
    <t>INE947Q01028</t>
  </si>
  <si>
    <t>100665</t>
  </si>
  <si>
    <t>Aditya Birla Capital Ltd.</t>
  </si>
  <si>
    <t>INE674K01013</t>
  </si>
  <si>
    <t>100398</t>
  </si>
  <si>
    <t>Aditya Birla Fashion and Retail Ltd.</t>
  </si>
  <si>
    <t>INE647O01011</t>
  </si>
  <si>
    <t>Retailing</t>
  </si>
  <si>
    <t>100054</t>
  </si>
  <si>
    <t>Oberoi Realty Ltd.</t>
  </si>
  <si>
    <t>INE093I01010</t>
  </si>
  <si>
    <t>100172</t>
  </si>
  <si>
    <t>ACC Ltd.</t>
  </si>
  <si>
    <t>INE012A01025</t>
  </si>
  <si>
    <t>100461</t>
  </si>
  <si>
    <t>Astral Ltd.</t>
  </si>
  <si>
    <t>INE006I01046</t>
  </si>
  <si>
    <t>100137</t>
  </si>
  <si>
    <t>The Ramco Cements Ltd.</t>
  </si>
  <si>
    <t>INE331A01037</t>
  </si>
  <si>
    <t>100324</t>
  </si>
  <si>
    <t>NBCC (India) Ltd.</t>
  </si>
  <si>
    <t>INE095N01031</t>
  </si>
  <si>
    <t>Construction</t>
  </si>
  <si>
    <t>100161</t>
  </si>
  <si>
    <t>Cummins India Ltd.</t>
  </si>
  <si>
    <t>INE298A01020</t>
  </si>
  <si>
    <t>100222</t>
  </si>
  <si>
    <t>The Indian Hotels Company Ltd.</t>
  </si>
  <si>
    <t>INE053A01029</t>
  </si>
  <si>
    <t>100047</t>
  </si>
  <si>
    <t>Emami Ltd.</t>
  </si>
  <si>
    <t>INE548C01032</t>
  </si>
  <si>
    <t>Personal Products</t>
  </si>
  <si>
    <t>100201</t>
  </si>
  <si>
    <t>Aurobindo Pharma Ltd.</t>
  </si>
  <si>
    <t>INE406A01037</t>
  </si>
  <si>
    <t>101101</t>
  </si>
  <si>
    <t>LA Opala RG Ltd.</t>
  </si>
  <si>
    <t>INE059D01020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</si>
  <si>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</si>
  <si>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</si>
  <si>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</si>
  <si>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</si>
  <si>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</si>
  <si>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</si>
  <si>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</si>
  <si>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</si>
  <si>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</si>
  <si>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</si>
  <si>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</si>
  <si>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</si>
  <si>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</si>
  <si>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</si>
  <si>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</si>
  <si>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</si>
  <si>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</si>
  <si>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</si>
  <si>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</si>
  <si>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</si>
  <si>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</si>
  <si>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</si>
  <si>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</si>
  <si>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</si>
  <si>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</si>
  <si>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</si>
  <si>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</si>
  <si>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</si>
  <si>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</si>
  <si>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</si>
  <si>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</si>
  <si>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</si>
  <si>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</si>
  <si>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</si>
  <si>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</si>
  <si>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</si>
  <si>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</si>
  <si>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</si>
  <si>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</si>
  <si>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November 30, 2023 : 101.62)</t>
  </si>
  <si>
    <t>Taurus Discovery (Midcap) Fund-Direct Plan-Growth Option</t>
  </si>
  <si>
    <t>NAV [Rs.] Per Unit (as on November 30, 2023 : 106.55)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</si>
</sst>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</cellXfs>
  <cellStyles count="6">
    <cellStyle name="Comma" xfId="1" builtinId="3"/>
    <cellStyle name="Comma 2" xfId="5" xr:uid="{5863C742-3834-4977-8A09-F36B054AE7CB}"/>
    <cellStyle name="Hyperlink" xfId="2" builtinId="8"/>
    <cellStyle name="Normal" xfId="0" builtinId="0"/>
    <cellStyle name="Normal 2" xfId="4" xr:uid="{92F92E98-17B8-4792-A364-7F83C71EA587}"/>
    <cellStyle name="Style 1" xfId="3" xr:uid="{53F74DD0-3229-412E-9296-C4F9D0378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1788583</xdr:rowOff>
    </xdr:to>
    <xdr:pic>
      <xdr:nvPicPr>
        <xdr:cNvPr id="2" name="Picture 1" descr="Discovery Prodcut label - 9th Dec 2022.jpg">
          <a:extLst>
            <a:ext uri="{FF2B5EF4-FFF2-40B4-BE49-F238E27FC236}">
              <a16:creationId xmlns:a16="http://schemas.microsoft.com/office/drawing/2014/main" id="{EC30F223-1C02-4540-8A15-E7BDACF0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788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5A12-9D28-4FE9-AB67-500D580249E5}">
  <dimension ref="A1:BB10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7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47975</v>
      </c>
      <c r="H10" s="32">
        <v>605.66</v>
      </c>
      <c r="I10" s="32">
        <v>5.65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53750</v>
      </c>
      <c r="H11" s="32">
        <v>595.95000000000005</v>
      </c>
      <c r="I11" s="32">
        <v>5.56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95000</v>
      </c>
      <c r="H12" s="32">
        <v>492.96</v>
      </c>
      <c r="I12" s="32">
        <v>4.5999999999999996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265000</v>
      </c>
      <c r="H13" s="32">
        <v>451.69</v>
      </c>
      <c r="I13" s="32">
        <v>4.21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12950</v>
      </c>
      <c r="H14" s="32">
        <v>383.72</v>
      </c>
      <c r="I14" s="32">
        <v>3.58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260000</v>
      </c>
      <c r="H15" s="32">
        <v>382.98</v>
      </c>
      <c r="I15" s="32">
        <v>3.57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81000</v>
      </c>
      <c r="H16" s="32">
        <v>382.89</v>
      </c>
      <c r="I16" s="32">
        <v>3.57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26</v>
      </c>
      <c r="G17" s="31">
        <v>70000</v>
      </c>
      <c r="H17" s="32">
        <v>379.05</v>
      </c>
      <c r="I17" s="32">
        <v>3.53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57500</v>
      </c>
      <c r="H18" s="32">
        <v>311.70999999999998</v>
      </c>
      <c r="I18" s="32">
        <v>2.91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5400</v>
      </c>
      <c r="H19" s="32">
        <v>311</v>
      </c>
      <c r="I19" s="32">
        <v>2.9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8500</v>
      </c>
      <c r="H20" s="32">
        <v>290.02999999999997</v>
      </c>
      <c r="I20" s="32">
        <v>2.7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57</v>
      </c>
      <c r="G21" s="31">
        <v>31000</v>
      </c>
      <c r="H21" s="32">
        <v>287.32</v>
      </c>
      <c r="I21" s="32">
        <v>2.68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25250</v>
      </c>
      <c r="H22" s="32">
        <v>282.91000000000003</v>
      </c>
      <c r="I22" s="32">
        <v>2.64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53</v>
      </c>
      <c r="G23" s="31">
        <v>11950</v>
      </c>
      <c r="H23" s="32">
        <v>281.37</v>
      </c>
      <c r="I23" s="32">
        <v>2.62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16450</v>
      </c>
      <c r="H24" s="32">
        <v>280.68</v>
      </c>
      <c r="I24" s="32">
        <v>2.62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12400</v>
      </c>
      <c r="H25" s="32">
        <v>275.42</v>
      </c>
      <c r="I25" s="32">
        <v>2.57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65000</v>
      </c>
      <c r="H26" s="32">
        <v>264.36</v>
      </c>
      <c r="I26" s="32">
        <v>2.46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57</v>
      </c>
      <c r="G27" s="31">
        <v>52500</v>
      </c>
      <c r="H27" s="32">
        <v>257.62</v>
      </c>
      <c r="I27" s="32">
        <v>2.4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140000</v>
      </c>
      <c r="H28" s="32">
        <v>253.96</v>
      </c>
      <c r="I28" s="32">
        <v>2.37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57</v>
      </c>
      <c r="G29" s="31">
        <v>70000</v>
      </c>
      <c r="H29" s="32">
        <v>243.99</v>
      </c>
      <c r="I29" s="32">
        <v>2.27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90000</v>
      </c>
      <c r="H30" s="32">
        <v>241.43</v>
      </c>
      <c r="I30" s="32">
        <v>2.25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42500</v>
      </c>
      <c r="H31" s="32">
        <v>238.26</v>
      </c>
      <c r="I31" s="32">
        <v>2.2200000000000002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49</v>
      </c>
      <c r="G32" s="31">
        <v>8000</v>
      </c>
      <c r="H32" s="32">
        <v>226.92</v>
      </c>
      <c r="I32" s="32">
        <v>2.12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22000</v>
      </c>
      <c r="H33" s="32">
        <v>224.38</v>
      </c>
      <c r="I33" s="32">
        <v>2.09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26</v>
      </c>
      <c r="G34" s="31">
        <v>26500</v>
      </c>
      <c r="H34" s="32">
        <v>219.14</v>
      </c>
      <c r="I34" s="32">
        <v>2.04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49</v>
      </c>
      <c r="G35" s="31">
        <v>12875</v>
      </c>
      <c r="H35" s="32">
        <v>216.74</v>
      </c>
      <c r="I35" s="32">
        <v>2.02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42</v>
      </c>
      <c r="G36" s="31">
        <v>24000</v>
      </c>
      <c r="H36" s="32">
        <v>207.71</v>
      </c>
      <c r="I36" s="32">
        <v>1.94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26</v>
      </c>
      <c r="G37" s="31">
        <v>22500</v>
      </c>
      <c r="H37" s="32">
        <v>204.63</v>
      </c>
      <c r="I37" s="32">
        <v>1.91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26</v>
      </c>
      <c r="G38" s="31">
        <v>14500</v>
      </c>
      <c r="H38" s="32">
        <v>193.94</v>
      </c>
      <c r="I38" s="32">
        <v>1.81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22</v>
      </c>
      <c r="G39" s="31">
        <v>45000</v>
      </c>
      <c r="H39" s="32">
        <v>171.41</v>
      </c>
      <c r="I39" s="32">
        <v>1.6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57</v>
      </c>
      <c r="G40" s="31">
        <v>100000</v>
      </c>
      <c r="H40" s="32">
        <v>168.2</v>
      </c>
      <c r="I40" s="32">
        <v>1.57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65769</v>
      </c>
      <c r="H41" s="32">
        <v>152.41999999999999</v>
      </c>
      <c r="I41" s="32">
        <v>1.42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93</v>
      </c>
      <c r="G42" s="31">
        <v>10000</v>
      </c>
      <c r="H42" s="32">
        <v>140.85</v>
      </c>
      <c r="I42" s="32">
        <v>1.31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75</v>
      </c>
      <c r="G43" s="31">
        <v>7341</v>
      </c>
      <c r="H43" s="32">
        <v>137.72999999999999</v>
      </c>
      <c r="I43" s="32">
        <v>1.28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64</v>
      </c>
      <c r="G44" s="31">
        <v>6500</v>
      </c>
      <c r="H44" s="32">
        <v>126.58</v>
      </c>
      <c r="I44" s="32">
        <v>1.18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75</v>
      </c>
      <c r="G45" s="31">
        <v>12000</v>
      </c>
      <c r="H45" s="32">
        <v>119.07</v>
      </c>
      <c r="I45" s="32">
        <v>1.1100000000000001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132714</v>
      </c>
      <c r="H46" s="32">
        <v>100.97</v>
      </c>
      <c r="I46" s="32">
        <v>0.94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64</v>
      </c>
      <c r="G47" s="31">
        <v>4000</v>
      </c>
      <c r="H47" s="32">
        <v>76.42</v>
      </c>
      <c r="I47" s="32">
        <v>0.71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97</v>
      </c>
      <c r="G48" s="31">
        <v>14500</v>
      </c>
      <c r="H48" s="32">
        <v>61.13</v>
      </c>
      <c r="I48" s="32">
        <v>0.56999999999999995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12000</v>
      </c>
      <c r="H49" s="32">
        <v>60.83</v>
      </c>
      <c r="I49" s="32">
        <v>0.56999999999999995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22</v>
      </c>
      <c r="G50" s="31">
        <v>5000</v>
      </c>
      <c r="H50" s="32">
        <v>52.15</v>
      </c>
      <c r="I50" s="32">
        <v>0.49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26</v>
      </c>
      <c r="G51" s="31">
        <v>13680</v>
      </c>
      <c r="H51" s="32">
        <v>52.08</v>
      </c>
      <c r="I51" s="32">
        <v>0.49</v>
      </c>
      <c r="J51" s="33"/>
    </row>
    <row r="52" spans="2:10" x14ac:dyDescent="0.25">
      <c r="C52" s="28" t="s">
        <v>162</v>
      </c>
      <c r="D52" s="29"/>
      <c r="E52" s="30"/>
      <c r="F52" s="30"/>
      <c r="G52" s="31"/>
      <c r="H52" s="35">
        <v>10408.26</v>
      </c>
      <c r="I52" s="35">
        <v>97.05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28" t="s">
        <v>163</v>
      </c>
      <c r="D54" s="29"/>
      <c r="E54" s="30"/>
      <c r="F54" s="30"/>
      <c r="G54" s="31"/>
      <c r="H54" s="32" t="s">
        <v>164</v>
      </c>
      <c r="I54" s="32" t="s">
        <v>164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28" t="s">
        <v>165</v>
      </c>
      <c r="D56" s="29"/>
      <c r="E56" s="30"/>
      <c r="F56" s="30"/>
      <c r="G56" s="31"/>
      <c r="H56" s="32" t="s">
        <v>164</v>
      </c>
      <c r="I56" s="32" t="s">
        <v>164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166</v>
      </c>
      <c r="D58" s="29"/>
      <c r="E58" s="30"/>
      <c r="F58" s="30"/>
      <c r="G58" s="31"/>
      <c r="H58" s="32"/>
      <c r="I58" s="32"/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167</v>
      </c>
      <c r="D60" s="29"/>
      <c r="E60" s="30"/>
      <c r="F60" s="30"/>
      <c r="G60" s="31"/>
      <c r="H60" s="32" t="s">
        <v>164</v>
      </c>
      <c r="I60" s="32" t="s">
        <v>164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168</v>
      </c>
      <c r="D62" s="29"/>
      <c r="E62" s="30"/>
      <c r="F62" s="30"/>
      <c r="G62" s="31"/>
      <c r="H62" s="32" t="s">
        <v>164</v>
      </c>
      <c r="I62" s="32" t="s">
        <v>164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169</v>
      </c>
      <c r="D64" s="29"/>
      <c r="E64" s="30"/>
      <c r="F64" s="30"/>
      <c r="G64" s="31"/>
      <c r="H64" s="32" t="s">
        <v>164</v>
      </c>
      <c r="I64" s="32" t="s">
        <v>164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170</v>
      </c>
      <c r="D66" s="29"/>
      <c r="E66" s="30"/>
      <c r="F66" s="30"/>
      <c r="G66" s="31"/>
      <c r="H66" s="32" t="s">
        <v>164</v>
      </c>
      <c r="I66" s="32" t="s">
        <v>164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171</v>
      </c>
      <c r="D68" s="29"/>
      <c r="E68" s="30"/>
      <c r="F68" s="30"/>
      <c r="G68" s="31"/>
      <c r="H68" s="32" t="s">
        <v>164</v>
      </c>
      <c r="I68" s="32" t="s">
        <v>164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172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173</v>
      </c>
      <c r="D72" s="29"/>
      <c r="E72" s="30"/>
      <c r="F72" s="30"/>
      <c r="G72" s="31"/>
      <c r="H72" s="32" t="s">
        <v>164</v>
      </c>
      <c r="I72" s="32" t="s">
        <v>164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174</v>
      </c>
      <c r="D74" s="29"/>
      <c r="E74" s="30"/>
      <c r="F74" s="30"/>
      <c r="G74" s="31"/>
      <c r="H74" s="32" t="s">
        <v>164</v>
      </c>
      <c r="I74" s="32" t="s">
        <v>164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175</v>
      </c>
      <c r="D76" s="29"/>
      <c r="E76" s="30"/>
      <c r="F76" s="30"/>
      <c r="G76" s="31"/>
      <c r="H76" s="32" t="s">
        <v>164</v>
      </c>
      <c r="I76" s="32" t="s">
        <v>164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176</v>
      </c>
      <c r="D78" s="29"/>
      <c r="E78" s="30"/>
      <c r="F78" s="30"/>
      <c r="G78" s="31"/>
      <c r="H78" s="32" t="s">
        <v>164</v>
      </c>
      <c r="I78" s="32" t="s">
        <v>164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177</v>
      </c>
      <c r="D80" s="29"/>
      <c r="E80" s="30"/>
      <c r="F80" s="30"/>
      <c r="G80" s="31"/>
      <c r="H80" s="32"/>
      <c r="I80" s="32"/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178</v>
      </c>
      <c r="D82" s="29"/>
      <c r="E82" s="30"/>
      <c r="F82" s="30"/>
      <c r="G82" s="31"/>
      <c r="H82" s="32" t="s">
        <v>164</v>
      </c>
      <c r="I82" s="32" t="s">
        <v>164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179</v>
      </c>
      <c r="D84" s="29"/>
      <c r="E84" s="30"/>
      <c r="F84" s="30"/>
      <c r="G84" s="31"/>
      <c r="H84" s="32" t="s">
        <v>164</v>
      </c>
      <c r="I84" s="32" t="s">
        <v>164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180</v>
      </c>
      <c r="D86" s="29"/>
      <c r="E86" s="30"/>
      <c r="F86" s="30"/>
      <c r="G86" s="31"/>
      <c r="H86" s="32" t="s">
        <v>164</v>
      </c>
      <c r="I86" s="32" t="s">
        <v>164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181</v>
      </c>
      <c r="D88" s="29"/>
      <c r="E88" s="30"/>
      <c r="F88" s="30"/>
      <c r="G88" s="31"/>
      <c r="H88" s="32" t="s">
        <v>164</v>
      </c>
      <c r="I88" s="32" t="s">
        <v>164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182</v>
      </c>
      <c r="D90" s="29"/>
      <c r="E90" s="30"/>
      <c r="F90" s="30"/>
      <c r="G90" s="31"/>
      <c r="H90" s="32" t="s">
        <v>164</v>
      </c>
      <c r="I90" s="32" t="s">
        <v>164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A92" s="26"/>
      <c r="B92" s="27"/>
      <c r="C92" s="28" t="s">
        <v>183</v>
      </c>
      <c r="D92" s="29"/>
      <c r="E92" s="30"/>
      <c r="F92" s="30"/>
      <c r="G92" s="31"/>
      <c r="H92" s="32"/>
      <c r="I92" s="32"/>
      <c r="J92" s="33"/>
    </row>
    <row r="93" spans="1:10" x14ac:dyDescent="0.25">
      <c r="B93" s="1"/>
      <c r="C93" s="20" t="s">
        <v>184</v>
      </c>
      <c r="D93" s="29"/>
      <c r="E93" s="30"/>
      <c r="F93" s="30"/>
      <c r="G93" s="31"/>
      <c r="H93" s="32">
        <v>316.73</v>
      </c>
      <c r="I93" s="32">
        <v>2.95</v>
      </c>
      <c r="J93" s="33"/>
    </row>
    <row r="94" spans="1:10" x14ac:dyDescent="0.25">
      <c r="C94" s="28" t="s">
        <v>162</v>
      </c>
      <c r="D94" s="29"/>
      <c r="E94" s="30"/>
      <c r="F94" s="30"/>
      <c r="G94" s="31"/>
      <c r="H94" s="35">
        <v>316.73</v>
      </c>
      <c r="I94" s="35">
        <v>2.95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ht="14.25" thickBot="1" x14ac:dyDescent="0.3">
      <c r="C96" s="36" t="s">
        <v>185</v>
      </c>
      <c r="D96" s="37"/>
      <c r="E96" s="38"/>
      <c r="F96" s="39"/>
      <c r="G96" s="40"/>
      <c r="H96" s="41">
        <v>10724.99</v>
      </c>
      <c r="I96" s="41">
        <f>SUMIFS(I:I,C:C,"Total")</f>
        <v>100</v>
      </c>
      <c r="J96" s="42"/>
    </row>
    <row r="99" spans="3:3" x14ac:dyDescent="0.25">
      <c r="C99" s="11" t="s">
        <v>186</v>
      </c>
    </row>
    <row r="100" spans="3:3" x14ac:dyDescent="0.25">
      <c r="C100" s="2" t="s">
        <v>187</v>
      </c>
    </row>
    <row r="101" spans="3:3" x14ac:dyDescent="0.25">
      <c r="C101" s="2" t="s">
        <v>188</v>
      </c>
    </row>
    <row r="102" spans="3:3" x14ac:dyDescent="0.25">
      <c r="C102" s="2" t="s">
        <v>189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35D7-5E8D-4D97-9A4C-D9BB37719F37}">
  <dimension ref="B4:J18"/>
  <sheetViews>
    <sheetView workbookViewId="0"/>
  </sheetViews>
  <sheetFormatPr defaultRowHeight="15" x14ac:dyDescent="0.25"/>
  <cols>
    <col min="2" max="2" width="53.7109375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4" spans="2:10" s="44" customFormat="1" ht="15.75" x14ac:dyDescent="0.25">
      <c r="B4" s="43" t="s">
        <v>190</v>
      </c>
    </row>
    <row r="5" spans="2:10" s="53" customFormat="1" ht="12.75" x14ac:dyDescent="0.2">
      <c r="B5" s="45" t="s">
        <v>191</v>
      </c>
      <c r="C5" s="50" t="s">
        <v>192</v>
      </c>
      <c r="D5" s="50"/>
      <c r="E5" s="50" t="s">
        <v>193</v>
      </c>
      <c r="F5" s="50"/>
      <c r="G5" s="50" t="s">
        <v>194</v>
      </c>
      <c r="H5" s="50"/>
      <c r="I5" s="50" t="s">
        <v>195</v>
      </c>
      <c r="J5" s="50"/>
    </row>
    <row r="6" spans="2:10" s="54" customFormat="1" ht="63.75" x14ac:dyDescent="0.2">
      <c r="B6" s="46"/>
      <c r="C6" s="47" t="s">
        <v>196</v>
      </c>
      <c r="D6" s="47" t="s">
        <v>197</v>
      </c>
      <c r="E6" s="47" t="s">
        <v>196</v>
      </c>
      <c r="F6" s="47" t="s">
        <v>197</v>
      </c>
      <c r="G6" s="47" t="s">
        <v>196</v>
      </c>
      <c r="H6" s="47" t="s">
        <v>197</v>
      </c>
      <c r="I6" s="47" t="s">
        <v>196</v>
      </c>
      <c r="J6" s="47" t="s">
        <v>197</v>
      </c>
    </row>
    <row r="7" spans="2:10" x14ac:dyDescent="0.25">
      <c r="B7" s="48" t="s">
        <v>198</v>
      </c>
      <c r="C7" s="49">
        <v>29.600816222420612</v>
      </c>
      <c r="D7" s="49">
        <v>12960.081622242062</v>
      </c>
      <c r="E7" s="49">
        <v>24.827735848918444</v>
      </c>
      <c r="F7" s="49">
        <v>19486.097794822628</v>
      </c>
      <c r="G7" s="49">
        <v>19.402809557754885</v>
      </c>
      <c r="H7" s="49">
        <v>24281.959378733573</v>
      </c>
      <c r="I7" s="49">
        <v>8.2474747293319162</v>
      </c>
      <c r="J7" s="49">
        <v>101620</v>
      </c>
    </row>
    <row r="8" spans="2:10" x14ac:dyDescent="0.25">
      <c r="B8" s="48" t="s">
        <v>199</v>
      </c>
      <c r="C8" s="49">
        <v>32.844816177443704</v>
      </c>
      <c r="D8" s="49">
        <v>13284.48161774437</v>
      </c>
      <c r="E8" s="49">
        <v>29.86841550692354</v>
      </c>
      <c r="F8" s="49">
        <v>21903.354165694458</v>
      </c>
      <c r="G8" s="49">
        <v>21.871720552966156</v>
      </c>
      <c r="H8" s="49">
        <v>26885.289180783988</v>
      </c>
      <c r="I8" s="49">
        <v>0</v>
      </c>
      <c r="J8" s="49">
        <v>0</v>
      </c>
    </row>
    <row r="9" spans="2:10" x14ac:dyDescent="0.25">
      <c r="B9" s="48" t="s">
        <v>200</v>
      </c>
      <c r="C9" s="49">
        <v>8.4665975705390917</v>
      </c>
      <c r="D9" s="49">
        <v>10846.659757053909</v>
      </c>
      <c r="E9" s="49">
        <v>17.118015846042802</v>
      </c>
      <c r="F9" s="49">
        <v>16064.644470298446</v>
      </c>
      <c r="G9" s="49">
        <v>14.451605518387399</v>
      </c>
      <c r="H9" s="49">
        <v>19638.551254443326</v>
      </c>
      <c r="I9" s="49">
        <v>10.905282732249621</v>
      </c>
      <c r="J9" s="49">
        <v>206570.52292030808</v>
      </c>
    </row>
    <row r="10" spans="2:10" x14ac:dyDescent="0.25">
      <c r="B10" s="48" t="s">
        <v>201</v>
      </c>
      <c r="C10" s="51">
        <v>78.41</v>
      </c>
      <c r="D10" s="52"/>
      <c r="E10" s="51">
        <v>52.15</v>
      </c>
      <c r="F10" s="52"/>
      <c r="G10" s="51">
        <v>41.85</v>
      </c>
      <c r="H10" s="52"/>
      <c r="I10" s="51">
        <v>10</v>
      </c>
      <c r="J10" s="52"/>
    </row>
    <row r="12" spans="2:10" s="44" customFormat="1" ht="15.75" x14ac:dyDescent="0.25">
      <c r="B12" s="43" t="s">
        <v>202</v>
      </c>
    </row>
    <row r="13" spans="2:10" s="53" customFormat="1" ht="12.75" x14ac:dyDescent="0.2">
      <c r="B13" s="45" t="s">
        <v>191</v>
      </c>
      <c r="C13" s="50" t="s">
        <v>192</v>
      </c>
      <c r="D13" s="50"/>
      <c r="E13" s="50" t="s">
        <v>193</v>
      </c>
      <c r="F13" s="50"/>
      <c r="G13" s="50" t="s">
        <v>194</v>
      </c>
      <c r="H13" s="50"/>
      <c r="I13" s="50" t="s">
        <v>195</v>
      </c>
      <c r="J13" s="50"/>
    </row>
    <row r="14" spans="2:10" s="54" customFormat="1" ht="63.75" x14ac:dyDescent="0.2">
      <c r="B14" s="46"/>
      <c r="C14" s="47" t="s">
        <v>196</v>
      </c>
      <c r="D14" s="47" t="s">
        <v>197</v>
      </c>
      <c r="E14" s="47" t="s">
        <v>196</v>
      </c>
      <c r="F14" s="47" t="s">
        <v>197</v>
      </c>
      <c r="G14" s="47" t="s">
        <v>196</v>
      </c>
      <c r="H14" s="47" t="s">
        <v>197</v>
      </c>
      <c r="I14" s="47" t="s">
        <v>196</v>
      </c>
      <c r="J14" s="47" t="s">
        <v>197</v>
      </c>
    </row>
    <row r="15" spans="2:10" x14ac:dyDescent="0.25">
      <c r="B15" s="48" t="s">
        <v>198</v>
      </c>
      <c r="C15" s="49">
        <v>30.018303843807193</v>
      </c>
      <c r="D15" s="49">
        <v>13001.830384380719</v>
      </c>
      <c r="E15" s="49">
        <v>25.255638247293376</v>
      </c>
      <c r="F15" s="49">
        <v>19687.730968218773</v>
      </c>
      <c r="G15" s="49">
        <v>19.8652012144777</v>
      </c>
      <c r="H15" s="49">
        <v>24756.040892193309</v>
      </c>
      <c r="I15" s="49">
        <v>17.8642213469399</v>
      </c>
      <c r="J15" s="49">
        <v>60163.749294184068</v>
      </c>
    </row>
    <row r="16" spans="2:10" x14ac:dyDescent="0.25">
      <c r="B16" s="48" t="s">
        <v>199</v>
      </c>
      <c r="C16" s="49">
        <v>32.844816177443704</v>
      </c>
      <c r="D16" s="49">
        <v>13284.48161774437</v>
      </c>
      <c r="E16" s="49">
        <v>29.86841550692354</v>
      </c>
      <c r="F16" s="49">
        <v>21903.354165694458</v>
      </c>
      <c r="G16" s="49">
        <v>21.871720552966156</v>
      </c>
      <c r="H16" s="49">
        <v>26885.289180783988</v>
      </c>
      <c r="I16" s="49">
        <v>18.926507362691591</v>
      </c>
      <c r="J16" s="49">
        <v>66355.667786033548</v>
      </c>
    </row>
    <row r="17" spans="2:10" x14ac:dyDescent="0.25">
      <c r="B17" s="48" t="s">
        <v>200</v>
      </c>
      <c r="C17" s="49">
        <v>8.4665975705390917</v>
      </c>
      <c r="D17" s="49">
        <v>10846.659757053909</v>
      </c>
      <c r="E17" s="49">
        <v>17.118015846042802</v>
      </c>
      <c r="F17" s="49">
        <v>16064.644470298446</v>
      </c>
      <c r="G17" s="49">
        <v>14.451605518387399</v>
      </c>
      <c r="H17" s="49">
        <v>19638.551254443326</v>
      </c>
      <c r="I17" s="49">
        <v>13.187679545772401</v>
      </c>
      <c r="J17" s="49">
        <v>38669.52823357498</v>
      </c>
    </row>
    <row r="18" spans="2:10" x14ac:dyDescent="0.25">
      <c r="B18" s="48" t="s">
        <v>203</v>
      </c>
      <c r="C18" s="51">
        <v>81.95</v>
      </c>
      <c r="D18" s="52"/>
      <c r="E18" s="51">
        <v>54.12</v>
      </c>
      <c r="F18" s="52"/>
      <c r="G18" s="51">
        <v>43.04</v>
      </c>
      <c r="H18" s="52"/>
      <c r="I18" s="51">
        <v>17.71</v>
      </c>
      <c r="J18" s="52"/>
    </row>
  </sheetData>
  <mergeCells count="16">
    <mergeCell ref="C18:D18"/>
    <mergeCell ref="E18:F18"/>
    <mergeCell ref="G18:H18"/>
    <mergeCell ref="I18:J18"/>
    <mergeCell ref="C10:D10"/>
    <mergeCell ref="E10:F10"/>
    <mergeCell ref="G10:H10"/>
    <mergeCell ref="I10:J10"/>
    <mergeCell ref="C13:D13"/>
    <mergeCell ref="E13:F13"/>
    <mergeCell ref="G13:H13"/>
    <mergeCell ref="I13:J13"/>
    <mergeCell ref="C5:D5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2023-12-01T11:46:05Z</dcterms:created>
  <dcterms:modified xsi:type="dcterms:W3CDTF">2023-12-07T04:09:13Z</dcterms:modified>
</cp:coreProperties>
</file>