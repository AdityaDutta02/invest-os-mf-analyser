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3. June 2025\Monthly Portfolio May 2025\Ops\"/>
    </mc:Choice>
  </mc:AlternateContent>
  <xr:revisionPtr revIDLastSave="0" documentId="13_ncr:1_{F4CAD5F7-442C-4E52-A837-B24D10C91968}" xr6:coauthVersionLast="47" xr6:coauthVersionMax="47" xr10:uidLastSave="{00000000-0000-0000-0000-000000000000}"/>
  <bookViews>
    <workbookView xWindow="-120" yWindow="-120" windowWidth="20730" windowHeight="11040" xr2:uid="{96A80A29-AD06-4133-B8C1-01086B842A97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TTS!$C$8:$C$40</definedName>
    <definedName name="XDO_?FINAL_ISIN?16?">TTS!$D$10:$D$40</definedName>
    <definedName name="XDO_?FINAL_ISIN?17?">TTS!$D$10:$D$81</definedName>
    <definedName name="XDO_?FINAL_ISIN?18?">TTS!$D$10:$D$85</definedName>
    <definedName name="XDO_?FINAL_MV?16?">TTS!$H$10:$H$40</definedName>
    <definedName name="XDO_?FINAL_MV?17?">TTS!$H$10:$H$81</definedName>
    <definedName name="XDO_?FINAL_MV?18?">TTS!$H$10:$H$85</definedName>
    <definedName name="XDO_?FINAL_NAME?16?">TTS!$C$10:$C$40</definedName>
    <definedName name="XDO_?FINAL_NAME?17?">TTS!$C$10:$C$81</definedName>
    <definedName name="XDO_?FINAL_NAME?18?">TTS!$C$10:$C$85</definedName>
    <definedName name="XDO_?FINAL_PER_NET?16?">TTS!$I$10:$I$40</definedName>
    <definedName name="XDO_?FINAL_PER_NET?17?">TTS!$I$10:$I$81</definedName>
    <definedName name="XDO_?FINAL_PER_NET?18?">TTS!$I$10:$I$85</definedName>
    <definedName name="XDO_?FINAL_QUANTITE?16?">TTS!$G$10:$G$40</definedName>
    <definedName name="XDO_?FINAL_QUANTITE?17?">TTS!$G$10:$G$81</definedName>
    <definedName name="XDO_?FINAL_QUANTITE?18?">TTS!$G$10:$G$85</definedName>
    <definedName name="XDO_?IND_01?16?">TTS!$F$10:$F$40</definedName>
    <definedName name="XDO_?IND_01?17?">TTS!$F$10:$F$81</definedName>
    <definedName name="XDO_?IND_01?18?">TTS!$F$10:$F$85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6?">TTS!$B$10:$B$40</definedName>
    <definedName name="XDO_?NOVAL?17?">TTS!$B$10:$B$81</definedName>
    <definedName name="XDO_?NOVAL?18?">TTS!$B$10:$B$85</definedName>
    <definedName name="XDO_?NPTF?7?">TTS!$D$2:$D$40</definedName>
    <definedName name="XDO_?RATING?16?">TTS!$E$10:$E$40</definedName>
    <definedName name="XDO_?RATING?17?">TTS!$E$10:$E$81</definedName>
    <definedName name="XDO_?RATING?18?">TTS!$E$10:$E$85</definedName>
    <definedName name="XDO_?REMARKS?16?">TTS!$J$10:$J$40</definedName>
    <definedName name="XDO_?REMARKS?17?">TTS!$J$10:$J$81</definedName>
    <definedName name="XDO_?REMARKS?18?">TTS!$J$10:$J$85</definedName>
    <definedName name="XDO_?TITL?7?">TTS!$A$8:$A$40</definedName>
    <definedName name="XDO_GROUP_?G_2?7?">TTS!$2:$88</definedName>
    <definedName name="XDO_GROUP_?G_3?7?">TTS!$8:$87</definedName>
    <definedName name="XDO_GROUP_?G_4?16?">TTS!$B$10:$IV$40</definedName>
    <definedName name="XDO_GROUP_?G_4?17?">TTS!$B$81:$IV$81</definedName>
    <definedName name="XDO_GROUP_?G_4?18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<sst xmlns="http://schemas.openxmlformats.org/spreadsheetml/2006/main" count="263" uniqueCount="195">
  <si>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</si>
  <si>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</si>
  <si>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</si>
  <si>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</si>
  <si>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</si>
  <si>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</si>
  <si>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</si>
  <si>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</si>
  <si>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</si>
  <si>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</si>
  <si>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</si>
  <si>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</si>
  <si>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</si>
  <si>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</si>
  <si>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</si>
  <si>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</si>
  <si>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</si>
  <si>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</si>
  <si>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</si>
  <si>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</si>
  <si>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</si>
  <si>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</si>
  <si>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</si>
  <si>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</si>
  <si>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</si>
  <si>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</si>
  <si>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</si>
  <si>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</si>
  <si>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</si>
  <si>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</si>
  <si>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100474</t>
  </si>
  <si>
    <t>Narayana Hrudayalaya Ltd.</t>
  </si>
  <si>
    <t>INE410P01011</t>
  </si>
  <si>
    <t>Healthcare Services</t>
  </si>
  <si>
    <t>100024</t>
  </si>
  <si>
    <t>Axis Bank Ltd.</t>
  </si>
  <si>
    <t>INE238A01034</t>
  </si>
  <si>
    <t>102094</t>
  </si>
  <si>
    <t>HBL Engineering Ltd.</t>
  </si>
  <si>
    <t>INE292B01021</t>
  </si>
  <si>
    <t>Industrial Products</t>
  </si>
  <si>
    <t>100182</t>
  </si>
  <si>
    <t>Power Grid Corporation of India Ltd.</t>
  </si>
  <si>
    <t>INE752E01010</t>
  </si>
  <si>
    <t>Power</t>
  </si>
  <si>
    <t>100097</t>
  </si>
  <si>
    <t>Coal India Ltd.</t>
  </si>
  <si>
    <t>INE522F01014</t>
  </si>
  <si>
    <t>Consumable Fuels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</si>
  <si>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</si>
  <si>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</si>
  <si>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</si>
  <si>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</si>
  <si>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</si>
  <si>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</si>
  <si>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</si>
  <si>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</si>
  <si>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100153</t>
  </si>
  <si>
    <t>Cipla Ltd.</t>
  </si>
  <si>
    <t>INE059A01026</t>
  </si>
  <si>
    <t>Pharmaceuticals &amp; Biotechnology</t>
  </si>
  <si>
    <t>100100</t>
  </si>
  <si>
    <t>Hindustan Petroleum Corporation Ltd.</t>
  </si>
  <si>
    <t>INE094A01015</t>
  </si>
  <si>
    <t>Petroleum Products</t>
  </si>
  <si>
    <t>100112</t>
  </si>
  <si>
    <t>Punjab National Bank</t>
  </si>
  <si>
    <t>INE160A01022</t>
  </si>
  <si>
    <t>100003</t>
  </si>
  <si>
    <t>Infosys Ltd.</t>
  </si>
  <si>
    <t>INE009A01021</t>
  </si>
  <si>
    <t>100095</t>
  </si>
  <si>
    <t>Bharti Airtel Ltd.</t>
  </si>
  <si>
    <t>INE397D01024</t>
  </si>
  <si>
    <t>Telecom - Services</t>
  </si>
  <si>
    <t>100133</t>
  </si>
  <si>
    <t>Oracle Financial Services Software Ltd.</t>
  </si>
  <si>
    <t>INE881D01027</t>
  </si>
  <si>
    <t>101178</t>
  </si>
  <si>
    <t>Computer Age Management Services Ltd.</t>
  </si>
  <si>
    <t>INE596I01012</t>
  </si>
  <si>
    <t>Capital Markets</t>
  </si>
  <si>
    <t>100155</t>
  </si>
  <si>
    <t>Divi's Laboratories Ltd.</t>
  </si>
  <si>
    <t>INE361B01024</t>
  </si>
  <si>
    <t>100083</t>
  </si>
  <si>
    <t>Samvardhana Motherson International Ltd.</t>
  </si>
  <si>
    <t>INE775A01035</t>
  </si>
  <si>
    <t>Auto Components</t>
  </si>
  <si>
    <t>100191</t>
  </si>
  <si>
    <t>Canara Bank</t>
  </si>
  <si>
    <t>INE476A01022</t>
  </si>
  <si>
    <t>100759</t>
  </si>
  <si>
    <t>The New India Assurance Co. Ltd.</t>
  </si>
  <si>
    <t>INE470Y01017</t>
  </si>
  <si>
    <t>Insurance</t>
  </si>
  <si>
    <t>102520</t>
  </si>
  <si>
    <t>Transrail Lighting Ltd.</t>
  </si>
  <si>
    <t>INE454P01035</t>
  </si>
  <si>
    <t>Electrical Equipment</t>
  </si>
  <si>
    <t>102206</t>
  </si>
  <si>
    <t>Chemtech Industrial Valves Ltd.</t>
  </si>
  <si>
    <t>INE212P01011</t>
  </si>
  <si>
    <t>Industrial Manufacturing</t>
  </si>
  <si>
    <t>100177</t>
  </si>
  <si>
    <t>Grasim Industries Ltd.</t>
  </si>
  <si>
    <t>INE047A01021</t>
  </si>
  <si>
    <t>Cement &amp; Cement Products</t>
  </si>
  <si>
    <t>100292</t>
  </si>
  <si>
    <t>Steel Authority of India Ltd.</t>
  </si>
  <si>
    <t>INE114A01011</t>
  </si>
  <si>
    <t>Ferrous Metals</t>
  </si>
  <si>
    <t>100189</t>
  </si>
  <si>
    <t>TD Power Systems Ltd.</t>
  </si>
  <si>
    <t>INE419M01027</t>
  </si>
  <si>
    <t>100659</t>
  </si>
  <si>
    <t>Visaka Industries Ltd.</t>
  </si>
  <si>
    <t>INE392A01021</t>
  </si>
  <si>
    <t>100078</t>
  </si>
  <si>
    <t>Sanghi Industries Ltd.</t>
  </si>
  <si>
    <t>INE999B01013</t>
  </si>
  <si>
    <t>100147</t>
  </si>
  <si>
    <t>Tech Mahindra Ltd.</t>
  </si>
  <si>
    <t>INE669C01036</t>
  </si>
  <si>
    <t>102042</t>
  </si>
  <si>
    <t>Associated Alcohols &amp; Breweries Ltd.</t>
  </si>
  <si>
    <t>INE073G01016</t>
  </si>
  <si>
    <t>Beverages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</si>
  <si>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</si>
  <si>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</si>
  <si>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</si>
  <si>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</si>
  <si>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</si>
  <si>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</si>
  <si>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</si>
  <si>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</si>
  <si>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</si>
  <si>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</si>
  <si>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</si>
  <si>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</si>
  <si>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</si>
  <si>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</si>
  <si>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</si>
  <si>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</si>
  <si>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</si>
  <si>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</si>
  <si>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</si>
  <si>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</si>
  <si>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</si>
  <si>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</si>
  <si>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206250100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</si>
  <si>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</si>
  <si>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</si>
  <si>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</si>
  <si>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</si>
  <si>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</si>
  <si>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</si>
  <si>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</si>
  <si>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</si>
  <si>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</si>
  <si>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</si>
  <si>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</si>
  <si>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</si>
  <si>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</si>
  <si>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</si>
  <si>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April 30, 2025</t>
  </si>
  <si>
    <t>May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</si>
  <si>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</si>
  <si>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</si>
  <si>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</si>
  <si>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</si>
  <si>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May 31, 2025.</t>
  </si>
  <si>
    <t>7. The Scheme did not declare any bonus during the month ended As on  May 31, 2025.</t>
  </si>
  <si>
    <t>8. Total outstanding exposure in derivative instruments as on As on  May 31, 2025 is Nil</t>
  </si>
  <si>
    <t>9. Total investments in Foreign Securities /ADRs/GDRs /Overseas ETFs as at As on  May 31, 2025 and its percentage to NAV is Nil.</t>
  </si>
  <si>
    <t>10. During the period, the portfolio turnover ratio is 0.68 times.</t>
  </si>
  <si>
    <t>      Portfolio Turnover Ratio = Lower of sales or purchase of securities divided by average AUM for 12 months ended As on  May 31, 2025</t>
  </si>
  <si>
    <t>11. The Scheme did not invest in repo transactions of corporate debt securities during the month ended As on  May 31, 2025.</t>
  </si>
  <si>
    <t>12. The Scheme did not invest in credit default swaps during the month ended As on  May 31, 2025.</t>
  </si>
  <si>
    <t>13. There are Nil instances of deviation from the valuation principles/guidelines during the month ended as on May 31st, 2025.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</si>
  <si>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</si>
  <si>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</si>
  <si>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</si>
  <si>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</si>
  <si>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</si>
  <si>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</si>
  <si>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</si>
  <si>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</si>
  <si>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</si>
  <si>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</si>
  <si>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</si>
  <si>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</si>
  <si>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May 30,2025 :183.27)</t>
  </si>
  <si>
    <t>Taurus Elss Tax Saver Fund - Direct Plan Growth Option</t>
  </si>
  <si>
    <t>NAV [Rs.] Per Unit (as on May 30,2025 :199.57)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</si>
</sst>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CE3EA15-5D5C-4238-A856-E8FFABF9D7AD}"/>
    <cellStyle name="Hyperlink" xfId="2" builtinId="8"/>
    <cellStyle name="Normal" xfId="0" builtinId="0"/>
    <cellStyle name="Normal 2" xfId="4" xr:uid="{DE8872E3-8EF0-4AAA-BC32-BC86FAECE033}"/>
    <cellStyle name="Style 1" xfId="3" xr:uid="{8BBAB983-444B-4F03-B9FF-0A26C8B07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698C9DDE-87AD-4BEB-8DB4-0BA83A23D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y_2025\Final\TMF_Monthly_Portfolio_Report_May%2025.xls" TargetMode="External"/><Relationship Id="rId1" Type="http://schemas.openxmlformats.org/officeDocument/2006/relationships/externalLinkPath" Target="file:///Q:\5.TMF\Reporting\Monthly%20Reports\Monthly%20Portfolio\2025-26\May_2025\Final\TMF_Monthly_Portfolio_Report_Ma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1470-39FB-471B-AA89-1F706FF06447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45808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38245</v>
      </c>
      <c r="H10" s="32">
        <v>743.71</v>
      </c>
      <c r="I10" s="32">
        <v>9.4700000000000006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697.8</v>
      </c>
      <c r="I11" s="32">
        <v>8.89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147908</v>
      </c>
      <c r="H12" s="32">
        <v>618.11</v>
      </c>
      <c r="I12" s="32">
        <v>7.87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41805</v>
      </c>
      <c r="H13" s="32">
        <v>604.48</v>
      </c>
      <c r="I13" s="32">
        <v>7.7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23293</v>
      </c>
      <c r="H14" s="32">
        <v>407.34</v>
      </c>
      <c r="I14" s="32">
        <v>5.19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28650</v>
      </c>
      <c r="H15" s="32">
        <v>341.52</v>
      </c>
      <c r="I15" s="32">
        <v>4.3499999999999996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51511</v>
      </c>
      <c r="H16" s="32">
        <v>308.42</v>
      </c>
      <c r="I16" s="32">
        <v>3.93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96996</v>
      </c>
      <c r="H17" s="32">
        <v>281.19</v>
      </c>
      <c r="I17" s="32">
        <v>3.58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65000</v>
      </c>
      <c r="H18" s="32">
        <v>258.20999999999998</v>
      </c>
      <c r="I18" s="32">
        <v>3.29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14191</v>
      </c>
      <c r="H19" s="32">
        <v>232.38</v>
      </c>
      <c r="I19" s="32">
        <v>2.96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7337</v>
      </c>
      <c r="H20" s="32">
        <v>218.53</v>
      </c>
      <c r="I20" s="32">
        <v>2.78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13798</v>
      </c>
      <c r="H21" s="32">
        <v>202.12</v>
      </c>
      <c r="I21" s="32">
        <v>2.57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48342</v>
      </c>
      <c r="H22" s="32">
        <v>198.76</v>
      </c>
      <c r="I22" s="32">
        <v>2.5299999999999998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18</v>
      </c>
      <c r="G23" s="31">
        <v>182100</v>
      </c>
      <c r="H23" s="32">
        <v>192.66</v>
      </c>
      <c r="I23" s="32">
        <v>2.4500000000000002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52</v>
      </c>
      <c r="G24" s="31">
        <v>10579</v>
      </c>
      <c r="H24" s="32">
        <v>165.33</v>
      </c>
      <c r="I24" s="32">
        <v>2.11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8882</v>
      </c>
      <c r="H25" s="32">
        <v>164.92</v>
      </c>
      <c r="I25" s="32">
        <v>2.1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52</v>
      </c>
      <c r="G26" s="31">
        <v>1912</v>
      </c>
      <c r="H26" s="32">
        <v>161.71</v>
      </c>
      <c r="I26" s="32">
        <v>2.06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4035</v>
      </c>
      <c r="H27" s="32">
        <v>159.88</v>
      </c>
      <c r="I27" s="32">
        <v>2.04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60</v>
      </c>
      <c r="G28" s="31">
        <v>1928</v>
      </c>
      <c r="H28" s="32">
        <v>127.48</v>
      </c>
      <c r="I28" s="32">
        <v>1.62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71565</v>
      </c>
      <c r="H29" s="32">
        <v>109.49</v>
      </c>
      <c r="I29" s="32">
        <v>1.39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18</v>
      </c>
      <c r="G30" s="31">
        <v>93200</v>
      </c>
      <c r="H30" s="32">
        <v>107.01</v>
      </c>
      <c r="I30" s="32">
        <v>1.36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48599</v>
      </c>
      <c r="H31" s="32">
        <v>90.49</v>
      </c>
      <c r="I31" s="32">
        <v>1.1499999999999999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13476</v>
      </c>
      <c r="H32" s="32">
        <v>82.01</v>
      </c>
      <c r="I32" s="32">
        <v>1.04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50000</v>
      </c>
      <c r="H33" s="32">
        <v>70.08</v>
      </c>
      <c r="I33" s="32">
        <v>0.89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2654</v>
      </c>
      <c r="H34" s="32">
        <v>67.56</v>
      </c>
      <c r="I34" s="32">
        <v>0.86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45110</v>
      </c>
      <c r="H35" s="32">
        <v>58.26</v>
      </c>
      <c r="I35" s="32">
        <v>0.74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99</v>
      </c>
      <c r="G36" s="31">
        <v>10830</v>
      </c>
      <c r="H36" s="32">
        <v>56.38</v>
      </c>
      <c r="I36" s="32">
        <v>0.72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107</v>
      </c>
      <c r="G37" s="31">
        <v>58242</v>
      </c>
      <c r="H37" s="32">
        <v>49.74</v>
      </c>
      <c r="I37" s="32">
        <v>0.63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107</v>
      </c>
      <c r="G38" s="31">
        <v>72548</v>
      </c>
      <c r="H38" s="32">
        <v>44.78</v>
      </c>
      <c r="I38" s="32">
        <v>0.56999999999999995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52</v>
      </c>
      <c r="G39" s="31">
        <v>2739</v>
      </c>
      <c r="H39" s="32">
        <v>43.11</v>
      </c>
      <c r="I39" s="32">
        <v>0.55000000000000004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2626</v>
      </c>
      <c r="H40" s="32">
        <v>28.69</v>
      </c>
      <c r="I40" s="32">
        <v>0.37</v>
      </c>
      <c r="J40" s="33"/>
    </row>
    <row r="41" spans="2:10" x14ac:dyDescent="0.25">
      <c r="C41" s="28" t="s">
        <v>128</v>
      </c>
      <c r="D41" s="29"/>
      <c r="E41" s="30"/>
      <c r="F41" s="30"/>
      <c r="G41" s="31"/>
      <c r="H41" s="35">
        <v>6892.15</v>
      </c>
      <c r="I41" s="35">
        <v>87.76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129</v>
      </c>
      <c r="D43" s="29"/>
      <c r="E43" s="30"/>
      <c r="F43" s="30"/>
      <c r="G43" s="31"/>
      <c r="H43" s="32" t="s">
        <v>130</v>
      </c>
      <c r="I43" s="32" t="s">
        <v>130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131</v>
      </c>
      <c r="D45" s="29"/>
      <c r="E45" s="30"/>
      <c r="F45" s="30"/>
      <c r="G45" s="31"/>
      <c r="H45" s="32" t="s">
        <v>130</v>
      </c>
      <c r="I45" s="32" t="s">
        <v>130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132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133</v>
      </c>
      <c r="D49" s="29"/>
      <c r="E49" s="30"/>
      <c r="F49" s="30"/>
      <c r="G49" s="31"/>
      <c r="H49" s="32" t="s">
        <v>130</v>
      </c>
      <c r="I49" s="32" t="s">
        <v>130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134</v>
      </c>
      <c r="D51" s="29"/>
      <c r="E51" s="30"/>
      <c r="F51" s="30"/>
      <c r="G51" s="31"/>
      <c r="H51" s="32" t="s">
        <v>130</v>
      </c>
      <c r="I51" s="32" t="s">
        <v>130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135</v>
      </c>
      <c r="D53" s="29"/>
      <c r="E53" s="30"/>
      <c r="F53" s="30"/>
      <c r="G53" s="31"/>
      <c r="H53" s="32" t="s">
        <v>130</v>
      </c>
      <c r="I53" s="32" t="s">
        <v>130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136</v>
      </c>
      <c r="D55" s="29"/>
      <c r="E55" s="30"/>
      <c r="F55" s="30"/>
      <c r="G55" s="31"/>
      <c r="H55" s="32" t="s">
        <v>130</v>
      </c>
      <c r="I55" s="32" t="s">
        <v>130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137</v>
      </c>
      <c r="D57" s="29"/>
      <c r="E57" s="30"/>
      <c r="F57" s="30"/>
      <c r="G57" s="31"/>
      <c r="H57" s="32" t="s">
        <v>130</v>
      </c>
      <c r="I57" s="32" t="s">
        <v>130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138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139</v>
      </c>
      <c r="D61" s="29"/>
      <c r="E61" s="30"/>
      <c r="F61" s="30"/>
      <c r="G61" s="31"/>
      <c r="H61" s="32" t="s">
        <v>130</v>
      </c>
      <c r="I61" s="32" t="s">
        <v>130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140</v>
      </c>
      <c r="D63" s="29"/>
      <c r="E63" s="30"/>
      <c r="F63" s="30"/>
      <c r="G63" s="31"/>
      <c r="H63" s="32" t="s">
        <v>130</v>
      </c>
      <c r="I63" s="32" t="s">
        <v>130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141</v>
      </c>
      <c r="D65" s="29"/>
      <c r="E65" s="30"/>
      <c r="F65" s="30"/>
      <c r="G65" s="31"/>
      <c r="H65" s="32" t="s">
        <v>130</v>
      </c>
      <c r="I65" s="32" t="s">
        <v>130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142</v>
      </c>
      <c r="D67" s="29"/>
      <c r="E67" s="30"/>
      <c r="F67" s="30"/>
      <c r="G67" s="31"/>
      <c r="H67" s="32" t="s">
        <v>130</v>
      </c>
      <c r="I67" s="32" t="s">
        <v>130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143</v>
      </c>
      <c r="D69" s="29"/>
      <c r="E69" s="30"/>
      <c r="F69" s="30"/>
      <c r="G69" s="31"/>
      <c r="H69" s="32"/>
      <c r="I69" s="32"/>
      <c r="J69" s="33"/>
    </row>
    <row r="70" spans="1:10" x14ac:dyDescent="0.25">
      <c r="A70" s="27"/>
      <c r="B70" s="27"/>
      <c r="C70" s="28" t="s">
        <v>144</v>
      </c>
      <c r="D70" s="29"/>
      <c r="E70" s="30"/>
      <c r="F70" s="30"/>
      <c r="G70" s="31"/>
      <c r="H70" s="32" t="s">
        <v>130</v>
      </c>
      <c r="I70" s="32" t="s">
        <v>130</v>
      </c>
      <c r="J70" s="33"/>
    </row>
    <row r="71" spans="1:10" x14ac:dyDescent="0.25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 x14ac:dyDescent="0.25">
      <c r="A72" s="27"/>
      <c r="B72" s="27"/>
      <c r="C72" s="28" t="s">
        <v>145</v>
      </c>
      <c r="D72" s="29"/>
      <c r="E72" s="30"/>
      <c r="F72" s="30"/>
      <c r="G72" s="31"/>
      <c r="H72" s="32" t="s">
        <v>130</v>
      </c>
      <c r="I72" s="32" t="s">
        <v>130</v>
      </c>
      <c r="J72" s="33"/>
    </row>
    <row r="73" spans="1:10" x14ac:dyDescent="0.25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 x14ac:dyDescent="0.25">
      <c r="A74" s="27"/>
      <c r="B74" s="27"/>
      <c r="C74" s="28" t="s">
        <v>146</v>
      </c>
      <c r="D74" s="29"/>
      <c r="E74" s="30"/>
      <c r="F74" s="30"/>
      <c r="G74" s="31"/>
      <c r="H74" s="32" t="s">
        <v>130</v>
      </c>
      <c r="I74" s="32" t="s">
        <v>130</v>
      </c>
      <c r="J74" s="33"/>
    </row>
    <row r="75" spans="1:10" x14ac:dyDescent="0.25">
      <c r="A75" s="27"/>
      <c r="B75" s="27"/>
      <c r="C75" s="28"/>
      <c r="D75" s="29"/>
      <c r="E75" s="30"/>
      <c r="F75" s="30"/>
      <c r="G75" s="31"/>
      <c r="H75" s="32"/>
      <c r="I75" s="32"/>
      <c r="J75" s="33"/>
    </row>
    <row r="76" spans="1:10" x14ac:dyDescent="0.25">
      <c r="A76" s="27"/>
      <c r="B76" s="27"/>
      <c r="C76" s="28" t="s">
        <v>147</v>
      </c>
      <c r="D76" s="29"/>
      <c r="E76" s="30"/>
      <c r="F76" s="30"/>
      <c r="G76" s="31"/>
      <c r="H76" s="32" t="s">
        <v>130</v>
      </c>
      <c r="I76" s="32" t="s">
        <v>130</v>
      </c>
      <c r="J76" s="33"/>
    </row>
    <row r="77" spans="1:10" x14ac:dyDescent="0.25">
      <c r="A77" s="27"/>
      <c r="B77" s="27"/>
      <c r="C77" s="28"/>
      <c r="D77" s="29"/>
      <c r="E77" s="30"/>
      <c r="F77" s="30"/>
      <c r="G77" s="31"/>
      <c r="H77" s="32"/>
      <c r="I77" s="32"/>
      <c r="J77" s="33"/>
    </row>
    <row r="78" spans="1:10" x14ac:dyDescent="0.25">
      <c r="A78" s="27"/>
      <c r="B78" s="27"/>
      <c r="C78" s="28" t="s">
        <v>148</v>
      </c>
      <c r="D78" s="29"/>
      <c r="E78" s="30"/>
      <c r="F78" s="30"/>
      <c r="G78" s="31"/>
      <c r="H78" s="32" t="s">
        <v>130</v>
      </c>
      <c r="I78" s="32" t="s">
        <v>130</v>
      </c>
      <c r="J78" s="33"/>
    </row>
    <row r="79" spans="1:10" x14ac:dyDescent="0.25">
      <c r="A79" s="27"/>
      <c r="B79" s="27"/>
      <c r="C79" s="28"/>
      <c r="D79" s="29"/>
      <c r="E79" s="30"/>
      <c r="F79" s="30"/>
      <c r="G79" s="31"/>
      <c r="H79" s="32"/>
      <c r="I79" s="32"/>
      <c r="J79" s="33"/>
    </row>
    <row r="80" spans="1:10" x14ac:dyDescent="0.25">
      <c r="C80" s="34" t="s">
        <v>149</v>
      </c>
      <c r="D80" s="29"/>
      <c r="E80" s="30"/>
      <c r="F80" s="30"/>
      <c r="G80" s="31"/>
      <c r="H80" s="32"/>
      <c r="I80" s="32"/>
      <c r="J80" s="33"/>
    </row>
    <row r="81" spans="1:10" x14ac:dyDescent="0.25">
      <c r="B81" s="1" t="s">
        <v>150</v>
      </c>
      <c r="C81" s="20" t="s">
        <v>151</v>
      </c>
      <c r="D81" s="29"/>
      <c r="E81" s="30"/>
      <c r="F81" s="30"/>
      <c r="G81" s="31"/>
      <c r="H81" s="32">
        <v>799.87</v>
      </c>
      <c r="I81" s="32">
        <v>10.19</v>
      </c>
      <c r="J81" s="33"/>
    </row>
    <row r="82" spans="1:10" x14ac:dyDescent="0.25">
      <c r="C82" s="28" t="s">
        <v>128</v>
      </c>
      <c r="D82" s="29"/>
      <c r="E82" s="30"/>
      <c r="F82" s="30"/>
      <c r="G82" s="31"/>
      <c r="H82" s="35">
        <v>799.87</v>
      </c>
      <c r="I82" s="35">
        <v>10.19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152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153</v>
      </c>
      <c r="D85" s="29"/>
      <c r="E85" s="30"/>
      <c r="F85" s="30"/>
      <c r="G85" s="31"/>
      <c r="H85" s="32">
        <v>158.04</v>
      </c>
      <c r="I85" s="32">
        <v>2.0499999999999998</v>
      </c>
      <c r="J85" s="33"/>
    </row>
    <row r="86" spans="1:10" x14ac:dyDescent="0.25">
      <c r="C86" s="28" t="s">
        <v>128</v>
      </c>
      <c r="D86" s="29"/>
      <c r="E86" s="30"/>
      <c r="F86" s="30"/>
      <c r="G86" s="31"/>
      <c r="H86" s="35">
        <v>158.04</v>
      </c>
      <c r="I86" s="35">
        <v>2.0499999999999998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154</v>
      </c>
      <c r="D88" s="37"/>
      <c r="E88" s="38"/>
      <c r="F88" s="39"/>
      <c r="G88" s="40"/>
      <c r="H88" s="41">
        <v>7850.06</v>
      </c>
      <c r="I88" s="41">
        <f>SUMIFS(I:I,C:C,"Total")</f>
        <v>100</v>
      </c>
      <c r="J88" s="42"/>
    </row>
    <row r="91" spans="1:10" x14ac:dyDescent="0.25">
      <c r="C91" s="11" t="s">
        <v>155</v>
      </c>
    </row>
    <row r="92" spans="1:10" x14ac:dyDescent="0.25">
      <c r="C92" s="2" t="s">
        <v>156</v>
      </c>
    </row>
    <row r="93" spans="1:10" x14ac:dyDescent="0.25">
      <c r="C93" s="2" t="s">
        <v>157</v>
      </c>
    </row>
    <row r="94" spans="1:10" x14ac:dyDescent="0.25">
      <c r="C94" s="2" t="s">
        <v>158</v>
      </c>
    </row>
    <row r="95" spans="1:10" x14ac:dyDescent="0.25">
      <c r="C95" s="2" t="s">
        <v>159</v>
      </c>
    </row>
    <row r="96" spans="1:10" x14ac:dyDescent="0.25">
      <c r="C96" s="2" t="s">
        <v>160</v>
      </c>
    </row>
    <row r="97" spans="3:5" x14ac:dyDescent="0.25">
      <c r="C97" s="2" t="s">
        <v>161</v>
      </c>
    </row>
    <row r="98" spans="3:5" x14ac:dyDescent="0.25">
      <c r="D98" s="2" t="s">
        <v>162</v>
      </c>
    </row>
    <row r="99" spans="3:5" x14ac:dyDescent="0.25">
      <c r="C99" s="2" t="s">
        <v>163</v>
      </c>
      <c r="D99" s="2" t="s">
        <v>164</v>
      </c>
      <c r="E99" s="2" t="s">
        <v>164</v>
      </c>
    </row>
    <row r="100" spans="3:5" x14ac:dyDescent="0.25">
      <c r="D100" s="2" t="s">
        <v>165</v>
      </c>
      <c r="E100" s="2" t="s">
        <v>166</v>
      </c>
    </row>
    <row r="101" spans="3:5" x14ac:dyDescent="0.25">
      <c r="C101" s="2" t="s">
        <v>167</v>
      </c>
      <c r="D101" s="2">
        <v>82.62</v>
      </c>
      <c r="E101" s="2">
        <v>85.85</v>
      </c>
    </row>
    <row r="102" spans="3:5" x14ac:dyDescent="0.25">
      <c r="C102" s="2" t="s">
        <v>168</v>
      </c>
      <c r="D102" s="2">
        <v>176.36</v>
      </c>
      <c r="E102" s="2">
        <v>183.26</v>
      </c>
    </row>
    <row r="103" spans="3:5" x14ac:dyDescent="0.25">
      <c r="C103" s="2" t="s">
        <v>169</v>
      </c>
      <c r="D103" s="2">
        <v>88.46</v>
      </c>
      <c r="E103" s="2">
        <v>91.97</v>
      </c>
    </row>
    <row r="104" spans="3:5" x14ac:dyDescent="0.25">
      <c r="C104" s="2" t="s">
        <v>170</v>
      </c>
      <c r="D104" s="2">
        <v>191.94</v>
      </c>
      <c r="E104" s="2">
        <v>199.56</v>
      </c>
    </row>
    <row r="106" spans="3:5" x14ac:dyDescent="0.25">
      <c r="C106" s="2" t="s">
        <v>171</v>
      </c>
    </row>
    <row r="107" spans="3:5" x14ac:dyDescent="0.25">
      <c r="C107" s="2" t="s">
        <v>172</v>
      </c>
    </row>
    <row r="108" spans="3:5" x14ac:dyDescent="0.25">
      <c r="C108" s="2" t="s">
        <v>173</v>
      </c>
    </row>
    <row r="109" spans="3:5" x14ac:dyDescent="0.25">
      <c r="C109" s="2" t="s">
        <v>174</v>
      </c>
    </row>
    <row r="110" spans="3:5" x14ac:dyDescent="0.25">
      <c r="C110" s="2" t="s">
        <v>175</v>
      </c>
    </row>
    <row r="111" spans="3:5" x14ac:dyDescent="0.25">
      <c r="C111" s="2" t="s">
        <v>176</v>
      </c>
    </row>
    <row r="112" spans="3:5" x14ac:dyDescent="0.25">
      <c r="C112" s="2" t="s">
        <v>177</v>
      </c>
    </row>
    <row r="113" spans="3:3" x14ac:dyDescent="0.25">
      <c r="C113" s="2" t="s">
        <v>178</v>
      </c>
    </row>
    <row r="114" spans="3:3" x14ac:dyDescent="0.25">
      <c r="C114" s="2" t="s">
        <v>179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D6FC-55DB-4980-9BD9-F3FD5F6EAD32}">
  <dimension ref="C3:K17"/>
  <sheetViews>
    <sheetView workbookViewId="0"/>
  </sheetViews>
  <sheetFormatPr defaultRowHeight="15" x14ac:dyDescent="0.25"/>
  <cols>
    <col min="3" max="3" width="42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180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181</v>
      </c>
      <c r="D4" s="46" t="s">
        <v>182</v>
      </c>
      <c r="E4" s="46"/>
      <c r="F4" s="46" t="s">
        <v>183</v>
      </c>
      <c r="G4" s="46"/>
      <c r="H4" s="46" t="s">
        <v>184</v>
      </c>
      <c r="I4" s="46"/>
      <c r="J4" s="47" t="s">
        <v>185</v>
      </c>
      <c r="K4" s="47"/>
    </row>
    <row r="5" spans="3:11" ht="63.75" x14ac:dyDescent="0.25">
      <c r="C5" s="48"/>
      <c r="D5" s="49" t="s">
        <v>186</v>
      </c>
      <c r="E5" s="49" t="s">
        <v>187</v>
      </c>
      <c r="F5" s="49" t="s">
        <v>186</v>
      </c>
      <c r="G5" s="49" t="s">
        <v>187</v>
      </c>
      <c r="H5" s="49" t="s">
        <v>186</v>
      </c>
      <c r="I5" s="49" t="s">
        <v>187</v>
      </c>
      <c r="J5" s="50" t="s">
        <v>186</v>
      </c>
      <c r="K5" s="50" t="s">
        <v>187</v>
      </c>
    </row>
    <row r="6" spans="3:11" x14ac:dyDescent="0.25">
      <c r="C6" s="51" t="s">
        <v>188</v>
      </c>
      <c r="D6" s="52">
        <v>11.532400000000001</v>
      </c>
      <c r="E6" s="52">
        <v>11153.237585199611</v>
      </c>
      <c r="F6" s="52">
        <v>19.393999999999998</v>
      </c>
      <c r="G6" s="52">
        <v>17027.780358636068</v>
      </c>
      <c r="H6" s="52">
        <v>22.314</v>
      </c>
      <c r="I6" s="52">
        <v>27406.908927770299</v>
      </c>
      <c r="J6" s="52">
        <v>12.0723</v>
      </c>
      <c r="K6" s="52">
        <v>183270</v>
      </c>
    </row>
    <row r="7" spans="3:11" x14ac:dyDescent="0.25">
      <c r="C7" s="51" t="s">
        <v>189</v>
      </c>
      <c r="D7" s="52">
        <v>8.4773999999999994</v>
      </c>
      <c r="E7" s="52">
        <v>10847.74</v>
      </c>
      <c r="F7" s="52">
        <v>15.22</v>
      </c>
      <c r="G7" s="52">
        <v>15296.202086480003</v>
      </c>
      <c r="H7" s="52">
        <v>25.122</v>
      </c>
      <c r="I7" s="52">
        <v>30666.794893239734</v>
      </c>
      <c r="J7" s="52" t="s">
        <v>190</v>
      </c>
      <c r="K7" s="52" t="s">
        <v>190</v>
      </c>
    </row>
    <row r="8" spans="3:11" x14ac:dyDescent="0.25">
      <c r="C8" s="51" t="s">
        <v>191</v>
      </c>
      <c r="D8" s="52">
        <v>11.395300000000001</v>
      </c>
      <c r="E8" s="52">
        <v>11139.529999999999</v>
      </c>
      <c r="F8" s="52">
        <v>15.4278</v>
      </c>
      <c r="G8" s="52">
        <v>15379.111827226925</v>
      </c>
      <c r="H8" s="52">
        <v>22.29</v>
      </c>
      <c r="I8" s="52">
        <v>27349.835905743235</v>
      </c>
      <c r="J8" s="52">
        <v>13.2257</v>
      </c>
      <c r="K8" s="52">
        <v>375238.72427688027</v>
      </c>
    </row>
    <row r="9" spans="3:11" x14ac:dyDescent="0.25">
      <c r="C9" s="51" t="s">
        <v>192</v>
      </c>
      <c r="D9" s="53">
        <v>164.32</v>
      </c>
      <c r="E9" s="54"/>
      <c r="F9" s="53">
        <v>107.63</v>
      </c>
      <c r="G9" s="54"/>
      <c r="H9" s="53">
        <v>66.87</v>
      </c>
      <c r="I9" s="54"/>
      <c r="J9" s="53">
        <v>10</v>
      </c>
      <c r="K9" s="54"/>
    </row>
    <row r="11" spans="3:11" ht="15.75" x14ac:dyDescent="0.25">
      <c r="C11" s="43" t="s">
        <v>193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181</v>
      </c>
      <c r="D12" s="46" t="s">
        <v>182</v>
      </c>
      <c r="E12" s="46"/>
      <c r="F12" s="46" t="s">
        <v>183</v>
      </c>
      <c r="G12" s="46"/>
      <c r="H12" s="46" t="s">
        <v>184</v>
      </c>
      <c r="I12" s="46"/>
      <c r="J12" s="47" t="s">
        <v>185</v>
      </c>
      <c r="K12" s="47"/>
    </row>
    <row r="13" spans="3:11" ht="63.75" x14ac:dyDescent="0.25">
      <c r="C13" s="48"/>
      <c r="D13" s="49" t="s">
        <v>186</v>
      </c>
      <c r="E13" s="49" t="s">
        <v>187</v>
      </c>
      <c r="F13" s="49" t="s">
        <v>186</v>
      </c>
      <c r="G13" s="49" t="s">
        <v>187</v>
      </c>
      <c r="H13" s="49" t="s">
        <v>186</v>
      </c>
      <c r="I13" s="49" t="s">
        <v>187</v>
      </c>
      <c r="J13" s="50" t="s">
        <v>186</v>
      </c>
      <c r="K13" s="50" t="s">
        <v>187</v>
      </c>
    </row>
    <row r="14" spans="3:11" x14ac:dyDescent="0.25">
      <c r="C14" s="51" t="s">
        <v>188</v>
      </c>
      <c r="D14" s="52">
        <v>12.180999999999999</v>
      </c>
      <c r="E14" s="52">
        <v>11218.100056211355</v>
      </c>
      <c r="F14" s="52">
        <v>20.157699999999998</v>
      </c>
      <c r="G14" s="52">
        <v>17356.931640285267</v>
      </c>
      <c r="H14" s="52">
        <v>23.120799999999999</v>
      </c>
      <c r="I14" s="52">
        <v>28323.871700255466</v>
      </c>
      <c r="J14" s="52">
        <v>14.046200000000001</v>
      </c>
      <c r="K14" s="52">
        <v>51581.804083742565</v>
      </c>
    </row>
    <row r="15" spans="3:11" x14ac:dyDescent="0.25">
      <c r="C15" s="51" t="s">
        <v>189</v>
      </c>
      <c r="D15" s="52">
        <v>8.4773999999999994</v>
      </c>
      <c r="E15" s="52">
        <v>10847.74</v>
      </c>
      <c r="F15" s="52">
        <v>15.22</v>
      </c>
      <c r="G15" s="52">
        <v>15296.202086480003</v>
      </c>
      <c r="H15" s="52">
        <v>25.122</v>
      </c>
      <c r="I15" s="52">
        <v>30666.794893239734</v>
      </c>
      <c r="J15" s="52">
        <v>14.5336</v>
      </c>
      <c r="K15" s="52">
        <v>53898.341779358445</v>
      </c>
    </row>
    <row r="16" spans="3:11" x14ac:dyDescent="0.25">
      <c r="C16" s="51" t="s">
        <v>191</v>
      </c>
      <c r="D16" s="52">
        <v>11.395300000000001</v>
      </c>
      <c r="E16" s="52">
        <v>11139.529999999999</v>
      </c>
      <c r="F16" s="52">
        <v>15.4278</v>
      </c>
      <c r="G16" s="52">
        <v>15379.111827226925</v>
      </c>
      <c r="H16" s="52">
        <v>22.29</v>
      </c>
      <c r="I16" s="52">
        <v>27349.835905743235</v>
      </c>
      <c r="J16" s="52">
        <v>13.465999999999999</v>
      </c>
      <c r="K16" s="52">
        <v>47982.936605820149</v>
      </c>
    </row>
    <row r="17" spans="3:11" x14ac:dyDescent="0.25">
      <c r="C17" s="51" t="s">
        <v>194</v>
      </c>
      <c r="D17" s="53">
        <v>177.9</v>
      </c>
      <c r="E17" s="54"/>
      <c r="F17" s="53">
        <v>114.98</v>
      </c>
      <c r="G17" s="54"/>
      <c r="H17" s="53">
        <v>70.459999999999994</v>
      </c>
      <c r="I17" s="54"/>
      <c r="J17" s="53">
        <v>38.69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XDO_?IND_01?16?</vt:lpstr>
      <vt:lpstr>XDO_?IND_01?17?</vt:lpstr>
      <vt:lpstr>XDO_?IND_01?18?</vt:lpstr>
      <vt:lpstr>XDO_?NAMCNAME?7?</vt:lpstr>
      <vt:lpstr>XDO_?NOVAL?16?</vt:lpstr>
      <vt:lpstr>XDO_?NOVAL?17?</vt:lpstr>
      <vt:lpstr>XDO_?NOVAL?18?</vt:lpstr>
      <vt:lpstr>XDO_?NPTF?7?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XDO_?TITL?7?</vt:lpstr>
      <vt:lpstr>XDO_GROUP_?G_2?7?</vt:lpstr>
      <vt:lpstr>XDO_GROUP_?G_3?7?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2025-06-05T08:07:17Z</dcterms:created>
  <dcterms:modified xsi:type="dcterms:W3CDTF">2025-06-06T06:14:48Z</dcterms:modified>
</cp:coreProperties>
</file>