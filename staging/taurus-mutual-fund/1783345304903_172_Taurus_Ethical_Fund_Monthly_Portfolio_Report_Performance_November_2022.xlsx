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Performance'!$C$8:$C$38</definedName>
    <definedName name="XDO_?FINAL_ISIN?5?">'TEF-Risk-O-Meter &amp; Performance'!$D$10:$D$38</definedName>
    <definedName name="XDO_?FINAL_ISIN?6?">'TEF-Risk-O-Meter &amp; Performance'!$D$10:$D$80</definedName>
    <definedName name="XDO_?FINAL_MV?5?">'TEF-Risk-O-Meter &amp; Performance'!$H$10:$H$38</definedName>
    <definedName name="XDO_?FINAL_MV?6?">'TEF-Risk-O-Meter &amp; Performance'!$H$10:$H$80</definedName>
    <definedName name="XDO_?FINAL_NAME?5?">'TEF-Risk-O-Meter &amp; Performance'!$C$10:$C$38</definedName>
    <definedName name="XDO_?FINAL_NAME?6?">'TEF-Risk-O-Meter &amp; Performance'!$C$10:$C$80</definedName>
    <definedName name="XDO_?FINAL_PER_NET?5?">'TEF-Risk-O-Meter &amp; Performance'!$I$10:$I$38</definedName>
    <definedName name="XDO_?FINAL_PER_NET?6?">'TEF-Risk-O-Meter &amp; Performance'!$I$10:$I$80</definedName>
    <definedName name="XDO_?FINAL_QUANTITE?5?">'TEF-Risk-O-Meter &amp; Performance'!$G$10:$G$38</definedName>
    <definedName name="XDO_?FINAL_QUANTITE?6?">'TEF-Risk-O-Meter &amp; Performance'!$G$10:$G$80</definedName>
    <definedName name="XDO_?IND_01?5?">'TEF-Risk-O-Meter &amp; Performance'!$F$10:$F$38</definedName>
    <definedName name="XDO_?IND_01?6?">'TEF-Risk-O-Meter &amp; Performance'!$F$10:$F$80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Performance'!$C$2:$C$38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Performance'!$B$10:$B$38</definedName>
    <definedName name="XDO_?NOVAL?6?">'TEF-Risk-O-Meter &amp; Performance'!$B$10:$B$80</definedName>
    <definedName name="XDO_?NPTF?3?">'TEF-Risk-O-Meter &amp; Performance'!$D$2:$D$38</definedName>
    <definedName name="XDO_?RATING?5?">'TEF-Risk-O-Meter &amp; Performance'!$E$10:$E$38</definedName>
    <definedName name="XDO_?RATING?6?">'TEF-Risk-O-Meter &amp; Performance'!$E$10:$E$80</definedName>
    <definedName name="XDO_?REMARKS?5?">'TEF-Risk-O-Meter &amp; Performance'!$J$10:$J$38</definedName>
    <definedName name="XDO_?REMARKS?6?">'TEF-Risk-O-Meter &amp; Performance'!$J$10:$J$80</definedName>
    <definedName name="XDO_?TITL?3?">'TEF-Risk-O-Meter &amp; Performance'!$A$8:$A$38</definedName>
    <definedName name="XDO_GROUP_?G_2?3?">'TEF-Risk-O-Meter &amp; Performance'!$2:$83</definedName>
    <definedName name="XDO_GROUP_?G_3?3?">'TEF-Risk-O-Meter &amp; Performance'!$8:$82</definedName>
    <definedName name="XDO_GROUP_?G_4?5?">'TEF-Risk-O-Meter &amp; Performance'!$B$10:$IV$38</definedName>
    <definedName name="XDO_GROUP_?G_4?6?">'TEF-Risk-O-Meter &amp; Performance'!$B$80:$IV$80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<sst xmlns="http://schemas.openxmlformats.org/spreadsheetml/2006/main" count="227" uniqueCount="160">
  <si>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</si>
  <si>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</si>
  <si>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</si>
  <si>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</si>
  <si>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</si>
  <si>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</si>
  <si>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</si>
  <si>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</si>
  <si>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</si>
  <si>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</si>
  <si>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</si>
  <si>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</si>
  <si>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</si>
  <si>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</si>
  <si>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</si>
  <si>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</si>
  <si>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</si>
  <si>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</si>
  <si>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</si>
  <si>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</si>
  <si>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</si>
  <si>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</si>
  <si>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</si>
  <si>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100178</t>
  </si>
  <si>
    <t>Ambuja Cements Ltd.</t>
  </si>
  <si>
    <t>INE079A01024</t>
  </si>
  <si>
    <t>Cement &amp; Cement Products</t>
  </si>
  <si>
    <t>100032</t>
  </si>
  <si>
    <t>Tata Consultancy Services Ltd.</t>
  </si>
  <si>
    <t>INE467B01029</t>
  </si>
  <si>
    <t>100037</t>
  </si>
  <si>
    <t>HCL Technologies Ltd.</t>
  </si>
  <si>
    <t>INE860A01027</t>
  </si>
  <si>
    <t>100474</t>
  </si>
  <si>
    <t>Narayana Hrudayalaya Ltd.</t>
  </si>
  <si>
    <t>INE410P01011</t>
  </si>
  <si>
    <t>Healthcare Services</t>
  </si>
  <si>
    <t>100944</t>
  </si>
  <si>
    <t>Mishra Dhatu Nigam Ltd.</t>
  </si>
  <si>
    <t>INE099Z01011</t>
  </si>
  <si>
    <t>Aerospace &amp; Defense</t>
  </si>
  <si>
    <t>100176</t>
  </si>
  <si>
    <t>GAIL (India) Ltd.</t>
  </si>
  <si>
    <t>INE129A01019</t>
  </si>
  <si>
    <t>Gas</t>
  </si>
  <si>
    <t>100367</t>
  </si>
  <si>
    <t>Exide Industries Ltd.</t>
  </si>
  <si>
    <t>INE302A01020</t>
  </si>
  <si>
    <t>Auto Components</t>
  </si>
  <si>
    <t>100147</t>
  </si>
  <si>
    <t>Tech Mahindra Ltd.</t>
  </si>
  <si>
    <t>INE669C01036</t>
  </si>
  <si>
    <t>100008</t>
  </si>
  <si>
    <t>Sun Pharmaceutical Industries Ltd.</t>
  </si>
  <si>
    <t>INE044A01036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</si>
  <si>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</si>
  <si>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</si>
  <si>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</si>
  <si>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</si>
  <si>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</si>
  <si>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</si>
  <si>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</si>
  <si>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</si>
  <si>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</si>
  <si>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</si>
  <si>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</si>
  <si>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</si>
  <si>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Consumer Durables</t>
  </si>
  <si>
    <t>100089</t>
  </si>
  <si>
    <t>Bharat Electronics Ltd.</t>
  </si>
  <si>
    <t>INE263A01024</t>
  </si>
  <si>
    <t>100370</t>
  </si>
  <si>
    <t>Biocon Ltd.</t>
  </si>
  <si>
    <t>INE376G01013</t>
  </si>
  <si>
    <t>100203</t>
  </si>
  <si>
    <t>Greaves Cotton Ltd.</t>
  </si>
  <si>
    <t>INE224A01026</t>
  </si>
  <si>
    <t>Industrial Products</t>
  </si>
  <si>
    <t>100161</t>
  </si>
  <si>
    <t>Cummins India Ltd.</t>
  </si>
  <si>
    <t>INE298A01020</t>
  </si>
  <si>
    <t>100106</t>
  </si>
  <si>
    <t>Maruti Suzuki India Ltd.</t>
  </si>
  <si>
    <t>INE585B01010</t>
  </si>
  <si>
    <t>Automobiles</t>
  </si>
  <si>
    <t>101229</t>
  </si>
  <si>
    <t>Jubilant Ingrevia Ltd.</t>
  </si>
  <si>
    <t>INE0BY001018</t>
  </si>
  <si>
    <t>Chemicals &amp; Petrochemicals</t>
  </si>
  <si>
    <t>100166</t>
  </si>
  <si>
    <t>Symphony Ltd.</t>
  </si>
  <si>
    <t>INE225D01027</t>
  </si>
  <si>
    <t>100945</t>
  </si>
  <si>
    <t>Indian Railway Catering &amp; Tourism Corporation Ltd.</t>
  </si>
  <si>
    <t>INE335Y01020</t>
  </si>
  <si>
    <t>Leisure Services</t>
  </si>
  <si>
    <t>100159</t>
  </si>
  <si>
    <t>Sanofi India Ltd.</t>
  </si>
  <si>
    <t>INE058A01010</t>
  </si>
  <si>
    <t>101692</t>
  </si>
  <si>
    <t>PRINCE PIPES AND FITTINGS Ltd.</t>
  </si>
  <si>
    <t>INE689W01016</t>
  </si>
  <si>
    <t>100153</t>
  </si>
  <si>
    <t>Cipla Ltd.</t>
  </si>
  <si>
    <t>INE059A01026</t>
  </si>
  <si>
    <t>100447</t>
  </si>
  <si>
    <t>Larsen &amp; Toubro Infotech Ltd.</t>
  </si>
  <si>
    <t>INE214T01019</t>
  </si>
  <si>
    <t>100285</t>
  </si>
  <si>
    <t>Alkem Laboratories Ltd.</t>
  </si>
  <si>
    <t>INE540L01014</t>
  </si>
  <si>
    <t>100020</t>
  </si>
  <si>
    <t>Tata Consumer Products Ltd.</t>
  </si>
  <si>
    <t>INE192A01025</t>
  </si>
  <si>
    <t>Agricultural Food &amp; other Products</t>
  </si>
  <si>
    <t>100260</t>
  </si>
  <si>
    <t>Solar Industries India Ltd.</t>
  </si>
  <si>
    <t>INE343H01029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</si>
  <si>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</si>
  <si>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</si>
  <si>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</si>
  <si>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</si>
  <si>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</si>
  <si>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</si>
  <si>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</si>
  <si>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</si>
  <si>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</si>
  <si>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</si>
  <si>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</si>
  <si>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</si>
  <si>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</si>
  <si>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</si>
  <si>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</si>
  <si>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</si>
  <si>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</si>
  <si>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</si>
  <si>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</si>
  <si>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</si>
  <si>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</si>
  <si>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</si>
  <si>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</si>
  <si>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</si>
  <si>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</si>
  <si>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</si>
  <si>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</si>
  <si>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</si>
  <si>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</si>
  <si>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</si>
  <si>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</si>
  <si>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</si>
  <si>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</si>
  <si>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</si>
  <si>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</si>
  <si>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</si>
  <si>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</si>
  <si>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</si>
  <si>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</si>
  <si>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November 30, 2022 : 88.34)</t>
  </si>
  <si>
    <t>Taurus Ethical Fund - Direct Plan Growth Option</t>
  </si>
  <si>
    <t>NAV [Rs.] Per Unit  (as on November 30, 2022 : 96.21)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</si>
</sst>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8467</xdr:colOff>
      <xdr:row>0</xdr:row>
      <xdr:rowOff>135467</xdr:rowOff>
    </xdr:from>
    <xdr:to>
      <xdr:col>5</xdr:col>
      <xdr:colOff>49446</xdr:colOff>
      <xdr:row>0</xdr:row>
      <xdr:rowOff>2058755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267" y="135467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9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78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20674</v>
      </c>
      <c r="H10" s="32">
        <v>564.9</v>
      </c>
      <c r="I10" s="32">
        <v>6.38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30157</v>
      </c>
      <c r="H11" s="32">
        <v>492.28</v>
      </c>
      <c r="I11" s="32">
        <v>5.56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80703</v>
      </c>
      <c r="H12" s="32">
        <v>461.1</v>
      </c>
      <c r="I12" s="32">
        <v>5.21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11350</v>
      </c>
      <c r="H13" s="32">
        <v>385.04</v>
      </c>
      <c r="I13" s="32">
        <v>4.3499999999999996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31288</v>
      </c>
      <c r="H14" s="32">
        <v>350.66</v>
      </c>
      <c r="I14" s="32">
        <v>3.96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45190</v>
      </c>
      <c r="H15" s="32">
        <v>334.99</v>
      </c>
      <c r="I15" s="32">
        <v>3.78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134100</v>
      </c>
      <c r="H16" s="32">
        <v>331.03</v>
      </c>
      <c r="I16" s="32">
        <v>3.74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340500</v>
      </c>
      <c r="H17" s="32">
        <v>322.62</v>
      </c>
      <c r="I17" s="32">
        <v>3.64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164715</v>
      </c>
      <c r="H18" s="32">
        <v>310.82</v>
      </c>
      <c r="I18" s="32">
        <v>3.51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22</v>
      </c>
      <c r="G19" s="31">
        <v>28727</v>
      </c>
      <c r="H19" s="32">
        <v>309.48</v>
      </c>
      <c r="I19" s="32">
        <v>3.5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27500</v>
      </c>
      <c r="H20" s="32">
        <v>287.2</v>
      </c>
      <c r="I20" s="32">
        <v>3.24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34100</v>
      </c>
      <c r="H21" s="32">
        <v>275.92</v>
      </c>
      <c r="I21" s="32">
        <v>3.12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49281</v>
      </c>
      <c r="H22" s="32">
        <v>275.31</v>
      </c>
      <c r="I22" s="32">
        <v>3.11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30010</v>
      </c>
      <c r="H23" s="32">
        <v>265.48</v>
      </c>
      <c r="I23" s="32">
        <v>3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40</v>
      </c>
      <c r="G24" s="31">
        <v>234668</v>
      </c>
      <c r="H24" s="32">
        <v>246.64</v>
      </c>
      <c r="I24" s="32">
        <v>2.79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55</v>
      </c>
      <c r="G25" s="31">
        <v>76850</v>
      </c>
      <c r="H25" s="32">
        <v>217.64</v>
      </c>
      <c r="I25" s="32">
        <v>2.46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137335</v>
      </c>
      <c r="H26" s="32">
        <v>204.77</v>
      </c>
      <c r="I26" s="32">
        <v>2.31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77</v>
      </c>
      <c r="G27" s="31">
        <v>13618</v>
      </c>
      <c r="H27" s="32">
        <v>192.54</v>
      </c>
      <c r="I27" s="32">
        <v>2.1800000000000002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2104</v>
      </c>
      <c r="H28" s="32">
        <v>188.88</v>
      </c>
      <c r="I28" s="32">
        <v>2.13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33560</v>
      </c>
      <c r="H29" s="32">
        <v>180.32</v>
      </c>
      <c r="I29" s="32">
        <v>2.04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67</v>
      </c>
      <c r="G30" s="31">
        <v>19420</v>
      </c>
      <c r="H30" s="32">
        <v>175.55</v>
      </c>
      <c r="I30" s="32">
        <v>1.98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23000</v>
      </c>
      <c r="H31" s="32">
        <v>169.23</v>
      </c>
      <c r="I31" s="32">
        <v>1.91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55</v>
      </c>
      <c r="G32" s="31">
        <v>2956</v>
      </c>
      <c r="H32" s="32">
        <v>168.88</v>
      </c>
      <c r="I32" s="32">
        <v>1.91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77</v>
      </c>
      <c r="G33" s="31">
        <v>30000</v>
      </c>
      <c r="H33" s="32">
        <v>166.65</v>
      </c>
      <c r="I33" s="32">
        <v>1.88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55</v>
      </c>
      <c r="G34" s="31">
        <v>11140</v>
      </c>
      <c r="H34" s="32">
        <v>127.03</v>
      </c>
      <c r="I34" s="32">
        <v>1.44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22</v>
      </c>
      <c r="G35" s="31">
        <v>2470</v>
      </c>
      <c r="H35" s="32">
        <v>119.43</v>
      </c>
      <c r="I35" s="32">
        <v>1.35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55</v>
      </c>
      <c r="G36" s="31">
        <v>3654</v>
      </c>
      <c r="H36" s="32">
        <v>114.24</v>
      </c>
      <c r="I36" s="32">
        <v>1.29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12923</v>
      </c>
      <c r="H37" s="32">
        <v>105.71</v>
      </c>
      <c r="I37" s="32">
        <v>1.19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88</v>
      </c>
      <c r="G38" s="31">
        <v>2390</v>
      </c>
      <c r="H38" s="32">
        <v>92.47</v>
      </c>
      <c r="I38" s="32">
        <v>1.04</v>
      </c>
      <c r="J38" s="33"/>
    </row>
    <row r="39" spans="2:10">
      <c r="C39" s="28" t="s">
        <v>118</v>
      </c>
      <c r="D39" s="29"/>
      <c r="E39" s="30"/>
      <c r="F39" s="30"/>
      <c r="G39" s="31"/>
      <c r="H39" s="35">
        <v>7436.81</v>
      </c>
      <c r="I39" s="35">
        <v>84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119</v>
      </c>
      <c r="D41" s="29"/>
      <c r="E41" s="30"/>
      <c r="F41" s="30"/>
      <c r="G41" s="31"/>
      <c r="H41" s="32" t="s">
        <v>120</v>
      </c>
      <c r="I41" s="32" t="s">
        <v>120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121</v>
      </c>
      <c r="D43" s="29"/>
      <c r="E43" s="30"/>
      <c r="F43" s="30"/>
      <c r="G43" s="31"/>
      <c r="H43" s="32" t="s">
        <v>120</v>
      </c>
      <c r="I43" s="32" t="s">
        <v>120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122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123</v>
      </c>
      <c r="D47" s="29"/>
      <c r="E47" s="30"/>
      <c r="F47" s="30"/>
      <c r="G47" s="31"/>
      <c r="H47" s="32" t="s">
        <v>120</v>
      </c>
      <c r="I47" s="32" t="s">
        <v>120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124</v>
      </c>
      <c r="D49" s="29"/>
      <c r="E49" s="30"/>
      <c r="F49" s="30"/>
      <c r="G49" s="31"/>
      <c r="H49" s="32" t="s">
        <v>120</v>
      </c>
      <c r="I49" s="32" t="s">
        <v>120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125</v>
      </c>
      <c r="D51" s="29"/>
      <c r="E51" s="30"/>
      <c r="F51" s="30"/>
      <c r="G51" s="31"/>
      <c r="H51" s="32" t="s">
        <v>120</v>
      </c>
      <c r="I51" s="32" t="s">
        <v>120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126</v>
      </c>
      <c r="D53" s="29"/>
      <c r="E53" s="30"/>
      <c r="F53" s="30"/>
      <c r="G53" s="31"/>
      <c r="H53" s="32" t="s">
        <v>120</v>
      </c>
      <c r="I53" s="32" t="s">
        <v>120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127</v>
      </c>
      <c r="D55" s="29"/>
      <c r="E55" s="30"/>
      <c r="F55" s="30"/>
      <c r="G55" s="31"/>
      <c r="H55" s="32" t="s">
        <v>120</v>
      </c>
      <c r="I55" s="32" t="s">
        <v>120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128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129</v>
      </c>
      <c r="D59" s="29"/>
      <c r="E59" s="30"/>
      <c r="F59" s="30"/>
      <c r="G59" s="31"/>
      <c r="H59" s="32" t="s">
        <v>120</v>
      </c>
      <c r="I59" s="32" t="s">
        <v>120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130</v>
      </c>
      <c r="D61" s="29"/>
      <c r="E61" s="30"/>
      <c r="F61" s="30"/>
      <c r="G61" s="31"/>
      <c r="H61" s="32" t="s">
        <v>120</v>
      </c>
      <c r="I61" s="32" t="s">
        <v>120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131</v>
      </c>
      <c r="D63" s="29"/>
      <c r="E63" s="30"/>
      <c r="F63" s="30"/>
      <c r="G63" s="31"/>
      <c r="H63" s="32" t="s">
        <v>120</v>
      </c>
      <c r="I63" s="32" t="s">
        <v>120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132</v>
      </c>
      <c r="D65" s="29"/>
      <c r="E65" s="30"/>
      <c r="F65" s="30"/>
      <c r="G65" s="31"/>
      <c r="H65" s="32" t="s">
        <v>120</v>
      </c>
      <c r="I65" s="32" t="s">
        <v>120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133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134</v>
      </c>
      <c r="D69" s="29"/>
      <c r="E69" s="30"/>
      <c r="F69" s="30"/>
      <c r="G69" s="31"/>
      <c r="H69" s="32" t="s">
        <v>120</v>
      </c>
      <c r="I69" s="32" t="s">
        <v>120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135</v>
      </c>
      <c r="D71" s="29"/>
      <c r="E71" s="30"/>
      <c r="F71" s="30"/>
      <c r="G71" s="31"/>
      <c r="H71" s="32" t="s">
        <v>120</v>
      </c>
      <c r="I71" s="32" t="s">
        <v>120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136</v>
      </c>
      <c r="D73" s="29"/>
      <c r="E73" s="30"/>
      <c r="F73" s="30"/>
      <c r="G73" s="31"/>
      <c r="H73" s="32" t="s">
        <v>120</v>
      </c>
      <c r="I73" s="32" t="s">
        <v>120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137</v>
      </c>
      <c r="D75" s="29"/>
      <c r="E75" s="30"/>
      <c r="F75" s="30"/>
      <c r="G75" s="31"/>
      <c r="H75" s="32" t="s">
        <v>120</v>
      </c>
      <c r="I75" s="32" t="s">
        <v>120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138</v>
      </c>
      <c r="D77" s="29"/>
      <c r="E77" s="30"/>
      <c r="F77" s="30"/>
      <c r="G77" s="31"/>
      <c r="H77" s="32" t="s">
        <v>120</v>
      </c>
      <c r="I77" s="32" t="s">
        <v>120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139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140</v>
      </c>
      <c r="D80" s="29"/>
      <c r="E80" s="30"/>
      <c r="F80" s="30"/>
      <c r="G80" s="31"/>
      <c r="H80" s="32">
        <v>1415.28</v>
      </c>
      <c r="I80" s="32">
        <v>16</v>
      </c>
      <c r="J80" s="33"/>
    </row>
    <row r="81" spans="3:10">
      <c r="C81" s="28" t="s">
        <v>118</v>
      </c>
      <c r="D81" s="29"/>
      <c r="E81" s="30"/>
      <c r="F81" s="30"/>
      <c r="G81" s="31"/>
      <c r="H81" s="35">
        <v>1415.28</v>
      </c>
      <c r="I81" s="35">
        <v>16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8" thickBot="1">
      <c r="C83" s="36" t="s">
        <v>141</v>
      </c>
      <c r="D83" s="37"/>
      <c r="E83" s="38"/>
      <c r="F83" s="39"/>
      <c r="G83" s="40"/>
      <c r="H83" s="41">
        <v>8852.09</v>
      </c>
      <c r="I83" s="41">
        <f>SUMIFS(I:I,C:C,"Total")</f>
        <v>100</v>
      </c>
      <c r="J83" s="42"/>
    </row>
    <row r="86" spans="3:10">
      <c r="C86" s="11" t="s">
        <v>142</v>
      </c>
    </row>
    <row r="87" spans="3:10">
      <c r="C87" s="2" t="s">
        <v>143</v>
      </c>
    </row>
    <row r="88" spans="3:10">
      <c r="C88" s="2" t="s">
        <v>144</v>
      </c>
    </row>
    <row r="89" spans="3:10">
      <c r="C89" s="2" t="s">
        <v>145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6.88671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146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147</v>
      </c>
      <c r="C5" s="46" t="s">
        <v>148</v>
      </c>
      <c r="D5" s="46"/>
      <c r="E5" s="46" t="s">
        <v>149</v>
      </c>
      <c r="F5" s="46"/>
      <c r="G5" s="46" t="s">
        <v>150</v>
      </c>
      <c r="H5" s="46"/>
      <c r="I5" s="46" t="s">
        <v>151</v>
      </c>
      <c r="J5" s="46"/>
    </row>
    <row r="6" spans="2:10" ht="66">
      <c r="B6" s="47"/>
      <c r="C6" s="48" t="s">
        <v>152</v>
      </c>
      <c r="D6" s="48" t="s">
        <v>153</v>
      </c>
      <c r="E6" s="48" t="s">
        <v>152</v>
      </c>
      <c r="F6" s="48" t="s">
        <v>153</v>
      </c>
      <c r="G6" s="48" t="s">
        <v>152</v>
      </c>
      <c r="H6" s="48" t="s">
        <v>153</v>
      </c>
      <c r="I6" s="48" t="s">
        <v>152</v>
      </c>
      <c r="J6" s="48" t="s">
        <v>153</v>
      </c>
    </row>
    <row r="7" spans="2:10">
      <c r="B7" s="49" t="s">
        <v>154</v>
      </c>
      <c r="C7" s="50">
        <v>5.0541086930669499</v>
      </c>
      <c r="D7" s="50">
        <v>10505.410869306696</v>
      </c>
      <c r="E7" s="50">
        <v>19.15341996626929</v>
      </c>
      <c r="F7" s="50">
        <v>16933.103316082037</v>
      </c>
      <c r="G7" s="50">
        <v>12.831745946348105</v>
      </c>
      <c r="H7" s="50">
        <v>18293.642576102717</v>
      </c>
      <c r="I7" s="50">
        <v>17.286908370214139</v>
      </c>
      <c r="J7" s="50">
        <v>88340</v>
      </c>
    </row>
    <row r="8" spans="2:10">
      <c r="B8" s="49" t="s">
        <v>155</v>
      </c>
      <c r="C8" s="50">
        <v>3.6536709095869035</v>
      </c>
      <c r="D8" s="50">
        <v>10365.367090958691</v>
      </c>
      <c r="E8" s="50">
        <v>29.60151261175119</v>
      </c>
      <c r="F8" s="50">
        <v>21768.585550965483</v>
      </c>
      <c r="G8" s="50">
        <v>15.697273590765581</v>
      </c>
      <c r="H8" s="50">
        <v>20730.779128130089</v>
      </c>
      <c r="I8" s="50">
        <v>17.038805925543542</v>
      </c>
      <c r="J8" s="50">
        <v>85783.72737319718</v>
      </c>
    </row>
    <row r="9" spans="2:10">
      <c r="B9" s="49" t="s">
        <v>156</v>
      </c>
      <c r="C9" s="50">
        <v>11.931290069610267</v>
      </c>
      <c r="D9" s="50">
        <v>11193.129006961026</v>
      </c>
      <c r="E9" s="50">
        <v>17.224616227246557</v>
      </c>
      <c r="F9" s="50">
        <v>16108.550347465627</v>
      </c>
      <c r="G9" s="50">
        <v>14.315814346076849</v>
      </c>
      <c r="H9" s="50">
        <v>19522.326520255341</v>
      </c>
      <c r="I9" s="50">
        <v>15.062869853336913</v>
      </c>
      <c r="J9" s="50">
        <v>67981.626568019259</v>
      </c>
    </row>
    <row r="10" spans="2:10">
      <c r="B10" s="49" t="s">
        <v>157</v>
      </c>
      <c r="C10" s="51">
        <v>84.09</v>
      </c>
      <c r="D10" s="52"/>
      <c r="E10" s="51">
        <v>52.17</v>
      </c>
      <c r="F10" s="52"/>
      <c r="G10" s="51">
        <v>48.29</v>
      </c>
      <c r="H10" s="52"/>
      <c r="I10" s="51">
        <v>10</v>
      </c>
      <c r="J10" s="52"/>
    </row>
    <row r="12" spans="2:10" ht="15.6">
      <c r="B12" s="43" t="s">
        <v>158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147</v>
      </c>
      <c r="C13" s="46" t="s">
        <v>148</v>
      </c>
      <c r="D13" s="46"/>
      <c r="E13" s="46" t="s">
        <v>149</v>
      </c>
      <c r="F13" s="46"/>
      <c r="G13" s="46" t="s">
        <v>150</v>
      </c>
      <c r="H13" s="46"/>
      <c r="I13" s="46" t="s">
        <v>151</v>
      </c>
      <c r="J13" s="46"/>
    </row>
    <row r="14" spans="2:10" ht="66">
      <c r="B14" s="47"/>
      <c r="C14" s="48" t="s">
        <v>152</v>
      </c>
      <c r="D14" s="48" t="s">
        <v>153</v>
      </c>
      <c r="E14" s="48" t="s">
        <v>152</v>
      </c>
      <c r="F14" s="48" t="s">
        <v>153</v>
      </c>
      <c r="G14" s="48" t="s">
        <v>152</v>
      </c>
      <c r="H14" s="48" t="s">
        <v>153</v>
      </c>
      <c r="I14" s="48" t="s">
        <v>152</v>
      </c>
      <c r="J14" s="48" t="s">
        <v>153</v>
      </c>
    </row>
    <row r="15" spans="2:10">
      <c r="B15" s="49" t="s">
        <v>154</v>
      </c>
      <c r="C15" s="50">
        <v>6.0983678870754066</v>
      </c>
      <c r="D15" s="50">
        <v>10609.836788707542</v>
      </c>
      <c r="E15" s="50">
        <v>20.369430650125551</v>
      </c>
      <c r="F15" s="50">
        <v>17457.811649428415</v>
      </c>
      <c r="G15" s="50">
        <v>13.931931255079677</v>
      </c>
      <c r="H15" s="50">
        <v>19203.592814371255</v>
      </c>
      <c r="I15" s="50">
        <v>15.291460922079224</v>
      </c>
      <c r="J15" s="50">
        <v>41010.230179028127</v>
      </c>
    </row>
    <row r="16" spans="2:10">
      <c r="B16" s="49" t="s">
        <v>155</v>
      </c>
      <c r="C16" s="50">
        <v>3.6536709095869035</v>
      </c>
      <c r="D16" s="50">
        <v>10365.367090958691</v>
      </c>
      <c r="E16" s="50">
        <v>29.60151261175119</v>
      </c>
      <c r="F16" s="50">
        <v>21768.585550965483</v>
      </c>
      <c r="G16" s="50">
        <v>15.697273590765581</v>
      </c>
      <c r="H16" s="50">
        <v>20730.779128130089</v>
      </c>
      <c r="I16" s="50">
        <v>16.58245360338142</v>
      </c>
      <c r="J16" s="50">
        <v>45798.917386777299</v>
      </c>
    </row>
    <row r="17" spans="2:10">
      <c r="B17" s="49" t="s">
        <v>156</v>
      </c>
      <c r="C17" s="50">
        <v>11.931290069610267</v>
      </c>
      <c r="D17" s="50">
        <v>11193.129006961026</v>
      </c>
      <c r="E17" s="50">
        <v>17.224616227246557</v>
      </c>
      <c r="F17" s="50">
        <v>16108.550347465627</v>
      </c>
      <c r="G17" s="50">
        <v>14.315814346076849</v>
      </c>
      <c r="H17" s="50">
        <v>19522.326520255341</v>
      </c>
      <c r="I17" s="50">
        <v>13.674958569647577</v>
      </c>
      <c r="J17" s="50">
        <v>35651.093608266827</v>
      </c>
    </row>
    <row r="18" spans="2:10">
      <c r="B18" s="49" t="s">
        <v>159</v>
      </c>
      <c r="C18" s="51">
        <v>90.68</v>
      </c>
      <c r="D18" s="52"/>
      <c r="E18" s="51">
        <v>55.11</v>
      </c>
      <c r="F18" s="52"/>
      <c r="G18" s="51">
        <v>50.1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2022-12-01T10:12:26Z</dcterms:created>
  <dcterms:modified xsi:type="dcterms:W3CDTF">2022-12-09T06:24:34Z</dcterms:modified>
</cp:coreProperties>
</file>