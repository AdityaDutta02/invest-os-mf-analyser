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Ops\"/>
    </mc:Choice>
  </mc:AlternateContent>
  <xr:revisionPtr revIDLastSave="0" documentId="13_ncr:1_{9620A76B-4FFB-4687-9E71-2E121A48311C}" xr6:coauthVersionLast="47" xr6:coauthVersionMax="47" xr10:uidLastSave="{00000000-0000-0000-0000-000000000000}"/>
  <bookViews>
    <workbookView xWindow="-108" yWindow="-108" windowWidth="23256" windowHeight="12456" xr2:uid="{84086549-3493-4733-95AB-5CC3E9C4E431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TBF!$C$8:$C$41</definedName>
    <definedName name="XDO_?CLASS_4?">TBF!$C$9</definedName>
    <definedName name="XDO_?CS_1?">TBF!$H$11</definedName>
    <definedName name="XDO_?CS_2?">TBF!$I$11</definedName>
    <definedName name="XDO_?FINAL_ISIN?">TBF!$D$10:$D$85</definedName>
    <definedName name="XDO_?FINAL_MV?">TBF!$H$10:$H$85</definedName>
    <definedName name="XDO_?FINAL_NAME?">TBF!$C$10:$C$85</definedName>
    <definedName name="XDO_?FINAL_PER_NET?">TBF!$I$10:$I$85</definedName>
    <definedName name="XDO_?FINAL_QUANTITE?">TBF!$G$10:$G$85</definedName>
    <definedName name="XDO_?IND_01?">TBF!$F$10:$F$85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TBF!$C$2:$C$41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TBF!$B$10:$B$85</definedName>
    <definedName name="XDO_?NPTF?">TBF!$D$2:$D$41</definedName>
    <definedName name="XDO_?RATING?">TBF!$E$10:$E$85</definedName>
    <definedName name="XDO_?REMARKS?">TBF!$J$10:$J$85</definedName>
    <definedName name="XDO_?TDATE?">TBF!$D$4</definedName>
    <definedName name="XDO_?TITL?">TBF!$A$8:$A$41</definedName>
    <definedName name="XDO_GROUP_?G_2?">TBF!$2:$88</definedName>
    <definedName name="XDO_GROUP_?G_3?">TBF!$8:$87</definedName>
    <definedName name="XDO_GROUP_?G_4?">TBF!$B$85:$IV$85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<sst xmlns="http://schemas.openxmlformats.org/spreadsheetml/2006/main" count="271" uniqueCount="195">
  <si>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</si>
  <si>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</si>
  <si>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</si>
  <si>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</si>
  <si>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</si>
  <si>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</si>
  <si>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</si>
  <si>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</si>
  <si>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</si>
  <si>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</si>
  <si>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</si>
  <si>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</si>
  <si>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</si>
  <si>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</si>
  <si>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</si>
  <si>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</si>
  <si>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</si>
  <si>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</si>
  <si>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</si>
  <si>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</si>
  <si>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</si>
  <si>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</si>
  <si>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</si>
  <si>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</si>
  <si>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</si>
  <si>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</si>
  <si>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100012</t>
  </si>
  <si>
    <t>ICICI Bank Ltd.</t>
  </si>
  <si>
    <t>INE090A01021</t>
  </si>
  <si>
    <t>100155</t>
  </si>
  <si>
    <t>Divi's Laboratories Ltd.</t>
  </si>
  <si>
    <t>INE361B01024</t>
  </si>
  <si>
    <t>Pharmaceuticals &amp; Biotechnology</t>
  </si>
  <si>
    <t>100014</t>
  </si>
  <si>
    <t>Mahindra &amp; Mahindra Ltd.</t>
  </si>
  <si>
    <t>INE101A01026</t>
  </si>
  <si>
    <t>Automobiles</t>
  </si>
  <si>
    <t>100169</t>
  </si>
  <si>
    <t>Indian Oil Corporation Ltd.</t>
  </si>
  <si>
    <t>INE242A01010</t>
  </si>
  <si>
    <t>Petroleum Products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</si>
  <si>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</si>
  <si>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</si>
  <si>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</si>
  <si>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</si>
  <si>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</si>
  <si>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</si>
  <si>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</si>
  <si>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100024</t>
  </si>
  <si>
    <t>Axis Bank Ltd.</t>
  </si>
  <si>
    <t>INE238A01034</t>
  </si>
  <si>
    <t>100182</t>
  </si>
  <si>
    <t>Power Grid Corporation of India Ltd.</t>
  </si>
  <si>
    <t>INE752E01010</t>
  </si>
  <si>
    <t>Power</t>
  </si>
  <si>
    <t>100380</t>
  </si>
  <si>
    <t>Bajaj Finserv Ltd.</t>
  </si>
  <si>
    <t>INE918I01026</t>
  </si>
  <si>
    <t>Finance</t>
  </si>
  <si>
    <t>100111</t>
  </si>
  <si>
    <t>Oil &amp; Natural Gas Corporation Ltd.</t>
  </si>
  <si>
    <t>INE213A01029</t>
  </si>
  <si>
    <t>Oil</t>
  </si>
  <si>
    <t>101184</t>
  </si>
  <si>
    <t>Mazagon Dock Shipbuilders Ltd.</t>
  </si>
  <si>
    <t>INE249Z01020</t>
  </si>
  <si>
    <t>Industrial Manufacturing</t>
  </si>
  <si>
    <t>100566</t>
  </si>
  <si>
    <t>Laurus Labs Ltd.</t>
  </si>
  <si>
    <t>INE947Q01028</t>
  </si>
  <si>
    <t>102678</t>
  </si>
  <si>
    <t>TATA Capital Ltd.</t>
  </si>
  <si>
    <t>INE976I01016</t>
  </si>
  <si>
    <t>100153</t>
  </si>
  <si>
    <t>Cipla Ltd.</t>
  </si>
  <si>
    <t>INE059A01026</t>
  </si>
  <si>
    <t>100097</t>
  </si>
  <si>
    <t>Coal India Ltd.</t>
  </si>
  <si>
    <t>INE522F01014</t>
  </si>
  <si>
    <t>Consumable Fuels</t>
  </si>
  <si>
    <t>100037</t>
  </si>
  <si>
    <t>HCL Technologies Ltd.</t>
  </si>
  <si>
    <t>INE860A01027</t>
  </si>
  <si>
    <t>IT - Software</t>
  </si>
  <si>
    <t>100092</t>
  </si>
  <si>
    <t>Bank of Baroda</t>
  </si>
  <si>
    <t>INE028A01039</t>
  </si>
  <si>
    <t>100177</t>
  </si>
  <si>
    <t>Grasim Industries Ltd.</t>
  </si>
  <si>
    <t>INE047A01021</t>
  </si>
  <si>
    <t>Cement &amp; Cement Products</t>
  </si>
  <si>
    <t>100083</t>
  </si>
  <si>
    <t>Samvardhana Motherson International Ltd.</t>
  </si>
  <si>
    <t>INE775A01035</t>
  </si>
  <si>
    <t>Auto Components</t>
  </si>
  <si>
    <t>100194</t>
  </si>
  <si>
    <t>Power Finance Corporation Ltd.</t>
  </si>
  <si>
    <t>INE134E01011</t>
  </si>
  <si>
    <t>100003</t>
  </si>
  <si>
    <t>Infosys Ltd.</t>
  </si>
  <si>
    <t>INE009A01021</t>
  </si>
  <si>
    <t>100005</t>
  </si>
  <si>
    <t>Larsen &amp; Toubro Ltd.</t>
  </si>
  <si>
    <t>INE018A01030</t>
  </si>
  <si>
    <t>Construction</t>
  </si>
  <si>
    <t>102644</t>
  </si>
  <si>
    <t>Vikram Solar Ltd.</t>
  </si>
  <si>
    <t>INE078V01014</t>
  </si>
  <si>
    <t>Electrical Equipment</t>
  </si>
  <si>
    <t>100106</t>
  </si>
  <si>
    <t>Maruti Suzuki India Ltd.</t>
  </si>
  <si>
    <t>INE585B01010</t>
  </si>
  <si>
    <t>100032</t>
  </si>
  <si>
    <t>Tata Consultancy Services Ltd.</t>
  </si>
  <si>
    <t>INE467B01029</t>
  </si>
  <si>
    <t>100179</t>
  </si>
  <si>
    <t>Hero MotoCorp Ltd.</t>
  </si>
  <si>
    <t>INE158A01026</t>
  </si>
  <si>
    <t>100081</t>
  </si>
  <si>
    <t>Titan Company Ltd.</t>
  </si>
  <si>
    <t>INE280A01028</t>
  </si>
  <si>
    <t>Consumer Durables</t>
  </si>
  <si>
    <t>100008</t>
  </si>
  <si>
    <t>Sun Pharmaceutical Industries Ltd.</t>
  </si>
  <si>
    <t>INE044A01036</t>
  </si>
  <si>
    <t>100733</t>
  </si>
  <si>
    <t>General Insurance Corporation of India</t>
  </si>
  <si>
    <t>INE481Y01014</t>
  </si>
  <si>
    <t>Insurance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</si>
  <si>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</si>
  <si>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</si>
  <si>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</si>
  <si>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</si>
  <si>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</si>
  <si>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</si>
  <si>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</si>
  <si>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</si>
  <si>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</si>
  <si>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</si>
  <si>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</si>
  <si>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</si>
  <si>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</si>
  <si>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</si>
  <si>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</si>
  <si>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</si>
  <si>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</si>
  <si>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</si>
  <si>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</si>
  <si>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</si>
  <si>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</si>
  <si>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</si>
  <si>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</si>
  <si>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</si>
  <si>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</si>
  <si>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</si>
  <si>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</si>
  <si>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</si>
  <si>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</si>
  <si>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</si>
  <si>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 Total Value and percentage of illiquid equity shares is Nil.</t>
  </si>
  <si>
    <t>5. Net Assets Value per unit (in Rupees) are as follows:</t>
  </si>
  <si>
    <t>NAV per unit</t>
  </si>
  <si>
    <t>Plan/Option</t>
  </si>
  <si>
    <t>As on</t>
  </si>
  <si>
    <t>September 30, 2025</t>
  </si>
  <si>
    <t>October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</si>
  <si>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</si>
  <si>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</si>
  <si>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</si>
  <si>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</si>
  <si>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October 31,2025.</t>
  </si>
  <si>
    <t>7. The Scheme did not declare any bonus during the month ended As on  October 31,2025.</t>
  </si>
  <si>
    <t>8. Total outstanding exposure in derivative instruments as on As on  October 31,2025 is Nil</t>
  </si>
  <si>
    <t>9. Total investments in Foreign Securities /ADRs/GDRs /Overseas ETFs as at As on  October 31,2025 and its percentage to NAV is Nil.</t>
  </si>
  <si>
    <t>10. During the period, the portfolio turnover ratio is 0.91 times.</t>
  </si>
  <si>
    <t>      Portfolio Turnover Ratio = Lower of sales or purchase of securities divided by average AUM for 12 months ended As on  October 31,2025</t>
  </si>
  <si>
    <t>11. The Scheme did not invest in repo transactions of corporate debt securities during the month ended As on October 31,2025.</t>
  </si>
  <si>
    <t>12. The Scheme did not invest in credit default swaps during the month ended As on October 31,2025.</t>
  </si>
  <si>
    <t>13. There are Nil instances of deviation from the valuation principles/guidelines during the month ended as on October 31st, 2025</t>
  </si>
  <si>
    <t>Taurus Largecap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</si>
  <si>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</si>
  <si>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</si>
  <si>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</si>
  <si>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</si>
  <si>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</si>
  <si>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</si>
  <si>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</si>
  <si>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</si>
  <si>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</si>
  <si>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</si>
  <si>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</si>
  <si>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October 31,2025 :162.14)</t>
  </si>
  <si>
    <t>NAV [Rs.] Per Unit (as on October 31,2025 :171.62)</t>
  </si>
  <si>
    <t>Taurus Largecap Fund - Direct Plan Growth Option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</si>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</sst>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5" fontId="11" fillId="0" borderId="24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8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0" fontId="15" fillId="0" borderId="13" xfId="0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30FBB33F-01AF-4A01-BDEE-A899EEE84602}"/>
    <cellStyle name="Hyperlink" xfId="2" builtinId="8"/>
    <cellStyle name="Normal" xfId="0" builtinId="0"/>
    <cellStyle name="Normal 2" xfId="4" xr:uid="{F5642F52-002F-4B6E-A512-BB198A899CDF}"/>
    <cellStyle name="Style 1" xfId="3" xr:uid="{BD101F47-9228-44EF-BDF3-00C11444C4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337481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5BB3D-0131-4712-9FB5-CC6D25FC8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89648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Oct_2025\Final\TMF_Monthly_Portfolio_Report_Oct_25.xls" TargetMode="External"/><Relationship Id="rId1" Type="http://schemas.openxmlformats.org/officeDocument/2006/relationships/externalLinkPath" Target="file:///Q:\5.TMF\Reporting\Monthly%20Reports\Monthly%20Portfolio\2025-26\Oct_2025\Final\TMF_Monthly_Portfolio_Report_Oct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56A9-33CB-4498-A45B-F7575712BE76}">
  <sheetPr codeName="Sheet1"/>
  <dimension ref="A1:BB114"/>
  <sheetViews>
    <sheetView showGridLines="0" tabSelected="1" zoomScale="90" zoomScaleNormal="90" workbookViewId="0">
      <selection activeCell="D4" sqref="D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9.9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45961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103545</v>
      </c>
      <c r="H10" s="32">
        <v>435.15</v>
      </c>
      <c r="I10" s="32">
        <v>8.43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43124</v>
      </c>
      <c r="H11" s="32">
        <v>425.91</v>
      </c>
      <c r="I11" s="32">
        <v>8.25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32804</v>
      </c>
      <c r="H12" s="32">
        <v>307.37</v>
      </c>
      <c r="I12" s="32">
        <v>5.95</v>
      </c>
      <c r="J12" s="33"/>
    </row>
    <row r="13" spans="1:54" x14ac:dyDescent="0.3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22452</v>
      </c>
      <c r="H13" s="32">
        <v>301.99</v>
      </c>
      <c r="I13" s="32">
        <v>5.85</v>
      </c>
      <c r="J13" s="33"/>
    </row>
    <row r="14" spans="1:54" x14ac:dyDescent="0.3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3782</v>
      </c>
      <c r="H14" s="32">
        <v>255.14</v>
      </c>
      <c r="I14" s="32">
        <v>4.9400000000000004</v>
      </c>
      <c r="J14" s="33"/>
    </row>
    <row r="15" spans="1:54" x14ac:dyDescent="0.3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7040</v>
      </c>
      <c r="H15" s="32">
        <v>245.44</v>
      </c>
      <c r="I15" s="32">
        <v>4.75</v>
      </c>
      <c r="J15" s="33"/>
    </row>
    <row r="16" spans="1:54" x14ac:dyDescent="0.3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132331</v>
      </c>
      <c r="H16" s="32">
        <v>219.54</v>
      </c>
      <c r="I16" s="32">
        <v>4.25</v>
      </c>
      <c r="J16" s="33"/>
    </row>
    <row r="17" spans="2:10" x14ac:dyDescent="0.3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10564</v>
      </c>
      <c r="H17" s="32">
        <v>217.05</v>
      </c>
      <c r="I17" s="32">
        <v>4.2</v>
      </c>
      <c r="J17" s="33"/>
    </row>
    <row r="18" spans="2:10" x14ac:dyDescent="0.3">
      <c r="B18" s="1" t="s">
        <v>45</v>
      </c>
      <c r="C18" s="20" t="s">
        <v>46</v>
      </c>
      <c r="D18" s="29" t="s">
        <v>47</v>
      </c>
      <c r="E18" s="30"/>
      <c r="F18" s="30" t="s">
        <v>40</v>
      </c>
      <c r="G18" s="31">
        <v>13131</v>
      </c>
      <c r="H18" s="32">
        <v>195.19</v>
      </c>
      <c r="I18" s="32">
        <v>3.78</v>
      </c>
      <c r="J18" s="33"/>
    </row>
    <row r="19" spans="2:10" x14ac:dyDescent="0.3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14966</v>
      </c>
      <c r="H19" s="32">
        <v>184.53</v>
      </c>
      <c r="I19" s="32">
        <v>3.57</v>
      </c>
      <c r="J19" s="33"/>
    </row>
    <row r="20" spans="2:10" x14ac:dyDescent="0.3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58197</v>
      </c>
      <c r="H20" s="32">
        <v>167.69</v>
      </c>
      <c r="I20" s="32">
        <v>3.25</v>
      </c>
      <c r="J20" s="33"/>
    </row>
    <row r="21" spans="2:10" x14ac:dyDescent="0.3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8025</v>
      </c>
      <c r="H21" s="32">
        <v>167.58</v>
      </c>
      <c r="I21" s="32">
        <v>3.25</v>
      </c>
      <c r="J21" s="33"/>
    </row>
    <row r="22" spans="2:10" x14ac:dyDescent="0.3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61238</v>
      </c>
      <c r="H22" s="32">
        <v>156.43</v>
      </c>
      <c r="I22" s="32">
        <v>3.03</v>
      </c>
      <c r="J22" s="33"/>
    </row>
    <row r="23" spans="2:10" x14ac:dyDescent="0.3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5530</v>
      </c>
      <c r="H23" s="32">
        <v>150.91</v>
      </c>
      <c r="I23" s="32">
        <v>2.92</v>
      </c>
      <c r="J23" s="33"/>
    </row>
    <row r="24" spans="2:10" x14ac:dyDescent="0.3">
      <c r="B24" s="1" t="s">
        <v>67</v>
      </c>
      <c r="C24" s="20" t="s">
        <v>68</v>
      </c>
      <c r="D24" s="29" t="s">
        <v>69</v>
      </c>
      <c r="E24" s="30"/>
      <c r="F24" s="30" t="s">
        <v>32</v>
      </c>
      <c r="G24" s="31">
        <v>15489</v>
      </c>
      <c r="H24" s="32">
        <v>147.84</v>
      </c>
      <c r="I24" s="32">
        <v>2.86</v>
      </c>
      <c r="J24" s="33"/>
    </row>
    <row r="25" spans="2:10" x14ac:dyDescent="0.3">
      <c r="B25" s="1" t="s">
        <v>70</v>
      </c>
      <c r="C25" s="20" t="s">
        <v>71</v>
      </c>
      <c r="D25" s="29" t="s">
        <v>72</v>
      </c>
      <c r="E25" s="30"/>
      <c r="F25" s="30" t="s">
        <v>58</v>
      </c>
      <c r="G25" s="31">
        <v>43963</v>
      </c>
      <c r="H25" s="32">
        <v>143.87</v>
      </c>
      <c r="I25" s="32">
        <v>2.79</v>
      </c>
      <c r="J25" s="33"/>
    </row>
    <row r="26" spans="2:10" x14ac:dyDescent="0.3">
      <c r="B26" s="1" t="s">
        <v>73</v>
      </c>
      <c r="C26" s="20" t="s">
        <v>74</v>
      </c>
      <c r="D26" s="29" t="s">
        <v>75</v>
      </c>
      <c r="E26" s="30"/>
      <c r="F26" s="30" t="s">
        <v>32</v>
      </c>
      <c r="G26" s="31">
        <v>9475</v>
      </c>
      <c r="H26" s="32">
        <v>142.28</v>
      </c>
      <c r="I26" s="32">
        <v>2.76</v>
      </c>
      <c r="J26" s="33"/>
    </row>
    <row r="27" spans="2:10" x14ac:dyDescent="0.3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32167</v>
      </c>
      <c r="H27" s="32">
        <v>125.03</v>
      </c>
      <c r="I27" s="32">
        <v>2.42</v>
      </c>
      <c r="J27" s="33"/>
    </row>
    <row r="28" spans="2:10" x14ac:dyDescent="0.3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7885</v>
      </c>
      <c r="H28" s="32">
        <v>121.54</v>
      </c>
      <c r="I28" s="32">
        <v>2.35</v>
      </c>
      <c r="J28" s="33"/>
    </row>
    <row r="29" spans="2:10" x14ac:dyDescent="0.3">
      <c r="B29" s="1" t="s">
        <v>84</v>
      </c>
      <c r="C29" s="20" t="s">
        <v>85</v>
      </c>
      <c r="D29" s="29" t="s">
        <v>86</v>
      </c>
      <c r="E29" s="30"/>
      <c r="F29" s="30" t="s">
        <v>22</v>
      </c>
      <c r="G29" s="31">
        <v>42068</v>
      </c>
      <c r="H29" s="32">
        <v>117.08</v>
      </c>
      <c r="I29" s="32">
        <v>2.27</v>
      </c>
      <c r="J29" s="33"/>
    </row>
    <row r="30" spans="2:10" x14ac:dyDescent="0.3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3430</v>
      </c>
      <c r="H30" s="32">
        <v>99.24</v>
      </c>
      <c r="I30" s="32">
        <v>1.92</v>
      </c>
      <c r="J30" s="33"/>
    </row>
    <row r="31" spans="2:10" x14ac:dyDescent="0.3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86238</v>
      </c>
      <c r="H31" s="32">
        <v>90.85</v>
      </c>
      <c r="I31" s="32">
        <v>1.76</v>
      </c>
      <c r="J31" s="33"/>
    </row>
    <row r="32" spans="2:10" x14ac:dyDescent="0.3">
      <c r="B32" s="1" t="s">
        <v>95</v>
      </c>
      <c r="C32" s="20" t="s">
        <v>96</v>
      </c>
      <c r="D32" s="29" t="s">
        <v>97</v>
      </c>
      <c r="E32" s="30"/>
      <c r="F32" s="30" t="s">
        <v>58</v>
      </c>
      <c r="G32" s="31">
        <v>22408</v>
      </c>
      <c r="H32" s="32">
        <v>90.36</v>
      </c>
      <c r="I32" s="32">
        <v>1.75</v>
      </c>
      <c r="J32" s="33"/>
    </row>
    <row r="33" spans="2:10" x14ac:dyDescent="0.3">
      <c r="B33" s="1" t="s">
        <v>98</v>
      </c>
      <c r="C33" s="20" t="s">
        <v>99</v>
      </c>
      <c r="D33" s="29" t="s">
        <v>100</v>
      </c>
      <c r="E33" s="30"/>
      <c r="F33" s="30" t="s">
        <v>83</v>
      </c>
      <c r="G33" s="31">
        <v>5821</v>
      </c>
      <c r="H33" s="32">
        <v>86.3</v>
      </c>
      <c r="I33" s="32">
        <v>1.67</v>
      </c>
      <c r="J33" s="33"/>
    </row>
    <row r="34" spans="2:10" x14ac:dyDescent="0.3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1868</v>
      </c>
      <c r="H34" s="32">
        <v>75.3</v>
      </c>
      <c r="I34" s="32">
        <v>1.46</v>
      </c>
      <c r="J34" s="33"/>
    </row>
    <row r="35" spans="2:10" x14ac:dyDescent="0.3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22793</v>
      </c>
      <c r="H35" s="32">
        <v>74.41</v>
      </c>
      <c r="I35" s="32">
        <v>1.44</v>
      </c>
      <c r="J35" s="33"/>
    </row>
    <row r="36" spans="2:10" x14ac:dyDescent="0.3">
      <c r="B36" s="1" t="s">
        <v>109</v>
      </c>
      <c r="C36" s="20" t="s">
        <v>110</v>
      </c>
      <c r="D36" s="29" t="s">
        <v>111</v>
      </c>
      <c r="E36" s="30"/>
      <c r="F36" s="30" t="s">
        <v>36</v>
      </c>
      <c r="G36" s="31">
        <v>443</v>
      </c>
      <c r="H36" s="32">
        <v>71.73</v>
      </c>
      <c r="I36" s="32">
        <v>1.39</v>
      </c>
      <c r="J36" s="33"/>
    </row>
    <row r="37" spans="2:10" x14ac:dyDescent="0.3">
      <c r="B37" s="1" t="s">
        <v>112</v>
      </c>
      <c r="C37" s="20" t="s">
        <v>113</v>
      </c>
      <c r="D37" s="29" t="s">
        <v>114</v>
      </c>
      <c r="E37" s="30"/>
      <c r="F37" s="30" t="s">
        <v>83</v>
      </c>
      <c r="G37" s="31">
        <v>2100</v>
      </c>
      <c r="H37" s="32">
        <v>64.209999999999994</v>
      </c>
      <c r="I37" s="32">
        <v>1.24</v>
      </c>
      <c r="J37" s="33"/>
    </row>
    <row r="38" spans="2:10" x14ac:dyDescent="0.3">
      <c r="B38" s="1" t="s">
        <v>115</v>
      </c>
      <c r="C38" s="20" t="s">
        <v>116</v>
      </c>
      <c r="D38" s="29" t="s">
        <v>117</v>
      </c>
      <c r="E38" s="30"/>
      <c r="F38" s="30" t="s">
        <v>36</v>
      </c>
      <c r="G38" s="31">
        <v>1040</v>
      </c>
      <c r="H38" s="32">
        <v>57.67</v>
      </c>
      <c r="I38" s="32">
        <v>1.1200000000000001</v>
      </c>
      <c r="J38" s="33"/>
    </row>
    <row r="39" spans="2:10" x14ac:dyDescent="0.3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1393</v>
      </c>
      <c r="H39" s="32">
        <v>52.17</v>
      </c>
      <c r="I39" s="32">
        <v>1.01</v>
      </c>
      <c r="J39" s="33"/>
    </row>
    <row r="40" spans="2:10" x14ac:dyDescent="0.3">
      <c r="B40" s="1" t="s">
        <v>122</v>
      </c>
      <c r="C40" s="20" t="s">
        <v>123</v>
      </c>
      <c r="D40" s="29" t="s">
        <v>124</v>
      </c>
      <c r="E40" s="30"/>
      <c r="F40" s="30" t="s">
        <v>32</v>
      </c>
      <c r="G40" s="31">
        <v>3074</v>
      </c>
      <c r="H40" s="32">
        <v>51.95</v>
      </c>
      <c r="I40" s="32">
        <v>1.01</v>
      </c>
      <c r="J40" s="33"/>
    </row>
    <row r="41" spans="2:10" x14ac:dyDescent="0.3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11705</v>
      </c>
      <c r="H41" s="32">
        <v>43.84</v>
      </c>
      <c r="I41" s="32">
        <v>0.85</v>
      </c>
      <c r="J41" s="33"/>
    </row>
    <row r="42" spans="2:10" x14ac:dyDescent="0.3">
      <c r="C42" s="28" t="s">
        <v>129</v>
      </c>
      <c r="D42" s="29"/>
      <c r="E42" s="30"/>
      <c r="F42" s="30"/>
      <c r="G42" s="31"/>
      <c r="H42" s="35">
        <v>5085.59</v>
      </c>
      <c r="I42" s="35">
        <v>98.49</v>
      </c>
      <c r="J42" s="33"/>
    </row>
    <row r="43" spans="2:10" x14ac:dyDescent="0.3">
      <c r="C43" s="20"/>
      <c r="D43" s="29"/>
      <c r="E43" s="30"/>
      <c r="F43" s="30"/>
      <c r="G43" s="31"/>
      <c r="H43" s="32"/>
      <c r="I43" s="32"/>
      <c r="J43" s="33"/>
    </row>
    <row r="44" spans="2:10" x14ac:dyDescent="0.3">
      <c r="C44" s="28" t="s">
        <v>130</v>
      </c>
      <c r="D44" s="29"/>
      <c r="E44" s="30"/>
      <c r="F44" s="30"/>
      <c r="G44" s="31"/>
      <c r="H44" s="32" t="s">
        <v>131</v>
      </c>
      <c r="I44" s="32" t="s">
        <v>131</v>
      </c>
      <c r="J44" s="33"/>
    </row>
    <row r="45" spans="2:10" x14ac:dyDescent="0.3">
      <c r="C45" s="20"/>
      <c r="D45" s="29"/>
      <c r="E45" s="30"/>
      <c r="F45" s="30"/>
      <c r="G45" s="31"/>
      <c r="H45" s="32"/>
      <c r="I45" s="32"/>
      <c r="J45" s="33"/>
    </row>
    <row r="46" spans="2:10" x14ac:dyDescent="0.3">
      <c r="C46" s="28" t="s">
        <v>132</v>
      </c>
      <c r="D46" s="29"/>
      <c r="E46" s="30"/>
      <c r="F46" s="30"/>
      <c r="G46" s="31"/>
      <c r="H46" s="32" t="s">
        <v>131</v>
      </c>
      <c r="I46" s="32" t="s">
        <v>131</v>
      </c>
      <c r="J46" s="33"/>
    </row>
    <row r="47" spans="2:10" x14ac:dyDescent="0.3">
      <c r="C47" s="20"/>
      <c r="D47" s="29"/>
      <c r="E47" s="30"/>
      <c r="F47" s="30"/>
      <c r="G47" s="31"/>
      <c r="H47" s="32"/>
      <c r="I47" s="32"/>
      <c r="J47" s="33"/>
    </row>
    <row r="48" spans="2:10" x14ac:dyDescent="0.3">
      <c r="C48" s="28" t="s">
        <v>133</v>
      </c>
      <c r="D48" s="29"/>
      <c r="E48" s="30"/>
      <c r="F48" s="30"/>
      <c r="G48" s="31"/>
      <c r="H48" s="32"/>
      <c r="I48" s="32"/>
      <c r="J48" s="33"/>
    </row>
    <row r="49" spans="3:10" x14ac:dyDescent="0.3">
      <c r="C49" s="20"/>
      <c r="D49" s="29"/>
      <c r="E49" s="30"/>
      <c r="F49" s="30"/>
      <c r="G49" s="31"/>
      <c r="H49" s="32"/>
      <c r="I49" s="32"/>
      <c r="J49" s="33"/>
    </row>
    <row r="50" spans="3:10" x14ac:dyDescent="0.3">
      <c r="C50" s="28" t="s">
        <v>134</v>
      </c>
      <c r="D50" s="29"/>
      <c r="E50" s="30"/>
      <c r="F50" s="30"/>
      <c r="G50" s="31"/>
      <c r="H50" s="32" t="s">
        <v>131</v>
      </c>
      <c r="I50" s="32" t="s">
        <v>131</v>
      </c>
      <c r="J50" s="33"/>
    </row>
    <row r="51" spans="3:10" x14ac:dyDescent="0.3">
      <c r="C51" s="20"/>
      <c r="D51" s="29"/>
      <c r="E51" s="30"/>
      <c r="F51" s="30"/>
      <c r="G51" s="31"/>
      <c r="H51" s="32"/>
      <c r="I51" s="32"/>
      <c r="J51" s="33"/>
    </row>
    <row r="52" spans="3:10" x14ac:dyDescent="0.3">
      <c r="C52" s="28" t="s">
        <v>135</v>
      </c>
      <c r="D52" s="29"/>
      <c r="E52" s="30"/>
      <c r="F52" s="30"/>
      <c r="G52" s="31"/>
      <c r="H52" s="32" t="s">
        <v>131</v>
      </c>
      <c r="I52" s="32" t="s">
        <v>131</v>
      </c>
      <c r="J52" s="33"/>
    </row>
    <row r="53" spans="3:10" x14ac:dyDescent="0.3">
      <c r="C53" s="20"/>
      <c r="D53" s="29"/>
      <c r="E53" s="30"/>
      <c r="F53" s="30"/>
      <c r="G53" s="31"/>
      <c r="H53" s="32"/>
      <c r="I53" s="32"/>
      <c r="J53" s="33"/>
    </row>
    <row r="54" spans="3:10" x14ac:dyDescent="0.3">
      <c r="C54" s="28" t="s">
        <v>136</v>
      </c>
      <c r="D54" s="29"/>
      <c r="E54" s="30"/>
      <c r="F54" s="30"/>
      <c r="G54" s="31"/>
      <c r="H54" s="32" t="s">
        <v>131</v>
      </c>
      <c r="I54" s="32" t="s">
        <v>131</v>
      </c>
      <c r="J54" s="33"/>
    </row>
    <row r="55" spans="3:10" x14ac:dyDescent="0.3">
      <c r="C55" s="20"/>
      <c r="D55" s="29"/>
      <c r="E55" s="30"/>
      <c r="F55" s="30"/>
      <c r="G55" s="31"/>
      <c r="H55" s="32"/>
      <c r="I55" s="32"/>
      <c r="J55" s="33"/>
    </row>
    <row r="56" spans="3:10" x14ac:dyDescent="0.3">
      <c r="C56" s="28" t="s">
        <v>137</v>
      </c>
      <c r="D56" s="29"/>
      <c r="E56" s="30"/>
      <c r="F56" s="30"/>
      <c r="G56" s="31"/>
      <c r="H56" s="32" t="s">
        <v>131</v>
      </c>
      <c r="I56" s="32" t="s">
        <v>131</v>
      </c>
      <c r="J56" s="33"/>
    </row>
    <row r="57" spans="3:10" x14ac:dyDescent="0.3">
      <c r="C57" s="20"/>
      <c r="D57" s="29"/>
      <c r="E57" s="30"/>
      <c r="F57" s="30"/>
      <c r="G57" s="31"/>
      <c r="H57" s="32"/>
      <c r="I57" s="32"/>
      <c r="J57" s="33"/>
    </row>
    <row r="58" spans="3:10" x14ac:dyDescent="0.3">
      <c r="C58" s="28" t="s">
        <v>138</v>
      </c>
      <c r="D58" s="29"/>
      <c r="E58" s="30"/>
      <c r="F58" s="30"/>
      <c r="G58" s="31"/>
      <c r="H58" s="32" t="s">
        <v>131</v>
      </c>
      <c r="I58" s="32" t="s">
        <v>131</v>
      </c>
      <c r="J58" s="33"/>
    </row>
    <row r="59" spans="3:10" x14ac:dyDescent="0.3">
      <c r="C59" s="20"/>
      <c r="D59" s="29"/>
      <c r="E59" s="30"/>
      <c r="F59" s="30"/>
      <c r="G59" s="31"/>
      <c r="H59" s="32"/>
      <c r="I59" s="32"/>
      <c r="J59" s="33"/>
    </row>
    <row r="60" spans="3:10" x14ac:dyDescent="0.3">
      <c r="C60" s="28" t="s">
        <v>139</v>
      </c>
      <c r="D60" s="29"/>
      <c r="E60" s="30"/>
      <c r="F60" s="30"/>
      <c r="G60" s="31"/>
      <c r="H60" s="32"/>
      <c r="I60" s="32"/>
      <c r="J60" s="33"/>
    </row>
    <row r="61" spans="3:10" x14ac:dyDescent="0.3">
      <c r="C61" s="20"/>
      <c r="D61" s="29"/>
      <c r="E61" s="30"/>
      <c r="F61" s="30"/>
      <c r="G61" s="31"/>
      <c r="H61" s="32"/>
      <c r="I61" s="32"/>
      <c r="J61" s="33"/>
    </row>
    <row r="62" spans="3:10" x14ac:dyDescent="0.3">
      <c r="C62" s="28" t="s">
        <v>140</v>
      </c>
      <c r="D62" s="29"/>
      <c r="E62" s="30"/>
      <c r="F62" s="30"/>
      <c r="G62" s="31"/>
      <c r="H62" s="32" t="s">
        <v>131</v>
      </c>
      <c r="I62" s="32" t="s">
        <v>131</v>
      </c>
      <c r="J62" s="33"/>
    </row>
    <row r="63" spans="3:10" x14ac:dyDescent="0.3">
      <c r="C63" s="20"/>
      <c r="D63" s="29"/>
      <c r="E63" s="30"/>
      <c r="F63" s="30"/>
      <c r="G63" s="31"/>
      <c r="H63" s="32"/>
      <c r="I63" s="32"/>
      <c r="J63" s="33"/>
    </row>
    <row r="64" spans="3:10" x14ac:dyDescent="0.3">
      <c r="C64" s="28" t="s">
        <v>141</v>
      </c>
      <c r="D64" s="29"/>
      <c r="E64" s="30"/>
      <c r="F64" s="30"/>
      <c r="G64" s="31"/>
      <c r="H64" s="32" t="s">
        <v>131</v>
      </c>
      <c r="I64" s="32" t="s">
        <v>131</v>
      </c>
      <c r="J64" s="33"/>
    </row>
    <row r="65" spans="3:10" x14ac:dyDescent="0.3">
      <c r="C65" s="20"/>
      <c r="D65" s="29"/>
      <c r="E65" s="30"/>
      <c r="F65" s="30"/>
      <c r="G65" s="31"/>
      <c r="H65" s="32"/>
      <c r="I65" s="32"/>
      <c r="J65" s="33"/>
    </row>
    <row r="66" spans="3:10" x14ac:dyDescent="0.3">
      <c r="C66" s="28" t="s">
        <v>142</v>
      </c>
      <c r="D66" s="29"/>
      <c r="E66" s="30"/>
      <c r="F66" s="30"/>
      <c r="G66" s="31"/>
      <c r="H66" s="32" t="s">
        <v>131</v>
      </c>
      <c r="I66" s="32" t="s">
        <v>131</v>
      </c>
      <c r="J66" s="33"/>
    </row>
    <row r="67" spans="3:10" x14ac:dyDescent="0.3">
      <c r="C67" s="20"/>
      <c r="D67" s="29"/>
      <c r="E67" s="30"/>
      <c r="F67" s="30"/>
      <c r="G67" s="31"/>
      <c r="H67" s="32"/>
      <c r="I67" s="32"/>
      <c r="J67" s="33"/>
    </row>
    <row r="68" spans="3:10" x14ac:dyDescent="0.3">
      <c r="C68" s="28" t="s">
        <v>143</v>
      </c>
      <c r="D68" s="29"/>
      <c r="E68" s="30"/>
      <c r="F68" s="30"/>
      <c r="G68" s="31"/>
      <c r="H68" s="32" t="s">
        <v>131</v>
      </c>
      <c r="I68" s="32" t="s">
        <v>131</v>
      </c>
      <c r="J68" s="33"/>
    </row>
    <row r="69" spans="3:10" x14ac:dyDescent="0.3">
      <c r="C69" s="20"/>
      <c r="D69" s="29"/>
      <c r="E69" s="30"/>
      <c r="F69" s="30"/>
      <c r="G69" s="31"/>
      <c r="H69" s="32"/>
      <c r="I69" s="32"/>
      <c r="J69" s="33"/>
    </row>
    <row r="70" spans="3:10" x14ac:dyDescent="0.3">
      <c r="C70" s="28" t="s">
        <v>144</v>
      </c>
      <c r="D70" s="29"/>
      <c r="E70" s="30"/>
      <c r="F70" s="30"/>
      <c r="G70" s="31"/>
      <c r="H70" s="32"/>
      <c r="I70" s="32"/>
      <c r="J70" s="33"/>
    </row>
    <row r="71" spans="3:10" x14ac:dyDescent="0.3">
      <c r="C71" s="20"/>
      <c r="D71" s="29"/>
      <c r="E71" s="30"/>
      <c r="F71" s="30"/>
      <c r="G71" s="31"/>
      <c r="H71" s="32"/>
      <c r="I71" s="32"/>
      <c r="J71" s="33"/>
    </row>
    <row r="72" spans="3:10" x14ac:dyDescent="0.3">
      <c r="C72" s="28" t="s">
        <v>145</v>
      </c>
      <c r="D72" s="29"/>
      <c r="E72" s="30"/>
      <c r="F72" s="30"/>
      <c r="G72" s="31"/>
      <c r="H72" s="32" t="s">
        <v>131</v>
      </c>
      <c r="I72" s="32" t="s">
        <v>131</v>
      </c>
      <c r="J72" s="33"/>
    </row>
    <row r="73" spans="3:10" x14ac:dyDescent="0.3">
      <c r="C73" s="20"/>
      <c r="D73" s="29"/>
      <c r="E73" s="30"/>
      <c r="F73" s="30"/>
      <c r="G73" s="31"/>
      <c r="H73" s="32"/>
      <c r="I73" s="32"/>
      <c r="J73" s="33"/>
    </row>
    <row r="74" spans="3:10" x14ac:dyDescent="0.3">
      <c r="C74" s="28" t="s">
        <v>146</v>
      </c>
      <c r="D74" s="29"/>
      <c r="E74" s="30"/>
      <c r="F74" s="30"/>
      <c r="G74" s="31"/>
      <c r="H74" s="32" t="s">
        <v>131</v>
      </c>
      <c r="I74" s="32" t="s">
        <v>131</v>
      </c>
      <c r="J74" s="33"/>
    </row>
    <row r="75" spans="3:10" x14ac:dyDescent="0.3">
      <c r="C75" s="20"/>
      <c r="D75" s="29"/>
      <c r="E75" s="30"/>
      <c r="F75" s="30"/>
      <c r="G75" s="31"/>
      <c r="H75" s="32"/>
      <c r="I75" s="32"/>
      <c r="J75" s="33"/>
    </row>
    <row r="76" spans="3:10" x14ac:dyDescent="0.3">
      <c r="C76" s="28" t="s">
        <v>147</v>
      </c>
      <c r="D76" s="29"/>
      <c r="E76" s="30"/>
      <c r="F76" s="30"/>
      <c r="G76" s="31"/>
      <c r="H76" s="32" t="s">
        <v>131</v>
      </c>
      <c r="I76" s="32" t="s">
        <v>131</v>
      </c>
      <c r="J76" s="33"/>
    </row>
    <row r="77" spans="3:10" x14ac:dyDescent="0.3">
      <c r="C77" s="20"/>
      <c r="D77" s="29"/>
      <c r="E77" s="30"/>
      <c r="F77" s="30"/>
      <c r="G77" s="31"/>
      <c r="H77" s="32"/>
      <c r="I77" s="32"/>
      <c r="J77" s="33"/>
    </row>
    <row r="78" spans="3:10" x14ac:dyDescent="0.3">
      <c r="C78" s="28" t="s">
        <v>148</v>
      </c>
      <c r="D78" s="29"/>
      <c r="E78" s="30"/>
      <c r="F78" s="30"/>
      <c r="G78" s="31"/>
      <c r="H78" s="32" t="s">
        <v>131</v>
      </c>
      <c r="I78" s="32" t="s">
        <v>131</v>
      </c>
      <c r="J78" s="33"/>
    </row>
    <row r="79" spans="3:10" x14ac:dyDescent="0.3">
      <c r="C79" s="20"/>
      <c r="D79" s="29"/>
      <c r="E79" s="30"/>
      <c r="F79" s="30"/>
      <c r="G79" s="31"/>
      <c r="H79" s="32"/>
      <c r="I79" s="32"/>
      <c r="J79" s="33"/>
    </row>
    <row r="80" spans="3:10" x14ac:dyDescent="0.3">
      <c r="C80" s="28" t="s">
        <v>149</v>
      </c>
      <c r="D80" s="29"/>
      <c r="E80" s="30"/>
      <c r="F80" s="30"/>
      <c r="G80" s="31"/>
      <c r="H80" s="32" t="s">
        <v>131</v>
      </c>
      <c r="I80" s="32" t="s">
        <v>131</v>
      </c>
      <c r="J80" s="33"/>
    </row>
    <row r="81" spans="1:10" x14ac:dyDescent="0.3">
      <c r="C81" s="20"/>
      <c r="D81" s="29"/>
      <c r="E81" s="30"/>
      <c r="F81" s="30"/>
      <c r="G81" s="31"/>
      <c r="H81" s="32"/>
      <c r="I81" s="32"/>
      <c r="J81" s="33"/>
    </row>
    <row r="82" spans="1:10" x14ac:dyDescent="0.3">
      <c r="C82" s="28" t="s">
        <v>150</v>
      </c>
      <c r="D82" s="29"/>
      <c r="E82" s="30"/>
      <c r="F82" s="30"/>
      <c r="G82" s="31"/>
      <c r="H82" s="32" t="s">
        <v>131</v>
      </c>
      <c r="I82" s="32" t="s">
        <v>131</v>
      </c>
      <c r="J82" s="33"/>
    </row>
    <row r="83" spans="1:10" x14ac:dyDescent="0.3">
      <c r="C83" s="20"/>
      <c r="D83" s="29"/>
      <c r="E83" s="30"/>
      <c r="F83" s="30"/>
      <c r="G83" s="31"/>
      <c r="H83" s="32"/>
      <c r="I83" s="32"/>
      <c r="J83" s="33"/>
    </row>
    <row r="84" spans="1:10" x14ac:dyDescent="0.3">
      <c r="A84" s="26"/>
      <c r="B84" s="27"/>
      <c r="C84" s="28" t="s">
        <v>151</v>
      </c>
      <c r="D84" s="29"/>
      <c r="E84" s="30"/>
      <c r="F84" s="30"/>
      <c r="G84" s="31"/>
      <c r="H84" s="32"/>
      <c r="I84" s="32"/>
      <c r="J84" s="33"/>
    </row>
    <row r="85" spans="1:10" x14ac:dyDescent="0.3">
      <c r="B85" s="1"/>
      <c r="C85" s="20" t="s">
        <v>152</v>
      </c>
      <c r="D85" s="29"/>
      <c r="E85" s="30"/>
      <c r="F85" s="30"/>
      <c r="G85" s="31"/>
      <c r="H85" s="32">
        <v>77.41</v>
      </c>
      <c r="I85" s="32">
        <v>1.51</v>
      </c>
      <c r="J85" s="33"/>
    </row>
    <row r="86" spans="1:10" x14ac:dyDescent="0.3">
      <c r="C86" s="28" t="s">
        <v>129</v>
      </c>
      <c r="D86" s="29"/>
      <c r="E86" s="30"/>
      <c r="F86" s="30"/>
      <c r="G86" s="31"/>
      <c r="H86" s="35">
        <v>77.41</v>
      </c>
      <c r="I86" s="35">
        <v>1.51</v>
      </c>
      <c r="J86" s="33"/>
    </row>
    <row r="87" spans="1:10" x14ac:dyDescent="0.3">
      <c r="C87" s="20"/>
      <c r="D87" s="29"/>
      <c r="E87" s="30"/>
      <c r="F87" s="30"/>
      <c r="G87" s="31"/>
      <c r="H87" s="32"/>
      <c r="I87" s="32"/>
      <c r="J87" s="33"/>
    </row>
    <row r="88" spans="1:10" ht="14.4" thickBot="1" x14ac:dyDescent="0.35">
      <c r="C88" s="36" t="s">
        <v>153</v>
      </c>
      <c r="D88" s="37"/>
      <c r="E88" s="38"/>
      <c r="F88" s="39"/>
      <c r="G88" s="40"/>
      <c r="H88" s="41">
        <v>5163</v>
      </c>
      <c r="I88" s="41">
        <f>SUMIFS(I:I,C:C,"Total")</f>
        <v>100</v>
      </c>
      <c r="J88" s="42"/>
    </row>
    <row r="91" spans="1:10" x14ac:dyDescent="0.3">
      <c r="C91" s="11" t="s">
        <v>154</v>
      </c>
    </row>
    <row r="92" spans="1:10" x14ac:dyDescent="0.3">
      <c r="C92" s="2" t="s">
        <v>155</v>
      </c>
    </row>
    <row r="93" spans="1:10" x14ac:dyDescent="0.3">
      <c r="C93" s="2" t="s">
        <v>156</v>
      </c>
    </row>
    <row r="94" spans="1:10" x14ac:dyDescent="0.3">
      <c r="C94" s="2" t="s">
        <v>157</v>
      </c>
    </row>
    <row r="95" spans="1:10" x14ac:dyDescent="0.3">
      <c r="C95" s="2" t="s">
        <v>158</v>
      </c>
    </row>
    <row r="96" spans="1:10" x14ac:dyDescent="0.3">
      <c r="C96" s="2" t="s">
        <v>159</v>
      </c>
    </row>
    <row r="97" spans="3:5" ht="14.4" thickBot="1" x14ac:dyDescent="0.35">
      <c r="C97" s="2" t="s">
        <v>160</v>
      </c>
    </row>
    <row r="98" spans="3:5" ht="14.4" thickBot="1" x14ac:dyDescent="0.35">
      <c r="C98" s="43"/>
      <c r="D98" s="61" t="s">
        <v>161</v>
      </c>
      <c r="E98" s="62"/>
    </row>
    <row r="99" spans="3:5" x14ac:dyDescent="0.3">
      <c r="C99" s="44" t="s">
        <v>162</v>
      </c>
      <c r="D99" s="45" t="s">
        <v>163</v>
      </c>
      <c r="E99" s="46" t="s">
        <v>163</v>
      </c>
    </row>
    <row r="100" spans="3:5" ht="14.4" thickBot="1" x14ac:dyDescent="0.35">
      <c r="C100" s="47"/>
      <c r="D100" s="48" t="s">
        <v>164</v>
      </c>
      <c r="E100" s="49" t="s">
        <v>165</v>
      </c>
    </row>
    <row r="101" spans="3:5" ht="14.4" thickBot="1" x14ac:dyDescent="0.35">
      <c r="C101" s="50" t="s">
        <v>166</v>
      </c>
      <c r="D101" s="51">
        <v>67.73</v>
      </c>
      <c r="E101" s="51">
        <v>71.03</v>
      </c>
    </row>
    <row r="102" spans="3:5" ht="14.4" thickBot="1" x14ac:dyDescent="0.35">
      <c r="C102" s="50" t="s">
        <v>167</v>
      </c>
      <c r="D102" s="51">
        <v>154.62</v>
      </c>
      <c r="E102" s="51">
        <v>162.13999999999999</v>
      </c>
    </row>
    <row r="103" spans="3:5" ht="14.4" thickBot="1" x14ac:dyDescent="0.35">
      <c r="C103" s="50" t="s">
        <v>168</v>
      </c>
      <c r="D103" s="51">
        <v>72.08</v>
      </c>
      <c r="E103" s="51">
        <v>75.599999999999994</v>
      </c>
    </row>
    <row r="104" spans="3:5" ht="14.4" thickBot="1" x14ac:dyDescent="0.35">
      <c r="C104" s="50" t="s">
        <v>169</v>
      </c>
      <c r="D104" s="51">
        <v>163.63999999999999</v>
      </c>
      <c r="E104" s="51">
        <v>171.62</v>
      </c>
    </row>
    <row r="106" spans="3:5" x14ac:dyDescent="0.3">
      <c r="C106" s="2" t="s">
        <v>170</v>
      </c>
    </row>
    <row r="107" spans="3:5" x14ac:dyDescent="0.3">
      <c r="C107" s="2" t="s">
        <v>171</v>
      </c>
    </row>
    <row r="108" spans="3:5" x14ac:dyDescent="0.3">
      <c r="C108" s="2" t="s">
        <v>172</v>
      </c>
    </row>
    <row r="109" spans="3:5" x14ac:dyDescent="0.3">
      <c r="C109" s="2" t="s">
        <v>173</v>
      </c>
    </row>
    <row r="110" spans="3:5" x14ac:dyDescent="0.3">
      <c r="C110" s="2" t="s">
        <v>174</v>
      </c>
    </row>
    <row r="111" spans="3:5" x14ac:dyDescent="0.3">
      <c r="C111" s="2" t="s">
        <v>175</v>
      </c>
    </row>
    <row r="112" spans="3:5" x14ac:dyDescent="0.3">
      <c r="C112" s="2" t="s">
        <v>176</v>
      </c>
    </row>
    <row r="113" spans="3:3" x14ac:dyDescent="0.3">
      <c r="C113" s="2" t="s">
        <v>177</v>
      </c>
    </row>
    <row r="114" spans="3:3" x14ac:dyDescent="0.3">
      <c r="C114" s="2" t="s">
        <v>178</v>
      </c>
    </row>
  </sheetData>
  <mergeCells count="1">
    <mergeCell ref="D98:E9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09FE-0B24-4E35-9282-2BA095EF56B8}">
  <dimension ref="C3:M17"/>
  <sheetViews>
    <sheetView topLeftCell="A3" workbookViewId="0">
      <selection activeCell="L15" sqref="L15"/>
    </sheetView>
  </sheetViews>
  <sheetFormatPr defaultRowHeight="14.4" x14ac:dyDescent="0.3"/>
  <cols>
    <col min="3" max="3" width="46" customWidth="1"/>
    <col min="4" max="4" width="6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2" bestFit="1" customWidth="1"/>
  </cols>
  <sheetData>
    <row r="3" spans="3:13" ht="15.6" x14ac:dyDescent="0.3">
      <c r="C3" s="52" t="s">
        <v>179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3">
      <c r="C4" s="54" t="s">
        <v>180</v>
      </c>
      <c r="D4" s="65" t="s">
        <v>181</v>
      </c>
      <c r="E4" s="65"/>
      <c r="F4" s="65" t="s">
        <v>182</v>
      </c>
      <c r="G4" s="65"/>
      <c r="H4" s="65" t="s">
        <v>183</v>
      </c>
      <c r="I4" s="65"/>
      <c r="J4" s="66" t="s">
        <v>184</v>
      </c>
      <c r="K4" s="67"/>
      <c r="L4" s="68" t="s">
        <v>185</v>
      </c>
      <c r="M4" s="68"/>
    </row>
    <row r="5" spans="3:13" ht="66" x14ac:dyDescent="0.3">
      <c r="C5" s="55"/>
      <c r="D5" s="56" t="s">
        <v>186</v>
      </c>
      <c r="E5" s="56" t="s">
        <v>187</v>
      </c>
      <c r="F5" s="56" t="s">
        <v>186</v>
      </c>
      <c r="G5" s="56" t="s">
        <v>187</v>
      </c>
      <c r="H5" s="56" t="s">
        <v>186</v>
      </c>
      <c r="I5" s="56" t="s">
        <v>187</v>
      </c>
      <c r="J5" s="56" t="s">
        <v>186</v>
      </c>
      <c r="K5" s="56" t="s">
        <v>187</v>
      </c>
      <c r="L5" s="57" t="s">
        <v>186</v>
      </c>
      <c r="M5" s="57" t="s">
        <v>187</v>
      </c>
    </row>
    <row r="6" spans="3:13" x14ac:dyDescent="0.3">
      <c r="C6" s="58" t="s">
        <v>188</v>
      </c>
      <c r="D6" s="59">
        <v>4.9109999999999996</v>
      </c>
      <c r="E6" s="59">
        <v>10491.103202846974</v>
      </c>
      <c r="F6" s="59">
        <v>14.667299999999999</v>
      </c>
      <c r="G6" s="59">
        <v>14883.422067192949</v>
      </c>
      <c r="H6" s="59">
        <v>17.088899999999999</v>
      </c>
      <c r="I6" s="59">
        <v>22026.89851922293</v>
      </c>
      <c r="J6" s="59">
        <v>10.126300000000001</v>
      </c>
      <c r="K6" s="59">
        <v>26257.489878542507</v>
      </c>
      <c r="L6" s="59">
        <v>10.8337</v>
      </c>
      <c r="M6" s="59">
        <v>162140</v>
      </c>
    </row>
    <row r="7" spans="3:13" x14ac:dyDescent="0.3">
      <c r="C7" s="58" t="s">
        <v>189</v>
      </c>
      <c r="D7" s="59">
        <v>7.0641936999999997</v>
      </c>
      <c r="E7" s="59">
        <v>10768.45</v>
      </c>
      <c r="F7" s="59">
        <v>15.081035</v>
      </c>
      <c r="G7" s="59">
        <v>15332.034453756298</v>
      </c>
      <c r="H7" s="59">
        <v>19.674821999999999</v>
      </c>
      <c r="I7" s="59">
        <v>24697.135032821661</v>
      </c>
      <c r="J7" s="59">
        <v>14.134175000000001</v>
      </c>
      <c r="K7" s="59">
        <v>19425.251353510881</v>
      </c>
      <c r="L7" s="59" t="s">
        <v>194</v>
      </c>
      <c r="M7" s="59">
        <v>354264.84425089305</v>
      </c>
    </row>
    <row r="8" spans="3:13" x14ac:dyDescent="0.3">
      <c r="C8" s="58" t="s">
        <v>190</v>
      </c>
      <c r="D8" s="59">
        <v>7.5879000000000003</v>
      </c>
      <c r="E8" s="59">
        <v>10758.79</v>
      </c>
      <c r="F8" s="59">
        <v>13.8985</v>
      </c>
      <c r="G8" s="59">
        <v>14775.902403238213</v>
      </c>
      <c r="H8" s="59">
        <v>18.561499999999999</v>
      </c>
      <c r="I8" s="59">
        <v>23427.094320875454</v>
      </c>
      <c r="J8" s="59">
        <v>13.668900000000001</v>
      </c>
      <c r="K8" s="59">
        <v>18976.157934478382</v>
      </c>
      <c r="L8" s="59">
        <v>12.595700000000001</v>
      </c>
      <c r="M8" s="59">
        <v>381387.56752912077</v>
      </c>
    </row>
    <row r="9" spans="3:13" x14ac:dyDescent="0.3">
      <c r="C9" s="58" t="s">
        <v>191</v>
      </c>
      <c r="D9" s="63">
        <v>154.55000000000001</v>
      </c>
      <c r="E9" s="64"/>
      <c r="F9" s="63">
        <v>108.94</v>
      </c>
      <c r="G9" s="64"/>
      <c r="H9" s="63">
        <v>73.61</v>
      </c>
      <c r="I9" s="64"/>
      <c r="J9" s="63">
        <v>61.75</v>
      </c>
      <c r="K9" s="64"/>
      <c r="L9" s="63">
        <v>10</v>
      </c>
      <c r="M9" s="64"/>
    </row>
    <row r="11" spans="3:13" ht="15.6" x14ac:dyDescent="0.3">
      <c r="C11" s="52" t="s">
        <v>193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3">
      <c r="C12" s="54" t="s">
        <v>180</v>
      </c>
      <c r="D12" s="65" t="s">
        <v>181</v>
      </c>
      <c r="E12" s="65"/>
      <c r="F12" s="65" t="s">
        <v>182</v>
      </c>
      <c r="G12" s="65"/>
      <c r="H12" s="65" t="s">
        <v>183</v>
      </c>
      <c r="I12" s="65"/>
      <c r="J12" s="66" t="s">
        <v>184</v>
      </c>
      <c r="K12" s="67"/>
      <c r="L12" s="68" t="s">
        <v>185</v>
      </c>
      <c r="M12" s="68"/>
    </row>
    <row r="13" spans="3:13" ht="66" x14ac:dyDescent="0.3">
      <c r="C13" s="55"/>
      <c r="D13" s="56" t="s">
        <v>186</v>
      </c>
      <c r="E13" s="56" t="s">
        <v>187</v>
      </c>
      <c r="F13" s="56" t="s">
        <v>186</v>
      </c>
      <c r="G13" s="56" t="s">
        <v>187</v>
      </c>
      <c r="H13" s="56" t="s">
        <v>186</v>
      </c>
      <c r="I13" s="56" t="s">
        <v>187</v>
      </c>
      <c r="J13" s="56" t="s">
        <v>186</v>
      </c>
      <c r="K13" s="56" t="s">
        <v>187</v>
      </c>
      <c r="L13" s="57" t="s">
        <v>186</v>
      </c>
      <c r="M13" s="57" t="s">
        <v>187</v>
      </c>
    </row>
    <row r="14" spans="3:13" x14ac:dyDescent="0.3">
      <c r="C14" s="58" t="s">
        <v>188</v>
      </c>
      <c r="D14" s="59">
        <v>5.0949</v>
      </c>
      <c r="E14" s="59">
        <v>10509.491733006736</v>
      </c>
      <c r="F14" s="59">
        <v>14.807</v>
      </c>
      <c r="G14" s="59">
        <v>14937.766559317608</v>
      </c>
      <c r="H14" s="59">
        <v>17.2135</v>
      </c>
      <c r="I14" s="59">
        <v>22144.516129032258</v>
      </c>
      <c r="J14" s="59">
        <v>10.577400000000001</v>
      </c>
      <c r="K14" s="59">
        <v>27354.160025502075</v>
      </c>
      <c r="L14" s="59">
        <v>11.0448</v>
      </c>
      <c r="M14" s="59">
        <v>38548.966756513924</v>
      </c>
    </row>
    <row r="15" spans="3:13" x14ac:dyDescent="0.3">
      <c r="C15" s="58" t="s">
        <v>189</v>
      </c>
      <c r="D15" s="59">
        <v>7.0641936999999997</v>
      </c>
      <c r="E15" s="59">
        <v>10768.45</v>
      </c>
      <c r="F15" s="59">
        <v>15.081035</v>
      </c>
      <c r="G15" s="59">
        <v>15332.034453756298</v>
      </c>
      <c r="H15" s="59">
        <v>19.674821999999999</v>
      </c>
      <c r="I15" s="59">
        <v>24697.135032821661</v>
      </c>
      <c r="J15" s="59">
        <v>14.134175000000001</v>
      </c>
      <c r="K15" s="59">
        <v>19425.251353510881</v>
      </c>
      <c r="L15" s="59">
        <v>13.838862000000001</v>
      </c>
      <c r="M15" s="59">
        <v>51676.990460147572</v>
      </c>
    </row>
    <row r="16" spans="3:13" x14ac:dyDescent="0.3">
      <c r="C16" s="58" t="s">
        <v>190</v>
      </c>
      <c r="D16" s="59">
        <v>7.5879000000000003</v>
      </c>
      <c r="E16" s="59">
        <v>10758.79</v>
      </c>
      <c r="F16" s="59">
        <v>13.8985</v>
      </c>
      <c r="G16" s="59">
        <v>14775.902403238213</v>
      </c>
      <c r="H16" s="59">
        <v>18.561499999999999</v>
      </c>
      <c r="I16" s="59">
        <v>23427.094320875454</v>
      </c>
      <c r="J16" s="59">
        <v>13.668900000000001</v>
      </c>
      <c r="K16" s="59">
        <v>18976.157934478382</v>
      </c>
      <c r="L16" s="59">
        <v>13.377800000000001</v>
      </c>
      <c r="M16" s="59">
        <v>50090.04595805375</v>
      </c>
    </row>
    <row r="17" spans="3:13" x14ac:dyDescent="0.3">
      <c r="C17" s="60" t="s">
        <v>192</v>
      </c>
      <c r="D17" s="63">
        <v>163.30000000000001</v>
      </c>
      <c r="E17" s="64"/>
      <c r="F17" s="63">
        <v>114.89</v>
      </c>
      <c r="G17" s="64"/>
      <c r="H17" s="63">
        <v>77.5</v>
      </c>
      <c r="I17" s="64"/>
      <c r="J17" s="63">
        <v>62.74</v>
      </c>
      <c r="K17" s="64"/>
      <c r="L17" s="63">
        <v>44.52</v>
      </c>
      <c r="M17" s="64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2025-11-07T02:39:58Z</dcterms:created>
  <dcterms:modified xsi:type="dcterms:W3CDTF">2025-11-10T11:33:20Z</dcterms:modified>
</cp:coreProperties>
</file>