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4. July 2025\Monthly Portfolio Jun 2025\Ops\"/>
    </mc:Choice>
  </mc:AlternateContent>
  <xr:revisionPtr revIDLastSave="0" documentId="13_ncr:1_{604740BF-B0CC-42A9-95EA-DF80C5FE634F}" xr6:coauthVersionLast="47" xr6:coauthVersionMax="47" xr10:uidLastSave="{00000000-0000-0000-0000-000000000000}"/>
  <bookViews>
    <workbookView xWindow="-120" yWindow="-120" windowWidth="20730" windowHeight="11040" xr2:uid="{F9C88448-8E97-45A7-AD3D-F5C78282758B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TISF!$C$8:$C$41</definedName>
    <definedName name="XDO_?FINAL_ISIN?7?">TISF!$D$10:$D$41</definedName>
    <definedName name="XDO_?FINAL_ISIN?8?">TISF!$D$10:$D$85</definedName>
    <definedName name="XDO_?FINAL_MV?7?">TISF!$H$10:$H$41</definedName>
    <definedName name="XDO_?FINAL_MV?8?">TISF!$H$10:$H$85</definedName>
    <definedName name="XDO_?FINAL_NAME?7?">TISF!$C$10:$C$41</definedName>
    <definedName name="XDO_?FINAL_NAME?8?">TISF!$C$10:$C$85</definedName>
    <definedName name="XDO_?FINAL_PER_NET?7?">TISF!$I$10:$I$41</definedName>
    <definedName name="XDO_?FINAL_PER_NET?8?">TISF!$I$10:$I$85</definedName>
    <definedName name="XDO_?FINAL_QUANTITE?7?">TISF!$G$10:$G$41</definedName>
    <definedName name="XDO_?FINAL_QUANTITE?8?">TISF!$G$10:$G$85</definedName>
    <definedName name="XDO_?IND_01?7?">TISF!$F$10:$F$41</definedName>
    <definedName name="XDO_?IND_01?8?">TISF!$F$10:$F$85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TISF!$B$10:$B$41</definedName>
    <definedName name="XDO_?NOVAL?8?">TISF!$B$10:$B$85</definedName>
    <definedName name="XDO_?NPTF?4?">TISF!$D$2:$D$41</definedName>
    <definedName name="XDO_?RATING?7?">TISF!$E$10:$E$41</definedName>
    <definedName name="XDO_?RATING?8?">TISF!$E$10:$E$85</definedName>
    <definedName name="XDO_?REMARKS?7?">TISF!$J$10:$J$41</definedName>
    <definedName name="XDO_?REMARKS?8?">TISF!$J$10:$J$85</definedName>
    <definedName name="XDO_?TITL?4?">TISF!$A$8:$A$41</definedName>
    <definedName name="XDO_GROUP_?G_2?4?">TISF!$2:$88</definedName>
    <definedName name="XDO_GROUP_?G_3?4?">TISF!$8:$87</definedName>
    <definedName name="XDO_GROUP_?G_4?7?">TISF!$B$10:$IV$41</definedName>
    <definedName name="XDO_GROUP_?G_4?8?">TISF!$B$85:$IV$85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<sst xmlns="http://schemas.openxmlformats.org/spreadsheetml/2006/main" count="264" uniqueCount="192">
  <si>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</si>
  <si>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</si>
  <si>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</si>
  <si>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</si>
  <si>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</si>
  <si>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</si>
  <si>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</si>
  <si>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</si>
  <si>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</si>
  <si>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</si>
  <si>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</si>
  <si>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</si>
  <si>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</si>
  <si>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</si>
  <si>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</si>
  <si>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</si>
  <si>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</si>
  <si>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</si>
  <si>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</si>
  <si>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</si>
  <si>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</si>
  <si>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</si>
  <si>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</si>
  <si>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</si>
  <si>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</si>
  <si>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</si>
  <si>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</si>
  <si>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102447</t>
  </si>
  <si>
    <t>Afcons Infrastructure Ltd.</t>
  </si>
  <si>
    <t>INE101I01011</t>
  </si>
  <si>
    <t>100182</t>
  </si>
  <si>
    <t>Power Grid Corporation of India Ltd.</t>
  </si>
  <si>
    <t>INE752E01010</t>
  </si>
  <si>
    <t>Power</t>
  </si>
  <si>
    <t>102611</t>
  </si>
  <si>
    <t>Kalpataru Ltd.</t>
  </si>
  <si>
    <t>INE227J01012</t>
  </si>
  <si>
    <t>Realty</t>
  </si>
  <si>
    <t>100302</t>
  </si>
  <si>
    <t>DLF Ltd.</t>
  </si>
  <si>
    <t>INE271C01023</t>
  </si>
  <si>
    <t>100082</t>
  </si>
  <si>
    <t>Ultratech Cement Ltd.</t>
  </si>
  <si>
    <t>INE481G01011</t>
  </si>
  <si>
    <t>Cement &amp; Cement Products</t>
  </si>
  <si>
    <t>100094</t>
  </si>
  <si>
    <t>Bharat Petroleum Corporation Ltd.</t>
  </si>
  <si>
    <t>INE029A01011</t>
  </si>
  <si>
    <t>102206</t>
  </si>
  <si>
    <t>Chemtech Industrial Valves Ltd.</t>
  </si>
  <si>
    <t>INE212P01011</t>
  </si>
  <si>
    <t>Industrial Manufacturing</t>
  </si>
  <si>
    <t>100181</t>
  </si>
  <si>
    <t>NTPC Ltd.</t>
  </si>
  <si>
    <t>INE733E01010</t>
  </si>
  <si>
    <t>100169</t>
  </si>
  <si>
    <t>Indian Oil Corporation Ltd.</t>
  </si>
  <si>
    <t>INE242A01010</t>
  </si>
  <si>
    <t>100177</t>
  </si>
  <si>
    <t>Grasim Industries Ltd.</t>
  </si>
  <si>
    <t>INE047A01021</t>
  </si>
  <si>
    <t>100362</t>
  </si>
  <si>
    <t>JSW Energy Ltd.</t>
  </si>
  <si>
    <t>INE121E01018</t>
  </si>
  <si>
    <t>100292</t>
  </si>
  <si>
    <t>Steel Authority of India Ltd.</t>
  </si>
  <si>
    <t>INE114A01011</t>
  </si>
  <si>
    <t>Ferrous Metals</t>
  </si>
  <si>
    <t>100843</t>
  </si>
  <si>
    <t>Dalmia Bharat Ltd.</t>
  </si>
  <si>
    <t>INE00R701025</t>
  </si>
  <si>
    <t>100111</t>
  </si>
  <si>
    <t>Oil &amp; Natural Gas Corporation Ltd.</t>
  </si>
  <si>
    <t>INE213A01029</t>
  </si>
  <si>
    <t>Oil</t>
  </si>
  <si>
    <t>100365</t>
  </si>
  <si>
    <t>Ashok Leyland Ltd.</t>
  </si>
  <si>
    <t>INE208A01029</t>
  </si>
  <si>
    <t>Agricultural, Commercial &amp; Construction Vehicles</t>
  </si>
  <si>
    <t>101797</t>
  </si>
  <si>
    <t>Bajaj Hindusthan Sugar Ltd.</t>
  </si>
  <si>
    <t>INE306A01021</t>
  </si>
  <si>
    <t>Agricultural Food &amp; other Products</t>
  </si>
  <si>
    <t>100100</t>
  </si>
  <si>
    <t>Hindustan Petroleum Corporation Ltd.</t>
  </si>
  <si>
    <t>INE094A01015</t>
  </si>
  <si>
    <t>100498</t>
  </si>
  <si>
    <t>Ahluwalia Contracts (India) Ltd.</t>
  </si>
  <si>
    <t>INE758C01029</t>
  </si>
  <si>
    <t>100174</t>
  </si>
  <si>
    <t>Vodafone Idea Ltd.</t>
  </si>
  <si>
    <t>INE669E01016</t>
  </si>
  <si>
    <t>100156</t>
  </si>
  <si>
    <t>Finolex Cables Ltd.</t>
  </si>
  <si>
    <t>INE235A01022</t>
  </si>
  <si>
    <t>Industrial Products</t>
  </si>
  <si>
    <t>100083</t>
  </si>
  <si>
    <t>Samvardhana Motherson International Ltd.</t>
  </si>
  <si>
    <t>INE775A01035</t>
  </si>
  <si>
    <t>Auto Components</t>
  </si>
  <si>
    <t>101800</t>
  </si>
  <si>
    <t>Hindware Home Innovation Ltd.</t>
  </si>
  <si>
    <t>INE05AN01011</t>
  </si>
  <si>
    <t>Consumer Durables</t>
  </si>
  <si>
    <t>100014</t>
  </si>
  <si>
    <t>Mahindra &amp; Mahindra Ltd.</t>
  </si>
  <si>
    <t>INE101A01026</t>
  </si>
  <si>
    <t>Automobiles</t>
  </si>
  <si>
    <t>100809</t>
  </si>
  <si>
    <t>Rites Ltd.</t>
  </si>
  <si>
    <t>INE320J01015</t>
  </si>
  <si>
    <t>100430</t>
  </si>
  <si>
    <t>Salzer Electronics Ltd.</t>
  </si>
  <si>
    <t>INE457F01013</t>
  </si>
  <si>
    <t>Electrical Equipment</t>
  </si>
  <si>
    <t>100752</t>
  </si>
  <si>
    <t>Praj Industries Ltd.</t>
  </si>
  <si>
    <t>INE074A01025</t>
  </si>
  <si>
    <t>100185</t>
  </si>
  <si>
    <t>Tata Power Company Ltd.</t>
  </si>
  <si>
    <t>INE245A01021</t>
  </si>
  <si>
    <t>102505</t>
  </si>
  <si>
    <t>Apeejay Surrendra Park Hotels Ltd.</t>
  </si>
  <si>
    <t>INE988S01028</t>
  </si>
  <si>
    <t>Leisure Services</t>
  </si>
  <si>
    <t>102060</t>
  </si>
  <si>
    <t>Tarc Ltd.</t>
  </si>
  <si>
    <t>INE0EK901012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</si>
  <si>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</si>
  <si>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</si>
  <si>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</si>
  <si>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</si>
  <si>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</si>
  <si>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</si>
  <si>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</si>
  <si>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</si>
  <si>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</si>
  <si>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</si>
  <si>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</si>
  <si>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</si>
  <si>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</si>
  <si>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</si>
  <si>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</si>
  <si>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</si>
  <si>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</si>
  <si>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</si>
  <si>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</si>
  <si>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</si>
  <si>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</si>
  <si>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</si>
  <si>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</si>
  <si>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</si>
  <si>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</si>
  <si>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</si>
  <si>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</si>
  <si>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</si>
  <si>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</si>
  <si>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</si>
  <si>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</si>
  <si>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</si>
  <si>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</si>
  <si>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</si>
  <si>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</si>
  <si>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May 31, 2025</t>
  </si>
  <si>
    <t>June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</si>
  <si>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</si>
  <si>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</si>
  <si>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</si>
  <si>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</si>
  <si>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June 30, 2025.</t>
  </si>
  <si>
    <t>7. The Scheme did not declare any bonus during the month ended As on June 30, 2025.</t>
  </si>
  <si>
    <t>8. Total outstanding exposure in derivative instruments as on As on June 30, 2025 is Nil</t>
  </si>
  <si>
    <t>9. Total investments in Foreign Securities /ADRs/GDRs /Overseas ETFs as at As on June 30, 2025 and its percentage to NAV is Nil.</t>
  </si>
  <si>
    <t>10. During the period, the portfolio turnover ratio is 0.85 times.</t>
  </si>
  <si>
    <t>      Portfolio Turnover Ratio = Lower of sales or purchase of securities divided by average AUM for 12 months ended As on June 30, 2025</t>
  </si>
  <si>
    <t>11. The Scheme did not invest in repo transactions of corporate debt securities during the month ended As on June 30, 2025.</t>
  </si>
  <si>
    <t>12. The Scheme did not invest in credit default swaps during the month ended As on June 30, 2025.</t>
  </si>
  <si>
    <t>13. There are Nil instances of deviation from the valuation principles/guidelines during the month ended as on June 30th, 2025.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</si>
  <si>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</si>
  <si>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</si>
  <si>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</si>
  <si>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</si>
  <si>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</si>
  <si>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</si>
  <si>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</si>
  <si>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</si>
  <si>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</si>
  <si>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</si>
  <si>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</si>
  <si>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June 30,2025 :69.5)</t>
  </si>
  <si>
    <t>Taurus Infrastructure Fund - Direct Plan Growth Option</t>
  </si>
  <si>
    <t>NAV [Rs.] Per Unit (as on June 30,2025 :74.55)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</si>
</sst>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3F82216-2336-4F3D-B26C-3799DD49499A}"/>
    <cellStyle name="Hyperlink" xfId="2" builtinId="8"/>
    <cellStyle name="Normal" xfId="0" builtinId="0"/>
    <cellStyle name="Normal 2" xfId="4" xr:uid="{CF76A4B5-6691-49AC-B967-A7C412CF24AC}"/>
    <cellStyle name="Style 1" xfId="3" xr:uid="{F41EF15A-E7D5-49FB-ADD9-0B261C9507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28A62757-E697-49F3-816C-1A893FF3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n_2025\Final\TMF_Monthly_Portfolio_Report_Jun%2025.xls" TargetMode="External"/><Relationship Id="rId1" Type="http://schemas.openxmlformats.org/officeDocument/2006/relationships/externalLinkPath" Target="file:///Q:\5.TMF\Reporting\Monthly%20Reports\Monthly%20Portfolio\2025-26\Jun_2025\Final\TMF_Monthly_Portfolio_Report_Jun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EE1C-9809-4398-A8AC-400C205E58C3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98.46</v>
      </c>
      <c r="I10" s="32">
        <v>10.1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72.06</v>
      </c>
      <c r="I11" s="32">
        <v>7.39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63.06</v>
      </c>
      <c r="I12" s="32">
        <v>6.47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10800</v>
      </c>
      <c r="H13" s="32">
        <v>47.21</v>
      </c>
      <c r="I13" s="32">
        <v>4.84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13677</v>
      </c>
      <c r="H14" s="32">
        <v>41</v>
      </c>
      <c r="I14" s="32">
        <v>4.21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9684</v>
      </c>
      <c r="H15" s="32">
        <v>40.090000000000003</v>
      </c>
      <c r="I15" s="32">
        <v>4.1100000000000003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37</v>
      </c>
      <c r="G16" s="31">
        <v>4454</v>
      </c>
      <c r="H16" s="32">
        <v>37.31</v>
      </c>
      <c r="I16" s="32">
        <v>3.83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280</v>
      </c>
      <c r="H17" s="32">
        <v>33.799999999999997</v>
      </c>
      <c r="I17" s="32">
        <v>3.47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9374</v>
      </c>
      <c r="H18" s="32">
        <v>31.12</v>
      </c>
      <c r="I18" s="32">
        <v>3.19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25000</v>
      </c>
      <c r="H19" s="32">
        <v>30.99</v>
      </c>
      <c r="I19" s="32">
        <v>3.18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33</v>
      </c>
      <c r="G20" s="31">
        <v>8787</v>
      </c>
      <c r="H20" s="32">
        <v>29.43</v>
      </c>
      <c r="I20" s="32">
        <v>3.02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22</v>
      </c>
      <c r="G21" s="31">
        <v>19975</v>
      </c>
      <c r="H21" s="32">
        <v>29.35</v>
      </c>
      <c r="I21" s="32">
        <v>3.01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44</v>
      </c>
      <c r="G22" s="31">
        <v>1015</v>
      </c>
      <c r="H22" s="32">
        <v>28.9</v>
      </c>
      <c r="I22" s="32">
        <v>2.97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33</v>
      </c>
      <c r="G23" s="31">
        <v>5491</v>
      </c>
      <c r="H23" s="32">
        <v>28.67</v>
      </c>
      <c r="I23" s="32">
        <v>2.94</v>
      </c>
      <c r="J23" s="33"/>
    </row>
    <row r="24" spans="2:10" x14ac:dyDescent="0.25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20533</v>
      </c>
      <c r="H24" s="32">
        <v>27.09</v>
      </c>
      <c r="I24" s="32">
        <v>2.78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44</v>
      </c>
      <c r="G25" s="31">
        <v>1208</v>
      </c>
      <c r="H25" s="32">
        <v>26.69</v>
      </c>
      <c r="I25" s="32">
        <v>2.74</v>
      </c>
      <c r="J25" s="33"/>
    </row>
    <row r="26" spans="2:10" x14ac:dyDescent="0.25">
      <c r="B26" s="1" t="s">
        <v>71</v>
      </c>
      <c r="C26" s="20" t="s">
        <v>72</v>
      </c>
      <c r="D26" s="29" t="s">
        <v>73</v>
      </c>
      <c r="E26" s="30"/>
      <c r="F26" s="30" t="s">
        <v>74</v>
      </c>
      <c r="G26" s="31">
        <v>8818</v>
      </c>
      <c r="H26" s="32">
        <v>21.53</v>
      </c>
      <c r="I26" s="32">
        <v>2.21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8546</v>
      </c>
      <c r="H27" s="32">
        <v>21.45</v>
      </c>
      <c r="I27" s="32">
        <v>2.2000000000000002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80000</v>
      </c>
      <c r="H28" s="32">
        <v>20.74</v>
      </c>
      <c r="I28" s="32">
        <v>2.13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22</v>
      </c>
      <c r="G29" s="31">
        <v>4702</v>
      </c>
      <c r="H29" s="32">
        <v>20.59</v>
      </c>
      <c r="I29" s="32">
        <v>2.11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26</v>
      </c>
      <c r="G30" s="31">
        <v>2005</v>
      </c>
      <c r="H30" s="32">
        <v>20.350000000000001</v>
      </c>
      <c r="I30" s="32">
        <v>2.09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18</v>
      </c>
      <c r="G31" s="31">
        <v>255518</v>
      </c>
      <c r="H31" s="32">
        <v>19.010000000000002</v>
      </c>
      <c r="I31" s="32">
        <v>1.95</v>
      </c>
      <c r="J31" s="33"/>
    </row>
    <row r="32" spans="2:10" x14ac:dyDescent="0.25">
      <c r="B32" s="1" t="s">
        <v>92</v>
      </c>
      <c r="C32" s="20" t="s">
        <v>93</v>
      </c>
      <c r="D32" s="29" t="s">
        <v>94</v>
      </c>
      <c r="E32" s="30"/>
      <c r="F32" s="30" t="s">
        <v>95</v>
      </c>
      <c r="G32" s="31">
        <v>1903</v>
      </c>
      <c r="H32" s="32">
        <v>18.68</v>
      </c>
      <c r="I32" s="32">
        <v>1.92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11000</v>
      </c>
      <c r="H33" s="32">
        <v>17.03</v>
      </c>
      <c r="I33" s="32">
        <v>1.75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5772</v>
      </c>
      <c r="H34" s="32">
        <v>16.850000000000001</v>
      </c>
      <c r="I34" s="32">
        <v>1.73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523</v>
      </c>
      <c r="H35" s="32">
        <v>16.649999999999999</v>
      </c>
      <c r="I35" s="32">
        <v>1.71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26</v>
      </c>
      <c r="G36" s="31">
        <v>5803</v>
      </c>
      <c r="H36" s="32">
        <v>16.25</v>
      </c>
      <c r="I36" s="32">
        <v>1.67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1686</v>
      </c>
      <c r="H37" s="32">
        <v>15.55</v>
      </c>
      <c r="I37" s="32">
        <v>1.6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51</v>
      </c>
      <c r="G38" s="31">
        <v>2599</v>
      </c>
      <c r="H38" s="32">
        <v>13.23</v>
      </c>
      <c r="I38" s="32">
        <v>1.36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33</v>
      </c>
      <c r="G39" s="31">
        <v>2500</v>
      </c>
      <c r="H39" s="32">
        <v>10.14</v>
      </c>
      <c r="I39" s="32">
        <v>1.04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5773</v>
      </c>
      <c r="H40" s="32">
        <v>9.5500000000000007</v>
      </c>
      <c r="I40" s="32">
        <v>0.98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37</v>
      </c>
      <c r="G41" s="31">
        <v>3851</v>
      </c>
      <c r="H41" s="32">
        <v>7.13</v>
      </c>
      <c r="I41" s="32">
        <v>0.73</v>
      </c>
      <c r="J41" s="33"/>
    </row>
    <row r="42" spans="2:10" x14ac:dyDescent="0.25">
      <c r="C42" s="28" t="s">
        <v>128</v>
      </c>
      <c r="D42" s="29"/>
      <c r="E42" s="30"/>
      <c r="F42" s="30"/>
      <c r="G42" s="31"/>
      <c r="H42" s="35">
        <v>929.96</v>
      </c>
      <c r="I42" s="35">
        <v>95.43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129</v>
      </c>
      <c r="D44" s="29"/>
      <c r="E44" s="30"/>
      <c r="F44" s="30"/>
      <c r="G44" s="31"/>
      <c r="H44" s="32" t="s">
        <v>130</v>
      </c>
      <c r="I44" s="32" t="s">
        <v>130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131</v>
      </c>
      <c r="D46" s="29"/>
      <c r="E46" s="30"/>
      <c r="F46" s="30"/>
      <c r="G46" s="31"/>
      <c r="H46" s="32" t="s">
        <v>130</v>
      </c>
      <c r="I46" s="32" t="s">
        <v>130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132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133</v>
      </c>
      <c r="D50" s="29"/>
      <c r="E50" s="30"/>
      <c r="F50" s="30"/>
      <c r="G50" s="31"/>
      <c r="H50" s="32" t="s">
        <v>130</v>
      </c>
      <c r="I50" s="32" t="s">
        <v>130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134</v>
      </c>
      <c r="D52" s="29"/>
      <c r="E52" s="30"/>
      <c r="F52" s="30"/>
      <c r="G52" s="31"/>
      <c r="H52" s="32" t="s">
        <v>130</v>
      </c>
      <c r="I52" s="32" t="s">
        <v>130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135</v>
      </c>
      <c r="D54" s="29"/>
      <c r="E54" s="30"/>
      <c r="F54" s="30"/>
      <c r="G54" s="31"/>
      <c r="H54" s="32" t="s">
        <v>130</v>
      </c>
      <c r="I54" s="32" t="s">
        <v>130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136</v>
      </c>
      <c r="D56" s="29"/>
      <c r="E56" s="30"/>
      <c r="F56" s="30"/>
      <c r="G56" s="31"/>
      <c r="H56" s="32" t="s">
        <v>130</v>
      </c>
      <c r="I56" s="32" t="s">
        <v>130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137</v>
      </c>
      <c r="D58" s="29"/>
      <c r="E58" s="30"/>
      <c r="F58" s="30"/>
      <c r="G58" s="31"/>
      <c r="H58" s="32" t="s">
        <v>130</v>
      </c>
      <c r="I58" s="32" t="s">
        <v>130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138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139</v>
      </c>
      <c r="D62" s="29"/>
      <c r="E62" s="30"/>
      <c r="F62" s="30"/>
      <c r="G62" s="31"/>
      <c r="H62" s="32" t="s">
        <v>130</v>
      </c>
      <c r="I62" s="32" t="s">
        <v>130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140</v>
      </c>
      <c r="D64" s="29"/>
      <c r="E64" s="30"/>
      <c r="F64" s="30"/>
      <c r="G64" s="31"/>
      <c r="H64" s="32" t="s">
        <v>130</v>
      </c>
      <c r="I64" s="32" t="s">
        <v>130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141</v>
      </c>
      <c r="D66" s="29"/>
      <c r="E66" s="30"/>
      <c r="F66" s="30"/>
      <c r="G66" s="31"/>
      <c r="H66" s="32" t="s">
        <v>130</v>
      </c>
      <c r="I66" s="32" t="s">
        <v>130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142</v>
      </c>
      <c r="D68" s="29"/>
      <c r="E68" s="30"/>
      <c r="F68" s="30"/>
      <c r="G68" s="31"/>
      <c r="H68" s="32" t="s">
        <v>130</v>
      </c>
      <c r="I68" s="32" t="s">
        <v>130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143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144</v>
      </c>
      <c r="D72" s="29"/>
      <c r="E72" s="30"/>
      <c r="F72" s="30"/>
      <c r="G72" s="31"/>
      <c r="H72" s="32" t="s">
        <v>130</v>
      </c>
      <c r="I72" s="32" t="s">
        <v>130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145</v>
      </c>
      <c r="D74" s="29"/>
      <c r="E74" s="30"/>
      <c r="F74" s="30"/>
      <c r="G74" s="31"/>
      <c r="H74" s="32" t="s">
        <v>130</v>
      </c>
      <c r="I74" s="32" t="s">
        <v>130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146</v>
      </c>
      <c r="D76" s="29"/>
      <c r="E76" s="30"/>
      <c r="F76" s="30"/>
      <c r="G76" s="31"/>
      <c r="H76" s="32" t="s">
        <v>130</v>
      </c>
      <c r="I76" s="32" t="s">
        <v>130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147</v>
      </c>
      <c r="D78" s="29"/>
      <c r="E78" s="30"/>
      <c r="F78" s="30"/>
      <c r="G78" s="31"/>
      <c r="H78" s="32" t="s">
        <v>130</v>
      </c>
      <c r="I78" s="32" t="s">
        <v>130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148</v>
      </c>
      <c r="D80" s="29"/>
      <c r="E80" s="30"/>
      <c r="F80" s="30"/>
      <c r="G80" s="31"/>
      <c r="H80" s="32" t="s">
        <v>130</v>
      </c>
      <c r="I80" s="32" t="s">
        <v>130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149</v>
      </c>
      <c r="D82" s="29"/>
      <c r="E82" s="30"/>
      <c r="F82" s="30"/>
      <c r="G82" s="31"/>
      <c r="H82" s="32" t="s">
        <v>130</v>
      </c>
      <c r="I82" s="32" t="s">
        <v>130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150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151</v>
      </c>
      <c r="D85" s="29"/>
      <c r="E85" s="30"/>
      <c r="F85" s="30"/>
      <c r="G85" s="31"/>
      <c r="H85" s="32">
        <v>44.57</v>
      </c>
      <c r="I85" s="32">
        <v>4.57</v>
      </c>
      <c r="J85" s="33"/>
    </row>
    <row r="86" spans="1:10" x14ac:dyDescent="0.25">
      <c r="C86" s="28" t="s">
        <v>128</v>
      </c>
      <c r="D86" s="29"/>
      <c r="E86" s="30"/>
      <c r="F86" s="30"/>
      <c r="G86" s="31"/>
      <c r="H86" s="35">
        <v>44.57</v>
      </c>
      <c r="I86" s="35">
        <v>4.57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152</v>
      </c>
      <c r="D88" s="37"/>
      <c r="E88" s="38"/>
      <c r="F88" s="39"/>
      <c r="G88" s="40"/>
      <c r="H88" s="41">
        <v>974.53</v>
      </c>
      <c r="I88" s="41">
        <f>SUMIFS(I:I,C:C,"Total")</f>
        <v>100</v>
      </c>
      <c r="J88" s="42"/>
    </row>
    <row r="91" spans="1:10" x14ac:dyDescent="0.25">
      <c r="C91" s="11" t="s">
        <v>153</v>
      </c>
    </row>
    <row r="92" spans="1:10" x14ac:dyDescent="0.25">
      <c r="C92" s="2" t="s">
        <v>154</v>
      </c>
    </row>
    <row r="93" spans="1:10" x14ac:dyDescent="0.25">
      <c r="C93" s="2" t="s">
        <v>155</v>
      </c>
    </row>
    <row r="94" spans="1:10" x14ac:dyDescent="0.25">
      <c r="C94" s="2" t="s">
        <v>156</v>
      </c>
    </row>
    <row r="95" spans="1:10" x14ac:dyDescent="0.25">
      <c r="C95" s="2" t="s">
        <v>157</v>
      </c>
    </row>
    <row r="96" spans="1:10" x14ac:dyDescent="0.25">
      <c r="C96" s="2" t="s">
        <v>158</v>
      </c>
    </row>
    <row r="97" spans="3:5" x14ac:dyDescent="0.25">
      <c r="C97" s="2" t="s">
        <v>159</v>
      </c>
    </row>
    <row r="98" spans="3:5" x14ac:dyDescent="0.25">
      <c r="D98" s="2" t="s">
        <v>160</v>
      </c>
    </row>
    <row r="99" spans="3:5" x14ac:dyDescent="0.25">
      <c r="C99" s="2" t="s">
        <v>161</v>
      </c>
      <c r="D99" s="2" t="s">
        <v>162</v>
      </c>
      <c r="E99" s="2" t="s">
        <v>162</v>
      </c>
    </row>
    <row r="100" spans="3:5" x14ac:dyDescent="0.25">
      <c r="D100" s="2" t="s">
        <v>163</v>
      </c>
      <c r="E100" s="2" t="s">
        <v>164</v>
      </c>
    </row>
    <row r="101" spans="3:5" x14ac:dyDescent="0.25">
      <c r="C101" s="2" t="s">
        <v>165</v>
      </c>
      <c r="D101" s="2">
        <v>62.51</v>
      </c>
      <c r="E101" s="2">
        <v>65.28</v>
      </c>
    </row>
    <row r="102" spans="3:5" x14ac:dyDescent="0.25">
      <c r="C102" s="2" t="s">
        <v>166</v>
      </c>
      <c r="D102" s="2">
        <v>66.55</v>
      </c>
      <c r="E102" s="2">
        <v>69.5</v>
      </c>
    </row>
    <row r="103" spans="3:5" x14ac:dyDescent="0.25">
      <c r="C103" s="2" t="s">
        <v>167</v>
      </c>
      <c r="D103" s="2">
        <v>66.459999999999994</v>
      </c>
      <c r="E103" s="2">
        <v>69.430000000000007</v>
      </c>
    </row>
    <row r="104" spans="3:5" x14ac:dyDescent="0.25">
      <c r="C104" s="2" t="s">
        <v>168</v>
      </c>
      <c r="D104" s="2">
        <v>71.36</v>
      </c>
      <c r="E104" s="2">
        <v>74.55</v>
      </c>
    </row>
    <row r="106" spans="3:5" x14ac:dyDescent="0.25">
      <c r="C106" s="2" t="s">
        <v>169</v>
      </c>
    </row>
    <row r="107" spans="3:5" x14ac:dyDescent="0.25">
      <c r="C107" s="2" t="s">
        <v>170</v>
      </c>
    </row>
    <row r="108" spans="3:5" x14ac:dyDescent="0.25">
      <c r="C108" s="2" t="s">
        <v>171</v>
      </c>
    </row>
    <row r="109" spans="3:5" x14ac:dyDescent="0.25">
      <c r="C109" s="2" t="s">
        <v>172</v>
      </c>
    </row>
    <row r="110" spans="3:5" x14ac:dyDescent="0.25">
      <c r="C110" s="2" t="s">
        <v>173</v>
      </c>
    </row>
    <row r="111" spans="3:5" x14ac:dyDescent="0.25">
      <c r="C111" s="2" t="s">
        <v>174</v>
      </c>
    </row>
    <row r="112" spans="3:5" x14ac:dyDescent="0.25">
      <c r="C112" s="2" t="s">
        <v>175</v>
      </c>
    </row>
    <row r="113" spans="3:3" x14ac:dyDescent="0.25">
      <c r="C113" s="2" t="s">
        <v>176</v>
      </c>
    </row>
    <row r="114" spans="3:3" x14ac:dyDescent="0.25">
      <c r="C114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D502-665A-4645-B850-D642B10164D4}">
  <dimension ref="C3:K17"/>
  <sheetViews>
    <sheetView workbookViewId="0"/>
  </sheetViews>
  <sheetFormatPr defaultRowHeight="15" x14ac:dyDescent="0.25"/>
  <cols>
    <col min="3" max="3" width="41.425781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178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179</v>
      </c>
      <c r="D4" s="46" t="s">
        <v>180</v>
      </c>
      <c r="E4" s="46"/>
      <c r="F4" s="46" t="s">
        <v>181</v>
      </c>
      <c r="G4" s="46"/>
      <c r="H4" s="46" t="s">
        <v>182</v>
      </c>
      <c r="I4" s="46"/>
      <c r="J4" s="47" t="s">
        <v>183</v>
      </c>
      <c r="K4" s="47"/>
    </row>
    <row r="5" spans="3:11" ht="63.75" x14ac:dyDescent="0.25">
      <c r="C5" s="48"/>
      <c r="D5" s="49" t="s">
        <v>184</v>
      </c>
      <c r="E5" s="49" t="s">
        <v>185</v>
      </c>
      <c r="F5" s="49" t="s">
        <v>184</v>
      </c>
      <c r="G5" s="49" t="s">
        <v>185</v>
      </c>
      <c r="H5" s="49" t="s">
        <v>184</v>
      </c>
      <c r="I5" s="49" t="s">
        <v>185</v>
      </c>
      <c r="J5" s="50" t="s">
        <v>184</v>
      </c>
      <c r="K5" s="50" t="s">
        <v>185</v>
      </c>
    </row>
    <row r="6" spans="3:11" x14ac:dyDescent="0.25">
      <c r="C6" s="51" t="s">
        <v>186</v>
      </c>
      <c r="D6" s="52">
        <v>-1.2854000000000001</v>
      </c>
      <c r="E6" s="52">
        <v>9870.7569947450647</v>
      </c>
      <c r="F6" s="52">
        <v>25.821000000000002</v>
      </c>
      <c r="G6" s="52">
        <v>19931.172928018354</v>
      </c>
      <c r="H6" s="52">
        <v>25.454899999999999</v>
      </c>
      <c r="I6" s="52">
        <v>31096.196868008949</v>
      </c>
      <c r="J6" s="52">
        <v>11.184913</v>
      </c>
      <c r="K6" s="52">
        <v>69500</v>
      </c>
    </row>
    <row r="7" spans="3:11" x14ac:dyDescent="0.25">
      <c r="C7" s="51" t="s">
        <v>187</v>
      </c>
      <c r="D7" s="52">
        <v>3.8622999999999998</v>
      </c>
      <c r="E7" s="52">
        <v>10386.230000000001</v>
      </c>
      <c r="F7" s="52">
        <v>27.858899999999998</v>
      </c>
      <c r="G7" s="52">
        <v>20902.2429512745</v>
      </c>
      <c r="H7" s="52">
        <v>26.8826</v>
      </c>
      <c r="I7" s="52">
        <v>32885.946565583668</v>
      </c>
      <c r="J7" s="52">
        <v>7.8099400000000001</v>
      </c>
      <c r="K7" s="52">
        <v>39698.543353792455</v>
      </c>
    </row>
    <row r="8" spans="3:11" x14ac:dyDescent="0.25">
      <c r="C8" s="51" t="s">
        <v>188</v>
      </c>
      <c r="D8" s="52">
        <v>7.4931999999999999</v>
      </c>
      <c r="E8" s="52">
        <v>10749.32</v>
      </c>
      <c r="F8" s="52">
        <v>18.719899999999999</v>
      </c>
      <c r="G8" s="52">
        <v>16732.874985200422</v>
      </c>
      <c r="H8" s="52">
        <v>21.330400000000001</v>
      </c>
      <c r="I8" s="52">
        <v>26293.48467000237</v>
      </c>
      <c r="J8" s="52">
        <v>12.6524</v>
      </c>
      <c r="K8" s="52">
        <v>88842.780483934577</v>
      </c>
    </row>
    <row r="9" spans="3:11" x14ac:dyDescent="0.25">
      <c r="C9" s="51" t="s">
        <v>189</v>
      </c>
      <c r="D9" s="53">
        <v>70.41</v>
      </c>
      <c r="E9" s="54"/>
      <c r="F9" s="53">
        <v>34.869999999999997</v>
      </c>
      <c r="G9" s="54"/>
      <c r="H9" s="53">
        <v>22.35</v>
      </c>
      <c r="I9" s="54"/>
      <c r="J9" s="53">
        <v>10</v>
      </c>
      <c r="K9" s="54"/>
    </row>
    <row r="11" spans="3:11" ht="15.75" x14ac:dyDescent="0.25">
      <c r="C11" s="43" t="s">
        <v>190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179</v>
      </c>
      <c r="D12" s="46" t="s">
        <v>180</v>
      </c>
      <c r="E12" s="46"/>
      <c r="F12" s="46" t="s">
        <v>181</v>
      </c>
      <c r="G12" s="46"/>
      <c r="H12" s="46" t="s">
        <v>182</v>
      </c>
      <c r="I12" s="46"/>
      <c r="J12" s="47" t="s">
        <v>183</v>
      </c>
      <c r="K12" s="47"/>
    </row>
    <row r="13" spans="3:11" ht="63.75" x14ac:dyDescent="0.25">
      <c r="C13" s="48"/>
      <c r="D13" s="49" t="s">
        <v>184</v>
      </c>
      <c r="E13" s="49" t="s">
        <v>185</v>
      </c>
      <c r="F13" s="49" t="s">
        <v>184</v>
      </c>
      <c r="G13" s="49" t="s">
        <v>185</v>
      </c>
      <c r="H13" s="49" t="s">
        <v>184</v>
      </c>
      <c r="I13" s="49" t="s">
        <v>185</v>
      </c>
      <c r="J13" s="50" t="s">
        <v>184</v>
      </c>
      <c r="K13" s="50" t="s">
        <v>185</v>
      </c>
    </row>
    <row r="14" spans="3:11" x14ac:dyDescent="0.25">
      <c r="C14" s="51" t="s">
        <v>186</v>
      </c>
      <c r="D14" s="52">
        <v>-0.84660000000000002</v>
      </c>
      <c r="E14" s="52">
        <v>9914.8822981779485</v>
      </c>
      <c r="F14" s="52">
        <v>26.3904</v>
      </c>
      <c r="G14" s="52">
        <v>20203.252032520326</v>
      </c>
      <c r="H14" s="52">
        <v>26.010300000000001</v>
      </c>
      <c r="I14" s="52">
        <v>31791.044776119405</v>
      </c>
      <c r="J14" s="52">
        <v>15.0611</v>
      </c>
      <c r="K14" s="52">
        <v>58151.326053042118</v>
      </c>
    </row>
    <row r="15" spans="3:11" x14ac:dyDescent="0.25">
      <c r="C15" s="51" t="s">
        <v>187</v>
      </c>
      <c r="D15" s="52">
        <v>3.8622999999999998</v>
      </c>
      <c r="E15" s="52">
        <v>10386.230000000001</v>
      </c>
      <c r="F15" s="52">
        <v>27.858899999999998</v>
      </c>
      <c r="G15" s="52">
        <v>20902.2429512745</v>
      </c>
      <c r="H15" s="52">
        <v>26.8826</v>
      </c>
      <c r="I15" s="52">
        <v>32885.946565583668</v>
      </c>
      <c r="J15" s="52">
        <v>12.2425</v>
      </c>
      <c r="K15" s="52">
        <v>42354.341311189542</v>
      </c>
    </row>
    <row r="16" spans="3:11" x14ac:dyDescent="0.25">
      <c r="C16" s="51" t="s">
        <v>188</v>
      </c>
      <c r="D16" s="52">
        <v>7.4931999999999999</v>
      </c>
      <c r="E16" s="52">
        <v>10749.32</v>
      </c>
      <c r="F16" s="52">
        <v>18.719899999999999</v>
      </c>
      <c r="G16" s="52">
        <v>16732.874985200422</v>
      </c>
      <c r="H16" s="52">
        <v>21.330400000000001</v>
      </c>
      <c r="I16" s="52">
        <v>26293.48467000237</v>
      </c>
      <c r="J16" s="52">
        <v>13.6694</v>
      </c>
      <c r="K16" s="52">
        <v>49598.480408466232</v>
      </c>
    </row>
    <row r="17" spans="3:11" x14ac:dyDescent="0.25">
      <c r="C17" s="51" t="s">
        <v>191</v>
      </c>
      <c r="D17" s="53">
        <v>75.19</v>
      </c>
      <c r="E17" s="54"/>
      <c r="F17" s="53">
        <v>36.9</v>
      </c>
      <c r="G17" s="54"/>
      <c r="H17" s="53">
        <v>23.45</v>
      </c>
      <c r="I17" s="54"/>
      <c r="J17" s="53">
        <v>12.82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2025-07-07T10:23:48Z</dcterms:created>
  <dcterms:modified xsi:type="dcterms:W3CDTF">2025-07-08T08:03:12Z</dcterms:modified>
</cp:coreProperties>
</file>