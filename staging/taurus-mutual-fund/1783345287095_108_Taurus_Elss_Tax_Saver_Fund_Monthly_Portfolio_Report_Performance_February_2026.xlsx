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2. March 2026\Monthly Portfolio\Ops\"/>
    </mc:Choice>
  </mc:AlternateContent>
  <xr:revisionPtr revIDLastSave="0" documentId="13_ncr:1_{33D5607D-81FF-4D9E-84AF-52AADD3C91BC}" xr6:coauthVersionLast="47" xr6:coauthVersionMax="47" xr10:uidLastSave="{00000000-0000-0000-0000-000000000000}"/>
  <bookViews>
    <workbookView xWindow="-120" yWindow="-120" windowWidth="20730" windowHeight="11040" activeTab="1" xr2:uid="{53754EB3-A012-4DC0-A895-636F24DF6457}"/>
  </bookViews>
  <sheets>
    <sheet name="TTS" sheetId="1" r:id="rId1"/>
    <sheet name="TTS Performance " sheetId="2" r:id="rId2"/>
  </sheets>
  <externalReferences>
    <externalReference r:id="rId3"/>
  </externalReferences>
  <definedNames>
    <definedName name="XDO_?CLASS_3?7?">TTS!$C$8:$C$37</definedName>
    <definedName name="XDO_?FINAL_ISIN?16?">TTS!$D$10:$D$37</definedName>
    <definedName name="XDO_?FINAL_ISIN?17?">TTS!$D$10:$D$68</definedName>
    <definedName name="XDO_?FINAL_ISIN?18?">TTS!$D$10:$D$84</definedName>
    <definedName name="XDO_?FINAL_MV?16?">TTS!$H$10:$H$37</definedName>
    <definedName name="XDO_?FINAL_MV?17?">TTS!$H$10:$H$68</definedName>
    <definedName name="XDO_?FINAL_MV?18?">TTS!$H$10:$H$84</definedName>
    <definedName name="XDO_?FINAL_NAME?16?">TTS!$C$10:$C$37</definedName>
    <definedName name="XDO_?FINAL_NAME?17?">TTS!$C$10:$C$68</definedName>
    <definedName name="XDO_?FINAL_NAME?18?">TTS!$C$10:$C$84</definedName>
    <definedName name="XDO_?FINAL_PER_NET?16?">TTS!$I$10:$I$37</definedName>
    <definedName name="XDO_?FINAL_PER_NET?17?">TTS!$I$10:$I$68</definedName>
    <definedName name="XDO_?FINAL_PER_NET?18?">TTS!$I$10:$I$84</definedName>
    <definedName name="XDO_?FINAL_QUANTITE?16?">TTS!$G$10:$G$37</definedName>
    <definedName name="XDO_?FINAL_QUANTITE?17?">TTS!$G$10:$G$68</definedName>
    <definedName name="XDO_?FINAL_QUANTITE?18?">TTS!$G$10:$G$84</definedName>
    <definedName name="XDO_?IND_01?16?">TTS!$F$10:$F$37</definedName>
    <definedName name="XDO_?IND_01?17?">TTS!$F$10:$F$68</definedName>
    <definedName name="XDO_?IND_01?18?">TTS!$F$10:$F$84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TTS!$B$10:$B$37</definedName>
    <definedName name="XDO_?NOVAL?17?">TTS!$B$10:$B$68</definedName>
    <definedName name="XDO_?NOVAL?18?">TTS!$B$10:$B$84</definedName>
    <definedName name="XDO_?NPTF?7?">TTS!$D$2:$D$37</definedName>
    <definedName name="XDO_?RATING?16?">TTS!$E$10:$E$37</definedName>
    <definedName name="XDO_?RATING?17?">TTS!$E$10:$E$68</definedName>
    <definedName name="XDO_?RATING?18?">TTS!$E$10:$E$84</definedName>
    <definedName name="XDO_?REMARKS?16?">TTS!$J$10:$J$37</definedName>
    <definedName name="XDO_?REMARKS?17?">TTS!$J$10:$J$68</definedName>
    <definedName name="XDO_?REMARKS?18?">TTS!$J$10:$J$84</definedName>
    <definedName name="XDO_?TITL?7?">TTS!$A$8:$A$37</definedName>
    <definedName name="XDO_GROUP_?G_2?7?">TTS!$2:$87</definedName>
    <definedName name="XDO_GROUP_?G_3?7?">TTS!$8:$86</definedName>
    <definedName name="XDO_GROUP_?G_4?16?">TTS!$B$10:$IV$37</definedName>
    <definedName name="XDO_GROUP_?G_4?17?">TTS!$B$68:$IV$68</definedName>
    <definedName name="XDO_GROUP_?G_4?18?">TTS!$B$84:$IV$84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</calcChain>
</file>

<file path=xl/sharedStrings.xml><?xml version="1.0" encoding="utf-8"?>
<sst xmlns="http://schemas.openxmlformats.org/spreadsheetml/2006/main" count="260" uniqueCount="188">
  <si>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</si>
  <si>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</si>
  <si>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</si>
  <si>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</si>
  <si>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</si>
  <si>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</si>
  <si>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</si>
  <si>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</si>
  <si>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</si>
  <si>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</si>
  <si>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</si>
  <si>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</si>
  <si>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</si>
  <si>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</si>
  <si>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</si>
  <si>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</si>
  <si>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</si>
  <si>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</si>
  <si>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</si>
  <si>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</si>
  <si>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</si>
  <si>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</si>
  <si>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</si>
  <si>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</si>
  <si>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</si>
  <si>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</si>
  <si>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</si>
  <si>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</si>
  <si>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</si>
  <si>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</si>
  <si>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100182</t>
  </si>
  <si>
    <t>Power Grid Corporation of India Ltd.</t>
  </si>
  <si>
    <t>INE752E01010</t>
  </si>
  <si>
    <t>Power</t>
  </si>
  <si>
    <t>100155</t>
  </si>
  <si>
    <t>Divi's Laboratories Ltd.</t>
  </si>
  <si>
    <t>INE361B01024</t>
  </si>
  <si>
    <t>Pharmaceuticals &amp; Biotechnology</t>
  </si>
  <si>
    <t>102663</t>
  </si>
  <si>
    <t>Pace Digitek Ltd.</t>
  </si>
  <si>
    <t>INE0S3G01027</t>
  </si>
  <si>
    <t>Telecom - Services</t>
  </si>
  <si>
    <t>100474</t>
  </si>
  <si>
    <t>Narayana Hrudayalaya Ltd.</t>
  </si>
  <si>
    <t>INE410P01011</t>
  </si>
  <si>
    <t>Healthcare Services</t>
  </si>
  <si>
    <t>100694</t>
  </si>
  <si>
    <t>Indian Energy Exchange Ltd.</t>
  </si>
  <si>
    <t>INE022Q01020</t>
  </si>
  <si>
    <t>Capital Markets</t>
  </si>
  <si>
    <t>100097</t>
  </si>
  <si>
    <t>Coal India Ltd.</t>
  </si>
  <si>
    <t>INE522F01014</t>
  </si>
  <si>
    <t>Consumable Fuels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</si>
  <si>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</si>
  <si>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</si>
  <si>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</si>
  <si>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</si>
  <si>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</si>
  <si>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</si>
  <si>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</si>
  <si>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100037</t>
  </si>
  <si>
    <t>HCL Technologies Ltd.</t>
  </si>
  <si>
    <t>INE860A01027</t>
  </si>
  <si>
    <t>IT - Software</t>
  </si>
  <si>
    <t>100095</t>
  </si>
  <si>
    <t>Bharti Airtel Ltd.</t>
  </si>
  <si>
    <t>INE397D01024</t>
  </si>
  <si>
    <t>101184</t>
  </si>
  <si>
    <t>Mazagon Dock Shipbuilders Ltd.</t>
  </si>
  <si>
    <t>INE249Z01020</t>
  </si>
  <si>
    <t>Industrial Manufacturing</t>
  </si>
  <si>
    <t>100194</t>
  </si>
  <si>
    <t>Power Finance Corporation Ltd.</t>
  </si>
  <si>
    <t>INE134E01011</t>
  </si>
  <si>
    <t>100100</t>
  </si>
  <si>
    <t>Hindustan Petroleum Corporation Ltd.</t>
  </si>
  <si>
    <t>INE094A01015</t>
  </si>
  <si>
    <t>Petroleum Products</t>
  </si>
  <si>
    <t>100003</t>
  </si>
  <si>
    <t>Infosys Ltd.</t>
  </si>
  <si>
    <t>INE009A01021</t>
  </si>
  <si>
    <t>100133</t>
  </si>
  <si>
    <t>Oracle Financial Services Software Ltd.</t>
  </si>
  <si>
    <t>INE881D01027</t>
  </si>
  <si>
    <t>100177</t>
  </si>
  <si>
    <t>Grasim Industries Ltd.</t>
  </si>
  <si>
    <t>INE047A01021</t>
  </si>
  <si>
    <t>Cement &amp; Cement Products</t>
  </si>
  <si>
    <t>102677</t>
  </si>
  <si>
    <t>LG Electronics India Ltd.</t>
  </si>
  <si>
    <t>INE324D01010</t>
  </si>
  <si>
    <t>Consumer Durables</t>
  </si>
  <si>
    <t>101365</t>
  </si>
  <si>
    <t>Voltamp Transformers Ltd.</t>
  </si>
  <si>
    <t>INE540H01012</t>
  </si>
  <si>
    <t>Electrical Equipment</t>
  </si>
  <si>
    <t>102729</t>
  </si>
  <si>
    <t>Park Medi World Ltd.</t>
  </si>
  <si>
    <t>INE119201023</t>
  </si>
  <si>
    <t>100389</t>
  </si>
  <si>
    <t>Zydus Wellness Ltd.</t>
  </si>
  <si>
    <t>INE768C01028</t>
  </si>
  <si>
    <t>Food Products</t>
  </si>
  <si>
    <t>101550</t>
  </si>
  <si>
    <t>Life Insurance Corporation of India</t>
  </si>
  <si>
    <t>INE0J1Y01017</t>
  </si>
  <si>
    <t>Insurance</t>
  </si>
  <si>
    <t>102094</t>
  </si>
  <si>
    <t>HBL Engineering Ltd.</t>
  </si>
  <si>
    <t>INE292B01021</t>
  </si>
  <si>
    <t>Industrial Products</t>
  </si>
  <si>
    <t>102206</t>
  </si>
  <si>
    <t>Chemtech Industrial Valves Ltd.</t>
  </si>
  <si>
    <t>INE212P01011</t>
  </si>
  <si>
    <t>101967</t>
  </si>
  <si>
    <t>Globus Spirits Ltd.</t>
  </si>
  <si>
    <t>INE615I01010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</si>
  <si>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</si>
  <si>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</si>
  <si>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</si>
  <si>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</si>
  <si>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</si>
  <si>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</si>
  <si>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</si>
  <si>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</si>
  <si>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</si>
  <si>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</si>
  <si>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</si>
  <si>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</si>
  <si>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</si>
  <si>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</si>
  <si>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</si>
  <si>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</si>
  <si>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</si>
  <si>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e) TREPS / Reverse Repo Investments</t>
  </si>
  <si>
    <t>203260100</t>
  </si>
  <si>
    <t>TREPS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</si>
  <si>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</si>
  <si>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</si>
  <si>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</si>
  <si>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</si>
  <si>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</si>
  <si>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</si>
  <si>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</si>
  <si>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</si>
  <si>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</si>
  <si>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</si>
  <si>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</si>
  <si>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</si>
  <si>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</si>
  <si>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</si>
  <si>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</si>
  <si>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</si>
  <si>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</si>
  <si>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</si>
  <si>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</si>
  <si>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31, 2026</t>
  </si>
  <si>
    <t>February 28,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</si>
  <si>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</si>
  <si>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</si>
  <si>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</si>
  <si>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</si>
  <si>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February 28, 2026.</t>
  </si>
  <si>
    <t>7. The Scheme did not declare any bonus during the month ended as on February 28, 2026.</t>
  </si>
  <si>
    <t>8. Total outstanding exposure in derivative instruments as on February 28, 2026 is Nil</t>
  </si>
  <si>
    <t>9. Total investments in Foreign Securities /ADRs/GDRs /Overseas ETFs as on February 28, 2026 and its percentage to NAV is Nil.</t>
  </si>
  <si>
    <t>10. During the period, the portfolio turnover ratio is 0.76 times.</t>
  </si>
  <si>
    <t>      Portfolio Turnover Ratio = Lower of sales or purchase of securities divided by average AUM for 12 months ended as on February 28, 2026</t>
  </si>
  <si>
    <t>11. The Scheme did not invest in repo transactions of corporate debt securities during the month ended as on February 28, 2026.</t>
  </si>
  <si>
    <t>12. The Scheme did not invest in credit default swaps during the month ended as on February 28, 2026.</t>
  </si>
  <si>
    <t>13. There are Nil instances of deviation from the valuation principles/guidelines during the month ended as on February 28th, 2026.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</si>
  <si>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</si>
  <si>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</si>
  <si>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</si>
  <si>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</si>
  <si>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</si>
  <si>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</si>
  <si>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</si>
  <si>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</si>
  <si>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</si>
  <si>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</si>
  <si>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</si>
  <si>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</si>
  <si>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</si>
  <si>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February 27,2026 :176.22)</t>
  </si>
  <si>
    <t>Taurus Elss Tax Saver Fund - Direct Plan Growth Option</t>
  </si>
  <si>
    <t>NAV [Rs.] Per Unit (as on February 27,2026 :192.85)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</si>
</sst>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46E9DD06-05D6-4AF2-AF9C-06FC93CE2BD4}"/>
    <cellStyle name="Hyperlink" xfId="2" builtinId="8"/>
    <cellStyle name="Normal" xfId="0" builtinId="0"/>
    <cellStyle name="Normal 2" xfId="4" xr:uid="{1B3FE643-57A0-4C11-BCB8-0CD88D921383}"/>
    <cellStyle name="Style 1" xfId="3" xr:uid="{97F5C2FA-AFC2-42C7-A9CD-11E4B0E742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268646</xdr:colOff>
      <xdr:row>0</xdr:row>
      <xdr:rowOff>1920240</xdr:rowOff>
    </xdr:to>
    <xdr:pic>
      <xdr:nvPicPr>
        <xdr:cNvPr id="4" name="Picture 3" descr="Product Label - 9th Dec 2024 - ELSS.jpg">
          <a:extLst>
            <a:ext uri="{FF2B5EF4-FFF2-40B4-BE49-F238E27FC236}">
              <a16:creationId xmlns:a16="http://schemas.microsoft.com/office/drawing/2014/main" id="{F7229501-A295-437F-AB02-331C6E398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020813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Feb_2026\Final\TMF_Monthly_Portfolio_Report_Feb_26.xlsx" TargetMode="External"/><Relationship Id="rId1" Type="http://schemas.openxmlformats.org/officeDocument/2006/relationships/externalLinkPath" Target="file:///Q:\5.TMF\Reporting\Monthly%20Reports\Monthly%20Portfolio\2025-26\Feb_2026\Final\TMF_Monthly_Portfolio_Report_Feb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39C6-95CC-43E3-88B0-3686F4ED98A0}">
  <dimension ref="A1:BB113"/>
  <sheetViews>
    <sheetView showGridLines="0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6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46081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69220</v>
      </c>
      <c r="H10" s="32">
        <v>614.26</v>
      </c>
      <c r="I10" s="32">
        <v>8.5399999999999991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190569</v>
      </c>
      <c r="H11" s="32">
        <v>597.62</v>
      </c>
      <c r="I11" s="32">
        <v>8.31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561.75</v>
      </c>
      <c r="I12" s="32">
        <v>7.81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36470</v>
      </c>
      <c r="H13" s="32">
        <v>502.92</v>
      </c>
      <c r="I13" s="32">
        <v>6.99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144894</v>
      </c>
      <c r="H14" s="32">
        <v>432.87</v>
      </c>
      <c r="I14" s="32">
        <v>6.02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6224</v>
      </c>
      <c r="H15" s="32">
        <v>399.13</v>
      </c>
      <c r="I15" s="32">
        <v>5.55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222716</v>
      </c>
      <c r="H16" s="32">
        <v>381.62</v>
      </c>
      <c r="I16" s="32">
        <v>5.31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19453</v>
      </c>
      <c r="H17" s="32">
        <v>356.66</v>
      </c>
      <c r="I17" s="32">
        <v>4.96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270045</v>
      </c>
      <c r="H18" s="32">
        <v>337.96</v>
      </c>
      <c r="I18" s="32">
        <v>4.7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70025</v>
      </c>
      <c r="H19" s="32">
        <v>301.60000000000002</v>
      </c>
      <c r="I19" s="32">
        <v>4.1900000000000004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7337</v>
      </c>
      <c r="H20" s="32">
        <v>249.45</v>
      </c>
      <c r="I20" s="32">
        <v>3.47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18</v>
      </c>
      <c r="G21" s="31">
        <v>17408</v>
      </c>
      <c r="H21" s="32">
        <v>240.9</v>
      </c>
      <c r="I21" s="32">
        <v>3.35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14191</v>
      </c>
      <c r="H22" s="32">
        <v>197.28</v>
      </c>
      <c r="I22" s="32">
        <v>2.74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41</v>
      </c>
      <c r="G23" s="31">
        <v>8882</v>
      </c>
      <c r="H23" s="32">
        <v>166.96</v>
      </c>
      <c r="I23" s="32">
        <v>2.3199999999999998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6727</v>
      </c>
      <c r="H24" s="32">
        <v>149.58000000000001</v>
      </c>
      <c r="I24" s="32">
        <v>2.08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26</v>
      </c>
      <c r="G25" s="31">
        <v>34916</v>
      </c>
      <c r="H25" s="32">
        <v>144.12</v>
      </c>
      <c r="I25" s="32">
        <v>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31987</v>
      </c>
      <c r="H26" s="32">
        <v>140.44999999999999</v>
      </c>
      <c r="I26" s="32">
        <v>1.95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64</v>
      </c>
      <c r="G27" s="31">
        <v>10325</v>
      </c>
      <c r="H27" s="32">
        <v>134.22</v>
      </c>
      <c r="I27" s="32">
        <v>1.87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64</v>
      </c>
      <c r="G28" s="31">
        <v>1912</v>
      </c>
      <c r="H28" s="32">
        <v>132.38999999999999</v>
      </c>
      <c r="I28" s="32">
        <v>1.84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3981</v>
      </c>
      <c r="H29" s="32">
        <v>111.47</v>
      </c>
      <c r="I29" s="32">
        <v>1.55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6950</v>
      </c>
      <c r="H30" s="32">
        <v>110.37</v>
      </c>
      <c r="I30" s="32">
        <v>1.53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1137</v>
      </c>
      <c r="H31" s="32">
        <v>103.44</v>
      </c>
      <c r="I31" s="32">
        <v>1.44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45</v>
      </c>
      <c r="G32" s="31">
        <v>52544</v>
      </c>
      <c r="H32" s="32">
        <v>101.44</v>
      </c>
      <c r="I32" s="32">
        <v>1.41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19545</v>
      </c>
      <c r="H33" s="32">
        <v>75.36</v>
      </c>
      <c r="I33" s="32">
        <v>1.05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8000</v>
      </c>
      <c r="H34" s="32">
        <v>67.95</v>
      </c>
      <c r="I34" s="32">
        <v>0.94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8650</v>
      </c>
      <c r="H35" s="32">
        <v>59.24</v>
      </c>
      <c r="I35" s="32">
        <v>0.82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71</v>
      </c>
      <c r="G36" s="31">
        <v>50000</v>
      </c>
      <c r="H36" s="32">
        <v>32.299999999999997</v>
      </c>
      <c r="I36" s="32">
        <v>0.45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1720</v>
      </c>
      <c r="H37" s="32">
        <v>15.4</v>
      </c>
      <c r="I37" s="32">
        <v>0.21</v>
      </c>
      <c r="J37" s="33"/>
    </row>
    <row r="38" spans="2:10" x14ac:dyDescent="0.25">
      <c r="C38" s="28" t="s">
        <v>119</v>
      </c>
      <c r="D38" s="29"/>
      <c r="E38" s="30"/>
      <c r="F38" s="30"/>
      <c r="G38" s="31"/>
      <c r="H38" s="35">
        <v>6718.71</v>
      </c>
      <c r="I38" s="35">
        <v>93.4</v>
      </c>
      <c r="J38" s="33"/>
    </row>
    <row r="39" spans="2:10" x14ac:dyDescent="0.25">
      <c r="C39" s="20"/>
      <c r="D39" s="29"/>
      <c r="E39" s="30"/>
      <c r="F39" s="30"/>
      <c r="G39" s="31"/>
      <c r="H39" s="32"/>
      <c r="I39" s="32"/>
      <c r="J39" s="33"/>
    </row>
    <row r="40" spans="2:10" x14ac:dyDescent="0.25">
      <c r="C40" s="28" t="s">
        <v>120</v>
      </c>
      <c r="D40" s="29"/>
      <c r="E40" s="30"/>
      <c r="F40" s="30"/>
      <c r="G40" s="31"/>
      <c r="H40" s="32" t="s">
        <v>121</v>
      </c>
      <c r="I40" s="32" t="s">
        <v>121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122</v>
      </c>
      <c r="D42" s="29"/>
      <c r="E42" s="30"/>
      <c r="F42" s="30"/>
      <c r="G42" s="31"/>
      <c r="H42" s="32" t="s">
        <v>121</v>
      </c>
      <c r="I42" s="32" t="s">
        <v>121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123</v>
      </c>
      <c r="D44" s="29"/>
      <c r="E44" s="30"/>
      <c r="F44" s="30"/>
      <c r="G44" s="31"/>
      <c r="H44" s="32"/>
      <c r="I44" s="32"/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124</v>
      </c>
      <c r="D46" s="29"/>
      <c r="E46" s="30"/>
      <c r="F46" s="30"/>
      <c r="G46" s="31"/>
      <c r="H46" s="32" t="s">
        <v>121</v>
      </c>
      <c r="I46" s="32" t="s">
        <v>121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125</v>
      </c>
      <c r="D48" s="29"/>
      <c r="E48" s="30"/>
      <c r="F48" s="30"/>
      <c r="G48" s="31"/>
      <c r="H48" s="32" t="s">
        <v>121</v>
      </c>
      <c r="I48" s="32" t="s">
        <v>121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126</v>
      </c>
      <c r="D50" s="29"/>
      <c r="E50" s="30"/>
      <c r="F50" s="30"/>
      <c r="G50" s="31"/>
      <c r="H50" s="32" t="s">
        <v>121</v>
      </c>
      <c r="I50" s="32" t="s">
        <v>121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127</v>
      </c>
      <c r="D52" s="29"/>
      <c r="E52" s="30"/>
      <c r="F52" s="30"/>
      <c r="G52" s="31"/>
      <c r="H52" s="32" t="s">
        <v>121</v>
      </c>
      <c r="I52" s="32" t="s">
        <v>121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128</v>
      </c>
      <c r="D54" s="29"/>
      <c r="E54" s="30"/>
      <c r="F54" s="30"/>
      <c r="G54" s="31"/>
      <c r="H54" s="32" t="s">
        <v>121</v>
      </c>
      <c r="I54" s="32" t="s">
        <v>121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129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130</v>
      </c>
      <c r="D58" s="29"/>
      <c r="E58" s="30"/>
      <c r="F58" s="30"/>
      <c r="G58" s="31"/>
      <c r="H58" s="32" t="s">
        <v>121</v>
      </c>
      <c r="I58" s="32" t="s">
        <v>121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131</v>
      </c>
      <c r="D60" s="29"/>
      <c r="E60" s="30"/>
      <c r="F60" s="30"/>
      <c r="G60" s="31"/>
      <c r="H60" s="32" t="s">
        <v>121</v>
      </c>
      <c r="I60" s="32" t="s">
        <v>121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132</v>
      </c>
      <c r="D62" s="29"/>
      <c r="E62" s="30"/>
      <c r="F62" s="30"/>
      <c r="G62" s="31"/>
      <c r="H62" s="32" t="s">
        <v>121</v>
      </c>
      <c r="I62" s="32" t="s">
        <v>121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133</v>
      </c>
      <c r="D64" s="29"/>
      <c r="E64" s="30"/>
      <c r="F64" s="30"/>
      <c r="G64" s="31"/>
      <c r="H64" s="32" t="s">
        <v>121</v>
      </c>
      <c r="I64" s="32" t="s">
        <v>121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A66" s="26"/>
      <c r="B66" s="27"/>
      <c r="C66" s="28" t="s">
        <v>134</v>
      </c>
      <c r="D66" s="29"/>
      <c r="E66" s="30"/>
      <c r="F66" s="30"/>
      <c r="G66" s="31"/>
      <c r="H66" s="32"/>
      <c r="I66" s="32"/>
      <c r="J66" s="33"/>
    </row>
    <row r="67" spans="1:10" x14ac:dyDescent="0.25">
      <c r="C67" s="34" t="s">
        <v>135</v>
      </c>
      <c r="D67" s="29"/>
      <c r="E67" s="30"/>
      <c r="F67" s="30"/>
      <c r="G67" s="31"/>
      <c r="H67" s="32"/>
      <c r="I67" s="32"/>
      <c r="J67" s="33"/>
    </row>
    <row r="68" spans="1:10" x14ac:dyDescent="0.25">
      <c r="B68" s="1" t="s">
        <v>136</v>
      </c>
      <c r="C68" s="20" t="s">
        <v>137</v>
      </c>
      <c r="D68" s="29"/>
      <c r="E68" s="30"/>
      <c r="F68" s="30"/>
      <c r="G68" s="31"/>
      <c r="H68" s="32">
        <v>399.95</v>
      </c>
      <c r="I68" s="32">
        <v>5.56</v>
      </c>
      <c r="J68" s="33"/>
    </row>
    <row r="69" spans="1:10" x14ac:dyDescent="0.25">
      <c r="C69" s="28" t="s">
        <v>119</v>
      </c>
      <c r="D69" s="29"/>
      <c r="E69" s="30"/>
      <c r="F69" s="30"/>
      <c r="G69" s="31"/>
      <c r="H69" s="35">
        <v>399.95</v>
      </c>
      <c r="I69" s="35">
        <v>5.56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138</v>
      </c>
      <c r="D71" s="29"/>
      <c r="E71" s="30"/>
      <c r="F71" s="30"/>
      <c r="G71" s="31"/>
      <c r="H71" s="32" t="s">
        <v>121</v>
      </c>
      <c r="I71" s="32" t="s">
        <v>121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C73" s="28" t="s">
        <v>139</v>
      </c>
      <c r="D73" s="29"/>
      <c r="E73" s="30"/>
      <c r="F73" s="30"/>
      <c r="G73" s="31"/>
      <c r="H73" s="32" t="s">
        <v>121</v>
      </c>
      <c r="I73" s="32" t="s">
        <v>121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x14ac:dyDescent="0.25">
      <c r="C75" s="28" t="s">
        <v>140</v>
      </c>
      <c r="D75" s="29"/>
      <c r="E75" s="30"/>
      <c r="F75" s="30"/>
      <c r="G75" s="31"/>
      <c r="H75" s="32" t="s">
        <v>121</v>
      </c>
      <c r="I75" s="32" t="s">
        <v>121</v>
      </c>
      <c r="J75" s="33"/>
    </row>
    <row r="76" spans="1:10" x14ac:dyDescent="0.25">
      <c r="C76" s="20"/>
      <c r="D76" s="29"/>
      <c r="E76" s="30"/>
      <c r="F76" s="30"/>
      <c r="G76" s="31"/>
      <c r="H76" s="32"/>
      <c r="I76" s="32"/>
      <c r="J76" s="33"/>
    </row>
    <row r="77" spans="1:10" x14ac:dyDescent="0.25">
      <c r="C77" s="28" t="s">
        <v>141</v>
      </c>
      <c r="D77" s="29"/>
      <c r="E77" s="30"/>
      <c r="F77" s="30"/>
      <c r="G77" s="31"/>
      <c r="H77" s="32" t="s">
        <v>121</v>
      </c>
      <c r="I77" s="32" t="s">
        <v>121</v>
      </c>
      <c r="J77" s="33"/>
    </row>
    <row r="78" spans="1:10" x14ac:dyDescent="0.25">
      <c r="C78" s="20"/>
      <c r="D78" s="29"/>
      <c r="E78" s="30"/>
      <c r="F78" s="30"/>
      <c r="G78" s="31"/>
      <c r="H78" s="32"/>
      <c r="I78" s="32"/>
      <c r="J78" s="33"/>
    </row>
    <row r="79" spans="1:10" x14ac:dyDescent="0.25">
      <c r="C79" s="28" t="s">
        <v>142</v>
      </c>
      <c r="D79" s="29"/>
      <c r="E79" s="30"/>
      <c r="F79" s="30"/>
      <c r="G79" s="31"/>
      <c r="H79" s="32" t="s">
        <v>121</v>
      </c>
      <c r="I79" s="32" t="s">
        <v>121</v>
      </c>
      <c r="J79" s="33"/>
    </row>
    <row r="80" spans="1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143</v>
      </c>
      <c r="D81" s="29"/>
      <c r="E81" s="30"/>
      <c r="F81" s="30"/>
      <c r="G81" s="31"/>
      <c r="H81" s="32" t="s">
        <v>121</v>
      </c>
      <c r="I81" s="32" t="s">
        <v>121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144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/>
      <c r="C84" s="20" t="s">
        <v>145</v>
      </c>
      <c r="D84" s="29"/>
      <c r="E84" s="30"/>
      <c r="F84" s="30"/>
      <c r="G84" s="31"/>
      <c r="H84" s="32">
        <v>72.900000000000006</v>
      </c>
      <c r="I84" s="32">
        <v>1.04</v>
      </c>
      <c r="J84" s="33"/>
    </row>
    <row r="85" spans="1:10" x14ac:dyDescent="0.25">
      <c r="C85" s="28" t="s">
        <v>119</v>
      </c>
      <c r="D85" s="29"/>
      <c r="E85" s="30"/>
      <c r="F85" s="30"/>
      <c r="G85" s="31"/>
      <c r="H85" s="35">
        <v>72.900000000000006</v>
      </c>
      <c r="I85" s="35">
        <v>1.04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ht="14.25" thickBot="1" x14ac:dyDescent="0.3">
      <c r="C87" s="36" t="s">
        <v>146</v>
      </c>
      <c r="D87" s="37"/>
      <c r="E87" s="38"/>
      <c r="F87" s="39"/>
      <c r="G87" s="40"/>
      <c r="H87" s="41">
        <v>7191.56</v>
      </c>
      <c r="I87" s="41">
        <f>SUMIFS(I:I,C:C,"Total")</f>
        <v>100.00000000000001</v>
      </c>
      <c r="J87" s="42"/>
    </row>
    <row r="90" spans="1:10" x14ac:dyDescent="0.25">
      <c r="C90" s="11" t="s">
        <v>147</v>
      </c>
    </row>
    <row r="91" spans="1:10" x14ac:dyDescent="0.25">
      <c r="C91" s="2" t="s">
        <v>148</v>
      </c>
    </row>
    <row r="92" spans="1:10" x14ac:dyDescent="0.25">
      <c r="C92" s="2" t="s">
        <v>149</v>
      </c>
    </row>
    <row r="93" spans="1:10" x14ac:dyDescent="0.25">
      <c r="C93" s="2" t="s">
        <v>150</v>
      </c>
    </row>
    <row r="94" spans="1:10" x14ac:dyDescent="0.25">
      <c r="C94" s="2" t="s">
        <v>151</v>
      </c>
    </row>
    <row r="95" spans="1:10" x14ac:dyDescent="0.25">
      <c r="C95" s="2" t="s">
        <v>152</v>
      </c>
    </row>
    <row r="96" spans="1:10" ht="14.25" thickBot="1" x14ac:dyDescent="0.3">
      <c r="C96" s="2" t="s">
        <v>153</v>
      </c>
    </row>
    <row r="97" spans="3:5" ht="14.25" thickBot="1" x14ac:dyDescent="0.3">
      <c r="C97" s="43"/>
      <c r="D97" s="60" t="s">
        <v>154</v>
      </c>
      <c r="E97" s="61"/>
    </row>
    <row r="98" spans="3:5" x14ac:dyDescent="0.25">
      <c r="C98" s="44" t="s">
        <v>155</v>
      </c>
      <c r="D98" s="45" t="s">
        <v>156</v>
      </c>
      <c r="E98" s="46" t="s">
        <v>156</v>
      </c>
    </row>
    <row r="99" spans="3:5" ht="14.25" thickBot="1" x14ac:dyDescent="0.3">
      <c r="C99" s="47"/>
      <c r="D99" s="48" t="s">
        <v>157</v>
      </c>
      <c r="E99" s="49" t="s">
        <v>158</v>
      </c>
    </row>
    <row r="100" spans="3:5" ht="14.25" thickBot="1" x14ac:dyDescent="0.3">
      <c r="C100" s="50" t="s">
        <v>159</v>
      </c>
      <c r="D100" s="51">
        <v>82.32</v>
      </c>
      <c r="E100" s="51">
        <v>82.55</v>
      </c>
    </row>
    <row r="101" spans="3:5" ht="14.25" thickBot="1" x14ac:dyDescent="0.3">
      <c r="C101" s="50" t="s">
        <v>160</v>
      </c>
      <c r="D101" s="51">
        <v>175.71</v>
      </c>
      <c r="E101" s="51">
        <v>176.21</v>
      </c>
    </row>
    <row r="102" spans="3:5" ht="14.25" thickBot="1" x14ac:dyDescent="0.3">
      <c r="C102" s="50" t="s">
        <v>161</v>
      </c>
      <c r="D102" s="51">
        <v>88.57</v>
      </c>
      <c r="E102" s="51">
        <v>88.88</v>
      </c>
    </row>
    <row r="103" spans="3:5" ht="14.25" thickBot="1" x14ac:dyDescent="0.3">
      <c r="C103" s="50" t="s">
        <v>162</v>
      </c>
      <c r="D103" s="51">
        <v>192.19</v>
      </c>
      <c r="E103" s="51">
        <v>192.84</v>
      </c>
    </row>
    <row r="105" spans="3:5" x14ac:dyDescent="0.25">
      <c r="C105" s="2" t="s">
        <v>163</v>
      </c>
    </row>
    <row r="106" spans="3:5" x14ac:dyDescent="0.25">
      <c r="C106" s="2" t="s">
        <v>164</v>
      </c>
    </row>
    <row r="107" spans="3:5" x14ac:dyDescent="0.25">
      <c r="C107" s="2" t="s">
        <v>165</v>
      </c>
    </row>
    <row r="108" spans="3:5" x14ac:dyDescent="0.25">
      <c r="C108" s="2" t="s">
        <v>166</v>
      </c>
    </row>
    <row r="109" spans="3:5" x14ac:dyDescent="0.25">
      <c r="C109" s="2" t="s">
        <v>167</v>
      </c>
    </row>
    <row r="110" spans="3:5" x14ac:dyDescent="0.25">
      <c r="C110" s="2" t="s">
        <v>168</v>
      </c>
    </row>
    <row r="111" spans="3:5" x14ac:dyDescent="0.25">
      <c r="C111" s="2" t="s">
        <v>169</v>
      </c>
    </row>
    <row r="112" spans="3:5" x14ac:dyDescent="0.25">
      <c r="C112" s="2" t="s">
        <v>170</v>
      </c>
    </row>
    <row r="113" spans="3:3" x14ac:dyDescent="0.25">
      <c r="C113" s="2" t="s">
        <v>171</v>
      </c>
    </row>
  </sheetData>
  <mergeCells count="1">
    <mergeCell ref="D97:E9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7CA7-2B9C-450C-8F5E-F5160E4DFC55}">
  <dimension ref="C3:M17"/>
  <sheetViews>
    <sheetView tabSelected="1" topLeftCell="A6" workbookViewId="0">
      <selection activeCell="C20" sqref="C20"/>
    </sheetView>
  </sheetViews>
  <sheetFormatPr defaultRowHeight="15" x14ac:dyDescent="0.25"/>
  <cols>
    <col min="3" max="3" width="46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2" t="s">
        <v>172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173</v>
      </c>
      <c r="D4" s="64" t="s">
        <v>174</v>
      </c>
      <c r="E4" s="64"/>
      <c r="F4" s="64" t="s">
        <v>175</v>
      </c>
      <c r="G4" s="64"/>
      <c r="H4" s="64" t="s">
        <v>176</v>
      </c>
      <c r="I4" s="64"/>
      <c r="J4" s="65" t="s">
        <v>177</v>
      </c>
      <c r="K4" s="66"/>
      <c r="L4" s="67" t="s">
        <v>178</v>
      </c>
      <c r="M4" s="67"/>
    </row>
    <row r="5" spans="3:13" ht="63.75" x14ac:dyDescent="0.25">
      <c r="C5" s="55"/>
      <c r="D5" s="56" t="s">
        <v>179</v>
      </c>
      <c r="E5" s="56" t="s">
        <v>180</v>
      </c>
      <c r="F5" s="56" t="s">
        <v>179</v>
      </c>
      <c r="G5" s="56" t="s">
        <v>180</v>
      </c>
      <c r="H5" s="56" t="s">
        <v>179</v>
      </c>
      <c r="I5" s="56" t="s">
        <v>180</v>
      </c>
      <c r="J5" s="56" t="s">
        <v>179</v>
      </c>
      <c r="K5" s="56" t="s">
        <v>180</v>
      </c>
      <c r="L5" s="57" t="s">
        <v>179</v>
      </c>
      <c r="M5" s="57" t="s">
        <v>180</v>
      </c>
    </row>
    <row r="6" spans="3:13" x14ac:dyDescent="0.25">
      <c r="C6" s="58" t="s">
        <v>181</v>
      </c>
      <c r="D6" s="59">
        <v>3.6770999999999998</v>
      </c>
      <c r="E6" s="59">
        <v>10367.7119491675</v>
      </c>
      <c r="F6" s="59">
        <v>14.1861</v>
      </c>
      <c r="G6" s="59">
        <v>14893.509127789048</v>
      </c>
      <c r="H6" s="59">
        <v>13.073600000000001</v>
      </c>
      <c r="I6" s="59">
        <v>18496.903537315</v>
      </c>
      <c r="J6" s="59">
        <v>14.632099999999999</v>
      </c>
      <c r="K6" s="59">
        <v>39238.476953907819</v>
      </c>
      <c r="L6" s="59">
        <v>11.607200000000001</v>
      </c>
      <c r="M6" s="59">
        <v>176220</v>
      </c>
    </row>
    <row r="7" spans="3:13" x14ac:dyDescent="0.25">
      <c r="C7" s="58" t="s">
        <v>182</v>
      </c>
      <c r="D7" s="59">
        <v>14.8545</v>
      </c>
      <c r="E7" s="59">
        <v>11485.449999999999</v>
      </c>
      <c r="F7" s="59">
        <v>17.566099999999999</v>
      </c>
      <c r="G7" s="59">
        <v>16249.736948103302</v>
      </c>
      <c r="H7" s="59">
        <v>14.757400000000001</v>
      </c>
      <c r="I7" s="59">
        <v>19902.310637909763</v>
      </c>
      <c r="J7" s="59">
        <v>16.082899999999999</v>
      </c>
      <c r="K7" s="59">
        <v>21078.574925334098</v>
      </c>
      <c r="L7" s="59" t="s">
        <v>183</v>
      </c>
      <c r="M7" s="59" t="s">
        <v>183</v>
      </c>
    </row>
    <row r="8" spans="3:13" x14ac:dyDescent="0.25">
      <c r="C8" s="58" t="s">
        <v>184</v>
      </c>
      <c r="D8" s="59">
        <v>12.9283</v>
      </c>
      <c r="E8" s="59">
        <v>11292.83</v>
      </c>
      <c r="F8" s="59">
        <v>14.430300000000001</v>
      </c>
      <c r="G8" s="59">
        <v>14983.839401403065</v>
      </c>
      <c r="H8" s="59">
        <v>12.929500000000001</v>
      </c>
      <c r="I8" s="59">
        <v>18366.949269106684</v>
      </c>
      <c r="J8" s="59">
        <v>15.0045</v>
      </c>
      <c r="K8" s="59">
        <v>20117.507447051736</v>
      </c>
      <c r="L8" s="59">
        <v>12.9726</v>
      </c>
      <c r="M8" s="59">
        <v>385092.81983704603</v>
      </c>
    </row>
    <row r="9" spans="3:13" x14ac:dyDescent="0.25">
      <c r="C9" s="58" t="s">
        <v>185</v>
      </c>
      <c r="D9" s="62">
        <v>169.97</v>
      </c>
      <c r="E9" s="63"/>
      <c r="F9" s="62">
        <v>118.32</v>
      </c>
      <c r="G9" s="63"/>
      <c r="H9" s="62">
        <v>95.27</v>
      </c>
      <c r="I9" s="63"/>
      <c r="J9" s="62">
        <v>44.91</v>
      </c>
      <c r="K9" s="63"/>
      <c r="L9" s="62">
        <v>10</v>
      </c>
      <c r="M9" s="63"/>
    </row>
    <row r="11" spans="3:13" ht="15.75" x14ac:dyDescent="0.25">
      <c r="C11" s="52" t="s">
        <v>186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173</v>
      </c>
      <c r="D12" s="64" t="s">
        <v>174</v>
      </c>
      <c r="E12" s="64"/>
      <c r="F12" s="64" t="s">
        <v>175</v>
      </c>
      <c r="G12" s="64"/>
      <c r="H12" s="64" t="s">
        <v>176</v>
      </c>
      <c r="I12" s="64"/>
      <c r="J12" s="65" t="s">
        <v>177</v>
      </c>
      <c r="K12" s="66"/>
      <c r="L12" s="67" t="s">
        <v>178</v>
      </c>
      <c r="M12" s="67"/>
    </row>
    <row r="13" spans="3:13" ht="63.75" x14ac:dyDescent="0.25">
      <c r="C13" s="55"/>
      <c r="D13" s="56" t="s">
        <v>179</v>
      </c>
      <c r="E13" s="56" t="s">
        <v>180</v>
      </c>
      <c r="F13" s="56" t="s">
        <v>179</v>
      </c>
      <c r="G13" s="56" t="s">
        <v>180</v>
      </c>
      <c r="H13" s="56" t="s">
        <v>179</v>
      </c>
      <c r="I13" s="56" t="s">
        <v>180</v>
      </c>
      <c r="J13" s="56" t="s">
        <v>179</v>
      </c>
      <c r="K13" s="56" t="s">
        <v>180</v>
      </c>
      <c r="L13" s="57" t="s">
        <v>179</v>
      </c>
      <c r="M13" s="57" t="s">
        <v>180</v>
      </c>
    </row>
    <row r="14" spans="3:13" x14ac:dyDescent="0.25">
      <c r="C14" s="58" t="s">
        <v>181</v>
      </c>
      <c r="D14" s="59">
        <v>4.3221999999999996</v>
      </c>
      <c r="E14" s="59">
        <v>10432.218976522772</v>
      </c>
      <c r="F14" s="59">
        <v>14.916600000000001</v>
      </c>
      <c r="G14" s="59">
        <v>15181.453200031487</v>
      </c>
      <c r="H14" s="59">
        <v>13.823</v>
      </c>
      <c r="I14" s="59">
        <v>19118.667591950034</v>
      </c>
      <c r="J14" s="59">
        <v>15.4252</v>
      </c>
      <c r="K14" s="59">
        <v>42042.729452801395</v>
      </c>
      <c r="L14" s="59">
        <v>12.9034</v>
      </c>
      <c r="M14" s="59">
        <v>49844.921168260531</v>
      </c>
    </row>
    <row r="15" spans="3:13" x14ac:dyDescent="0.25">
      <c r="C15" s="58" t="s">
        <v>182</v>
      </c>
      <c r="D15" s="59">
        <v>14.8545</v>
      </c>
      <c r="E15" s="59">
        <v>11485.449999999999</v>
      </c>
      <c r="F15" s="59">
        <v>17.566099999999999</v>
      </c>
      <c r="G15" s="59">
        <v>16249.736948103302</v>
      </c>
      <c r="H15" s="59">
        <v>14.757400000000001</v>
      </c>
      <c r="I15" s="59">
        <v>19902.310637909763</v>
      </c>
      <c r="J15" s="59">
        <v>16.082899999999999</v>
      </c>
      <c r="K15" s="59">
        <v>21078.574925334098</v>
      </c>
      <c r="L15" s="59">
        <v>13.954834</v>
      </c>
      <c r="M15" s="59">
        <v>58268.50663180081</v>
      </c>
    </row>
    <row r="16" spans="3:13" x14ac:dyDescent="0.25">
      <c r="C16" s="58" t="s">
        <v>184</v>
      </c>
      <c r="D16" s="59">
        <v>12.9283</v>
      </c>
      <c r="E16" s="59">
        <v>11292.83</v>
      </c>
      <c r="F16" s="59">
        <v>14.430300000000001</v>
      </c>
      <c r="G16" s="59">
        <v>14983.839401403065</v>
      </c>
      <c r="H16" s="59">
        <v>12.929500000000001</v>
      </c>
      <c r="I16" s="59">
        <v>18366.949269106684</v>
      </c>
      <c r="J16" s="59">
        <v>15.0045</v>
      </c>
      <c r="K16" s="59">
        <v>20117.507447051736</v>
      </c>
      <c r="L16" s="59">
        <v>12.8764</v>
      </c>
      <c r="M16" s="59">
        <v>49242.934250118211</v>
      </c>
    </row>
    <row r="17" spans="3:13" x14ac:dyDescent="0.25">
      <c r="C17" s="58" t="s">
        <v>187</v>
      </c>
      <c r="D17" s="62">
        <v>184.86</v>
      </c>
      <c r="E17" s="63"/>
      <c r="F17" s="62">
        <v>127.03</v>
      </c>
      <c r="G17" s="63"/>
      <c r="H17" s="62">
        <v>100.87</v>
      </c>
      <c r="I17" s="63"/>
      <c r="J17" s="62">
        <v>45.87</v>
      </c>
      <c r="K17" s="63"/>
      <c r="L17" s="62">
        <v>38.69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 </vt:lpstr>
      <vt:lpstr>XDO_?CLASS_3?7?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XDO_?IND_01?16?</vt:lpstr>
      <vt:lpstr>XDO_?IND_01?17?</vt:lpstr>
      <vt:lpstr>XDO_?IND_01?18?</vt:lpstr>
      <vt:lpstr>XDO_?NAMCNAME?7?</vt:lpstr>
      <vt:lpstr>XDO_?NOVAL?16?</vt:lpstr>
      <vt:lpstr>XDO_?NOVAL?17?</vt:lpstr>
      <vt:lpstr>XDO_?NOVAL?18?</vt:lpstr>
      <vt:lpstr>XDO_?NPTF?7?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XDO_?TITL?7?</vt:lpstr>
      <vt:lpstr>XDO_GROUP_?G_2?7?</vt:lpstr>
      <vt:lpstr>XDO_GROUP_?G_3?7?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Gangaram Bharat Chavan</cp:lastModifiedBy>
  <dcterms:created xsi:type="dcterms:W3CDTF">2026-03-06T09:35:31Z</dcterms:created>
  <dcterms:modified xsi:type="dcterms:W3CDTF">2026-03-09T06:34:38Z</dcterms:modified>
</cp:coreProperties>
</file>