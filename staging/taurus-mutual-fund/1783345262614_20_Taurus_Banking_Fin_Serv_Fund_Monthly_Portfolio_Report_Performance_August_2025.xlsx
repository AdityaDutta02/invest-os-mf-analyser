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6. Sep 2025\Monthly Portfolio Aug 2025\Ops\"/>
    </mc:Choice>
  </mc:AlternateContent>
  <xr:revisionPtr revIDLastSave="0" documentId="13_ncr:1_{3273A8B0-1373-415B-BD72-78F503463C89}" xr6:coauthVersionLast="47" xr6:coauthVersionMax="47" xr10:uidLastSave="{00000000-0000-0000-0000-000000000000}"/>
  <bookViews>
    <workbookView xWindow="-120" yWindow="-120" windowWidth="20730" windowHeight="11040" xr2:uid="{5C20CDEC-4B6F-4F8A-8CE2-D0152BB0FE8A}"/>
  </bookViews>
  <sheets>
    <sheet name="TBFS" sheetId="1" r:id="rId1"/>
    <sheet name="TBFS-Performance" sheetId="2" r:id="rId2"/>
  </sheets>
  <externalReferences>
    <externalReference r:id="rId3"/>
  </externalReferences>
  <definedNames>
    <definedName name="XDO_?CLASS_3?1?">TBFS!$C$8:$C$24</definedName>
    <definedName name="XDO_?FINAL_ISIN?1?">TBFS!$D$10:$D$24</definedName>
    <definedName name="XDO_?FINAL_ISIN?2?">TBFS!$D$10:$D$68</definedName>
    <definedName name="XDO_?FINAL_MV?1?">TBFS!$H$10:$H$24</definedName>
    <definedName name="XDO_?FINAL_MV?2?">TBFS!$H$10:$H$68</definedName>
    <definedName name="XDO_?FINAL_NAME?1?">TBFS!$C$10:$C$24</definedName>
    <definedName name="XDO_?FINAL_NAME?2?">TBFS!$C$10:$C$68</definedName>
    <definedName name="XDO_?FINAL_PER_NET?1?">TBFS!$I$10:$I$24</definedName>
    <definedName name="XDO_?FINAL_PER_NET?2?">TBFS!$I$10:$I$68</definedName>
    <definedName name="XDO_?FINAL_QUANTITE?1?">TBFS!$G$10:$G$24</definedName>
    <definedName name="XDO_?FINAL_QUANTITE?2?">TBFS!$G$10:$G$68</definedName>
    <definedName name="XDO_?IND_01?1?">TBFS!$F$10:$F$24</definedName>
    <definedName name="XDO_?IND_01?2?">TBFS!$F$10:$F$68</definedName>
    <definedName name="XDO_?NAMC?">[1]TBF!#REF!</definedName>
    <definedName name="XDO_?NAMC?1?">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1?">TBFS!$C$2:$C$24</definedName>
    <definedName name="XDO_?NDATE?">[1]TBF!#REF!</definedName>
    <definedName name="XDO_?NDATE?1?">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1?">TBFS!$B$10:$B$24</definedName>
    <definedName name="XDO_?NOVAL?2?">TBFS!$B$10:$B$68</definedName>
    <definedName name="XDO_?NPTF?1?">TBFS!$D$2:$D$24</definedName>
    <definedName name="XDO_?RATING?1?">TBFS!$E$10:$E$24</definedName>
    <definedName name="XDO_?RATING?2?">TBFS!$E$10:$E$68</definedName>
    <definedName name="XDO_?REMARKS?1?">TBFS!$J$10:$J$24</definedName>
    <definedName name="XDO_?REMARKS?2?">TBFS!$J$10:$J$68</definedName>
    <definedName name="XDO_?TITL?1?">TBFS!$A$8:$A$24</definedName>
    <definedName name="XDO_GROUP_?G_2?1?">TBFS!$2:$71</definedName>
    <definedName name="XDO_GROUP_?G_3?1?">TBFS!$8:$70</definedName>
    <definedName name="XDO_GROUP_?G_4?1?">TBFS!$B$10:$IV$24</definedName>
    <definedName name="XDO_GROUP_?G_4?2?">TBFS!$B$68:$IV$68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1" i="1" l="1"/>
</calcChain>
</file>

<file path=xl/sharedStrings.xml><?xml version="1.0" encoding="utf-8"?>
<sst xmlns="http://schemas.openxmlformats.org/spreadsheetml/2006/main" count="202" uniqueCount="129">
  <si>
    <t>TAURUS MUTUAL FUND</t>
  </si>
  <si>
    <t>TBFS</t>
  </si>
  <si>
    <t>SCHEME NAME :</t>
  </si>
  <si>
    <t>Taurus Banking &amp; Financial Services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</si>
  <si>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</si>
  <si>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</si>
  <si>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</si>
  <si>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</si>
  <si>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</si>
  <si>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</si>
  <si>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</si>
  <si>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</si>
  <si>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</si>
  <si>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</si>
  <si>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</si>
  <si>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</si>
  <si>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</si>
  <si>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</si>
  <si>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</si>
  <si>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</si>
  <si>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</si>
  <si>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</si>
  <si>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100010</t>
  </si>
  <si>
    <t>State Bank of India</t>
  </si>
  <si>
    <t>INE062A01020</t>
  </si>
  <si>
    <t>100024</t>
  </si>
  <si>
    <t>Axis Bank Ltd.</t>
  </si>
  <si>
    <t>INE238A01034</t>
  </si>
  <si>
    <t>100104</t>
  </si>
  <si>
    <t>Kotak Mahindra Bank Ltd.</t>
  </si>
  <si>
    <t>INE237A01028</t>
  </si>
  <si>
    <t>100194</t>
  </si>
  <si>
    <t>Power Finance Corporation Ltd.</t>
  </si>
  <si>
    <t>INE134E01011</t>
  </si>
  <si>
    <t>Finance</t>
  </si>
  <si>
    <t>100325</t>
  </si>
  <si>
    <t>Bajaj Holdings &amp; Investment Ltd.</t>
  </si>
  <si>
    <t>INE118A01012</t>
  </si>
  <si>
    <t>102528</t>
  </si>
  <si>
    <t>DAM Capital Advisors Ltd.</t>
  </si>
  <si>
    <t>INE284H01025</t>
  </si>
  <si>
    <t>Capital Markets</t>
  </si>
  <si>
    <t>100733</t>
  </si>
  <si>
    <t>General Insurance Corporation of India</t>
  </si>
  <si>
    <t>INE481Y01014</t>
  </si>
  <si>
    <t>Insurance</t>
  </si>
  <si>
    <t>100092</t>
  </si>
  <si>
    <t>Bank of Baroda</t>
  </si>
  <si>
    <t>INE028A01039</t>
  </si>
  <si>
    <t>101550</t>
  </si>
  <si>
    <t>Life Insurance Corporation of India</t>
  </si>
  <si>
    <t>INE0J1Y01017</t>
  </si>
  <si>
    <t>100377</t>
  </si>
  <si>
    <t>The South Indian Bank Ltd.</t>
  </si>
  <si>
    <t>INE683A01023</t>
  </si>
  <si>
    <t>100191</t>
  </si>
  <si>
    <t>Canara Bank</t>
  </si>
  <si>
    <t>INE476A01022</t>
  </si>
  <si>
    <t>100114</t>
  </si>
  <si>
    <t>Shriram Finance Ltd.</t>
  </si>
  <si>
    <t>INE721A01047</t>
  </si>
  <si>
    <t>100122</t>
  </si>
  <si>
    <t>Union Bank of India</t>
  </si>
  <si>
    <t>INE692A01016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</si>
  <si>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</si>
  <si>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</si>
  <si>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</si>
  <si>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</si>
  <si>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</si>
  <si>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</si>
  <si>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</si>
  <si>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</si>
  <si>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</si>
  <si>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</si>
  <si>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</si>
  <si>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</si>
  <si>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</si>
  <si>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</si>
  <si>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</si>
  <si>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</si>
  <si>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</si>
  <si>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</si>
  <si>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</si>
  <si>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</si>
  <si>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</si>
  <si>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</si>
  <si>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</si>
  <si>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</si>
  <si>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</si>
  <si>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</si>
  <si>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</si>
  <si>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</si>
  <si>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</si>
  <si>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Total NPAs provided for and its percentage to NAV is Nil.</t>
  </si>
  <si>
    <t>4. Total Value and percentage of illiquid equity shares is Nil.</t>
  </si>
  <si>
    <t>5. Net Assets Value per unit (in Rupees) are as follows:</t>
  </si>
  <si>
    <t>NAV per unit</t>
  </si>
  <si>
    <t>Plan/Option</t>
  </si>
  <si>
    <t>As on</t>
  </si>
  <si>
    <t>July 31, 2025</t>
  </si>
  <si>
    <t>August 31,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</si>
  <si>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</si>
  <si>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</si>
  <si>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</si>
  <si>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</si>
  <si>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 August 31, 2025.</t>
  </si>
  <si>
    <t>7. The Scheme did not declare any bonus during the month ended As on  August 31, 2025.</t>
  </si>
  <si>
    <t>8. Total outstanding exposure in derivative instruments as on As on  August 31, 2025 is Nil</t>
  </si>
  <si>
    <t>9. Total investments in Foreign Securities /ADRs/GDRs /Overseas ETFs as at As on  August 31, 2025 and its percentage to NAV is Nil.</t>
  </si>
  <si>
    <t>10. During the period, the portfolio turnover ratio is 0.46 times.</t>
  </si>
  <si>
    <t>      Portfolio Turnover Ratio = Lower of sales or purchase of securities divided by average AUM for 12 months ended As on  August 31, 2025</t>
  </si>
  <si>
    <t>11. The Scheme did not invest in repo transactions of corporate debt securities during the month ended As on  August 31, 2025.</t>
  </si>
  <si>
    <t>12. The Scheme did not invest in credit default swaps during the month ended As on  August 31, 2025.</t>
  </si>
  <si>
    <t>13. There are Nil instances of deviation from the valuation principles/guidelines during the month ended as on August 31st, 2025.</t>
  </si>
  <si>
    <t>Taurus Banking &amp; Financial Services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</si>
  <si>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</si>
  <si>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</si>
  <si>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</si>
  <si>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</si>
  <si>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</si>
  <si>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</si>
  <si>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</si>
  <si>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</si>
  <si>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BSE Bankex Index TRI (Benchmark)</t>
  </si>
  <si>
    <t>Nifty 50 TRI (Additional Benchmark)</t>
  </si>
  <si>
    <t>NAV [Rs.] Per Unit (as on August 29,2025 :51.87)</t>
  </si>
  <si>
    <t>Taurus Banking &amp; Financial Services Fund - Direct Plan Growth Option</t>
  </si>
  <si>
    <t>NAV [Rs.] Per Unit (as on August 29,2025 :58.03)</t>
  </si>
  <si>
    <t>10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</si>
</sst>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7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167" fontId="1" fillId="0" borderId="19" xfId="1" applyNumberFormat="1" applyBorder="1" applyAlignment="1">
      <alignment horizontal="center"/>
    </xf>
    <xf numFmtId="167" fontId="1" fillId="0" borderId="20" xfId="1" applyNumberFormat="1" applyBorder="1" applyAlignment="1">
      <alignment horizontal="center"/>
    </xf>
    <xf numFmtId="0" fontId="13" fillId="3" borderId="19" xfId="0" applyFont="1" applyFill="1" applyBorder="1" applyAlignment="1">
      <alignment horizontal="center"/>
    </xf>
    <xf numFmtId="0" fontId="13" fillId="3" borderId="20" xfId="0" applyFont="1" applyFill="1" applyBorder="1" applyAlignment="1">
      <alignment horizontal="center"/>
    </xf>
  </cellXfs>
  <cellStyles count="6">
    <cellStyle name="Comma" xfId="1" builtinId="3"/>
    <cellStyle name="Comma 2" xfId="5" xr:uid="{A0F62CC6-B08C-4337-B1BE-05F0C0E738CD}"/>
    <cellStyle name="Hyperlink" xfId="2" builtinId="8"/>
    <cellStyle name="Normal" xfId="0" builtinId="0"/>
    <cellStyle name="Normal 2" xfId="4" xr:uid="{8C86779D-CABA-43BA-BF65-6C7B43D50829}"/>
    <cellStyle name="Style 1" xfId="3" xr:uid="{9243479E-03D6-4EFC-8D04-9EF45BAB87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1999488</xdr:rowOff>
    </xdr:to>
    <xdr:pic>
      <xdr:nvPicPr>
        <xdr:cNvPr id="2" name="Picture 1" descr="Product Label - 9th Dec 2024 - Banking.jpg">
          <a:extLst>
            <a:ext uri="{FF2B5EF4-FFF2-40B4-BE49-F238E27FC236}">
              <a16:creationId xmlns:a16="http://schemas.microsoft.com/office/drawing/2014/main" id="{2A1D46AD-B4C0-4885-8107-0A52CC634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19994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Aug_2025\Final\TMF_Monthly_Portfolio_Report_Aug_25.xls" TargetMode="External"/><Relationship Id="rId1" Type="http://schemas.openxmlformats.org/officeDocument/2006/relationships/externalLinkPath" Target="file:///Q:\5.TMF\Reporting\Monthly%20Reports\Monthly%20Portfolio\2025-26\Aug_2025\Final\TMF_Monthly_Portfolio_Report_Aug_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B34E-45A5-465C-A19A-502BA1905A7F}">
  <dimension ref="A1:BB97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45900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17739</v>
      </c>
      <c r="H10" s="32">
        <v>247.99</v>
      </c>
      <c r="I10" s="32">
        <v>21.79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25896</v>
      </c>
      <c r="H11" s="32">
        <v>246.39</v>
      </c>
      <c r="I11" s="32">
        <v>21.65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18</v>
      </c>
      <c r="G12" s="31">
        <v>16534</v>
      </c>
      <c r="H12" s="32">
        <v>132.66</v>
      </c>
      <c r="I12" s="32">
        <v>11.66</v>
      </c>
      <c r="J12" s="33"/>
    </row>
    <row r="13" spans="1:54" x14ac:dyDescent="0.25">
      <c r="B13" s="1" t="s">
        <v>25</v>
      </c>
      <c r="C13" s="20" t="s">
        <v>26</v>
      </c>
      <c r="D13" s="29" t="s">
        <v>27</v>
      </c>
      <c r="E13" s="30"/>
      <c r="F13" s="30" t="s">
        <v>18</v>
      </c>
      <c r="G13" s="31">
        <v>11341</v>
      </c>
      <c r="H13" s="32">
        <v>118.58</v>
      </c>
      <c r="I13" s="32">
        <v>10.42</v>
      </c>
      <c r="J13" s="33"/>
    </row>
    <row r="14" spans="1:54" x14ac:dyDescent="0.25">
      <c r="B14" s="1" t="s">
        <v>28</v>
      </c>
      <c r="C14" s="20" t="s">
        <v>29</v>
      </c>
      <c r="D14" s="29" t="s">
        <v>30</v>
      </c>
      <c r="E14" s="30"/>
      <c r="F14" s="30" t="s">
        <v>18</v>
      </c>
      <c r="G14" s="31">
        <v>5289</v>
      </c>
      <c r="H14" s="32">
        <v>103.68</v>
      </c>
      <c r="I14" s="32">
        <v>9.11</v>
      </c>
      <c r="J14" s="33"/>
    </row>
    <row r="15" spans="1:54" x14ac:dyDescent="0.25">
      <c r="B15" s="1" t="s">
        <v>31</v>
      </c>
      <c r="C15" s="20" t="s">
        <v>32</v>
      </c>
      <c r="D15" s="29" t="s">
        <v>33</v>
      </c>
      <c r="E15" s="30"/>
      <c r="F15" s="30" t="s">
        <v>34</v>
      </c>
      <c r="G15" s="31">
        <v>14288</v>
      </c>
      <c r="H15" s="32">
        <v>54.24</v>
      </c>
      <c r="I15" s="32">
        <v>4.7699999999999996</v>
      </c>
      <c r="J15" s="33"/>
    </row>
    <row r="16" spans="1:54" x14ac:dyDescent="0.25">
      <c r="B16" s="1" t="s">
        <v>35</v>
      </c>
      <c r="C16" s="20" t="s">
        <v>36</v>
      </c>
      <c r="D16" s="29" t="s">
        <v>37</v>
      </c>
      <c r="E16" s="30"/>
      <c r="F16" s="30" t="s">
        <v>34</v>
      </c>
      <c r="G16" s="31">
        <v>300</v>
      </c>
      <c r="H16" s="32">
        <v>38.31</v>
      </c>
      <c r="I16" s="32">
        <v>3.37</v>
      </c>
      <c r="J16" s="33"/>
    </row>
    <row r="17" spans="2:10" x14ac:dyDescent="0.25">
      <c r="B17" s="1" t="s">
        <v>38</v>
      </c>
      <c r="C17" s="20" t="s">
        <v>39</v>
      </c>
      <c r="D17" s="29" t="s">
        <v>40</v>
      </c>
      <c r="E17" s="30"/>
      <c r="F17" s="30" t="s">
        <v>41</v>
      </c>
      <c r="G17" s="31">
        <v>14963</v>
      </c>
      <c r="H17" s="32">
        <v>32.85</v>
      </c>
      <c r="I17" s="32">
        <v>2.89</v>
      </c>
      <c r="J17" s="33"/>
    </row>
    <row r="18" spans="2:10" x14ac:dyDescent="0.25">
      <c r="B18" s="1" t="s">
        <v>42</v>
      </c>
      <c r="C18" s="20" t="s">
        <v>43</v>
      </c>
      <c r="D18" s="29" t="s">
        <v>44</v>
      </c>
      <c r="E18" s="30"/>
      <c r="F18" s="30" t="s">
        <v>45</v>
      </c>
      <c r="G18" s="31">
        <v>5704</v>
      </c>
      <c r="H18" s="32">
        <v>20.75</v>
      </c>
      <c r="I18" s="32">
        <v>1.82</v>
      </c>
      <c r="J18" s="33"/>
    </row>
    <row r="19" spans="2:10" x14ac:dyDescent="0.25">
      <c r="B19" s="1" t="s">
        <v>46</v>
      </c>
      <c r="C19" s="20" t="s">
        <v>47</v>
      </c>
      <c r="D19" s="29" t="s">
        <v>48</v>
      </c>
      <c r="E19" s="30"/>
      <c r="F19" s="30" t="s">
        <v>18</v>
      </c>
      <c r="G19" s="31">
        <v>5858</v>
      </c>
      <c r="H19" s="32">
        <v>13.64</v>
      </c>
      <c r="I19" s="32">
        <v>1.2</v>
      </c>
      <c r="J19" s="33"/>
    </row>
    <row r="20" spans="2:10" x14ac:dyDescent="0.25">
      <c r="B20" s="1" t="s">
        <v>49</v>
      </c>
      <c r="C20" s="20" t="s">
        <v>50</v>
      </c>
      <c r="D20" s="29" t="s">
        <v>51</v>
      </c>
      <c r="E20" s="30"/>
      <c r="F20" s="30" t="s">
        <v>45</v>
      </c>
      <c r="G20" s="31">
        <v>1393</v>
      </c>
      <c r="H20" s="32">
        <v>11.87</v>
      </c>
      <c r="I20" s="32">
        <v>1.04</v>
      </c>
      <c r="J20" s="33"/>
    </row>
    <row r="21" spans="2:10" x14ac:dyDescent="0.25">
      <c r="B21" s="1" t="s">
        <v>52</v>
      </c>
      <c r="C21" s="20" t="s">
        <v>53</v>
      </c>
      <c r="D21" s="29" t="s">
        <v>54</v>
      </c>
      <c r="E21" s="30"/>
      <c r="F21" s="30" t="s">
        <v>18</v>
      </c>
      <c r="G21" s="31">
        <v>37500</v>
      </c>
      <c r="H21" s="32">
        <v>10.97</v>
      </c>
      <c r="I21" s="32">
        <v>0.96</v>
      </c>
      <c r="J21" s="33"/>
    </row>
    <row r="22" spans="2:10" x14ac:dyDescent="0.25">
      <c r="B22" s="1" t="s">
        <v>55</v>
      </c>
      <c r="C22" s="20" t="s">
        <v>56</v>
      </c>
      <c r="D22" s="29" t="s">
        <v>57</v>
      </c>
      <c r="E22" s="30"/>
      <c r="F22" s="30" t="s">
        <v>18</v>
      </c>
      <c r="G22" s="31">
        <v>8375</v>
      </c>
      <c r="H22" s="32">
        <v>8.69</v>
      </c>
      <c r="I22" s="32">
        <v>0.76</v>
      </c>
      <c r="J22" s="33"/>
    </row>
    <row r="23" spans="2:10" x14ac:dyDescent="0.25">
      <c r="B23" s="1" t="s">
        <v>58</v>
      </c>
      <c r="C23" s="20" t="s">
        <v>59</v>
      </c>
      <c r="D23" s="29" t="s">
        <v>60</v>
      </c>
      <c r="E23" s="30"/>
      <c r="F23" s="30" t="s">
        <v>34</v>
      </c>
      <c r="G23" s="31">
        <v>1404</v>
      </c>
      <c r="H23" s="32">
        <v>8.16</v>
      </c>
      <c r="I23" s="32">
        <v>0.72</v>
      </c>
      <c r="J23" s="33"/>
    </row>
    <row r="24" spans="2:10" x14ac:dyDescent="0.25">
      <c r="B24" s="1" t="s">
        <v>61</v>
      </c>
      <c r="C24" s="20" t="s">
        <v>62</v>
      </c>
      <c r="D24" s="29" t="s">
        <v>63</v>
      </c>
      <c r="E24" s="30"/>
      <c r="F24" s="30" t="s">
        <v>18</v>
      </c>
      <c r="G24" s="31">
        <v>2512</v>
      </c>
      <c r="H24" s="32">
        <v>3.14</v>
      </c>
      <c r="I24" s="32">
        <v>0.28000000000000003</v>
      </c>
      <c r="J24" s="33"/>
    </row>
    <row r="25" spans="2:10" x14ac:dyDescent="0.25">
      <c r="C25" s="28" t="s">
        <v>64</v>
      </c>
      <c r="D25" s="29"/>
      <c r="E25" s="30"/>
      <c r="F25" s="30"/>
      <c r="G25" s="31"/>
      <c r="H25" s="35">
        <v>1051.92</v>
      </c>
      <c r="I25" s="35">
        <v>92.44</v>
      </c>
      <c r="J25" s="33"/>
    </row>
    <row r="26" spans="2:10" x14ac:dyDescent="0.25">
      <c r="C26" s="20"/>
      <c r="D26" s="29"/>
      <c r="E26" s="30"/>
      <c r="F26" s="30"/>
      <c r="G26" s="31"/>
      <c r="H26" s="32"/>
      <c r="I26" s="32"/>
      <c r="J26" s="33"/>
    </row>
    <row r="27" spans="2:10" x14ac:dyDescent="0.25">
      <c r="C27" s="28" t="s">
        <v>65</v>
      </c>
      <c r="D27" s="29"/>
      <c r="E27" s="30"/>
      <c r="F27" s="30"/>
      <c r="G27" s="31"/>
      <c r="H27" s="32" t="s">
        <v>66</v>
      </c>
      <c r="I27" s="32" t="s">
        <v>66</v>
      </c>
      <c r="J27" s="33"/>
    </row>
    <row r="28" spans="2:10" x14ac:dyDescent="0.25">
      <c r="C28" s="20"/>
      <c r="D28" s="29"/>
      <c r="E28" s="30"/>
      <c r="F28" s="30"/>
      <c r="G28" s="31"/>
      <c r="H28" s="32"/>
      <c r="I28" s="32"/>
      <c r="J28" s="33"/>
    </row>
    <row r="29" spans="2:10" x14ac:dyDescent="0.25">
      <c r="C29" s="28" t="s">
        <v>67</v>
      </c>
      <c r="D29" s="29"/>
      <c r="E29" s="30"/>
      <c r="F29" s="30"/>
      <c r="G29" s="31"/>
      <c r="H29" s="32" t="s">
        <v>66</v>
      </c>
      <c r="I29" s="32" t="s">
        <v>66</v>
      </c>
      <c r="J29" s="33"/>
    </row>
    <row r="30" spans="2:10" x14ac:dyDescent="0.25">
      <c r="C30" s="20"/>
      <c r="D30" s="29"/>
      <c r="E30" s="30"/>
      <c r="F30" s="30"/>
      <c r="G30" s="31"/>
      <c r="H30" s="32"/>
      <c r="I30" s="32"/>
      <c r="J30" s="33"/>
    </row>
    <row r="31" spans="2:10" x14ac:dyDescent="0.25">
      <c r="C31" s="28" t="s">
        <v>68</v>
      </c>
      <c r="D31" s="29"/>
      <c r="E31" s="30"/>
      <c r="F31" s="30"/>
      <c r="G31" s="31"/>
      <c r="H31" s="32"/>
      <c r="I31" s="32"/>
      <c r="J31" s="33"/>
    </row>
    <row r="32" spans="2:10" x14ac:dyDescent="0.25">
      <c r="C32" s="20"/>
      <c r="D32" s="29"/>
      <c r="E32" s="30"/>
      <c r="F32" s="30"/>
      <c r="G32" s="31"/>
      <c r="H32" s="32"/>
      <c r="I32" s="32"/>
      <c r="J32" s="33"/>
    </row>
    <row r="33" spans="3:10" x14ac:dyDescent="0.25">
      <c r="C33" s="28" t="s">
        <v>69</v>
      </c>
      <c r="D33" s="29"/>
      <c r="E33" s="30"/>
      <c r="F33" s="30"/>
      <c r="G33" s="31"/>
      <c r="H33" s="32" t="s">
        <v>66</v>
      </c>
      <c r="I33" s="32" t="s">
        <v>66</v>
      </c>
      <c r="J33" s="33"/>
    </row>
    <row r="34" spans="3:10" x14ac:dyDescent="0.25">
      <c r="C34" s="20"/>
      <c r="D34" s="29"/>
      <c r="E34" s="30"/>
      <c r="F34" s="30"/>
      <c r="G34" s="31"/>
      <c r="H34" s="32"/>
      <c r="I34" s="32"/>
      <c r="J34" s="33"/>
    </row>
    <row r="35" spans="3:10" x14ac:dyDescent="0.25">
      <c r="C35" s="28" t="s">
        <v>70</v>
      </c>
      <c r="D35" s="29"/>
      <c r="E35" s="30"/>
      <c r="F35" s="30"/>
      <c r="G35" s="31"/>
      <c r="H35" s="32" t="s">
        <v>66</v>
      </c>
      <c r="I35" s="32" t="s">
        <v>66</v>
      </c>
      <c r="J35" s="33"/>
    </row>
    <row r="36" spans="3:10" x14ac:dyDescent="0.25">
      <c r="C36" s="20"/>
      <c r="D36" s="29"/>
      <c r="E36" s="30"/>
      <c r="F36" s="30"/>
      <c r="G36" s="31"/>
      <c r="H36" s="32"/>
      <c r="I36" s="32"/>
      <c r="J36" s="33"/>
    </row>
    <row r="37" spans="3:10" x14ac:dyDescent="0.25">
      <c r="C37" s="28" t="s">
        <v>71</v>
      </c>
      <c r="D37" s="29"/>
      <c r="E37" s="30"/>
      <c r="F37" s="30"/>
      <c r="G37" s="31"/>
      <c r="H37" s="32" t="s">
        <v>66</v>
      </c>
      <c r="I37" s="32" t="s">
        <v>66</v>
      </c>
      <c r="J37" s="33"/>
    </row>
    <row r="38" spans="3:10" x14ac:dyDescent="0.25">
      <c r="C38" s="20"/>
      <c r="D38" s="29"/>
      <c r="E38" s="30"/>
      <c r="F38" s="30"/>
      <c r="G38" s="31"/>
      <c r="H38" s="32"/>
      <c r="I38" s="32"/>
      <c r="J38" s="33"/>
    </row>
    <row r="39" spans="3:10" x14ac:dyDescent="0.25">
      <c r="C39" s="28" t="s">
        <v>72</v>
      </c>
      <c r="D39" s="29"/>
      <c r="E39" s="30"/>
      <c r="F39" s="30"/>
      <c r="G39" s="31"/>
      <c r="H39" s="32" t="s">
        <v>66</v>
      </c>
      <c r="I39" s="32" t="s">
        <v>66</v>
      </c>
      <c r="J39" s="33"/>
    </row>
    <row r="40" spans="3:10" x14ac:dyDescent="0.25">
      <c r="C40" s="20"/>
      <c r="D40" s="29"/>
      <c r="E40" s="30"/>
      <c r="F40" s="30"/>
      <c r="G40" s="31"/>
      <c r="H40" s="32"/>
      <c r="I40" s="32"/>
      <c r="J40" s="33"/>
    </row>
    <row r="41" spans="3:10" x14ac:dyDescent="0.25">
      <c r="C41" s="28" t="s">
        <v>73</v>
      </c>
      <c r="D41" s="29"/>
      <c r="E41" s="30"/>
      <c r="F41" s="30"/>
      <c r="G41" s="31"/>
      <c r="H41" s="32" t="s">
        <v>66</v>
      </c>
      <c r="I41" s="32" t="s">
        <v>66</v>
      </c>
      <c r="J41" s="33"/>
    </row>
    <row r="42" spans="3:10" x14ac:dyDescent="0.25">
      <c r="C42" s="20"/>
      <c r="D42" s="29"/>
      <c r="E42" s="30"/>
      <c r="F42" s="30"/>
      <c r="G42" s="31"/>
      <c r="H42" s="32"/>
      <c r="I42" s="32"/>
      <c r="J42" s="33"/>
    </row>
    <row r="43" spans="3:10" x14ac:dyDescent="0.25">
      <c r="C43" s="28" t="s">
        <v>74</v>
      </c>
      <c r="D43" s="29"/>
      <c r="E43" s="30"/>
      <c r="F43" s="30"/>
      <c r="G43" s="31"/>
      <c r="H43" s="32"/>
      <c r="I43" s="32"/>
      <c r="J43" s="33"/>
    </row>
    <row r="44" spans="3:10" x14ac:dyDescent="0.25">
      <c r="C44" s="20"/>
      <c r="D44" s="29"/>
      <c r="E44" s="30"/>
      <c r="F44" s="30"/>
      <c r="G44" s="31"/>
      <c r="H44" s="32"/>
      <c r="I44" s="32"/>
      <c r="J44" s="33"/>
    </row>
    <row r="45" spans="3:10" x14ac:dyDescent="0.25">
      <c r="C45" s="28" t="s">
        <v>75</v>
      </c>
      <c r="D45" s="29"/>
      <c r="E45" s="30"/>
      <c r="F45" s="30"/>
      <c r="G45" s="31"/>
      <c r="H45" s="32" t="s">
        <v>66</v>
      </c>
      <c r="I45" s="32" t="s">
        <v>66</v>
      </c>
      <c r="J45" s="33"/>
    </row>
    <row r="46" spans="3:10" x14ac:dyDescent="0.25">
      <c r="C46" s="20"/>
      <c r="D46" s="29"/>
      <c r="E46" s="30"/>
      <c r="F46" s="30"/>
      <c r="G46" s="31"/>
      <c r="H46" s="32"/>
      <c r="I46" s="32"/>
      <c r="J46" s="33"/>
    </row>
    <row r="47" spans="3:10" x14ac:dyDescent="0.25">
      <c r="C47" s="28" t="s">
        <v>76</v>
      </c>
      <c r="D47" s="29"/>
      <c r="E47" s="30"/>
      <c r="F47" s="30"/>
      <c r="G47" s="31"/>
      <c r="H47" s="32" t="s">
        <v>66</v>
      </c>
      <c r="I47" s="32" t="s">
        <v>66</v>
      </c>
      <c r="J47" s="33"/>
    </row>
    <row r="48" spans="3:10" x14ac:dyDescent="0.25">
      <c r="C48" s="20"/>
      <c r="D48" s="29"/>
      <c r="E48" s="30"/>
      <c r="F48" s="30"/>
      <c r="G48" s="31"/>
      <c r="H48" s="32"/>
      <c r="I48" s="32"/>
      <c r="J48" s="33"/>
    </row>
    <row r="49" spans="3:10" x14ac:dyDescent="0.25">
      <c r="C49" s="28" t="s">
        <v>77</v>
      </c>
      <c r="D49" s="29"/>
      <c r="E49" s="30"/>
      <c r="F49" s="30"/>
      <c r="G49" s="31"/>
      <c r="H49" s="32" t="s">
        <v>66</v>
      </c>
      <c r="I49" s="32" t="s">
        <v>66</v>
      </c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78</v>
      </c>
      <c r="D51" s="29"/>
      <c r="E51" s="30"/>
      <c r="F51" s="30"/>
      <c r="G51" s="31"/>
      <c r="H51" s="32" t="s">
        <v>66</v>
      </c>
      <c r="I51" s="32" t="s">
        <v>66</v>
      </c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79</v>
      </c>
      <c r="D53" s="29"/>
      <c r="E53" s="30"/>
      <c r="F53" s="30"/>
      <c r="G53" s="31"/>
      <c r="H53" s="32"/>
      <c r="I53" s="32"/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80</v>
      </c>
      <c r="D55" s="29"/>
      <c r="E55" s="30"/>
      <c r="F55" s="30"/>
      <c r="G55" s="31"/>
      <c r="H55" s="32" t="s">
        <v>66</v>
      </c>
      <c r="I55" s="32" t="s">
        <v>66</v>
      </c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81</v>
      </c>
      <c r="D57" s="29"/>
      <c r="E57" s="30"/>
      <c r="F57" s="30"/>
      <c r="G57" s="31"/>
      <c r="H57" s="32" t="s">
        <v>66</v>
      </c>
      <c r="I57" s="32" t="s">
        <v>66</v>
      </c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82</v>
      </c>
      <c r="D59" s="29"/>
      <c r="E59" s="30"/>
      <c r="F59" s="30"/>
      <c r="G59" s="31"/>
      <c r="H59" s="32" t="s">
        <v>66</v>
      </c>
      <c r="I59" s="32" t="s">
        <v>66</v>
      </c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83</v>
      </c>
      <c r="D61" s="29"/>
      <c r="E61" s="30"/>
      <c r="F61" s="30"/>
      <c r="G61" s="31"/>
      <c r="H61" s="32" t="s">
        <v>66</v>
      </c>
      <c r="I61" s="32" t="s">
        <v>66</v>
      </c>
      <c r="J61" s="33"/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84</v>
      </c>
      <c r="D63" s="29"/>
      <c r="E63" s="30"/>
      <c r="F63" s="30"/>
      <c r="G63" s="31"/>
      <c r="H63" s="32" t="s">
        <v>66</v>
      </c>
      <c r="I63" s="32" t="s">
        <v>66</v>
      </c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1:10" x14ac:dyDescent="0.25">
      <c r="C65" s="28" t="s">
        <v>85</v>
      </c>
      <c r="D65" s="29"/>
      <c r="E65" s="30"/>
      <c r="F65" s="30"/>
      <c r="G65" s="31"/>
      <c r="H65" s="32" t="s">
        <v>66</v>
      </c>
      <c r="I65" s="32" t="s">
        <v>66</v>
      </c>
      <c r="J65" s="33"/>
    </row>
    <row r="66" spans="1:10" x14ac:dyDescent="0.25">
      <c r="C66" s="20"/>
      <c r="D66" s="29"/>
      <c r="E66" s="30"/>
      <c r="F66" s="30"/>
      <c r="G66" s="31"/>
      <c r="H66" s="32"/>
      <c r="I66" s="32"/>
      <c r="J66" s="33"/>
    </row>
    <row r="67" spans="1:10" x14ac:dyDescent="0.25">
      <c r="A67" s="26"/>
      <c r="B67" s="27"/>
      <c r="C67" s="28" t="s">
        <v>86</v>
      </c>
      <c r="D67" s="29"/>
      <c r="E67" s="30"/>
      <c r="F67" s="30"/>
      <c r="G67" s="31"/>
      <c r="H67" s="32"/>
      <c r="I67" s="32"/>
      <c r="J67" s="33"/>
    </row>
    <row r="68" spans="1:10" x14ac:dyDescent="0.25">
      <c r="B68" s="1"/>
      <c r="C68" s="20" t="s">
        <v>87</v>
      </c>
      <c r="D68" s="29"/>
      <c r="E68" s="30"/>
      <c r="F68" s="30"/>
      <c r="G68" s="31"/>
      <c r="H68" s="32">
        <v>86.01</v>
      </c>
      <c r="I68" s="32">
        <v>7.56</v>
      </c>
      <c r="J68" s="33"/>
    </row>
    <row r="69" spans="1:10" x14ac:dyDescent="0.25">
      <c r="C69" s="28" t="s">
        <v>64</v>
      </c>
      <c r="D69" s="29"/>
      <c r="E69" s="30"/>
      <c r="F69" s="30"/>
      <c r="G69" s="31"/>
      <c r="H69" s="35">
        <v>86.01</v>
      </c>
      <c r="I69" s="35">
        <v>7.56</v>
      </c>
      <c r="J69" s="33"/>
    </row>
    <row r="70" spans="1:10" x14ac:dyDescent="0.25">
      <c r="C70" s="20"/>
      <c r="D70" s="29"/>
      <c r="E70" s="30"/>
      <c r="F70" s="30"/>
      <c r="G70" s="31"/>
      <c r="H70" s="32"/>
      <c r="I70" s="32"/>
      <c r="J70" s="33"/>
    </row>
    <row r="71" spans="1:10" ht="14.25" thickBot="1" x14ac:dyDescent="0.3">
      <c r="C71" s="36" t="s">
        <v>88</v>
      </c>
      <c r="D71" s="37"/>
      <c r="E71" s="38"/>
      <c r="F71" s="39"/>
      <c r="G71" s="40"/>
      <c r="H71" s="41">
        <v>1137.93</v>
      </c>
      <c r="I71" s="41">
        <f>SUMIFS(I:I,C:C,"Total")</f>
        <v>100</v>
      </c>
      <c r="J71" s="42"/>
    </row>
    <row r="74" spans="1:10" x14ac:dyDescent="0.25">
      <c r="C74" s="11" t="s">
        <v>89</v>
      </c>
    </row>
    <row r="75" spans="1:10" x14ac:dyDescent="0.25">
      <c r="C75" s="2" t="s">
        <v>90</v>
      </c>
    </row>
    <row r="76" spans="1:10" x14ac:dyDescent="0.25">
      <c r="C76" s="2" t="s">
        <v>91</v>
      </c>
    </row>
    <row r="77" spans="1:10" x14ac:dyDescent="0.25">
      <c r="C77" s="2" t="s">
        <v>92</v>
      </c>
    </row>
    <row r="78" spans="1:10" x14ac:dyDescent="0.25">
      <c r="C78" s="2" t="s">
        <v>93</v>
      </c>
    </row>
    <row r="79" spans="1:10" x14ac:dyDescent="0.25">
      <c r="C79" s="2" t="s">
        <v>94</v>
      </c>
    </row>
    <row r="80" spans="1:10" x14ac:dyDescent="0.25">
      <c r="C80" s="2" t="s">
        <v>95</v>
      </c>
    </row>
    <row r="81" spans="3:5" x14ac:dyDescent="0.25">
      <c r="D81" s="2" t="s">
        <v>96</v>
      </c>
    </row>
    <row r="82" spans="3:5" x14ac:dyDescent="0.25">
      <c r="C82" s="2" t="s">
        <v>97</v>
      </c>
      <c r="D82" s="2" t="s">
        <v>98</v>
      </c>
      <c r="E82" s="2" t="s">
        <v>98</v>
      </c>
    </row>
    <row r="83" spans="3:5" x14ac:dyDescent="0.25">
      <c r="D83" s="2" t="s">
        <v>99</v>
      </c>
      <c r="E83" s="2" t="s">
        <v>100</v>
      </c>
    </row>
    <row r="84" spans="3:5" x14ac:dyDescent="0.25">
      <c r="C84" s="2" t="s">
        <v>101</v>
      </c>
      <c r="D84" s="2">
        <v>48.23</v>
      </c>
      <c r="E84" s="2">
        <v>46.43</v>
      </c>
    </row>
    <row r="85" spans="3:5" x14ac:dyDescent="0.25">
      <c r="C85" s="2" t="s">
        <v>102</v>
      </c>
      <c r="D85" s="2">
        <v>53.88</v>
      </c>
      <c r="E85" s="2">
        <v>51.86</v>
      </c>
    </row>
    <row r="86" spans="3:5" x14ac:dyDescent="0.25">
      <c r="C86" s="2" t="s">
        <v>103</v>
      </c>
      <c r="D86" s="2">
        <v>59.53</v>
      </c>
      <c r="E86" s="2">
        <v>57.35</v>
      </c>
    </row>
    <row r="87" spans="3:5" x14ac:dyDescent="0.25">
      <c r="C87" s="2" t="s">
        <v>104</v>
      </c>
      <c r="D87" s="2">
        <v>60.23</v>
      </c>
      <c r="E87" s="2">
        <v>58.02</v>
      </c>
    </row>
    <row r="89" spans="3:5" x14ac:dyDescent="0.25">
      <c r="C89" s="2" t="s">
        <v>105</v>
      </c>
    </row>
    <row r="90" spans="3:5" x14ac:dyDescent="0.25">
      <c r="C90" s="2" t="s">
        <v>106</v>
      </c>
    </row>
    <row r="91" spans="3:5" x14ac:dyDescent="0.25">
      <c r="C91" s="2" t="s">
        <v>107</v>
      </c>
    </row>
    <row r="92" spans="3:5" x14ac:dyDescent="0.25">
      <c r="C92" s="2" t="s">
        <v>108</v>
      </c>
    </row>
    <row r="93" spans="3:5" x14ac:dyDescent="0.25">
      <c r="C93" s="2" t="s">
        <v>109</v>
      </c>
    </row>
    <row r="94" spans="3:5" x14ac:dyDescent="0.25">
      <c r="C94" s="2" t="s">
        <v>110</v>
      </c>
    </row>
    <row r="95" spans="3:5" x14ac:dyDescent="0.25">
      <c r="C95" s="2" t="s">
        <v>111</v>
      </c>
    </row>
    <row r="96" spans="3:5" x14ac:dyDescent="0.25">
      <c r="C96" s="2" t="s">
        <v>112</v>
      </c>
    </row>
    <row r="97" spans="3:3" x14ac:dyDescent="0.25">
      <c r="C97" s="2" t="s">
        <v>113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4F16C-22B0-4674-9CE4-FB8A4DB633CD}">
  <dimension ref="C3:M17"/>
  <sheetViews>
    <sheetView workbookViewId="0"/>
  </sheetViews>
  <sheetFormatPr defaultRowHeight="15" x14ac:dyDescent="0.25"/>
  <cols>
    <col min="3" max="3" width="44.28515625" customWidth="1"/>
    <col min="4" max="4" width="7.1406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  <col min="13" max="13" width="11" bestFit="1" customWidth="1"/>
  </cols>
  <sheetData>
    <row r="3" spans="3:13" ht="15.75" x14ac:dyDescent="0.25">
      <c r="C3" s="43" t="s">
        <v>114</v>
      </c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3:13" x14ac:dyDescent="0.25">
      <c r="C4" s="45" t="s">
        <v>115</v>
      </c>
      <c r="D4" s="51" t="s">
        <v>116</v>
      </c>
      <c r="E4" s="51"/>
      <c r="F4" s="51" t="s">
        <v>117</v>
      </c>
      <c r="G4" s="51"/>
      <c r="H4" s="51" t="s">
        <v>118</v>
      </c>
      <c r="I4" s="51"/>
      <c r="J4" s="55" t="s">
        <v>128</v>
      </c>
      <c r="K4" s="56"/>
      <c r="L4" s="52" t="s">
        <v>119</v>
      </c>
      <c r="M4" s="52"/>
    </row>
    <row r="5" spans="3:13" ht="63.75" x14ac:dyDescent="0.25">
      <c r="C5" s="46"/>
      <c r="D5" s="47" t="s">
        <v>120</v>
      </c>
      <c r="E5" s="47" t="s">
        <v>121</v>
      </c>
      <c r="F5" s="47" t="s">
        <v>120</v>
      </c>
      <c r="G5" s="47" t="s">
        <v>121</v>
      </c>
      <c r="H5" s="47" t="s">
        <v>120</v>
      </c>
      <c r="I5" s="47" t="s">
        <v>121</v>
      </c>
      <c r="J5" s="47" t="s">
        <v>120</v>
      </c>
      <c r="K5" s="47" t="s">
        <v>121</v>
      </c>
      <c r="L5" s="48" t="s">
        <v>120</v>
      </c>
      <c r="M5" s="48" t="s">
        <v>121</v>
      </c>
    </row>
    <row r="6" spans="3:13" x14ac:dyDescent="0.25">
      <c r="C6" s="49" t="s">
        <v>122</v>
      </c>
      <c r="D6" s="50">
        <v>2.8757999999999999</v>
      </c>
      <c r="E6" s="50">
        <v>10287.584291947638</v>
      </c>
      <c r="F6" s="50">
        <v>14.259600000000001</v>
      </c>
      <c r="G6" s="50">
        <v>14922.324510932105</v>
      </c>
      <c r="H6" s="50">
        <v>16.772099999999998</v>
      </c>
      <c r="I6" s="50">
        <v>21730.205278592373</v>
      </c>
      <c r="J6" s="50">
        <v>12.327199999999999</v>
      </c>
      <c r="K6" s="50">
        <v>32018.518518518518</v>
      </c>
      <c r="L6" s="50">
        <v>13.1974</v>
      </c>
      <c r="M6" s="50">
        <v>51870</v>
      </c>
    </row>
    <row r="7" spans="3:13" x14ac:dyDescent="0.25">
      <c r="C7" s="49" t="s">
        <v>123</v>
      </c>
      <c r="D7" s="50">
        <v>4.0367335999999998</v>
      </c>
      <c r="E7" s="50">
        <v>10403.673360000001</v>
      </c>
      <c r="F7" s="50">
        <v>12.014264000000001</v>
      </c>
      <c r="G7" s="50">
        <v>14054.648512140324</v>
      </c>
      <c r="H7" s="50">
        <v>17.411169999999998</v>
      </c>
      <c r="I7" s="50">
        <v>22312.44069064816</v>
      </c>
      <c r="J7" s="50">
        <v>12.4503</v>
      </c>
      <c r="K7" s="50">
        <v>17980.554966314034</v>
      </c>
      <c r="L7" s="50">
        <v>14.849352</v>
      </c>
      <c r="M7" s="50">
        <v>62874.448091544909</v>
      </c>
    </row>
    <row r="8" spans="3:13" x14ac:dyDescent="0.25">
      <c r="C8" s="49" t="s">
        <v>124</v>
      </c>
      <c r="D8" s="50">
        <v>-1.6821999999999999</v>
      </c>
      <c r="E8" s="50">
        <v>9831.7800000000007</v>
      </c>
      <c r="F8" s="50">
        <v>13.438800000000001</v>
      </c>
      <c r="G8" s="50">
        <v>14597.714689930986</v>
      </c>
      <c r="H8" s="50">
        <v>17.353899999999999</v>
      </c>
      <c r="I8" s="50">
        <v>22258.076719107466</v>
      </c>
      <c r="J8" s="50">
        <v>13.1793</v>
      </c>
      <c r="K8" s="50">
        <v>18570.988358352177</v>
      </c>
      <c r="L8" s="50">
        <v>14.3645</v>
      </c>
      <c r="M8" s="50">
        <v>59439.571261548903</v>
      </c>
    </row>
    <row r="9" spans="3:13" x14ac:dyDescent="0.25">
      <c r="C9" s="49" t="s">
        <v>125</v>
      </c>
      <c r="D9" s="53">
        <v>50.42</v>
      </c>
      <c r="E9" s="54"/>
      <c r="F9" s="53">
        <v>34.76</v>
      </c>
      <c r="G9" s="54"/>
      <c r="H9" s="53">
        <v>23.87</v>
      </c>
      <c r="I9" s="54"/>
      <c r="J9" s="53">
        <v>16.2</v>
      </c>
      <c r="K9" s="54"/>
      <c r="L9" s="53">
        <v>10</v>
      </c>
      <c r="M9" s="54"/>
    </row>
    <row r="11" spans="3:13" ht="15.75" x14ac:dyDescent="0.25">
      <c r="C11" s="43" t="s">
        <v>126</v>
      </c>
      <c r="D11" s="44"/>
      <c r="E11" s="44"/>
      <c r="F11" s="44"/>
      <c r="G11" s="44"/>
      <c r="H11" s="44"/>
      <c r="I11" s="44"/>
      <c r="J11" s="44"/>
      <c r="K11" s="44"/>
      <c r="L11" s="44"/>
      <c r="M11" s="44"/>
    </row>
    <row r="12" spans="3:13" x14ac:dyDescent="0.25">
      <c r="C12" s="45" t="s">
        <v>115</v>
      </c>
      <c r="D12" s="51" t="s">
        <v>116</v>
      </c>
      <c r="E12" s="51"/>
      <c r="F12" s="51" t="s">
        <v>117</v>
      </c>
      <c r="G12" s="51"/>
      <c r="H12" s="51" t="s">
        <v>118</v>
      </c>
      <c r="I12" s="51"/>
      <c r="J12" s="55" t="s">
        <v>128</v>
      </c>
      <c r="K12" s="56"/>
      <c r="L12" s="52" t="s">
        <v>119</v>
      </c>
      <c r="M12" s="52"/>
    </row>
    <row r="13" spans="3:13" ht="63.75" x14ac:dyDescent="0.25">
      <c r="C13" s="46"/>
      <c r="D13" s="47" t="s">
        <v>120</v>
      </c>
      <c r="E13" s="47" t="s">
        <v>121</v>
      </c>
      <c r="F13" s="47" t="s">
        <v>120</v>
      </c>
      <c r="G13" s="47" t="s">
        <v>121</v>
      </c>
      <c r="H13" s="47" t="s">
        <v>120</v>
      </c>
      <c r="I13" s="47" t="s">
        <v>121</v>
      </c>
      <c r="J13" s="47" t="s">
        <v>120</v>
      </c>
      <c r="K13" s="47" t="s">
        <v>121</v>
      </c>
      <c r="L13" s="48" t="s">
        <v>120</v>
      </c>
      <c r="M13" s="48" t="s">
        <v>121</v>
      </c>
    </row>
    <row r="14" spans="3:13" x14ac:dyDescent="0.25">
      <c r="C14" s="49" t="s">
        <v>122</v>
      </c>
      <c r="D14" s="50">
        <v>3.6804999999999999</v>
      </c>
      <c r="E14" s="50">
        <v>10368.054314811507</v>
      </c>
      <c r="F14" s="50">
        <v>15.141999999999999</v>
      </c>
      <c r="G14" s="50">
        <v>15271.052631578947</v>
      </c>
      <c r="H14" s="50">
        <v>17.697600000000001</v>
      </c>
      <c r="I14" s="50">
        <v>22606.155044799376</v>
      </c>
      <c r="J14" s="50">
        <v>13.358000000000001</v>
      </c>
      <c r="K14" s="50">
        <v>35084.643288996376</v>
      </c>
      <c r="L14" s="50">
        <v>11.9687</v>
      </c>
      <c r="M14" s="50">
        <v>42512.820512820515</v>
      </c>
    </row>
    <row r="15" spans="3:13" x14ac:dyDescent="0.25">
      <c r="C15" s="49" t="s">
        <v>123</v>
      </c>
      <c r="D15" s="50">
        <v>4.0367335999999998</v>
      </c>
      <c r="E15" s="50">
        <v>10403.673360000001</v>
      </c>
      <c r="F15" s="50">
        <v>12.014264000000001</v>
      </c>
      <c r="G15" s="50">
        <v>14054.648512140324</v>
      </c>
      <c r="H15" s="50">
        <v>17.411169999999998</v>
      </c>
      <c r="I15" s="50">
        <v>22312.44069064816</v>
      </c>
      <c r="J15" s="50">
        <v>12.4503</v>
      </c>
      <c r="K15" s="50">
        <v>17980.554966314034</v>
      </c>
      <c r="L15" s="50">
        <v>12.622767</v>
      </c>
      <c r="M15" s="50">
        <v>45040.349323581424</v>
      </c>
    </row>
    <row r="16" spans="3:13" x14ac:dyDescent="0.25">
      <c r="C16" s="49" t="s">
        <v>124</v>
      </c>
      <c r="D16" s="50">
        <v>-1.6821999999999999</v>
      </c>
      <c r="E16" s="50">
        <v>9831.7800000000007</v>
      </c>
      <c r="F16" s="50">
        <v>13.438800000000001</v>
      </c>
      <c r="G16" s="50">
        <v>14597.714689930986</v>
      </c>
      <c r="H16" s="50">
        <v>17.353899999999999</v>
      </c>
      <c r="I16" s="50">
        <v>22258.076719107466</v>
      </c>
      <c r="J16" s="50">
        <v>13.1793</v>
      </c>
      <c r="K16" s="50">
        <v>18570.988358352177</v>
      </c>
      <c r="L16" s="50">
        <v>13.0991</v>
      </c>
      <c r="M16" s="50">
        <v>47512.455135758362</v>
      </c>
    </row>
    <row r="17" spans="3:13" x14ac:dyDescent="0.25">
      <c r="C17" s="49" t="s">
        <v>127</v>
      </c>
      <c r="D17" s="53">
        <v>55.97</v>
      </c>
      <c r="E17" s="54"/>
      <c r="F17" s="53">
        <v>38</v>
      </c>
      <c r="G17" s="54"/>
      <c r="H17" s="53">
        <v>25.67</v>
      </c>
      <c r="I17" s="54"/>
      <c r="J17" s="53">
        <v>16.54</v>
      </c>
      <c r="K17" s="54"/>
      <c r="L17" s="53">
        <v>13.65</v>
      </c>
      <c r="M17" s="54"/>
    </row>
  </sheetData>
  <mergeCells count="20">
    <mergeCell ref="L4:M4"/>
    <mergeCell ref="L9:M9"/>
    <mergeCell ref="L12:M12"/>
    <mergeCell ref="L17:M17"/>
    <mergeCell ref="D4:E4"/>
    <mergeCell ref="F4:G4"/>
    <mergeCell ref="H4:I4"/>
    <mergeCell ref="J4:K4"/>
    <mergeCell ref="D9:E9"/>
    <mergeCell ref="F9:G9"/>
    <mergeCell ref="H9:I9"/>
    <mergeCell ref="J9:K9"/>
    <mergeCell ref="D12:E12"/>
    <mergeCell ref="F12:G12"/>
    <mergeCell ref="H12:I12"/>
    <mergeCell ref="J12:K12"/>
    <mergeCell ref="D17:E17"/>
    <mergeCell ref="F17:G17"/>
    <mergeCell ref="H17:I17"/>
    <mergeCell ref="J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</vt:lpstr>
      <vt:lpstr>TBFS-Performance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2025-09-05T12:01:25Z</dcterms:created>
  <dcterms:modified xsi:type="dcterms:W3CDTF">2025-09-09T10:28:23Z</dcterms:modified>
</cp:coreProperties>
</file>