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ARG\Desktop\Monthly Portfolio\May 24\"/>
    </mc:Choice>
  </mc:AlternateContent>
  <xr:revisionPtr revIDLastSave="0" documentId="13_ncr:1_{422E7DCA-99DB-4801-817D-E9A1A7E5B9FD}" xr6:coauthVersionLast="47" xr6:coauthVersionMax="47" xr10:uidLastSave="{00000000-0000-0000-0000-000000000000}"/>
  <bookViews>
    <workbookView xWindow="-120" yWindow="-120" windowWidth="20730" windowHeight="11160" xr2:uid="{37A00A2C-9E4D-45F3-A2BC-4AD11AE72547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TTS!$C$8:$C$39</definedName>
    <definedName name="XDO_?FINAL_ISIN?15?">TTS!$D$10:$D$39</definedName>
    <definedName name="XDO_?FINAL_ISIN?16?">TTS!$D$10:$D$80</definedName>
    <definedName name="XDO_?FINAL_ISIN?17?">TTS!$D$10:$D$84</definedName>
    <definedName name="XDO_?FINAL_MV?15?">TTS!$H$10:$H$39</definedName>
    <definedName name="XDO_?FINAL_MV?16?">TTS!$H$10:$H$80</definedName>
    <definedName name="XDO_?FINAL_MV?17?">TTS!$H$10:$H$84</definedName>
    <definedName name="XDO_?FINAL_NAME?15?">TTS!$C$10:$C$39</definedName>
    <definedName name="XDO_?FINAL_NAME?16?">TTS!$C$10:$C$80</definedName>
    <definedName name="XDO_?FINAL_NAME?17?">TTS!$C$10:$C$84</definedName>
    <definedName name="XDO_?FINAL_PER_NET?15?">TTS!$I$10:$I$39</definedName>
    <definedName name="XDO_?FINAL_PER_NET?16?">TTS!$I$10:$I$80</definedName>
    <definedName name="XDO_?FINAL_PER_NET?17?">TTS!$I$10:$I$84</definedName>
    <definedName name="XDO_?FINAL_QUANTITE?15?">TTS!$G$10:$G$39</definedName>
    <definedName name="XDO_?FINAL_QUANTITE?16?">TTS!$G$10:$G$80</definedName>
    <definedName name="XDO_?FINAL_QUANTITE?17?">TTS!$G$10:$G$84</definedName>
    <definedName name="XDO_?IND_01?15?">TTS!$F$10:$F$39</definedName>
    <definedName name="XDO_?IND_01?16?">TTS!$F$10:$F$80</definedName>
    <definedName name="XDO_?IND_01?17?">TTS!$F$10:$F$84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TTS!$C$2:$C$39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5?">TTS!$B$10:$B$39</definedName>
    <definedName name="XDO_?NOVAL?16?">TTS!$B$10:$B$80</definedName>
    <definedName name="XDO_?NOVAL?17?">TTS!$B$10:$B$84</definedName>
    <definedName name="XDO_?NPTF?7?">TTS!$D$2:$D$39</definedName>
    <definedName name="XDO_?RATING?15?">TTS!$E$10:$E$39</definedName>
    <definedName name="XDO_?RATING?16?">TTS!$E$10:$E$80</definedName>
    <definedName name="XDO_?RATING?17?">TTS!$E$10:$E$84</definedName>
    <definedName name="XDO_?REMARKS?15?">TTS!$J$10:$J$39</definedName>
    <definedName name="XDO_?REMARKS?16?">TTS!$J$10:$J$80</definedName>
    <definedName name="XDO_?REMARKS?17?">TTS!$J$10:$J$84</definedName>
    <definedName name="XDO_?TITL?7?">TTS!$A$8:$A$39</definedName>
    <definedName name="XDO_GROUP_?G_2?7?">TTS!$2:$87</definedName>
    <definedName name="XDO_GROUP_?G_3?7?">TTS!$8:$86</definedName>
    <definedName name="XDO_GROUP_?G_4?15?">TTS!$B$10:$IV$39</definedName>
    <definedName name="XDO_GROUP_?G_4?16?">TTS!$B$80:$IV$80</definedName>
    <definedName name="XDO_GROUP_?G_4?17?">TTS!$B$84:$IV$84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" i="1" l="1"/>
</calcChain>
</file>

<file path=xl/sharedStrings.xml><?xml version="1.0" encoding="utf-8"?>
<sst xmlns="http://schemas.openxmlformats.org/spreadsheetml/2006/main" count="235" uniqueCount="172">
  <si>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</si>
  <si>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</si>
  <si>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</si>
  <si>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</si>
  <si>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</si>
  <si>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</si>
  <si>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</si>
  <si>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</si>
  <si>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</si>
  <si>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</si>
  <si>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</si>
  <si>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</si>
  <si>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</si>
  <si>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</si>
  <si>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</si>
  <si>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</si>
  <si>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</si>
  <si>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</si>
  <si>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</si>
  <si>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</si>
  <si>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</si>
  <si>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</si>
  <si>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</si>
  <si>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100045</t>
  </si>
  <si>
    <t>Gujarat Pipavav Port Ltd.</t>
  </si>
  <si>
    <t>INE517F01014</t>
  </si>
  <si>
    <t>Transport Infrastructure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</si>
  <si>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</si>
  <si>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</si>
  <si>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</si>
  <si>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</si>
  <si>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</si>
  <si>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</si>
  <si>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</si>
  <si>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100024</t>
  </si>
  <si>
    <t>Axis Bank Ltd.</t>
  </si>
  <si>
    <t>INE238A01034</t>
  </si>
  <si>
    <t>100097</t>
  </si>
  <si>
    <t>Coal India Ltd.</t>
  </si>
  <si>
    <t>INE522F01014</t>
  </si>
  <si>
    <t>Consumable Fuels</t>
  </si>
  <si>
    <t>100019</t>
  </si>
  <si>
    <t>ITC Ltd.</t>
  </si>
  <si>
    <t>INE154A01025</t>
  </si>
  <si>
    <t>Diversified FMCG</t>
  </si>
  <si>
    <t>100474</t>
  </si>
  <si>
    <t>Narayana Hrudayalaya Ltd.</t>
  </si>
  <si>
    <t>INE410P01011</t>
  </si>
  <si>
    <t>Healthcare Services</t>
  </si>
  <si>
    <t>100147</t>
  </si>
  <si>
    <t>Tech Mahindra Ltd.</t>
  </si>
  <si>
    <t>INE669C01036</t>
  </si>
  <si>
    <t>100003</t>
  </si>
  <si>
    <t>Infosys Ltd.</t>
  </si>
  <si>
    <t>INE009A01021</t>
  </si>
  <si>
    <t>100292</t>
  </si>
  <si>
    <t>Steel Authority of India Ltd.</t>
  </si>
  <si>
    <t>INE114A01011</t>
  </si>
  <si>
    <t>Ferrous Metals</t>
  </si>
  <si>
    <t>100035</t>
  </si>
  <si>
    <t>NMDC Ltd.</t>
  </si>
  <si>
    <t>INE584A01023</t>
  </si>
  <si>
    <t>Minerals &amp; Mining</t>
  </si>
  <si>
    <t>100172</t>
  </si>
  <si>
    <t>ACC Ltd.</t>
  </si>
  <si>
    <t>INE012A01025</t>
  </si>
  <si>
    <t>Cement &amp; Cement Products</t>
  </si>
  <si>
    <t>100153</t>
  </si>
  <si>
    <t>Cipla Ltd.</t>
  </si>
  <si>
    <t>INE059A01026</t>
  </si>
  <si>
    <t>Pharmaceuticals &amp; Biotechnology</t>
  </si>
  <si>
    <t>101181</t>
  </si>
  <si>
    <t>UTI Asset Management Co. Ltd.</t>
  </si>
  <si>
    <t>INE094J01016</t>
  </si>
  <si>
    <t>Capital Markets</t>
  </si>
  <si>
    <t>101178</t>
  </si>
  <si>
    <t>Computer Age Management Services Ltd.</t>
  </si>
  <si>
    <t>INE596I01012</t>
  </si>
  <si>
    <t>100219</t>
  </si>
  <si>
    <t>Indraprastha Gas Ltd.</t>
  </si>
  <si>
    <t>INE203G01027</t>
  </si>
  <si>
    <t>Gas</t>
  </si>
  <si>
    <t>100342</t>
  </si>
  <si>
    <t>Vardhman Textiles Ltd.</t>
  </si>
  <si>
    <t>INE825A01020</t>
  </si>
  <si>
    <t>Textiles &amp; Apparels</t>
  </si>
  <si>
    <t>100118</t>
  </si>
  <si>
    <t>Tata Chemicals Ltd.</t>
  </si>
  <si>
    <t>INE092A01019</t>
  </si>
  <si>
    <t>Chemicals &amp; Petrochemicals</t>
  </si>
  <si>
    <t>100080</t>
  </si>
  <si>
    <t>Dr. Reddy's Laboratories Ltd.</t>
  </si>
  <si>
    <t>INE089A01023</t>
  </si>
  <si>
    <t>100263</t>
  </si>
  <si>
    <t>BEML Ltd.</t>
  </si>
  <si>
    <t>INE258A01016</t>
  </si>
  <si>
    <t>Agricultural, Commercial &amp; Construction Vehicles</t>
  </si>
  <si>
    <t>101434</t>
  </si>
  <si>
    <t>CMS Info Systems Ltd.</t>
  </si>
  <si>
    <t>INE925R01014</t>
  </si>
  <si>
    <t>Commercial Services &amp; Supplies</t>
  </si>
  <si>
    <t>100155</t>
  </si>
  <si>
    <t>Divi's Laboratories Ltd.</t>
  </si>
  <si>
    <t>INE361B01024</t>
  </si>
  <si>
    <t>100811</t>
  </si>
  <si>
    <t>NOCIL Ltd.</t>
  </si>
  <si>
    <t>INE163A01018</t>
  </si>
  <si>
    <t>100096</t>
  </si>
  <si>
    <t>Container Corporation of India Ltd.</t>
  </si>
  <si>
    <t>INE111A01025</t>
  </si>
  <si>
    <t>Transport Services</t>
  </si>
  <si>
    <t>100280</t>
  </si>
  <si>
    <t>TVS Motor Company Ltd.</t>
  </si>
  <si>
    <t>INE494B01023</t>
  </si>
  <si>
    <t>Automobiles</t>
  </si>
  <si>
    <t>101967</t>
  </si>
  <si>
    <t>Globus Spirits Ltd.</t>
  </si>
  <si>
    <t>INE615I01010</t>
  </si>
  <si>
    <t>Beverages</t>
  </si>
  <si>
    <t>101949</t>
  </si>
  <si>
    <t>Samhi Hotels Ltd.</t>
  </si>
  <si>
    <t>INE08U801020</t>
  </si>
  <si>
    <t>Leisure Services</t>
  </si>
  <si>
    <t>101214</t>
  </si>
  <si>
    <t>Antony Waste Handling Cell Ltd.</t>
  </si>
  <si>
    <t>INE01BK01022</t>
  </si>
  <si>
    <t>Other Utilities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</si>
  <si>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</si>
  <si>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</si>
  <si>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</si>
  <si>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</si>
  <si>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</si>
  <si>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</si>
  <si>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</si>
  <si>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</si>
  <si>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</si>
  <si>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</si>
  <si>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</si>
  <si>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</si>
  <si>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</si>
  <si>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</si>
  <si>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</si>
  <si>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</si>
  <si>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</si>
  <si>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</si>
  <si>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</si>
  <si>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</si>
  <si>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</si>
  <si>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</si>
  <si>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205240100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</si>
  <si>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</si>
  <si>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</si>
  <si>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</si>
  <si>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</si>
  <si>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</si>
  <si>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</si>
  <si>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</si>
  <si>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</si>
  <si>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</si>
  <si>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</si>
  <si>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</si>
  <si>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</si>
  <si>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</si>
  <si>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</si>
  <si>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</si>
  <si>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</si>
  <si>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</si>
  <si>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</si>
  <si>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</si>
  <si>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April 30, 2024 : 165.30)</t>
  </si>
  <si>
    <t>Taurus Elss Tax Saver Fund - Direct Plan Growth Option</t>
  </si>
  <si>
    <t>NAV [Rs.] Per Unit (as on April 30, 2024 : 178.88)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</si>
</sst>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9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A0B47020-BD35-49C7-846E-498CA7636B7F}"/>
    <cellStyle name="Hyperlink" xfId="2" builtinId="8"/>
    <cellStyle name="Normal" xfId="0" builtinId="0"/>
    <cellStyle name="Normal 2" xfId="4" xr:uid="{078D76AA-1BAD-4F59-8DE7-6BEE48320EE9}"/>
    <cellStyle name="Style 1" xfId="3" xr:uid="{FD0CCB19-D029-4986-9A05-2336C0A7BA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629708</xdr:colOff>
      <xdr:row>0</xdr:row>
      <xdr:rowOff>1924050</xdr:rowOff>
    </xdr:to>
    <xdr:pic>
      <xdr:nvPicPr>
        <xdr:cNvPr id="2" name="Picture 1" descr="Tax Prodcut label - 9th Dec 2022.jpg">
          <a:extLst>
            <a:ext uri="{FF2B5EF4-FFF2-40B4-BE49-F238E27FC236}">
              <a16:creationId xmlns:a16="http://schemas.microsoft.com/office/drawing/2014/main" id="{E1D2BBB7-DF7F-4837-B11B-0EB7CDAA3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381875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Apr_2024\Client%20Report\TMF_Monthly_Portfolio_Report_April%2024.xls" TargetMode="External"/><Relationship Id="rId1" Type="http://schemas.openxmlformats.org/officeDocument/2006/relationships/externalLinkPath" Target="file:///Q:\5.TMF\Reporting\Monthly%20Reports\Monthly%20Portfolio\2024-25\Apr_2024\Client%20Report\TMF_Monthly_Portfolio_Report_April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FBFE-901A-45CF-9ADE-1A3CD54FCC21}">
  <dimension ref="A1:BB93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45412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46969</v>
      </c>
      <c r="H10" s="32">
        <v>712.54</v>
      </c>
      <c r="I10" s="32">
        <v>9.4700000000000006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45743</v>
      </c>
      <c r="H11" s="32">
        <v>625.55999999999995</v>
      </c>
      <c r="I11" s="32">
        <v>8.32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212124</v>
      </c>
      <c r="H12" s="32">
        <v>447.79</v>
      </c>
      <c r="I12" s="32">
        <v>5.95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5200</v>
      </c>
      <c r="H13" s="32">
        <v>422.13</v>
      </c>
      <c r="I13" s="32">
        <v>5.61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36000</v>
      </c>
      <c r="H14" s="32">
        <v>414.74</v>
      </c>
      <c r="I14" s="32">
        <v>5.51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18</v>
      </c>
      <c r="G15" s="31">
        <v>35000</v>
      </c>
      <c r="H15" s="32">
        <v>408.15</v>
      </c>
      <c r="I15" s="32">
        <v>5.43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80000</v>
      </c>
      <c r="H16" s="32">
        <v>363.44</v>
      </c>
      <c r="I16" s="32">
        <v>4.83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80000</v>
      </c>
      <c r="H17" s="32">
        <v>348.48</v>
      </c>
      <c r="I17" s="32">
        <v>4.63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25000</v>
      </c>
      <c r="H18" s="32">
        <v>321.58</v>
      </c>
      <c r="I18" s="32">
        <v>4.28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22</v>
      </c>
      <c r="G19" s="31">
        <v>22792</v>
      </c>
      <c r="H19" s="32">
        <v>287.62</v>
      </c>
      <c r="I19" s="32">
        <v>3.82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22</v>
      </c>
      <c r="G20" s="31">
        <v>18107</v>
      </c>
      <c r="H20" s="32">
        <v>257.32</v>
      </c>
      <c r="I20" s="32">
        <v>3.42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150110</v>
      </c>
      <c r="H21" s="32">
        <v>246.56</v>
      </c>
      <c r="I21" s="32">
        <v>3.28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85000</v>
      </c>
      <c r="H22" s="32">
        <v>216.16</v>
      </c>
      <c r="I22" s="32">
        <v>2.87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8139</v>
      </c>
      <c r="H23" s="32">
        <v>206.02</v>
      </c>
      <c r="I23" s="32">
        <v>2.74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13798</v>
      </c>
      <c r="H24" s="32">
        <v>193.34</v>
      </c>
      <c r="I24" s="32">
        <v>2.57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19180</v>
      </c>
      <c r="H25" s="32">
        <v>182.49</v>
      </c>
      <c r="I25" s="32">
        <v>2.4300000000000002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74</v>
      </c>
      <c r="G26" s="31">
        <v>5500</v>
      </c>
      <c r="H26" s="32">
        <v>176.24</v>
      </c>
      <c r="I26" s="32">
        <v>2.34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31476</v>
      </c>
      <c r="H27" s="32">
        <v>147.75</v>
      </c>
      <c r="I27" s="32">
        <v>1.96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30000</v>
      </c>
      <c r="H28" s="32">
        <v>133.58000000000001</v>
      </c>
      <c r="I28" s="32">
        <v>1.78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12146</v>
      </c>
      <c r="H29" s="32">
        <v>130.24</v>
      </c>
      <c r="I29" s="32">
        <v>1.73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70</v>
      </c>
      <c r="G30" s="31">
        <v>2087</v>
      </c>
      <c r="H30" s="32">
        <v>129.5</v>
      </c>
      <c r="I30" s="32">
        <v>1.72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3289</v>
      </c>
      <c r="H31" s="32">
        <v>115.31</v>
      </c>
      <c r="I31" s="32">
        <v>1.53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27480</v>
      </c>
      <c r="H32" s="32">
        <v>114.3</v>
      </c>
      <c r="I32" s="32">
        <v>1.52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70</v>
      </c>
      <c r="G33" s="31">
        <v>2780</v>
      </c>
      <c r="H33" s="32">
        <v>111.2</v>
      </c>
      <c r="I33" s="32">
        <v>1.48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89</v>
      </c>
      <c r="G34" s="31">
        <v>38665</v>
      </c>
      <c r="H34" s="32">
        <v>104.16</v>
      </c>
      <c r="I34" s="32">
        <v>1.38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9000</v>
      </c>
      <c r="H35" s="32">
        <v>92.53</v>
      </c>
      <c r="I35" s="32">
        <v>1.23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4068</v>
      </c>
      <c r="H36" s="32">
        <v>83.88</v>
      </c>
      <c r="I36" s="32">
        <v>1.1200000000000001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9499</v>
      </c>
      <c r="H37" s="32">
        <v>74.97</v>
      </c>
      <c r="I37" s="32">
        <v>1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122</v>
      </c>
      <c r="G38" s="31">
        <v>18867</v>
      </c>
      <c r="H38" s="32">
        <v>36.81</v>
      </c>
      <c r="I38" s="32">
        <v>0.49</v>
      </c>
      <c r="J38" s="33"/>
    </row>
    <row r="39" spans="2:10" x14ac:dyDescent="0.25">
      <c r="B39" s="1" t="s">
        <v>123</v>
      </c>
      <c r="C39" s="20" t="s">
        <v>124</v>
      </c>
      <c r="D39" s="29" t="s">
        <v>125</v>
      </c>
      <c r="E39" s="30"/>
      <c r="F39" s="30" t="s">
        <v>126</v>
      </c>
      <c r="G39" s="31">
        <v>4330</v>
      </c>
      <c r="H39" s="32">
        <v>22.04</v>
      </c>
      <c r="I39" s="32">
        <v>0.28999999999999998</v>
      </c>
      <c r="J39" s="33"/>
    </row>
    <row r="40" spans="2:10" x14ac:dyDescent="0.25">
      <c r="C40" s="28" t="s">
        <v>127</v>
      </c>
      <c r="D40" s="29"/>
      <c r="E40" s="30"/>
      <c r="F40" s="30"/>
      <c r="G40" s="31"/>
      <c r="H40" s="35">
        <v>7126.43</v>
      </c>
      <c r="I40" s="35">
        <v>94.73</v>
      </c>
      <c r="J40" s="33"/>
    </row>
    <row r="41" spans="2:10" x14ac:dyDescent="0.25">
      <c r="C41" s="20"/>
      <c r="D41" s="29"/>
      <c r="E41" s="30"/>
      <c r="F41" s="30"/>
      <c r="G41" s="31"/>
      <c r="H41" s="32"/>
      <c r="I41" s="32"/>
      <c r="J41" s="33"/>
    </row>
    <row r="42" spans="2:10" x14ac:dyDescent="0.25">
      <c r="C42" s="28" t="s">
        <v>128</v>
      </c>
      <c r="D42" s="29"/>
      <c r="E42" s="30"/>
      <c r="F42" s="30"/>
      <c r="G42" s="31"/>
      <c r="H42" s="32" t="s">
        <v>129</v>
      </c>
      <c r="I42" s="32" t="s">
        <v>129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130</v>
      </c>
      <c r="D44" s="29"/>
      <c r="E44" s="30"/>
      <c r="F44" s="30"/>
      <c r="G44" s="31"/>
      <c r="H44" s="32" t="s">
        <v>129</v>
      </c>
      <c r="I44" s="32" t="s">
        <v>129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131</v>
      </c>
      <c r="D46" s="29"/>
      <c r="E46" s="30"/>
      <c r="F46" s="30"/>
      <c r="G46" s="31"/>
      <c r="H46" s="32"/>
      <c r="I46" s="32"/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132</v>
      </c>
      <c r="D48" s="29"/>
      <c r="E48" s="30"/>
      <c r="F48" s="30"/>
      <c r="G48" s="31"/>
      <c r="H48" s="32" t="s">
        <v>129</v>
      </c>
      <c r="I48" s="32" t="s">
        <v>129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133</v>
      </c>
      <c r="D50" s="29"/>
      <c r="E50" s="30"/>
      <c r="F50" s="30"/>
      <c r="G50" s="31"/>
      <c r="H50" s="32" t="s">
        <v>129</v>
      </c>
      <c r="I50" s="32" t="s">
        <v>129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134</v>
      </c>
      <c r="D52" s="29"/>
      <c r="E52" s="30"/>
      <c r="F52" s="30"/>
      <c r="G52" s="31"/>
      <c r="H52" s="32" t="s">
        <v>129</v>
      </c>
      <c r="I52" s="32" t="s">
        <v>129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135</v>
      </c>
      <c r="D54" s="29"/>
      <c r="E54" s="30"/>
      <c r="F54" s="30"/>
      <c r="G54" s="31"/>
      <c r="H54" s="32" t="s">
        <v>129</v>
      </c>
      <c r="I54" s="32" t="s">
        <v>129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136</v>
      </c>
      <c r="D56" s="29"/>
      <c r="E56" s="30"/>
      <c r="F56" s="30"/>
      <c r="G56" s="31"/>
      <c r="H56" s="32" t="s">
        <v>129</v>
      </c>
      <c r="I56" s="32" t="s">
        <v>129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137</v>
      </c>
      <c r="D58" s="29"/>
      <c r="E58" s="30"/>
      <c r="F58" s="30"/>
      <c r="G58" s="31"/>
      <c r="H58" s="32"/>
      <c r="I58" s="32"/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138</v>
      </c>
      <c r="D60" s="29"/>
      <c r="E60" s="30"/>
      <c r="F60" s="30"/>
      <c r="G60" s="31"/>
      <c r="H60" s="32" t="s">
        <v>129</v>
      </c>
      <c r="I60" s="32" t="s">
        <v>129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139</v>
      </c>
      <c r="D62" s="29"/>
      <c r="E62" s="30"/>
      <c r="F62" s="30"/>
      <c r="G62" s="31"/>
      <c r="H62" s="32" t="s">
        <v>129</v>
      </c>
      <c r="I62" s="32" t="s">
        <v>129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140</v>
      </c>
      <c r="D64" s="29"/>
      <c r="E64" s="30"/>
      <c r="F64" s="30"/>
      <c r="G64" s="31"/>
      <c r="H64" s="32" t="s">
        <v>129</v>
      </c>
      <c r="I64" s="32" t="s">
        <v>129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141</v>
      </c>
      <c r="D66" s="29"/>
      <c r="E66" s="30"/>
      <c r="F66" s="30"/>
      <c r="G66" s="31"/>
      <c r="H66" s="32" t="s">
        <v>129</v>
      </c>
      <c r="I66" s="32" t="s">
        <v>129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A68" s="26"/>
      <c r="B68" s="27"/>
      <c r="C68" s="28" t="s">
        <v>142</v>
      </c>
      <c r="D68" s="29"/>
      <c r="E68" s="30"/>
      <c r="F68" s="30"/>
      <c r="G68" s="31"/>
      <c r="H68" s="32"/>
      <c r="I68" s="32"/>
      <c r="J68" s="33"/>
    </row>
    <row r="69" spans="1:10" x14ac:dyDescent="0.25">
      <c r="A69" s="27"/>
      <c r="B69" s="27"/>
      <c r="C69" s="28" t="s">
        <v>143</v>
      </c>
      <c r="D69" s="29"/>
      <c r="E69" s="30"/>
      <c r="F69" s="30"/>
      <c r="G69" s="31"/>
      <c r="H69" s="32" t="s">
        <v>129</v>
      </c>
      <c r="I69" s="32" t="s">
        <v>129</v>
      </c>
      <c r="J69" s="33"/>
    </row>
    <row r="70" spans="1:10" x14ac:dyDescent="0.25">
      <c r="A70" s="27"/>
      <c r="B70" s="27"/>
      <c r="C70" s="28"/>
      <c r="D70" s="29"/>
      <c r="E70" s="30"/>
      <c r="F70" s="30"/>
      <c r="G70" s="31"/>
      <c r="H70" s="32"/>
      <c r="I70" s="32"/>
      <c r="J70" s="33"/>
    </row>
    <row r="71" spans="1:10" x14ac:dyDescent="0.25">
      <c r="A71" s="27"/>
      <c r="B71" s="27"/>
      <c r="C71" s="28" t="s">
        <v>144</v>
      </c>
      <c r="D71" s="29"/>
      <c r="E71" s="30"/>
      <c r="F71" s="30"/>
      <c r="G71" s="31"/>
      <c r="H71" s="32" t="s">
        <v>129</v>
      </c>
      <c r="I71" s="32" t="s">
        <v>129</v>
      </c>
      <c r="J71" s="33"/>
    </row>
    <row r="72" spans="1:10" x14ac:dyDescent="0.25">
      <c r="A72" s="27"/>
      <c r="B72" s="27"/>
      <c r="C72" s="28"/>
      <c r="D72" s="29"/>
      <c r="E72" s="30"/>
      <c r="F72" s="30"/>
      <c r="G72" s="31"/>
      <c r="H72" s="32"/>
      <c r="I72" s="32"/>
      <c r="J72" s="33"/>
    </row>
    <row r="73" spans="1:10" x14ac:dyDescent="0.25">
      <c r="A73" s="27"/>
      <c r="B73" s="27"/>
      <c r="C73" s="28" t="s">
        <v>145</v>
      </c>
      <c r="D73" s="29"/>
      <c r="E73" s="30"/>
      <c r="F73" s="30"/>
      <c r="G73" s="31"/>
      <c r="H73" s="32" t="s">
        <v>129</v>
      </c>
      <c r="I73" s="32" t="s">
        <v>129</v>
      </c>
      <c r="J73" s="33"/>
    </row>
    <row r="74" spans="1:10" x14ac:dyDescent="0.25">
      <c r="A74" s="27"/>
      <c r="B74" s="27"/>
      <c r="C74" s="28"/>
      <c r="D74" s="29"/>
      <c r="E74" s="30"/>
      <c r="F74" s="30"/>
      <c r="G74" s="31"/>
      <c r="H74" s="32"/>
      <c r="I74" s="32"/>
      <c r="J74" s="33"/>
    </row>
    <row r="75" spans="1:10" x14ac:dyDescent="0.25">
      <c r="A75" s="27"/>
      <c r="B75" s="27"/>
      <c r="C75" s="28" t="s">
        <v>146</v>
      </c>
      <c r="D75" s="29"/>
      <c r="E75" s="30"/>
      <c r="F75" s="30"/>
      <c r="G75" s="31"/>
      <c r="H75" s="32" t="s">
        <v>129</v>
      </c>
      <c r="I75" s="32" t="s">
        <v>129</v>
      </c>
      <c r="J75" s="33"/>
    </row>
    <row r="76" spans="1:10" x14ac:dyDescent="0.25">
      <c r="A76" s="27"/>
      <c r="B76" s="27"/>
      <c r="C76" s="28"/>
      <c r="D76" s="29"/>
      <c r="E76" s="30"/>
      <c r="F76" s="30"/>
      <c r="G76" s="31"/>
      <c r="H76" s="32"/>
      <c r="I76" s="32"/>
      <c r="J76" s="33"/>
    </row>
    <row r="77" spans="1:10" x14ac:dyDescent="0.25">
      <c r="A77" s="27"/>
      <c r="B77" s="27"/>
      <c r="C77" s="28" t="s">
        <v>147</v>
      </c>
      <c r="D77" s="29"/>
      <c r="E77" s="30"/>
      <c r="F77" s="30"/>
      <c r="G77" s="31"/>
      <c r="H77" s="32" t="s">
        <v>129</v>
      </c>
      <c r="I77" s="32" t="s">
        <v>129</v>
      </c>
      <c r="J77" s="33"/>
    </row>
    <row r="78" spans="1:10" x14ac:dyDescent="0.25">
      <c r="A78" s="27"/>
      <c r="B78" s="27"/>
      <c r="C78" s="28"/>
      <c r="D78" s="29"/>
      <c r="E78" s="30"/>
      <c r="F78" s="30"/>
      <c r="G78" s="31"/>
      <c r="H78" s="32"/>
      <c r="I78" s="32"/>
      <c r="J78" s="33"/>
    </row>
    <row r="79" spans="1:10" x14ac:dyDescent="0.25">
      <c r="C79" s="34" t="s">
        <v>148</v>
      </c>
      <c r="D79" s="29"/>
      <c r="E79" s="30"/>
      <c r="F79" s="30"/>
      <c r="G79" s="31"/>
      <c r="H79" s="32"/>
      <c r="I79" s="32"/>
      <c r="J79" s="33"/>
    </row>
    <row r="80" spans="1:10" x14ac:dyDescent="0.25">
      <c r="B80" s="1" t="s">
        <v>149</v>
      </c>
      <c r="C80" s="20" t="s">
        <v>150</v>
      </c>
      <c r="D80" s="29"/>
      <c r="E80" s="30"/>
      <c r="F80" s="30"/>
      <c r="G80" s="31"/>
      <c r="H80" s="32">
        <v>84.98</v>
      </c>
      <c r="I80" s="32">
        <v>1.1299999999999999</v>
      </c>
      <c r="J80" s="33"/>
    </row>
    <row r="81" spans="1:10" x14ac:dyDescent="0.25">
      <c r="C81" s="28" t="s">
        <v>127</v>
      </c>
      <c r="D81" s="29"/>
      <c r="E81" s="30"/>
      <c r="F81" s="30"/>
      <c r="G81" s="31"/>
      <c r="H81" s="35">
        <v>84.98</v>
      </c>
      <c r="I81" s="35">
        <v>1.1299999999999999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A83" s="26"/>
      <c r="B83" s="27"/>
      <c r="C83" s="28" t="s">
        <v>151</v>
      </c>
      <c r="D83" s="29"/>
      <c r="E83" s="30"/>
      <c r="F83" s="30"/>
      <c r="G83" s="31"/>
      <c r="H83" s="32"/>
      <c r="I83" s="32"/>
      <c r="J83" s="33"/>
    </row>
    <row r="84" spans="1:10" x14ac:dyDescent="0.25">
      <c r="B84" s="1"/>
      <c r="C84" s="20" t="s">
        <v>152</v>
      </c>
      <c r="D84" s="29"/>
      <c r="E84" s="30"/>
      <c r="F84" s="30"/>
      <c r="G84" s="31"/>
      <c r="H84" s="32">
        <v>309.95</v>
      </c>
      <c r="I84" s="32">
        <v>4.1399999999999997</v>
      </c>
      <c r="J84" s="33"/>
    </row>
    <row r="85" spans="1:10" x14ac:dyDescent="0.25">
      <c r="C85" s="28" t="s">
        <v>127</v>
      </c>
      <c r="D85" s="29"/>
      <c r="E85" s="30"/>
      <c r="F85" s="30"/>
      <c r="G85" s="31"/>
      <c r="H85" s="35">
        <v>309.95</v>
      </c>
      <c r="I85" s="35">
        <v>4.1399999999999997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ht="14.25" thickBot="1" x14ac:dyDescent="0.3">
      <c r="C87" s="36" t="s">
        <v>153</v>
      </c>
      <c r="D87" s="37"/>
      <c r="E87" s="38"/>
      <c r="F87" s="39"/>
      <c r="G87" s="40"/>
      <c r="H87" s="41">
        <v>7521.36</v>
      </c>
      <c r="I87" s="41">
        <f>SUMIFS(I:I,C:C,"Total")</f>
        <v>100</v>
      </c>
      <c r="J87" s="42"/>
    </row>
    <row r="90" spans="1:10" x14ac:dyDescent="0.25">
      <c r="C90" s="11" t="s">
        <v>154</v>
      </c>
    </row>
    <row r="91" spans="1:10" x14ac:dyDescent="0.25">
      <c r="C91" s="2" t="s">
        <v>155</v>
      </c>
    </row>
    <row r="92" spans="1:10" x14ac:dyDescent="0.25">
      <c r="C92" s="2" t="s">
        <v>156</v>
      </c>
    </row>
    <row r="93" spans="1:10" x14ac:dyDescent="0.25">
      <c r="C93" s="2" t="s">
        <v>157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FDB31-A783-4C87-B68E-0E8BFCDAC005}">
  <dimension ref="B3:J17"/>
  <sheetViews>
    <sheetView workbookViewId="0"/>
  </sheetViews>
  <sheetFormatPr defaultRowHeight="15" x14ac:dyDescent="0.25"/>
  <cols>
    <col min="2" max="2" width="47.140625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.5703125" bestFit="1" customWidth="1"/>
  </cols>
  <sheetData>
    <row r="3" spans="2:10" ht="15.75" x14ac:dyDescent="0.25">
      <c r="B3" s="43" t="s">
        <v>158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159</v>
      </c>
      <c r="C4" s="46" t="s">
        <v>160</v>
      </c>
      <c r="D4" s="46"/>
      <c r="E4" s="46" t="s">
        <v>161</v>
      </c>
      <c r="F4" s="46"/>
      <c r="G4" s="46" t="s">
        <v>162</v>
      </c>
      <c r="H4" s="46"/>
      <c r="I4" s="46" t="s">
        <v>163</v>
      </c>
      <c r="J4" s="46"/>
    </row>
    <row r="5" spans="2:10" ht="63.75" x14ac:dyDescent="0.25">
      <c r="B5" s="47"/>
      <c r="C5" s="48" t="s">
        <v>164</v>
      </c>
      <c r="D5" s="48" t="s">
        <v>165</v>
      </c>
      <c r="E5" s="48" t="s">
        <v>164</v>
      </c>
      <c r="F5" s="48" t="s">
        <v>165</v>
      </c>
      <c r="G5" s="48" t="s">
        <v>164</v>
      </c>
      <c r="H5" s="48" t="s">
        <v>165</v>
      </c>
      <c r="I5" s="48" t="s">
        <v>164</v>
      </c>
      <c r="J5" s="48" t="s">
        <v>165</v>
      </c>
    </row>
    <row r="6" spans="2:10" x14ac:dyDescent="0.25">
      <c r="B6" s="49" t="s">
        <v>166</v>
      </c>
      <c r="C6" s="50">
        <v>36.186431826937302</v>
      </c>
      <c r="D6" s="50">
        <v>13653.258445527383</v>
      </c>
      <c r="E6" s="50">
        <v>19.680682092821101</v>
      </c>
      <c r="F6" s="50">
        <v>17150.861174517537</v>
      </c>
      <c r="G6" s="50">
        <v>15.776588623584242</v>
      </c>
      <c r="H6" s="50">
        <v>20818.639798488664</v>
      </c>
      <c r="I6" s="50">
        <v>12.151405181636799</v>
      </c>
      <c r="J6" s="50">
        <v>165300</v>
      </c>
    </row>
    <row r="7" spans="2:10" x14ac:dyDescent="0.25">
      <c r="B7" s="49" t="s">
        <v>167</v>
      </c>
      <c r="C7" s="50">
        <v>38.256449727238092</v>
      </c>
      <c r="D7" s="50">
        <v>13825.644972723809</v>
      </c>
      <c r="E7" s="50">
        <v>20.44269084121111</v>
      </c>
      <c r="F7" s="50">
        <v>17471.948821618589</v>
      </c>
      <c r="G7" s="50">
        <v>18.194109109630485</v>
      </c>
      <c r="H7" s="50">
        <v>23066.364866870492</v>
      </c>
      <c r="I7" s="50">
        <v>0</v>
      </c>
      <c r="J7" s="50">
        <v>0</v>
      </c>
    </row>
    <row r="8" spans="2:10" x14ac:dyDescent="0.25">
      <c r="B8" s="49" t="s">
        <v>168</v>
      </c>
      <c r="C8" s="50">
        <v>26.269918639546354</v>
      </c>
      <c r="D8" s="50">
        <v>12626.991863954636</v>
      </c>
      <c r="E8" s="50">
        <v>16.918958875763913</v>
      </c>
      <c r="F8" s="50">
        <v>15982.871888687458</v>
      </c>
      <c r="G8" s="50">
        <v>15.298230905326005</v>
      </c>
      <c r="H8" s="50">
        <v>20375.731937849556</v>
      </c>
      <c r="I8" s="50">
        <v>13.115149803983739</v>
      </c>
      <c r="J8" s="50">
        <v>319158.99855054216</v>
      </c>
    </row>
    <row r="9" spans="2:10" x14ac:dyDescent="0.25">
      <c r="B9" s="49" t="s">
        <v>169</v>
      </c>
      <c r="C9" s="51">
        <v>121.07</v>
      </c>
      <c r="D9" s="52"/>
      <c r="E9" s="51">
        <v>96.38</v>
      </c>
      <c r="F9" s="52"/>
      <c r="G9" s="51">
        <v>79.400000000000006</v>
      </c>
      <c r="H9" s="52"/>
      <c r="I9" s="51">
        <v>10</v>
      </c>
      <c r="J9" s="52"/>
    </row>
    <row r="11" spans="2:10" ht="15.75" x14ac:dyDescent="0.25">
      <c r="B11" s="43" t="s">
        <v>170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159</v>
      </c>
      <c r="C12" s="46" t="s">
        <v>160</v>
      </c>
      <c r="D12" s="46"/>
      <c r="E12" s="46" t="s">
        <v>161</v>
      </c>
      <c r="F12" s="46"/>
      <c r="G12" s="46" t="s">
        <v>162</v>
      </c>
      <c r="H12" s="46"/>
      <c r="I12" s="46" t="s">
        <v>163</v>
      </c>
      <c r="J12" s="46"/>
    </row>
    <row r="13" spans="2:10" ht="63.75" x14ac:dyDescent="0.25">
      <c r="B13" s="47"/>
      <c r="C13" s="48" t="s">
        <v>164</v>
      </c>
      <c r="D13" s="48" t="s">
        <v>165</v>
      </c>
      <c r="E13" s="48" t="s">
        <v>164</v>
      </c>
      <c r="F13" s="48" t="s">
        <v>165</v>
      </c>
      <c r="G13" s="48" t="s">
        <v>164</v>
      </c>
      <c r="H13" s="48" t="s">
        <v>165</v>
      </c>
      <c r="I13" s="48" t="s">
        <v>164</v>
      </c>
      <c r="J13" s="48" t="s">
        <v>165</v>
      </c>
    </row>
    <row r="14" spans="2:10" x14ac:dyDescent="0.25">
      <c r="B14" s="49" t="s">
        <v>166</v>
      </c>
      <c r="C14" s="50">
        <v>37.085542467766651</v>
      </c>
      <c r="D14" s="50">
        <v>13744.141375336148</v>
      </c>
      <c r="E14" s="50">
        <v>20.505116429611526</v>
      </c>
      <c r="F14" s="50">
        <v>17508.074777331898</v>
      </c>
      <c r="G14" s="50">
        <v>16.588332951201345</v>
      </c>
      <c r="H14" s="50">
        <v>21559.599855369412</v>
      </c>
      <c r="I14" s="50">
        <v>14.463885318657033</v>
      </c>
      <c r="J14" s="50">
        <v>46234.169035926592</v>
      </c>
    </row>
    <row r="15" spans="2:10" x14ac:dyDescent="0.25">
      <c r="B15" s="49" t="s">
        <v>167</v>
      </c>
      <c r="C15" s="50">
        <v>38.256449727238092</v>
      </c>
      <c r="D15" s="50">
        <v>13825.644972723809</v>
      </c>
      <c r="E15" s="50">
        <v>20.44269084121111</v>
      </c>
      <c r="F15" s="50">
        <v>17471.948821618589</v>
      </c>
      <c r="G15" s="50">
        <v>18.194109109630485</v>
      </c>
      <c r="H15" s="50">
        <v>23066.364866870492</v>
      </c>
      <c r="I15" s="50">
        <v>15.294140986976522</v>
      </c>
      <c r="J15" s="50">
        <v>50180.903268235823</v>
      </c>
    </row>
    <row r="16" spans="2:10" x14ac:dyDescent="0.25">
      <c r="B16" s="49" t="s">
        <v>168</v>
      </c>
      <c r="C16" s="50">
        <v>26.269918639546354</v>
      </c>
      <c r="D16" s="50">
        <v>12626.991863954636</v>
      </c>
      <c r="E16" s="50">
        <v>16.918958875763913</v>
      </c>
      <c r="F16" s="50">
        <v>15982.871888687458</v>
      </c>
      <c r="G16" s="50">
        <v>15.298230905326005</v>
      </c>
      <c r="H16" s="50">
        <v>20375.731937849556</v>
      </c>
      <c r="I16" s="50">
        <v>13.848519147077187</v>
      </c>
      <c r="J16" s="50">
        <v>43493.913070755807</v>
      </c>
    </row>
    <row r="17" spans="2:10" x14ac:dyDescent="0.25">
      <c r="B17" s="49" t="s">
        <v>171</v>
      </c>
      <c r="C17" s="51">
        <v>130.15</v>
      </c>
      <c r="D17" s="52"/>
      <c r="E17" s="51">
        <v>102.17</v>
      </c>
      <c r="F17" s="52"/>
      <c r="G17" s="51">
        <v>82.97</v>
      </c>
      <c r="H17" s="52"/>
      <c r="I17" s="51">
        <v>38.69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</vt:lpstr>
      <vt:lpstr>TTS Performance</vt:lpstr>
      <vt:lpstr>XDO_?CLASS_3?7?</vt:lpstr>
      <vt:lpstr>XDO_?FINAL_ISIN?15?</vt:lpstr>
      <vt:lpstr>XDO_?FINAL_ISIN?16?</vt:lpstr>
      <vt:lpstr>XDO_?FINAL_ISIN?17?</vt:lpstr>
      <vt:lpstr>XDO_?FINAL_MV?15?</vt:lpstr>
      <vt:lpstr>XDO_?FINAL_MV?16?</vt:lpstr>
      <vt:lpstr>XDO_?FINAL_MV?17?</vt:lpstr>
      <vt:lpstr>XDO_?FINAL_NAME?15?</vt:lpstr>
      <vt:lpstr>XDO_?FINAL_NAME?16?</vt:lpstr>
      <vt:lpstr>XDO_?FINAL_NAME?17?</vt:lpstr>
      <vt:lpstr>XDO_?FINAL_PER_NET?15?</vt:lpstr>
      <vt:lpstr>XDO_?FINAL_PER_NET?16?</vt:lpstr>
      <vt:lpstr>XDO_?FINAL_PER_NET?17?</vt:lpstr>
      <vt:lpstr>XDO_?FINAL_QUANTITE?15?</vt:lpstr>
      <vt:lpstr>XDO_?FINAL_QUANTITE?16?</vt:lpstr>
      <vt:lpstr>XDO_?FINAL_QUANTITE?17?</vt:lpstr>
      <vt:lpstr>XDO_?IND_01?15?</vt:lpstr>
      <vt:lpstr>XDO_?IND_01?16?</vt:lpstr>
      <vt:lpstr>XDO_?IND_01?17?</vt:lpstr>
      <vt:lpstr>XDO_?NAMCNAME?7?</vt:lpstr>
      <vt:lpstr>XDO_?NOVAL?15?</vt:lpstr>
      <vt:lpstr>XDO_?NOVAL?16?</vt:lpstr>
      <vt:lpstr>XDO_?NOVAL?17?</vt:lpstr>
      <vt:lpstr>XDO_?NPTF?7?</vt:lpstr>
      <vt:lpstr>XDO_?RATING?15?</vt:lpstr>
      <vt:lpstr>XDO_?RATING?16?</vt:lpstr>
      <vt:lpstr>XDO_?RATING?17?</vt:lpstr>
      <vt:lpstr>XDO_?REMARKS?15?</vt:lpstr>
      <vt:lpstr>XDO_?REMARKS?16?</vt:lpstr>
      <vt:lpstr>XDO_?REMARKS?17?</vt:lpstr>
      <vt:lpstr>XDO_?TITL?7?</vt:lpstr>
      <vt:lpstr>XDO_GROUP_?G_2?7?</vt:lpstr>
      <vt:lpstr>XDO_GROUP_?G_3?7?</vt:lpstr>
      <vt:lpstr>XDO_GROUP_?G_4?15?</vt:lpstr>
      <vt:lpstr>XDO_GROUP_?G_4?16?</vt:lpstr>
      <vt:lpstr>XDO_GROUP_?G_4?17?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2024-05-01T12:52:04Z</dcterms:created>
  <dcterms:modified xsi:type="dcterms:W3CDTF">2024-05-07T03:46:44Z</dcterms:modified>
</cp:coreProperties>
</file>