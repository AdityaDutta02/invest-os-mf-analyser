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Monthly Portfolio\Ops\"/>
    </mc:Choice>
  </mc:AlternateContent>
  <xr:revisionPtr revIDLastSave="0" documentId="13_ncr:1_{BFAEBEDE-36F7-44A4-B8C9-7964BDE0643E}" xr6:coauthVersionLast="47" xr6:coauthVersionMax="47" xr10:uidLastSave="{00000000-0000-0000-0000-000000000000}"/>
  <bookViews>
    <workbookView xWindow="-120" yWindow="-120" windowWidth="20730" windowHeight="11040" activeTab="1" xr2:uid="{D021BC6F-4F6D-4288-A91D-D85477021454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TDF!$C$8:$C$46</definedName>
    <definedName name="XDO_?FINAL_ISIN?3?">TDF!$D$10:$D$46</definedName>
    <definedName name="XDO_?FINAL_ISIN?4?">TDF!$D$10:$D$90</definedName>
    <definedName name="XDO_?FINAL_MV?3?">TDF!$H$10:$H$46</definedName>
    <definedName name="XDO_?FINAL_MV?4?">TDF!$H$10:$H$90</definedName>
    <definedName name="XDO_?FINAL_NAME?3?">TDF!$C$10:$C$46</definedName>
    <definedName name="XDO_?FINAL_NAME?4?">TDF!$C$10:$C$90</definedName>
    <definedName name="XDO_?FINAL_PER_NET?3?">TDF!$I$10:$I$46</definedName>
    <definedName name="XDO_?FINAL_PER_NET?4?">TDF!$I$10:$I$90</definedName>
    <definedName name="XDO_?FINAL_QUANTITE?3?">TDF!$G$10:$G$46</definedName>
    <definedName name="XDO_?FINAL_QUANTITE?4?">TDF!$G$10:$G$90</definedName>
    <definedName name="XDO_?IND_01?3?">TDF!$F$10:$F$46</definedName>
    <definedName name="XDO_?IND_01?4?">TDF!$F$10:$F$90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TDF!$C$2:$C$46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TDF!$B$10:$B$46</definedName>
    <definedName name="XDO_?NOVAL?4?">TDF!$B$10:$B$90</definedName>
    <definedName name="XDO_?NPTF?2?">TDF!$D$2:$D$46</definedName>
    <definedName name="XDO_?RATING?3?">TDF!$E$10:$E$46</definedName>
    <definedName name="XDO_?RATING?4?">TDF!$E$10:$E$90</definedName>
    <definedName name="XDO_?REMARKS?3?">TDF!$J$10:$J$46</definedName>
    <definedName name="XDO_?REMARKS?4?">TDF!$J$10:$J$90</definedName>
    <definedName name="XDO_?TITL?2?">TDF!$A$8:$A$46</definedName>
    <definedName name="XDO_GROUP_?G_2?2?">TDF!$2:$93</definedName>
    <definedName name="XDO_GROUP_?G_3?2?">TDF!$8:$92</definedName>
    <definedName name="XDO_GROUP_?G_4?3?">TDF!$B$10:$IV$46</definedName>
    <definedName name="XDO_GROUP_?G_4?4?">TDF!$B$90:$IV$90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</calcChain>
</file>

<file path=xl/sharedStrings.xml><?xml version="1.0" encoding="utf-8"?>
<sst xmlns="http://schemas.openxmlformats.org/spreadsheetml/2006/main" count="292" uniqueCount="215">
  <si>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</si>
  <si>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</si>
  <si>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</si>
  <si>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</si>
  <si>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</si>
  <si>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</si>
  <si>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</si>
  <si>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</si>
  <si>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</si>
  <si>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</si>
  <si>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</si>
  <si>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</si>
  <si>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</si>
  <si>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</si>
  <si>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</si>
  <si>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101574</t>
  </si>
  <si>
    <t>Linde India Ltd.</t>
  </si>
  <si>
    <t>INE473A01011</t>
  </si>
  <si>
    <t>Chemicals &amp; Petrochemicals</t>
  </si>
  <si>
    <t>100201</t>
  </si>
  <si>
    <t>Aurobindo Pharma Ltd.</t>
  </si>
  <si>
    <t>INE406A01037</t>
  </si>
  <si>
    <t>Pharmaceuticals &amp; Biotechnology</t>
  </si>
  <si>
    <t>100026</t>
  </si>
  <si>
    <t>Persistent Systems Ltd.</t>
  </si>
  <si>
    <t>INE262H01021</t>
  </si>
  <si>
    <t>IT - Software</t>
  </si>
  <si>
    <t>100055</t>
  </si>
  <si>
    <t>The Federal Bank Ltd.</t>
  </si>
  <si>
    <t>INE171A01029</t>
  </si>
  <si>
    <t>Banks</t>
  </si>
  <si>
    <t>102663</t>
  </si>
  <si>
    <t>Pace Digitek Ltd.</t>
  </si>
  <si>
    <t>INE0S3G01027</t>
  </si>
  <si>
    <t>Telecom - Services</t>
  </si>
  <si>
    <t>100361</t>
  </si>
  <si>
    <t>Bank of India</t>
  </si>
  <si>
    <t>INE084A01016</t>
  </si>
  <si>
    <t>100234</t>
  </si>
  <si>
    <t>Coforge Ltd.</t>
  </si>
  <si>
    <t>INE591G01025</t>
  </si>
  <si>
    <t>100195</t>
  </si>
  <si>
    <t>REC Ltd.</t>
  </si>
  <si>
    <t>INE020B01018</t>
  </si>
  <si>
    <t>Finance</t>
  </si>
  <si>
    <t>100416</t>
  </si>
  <si>
    <t>GMR Airports Ltd.</t>
  </si>
  <si>
    <t>INE776C01039</t>
  </si>
  <si>
    <t>Transport Infrastructure</t>
  </si>
  <si>
    <t>100270</t>
  </si>
  <si>
    <t>PI Industries Ltd.</t>
  </si>
  <si>
    <t>INE603J01030</t>
  </si>
  <si>
    <t>Fertilizers &amp; Agrochemicals</t>
  </si>
  <si>
    <t>100164</t>
  </si>
  <si>
    <t>Petronet LNG Ltd.</t>
  </si>
  <si>
    <t>INE347G01014</t>
  </si>
  <si>
    <t>Gas</t>
  </si>
  <si>
    <t>100306</t>
  </si>
  <si>
    <t>Abbott India Ltd.</t>
  </si>
  <si>
    <t>INE358A01014</t>
  </si>
  <si>
    <t>100096</t>
  </si>
  <si>
    <t>Container Corporation of India Ltd.</t>
  </si>
  <si>
    <t>INE111A01025</t>
  </si>
  <si>
    <t>Transport Services</t>
  </si>
  <si>
    <t>100174</t>
  </si>
  <si>
    <t>Vodafone Idea Ltd.</t>
  </si>
  <si>
    <t>INE669E01016</t>
  </si>
  <si>
    <t>100694</t>
  </si>
  <si>
    <t>Indian Energy Exchange Ltd.</t>
  </si>
  <si>
    <t>INE022Q01020</t>
  </si>
  <si>
    <t>Capital Markets</t>
  </si>
  <si>
    <t>100677</t>
  </si>
  <si>
    <t>Dixon Technologies (India) Ltd.</t>
  </si>
  <si>
    <t>INE935N01020</t>
  </si>
  <si>
    <t>Consumer Durables</t>
  </si>
  <si>
    <t>102449</t>
  </si>
  <si>
    <t>Swiggy Ltd.</t>
  </si>
  <si>
    <t>INE00H001014</t>
  </si>
  <si>
    <t>Retailing</t>
  </si>
  <si>
    <t>100217</t>
  </si>
  <si>
    <t>Torrent Power Ltd.</t>
  </si>
  <si>
    <t>INE813H01021</t>
  </si>
  <si>
    <t>Power</t>
  </si>
  <si>
    <t>100060</t>
  </si>
  <si>
    <t>Deepak Nitrite Ltd.</t>
  </si>
  <si>
    <t>INE288B01029</t>
  </si>
  <si>
    <t>100088</t>
  </si>
  <si>
    <t>Bharat Heavy Electricals Ltd.</t>
  </si>
  <si>
    <t>INE257A01026</t>
  </si>
  <si>
    <t>Electrical Equipment</t>
  </si>
  <si>
    <t>102642</t>
  </si>
  <si>
    <t>Regaal Resources Ltd.</t>
  </si>
  <si>
    <t>INE0MHO01029</t>
  </si>
  <si>
    <t>Agricultural Food &amp; other Products</t>
  </si>
  <si>
    <t>100134</t>
  </si>
  <si>
    <t>Inox Wind Ltd.</t>
  </si>
  <si>
    <t>INE066P01011</t>
  </si>
  <si>
    <t>100461</t>
  </si>
  <si>
    <t>Astral Ltd.</t>
  </si>
  <si>
    <t>INE006I01046</t>
  </si>
  <si>
    <t>Industrial Products</t>
  </si>
  <si>
    <t>100367</t>
  </si>
  <si>
    <t>Exide Industries Ltd.</t>
  </si>
  <si>
    <t>INE302A01020</t>
  </si>
  <si>
    <t>Auto Components</t>
  </si>
  <si>
    <t>100565</t>
  </si>
  <si>
    <t>Glaxosmithkline Pharmaceuticals Ltd.</t>
  </si>
  <si>
    <t>INE159A01016</t>
  </si>
  <si>
    <t>101949</t>
  </si>
  <si>
    <t>Samhi Hotels Ltd.</t>
  </si>
  <si>
    <t>INE08U801020</t>
  </si>
  <si>
    <t>Leisure Services</t>
  </si>
  <si>
    <t>100154</t>
  </si>
  <si>
    <t>Colgate Palmolive (India) Ltd.</t>
  </si>
  <si>
    <t>INE259A01022</t>
  </si>
  <si>
    <t>Personal Products</t>
  </si>
  <si>
    <t>100271</t>
  </si>
  <si>
    <t>Balkrishna Industries Ltd.</t>
  </si>
  <si>
    <t>INE787D01026</t>
  </si>
  <si>
    <t>100814</t>
  </si>
  <si>
    <t>HDFC Asset Management Co. Ltd.</t>
  </si>
  <si>
    <t>INE127D01025</t>
  </si>
  <si>
    <t>100042</t>
  </si>
  <si>
    <t>LIC Housing Finance Ltd.</t>
  </si>
  <si>
    <t>INE115A01026</t>
  </si>
  <si>
    <t>101674</t>
  </si>
  <si>
    <t>Bharat Dynamics Ltd.</t>
  </si>
  <si>
    <t>INE171Z01026</t>
  </si>
  <si>
    <t>Aerospace &amp; Defense</t>
  </si>
  <si>
    <t>100029</t>
  </si>
  <si>
    <t>Mphasis Ltd.</t>
  </si>
  <si>
    <t>INE356A01018</t>
  </si>
  <si>
    <t>100144</t>
  </si>
  <si>
    <t>Voltas Ltd.</t>
  </si>
  <si>
    <t>INE226A01021</t>
  </si>
  <si>
    <t>100138</t>
  </si>
  <si>
    <t>PVR Inox Ltd.</t>
  </si>
  <si>
    <t>INE191H01014</t>
  </si>
  <si>
    <t>Entertainment</t>
  </si>
  <si>
    <t>100170</t>
  </si>
  <si>
    <t>Titagarh Rail Systems Ltd.</t>
  </si>
  <si>
    <t>INE615H01020</t>
  </si>
  <si>
    <t>Industrial Manufacturing</t>
  </si>
  <si>
    <t>101152</t>
  </si>
  <si>
    <t>Sumitomo Chemical India Ltd.</t>
  </si>
  <si>
    <t>INE258G01013</t>
  </si>
  <si>
    <t>102206</t>
  </si>
  <si>
    <t>Chemtech Industrial Valves Ltd.</t>
  </si>
  <si>
    <t>INE212P01011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</si>
  <si>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</si>
  <si>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</si>
  <si>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</si>
  <si>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</si>
  <si>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</si>
  <si>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</si>
  <si>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</si>
  <si>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</si>
  <si>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</si>
  <si>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</si>
  <si>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</si>
  <si>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</si>
  <si>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</si>
  <si>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</si>
  <si>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</si>
  <si>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</si>
  <si>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</si>
  <si>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</si>
  <si>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</si>
  <si>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</si>
  <si>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</si>
  <si>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</si>
  <si>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</si>
  <si>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</si>
  <si>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</si>
  <si>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</si>
  <si>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</si>
  <si>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</si>
  <si>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</si>
  <si>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</si>
  <si>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</si>
  <si>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</si>
  <si>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</si>
  <si>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</si>
  <si>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</si>
  <si>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2026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</si>
  <si>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</si>
  <si>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</si>
  <si>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</si>
  <si>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</si>
  <si>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</si>
  <si>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March 31, 2026.</t>
  </si>
  <si>
    <t>7. The Scheme did not declare any bonus during the month ended as on March 31, 2026.</t>
  </si>
  <si>
    <t>8. Total outstanding exposure in derivative instruments as on March 31, 2026 is Nil</t>
  </si>
  <si>
    <t>9. Total investments in Foreign Securities /ADRs/GDRs /Overseas ETFs as on March 31, 2026 and its percentage to NAV is Nil.</t>
  </si>
  <si>
    <t>10. During the period, the portfolio turnover ratio is 0.83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</si>
  <si>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</si>
  <si>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month ended as on March 31, 2026.</t>
  </si>
  <si>
    <t>12. The Scheme did not invest in credit default swaps during the month ended as on March 31, 2026.</t>
  </si>
  <si>
    <t>13. There are Nil instances of deviation from the valuation principles/guidelines during the month ended as on March 31st, 2026.</t>
  </si>
  <si>
    <t>Taurus Midcap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</si>
  <si>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</si>
  <si>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</si>
  <si>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</si>
  <si>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</si>
  <si>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</si>
  <si>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</si>
  <si>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</si>
  <si>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</si>
  <si>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</si>
  <si>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</si>
  <si>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</si>
  <si>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</si>
  <si>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March 30,2026 :102.41)</t>
  </si>
  <si>
    <t>Taurus Midcap Fund - Direct Plan Growth Option</t>
  </si>
  <si>
    <t>NAV [Rs.] Per Unit (as on March 30,2026 :108.46)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</si>
</sst>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4" fontId="3" fillId="0" borderId="0" xfId="1" applyNumberFormat="1" applyFont="1"/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4" fontId="3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A60C9CE6-761F-42DF-ACCF-42B02C1FE178}"/>
    <cellStyle name="Hyperlink" xfId="2" builtinId="8"/>
    <cellStyle name="Normal" xfId="0" builtinId="0"/>
    <cellStyle name="Normal 2" xfId="4" xr:uid="{43F0A7AB-B9E9-446F-B247-749B91CEC485}"/>
    <cellStyle name="Style 1" xfId="3" xr:uid="{070D20AE-098D-4BEF-A9D7-284A341192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148166</xdr:colOff>
      <xdr:row>0</xdr:row>
      <xdr:rowOff>31750</xdr:rowOff>
    </xdr:from>
    <xdr:to>
      <xdr:col>5</xdr:col>
      <xdr:colOff>466768</xdr:colOff>
      <xdr:row>0</xdr:row>
      <xdr:rowOff>1894416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51FA6-F285-4D33-8B9C-A96F1A654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6" y="31750"/>
          <a:ext cx="7240102" cy="1862666"/>
        </a:xfrm>
        <a:prstGeom prst="rect">
          <a:avLst/>
        </a:prstGeom>
      </xdr:spPr>
    </xdr:pic>
    <xdr:clientData/>
  </xdr:twoCellAnchor>
  <xdr:twoCellAnchor editAs="oneCell">
    <xdr:from>
      <xdr:col>0</xdr:col>
      <xdr:colOff>148165</xdr:colOff>
      <xdr:row>0</xdr:row>
      <xdr:rowOff>31750</xdr:rowOff>
    </xdr:from>
    <xdr:to>
      <xdr:col>5</xdr:col>
      <xdr:colOff>455082</xdr:colOff>
      <xdr:row>0</xdr:row>
      <xdr:rowOff>2043430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B547E-5937-424D-8817-D070415ED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5" y="31750"/>
          <a:ext cx="7228417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r_2026\Final\Monthly_Portfolio_Report_March%202026.xls" TargetMode="External"/><Relationship Id="rId1" Type="http://schemas.openxmlformats.org/officeDocument/2006/relationships/externalLinkPath" Target="file:///Q:\5.TMF\Reporting\Monthly%20Reports\Monthly%20Portfolio\2025-26\Mar_2026\Final\Month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2D36-E6DF-40E9-88FC-4D6CC59E8650}">
  <dimension ref="A1:BB119"/>
  <sheetViews>
    <sheetView showGridLines="0" zoomScale="90" zoomScaleNormal="90" workbookViewId="0">
      <selection activeCell="H1" sqref="H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10130</v>
      </c>
      <c r="H10" s="32">
        <v>689.7</v>
      </c>
      <c r="I10" s="32">
        <v>6.33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41000</v>
      </c>
      <c r="H11" s="32">
        <v>534.30999999999995</v>
      </c>
      <c r="I11" s="32">
        <v>4.9000000000000004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10000</v>
      </c>
      <c r="H12" s="32">
        <v>486.82</v>
      </c>
      <c r="I12" s="32">
        <v>4.47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183012</v>
      </c>
      <c r="H13" s="32">
        <v>474.64</v>
      </c>
      <c r="I13" s="32">
        <v>4.3600000000000003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299040</v>
      </c>
      <c r="H14" s="32">
        <v>421.2</v>
      </c>
      <c r="I14" s="32">
        <v>3.87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30</v>
      </c>
      <c r="G15" s="31">
        <v>300000</v>
      </c>
      <c r="H15" s="32">
        <v>411.15</v>
      </c>
      <c r="I15" s="32">
        <v>3.77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26</v>
      </c>
      <c r="G16" s="31">
        <v>36550</v>
      </c>
      <c r="H16" s="32">
        <v>407.4</v>
      </c>
      <c r="I16" s="32">
        <v>3.74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126000</v>
      </c>
      <c r="H17" s="32">
        <v>384.49</v>
      </c>
      <c r="I17" s="32">
        <v>3.53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450000</v>
      </c>
      <c r="H18" s="32">
        <v>381.15</v>
      </c>
      <c r="I18" s="32">
        <v>3.5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13500</v>
      </c>
      <c r="H19" s="32">
        <v>366.96</v>
      </c>
      <c r="I19" s="32">
        <v>3.37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140000</v>
      </c>
      <c r="H20" s="32">
        <v>347.69</v>
      </c>
      <c r="I20" s="32">
        <v>3.19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22</v>
      </c>
      <c r="G21" s="31">
        <v>1285</v>
      </c>
      <c r="H21" s="32">
        <v>333.11</v>
      </c>
      <c r="I21" s="32">
        <v>3.06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77500</v>
      </c>
      <c r="H22" s="32">
        <v>329.69</v>
      </c>
      <c r="I22" s="32">
        <v>3.03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34</v>
      </c>
      <c r="G23" s="31">
        <v>3621441</v>
      </c>
      <c r="H23" s="32">
        <v>308.91000000000003</v>
      </c>
      <c r="I23" s="32">
        <v>2.84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260000</v>
      </c>
      <c r="H24" s="32">
        <v>298.22000000000003</v>
      </c>
      <c r="I24" s="32">
        <v>2.74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2700</v>
      </c>
      <c r="H25" s="32">
        <v>261.08</v>
      </c>
      <c r="I25" s="32">
        <v>2.4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100000</v>
      </c>
      <c r="H26" s="32">
        <v>259.85000000000002</v>
      </c>
      <c r="I26" s="32">
        <v>2.39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19500</v>
      </c>
      <c r="H27" s="32">
        <v>254.72</v>
      </c>
      <c r="I27" s="32">
        <v>2.34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18</v>
      </c>
      <c r="G28" s="31">
        <v>19500</v>
      </c>
      <c r="H28" s="32">
        <v>251.05</v>
      </c>
      <c r="I28" s="32">
        <v>2.2999999999999998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100622</v>
      </c>
      <c r="H29" s="32">
        <v>247.08</v>
      </c>
      <c r="I29" s="32">
        <v>2.27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394280</v>
      </c>
      <c r="H30" s="32">
        <v>242.21</v>
      </c>
      <c r="I30" s="32">
        <v>2.2200000000000002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89</v>
      </c>
      <c r="G31" s="31">
        <v>311398</v>
      </c>
      <c r="H31" s="32">
        <v>234.86</v>
      </c>
      <c r="I31" s="32">
        <v>2.16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12958</v>
      </c>
      <c r="H32" s="32">
        <v>206.94</v>
      </c>
      <c r="I32" s="32">
        <v>1.9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68104</v>
      </c>
      <c r="H33" s="32">
        <v>196.14</v>
      </c>
      <c r="I33" s="32">
        <v>1.8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22</v>
      </c>
      <c r="G34" s="31">
        <v>7623</v>
      </c>
      <c r="H34" s="32">
        <v>174.06</v>
      </c>
      <c r="I34" s="32">
        <v>1.6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135000</v>
      </c>
      <c r="H35" s="32">
        <v>172.87</v>
      </c>
      <c r="I35" s="32">
        <v>1.59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9250</v>
      </c>
      <c r="H36" s="32">
        <v>165.49</v>
      </c>
      <c r="I36" s="32">
        <v>1.52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104</v>
      </c>
      <c r="G37" s="31">
        <v>7579</v>
      </c>
      <c r="H37" s="32">
        <v>157.84</v>
      </c>
      <c r="I37" s="32">
        <v>1.45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70</v>
      </c>
      <c r="G38" s="31">
        <v>6936</v>
      </c>
      <c r="H38" s="32">
        <v>153.75</v>
      </c>
      <c r="I38" s="32">
        <v>1.41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44</v>
      </c>
      <c r="G39" s="31">
        <v>26880</v>
      </c>
      <c r="H39" s="32">
        <v>133.11000000000001</v>
      </c>
      <c r="I39" s="32">
        <v>1.22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12000</v>
      </c>
      <c r="H40" s="32">
        <v>131.63</v>
      </c>
      <c r="I40" s="32">
        <v>1.21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26</v>
      </c>
      <c r="G41" s="31">
        <v>5250</v>
      </c>
      <c r="H41" s="32">
        <v>107.83</v>
      </c>
      <c r="I41" s="32">
        <v>0.99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74</v>
      </c>
      <c r="G42" s="31">
        <v>8000</v>
      </c>
      <c r="H42" s="32">
        <v>101.62</v>
      </c>
      <c r="I42" s="32">
        <v>0.93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11000</v>
      </c>
      <c r="H43" s="32">
        <v>101.06</v>
      </c>
      <c r="I43" s="32">
        <v>0.93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16400</v>
      </c>
      <c r="H44" s="32">
        <v>94.14</v>
      </c>
      <c r="I44" s="32">
        <v>0.86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52</v>
      </c>
      <c r="G45" s="31">
        <v>20000</v>
      </c>
      <c r="H45" s="32">
        <v>72.94</v>
      </c>
      <c r="I45" s="32">
        <v>0.67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142</v>
      </c>
      <c r="G46" s="31">
        <v>56210</v>
      </c>
      <c r="H46" s="32">
        <v>34.36</v>
      </c>
      <c r="I46" s="32">
        <v>0.32</v>
      </c>
      <c r="J46" s="33"/>
    </row>
    <row r="47" spans="2:10" x14ac:dyDescent="0.25">
      <c r="C47" s="28" t="s">
        <v>149</v>
      </c>
      <c r="D47" s="29"/>
      <c r="E47" s="30"/>
      <c r="F47" s="30"/>
      <c r="G47" s="31"/>
      <c r="H47" s="35">
        <v>9930.07</v>
      </c>
      <c r="I47" s="35">
        <v>91.18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150</v>
      </c>
      <c r="D49" s="29"/>
      <c r="E49" s="30"/>
      <c r="F49" s="30"/>
      <c r="G49" s="31"/>
      <c r="H49" s="32" t="s">
        <v>151</v>
      </c>
      <c r="I49" s="32" t="s">
        <v>151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152</v>
      </c>
      <c r="D51" s="29"/>
      <c r="E51" s="30"/>
      <c r="F51" s="30"/>
      <c r="G51" s="31"/>
      <c r="H51" s="32" t="s">
        <v>151</v>
      </c>
      <c r="I51" s="32" t="s">
        <v>151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153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154</v>
      </c>
      <c r="D55" s="29"/>
      <c r="E55" s="30"/>
      <c r="F55" s="30"/>
      <c r="G55" s="31"/>
      <c r="H55" s="32" t="s">
        <v>151</v>
      </c>
      <c r="I55" s="32" t="s">
        <v>151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155</v>
      </c>
      <c r="D57" s="29"/>
      <c r="E57" s="30"/>
      <c r="F57" s="30"/>
      <c r="G57" s="31"/>
      <c r="H57" s="32" t="s">
        <v>151</v>
      </c>
      <c r="I57" s="32" t="s">
        <v>151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156</v>
      </c>
      <c r="D59" s="29"/>
      <c r="E59" s="30"/>
      <c r="F59" s="30"/>
      <c r="G59" s="31"/>
      <c r="H59" s="32" t="s">
        <v>151</v>
      </c>
      <c r="I59" s="32" t="s">
        <v>151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157</v>
      </c>
      <c r="D61" s="29"/>
      <c r="E61" s="30"/>
      <c r="F61" s="30"/>
      <c r="G61" s="31"/>
      <c r="H61" s="32" t="s">
        <v>151</v>
      </c>
      <c r="I61" s="32" t="s">
        <v>151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158</v>
      </c>
      <c r="D63" s="29"/>
      <c r="E63" s="30"/>
      <c r="F63" s="30"/>
      <c r="G63" s="31"/>
      <c r="H63" s="32" t="s">
        <v>151</v>
      </c>
      <c r="I63" s="32" t="s">
        <v>151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159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160</v>
      </c>
      <c r="D67" s="29"/>
      <c r="E67" s="30"/>
      <c r="F67" s="30"/>
      <c r="G67" s="31"/>
      <c r="H67" s="32" t="s">
        <v>151</v>
      </c>
      <c r="I67" s="32" t="s">
        <v>151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161</v>
      </c>
      <c r="D69" s="29"/>
      <c r="E69" s="30"/>
      <c r="F69" s="30"/>
      <c r="G69" s="31"/>
      <c r="H69" s="32" t="s">
        <v>151</v>
      </c>
      <c r="I69" s="32" t="s">
        <v>151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162</v>
      </c>
      <c r="D71" s="29"/>
      <c r="E71" s="30"/>
      <c r="F71" s="30"/>
      <c r="G71" s="31"/>
      <c r="H71" s="32" t="s">
        <v>151</v>
      </c>
      <c r="I71" s="32" t="s">
        <v>151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163</v>
      </c>
      <c r="D73" s="29"/>
      <c r="E73" s="30"/>
      <c r="F73" s="30"/>
      <c r="G73" s="31"/>
      <c r="H73" s="32" t="s">
        <v>151</v>
      </c>
      <c r="I73" s="32" t="s">
        <v>151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164</v>
      </c>
      <c r="D75" s="29"/>
      <c r="E75" s="30"/>
      <c r="F75" s="30"/>
      <c r="G75" s="31"/>
      <c r="H75" s="32"/>
      <c r="I75" s="32"/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165</v>
      </c>
      <c r="D77" s="29"/>
      <c r="E77" s="30"/>
      <c r="F77" s="30"/>
      <c r="G77" s="31"/>
      <c r="H77" s="32" t="s">
        <v>151</v>
      </c>
      <c r="I77" s="32" t="s">
        <v>151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166</v>
      </c>
      <c r="D79" s="29"/>
      <c r="E79" s="30"/>
      <c r="F79" s="30"/>
      <c r="G79" s="31"/>
      <c r="H79" s="32" t="s">
        <v>151</v>
      </c>
      <c r="I79" s="32" t="s">
        <v>151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167</v>
      </c>
      <c r="D81" s="29"/>
      <c r="E81" s="30"/>
      <c r="F81" s="30"/>
      <c r="G81" s="31"/>
      <c r="H81" s="32" t="s">
        <v>151</v>
      </c>
      <c r="I81" s="32" t="s">
        <v>151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168</v>
      </c>
      <c r="D83" s="29"/>
      <c r="E83" s="30"/>
      <c r="F83" s="30"/>
      <c r="G83" s="31"/>
      <c r="H83" s="32" t="s">
        <v>151</v>
      </c>
      <c r="I83" s="32" t="s">
        <v>151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169</v>
      </c>
      <c r="D85" s="29"/>
      <c r="E85" s="30"/>
      <c r="F85" s="30"/>
      <c r="G85" s="31"/>
      <c r="H85" s="32" t="s">
        <v>151</v>
      </c>
      <c r="I85" s="32" t="s">
        <v>151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170</v>
      </c>
      <c r="D87" s="29"/>
      <c r="E87" s="30"/>
      <c r="F87" s="30"/>
      <c r="G87" s="31"/>
      <c r="H87" s="32" t="s">
        <v>151</v>
      </c>
      <c r="I87" s="32" t="s">
        <v>151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171</v>
      </c>
      <c r="D89" s="29"/>
      <c r="E89" s="30"/>
      <c r="F89" s="30"/>
      <c r="G89" s="31"/>
      <c r="H89" s="32"/>
      <c r="I89" s="32"/>
      <c r="J89" s="33"/>
    </row>
    <row r="90" spans="1:10" x14ac:dyDescent="0.25">
      <c r="B90" s="1"/>
      <c r="C90" s="20" t="s">
        <v>172</v>
      </c>
      <c r="D90" s="29"/>
      <c r="E90" s="30"/>
      <c r="F90" s="30"/>
      <c r="G90" s="31"/>
      <c r="H90" s="32">
        <v>964.74</v>
      </c>
      <c r="I90" s="32">
        <v>8.82</v>
      </c>
      <c r="J90" s="33"/>
    </row>
    <row r="91" spans="1:10" x14ac:dyDescent="0.25">
      <c r="C91" s="28" t="s">
        <v>149</v>
      </c>
      <c r="D91" s="29"/>
      <c r="E91" s="30"/>
      <c r="F91" s="30"/>
      <c r="G91" s="31"/>
      <c r="H91" s="35">
        <v>964.74</v>
      </c>
      <c r="I91" s="35">
        <v>8.82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ht="14.25" thickBot="1" x14ac:dyDescent="0.3">
      <c r="C93" s="36" t="s">
        <v>173</v>
      </c>
      <c r="D93" s="37"/>
      <c r="E93" s="38"/>
      <c r="F93" s="39"/>
      <c r="G93" s="40"/>
      <c r="H93" s="41">
        <v>10894.81</v>
      </c>
      <c r="I93" s="41">
        <f>SUMIFS(I:I,C:C,"Total")</f>
        <v>100</v>
      </c>
      <c r="J93" s="42"/>
    </row>
    <row r="94" spans="1:10" x14ac:dyDescent="0.25">
      <c r="H94" s="43"/>
    </row>
    <row r="96" spans="1:10" x14ac:dyDescent="0.25">
      <c r="C96" s="11" t="s">
        <v>174</v>
      </c>
    </row>
    <row r="97" spans="3:7" x14ac:dyDescent="0.25">
      <c r="C97" s="2" t="s">
        <v>175</v>
      </c>
    </row>
    <row r="98" spans="3:7" x14ac:dyDescent="0.25">
      <c r="C98" s="2" t="s">
        <v>176</v>
      </c>
    </row>
    <row r="99" spans="3:7" x14ac:dyDescent="0.25">
      <c r="C99" s="2" t="s">
        <v>177</v>
      </c>
    </row>
    <row r="100" spans="3:7" x14ac:dyDescent="0.25">
      <c r="C100" s="44" t="s">
        <v>178</v>
      </c>
    </row>
    <row r="101" spans="3:7" x14ac:dyDescent="0.25">
      <c r="C101" s="44" t="s">
        <v>179</v>
      </c>
    </row>
    <row r="102" spans="3:7" ht="14.25" thickBot="1" x14ac:dyDescent="0.3">
      <c r="C102" s="44" t="s">
        <v>180</v>
      </c>
    </row>
    <row r="103" spans="3:7" ht="14.25" thickBot="1" x14ac:dyDescent="0.3">
      <c r="C103" s="45"/>
      <c r="D103" s="63" t="s">
        <v>181</v>
      </c>
      <c r="E103" s="64"/>
    </row>
    <row r="104" spans="3:7" x14ac:dyDescent="0.25">
      <c r="C104" s="46" t="s">
        <v>182</v>
      </c>
      <c r="D104" s="47" t="s">
        <v>183</v>
      </c>
      <c r="E104" s="47" t="s">
        <v>183</v>
      </c>
    </row>
    <row r="105" spans="3:7" ht="14.25" thickBot="1" x14ac:dyDescent="0.3">
      <c r="C105" s="48"/>
      <c r="D105" s="49" t="s">
        <v>184</v>
      </c>
      <c r="E105" s="49" t="s">
        <v>185</v>
      </c>
    </row>
    <row r="106" spans="3:7" ht="14.25" thickBot="1" x14ac:dyDescent="0.3">
      <c r="C106" s="50" t="s">
        <v>186</v>
      </c>
      <c r="D106" s="51">
        <v>103.21</v>
      </c>
      <c r="E106" s="51">
        <v>91.28</v>
      </c>
      <c r="F106" s="52"/>
      <c r="G106" s="43"/>
    </row>
    <row r="107" spans="3:7" ht="14.25" thickBot="1" x14ac:dyDescent="0.3">
      <c r="C107" s="50" t="s">
        <v>187</v>
      </c>
      <c r="D107" s="51">
        <v>115.78</v>
      </c>
      <c r="E107" s="51">
        <v>102.4</v>
      </c>
      <c r="F107" s="52"/>
      <c r="G107" s="43"/>
    </row>
    <row r="108" spans="3:7" ht="14.25" thickBot="1" x14ac:dyDescent="0.3">
      <c r="C108" s="50" t="s">
        <v>188</v>
      </c>
      <c r="D108" s="51">
        <v>108.89</v>
      </c>
      <c r="E108" s="51">
        <v>96.34</v>
      </c>
      <c r="F108" s="52"/>
      <c r="G108" s="43"/>
    </row>
    <row r="109" spans="3:7" ht="14.25" thickBot="1" x14ac:dyDescent="0.3">
      <c r="C109" s="50" t="s">
        <v>189</v>
      </c>
      <c r="D109" s="51">
        <v>122.58</v>
      </c>
      <c r="E109" s="51">
        <v>108.45</v>
      </c>
      <c r="F109" s="52"/>
      <c r="G109" s="43"/>
    </row>
    <row r="110" spans="3:7" x14ac:dyDescent="0.25">
      <c r="C110" s="53"/>
      <c r="D110" s="53"/>
      <c r="E110" s="53"/>
    </row>
    <row r="111" spans="3:7" x14ac:dyDescent="0.25">
      <c r="C111" s="44" t="s">
        <v>190</v>
      </c>
      <c r="D111" s="44"/>
      <c r="E111" s="54"/>
    </row>
    <row r="112" spans="3:7" x14ac:dyDescent="0.25">
      <c r="C112" s="44" t="s">
        <v>191</v>
      </c>
      <c r="D112" s="44"/>
      <c r="E112" s="54"/>
    </row>
    <row r="113" spans="3:5" x14ac:dyDescent="0.25">
      <c r="C113" s="44" t="s">
        <v>192</v>
      </c>
      <c r="D113" s="44"/>
      <c r="E113" s="54"/>
    </row>
    <row r="114" spans="3:5" x14ac:dyDescent="0.25">
      <c r="C114" s="44" t="s">
        <v>193</v>
      </c>
      <c r="D114" s="44"/>
      <c r="E114" s="44"/>
    </row>
    <row r="115" spans="3:5" x14ac:dyDescent="0.25">
      <c r="C115" s="44" t="s">
        <v>194</v>
      </c>
      <c r="D115" s="53"/>
      <c r="E115" s="53"/>
    </row>
    <row r="116" spans="3:5" x14ac:dyDescent="0.25">
      <c r="C116" s="44" t="s">
        <v>195</v>
      </c>
      <c r="D116" s="44"/>
      <c r="E116" s="44"/>
    </row>
    <row r="117" spans="3:5" x14ac:dyDescent="0.25">
      <c r="C117" s="44" t="s">
        <v>196</v>
      </c>
      <c r="D117" s="44"/>
      <c r="E117" s="44"/>
    </row>
    <row r="118" spans="3:5" x14ac:dyDescent="0.25">
      <c r="C118" s="44" t="s">
        <v>197</v>
      </c>
      <c r="D118" s="44"/>
      <c r="E118" s="44"/>
    </row>
    <row r="119" spans="3:5" ht="15" x14ac:dyDescent="0.25">
      <c r="C119" s="44" t="s">
        <v>198</v>
      </c>
      <c r="D119"/>
      <c r="E119"/>
    </row>
  </sheetData>
  <mergeCells count="1">
    <mergeCell ref="D103:E10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70D1-F8AF-4355-9FEF-DF522326BDCE}">
  <dimension ref="C3:M17"/>
  <sheetViews>
    <sheetView tabSelected="1" topLeftCell="A8" workbookViewId="0">
      <selection activeCell="D14" sqref="D14"/>
    </sheetView>
  </sheetViews>
  <sheetFormatPr defaultRowHeight="15" x14ac:dyDescent="0.25"/>
  <cols>
    <col min="3" max="3" width="57.5703125" bestFit="1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5" t="s">
        <v>199</v>
      </c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3:13" x14ac:dyDescent="0.25">
      <c r="C4" s="57" t="s">
        <v>200</v>
      </c>
      <c r="D4" s="67" t="s">
        <v>201</v>
      </c>
      <c r="E4" s="67"/>
      <c r="F4" s="67" t="s">
        <v>202</v>
      </c>
      <c r="G4" s="67"/>
      <c r="H4" s="67" t="s">
        <v>203</v>
      </c>
      <c r="I4" s="67"/>
      <c r="J4" s="68" t="s">
        <v>204</v>
      </c>
      <c r="K4" s="69"/>
      <c r="L4" s="70" t="s">
        <v>205</v>
      </c>
      <c r="M4" s="70"/>
    </row>
    <row r="5" spans="3:13" ht="63.75" x14ac:dyDescent="0.25">
      <c r="C5" s="58"/>
      <c r="D5" s="59" t="s">
        <v>206</v>
      </c>
      <c r="E5" s="59" t="s">
        <v>207</v>
      </c>
      <c r="F5" s="59" t="s">
        <v>206</v>
      </c>
      <c r="G5" s="59" t="s">
        <v>207</v>
      </c>
      <c r="H5" s="59" t="s">
        <v>206</v>
      </c>
      <c r="I5" s="59" t="s">
        <v>207</v>
      </c>
      <c r="J5" s="59" t="s">
        <v>206</v>
      </c>
      <c r="K5" s="59" t="s">
        <v>207</v>
      </c>
      <c r="L5" s="60" t="s">
        <v>206</v>
      </c>
      <c r="M5" s="60" t="s">
        <v>207</v>
      </c>
    </row>
    <row r="6" spans="3:13" x14ac:dyDescent="0.25">
      <c r="C6" s="61" t="s">
        <v>208</v>
      </c>
      <c r="D6" s="62">
        <v>-4.8856897000000004</v>
      </c>
      <c r="E6" s="62">
        <v>9508.8207985143908</v>
      </c>
      <c r="F6" s="62">
        <v>12.914099999999999</v>
      </c>
      <c r="G6" s="62">
        <v>14405.682937121957</v>
      </c>
      <c r="H6" s="62">
        <v>11.0944</v>
      </c>
      <c r="I6" s="62">
        <v>16927.272727272728</v>
      </c>
      <c r="J6" s="62">
        <v>13.973100000000001</v>
      </c>
      <c r="K6" s="62">
        <v>37011.203469461507</v>
      </c>
      <c r="L6" s="62">
        <v>7.6432000000000002</v>
      </c>
      <c r="M6" s="62">
        <v>102410</v>
      </c>
    </row>
    <row r="7" spans="3:13" x14ac:dyDescent="0.25">
      <c r="C7" s="61" t="s">
        <v>209</v>
      </c>
      <c r="D7" s="62">
        <v>2.2599999999999998</v>
      </c>
      <c r="E7" s="62">
        <v>10226.900000000001</v>
      </c>
      <c r="F7" s="62">
        <v>20.660499999999999</v>
      </c>
      <c r="G7" s="62">
        <v>17566.909418398947</v>
      </c>
      <c r="H7" s="62">
        <v>17.579000000000001</v>
      </c>
      <c r="I7" s="62">
        <v>22472.366604513874</v>
      </c>
      <c r="J7" s="62">
        <v>17.6068</v>
      </c>
      <c r="K7" s="62">
        <v>22498.945639911606</v>
      </c>
      <c r="L7" s="62" t="s">
        <v>210</v>
      </c>
      <c r="M7" s="62" t="s">
        <v>210</v>
      </c>
    </row>
    <row r="8" spans="3:13" x14ac:dyDescent="0.25">
      <c r="C8" s="61" t="s">
        <v>211</v>
      </c>
      <c r="D8" s="62">
        <v>-3.99</v>
      </c>
      <c r="E8" s="62">
        <v>9601</v>
      </c>
      <c r="F8" s="62">
        <v>10.604200000000001</v>
      </c>
      <c r="G8" s="62">
        <v>13530.531495890262</v>
      </c>
      <c r="H8" s="62">
        <v>9.7759999999999998</v>
      </c>
      <c r="I8" s="62">
        <v>15941.787283973832</v>
      </c>
      <c r="J8" s="62">
        <v>12.539300000000001</v>
      </c>
      <c r="K8" s="62">
        <v>18051.822206086035</v>
      </c>
      <c r="L8" s="62">
        <v>10.709099999999999</v>
      </c>
      <c r="M8" s="62">
        <v>248649.54454697247</v>
      </c>
    </row>
    <row r="9" spans="3:13" x14ac:dyDescent="0.25">
      <c r="C9" s="61" t="s">
        <v>212</v>
      </c>
      <c r="D9" s="65">
        <v>107.7</v>
      </c>
      <c r="E9" s="66"/>
      <c r="F9" s="65">
        <v>71.09</v>
      </c>
      <c r="G9" s="66"/>
      <c r="H9" s="65">
        <v>60.5</v>
      </c>
      <c r="I9" s="66"/>
      <c r="J9" s="65">
        <v>27.67</v>
      </c>
      <c r="K9" s="66"/>
      <c r="L9" s="65">
        <v>10</v>
      </c>
      <c r="M9" s="66"/>
    </row>
    <row r="11" spans="3:13" ht="15.75" x14ac:dyDescent="0.25">
      <c r="C11" s="55" t="s">
        <v>213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3:13" x14ac:dyDescent="0.25">
      <c r="C12" s="57" t="s">
        <v>200</v>
      </c>
      <c r="D12" s="67" t="s">
        <v>201</v>
      </c>
      <c r="E12" s="67"/>
      <c r="F12" s="67" t="s">
        <v>202</v>
      </c>
      <c r="G12" s="67"/>
      <c r="H12" s="67" t="s">
        <v>203</v>
      </c>
      <c r="I12" s="67"/>
      <c r="J12" s="68" t="s">
        <v>204</v>
      </c>
      <c r="K12" s="69"/>
      <c r="L12" s="70" t="s">
        <v>205</v>
      </c>
      <c r="M12" s="70"/>
    </row>
    <row r="13" spans="3:13" ht="63.75" x14ac:dyDescent="0.25">
      <c r="C13" s="58"/>
      <c r="D13" s="59" t="s">
        <v>206</v>
      </c>
      <c r="E13" s="59" t="s">
        <v>207</v>
      </c>
      <c r="F13" s="59" t="s">
        <v>206</v>
      </c>
      <c r="G13" s="59" t="s">
        <v>207</v>
      </c>
      <c r="H13" s="59" t="s">
        <v>206</v>
      </c>
      <c r="I13" s="59" t="s">
        <v>207</v>
      </c>
      <c r="J13" s="59" t="s">
        <v>206</v>
      </c>
      <c r="K13" s="59" t="s">
        <v>207</v>
      </c>
      <c r="L13" s="60" t="s">
        <v>206</v>
      </c>
      <c r="M13" s="60" t="s">
        <v>207</v>
      </c>
    </row>
    <row r="14" spans="3:13" x14ac:dyDescent="0.25">
      <c r="C14" s="61" t="s">
        <v>208</v>
      </c>
      <c r="D14" s="62">
        <v>-4.4587310000000002</v>
      </c>
      <c r="E14" s="62">
        <v>9551.7393218846319</v>
      </c>
      <c r="F14" s="62">
        <v>13.3718</v>
      </c>
      <c r="G14" s="62">
        <v>14581.87684861522</v>
      </c>
      <c r="H14" s="62">
        <v>11.520099999999999</v>
      </c>
      <c r="I14" s="62">
        <v>17254.215717467385</v>
      </c>
      <c r="J14" s="62">
        <v>14.44</v>
      </c>
      <c r="K14" s="62">
        <v>38556.701030927834</v>
      </c>
      <c r="L14" s="62">
        <v>14.6122</v>
      </c>
      <c r="M14" s="62">
        <v>61242.236024844708</v>
      </c>
    </row>
    <row r="15" spans="3:13" x14ac:dyDescent="0.25">
      <c r="C15" s="61" t="s">
        <v>209</v>
      </c>
      <c r="D15" s="62">
        <v>2.2599999999999998</v>
      </c>
      <c r="E15" s="62">
        <v>10226.900000000001</v>
      </c>
      <c r="F15" s="62">
        <v>20.660499999999999</v>
      </c>
      <c r="G15" s="62">
        <v>17566.909418398947</v>
      </c>
      <c r="H15" s="62">
        <v>17.579000000000001</v>
      </c>
      <c r="I15" s="62">
        <v>22472.366604513874</v>
      </c>
      <c r="J15" s="62">
        <v>17.6068</v>
      </c>
      <c r="K15" s="62">
        <v>22498.945639911606</v>
      </c>
      <c r="L15" s="62">
        <v>17.152899999999999</v>
      </c>
      <c r="M15" s="62">
        <v>81422.113595154049</v>
      </c>
    </row>
    <row r="16" spans="3:13" x14ac:dyDescent="0.25">
      <c r="C16" s="61" t="s">
        <v>211</v>
      </c>
      <c r="D16" s="62">
        <v>-3.99</v>
      </c>
      <c r="E16" s="62">
        <v>9601</v>
      </c>
      <c r="F16" s="62">
        <v>10.604200000000001</v>
      </c>
      <c r="G16" s="62">
        <v>13530.531495890262</v>
      </c>
      <c r="H16" s="62">
        <v>9.7759999999999998</v>
      </c>
      <c r="I16" s="62">
        <v>15941.787283973832</v>
      </c>
      <c r="J16" s="62">
        <v>12.539300000000001</v>
      </c>
      <c r="K16" s="62">
        <v>18051.822206086035</v>
      </c>
      <c r="L16" s="62">
        <v>11.7723</v>
      </c>
      <c r="M16" s="62">
        <v>43677.971391376326</v>
      </c>
    </row>
    <row r="17" spans="3:13" x14ac:dyDescent="0.25">
      <c r="C17" s="61" t="s">
        <v>214</v>
      </c>
      <c r="D17" s="65">
        <v>113.55</v>
      </c>
      <c r="E17" s="66"/>
      <c r="F17" s="65">
        <v>74.38</v>
      </c>
      <c r="G17" s="66"/>
      <c r="H17" s="65">
        <v>62.86</v>
      </c>
      <c r="I17" s="66"/>
      <c r="J17" s="65">
        <v>28.13</v>
      </c>
      <c r="K17" s="66"/>
      <c r="L17" s="65">
        <v>17.71</v>
      </c>
      <c r="M17" s="66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Chandrakant Gajane</cp:lastModifiedBy>
  <dcterms:created xsi:type="dcterms:W3CDTF">2026-04-04T07:23:18Z</dcterms:created>
  <dcterms:modified xsi:type="dcterms:W3CDTF">2026-04-07T06:46:18Z</dcterms:modified>
</cp:coreProperties>
</file>