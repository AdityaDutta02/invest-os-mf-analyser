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Portfolio'!$C$8:$C$30</definedName>
    <definedName name="XDO_?FINAL_ISIN?1?">'TBFS - Risk-O-Meter &amp; Portfolio'!$D$10:$D$30</definedName>
    <definedName name="XDO_?FINAL_ISIN?2?">'TBFS - Risk-O-Meter &amp; Portfolio'!$D$10:$D$72</definedName>
    <definedName name="XDO_?FINAL_MV?1?">'TBFS - Risk-O-Meter &amp; Portfolio'!$H$10:$H$30</definedName>
    <definedName name="XDO_?FINAL_MV?2?">'TBFS - Risk-O-Meter &amp; Portfolio'!$H$10:$H$72</definedName>
    <definedName name="XDO_?FINAL_NAME?1?">'TBFS - Risk-O-Meter &amp; Portfolio'!$C$10:$C$30</definedName>
    <definedName name="XDO_?FINAL_NAME?2?">'TBFS - Risk-O-Meter &amp; Portfolio'!$C$10:$C$72</definedName>
    <definedName name="XDO_?FINAL_PER_NET?1?">'TBFS - Risk-O-Meter &amp; Portfolio'!$I$10:$I$30</definedName>
    <definedName name="XDO_?FINAL_PER_NET?2?">'TBFS - Risk-O-Meter &amp; Portfolio'!$I$10:$I$72</definedName>
    <definedName name="XDO_?FINAL_QUANTITE?1?">'TBFS - Risk-O-Meter &amp; Portfolio'!$G$10:$G$30</definedName>
    <definedName name="XDO_?FINAL_QUANTITE?2?">'TBFS - Risk-O-Meter &amp; Portfolio'!$G$10:$G$72</definedName>
    <definedName name="XDO_?IND_01?1?">'TBFS - Risk-O-Meter &amp; Portfolio'!$F$10:$F$30</definedName>
    <definedName name="XDO_?IND_01?2?">'TBFS - Risk-O-Meter &amp; Portfolio'!$F$10:$F$72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Portfolio'!$C$2:$C$30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Portfolio'!$B$10:$B$30</definedName>
    <definedName name="XDO_?NOVAL?2?">'TBFS - Risk-O-Meter &amp; Portfolio'!$B$10:$B$72</definedName>
    <definedName name="XDO_?NPTF?1?">'TBFS - Risk-O-Meter &amp; Portfolio'!$D$2:$D$30</definedName>
    <definedName name="XDO_?RATING?1?">'TBFS - Risk-O-Meter &amp; Portfolio'!$E$10:$E$30</definedName>
    <definedName name="XDO_?RATING?2?">'TBFS - Risk-O-Meter &amp; Portfolio'!$E$10:$E$72</definedName>
    <definedName name="XDO_?REMARKS?1?">'TBFS - Risk-O-Meter &amp; Portfolio'!$J$10:$J$30</definedName>
    <definedName name="XDO_?REMARKS?2?">'TBFS - Risk-O-Meter &amp; Portfolio'!$J$10:$J$72</definedName>
    <definedName name="XDO_?TITL?1?">'TBFS - Risk-O-Meter &amp; Portfolio'!$A$8:$A$30</definedName>
    <definedName name="XDO_GROUP_?G_2?1?">'TBFS - Risk-O-Meter &amp; Portfolio'!$2:$75</definedName>
    <definedName name="XDO_GROUP_?G_3?1?">'TBFS - Risk-O-Meter &amp; Portfolio'!$8:$74</definedName>
    <definedName name="XDO_GROUP_?G_4?1?">'TBFS - Risk-O-Meter &amp; Portfolio'!$B$10:$IV$30</definedName>
    <definedName name="XDO_GROUP_?G_4?2?">'TBFS - Risk-O-Meter &amp; Portfolio'!$B$72:$IV$72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5" i="1"/>
</calcChain>
</file>

<file path=xl/sharedStrings.xml><?xml version="1.0" encoding="utf-8"?>
<sst xmlns="http://schemas.openxmlformats.org/spreadsheetml/2006/main" count="196" uniqueCount="125">
  <si>
    <t>TAURUS MUTUAL FUND</t>
  </si>
  <si>
    <t>TBFS</t>
  </si>
  <si>
    <t>Back to Index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</si>
  <si>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</si>
  <si>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</si>
  <si>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</si>
  <si>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</si>
  <si>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</si>
  <si>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</si>
  <si>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</si>
  <si>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</si>
  <si>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</si>
  <si>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</si>
  <si>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</si>
  <si>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</si>
  <si>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</si>
  <si>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</si>
  <si>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</si>
  <si>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</si>
  <si>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</si>
  <si>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100104</t>
  </si>
  <si>
    <t>Kotak Mahindra Bank Ltd.</t>
  </si>
  <si>
    <t>INE237A01028</t>
  </si>
  <si>
    <t>100006</t>
  </si>
  <si>
    <t>HDFC Bank Ltd.</t>
  </si>
  <si>
    <t>INE040A01034</t>
  </si>
  <si>
    <t>100010</t>
  </si>
  <si>
    <t>State Bank of India</t>
  </si>
  <si>
    <t>INE062A01020</t>
  </si>
  <si>
    <t>100125</t>
  </si>
  <si>
    <t>Bajaj Finance Ltd.</t>
  </si>
  <si>
    <t>INE296A01024</t>
  </si>
  <si>
    <t>Finance</t>
  </si>
  <si>
    <t>100024</t>
  </si>
  <si>
    <t>Axis Bank Ltd.</t>
  </si>
  <si>
    <t>INE238A01034</t>
  </si>
  <si>
    <t>100235</t>
  </si>
  <si>
    <t>CRISIL Ltd.</t>
  </si>
  <si>
    <t>INE007A01025</t>
  </si>
  <si>
    <t>100001</t>
  </si>
  <si>
    <t>Housing Development Finance Corporation Ltd.</t>
  </si>
  <si>
    <t>INE001A01036</t>
  </si>
  <si>
    <t>100399</t>
  </si>
  <si>
    <t>Cholamandalam Investment &amp; Finance Co. Ltd.</t>
  </si>
  <si>
    <t>INE121A01024</t>
  </si>
  <si>
    <t>100665</t>
  </si>
  <si>
    <t>Aditya Birla Capital Ltd.</t>
  </si>
  <si>
    <t>INE674K01013</t>
  </si>
  <si>
    <t>100148</t>
  </si>
  <si>
    <t>Motilal Oswal Financial Services Ltd.</t>
  </si>
  <si>
    <t>INE338I01027</t>
  </si>
  <si>
    <t>Capital Markets</t>
  </si>
  <si>
    <t>100013</t>
  </si>
  <si>
    <t>IndusInd Bank Ltd.</t>
  </si>
  <si>
    <t>INE095A01012</t>
  </si>
  <si>
    <t>100774</t>
  </si>
  <si>
    <t>ICICI Securities Ltd.</t>
  </si>
  <si>
    <t>INE763G01038</t>
  </si>
  <si>
    <t>100380</t>
  </si>
  <si>
    <t>Bajaj Finserv Ltd.</t>
  </si>
  <si>
    <t>INE918I01018</t>
  </si>
  <si>
    <t>Insurance</t>
  </si>
  <si>
    <t>100505</t>
  </si>
  <si>
    <t>ICICI Prudential Life Insurance Company Ltd.</t>
  </si>
  <si>
    <t>INE726G01019</t>
  </si>
  <si>
    <t>100116</t>
  </si>
  <si>
    <t>Sundaram Finance Ltd.</t>
  </si>
  <si>
    <t>INE660A01013</t>
  </si>
  <si>
    <t>100122</t>
  </si>
  <si>
    <t>Union Bank of India</t>
  </si>
  <si>
    <t>INE692A01016</t>
  </si>
  <si>
    <t>100785</t>
  </si>
  <si>
    <t>Indostar Capital Finance Ltd.</t>
  </si>
  <si>
    <t>INE896L01010</t>
  </si>
  <si>
    <t>100231</t>
  </si>
  <si>
    <t>Muthoot Finance Ltd.</t>
  </si>
  <si>
    <t>INE414G01012</t>
  </si>
  <si>
    <t>100036</t>
  </si>
  <si>
    <t>Mahindra &amp; Mahindra Financial Services Ltd.</t>
  </si>
  <si>
    <t>INE774D01024</t>
  </si>
  <si>
    <t>100092</t>
  </si>
  <si>
    <t>Bank of Baroda</t>
  </si>
  <si>
    <t>INE028A01039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</si>
  <si>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</si>
  <si>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</si>
  <si>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</si>
  <si>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</si>
  <si>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</si>
  <si>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</si>
  <si>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</si>
  <si>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</si>
  <si>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</si>
  <si>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</si>
  <si>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</si>
  <si>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</si>
  <si>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</si>
  <si>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</si>
  <si>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</si>
  <si>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</si>
  <si>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</si>
  <si>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</si>
  <si>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</si>
  <si>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</si>
  <si>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</si>
  <si>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</si>
  <si>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</si>
  <si>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</si>
  <si>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</si>
  <si>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</si>
  <si>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</si>
  <si>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</si>
  <si>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</si>
  <si>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</si>
  <si>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</si>
  <si>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</si>
  <si>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</si>
  <si>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</si>
  <si>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</si>
  <si>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</si>
  <si>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</si>
  <si>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</si>
  <si>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</si>
  <si>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March 31, 2022 : 33.43)</t>
  </si>
  <si>
    <t>Taurus Banking &amp; Financial Services Fund - Direct Plan Growth Option</t>
  </si>
  <si>
    <t>NAV [Rs.] Per Unit (as on March 31, 2022 : 36.42)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</si>
</sst>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rch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1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 t="s">
        <v>2</v>
      </c>
    </row>
    <row r="3" spans="1:54" ht="15">
      <c r="C3" s="11" t="s">
        <v>3</v>
      </c>
      <c r="D3" s="12" t="s">
        <v>4</v>
      </c>
    </row>
    <row r="4" spans="1:54" ht="13.8">
      <c r="C4" s="11" t="s">
        <v>5</v>
      </c>
      <c r="D4" s="13">
        <v>44651</v>
      </c>
    </row>
    <row r="5" spans="1:54" ht="13.8" thickBot="1">
      <c r="C5" s="11"/>
    </row>
    <row r="6" spans="1:54" ht="26.4">
      <c r="C6" s="14" t="s">
        <v>6</v>
      </c>
      <c r="D6" s="15" t="s">
        <v>7</v>
      </c>
      <c r="E6" s="16" t="s">
        <v>8</v>
      </c>
      <c r="F6" s="16" t="s">
        <v>9</v>
      </c>
      <c r="G6" s="17" t="s">
        <v>10</v>
      </c>
      <c r="H6" s="18" t="s">
        <v>11</v>
      </c>
      <c r="I6" s="18" t="s">
        <v>12</v>
      </c>
      <c r="J6" s="19" t="s">
        <v>13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14</v>
      </c>
      <c r="D8" s="29"/>
      <c r="E8" s="30"/>
      <c r="F8" s="30"/>
      <c r="G8" s="31"/>
      <c r="H8" s="32"/>
      <c r="I8" s="32"/>
      <c r="J8" s="33"/>
    </row>
    <row r="9" spans="1:54">
      <c r="C9" s="34" t="s">
        <v>15</v>
      </c>
      <c r="D9" s="29"/>
      <c r="E9" s="30"/>
      <c r="F9" s="30"/>
      <c r="G9" s="31"/>
      <c r="H9" s="32"/>
      <c r="I9" s="32"/>
      <c r="J9" s="33"/>
    </row>
    <row r="10" spans="1:54">
      <c r="B10" s="1" t="s">
        <v>16</v>
      </c>
      <c r="C10" s="20" t="s">
        <v>17</v>
      </c>
      <c r="D10" s="29" t="s">
        <v>18</v>
      </c>
      <c r="E10" s="30"/>
      <c r="F10" s="30" t="s">
        <v>19</v>
      </c>
      <c r="G10" s="31">
        <v>25189</v>
      </c>
      <c r="H10" s="32">
        <v>183.94</v>
      </c>
      <c r="I10" s="32">
        <v>21.32</v>
      </c>
      <c r="J10" s="33"/>
    </row>
    <row r="11" spans="1:54">
      <c r="B11" s="1" t="s">
        <v>20</v>
      </c>
      <c r="C11" s="20" t="s">
        <v>21</v>
      </c>
      <c r="D11" s="29" t="s">
        <v>22</v>
      </c>
      <c r="E11" s="30"/>
      <c r="F11" s="30" t="s">
        <v>19</v>
      </c>
      <c r="G11" s="31">
        <v>7874</v>
      </c>
      <c r="H11" s="32">
        <v>138.16999999999999</v>
      </c>
      <c r="I11" s="32">
        <v>16.02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19</v>
      </c>
      <c r="G12" s="31">
        <v>9282</v>
      </c>
      <c r="H12" s="32">
        <v>136.44</v>
      </c>
      <c r="I12" s="32">
        <v>15.82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19</v>
      </c>
      <c r="G13" s="31">
        <v>16691</v>
      </c>
      <c r="H13" s="32">
        <v>82.35</v>
      </c>
      <c r="I13" s="32">
        <v>9.5500000000000007</v>
      </c>
      <c r="J13" s="33"/>
    </row>
    <row r="14" spans="1:54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571</v>
      </c>
      <c r="H14" s="32">
        <v>41.45</v>
      </c>
      <c r="I14" s="32">
        <v>4.8099999999999996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19</v>
      </c>
      <c r="G15" s="31">
        <v>4884</v>
      </c>
      <c r="H15" s="32">
        <v>37.15</v>
      </c>
      <c r="I15" s="32">
        <v>4.3099999999999996</v>
      </c>
      <c r="J15" s="33"/>
    </row>
    <row r="16" spans="1:54">
      <c r="B16" s="1" t="s">
        <v>36</v>
      </c>
      <c r="C16" s="20" t="s">
        <v>37</v>
      </c>
      <c r="D16" s="29" t="s">
        <v>38</v>
      </c>
      <c r="E16" s="30"/>
      <c r="F16" s="30" t="s">
        <v>32</v>
      </c>
      <c r="G16" s="31">
        <v>1059</v>
      </c>
      <c r="H16" s="32">
        <v>34.75</v>
      </c>
      <c r="I16" s="32">
        <v>4.03</v>
      </c>
      <c r="J16" s="33"/>
    </row>
    <row r="17" spans="2:10">
      <c r="B17" s="1" t="s">
        <v>39</v>
      </c>
      <c r="C17" s="20" t="s">
        <v>40</v>
      </c>
      <c r="D17" s="29" t="s">
        <v>41</v>
      </c>
      <c r="E17" s="30"/>
      <c r="F17" s="30" t="s">
        <v>32</v>
      </c>
      <c r="G17" s="31">
        <v>1387</v>
      </c>
      <c r="H17" s="32">
        <v>33.130000000000003</v>
      </c>
      <c r="I17" s="32">
        <v>3.84</v>
      </c>
      <c r="J17" s="33"/>
    </row>
    <row r="18" spans="2:10">
      <c r="B18" s="1" t="s">
        <v>42</v>
      </c>
      <c r="C18" s="20" t="s">
        <v>43</v>
      </c>
      <c r="D18" s="29" t="s">
        <v>44</v>
      </c>
      <c r="E18" s="30"/>
      <c r="F18" s="30" t="s">
        <v>32</v>
      </c>
      <c r="G18" s="31">
        <v>4466</v>
      </c>
      <c r="H18" s="32">
        <v>32.08</v>
      </c>
      <c r="I18" s="32">
        <v>3.72</v>
      </c>
      <c r="J18" s="33"/>
    </row>
    <row r="19" spans="2:10">
      <c r="B19" s="1" t="s">
        <v>45</v>
      </c>
      <c r="C19" s="20" t="s">
        <v>46</v>
      </c>
      <c r="D19" s="29" t="s">
        <v>47</v>
      </c>
      <c r="E19" s="30"/>
      <c r="F19" s="30" t="s">
        <v>32</v>
      </c>
      <c r="G19" s="31">
        <v>20605</v>
      </c>
      <c r="H19" s="32">
        <v>22.18</v>
      </c>
      <c r="I19" s="32">
        <v>2.57</v>
      </c>
      <c r="J19" s="33"/>
    </row>
    <row r="20" spans="2:10">
      <c r="B20" s="1" t="s">
        <v>48</v>
      </c>
      <c r="C20" s="20" t="s">
        <v>49</v>
      </c>
      <c r="D20" s="29" t="s">
        <v>50</v>
      </c>
      <c r="E20" s="30"/>
      <c r="F20" s="30" t="s">
        <v>51</v>
      </c>
      <c r="G20" s="31">
        <v>2209</v>
      </c>
      <c r="H20" s="32">
        <v>19.21</v>
      </c>
      <c r="I20" s="32">
        <v>2.23</v>
      </c>
      <c r="J20" s="33"/>
    </row>
    <row r="21" spans="2:10">
      <c r="B21" s="1" t="s">
        <v>52</v>
      </c>
      <c r="C21" s="20" t="s">
        <v>53</v>
      </c>
      <c r="D21" s="29" t="s">
        <v>54</v>
      </c>
      <c r="E21" s="30"/>
      <c r="F21" s="30" t="s">
        <v>19</v>
      </c>
      <c r="G21" s="31">
        <v>1975</v>
      </c>
      <c r="H21" s="32">
        <v>18.47</v>
      </c>
      <c r="I21" s="32">
        <v>2.14</v>
      </c>
      <c r="J21" s="33"/>
    </row>
    <row r="22" spans="2:10">
      <c r="B22" s="1" t="s">
        <v>55</v>
      </c>
      <c r="C22" s="20" t="s">
        <v>56</v>
      </c>
      <c r="D22" s="29" t="s">
        <v>57</v>
      </c>
      <c r="E22" s="30"/>
      <c r="F22" s="30" t="s">
        <v>51</v>
      </c>
      <c r="G22" s="31">
        <v>1860</v>
      </c>
      <c r="H22" s="32">
        <v>11.56</v>
      </c>
      <c r="I22" s="32">
        <v>1.34</v>
      </c>
      <c r="J22" s="33"/>
    </row>
    <row r="23" spans="2:10">
      <c r="B23" s="1" t="s">
        <v>58</v>
      </c>
      <c r="C23" s="20" t="s">
        <v>59</v>
      </c>
      <c r="D23" s="29" t="s">
        <v>60</v>
      </c>
      <c r="E23" s="30"/>
      <c r="F23" s="30" t="s">
        <v>61</v>
      </c>
      <c r="G23" s="31">
        <v>65</v>
      </c>
      <c r="H23" s="32">
        <v>11.08</v>
      </c>
      <c r="I23" s="32">
        <v>1.28</v>
      </c>
      <c r="J23" s="33"/>
    </row>
    <row r="24" spans="2:10">
      <c r="B24" s="1" t="s">
        <v>62</v>
      </c>
      <c r="C24" s="20" t="s">
        <v>63</v>
      </c>
      <c r="D24" s="29" t="s">
        <v>64</v>
      </c>
      <c r="E24" s="30"/>
      <c r="F24" s="30" t="s">
        <v>61</v>
      </c>
      <c r="G24" s="31">
        <v>2060</v>
      </c>
      <c r="H24" s="32">
        <v>10.29</v>
      </c>
      <c r="I24" s="32">
        <v>1.19</v>
      </c>
      <c r="J24" s="33"/>
    </row>
    <row r="25" spans="2:10">
      <c r="B25" s="1" t="s">
        <v>65</v>
      </c>
      <c r="C25" s="20" t="s">
        <v>66</v>
      </c>
      <c r="D25" s="29" t="s">
        <v>67</v>
      </c>
      <c r="E25" s="30"/>
      <c r="F25" s="30" t="s">
        <v>32</v>
      </c>
      <c r="G25" s="31">
        <v>518</v>
      </c>
      <c r="H25" s="32">
        <v>10.050000000000001</v>
      </c>
      <c r="I25" s="32">
        <v>1.17</v>
      </c>
      <c r="J25" s="33"/>
    </row>
    <row r="26" spans="2:10">
      <c r="B26" s="1" t="s">
        <v>68</v>
      </c>
      <c r="C26" s="20" t="s">
        <v>69</v>
      </c>
      <c r="D26" s="29" t="s">
        <v>70</v>
      </c>
      <c r="E26" s="30"/>
      <c r="F26" s="30" t="s">
        <v>19</v>
      </c>
      <c r="G26" s="31">
        <v>24943</v>
      </c>
      <c r="H26" s="32">
        <v>9.67</v>
      </c>
      <c r="I26" s="32">
        <v>1.1200000000000001</v>
      </c>
      <c r="J26" s="33"/>
    </row>
    <row r="27" spans="2:10">
      <c r="B27" s="1" t="s">
        <v>71</v>
      </c>
      <c r="C27" s="20" t="s">
        <v>72</v>
      </c>
      <c r="D27" s="29" t="s">
        <v>73</v>
      </c>
      <c r="E27" s="30"/>
      <c r="F27" s="30" t="s">
        <v>32</v>
      </c>
      <c r="G27" s="31">
        <v>3737</v>
      </c>
      <c r="H27" s="32">
        <v>7.9</v>
      </c>
      <c r="I27" s="32">
        <v>0.92</v>
      </c>
      <c r="J27" s="33"/>
    </row>
    <row r="28" spans="2:10">
      <c r="B28" s="1" t="s">
        <v>74</v>
      </c>
      <c r="C28" s="20" t="s">
        <v>75</v>
      </c>
      <c r="D28" s="29" t="s">
        <v>76</v>
      </c>
      <c r="E28" s="30"/>
      <c r="F28" s="30" t="s">
        <v>32</v>
      </c>
      <c r="G28" s="31">
        <v>378</v>
      </c>
      <c r="H28" s="32">
        <v>5.03</v>
      </c>
      <c r="I28" s="32">
        <v>0.57999999999999996</v>
      </c>
      <c r="J28" s="33"/>
    </row>
    <row r="29" spans="2:10">
      <c r="B29" s="1" t="s">
        <v>77</v>
      </c>
      <c r="C29" s="20" t="s">
        <v>78</v>
      </c>
      <c r="D29" s="29" t="s">
        <v>79</v>
      </c>
      <c r="E29" s="30"/>
      <c r="F29" s="30" t="s">
        <v>32</v>
      </c>
      <c r="G29" s="31">
        <v>3004</v>
      </c>
      <c r="H29" s="32">
        <v>4.78</v>
      </c>
      <c r="I29" s="32">
        <v>0.55000000000000004</v>
      </c>
      <c r="J29" s="33"/>
    </row>
    <row r="30" spans="2:10">
      <c r="B30" s="1" t="s">
        <v>80</v>
      </c>
      <c r="C30" s="20" t="s">
        <v>81</v>
      </c>
      <c r="D30" s="29" t="s">
        <v>82</v>
      </c>
      <c r="E30" s="30"/>
      <c r="F30" s="30" t="s">
        <v>19</v>
      </c>
      <c r="G30" s="31">
        <v>3859</v>
      </c>
      <c r="H30" s="32">
        <v>4.3099999999999996</v>
      </c>
      <c r="I30" s="32">
        <v>0.5</v>
      </c>
      <c r="J30" s="33"/>
    </row>
    <row r="31" spans="2:10">
      <c r="C31" s="28" t="s">
        <v>83</v>
      </c>
      <c r="D31" s="29"/>
      <c r="E31" s="30"/>
      <c r="F31" s="30"/>
      <c r="G31" s="31"/>
      <c r="H31" s="35">
        <v>853.99</v>
      </c>
      <c r="I31" s="35">
        <v>99.01</v>
      </c>
      <c r="J31" s="33"/>
    </row>
    <row r="32" spans="2:10">
      <c r="C32" s="20"/>
      <c r="D32" s="29"/>
      <c r="E32" s="30"/>
      <c r="F32" s="30"/>
      <c r="G32" s="31"/>
      <c r="H32" s="32"/>
      <c r="I32" s="32"/>
      <c r="J32" s="33"/>
    </row>
    <row r="33" spans="3:10">
      <c r="C33" s="28" t="s">
        <v>84</v>
      </c>
      <c r="D33" s="29"/>
      <c r="E33" s="30"/>
      <c r="F33" s="30"/>
      <c r="G33" s="31"/>
      <c r="H33" s="32" t="s">
        <v>85</v>
      </c>
      <c r="I33" s="32" t="s">
        <v>85</v>
      </c>
      <c r="J33" s="33"/>
    </row>
    <row r="34" spans="3:10">
      <c r="C34" s="20"/>
      <c r="D34" s="29"/>
      <c r="E34" s="30"/>
      <c r="F34" s="30"/>
      <c r="G34" s="31"/>
      <c r="H34" s="32"/>
      <c r="I34" s="32"/>
      <c r="J34" s="33"/>
    </row>
    <row r="35" spans="3:10">
      <c r="C35" s="28" t="s">
        <v>86</v>
      </c>
      <c r="D35" s="29"/>
      <c r="E35" s="30"/>
      <c r="F35" s="30"/>
      <c r="G35" s="31"/>
      <c r="H35" s="32" t="s">
        <v>85</v>
      </c>
      <c r="I35" s="32" t="s">
        <v>85</v>
      </c>
      <c r="J35" s="33"/>
    </row>
    <row r="36" spans="3:10">
      <c r="C36" s="20"/>
      <c r="D36" s="29"/>
      <c r="E36" s="30"/>
      <c r="F36" s="30"/>
      <c r="G36" s="31"/>
      <c r="H36" s="32"/>
      <c r="I36" s="32"/>
      <c r="J36" s="33"/>
    </row>
    <row r="37" spans="3:10">
      <c r="C37" s="28" t="s">
        <v>87</v>
      </c>
      <c r="D37" s="29"/>
      <c r="E37" s="30"/>
      <c r="F37" s="30"/>
      <c r="G37" s="31"/>
      <c r="H37" s="32"/>
      <c r="I37" s="32"/>
      <c r="J37" s="33"/>
    </row>
    <row r="38" spans="3:10">
      <c r="C38" s="20"/>
      <c r="D38" s="29"/>
      <c r="E38" s="30"/>
      <c r="F38" s="30"/>
      <c r="G38" s="31"/>
      <c r="H38" s="32"/>
      <c r="I38" s="32"/>
      <c r="J38" s="33"/>
    </row>
    <row r="39" spans="3:10">
      <c r="C39" s="28" t="s">
        <v>88</v>
      </c>
      <c r="D39" s="29"/>
      <c r="E39" s="30"/>
      <c r="F39" s="30"/>
      <c r="G39" s="31"/>
      <c r="H39" s="32" t="s">
        <v>85</v>
      </c>
      <c r="I39" s="32" t="s">
        <v>85</v>
      </c>
      <c r="J39" s="33"/>
    </row>
    <row r="40" spans="3:10">
      <c r="C40" s="20"/>
      <c r="D40" s="29"/>
      <c r="E40" s="30"/>
      <c r="F40" s="30"/>
      <c r="G40" s="31"/>
      <c r="H40" s="32"/>
      <c r="I40" s="32"/>
      <c r="J40" s="33"/>
    </row>
    <row r="41" spans="3:10">
      <c r="C41" s="28" t="s">
        <v>89</v>
      </c>
      <c r="D41" s="29"/>
      <c r="E41" s="30"/>
      <c r="F41" s="30"/>
      <c r="G41" s="31"/>
      <c r="H41" s="32" t="s">
        <v>85</v>
      </c>
      <c r="I41" s="32" t="s">
        <v>85</v>
      </c>
      <c r="J41" s="33"/>
    </row>
    <row r="42" spans="3:10">
      <c r="C42" s="20"/>
      <c r="D42" s="29"/>
      <c r="E42" s="30"/>
      <c r="F42" s="30"/>
      <c r="G42" s="31"/>
      <c r="H42" s="32"/>
      <c r="I42" s="32"/>
      <c r="J42" s="33"/>
    </row>
    <row r="43" spans="3:10">
      <c r="C43" s="28" t="s">
        <v>90</v>
      </c>
      <c r="D43" s="29"/>
      <c r="E43" s="30"/>
      <c r="F43" s="30"/>
      <c r="G43" s="31"/>
      <c r="H43" s="32" t="s">
        <v>85</v>
      </c>
      <c r="I43" s="32" t="s">
        <v>85</v>
      </c>
      <c r="J43" s="33"/>
    </row>
    <row r="44" spans="3:10">
      <c r="C44" s="20"/>
      <c r="D44" s="29"/>
      <c r="E44" s="30"/>
      <c r="F44" s="30"/>
      <c r="G44" s="31"/>
      <c r="H44" s="32"/>
      <c r="I44" s="32"/>
      <c r="J44" s="33"/>
    </row>
    <row r="45" spans="3:10">
      <c r="C45" s="28" t="s">
        <v>91</v>
      </c>
      <c r="D45" s="29"/>
      <c r="E45" s="30"/>
      <c r="F45" s="30"/>
      <c r="G45" s="31"/>
      <c r="H45" s="32" t="s">
        <v>85</v>
      </c>
      <c r="I45" s="32" t="s">
        <v>85</v>
      </c>
      <c r="J45" s="33"/>
    </row>
    <row r="46" spans="3:10">
      <c r="C46" s="20"/>
      <c r="D46" s="29"/>
      <c r="E46" s="30"/>
      <c r="F46" s="30"/>
      <c r="G46" s="31"/>
      <c r="H46" s="32"/>
      <c r="I46" s="32"/>
      <c r="J46" s="33"/>
    </row>
    <row r="47" spans="3:10">
      <c r="C47" s="28" t="s">
        <v>92</v>
      </c>
      <c r="D47" s="29"/>
      <c r="E47" s="30"/>
      <c r="F47" s="30"/>
      <c r="G47" s="31"/>
      <c r="H47" s="32" t="s">
        <v>85</v>
      </c>
      <c r="I47" s="32" t="s">
        <v>85</v>
      </c>
      <c r="J47" s="33"/>
    </row>
    <row r="48" spans="3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93</v>
      </c>
      <c r="D49" s="29"/>
      <c r="E49" s="30"/>
      <c r="F49" s="30"/>
      <c r="G49" s="31"/>
      <c r="H49" s="32"/>
      <c r="I49" s="32"/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94</v>
      </c>
      <c r="D51" s="29"/>
      <c r="E51" s="30"/>
      <c r="F51" s="30"/>
      <c r="G51" s="31"/>
      <c r="H51" s="32" t="s">
        <v>85</v>
      </c>
      <c r="I51" s="32" t="s">
        <v>85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95</v>
      </c>
      <c r="D53" s="29"/>
      <c r="E53" s="30"/>
      <c r="F53" s="30"/>
      <c r="G53" s="31"/>
      <c r="H53" s="32" t="s">
        <v>85</v>
      </c>
      <c r="I53" s="32" t="s">
        <v>85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96</v>
      </c>
      <c r="D55" s="29"/>
      <c r="E55" s="30"/>
      <c r="F55" s="30"/>
      <c r="G55" s="31"/>
      <c r="H55" s="32" t="s">
        <v>85</v>
      </c>
      <c r="I55" s="32" t="s">
        <v>85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97</v>
      </c>
      <c r="D57" s="29"/>
      <c r="E57" s="30"/>
      <c r="F57" s="30"/>
      <c r="G57" s="31"/>
      <c r="H57" s="32" t="s">
        <v>85</v>
      </c>
      <c r="I57" s="32" t="s">
        <v>85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98</v>
      </c>
      <c r="D59" s="29"/>
      <c r="E59" s="30"/>
      <c r="F59" s="30"/>
      <c r="G59" s="31"/>
      <c r="H59" s="32"/>
      <c r="I59" s="32"/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99</v>
      </c>
      <c r="D61" s="29"/>
      <c r="E61" s="30"/>
      <c r="F61" s="30"/>
      <c r="G61" s="31"/>
      <c r="H61" s="32" t="s">
        <v>85</v>
      </c>
      <c r="I61" s="32" t="s">
        <v>85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100</v>
      </c>
      <c r="D63" s="29"/>
      <c r="E63" s="30"/>
      <c r="F63" s="30"/>
      <c r="G63" s="31"/>
      <c r="H63" s="32" t="s">
        <v>85</v>
      </c>
      <c r="I63" s="32" t="s">
        <v>85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101</v>
      </c>
      <c r="D65" s="29"/>
      <c r="E65" s="30"/>
      <c r="F65" s="30"/>
      <c r="G65" s="31"/>
      <c r="H65" s="32" t="s">
        <v>85</v>
      </c>
      <c r="I65" s="32" t="s">
        <v>85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102</v>
      </c>
      <c r="D67" s="29"/>
      <c r="E67" s="30"/>
      <c r="F67" s="30"/>
      <c r="G67" s="31"/>
      <c r="H67" s="32" t="s">
        <v>85</v>
      </c>
      <c r="I67" s="32" t="s">
        <v>85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103</v>
      </c>
      <c r="D69" s="29"/>
      <c r="E69" s="30"/>
      <c r="F69" s="30"/>
      <c r="G69" s="31"/>
      <c r="H69" s="32" t="s">
        <v>85</v>
      </c>
      <c r="I69" s="32" t="s">
        <v>85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A71" s="26"/>
      <c r="B71" s="27"/>
      <c r="C71" s="28" t="s">
        <v>104</v>
      </c>
      <c r="D71" s="29"/>
      <c r="E71" s="30"/>
      <c r="F71" s="30"/>
      <c r="G71" s="31"/>
      <c r="H71" s="32"/>
      <c r="I71" s="32"/>
      <c r="J71" s="33"/>
    </row>
    <row r="72" spans="1:10">
      <c r="B72" s="1"/>
      <c r="C72" s="20" t="s">
        <v>105</v>
      </c>
      <c r="D72" s="29"/>
      <c r="E72" s="30"/>
      <c r="F72" s="30"/>
      <c r="G72" s="31"/>
      <c r="H72" s="32">
        <v>8.6300000000000008</v>
      </c>
      <c r="I72" s="32">
        <v>0.99</v>
      </c>
      <c r="J72" s="33"/>
    </row>
    <row r="73" spans="1:10">
      <c r="C73" s="28" t="s">
        <v>83</v>
      </c>
      <c r="D73" s="29"/>
      <c r="E73" s="30"/>
      <c r="F73" s="30"/>
      <c r="G73" s="31"/>
      <c r="H73" s="35">
        <v>8.6300000000000008</v>
      </c>
      <c r="I73" s="35">
        <v>0.99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 ht="13.8" thickBot="1">
      <c r="C75" s="36" t="s">
        <v>106</v>
      </c>
      <c r="D75" s="37"/>
      <c r="E75" s="38"/>
      <c r="F75" s="39"/>
      <c r="G75" s="40"/>
      <c r="H75" s="41">
        <v>862.62</v>
      </c>
      <c r="I75" s="41">
        <f>SUMIFS(I:I,C:C,"Total")</f>
        <v>100</v>
      </c>
      <c r="J75" s="42"/>
    </row>
    <row r="78" spans="1:10">
      <c r="C78" s="11" t="s">
        <v>107</v>
      </c>
    </row>
    <row r="79" spans="1:10">
      <c r="C79" s="2" t="s">
        <v>108</v>
      </c>
    </row>
    <row r="80" spans="1:10">
      <c r="C80" s="2" t="s">
        <v>109</v>
      </c>
    </row>
    <row r="81" spans="3:3">
      <c r="C81" s="2" t="s">
        <v>110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4.55468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4" spans="1:9" ht="15.6">
      <c r="A4" s="43" t="s">
        <v>111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112</v>
      </c>
      <c r="B5" s="46" t="s">
        <v>113</v>
      </c>
      <c r="C5" s="46"/>
      <c r="D5" s="46" t="s">
        <v>114</v>
      </c>
      <c r="E5" s="46"/>
      <c r="F5" s="46" t="s">
        <v>115</v>
      </c>
      <c r="G5" s="46"/>
      <c r="H5" s="46" t="s">
        <v>116</v>
      </c>
      <c r="I5" s="46"/>
    </row>
    <row r="6" spans="1:9" ht="66">
      <c r="A6" s="47"/>
      <c r="B6" s="48" t="s">
        <v>117</v>
      </c>
      <c r="C6" s="48" t="s">
        <v>118</v>
      </c>
      <c r="D6" s="48" t="s">
        <v>117</v>
      </c>
      <c r="E6" s="48" t="s">
        <v>118</v>
      </c>
      <c r="F6" s="48" t="s">
        <v>117</v>
      </c>
      <c r="G6" s="48" t="s">
        <v>118</v>
      </c>
      <c r="H6" s="48" t="s">
        <v>117</v>
      </c>
      <c r="I6" s="48" t="s">
        <v>118</v>
      </c>
    </row>
    <row r="7" spans="1:9">
      <c r="A7" s="49" t="s">
        <v>119</v>
      </c>
      <c r="B7" s="50">
        <v>7.8387096774193532</v>
      </c>
      <c r="C7" s="50">
        <v>10783.870967741936</v>
      </c>
      <c r="D7" s="50">
        <v>8.9099929488189566</v>
      </c>
      <c r="E7" s="50">
        <v>12927.300850734726</v>
      </c>
      <c r="F7" s="50">
        <v>11.491316538190311</v>
      </c>
      <c r="G7" s="50">
        <v>17231.958762886599</v>
      </c>
      <c r="H7" s="50">
        <v>13.012595017076078</v>
      </c>
      <c r="I7" s="50">
        <v>33430</v>
      </c>
    </row>
    <row r="8" spans="1:9">
      <c r="A8" s="49" t="s">
        <v>120</v>
      </c>
      <c r="B8" s="50">
        <v>11.572580207891825</v>
      </c>
      <c r="C8" s="50">
        <v>11157.258020789182</v>
      </c>
      <c r="D8" s="50">
        <v>7.1600257576611481</v>
      </c>
      <c r="E8" s="50">
        <v>12305.47629042406</v>
      </c>
      <c r="F8" s="50">
        <v>11.691540908494137</v>
      </c>
      <c r="G8" s="50">
        <v>17382.066726407564</v>
      </c>
      <c r="H8" s="50">
        <v>15.737286170489128</v>
      </c>
      <c r="I8" s="50">
        <v>42270.557470393949</v>
      </c>
    </row>
    <row r="9" spans="1:9">
      <c r="A9" s="49" t="s">
        <v>121</v>
      </c>
      <c r="B9" s="50">
        <v>20.260052895360261</v>
      </c>
      <c r="C9" s="50">
        <v>12026.005289536026</v>
      </c>
      <c r="D9" s="50">
        <v>15.823957466126238</v>
      </c>
      <c r="E9" s="50">
        <v>15538.002943957132</v>
      </c>
      <c r="F9" s="50">
        <v>15.141731736907404</v>
      </c>
      <c r="G9" s="50">
        <v>20237.822610221807</v>
      </c>
      <c r="H9" s="50">
        <v>15.281149526378268</v>
      </c>
      <c r="I9" s="50">
        <v>40655.84042436516</v>
      </c>
    </row>
    <row r="10" spans="1:9">
      <c r="A10" s="49" t="s">
        <v>122</v>
      </c>
      <c r="B10" s="51">
        <v>31</v>
      </c>
      <c r="C10" s="52"/>
      <c r="D10" s="51">
        <v>25.86</v>
      </c>
      <c r="E10" s="52"/>
      <c r="F10" s="51">
        <v>19.399999999999999</v>
      </c>
      <c r="G10" s="52"/>
      <c r="H10" s="51">
        <v>10</v>
      </c>
      <c r="I10" s="52"/>
    </row>
    <row r="12" spans="1:9" ht="15.6">
      <c r="A12" s="43" t="s">
        <v>123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112</v>
      </c>
      <c r="B13" s="46" t="s">
        <v>113</v>
      </c>
      <c r="C13" s="46"/>
      <c r="D13" s="46" t="s">
        <v>114</v>
      </c>
      <c r="E13" s="46"/>
      <c r="F13" s="46" t="s">
        <v>115</v>
      </c>
      <c r="G13" s="46"/>
      <c r="H13" s="46" t="s">
        <v>116</v>
      </c>
      <c r="I13" s="46"/>
    </row>
    <row r="14" spans="1:9" ht="66">
      <c r="A14" s="47"/>
      <c r="B14" s="48" t="s">
        <v>117</v>
      </c>
      <c r="C14" s="48" t="s">
        <v>118</v>
      </c>
      <c r="D14" s="48" t="s">
        <v>117</v>
      </c>
      <c r="E14" s="48" t="s">
        <v>118</v>
      </c>
      <c r="F14" s="48" t="s">
        <v>117</v>
      </c>
      <c r="G14" s="48" t="s">
        <v>118</v>
      </c>
      <c r="H14" s="48" t="s">
        <v>117</v>
      </c>
      <c r="I14" s="48" t="s">
        <v>118</v>
      </c>
    </row>
    <row r="15" spans="1:9">
      <c r="A15" s="49" t="s">
        <v>119</v>
      </c>
      <c r="B15" s="50">
        <v>8.6191470325082129</v>
      </c>
      <c r="C15" s="50">
        <v>10861.914703250819</v>
      </c>
      <c r="D15" s="50">
        <v>9.7225048518949642</v>
      </c>
      <c r="E15" s="50">
        <v>13219.600725952812</v>
      </c>
      <c r="F15" s="50">
        <v>12.482190925411253</v>
      </c>
      <c r="G15" s="50">
        <v>18011.869436201781</v>
      </c>
      <c r="H15" s="50">
        <v>11.193621683981657</v>
      </c>
      <c r="I15" s="50">
        <v>26681.318681318684</v>
      </c>
    </row>
    <row r="16" spans="1:9">
      <c r="A16" s="49" t="s">
        <v>120</v>
      </c>
      <c r="B16" s="50">
        <v>11.572580207891825</v>
      </c>
      <c r="C16" s="50">
        <v>11157.258020789182</v>
      </c>
      <c r="D16" s="50">
        <v>7.1600257576611481</v>
      </c>
      <c r="E16" s="50">
        <v>12305.47629042406</v>
      </c>
      <c r="F16" s="50">
        <v>11.691540908494137</v>
      </c>
      <c r="G16" s="50">
        <v>17382.066726407564</v>
      </c>
      <c r="H16" s="50">
        <v>12.719441805040699</v>
      </c>
      <c r="I16" s="50">
        <v>30265.897487734077</v>
      </c>
    </row>
    <row r="17" spans="1:9">
      <c r="A17" s="49" t="s">
        <v>121</v>
      </c>
      <c r="B17" s="50">
        <v>20.260052895360261</v>
      </c>
      <c r="C17" s="50">
        <v>12026.005289536026</v>
      </c>
      <c r="D17" s="50">
        <v>15.823957466126238</v>
      </c>
      <c r="E17" s="50">
        <v>15538.002943957132</v>
      </c>
      <c r="F17" s="50">
        <v>15.141731736907404</v>
      </c>
      <c r="G17" s="50">
        <v>20237.822610221807</v>
      </c>
      <c r="H17" s="50">
        <v>13.627800355908914</v>
      </c>
      <c r="I17" s="50">
        <v>32598.269256725202</v>
      </c>
    </row>
    <row r="18" spans="1:9">
      <c r="A18" s="49" t="s">
        <v>124</v>
      </c>
      <c r="B18" s="51">
        <v>33.53</v>
      </c>
      <c r="C18" s="52"/>
      <c r="D18" s="51">
        <v>27.55</v>
      </c>
      <c r="E18" s="52"/>
      <c r="F18" s="51">
        <v>20.22</v>
      </c>
      <c r="G18" s="52"/>
      <c r="H18" s="51">
        <v>13.65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2022-04-01T09:27:08Z</dcterms:created>
  <dcterms:modified xsi:type="dcterms:W3CDTF">2022-04-05T05:48:11Z</dcterms:modified>
</cp:coreProperties>
</file>