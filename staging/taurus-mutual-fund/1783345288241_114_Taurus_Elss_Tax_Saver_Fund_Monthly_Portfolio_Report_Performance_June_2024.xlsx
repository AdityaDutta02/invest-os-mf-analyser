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JULY 2024\Portfolio\Ops\"/>
    </mc:Choice>
  </mc:AlternateContent>
  <xr:revisionPtr revIDLastSave="0" documentId="13_ncr:1_{18760EB9-5CD1-4A53-B7E7-A958BA4381D1}" xr6:coauthVersionLast="47" xr6:coauthVersionMax="47" xr10:uidLastSave="{00000000-0000-0000-0000-000000000000}"/>
  <bookViews>
    <workbookView xWindow="-120" yWindow="-120" windowWidth="20730" windowHeight="11040" xr2:uid="{0DF363AB-CC3E-4DD8-8E3D-0F996427B54E}"/>
  </bookViews>
  <sheets>
    <sheet name="TTS" sheetId="1" r:id="rId1"/>
    <sheet name="TTS Performance" sheetId="2" r:id="rId2"/>
  </sheets>
  <externalReferences>
    <externalReference r:id="rId3"/>
  </externalReferences>
  <definedNames>
    <definedName name="XDO_?CLASS_3?7?">TTS!$C$8:$C$41</definedName>
    <definedName name="XDO_?FINAL_ISIN?14?">TTS!$D$10:$D$41</definedName>
    <definedName name="XDO_?FINAL_ISIN?15?">TTS!$D$10:$D$85</definedName>
    <definedName name="XDO_?FINAL_MV?14?">TTS!$H$10:$H$41</definedName>
    <definedName name="XDO_?FINAL_MV?15?">TTS!$H$10:$H$85</definedName>
    <definedName name="XDO_?FINAL_NAME?14?">TTS!$C$10:$C$41</definedName>
    <definedName name="XDO_?FINAL_NAME?15?">TTS!$C$10:$C$85</definedName>
    <definedName name="XDO_?FINAL_PER_NET?14?">TTS!$I$10:$I$41</definedName>
    <definedName name="XDO_?FINAL_PER_NET?15?">TTS!$I$10:$I$85</definedName>
    <definedName name="XDO_?FINAL_QUANTITE?14?">TTS!$G$10:$G$41</definedName>
    <definedName name="XDO_?FINAL_QUANTITE?15?">TTS!$G$10:$G$85</definedName>
    <definedName name="XDO_?IND_01?14?">TTS!$F$10:$F$41</definedName>
    <definedName name="XDO_?IND_01?15?">TTS!$F$10:$F$85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TTS!#REF!</definedName>
    <definedName name="XDO_?NAMCNAME?7?">TTS!$C$2:$C$41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TTS!#REF!</definedName>
    <definedName name="XDO_?NOVAL?14?">TTS!$B$10:$B$41</definedName>
    <definedName name="XDO_?NOVAL?15?">TTS!$B$10:$B$85</definedName>
    <definedName name="XDO_?NPTF?7?">TTS!$D$2:$D$41</definedName>
    <definedName name="XDO_?RATING?14?">TTS!$E$10:$E$41</definedName>
    <definedName name="XDO_?RATING?15?">TTS!$E$10:$E$85</definedName>
    <definedName name="XDO_?REMARKS?14?">TTS!$J$10:$J$41</definedName>
    <definedName name="XDO_?REMARKS?15?">TTS!$J$10:$J$85</definedName>
    <definedName name="XDO_?TITL?7?">TTS!$A$8:$A$41</definedName>
    <definedName name="XDO_GROUP_?G_2?7?">TTS!$2:$88</definedName>
    <definedName name="XDO_GROUP_?G_3?7?">TTS!$8:$87</definedName>
    <definedName name="XDO_GROUP_?G_4?14?">TTS!$B$10:$IV$41</definedName>
    <definedName name="XDO_GROUP_?G_4?15?">TTS!$B$85:$IV$85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8" i="1" l="1"/>
</calcChain>
</file>

<file path=xl/sharedStrings.xml><?xml version="1.0" encoding="utf-8"?>
<sst xmlns="http://schemas.openxmlformats.org/spreadsheetml/2006/main" count="242" uniqueCount="176">
  <si>
    <t>TAURUS MUTUAL FUND</t>
  </si>
  <si>
    <t>TTS</t>
  </si>
  <si>
    <t>SCHEME NAME :</t>
  </si>
  <si>
    <t>Taurus Elss Tax Saver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</si>
  <si>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</si>
  <si>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</si>
  <si>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</si>
  <si>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</si>
  <si>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</si>
  <si>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</si>
  <si>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</si>
  <si>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</si>
  <si>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</si>
  <si>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</si>
  <si>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</si>
  <si>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</si>
  <si>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</si>
  <si>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</si>
  <si>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</si>
  <si>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100037</t>
  </si>
  <si>
    <t>HCL Technologies Ltd.</t>
  </si>
  <si>
    <t>INE860A01027</t>
  </si>
  <si>
    <t>IT - Software</t>
  </si>
  <si>
    <t>100325</t>
  </si>
  <si>
    <t>Bajaj Holdings &amp; Investment Ltd.</t>
  </si>
  <si>
    <t>INE118A01012</t>
  </si>
  <si>
    <t>Finance</t>
  </si>
  <si>
    <t>100024</t>
  </si>
  <si>
    <t>Axis Bank Ltd.</t>
  </si>
  <si>
    <t>INE238A01034</t>
  </si>
  <si>
    <t>100012</t>
  </si>
  <si>
    <t>ICICI Bank Ltd.</t>
  </si>
  <si>
    <t>INE090A01021</t>
  </si>
  <si>
    <t>100097</t>
  </si>
  <si>
    <t>Coal India Ltd.</t>
  </si>
  <si>
    <t>INE522F01014</t>
  </si>
  <si>
    <t>Consumable Fuels</t>
  </si>
  <si>
    <t>100045</t>
  </si>
  <si>
    <t>Gujarat Pipavav Port Ltd.</t>
  </si>
  <si>
    <t>INE517F01014</t>
  </si>
  <si>
    <t>Transport Infrastructure</t>
  </si>
  <si>
    <t>100019</t>
  </si>
  <si>
    <t>ITC Ltd.</t>
  </si>
  <si>
    <t>INE154A01025</t>
  </si>
  <si>
    <t>Diversified FMCG</t>
  </si>
  <si>
    <t>100147</t>
  </si>
  <si>
    <t>Tech Mahindra Ltd.</t>
  </si>
  <si>
    <t>INE669C01036</t>
  </si>
  <si>
    <t>100474</t>
  </si>
  <si>
    <t>Narayana Hrudayalaya Ltd.</t>
  </si>
  <si>
    <t>INE410P01011</t>
  </si>
  <si>
    <t>Healthcare Services</t>
  </si>
  <si>
    <t>100003</t>
  </si>
  <si>
    <t>Infosys Ltd.</t>
  </si>
  <si>
    <t>INE009A01021</t>
  </si>
  <si>
    <t>101698</t>
  </si>
  <si>
    <t>Swan Energy Ltd.</t>
  </si>
  <si>
    <t>INE665A01038</t>
  </si>
  <si>
    <t>Diversified</t>
  </si>
  <si>
    <t>100292</t>
  </si>
  <si>
    <t>Steel Authority of India Ltd.</t>
  </si>
  <si>
    <t>INE114A01011</t>
  </si>
  <si>
    <t>Ferrous Metals</t>
  </si>
  <si>
    <t>100172</t>
  </si>
  <si>
    <t>ACC Ltd.</t>
  </si>
  <si>
    <t>INE012A01025</t>
  </si>
  <si>
    <t>Cement &amp; Cement Products</t>
  </si>
  <si>
    <t>100035</t>
  </si>
  <si>
    <t>NMDC Ltd.</t>
  </si>
  <si>
    <t>INE584A01023</t>
  </si>
  <si>
    <t>Minerals &amp; Mining</t>
  </si>
  <si>
    <t>100153</t>
  </si>
  <si>
    <t>Cipla Ltd.</t>
  </si>
  <si>
    <t>INE059A01026</t>
  </si>
  <si>
    <t>Pharmaceuticals &amp; Biotechnology</t>
  </si>
  <si>
    <t>101178</t>
  </si>
  <si>
    <t>Computer Age Management Services Ltd.</t>
  </si>
  <si>
    <t>INE596I01012</t>
  </si>
  <si>
    <t>Capital Markets</t>
  </si>
  <si>
    <t>101181</t>
  </si>
  <si>
    <t>UTI Asset Management Co. Ltd.</t>
  </si>
  <si>
    <t>INE094J01016</t>
  </si>
  <si>
    <t>100219</t>
  </si>
  <si>
    <t>Indraprastha Gas Ltd.</t>
  </si>
  <si>
    <t>INE203G01027</t>
  </si>
  <si>
    <t>Gas</t>
  </si>
  <si>
    <t>100342</t>
  </si>
  <si>
    <t>Vardhman Textiles Ltd.</t>
  </si>
  <si>
    <t>INE825A01020</t>
  </si>
  <si>
    <t>Textiles &amp; Apparels</t>
  </si>
  <si>
    <t>100118</t>
  </si>
  <si>
    <t>Tata Chemicals Ltd.</t>
  </si>
  <si>
    <t>INE092A01019</t>
  </si>
  <si>
    <t>Chemicals &amp; Petrochemicals</t>
  </si>
  <si>
    <t>100080</t>
  </si>
  <si>
    <t>Dr. Reddy's Laboratories Ltd.</t>
  </si>
  <si>
    <t>INE089A01023</t>
  </si>
  <si>
    <t>100155</t>
  </si>
  <si>
    <t>Divi's Laboratories Ltd.</t>
  </si>
  <si>
    <t>INE361B01024</t>
  </si>
  <si>
    <t>100811</t>
  </si>
  <si>
    <t>NOCIL Ltd.</t>
  </si>
  <si>
    <t>INE163A01018</t>
  </si>
  <si>
    <t>101949</t>
  </si>
  <si>
    <t>Samhi Hotels Ltd.</t>
  </si>
  <si>
    <t>INE08U801020</t>
  </si>
  <si>
    <t>Leisure Services</t>
  </si>
  <si>
    <t>101687</t>
  </si>
  <si>
    <t>KRBL Ltd.</t>
  </si>
  <si>
    <t>INE001B01026</t>
  </si>
  <si>
    <t>Agricultural Food &amp; other Products</t>
  </si>
  <si>
    <t>100273</t>
  </si>
  <si>
    <t>Havells India Ltd.</t>
  </si>
  <si>
    <t>INE176B01034</t>
  </si>
  <si>
    <t>Consumer Durables</t>
  </si>
  <si>
    <t>100653</t>
  </si>
  <si>
    <t>Deepak Fertilizers and Petrochemicals Corporation Ltd.</t>
  </si>
  <si>
    <t>INE501A01019</t>
  </si>
  <si>
    <t>101967</t>
  </si>
  <si>
    <t>Globus Spirits Ltd.</t>
  </si>
  <si>
    <t>INE615I01010</t>
  </si>
  <si>
    <t>Beverages</t>
  </si>
  <si>
    <t>100078</t>
  </si>
  <si>
    <t>Sanghi Industries Ltd.</t>
  </si>
  <si>
    <t>INE999B01013</t>
  </si>
  <si>
    <t>100096</t>
  </si>
  <si>
    <t>Container Corporation of India Ltd.</t>
  </si>
  <si>
    <t>INE111A01025</t>
  </si>
  <si>
    <t>Transport Services</t>
  </si>
  <si>
    <t>101214</t>
  </si>
  <si>
    <t>Antony Waste Handling Cell Ltd.</t>
  </si>
  <si>
    <t>INE01BK01022</t>
  </si>
  <si>
    <t>Other Utilities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</si>
  <si>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</si>
  <si>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</si>
  <si>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</si>
  <si>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</si>
  <si>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</si>
  <si>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</si>
  <si>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</si>
  <si>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</si>
  <si>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</si>
  <si>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</si>
  <si>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</si>
  <si>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</si>
  <si>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</si>
  <si>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</si>
  <si>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</si>
  <si>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</si>
  <si>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</si>
  <si>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</si>
  <si>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</si>
  <si>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</si>
  <si>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</si>
  <si>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</si>
  <si>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</si>
  <si>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</si>
  <si>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</si>
  <si>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</si>
  <si>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</si>
  <si>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</si>
  <si>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</si>
  <si>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Elss Tax Saver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</si>
  <si>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</si>
  <si>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</si>
  <si>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</si>
  <si>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</si>
  <si>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</si>
  <si>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</si>
  <si>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</si>
  <si>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</si>
  <si>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</si>
  <si>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</si>
  <si>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June 28, 2024 : 173.09)</t>
  </si>
  <si>
    <t>Taurus Elss Tax Saver Fund - Direct Plan Growth Option</t>
  </si>
  <si>
    <t>NAV [Rs.] Per Unit (as on June 28, 2024 : 187.49)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</si>
</sst>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05856F41-1C92-4025-8DBE-9CCDB99EA94A}"/>
    <cellStyle name="Hyperlink" xfId="2" builtinId="8"/>
    <cellStyle name="Normal" xfId="0" builtinId="0"/>
    <cellStyle name="Normal 2" xfId="4" xr:uid="{37B8FC64-9F97-4F15-B2A7-F1B26215F92F}"/>
    <cellStyle name="Style 1" xfId="3" xr:uid="{DA5AE0BC-99E5-4BAC-907E-C239D28134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1270001</xdr:colOff>
      <xdr:row>0</xdr:row>
      <xdr:rowOff>2022417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A26D00-1C16-4B45-8FF4-2414C0CC2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3" y="0"/>
          <a:ext cx="6445251" cy="202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June_2024\Client%20Report\TMF_Monthly_Portfolio_Report_June%2024.xls" TargetMode="External"/><Relationship Id="rId1" Type="http://schemas.openxmlformats.org/officeDocument/2006/relationships/externalLinkPath" Target="TMF_Monthly_Portfolio_Report_June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16758-7303-4C90-8E08-139EA539760D}">
  <dimension ref="A1:BB94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45473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46969</v>
      </c>
      <c r="H10" s="32">
        <v>790.75</v>
      </c>
      <c r="I10" s="32">
        <v>10.14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45743</v>
      </c>
      <c r="H11" s="32">
        <v>667.66</v>
      </c>
      <c r="I11" s="32">
        <v>8.56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5200</v>
      </c>
      <c r="H12" s="32">
        <v>443.55</v>
      </c>
      <c r="I12" s="32">
        <v>5.69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18</v>
      </c>
      <c r="G13" s="31">
        <v>35000</v>
      </c>
      <c r="H13" s="32">
        <v>443</v>
      </c>
      <c r="I13" s="32">
        <v>5.68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18</v>
      </c>
      <c r="G14" s="31">
        <v>36000</v>
      </c>
      <c r="H14" s="32">
        <v>431.93</v>
      </c>
      <c r="I14" s="32">
        <v>5.54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80000</v>
      </c>
      <c r="H15" s="32">
        <v>378.48</v>
      </c>
      <c r="I15" s="32">
        <v>4.8600000000000003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170778</v>
      </c>
      <c r="H16" s="32">
        <v>357.69</v>
      </c>
      <c r="I16" s="32">
        <v>4.59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80000</v>
      </c>
      <c r="H17" s="32">
        <v>339.92</v>
      </c>
      <c r="I17" s="32">
        <v>4.3600000000000003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22</v>
      </c>
      <c r="G18" s="31">
        <v>22792</v>
      </c>
      <c r="H18" s="32">
        <v>325.97000000000003</v>
      </c>
      <c r="I18" s="32">
        <v>4.18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25000</v>
      </c>
      <c r="H19" s="32">
        <v>300.5</v>
      </c>
      <c r="I19" s="32">
        <v>3.85</v>
      </c>
      <c r="J19" s="33"/>
    </row>
    <row r="20" spans="2:10" x14ac:dyDescent="0.25">
      <c r="B20" s="1" t="s">
        <v>52</v>
      </c>
      <c r="C20" s="20" t="s">
        <v>53</v>
      </c>
      <c r="D20" s="29" t="s">
        <v>54</v>
      </c>
      <c r="E20" s="30"/>
      <c r="F20" s="30" t="s">
        <v>22</v>
      </c>
      <c r="G20" s="31">
        <v>18107</v>
      </c>
      <c r="H20" s="32">
        <v>283.73</v>
      </c>
      <c r="I20" s="32">
        <v>3.64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45643</v>
      </c>
      <c r="H21" s="32">
        <v>268.27</v>
      </c>
      <c r="I21" s="32">
        <v>3.44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150110</v>
      </c>
      <c r="H22" s="32">
        <v>223.29</v>
      </c>
      <c r="I22" s="32">
        <v>2.86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8139</v>
      </c>
      <c r="H23" s="32">
        <v>213.06</v>
      </c>
      <c r="I23" s="32">
        <v>2.73</v>
      </c>
      <c r="J23" s="33"/>
    </row>
    <row r="24" spans="2:10" x14ac:dyDescent="0.25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85000</v>
      </c>
      <c r="H24" s="32">
        <v>209.23</v>
      </c>
      <c r="I24" s="32">
        <v>2.68</v>
      </c>
      <c r="J24" s="33"/>
    </row>
    <row r="25" spans="2:10" x14ac:dyDescent="0.25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13798</v>
      </c>
      <c r="H25" s="32">
        <v>204.27</v>
      </c>
      <c r="I25" s="32">
        <v>2.62</v>
      </c>
      <c r="J25" s="33"/>
    </row>
    <row r="26" spans="2:10" x14ac:dyDescent="0.25">
      <c r="B26" s="1" t="s">
        <v>75</v>
      </c>
      <c r="C26" s="20" t="s">
        <v>76</v>
      </c>
      <c r="D26" s="29" t="s">
        <v>77</v>
      </c>
      <c r="E26" s="30"/>
      <c r="F26" s="30" t="s">
        <v>78</v>
      </c>
      <c r="G26" s="31">
        <v>5500</v>
      </c>
      <c r="H26" s="32">
        <v>198.69</v>
      </c>
      <c r="I26" s="32">
        <v>2.5499999999999998</v>
      </c>
      <c r="J26" s="33"/>
    </row>
    <row r="27" spans="2:10" x14ac:dyDescent="0.25">
      <c r="B27" s="1" t="s">
        <v>79</v>
      </c>
      <c r="C27" s="20" t="s">
        <v>80</v>
      </c>
      <c r="D27" s="29" t="s">
        <v>81</v>
      </c>
      <c r="E27" s="30"/>
      <c r="F27" s="30" t="s">
        <v>78</v>
      </c>
      <c r="G27" s="31">
        <v>19180</v>
      </c>
      <c r="H27" s="32">
        <v>191.65</v>
      </c>
      <c r="I27" s="32">
        <v>2.46</v>
      </c>
      <c r="J27" s="33"/>
    </row>
    <row r="28" spans="2:10" x14ac:dyDescent="0.25">
      <c r="B28" s="1" t="s">
        <v>82</v>
      </c>
      <c r="C28" s="20" t="s">
        <v>83</v>
      </c>
      <c r="D28" s="29" t="s">
        <v>84</v>
      </c>
      <c r="E28" s="30"/>
      <c r="F28" s="30" t="s">
        <v>85</v>
      </c>
      <c r="G28" s="31">
        <v>31476</v>
      </c>
      <c r="H28" s="32">
        <v>158.59</v>
      </c>
      <c r="I28" s="32">
        <v>2.0299999999999998</v>
      </c>
      <c r="J28" s="33"/>
    </row>
    <row r="29" spans="2:10" x14ac:dyDescent="0.25">
      <c r="B29" s="1" t="s">
        <v>86</v>
      </c>
      <c r="C29" s="20" t="s">
        <v>87</v>
      </c>
      <c r="D29" s="29" t="s">
        <v>88</v>
      </c>
      <c r="E29" s="30"/>
      <c r="F29" s="30" t="s">
        <v>89</v>
      </c>
      <c r="G29" s="31">
        <v>30000</v>
      </c>
      <c r="H29" s="32">
        <v>144.08000000000001</v>
      </c>
      <c r="I29" s="32">
        <v>1.85</v>
      </c>
      <c r="J29" s="33"/>
    </row>
    <row r="30" spans="2:10" x14ac:dyDescent="0.25">
      <c r="B30" s="1" t="s">
        <v>90</v>
      </c>
      <c r="C30" s="20" t="s">
        <v>91</v>
      </c>
      <c r="D30" s="29" t="s">
        <v>92</v>
      </c>
      <c r="E30" s="30"/>
      <c r="F30" s="30" t="s">
        <v>93</v>
      </c>
      <c r="G30" s="31">
        <v>12146</v>
      </c>
      <c r="H30" s="32">
        <v>133.99</v>
      </c>
      <c r="I30" s="32">
        <v>1.72</v>
      </c>
      <c r="J30" s="33"/>
    </row>
    <row r="31" spans="2:10" x14ac:dyDescent="0.25">
      <c r="B31" s="1" t="s">
        <v>94</v>
      </c>
      <c r="C31" s="20" t="s">
        <v>95</v>
      </c>
      <c r="D31" s="29" t="s">
        <v>96</v>
      </c>
      <c r="E31" s="30"/>
      <c r="F31" s="30" t="s">
        <v>74</v>
      </c>
      <c r="G31" s="31">
        <v>2087</v>
      </c>
      <c r="H31" s="32">
        <v>133.69</v>
      </c>
      <c r="I31" s="32">
        <v>1.71</v>
      </c>
      <c r="J31" s="33"/>
    </row>
    <row r="32" spans="2:10" x14ac:dyDescent="0.25">
      <c r="B32" s="1" t="s">
        <v>97</v>
      </c>
      <c r="C32" s="20" t="s">
        <v>98</v>
      </c>
      <c r="D32" s="29" t="s">
        <v>99</v>
      </c>
      <c r="E32" s="30"/>
      <c r="F32" s="30" t="s">
        <v>74</v>
      </c>
      <c r="G32" s="31">
        <v>2780</v>
      </c>
      <c r="H32" s="32">
        <v>127.75</v>
      </c>
      <c r="I32" s="32">
        <v>1.64</v>
      </c>
      <c r="J32" s="33"/>
    </row>
    <row r="33" spans="2:10" x14ac:dyDescent="0.25">
      <c r="B33" s="1" t="s">
        <v>100</v>
      </c>
      <c r="C33" s="20" t="s">
        <v>101</v>
      </c>
      <c r="D33" s="29" t="s">
        <v>102</v>
      </c>
      <c r="E33" s="30"/>
      <c r="F33" s="30" t="s">
        <v>93</v>
      </c>
      <c r="G33" s="31">
        <v>38665</v>
      </c>
      <c r="H33" s="32">
        <v>106.81</v>
      </c>
      <c r="I33" s="32">
        <v>1.37</v>
      </c>
      <c r="J33" s="33"/>
    </row>
    <row r="34" spans="2:10" x14ac:dyDescent="0.25">
      <c r="B34" s="1" t="s">
        <v>103</v>
      </c>
      <c r="C34" s="20" t="s">
        <v>104</v>
      </c>
      <c r="D34" s="29" t="s">
        <v>105</v>
      </c>
      <c r="E34" s="30"/>
      <c r="F34" s="30" t="s">
        <v>106</v>
      </c>
      <c r="G34" s="31">
        <v>54767</v>
      </c>
      <c r="H34" s="32">
        <v>104.63</v>
      </c>
      <c r="I34" s="32">
        <v>1.34</v>
      </c>
      <c r="J34" s="33"/>
    </row>
    <row r="35" spans="2:10" x14ac:dyDescent="0.25">
      <c r="B35" s="1" t="s">
        <v>107</v>
      </c>
      <c r="C35" s="20" t="s">
        <v>108</v>
      </c>
      <c r="D35" s="29" t="s">
        <v>109</v>
      </c>
      <c r="E35" s="30"/>
      <c r="F35" s="30" t="s">
        <v>110</v>
      </c>
      <c r="G35" s="31">
        <v>35662</v>
      </c>
      <c r="H35" s="32">
        <v>101.26</v>
      </c>
      <c r="I35" s="32">
        <v>1.3</v>
      </c>
      <c r="J35" s="33"/>
    </row>
    <row r="36" spans="2:10" x14ac:dyDescent="0.25">
      <c r="B36" s="1" t="s">
        <v>111</v>
      </c>
      <c r="C36" s="20" t="s">
        <v>112</v>
      </c>
      <c r="D36" s="29" t="s">
        <v>113</v>
      </c>
      <c r="E36" s="30"/>
      <c r="F36" s="30" t="s">
        <v>114</v>
      </c>
      <c r="G36" s="31">
        <v>4280</v>
      </c>
      <c r="H36" s="32">
        <v>77.95</v>
      </c>
      <c r="I36" s="32">
        <v>1</v>
      </c>
      <c r="J36" s="33"/>
    </row>
    <row r="37" spans="2:10" x14ac:dyDescent="0.25">
      <c r="B37" s="1" t="s">
        <v>115</v>
      </c>
      <c r="C37" s="20" t="s">
        <v>116</v>
      </c>
      <c r="D37" s="29" t="s">
        <v>117</v>
      </c>
      <c r="E37" s="30"/>
      <c r="F37" s="30" t="s">
        <v>93</v>
      </c>
      <c r="G37" s="31">
        <v>11444</v>
      </c>
      <c r="H37" s="32">
        <v>77.5</v>
      </c>
      <c r="I37" s="32">
        <v>0.99</v>
      </c>
      <c r="J37" s="33"/>
    </row>
    <row r="38" spans="2:10" x14ac:dyDescent="0.25">
      <c r="B38" s="1" t="s">
        <v>118</v>
      </c>
      <c r="C38" s="20" t="s">
        <v>119</v>
      </c>
      <c r="D38" s="29" t="s">
        <v>120</v>
      </c>
      <c r="E38" s="30"/>
      <c r="F38" s="30" t="s">
        <v>121</v>
      </c>
      <c r="G38" s="31">
        <v>9499</v>
      </c>
      <c r="H38" s="32">
        <v>72.69</v>
      </c>
      <c r="I38" s="32">
        <v>0.93</v>
      </c>
      <c r="J38" s="33"/>
    </row>
    <row r="39" spans="2:10" x14ac:dyDescent="0.25">
      <c r="B39" s="1" t="s">
        <v>122</v>
      </c>
      <c r="C39" s="20" t="s">
        <v>123</v>
      </c>
      <c r="D39" s="29" t="s">
        <v>124</v>
      </c>
      <c r="E39" s="30"/>
      <c r="F39" s="30" t="s">
        <v>66</v>
      </c>
      <c r="G39" s="31">
        <v>72548</v>
      </c>
      <c r="H39" s="32">
        <v>71.86</v>
      </c>
      <c r="I39" s="32">
        <v>0.92</v>
      </c>
      <c r="J39" s="33"/>
    </row>
    <row r="40" spans="2:10" x14ac:dyDescent="0.25">
      <c r="B40" s="1" t="s">
        <v>125</v>
      </c>
      <c r="C40" s="20" t="s">
        <v>126</v>
      </c>
      <c r="D40" s="29" t="s">
        <v>127</v>
      </c>
      <c r="E40" s="30"/>
      <c r="F40" s="30" t="s">
        <v>128</v>
      </c>
      <c r="G40" s="31">
        <v>6500</v>
      </c>
      <c r="H40" s="32">
        <v>67.709999999999994</v>
      </c>
      <c r="I40" s="32">
        <v>0.87</v>
      </c>
      <c r="J40" s="33"/>
    </row>
    <row r="41" spans="2:10" x14ac:dyDescent="0.25">
      <c r="B41" s="1" t="s">
        <v>129</v>
      </c>
      <c r="C41" s="20" t="s">
        <v>130</v>
      </c>
      <c r="D41" s="29" t="s">
        <v>131</v>
      </c>
      <c r="E41" s="30"/>
      <c r="F41" s="30" t="s">
        <v>132</v>
      </c>
      <c r="G41" s="31">
        <v>4330</v>
      </c>
      <c r="H41" s="32">
        <v>22.14</v>
      </c>
      <c r="I41" s="32">
        <v>0.28000000000000003</v>
      </c>
      <c r="J41" s="33"/>
    </row>
    <row r="42" spans="2:10" x14ac:dyDescent="0.25">
      <c r="C42" s="28" t="s">
        <v>133</v>
      </c>
      <c r="D42" s="29"/>
      <c r="E42" s="30"/>
      <c r="F42" s="30"/>
      <c r="G42" s="31"/>
      <c r="H42" s="35">
        <v>7672.29</v>
      </c>
      <c r="I42" s="35">
        <v>98.38</v>
      </c>
      <c r="J42" s="33"/>
    </row>
    <row r="43" spans="2:10" x14ac:dyDescent="0.25">
      <c r="C43" s="20"/>
      <c r="D43" s="29"/>
      <c r="E43" s="30"/>
      <c r="F43" s="30"/>
      <c r="G43" s="31"/>
      <c r="H43" s="32"/>
      <c r="I43" s="32"/>
      <c r="J43" s="33"/>
    </row>
    <row r="44" spans="2:10" x14ac:dyDescent="0.25">
      <c r="C44" s="28" t="s">
        <v>134</v>
      </c>
      <c r="D44" s="29"/>
      <c r="E44" s="30"/>
      <c r="F44" s="30"/>
      <c r="G44" s="31"/>
      <c r="H44" s="32" t="s">
        <v>135</v>
      </c>
      <c r="I44" s="32" t="s">
        <v>135</v>
      </c>
      <c r="J44" s="33"/>
    </row>
    <row r="45" spans="2:10" x14ac:dyDescent="0.25">
      <c r="C45" s="20"/>
      <c r="D45" s="29"/>
      <c r="E45" s="30"/>
      <c r="F45" s="30"/>
      <c r="G45" s="31"/>
      <c r="H45" s="32"/>
      <c r="I45" s="32"/>
      <c r="J45" s="33"/>
    </row>
    <row r="46" spans="2:10" x14ac:dyDescent="0.25">
      <c r="C46" s="28" t="s">
        <v>136</v>
      </c>
      <c r="D46" s="29"/>
      <c r="E46" s="30"/>
      <c r="F46" s="30"/>
      <c r="G46" s="31"/>
      <c r="H46" s="32" t="s">
        <v>135</v>
      </c>
      <c r="I46" s="32" t="s">
        <v>135</v>
      </c>
      <c r="J46" s="33"/>
    </row>
    <row r="47" spans="2:10" x14ac:dyDescent="0.25">
      <c r="C47" s="20"/>
      <c r="D47" s="29"/>
      <c r="E47" s="30"/>
      <c r="F47" s="30"/>
      <c r="G47" s="31"/>
      <c r="H47" s="32"/>
      <c r="I47" s="32"/>
      <c r="J47" s="33"/>
    </row>
    <row r="48" spans="2:10" x14ac:dyDescent="0.25">
      <c r="C48" s="28" t="s">
        <v>137</v>
      </c>
      <c r="D48" s="29"/>
      <c r="E48" s="30"/>
      <c r="F48" s="30"/>
      <c r="G48" s="31"/>
      <c r="H48" s="32"/>
      <c r="I48" s="32"/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138</v>
      </c>
      <c r="D50" s="29"/>
      <c r="E50" s="30"/>
      <c r="F50" s="30"/>
      <c r="G50" s="31"/>
      <c r="H50" s="32" t="s">
        <v>135</v>
      </c>
      <c r="I50" s="32" t="s">
        <v>135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139</v>
      </c>
      <c r="D52" s="29"/>
      <c r="E52" s="30"/>
      <c r="F52" s="30"/>
      <c r="G52" s="31"/>
      <c r="H52" s="32" t="s">
        <v>135</v>
      </c>
      <c r="I52" s="32" t="s">
        <v>135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140</v>
      </c>
      <c r="D54" s="29"/>
      <c r="E54" s="30"/>
      <c r="F54" s="30"/>
      <c r="G54" s="31"/>
      <c r="H54" s="32" t="s">
        <v>135</v>
      </c>
      <c r="I54" s="32" t="s">
        <v>135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141</v>
      </c>
      <c r="D56" s="29"/>
      <c r="E56" s="30"/>
      <c r="F56" s="30"/>
      <c r="G56" s="31"/>
      <c r="H56" s="32" t="s">
        <v>135</v>
      </c>
      <c r="I56" s="32" t="s">
        <v>135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142</v>
      </c>
      <c r="D58" s="29"/>
      <c r="E58" s="30"/>
      <c r="F58" s="30"/>
      <c r="G58" s="31"/>
      <c r="H58" s="32" t="s">
        <v>135</v>
      </c>
      <c r="I58" s="32" t="s">
        <v>135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143</v>
      </c>
      <c r="D60" s="29"/>
      <c r="E60" s="30"/>
      <c r="F60" s="30"/>
      <c r="G60" s="31"/>
      <c r="H60" s="32"/>
      <c r="I60" s="32"/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144</v>
      </c>
      <c r="D62" s="29"/>
      <c r="E62" s="30"/>
      <c r="F62" s="30"/>
      <c r="G62" s="31"/>
      <c r="H62" s="32" t="s">
        <v>135</v>
      </c>
      <c r="I62" s="32" t="s">
        <v>135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145</v>
      </c>
      <c r="D64" s="29"/>
      <c r="E64" s="30"/>
      <c r="F64" s="30"/>
      <c r="G64" s="31"/>
      <c r="H64" s="32" t="s">
        <v>135</v>
      </c>
      <c r="I64" s="32" t="s">
        <v>135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146</v>
      </c>
      <c r="D66" s="29"/>
      <c r="E66" s="30"/>
      <c r="F66" s="30"/>
      <c r="G66" s="31"/>
      <c r="H66" s="32" t="s">
        <v>135</v>
      </c>
      <c r="I66" s="32" t="s">
        <v>135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147</v>
      </c>
      <c r="D68" s="29"/>
      <c r="E68" s="30"/>
      <c r="F68" s="30"/>
      <c r="G68" s="31"/>
      <c r="H68" s="32" t="s">
        <v>135</v>
      </c>
      <c r="I68" s="32" t="s">
        <v>135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148</v>
      </c>
      <c r="D70" s="29"/>
      <c r="E70" s="30"/>
      <c r="F70" s="30"/>
      <c r="G70" s="31"/>
      <c r="H70" s="32"/>
      <c r="I70" s="32"/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149</v>
      </c>
      <c r="D72" s="29"/>
      <c r="E72" s="30"/>
      <c r="F72" s="30"/>
      <c r="G72" s="31"/>
      <c r="H72" s="32" t="s">
        <v>135</v>
      </c>
      <c r="I72" s="32" t="s">
        <v>135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150</v>
      </c>
      <c r="D74" s="29"/>
      <c r="E74" s="30"/>
      <c r="F74" s="30"/>
      <c r="G74" s="31"/>
      <c r="H74" s="32" t="s">
        <v>135</v>
      </c>
      <c r="I74" s="32" t="s">
        <v>135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151</v>
      </c>
      <c r="D76" s="29"/>
      <c r="E76" s="30"/>
      <c r="F76" s="30"/>
      <c r="G76" s="31"/>
      <c r="H76" s="32" t="s">
        <v>135</v>
      </c>
      <c r="I76" s="32" t="s">
        <v>135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152</v>
      </c>
      <c r="D78" s="29"/>
      <c r="E78" s="30"/>
      <c r="F78" s="30"/>
      <c r="G78" s="31"/>
      <c r="H78" s="32" t="s">
        <v>135</v>
      </c>
      <c r="I78" s="32" t="s">
        <v>135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153</v>
      </c>
      <c r="D80" s="29"/>
      <c r="E80" s="30"/>
      <c r="F80" s="30"/>
      <c r="G80" s="31"/>
      <c r="H80" s="32" t="s">
        <v>135</v>
      </c>
      <c r="I80" s="32" t="s">
        <v>135</v>
      </c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C82" s="28" t="s">
        <v>154</v>
      </c>
      <c r="D82" s="29"/>
      <c r="E82" s="30"/>
      <c r="F82" s="30"/>
      <c r="G82" s="31"/>
      <c r="H82" s="32" t="s">
        <v>135</v>
      </c>
      <c r="I82" s="32" t="s">
        <v>135</v>
      </c>
      <c r="J82" s="33"/>
    </row>
    <row r="83" spans="1:10" x14ac:dyDescent="0.25">
      <c r="C83" s="20"/>
      <c r="D83" s="29"/>
      <c r="E83" s="30"/>
      <c r="F83" s="30"/>
      <c r="G83" s="31"/>
      <c r="H83" s="32"/>
      <c r="I83" s="32"/>
      <c r="J83" s="33"/>
    </row>
    <row r="84" spans="1:10" x14ac:dyDescent="0.25">
      <c r="A84" s="26"/>
      <c r="B84" s="27"/>
      <c r="C84" s="28" t="s">
        <v>155</v>
      </c>
      <c r="D84" s="29"/>
      <c r="E84" s="30"/>
      <c r="F84" s="30"/>
      <c r="G84" s="31"/>
      <c r="H84" s="32"/>
      <c r="I84" s="32"/>
      <c r="J84" s="33"/>
    </row>
    <row r="85" spans="1:10" x14ac:dyDescent="0.25">
      <c r="B85" s="1"/>
      <c r="C85" s="20" t="s">
        <v>156</v>
      </c>
      <c r="D85" s="29"/>
      <c r="E85" s="30"/>
      <c r="F85" s="30"/>
      <c r="G85" s="31"/>
      <c r="H85" s="32">
        <v>123.12</v>
      </c>
      <c r="I85" s="32">
        <v>1.62</v>
      </c>
      <c r="J85" s="33"/>
    </row>
    <row r="86" spans="1:10" x14ac:dyDescent="0.25">
      <c r="C86" s="28" t="s">
        <v>133</v>
      </c>
      <c r="D86" s="29"/>
      <c r="E86" s="30"/>
      <c r="F86" s="30"/>
      <c r="G86" s="31"/>
      <c r="H86" s="35">
        <v>123.12</v>
      </c>
      <c r="I86" s="35">
        <v>1.62</v>
      </c>
      <c r="J86" s="33"/>
    </row>
    <row r="87" spans="1:10" x14ac:dyDescent="0.25">
      <c r="C87" s="20"/>
      <c r="D87" s="29"/>
      <c r="E87" s="30"/>
      <c r="F87" s="30"/>
      <c r="G87" s="31"/>
      <c r="H87" s="32"/>
      <c r="I87" s="32"/>
      <c r="J87" s="33"/>
    </row>
    <row r="88" spans="1:10" ht="14.25" thickBot="1" x14ac:dyDescent="0.3">
      <c r="C88" s="36" t="s">
        <v>157</v>
      </c>
      <c r="D88" s="37"/>
      <c r="E88" s="38"/>
      <c r="F88" s="39"/>
      <c r="G88" s="40"/>
      <c r="H88" s="41">
        <v>7795.41</v>
      </c>
      <c r="I88" s="41">
        <f>SUMIFS(I:I,C:C,"Total")</f>
        <v>100</v>
      </c>
      <c r="J88" s="42"/>
    </row>
    <row r="91" spans="1:10" x14ac:dyDescent="0.25">
      <c r="C91" s="11" t="s">
        <v>158</v>
      </c>
    </row>
    <row r="92" spans="1:10" x14ac:dyDescent="0.25">
      <c r="C92" s="2" t="s">
        <v>159</v>
      </c>
    </row>
    <row r="93" spans="1:10" x14ac:dyDescent="0.25">
      <c r="C93" s="2" t="s">
        <v>160</v>
      </c>
    </row>
    <row r="94" spans="1:10" x14ac:dyDescent="0.25">
      <c r="C94" s="2" t="s">
        <v>161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C08F3-C77F-449F-BC98-C8D0A2740ECA}">
  <dimension ref="C4:K18"/>
  <sheetViews>
    <sheetView workbookViewId="0"/>
  </sheetViews>
  <sheetFormatPr defaultRowHeight="15" x14ac:dyDescent="0.25"/>
  <cols>
    <col min="3" max="3" width="47.4257812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4" spans="3:11" ht="15.75" x14ac:dyDescent="0.25">
      <c r="C4" s="43" t="s">
        <v>162</v>
      </c>
      <c r="D4" s="44"/>
      <c r="E4" s="44"/>
      <c r="F4" s="44"/>
      <c r="G4" s="44"/>
      <c r="H4" s="44"/>
      <c r="I4" s="44"/>
      <c r="J4" s="44"/>
      <c r="K4" s="44"/>
    </row>
    <row r="5" spans="3:11" x14ac:dyDescent="0.25">
      <c r="C5" s="45" t="s">
        <v>163</v>
      </c>
      <c r="D5" s="46" t="s">
        <v>164</v>
      </c>
      <c r="E5" s="46"/>
      <c r="F5" s="46" t="s">
        <v>165</v>
      </c>
      <c r="G5" s="46"/>
      <c r="H5" s="46" t="s">
        <v>166</v>
      </c>
      <c r="I5" s="46"/>
      <c r="J5" s="46" t="s">
        <v>167</v>
      </c>
      <c r="K5" s="46"/>
    </row>
    <row r="6" spans="3:11" ht="63.75" x14ac:dyDescent="0.25">
      <c r="C6" s="47"/>
      <c r="D6" s="48" t="s">
        <v>168</v>
      </c>
      <c r="E6" s="48" t="s">
        <v>169</v>
      </c>
      <c r="F6" s="48" t="s">
        <v>168</v>
      </c>
      <c r="G6" s="48" t="s">
        <v>169</v>
      </c>
      <c r="H6" s="48" t="s">
        <v>168</v>
      </c>
      <c r="I6" s="48" t="s">
        <v>169</v>
      </c>
      <c r="J6" s="48" t="s">
        <v>168</v>
      </c>
      <c r="K6" s="48" t="s">
        <v>169</v>
      </c>
    </row>
    <row r="7" spans="3:11" x14ac:dyDescent="0.25">
      <c r="C7" s="49" t="s">
        <v>170</v>
      </c>
      <c r="D7" s="50">
        <v>33.474706971005538</v>
      </c>
      <c r="E7" s="50">
        <v>13347.470697100554</v>
      </c>
      <c r="F7" s="50">
        <v>18.121912630198288</v>
      </c>
      <c r="G7" s="50">
        <v>16473.779385171791</v>
      </c>
      <c r="H7" s="50">
        <v>16.828998915399751</v>
      </c>
      <c r="I7" s="50">
        <v>21783.287188522529</v>
      </c>
      <c r="J7" s="50">
        <v>12.260620750427996</v>
      </c>
      <c r="K7" s="50">
        <v>173090</v>
      </c>
    </row>
    <row r="8" spans="3:11" x14ac:dyDescent="0.25">
      <c r="C8" s="49" t="s">
        <v>171</v>
      </c>
      <c r="D8" s="50">
        <v>38.279538499406726</v>
      </c>
      <c r="E8" s="50">
        <v>13827.953849940674</v>
      </c>
      <c r="F8" s="50">
        <v>19.966608855857437</v>
      </c>
      <c r="G8" s="50">
        <v>17265.579039244738</v>
      </c>
      <c r="H8" s="50">
        <v>19.945346600322523</v>
      </c>
      <c r="I8" s="50">
        <v>24826.586946969819</v>
      </c>
      <c r="J8" s="50">
        <v>0</v>
      </c>
      <c r="K8" s="50">
        <v>0</v>
      </c>
    </row>
    <row r="9" spans="3:11" x14ac:dyDescent="0.25">
      <c r="C9" s="49" t="s">
        <v>172</v>
      </c>
      <c r="D9" s="50">
        <v>26.655749448050848</v>
      </c>
      <c r="E9" s="50">
        <v>12665.574944805085</v>
      </c>
      <c r="F9" s="50">
        <v>16.55232376873219</v>
      </c>
      <c r="G9" s="50">
        <v>15832.985358067599</v>
      </c>
      <c r="H9" s="50">
        <v>16.659532245726538</v>
      </c>
      <c r="I9" s="50">
        <v>21607.332439649079</v>
      </c>
      <c r="J9" s="50">
        <v>13.298847754142272</v>
      </c>
      <c r="K9" s="50">
        <v>340859.85505263915</v>
      </c>
    </row>
    <row r="10" spans="3:11" x14ac:dyDescent="0.25">
      <c r="C10" s="49" t="s">
        <v>173</v>
      </c>
      <c r="D10" s="51">
        <v>129.68</v>
      </c>
      <c r="E10" s="52"/>
      <c r="F10" s="51">
        <v>105.07</v>
      </c>
      <c r="G10" s="52"/>
      <c r="H10" s="51">
        <v>79.459999999999994</v>
      </c>
      <c r="I10" s="52"/>
      <c r="J10" s="51">
        <v>10</v>
      </c>
      <c r="K10" s="52"/>
    </row>
    <row r="12" spans="3:11" ht="15.75" x14ac:dyDescent="0.25">
      <c r="C12" s="43" t="s">
        <v>174</v>
      </c>
      <c r="D12" s="44"/>
      <c r="E12" s="44"/>
      <c r="F12" s="44"/>
      <c r="G12" s="44"/>
      <c r="H12" s="44"/>
      <c r="I12" s="44"/>
      <c r="J12" s="44"/>
      <c r="K12" s="44"/>
    </row>
    <row r="13" spans="3:11" x14ac:dyDescent="0.25">
      <c r="C13" s="45" t="s">
        <v>163</v>
      </c>
      <c r="D13" s="46" t="s">
        <v>164</v>
      </c>
      <c r="E13" s="46"/>
      <c r="F13" s="46" t="s">
        <v>165</v>
      </c>
      <c r="G13" s="46"/>
      <c r="H13" s="46" t="s">
        <v>166</v>
      </c>
      <c r="I13" s="46"/>
      <c r="J13" s="46" t="s">
        <v>167</v>
      </c>
      <c r="K13" s="46"/>
    </row>
    <row r="14" spans="3:11" ht="63.75" x14ac:dyDescent="0.25">
      <c r="C14" s="47"/>
      <c r="D14" s="48" t="s">
        <v>168</v>
      </c>
      <c r="E14" s="48" t="s">
        <v>169</v>
      </c>
      <c r="F14" s="48" t="s">
        <v>168</v>
      </c>
      <c r="G14" s="48" t="s">
        <v>169</v>
      </c>
      <c r="H14" s="48" t="s">
        <v>168</v>
      </c>
      <c r="I14" s="48" t="s">
        <v>169</v>
      </c>
      <c r="J14" s="48" t="s">
        <v>168</v>
      </c>
      <c r="K14" s="48" t="s">
        <v>169</v>
      </c>
    </row>
    <row r="15" spans="3:11" x14ac:dyDescent="0.25">
      <c r="C15" s="49" t="s">
        <v>170</v>
      </c>
      <c r="D15" s="50">
        <v>34.334025936805922</v>
      </c>
      <c r="E15" s="50">
        <v>13433.40259368059</v>
      </c>
      <c r="F15" s="50">
        <v>18.92610510583388</v>
      </c>
      <c r="G15" s="50">
        <v>16812.230989956959</v>
      </c>
      <c r="H15" s="50">
        <v>17.640346715878643</v>
      </c>
      <c r="I15" s="50">
        <v>22551.118595140728</v>
      </c>
      <c r="J15" s="50">
        <v>14.714815843428219</v>
      </c>
      <c r="K15" s="50">
        <v>48459.550271387954</v>
      </c>
    </row>
    <row r="16" spans="3:11" x14ac:dyDescent="0.25">
      <c r="C16" s="49" t="s">
        <v>171</v>
      </c>
      <c r="D16" s="50">
        <v>38.279538499406726</v>
      </c>
      <c r="E16" s="50">
        <v>13827.953849940674</v>
      </c>
      <c r="F16" s="50">
        <v>19.966608855857437</v>
      </c>
      <c r="G16" s="50">
        <v>17265.579039244738</v>
      </c>
      <c r="H16" s="50">
        <v>19.945346600322523</v>
      </c>
      <c r="I16" s="50">
        <v>24826.586946969819</v>
      </c>
      <c r="J16" s="50">
        <v>15.831622184904592</v>
      </c>
      <c r="K16" s="50">
        <v>54168.87173670913</v>
      </c>
    </row>
    <row r="17" spans="3:11" x14ac:dyDescent="0.25">
      <c r="C17" s="49" t="s">
        <v>172</v>
      </c>
      <c r="D17" s="50">
        <v>26.655749448050848</v>
      </c>
      <c r="E17" s="50">
        <v>12665.574944805085</v>
      </c>
      <c r="F17" s="50">
        <v>16.55232376873219</v>
      </c>
      <c r="G17" s="50">
        <v>15832.985358067599</v>
      </c>
      <c r="H17" s="50">
        <v>16.659532245726538</v>
      </c>
      <c r="I17" s="50">
        <v>21607.332439649079</v>
      </c>
      <c r="J17" s="50">
        <v>14.293271019100096</v>
      </c>
      <c r="K17" s="50">
        <v>46451.439192138874</v>
      </c>
    </row>
    <row r="18" spans="3:11" x14ac:dyDescent="0.25">
      <c r="C18" s="49" t="s">
        <v>175</v>
      </c>
      <c r="D18" s="51">
        <v>139.57</v>
      </c>
      <c r="E18" s="52"/>
      <c r="F18" s="51">
        <v>111.52</v>
      </c>
      <c r="G18" s="52"/>
      <c r="H18" s="51">
        <v>83.14</v>
      </c>
      <c r="I18" s="52"/>
      <c r="J18" s="51">
        <v>38.69</v>
      </c>
      <c r="K18" s="52"/>
    </row>
  </sheetData>
  <mergeCells count="16">
    <mergeCell ref="D13:E13"/>
    <mergeCell ref="F13:G13"/>
    <mergeCell ref="H13:I13"/>
    <mergeCell ref="J13:K13"/>
    <mergeCell ref="D18:E18"/>
    <mergeCell ref="F18:G18"/>
    <mergeCell ref="H18:I18"/>
    <mergeCell ref="J18:K18"/>
    <mergeCell ref="D5:E5"/>
    <mergeCell ref="F5:G5"/>
    <mergeCell ref="H5:I5"/>
    <mergeCell ref="J5:K5"/>
    <mergeCell ref="D10:E10"/>
    <mergeCell ref="F10:G10"/>
    <mergeCell ref="H10:I10"/>
    <mergeCell ref="J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TTS</vt:lpstr>
      <vt:lpstr>TTS Performance</vt:lpstr>
      <vt:lpstr>XDO_?CLASS_3?7?</vt:lpstr>
      <vt:lpstr>XDO_?FINAL_ISIN?14?</vt:lpstr>
      <vt:lpstr>XDO_?FINAL_ISIN?15?</vt:lpstr>
      <vt:lpstr>XDO_?FINAL_MV?14?</vt:lpstr>
      <vt:lpstr>XDO_?FINAL_MV?15?</vt:lpstr>
      <vt:lpstr>XDO_?FINAL_NAME?14?</vt:lpstr>
      <vt:lpstr>XDO_?FINAL_NAME?15?</vt:lpstr>
      <vt:lpstr>XDO_?FINAL_PER_NET?14?</vt:lpstr>
      <vt:lpstr>XDO_?FINAL_PER_NET?15?</vt:lpstr>
      <vt:lpstr>XDO_?FINAL_QUANTITE?14?</vt:lpstr>
      <vt:lpstr>XDO_?FINAL_QUANTITE?15?</vt:lpstr>
      <vt:lpstr>XDO_?IND_01?14?</vt:lpstr>
      <vt:lpstr>XDO_?IND_01?15?</vt:lpstr>
      <vt:lpstr>XDO_?NAMCNAME?7?</vt:lpstr>
      <vt:lpstr>XDO_?NOVAL?14?</vt:lpstr>
      <vt:lpstr>XDO_?NOVAL?15?</vt:lpstr>
      <vt:lpstr>XDO_?NPTF?7?</vt:lpstr>
      <vt:lpstr>XDO_?RATING?14?</vt:lpstr>
      <vt:lpstr>XDO_?RATING?15?</vt:lpstr>
      <vt:lpstr>XDO_?REMARKS?14?</vt:lpstr>
      <vt:lpstr>XDO_?REMARKS?15?</vt:lpstr>
      <vt:lpstr>XDO_?TITL?7?</vt:lpstr>
      <vt:lpstr>XDO_GROUP_?G_2?7?</vt:lpstr>
      <vt:lpstr>XDO_GROUP_?G_3?7?</vt:lpstr>
      <vt:lpstr>XDO_GROUP_?G_4?14?</vt:lpstr>
      <vt:lpstr>XDO_GROUP_?G_4?15?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Sagar Ghadigaonkar</cp:lastModifiedBy>
  <dcterms:created xsi:type="dcterms:W3CDTF">2024-07-01T11:16:49Z</dcterms:created>
  <dcterms:modified xsi:type="dcterms:W3CDTF">2024-07-08T13:07:45Z</dcterms:modified>
</cp:coreProperties>
</file>