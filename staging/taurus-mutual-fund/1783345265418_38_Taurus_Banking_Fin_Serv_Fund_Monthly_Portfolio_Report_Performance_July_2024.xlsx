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4-25\August 2024\Portfolio\Ops\"/>
    </mc:Choice>
  </mc:AlternateContent>
  <xr:revisionPtr revIDLastSave="0" documentId="13_ncr:1_{38B494D6-80CD-41E4-AF13-2FFB39BAF873}" xr6:coauthVersionLast="47" xr6:coauthVersionMax="47" xr10:uidLastSave="{00000000-0000-0000-0000-000000000000}"/>
  <bookViews>
    <workbookView xWindow="-120" yWindow="-120" windowWidth="20730" windowHeight="11040" xr2:uid="{2DAAABC6-4E56-466E-AEAC-4E67A30AAD63}"/>
  </bookViews>
  <sheets>
    <sheet name="TBFS" sheetId="1" r:id="rId1"/>
    <sheet name="TBFS-Performance" sheetId="2" r:id="rId2"/>
  </sheets>
  <externalReferences>
    <externalReference r:id="rId3"/>
  </externalReferences>
  <definedNames>
    <definedName name="XDO_?CLASS_3?1?">TBFS!$C$8:$C$28</definedName>
    <definedName name="XDO_?FINAL_ISIN?1?">TBFS!$D$10:$D$28</definedName>
    <definedName name="XDO_?FINAL_ISIN?2?">TBFS!$D$10:$D$72</definedName>
    <definedName name="XDO_?FINAL_MV?1?">TBFS!$H$10:$H$28</definedName>
    <definedName name="XDO_?FINAL_MV?2?">TBFS!$H$10:$H$72</definedName>
    <definedName name="XDO_?FINAL_NAME?1?">TBFS!$C$10:$C$28</definedName>
    <definedName name="XDO_?FINAL_NAME?2?">TBFS!$C$10:$C$72</definedName>
    <definedName name="XDO_?FINAL_PER_NET?1?">TBFS!$I$10:$I$28</definedName>
    <definedName name="XDO_?FINAL_PER_NET?2?">TBFS!$I$10:$I$72</definedName>
    <definedName name="XDO_?FINAL_QUANTITE?1?">TBFS!$G$10:$G$28</definedName>
    <definedName name="XDO_?FINAL_QUANTITE?2?">TBFS!$G$10:$G$72</definedName>
    <definedName name="XDO_?IND_01?1?">TBFS!$F$10:$F$28</definedName>
    <definedName name="XDO_?IND_01?2?">TBFS!$F$10:$F$72</definedName>
    <definedName name="XDO_?NAMC?">[1]TBF!#REF!</definedName>
    <definedName name="XDO_?NAMC?1?">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1?">TBFS!$C$2:$C$28</definedName>
    <definedName name="XDO_?NDATE?">[1]TBF!#REF!</definedName>
    <definedName name="XDO_?NDATE?1?">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1?">TBFS!$B$10:$B$28</definedName>
    <definedName name="XDO_?NOVAL?2?">TBFS!$B$10:$B$72</definedName>
    <definedName name="XDO_?NPTF?1?">TBFS!$D$2:$D$28</definedName>
    <definedName name="XDO_?RATING?1?">TBFS!$E$10:$E$28</definedName>
    <definedName name="XDO_?RATING?2?">TBFS!$E$10:$E$72</definedName>
    <definedName name="XDO_?REMARKS?1?">TBFS!$J$10:$J$28</definedName>
    <definedName name="XDO_?REMARKS?2?">TBFS!$J$10:$J$72</definedName>
    <definedName name="XDO_?TITL?1?">TBFS!$A$8:$A$28</definedName>
    <definedName name="XDO_GROUP_?G_2?1?">TBFS!$2:$75</definedName>
    <definedName name="XDO_GROUP_?G_3?1?">TBFS!$8:$74</definedName>
    <definedName name="XDO_GROUP_?G_4?1?">TBFS!$B$10:$IV$28</definedName>
    <definedName name="XDO_GROUP_?G_4?2?">TBFS!$B$72:$IV$72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5" i="1" l="1"/>
</calcChain>
</file>

<file path=xl/sharedStrings.xml><?xml version="1.0" encoding="utf-8"?>
<sst xmlns="http://schemas.openxmlformats.org/spreadsheetml/2006/main" count="190" uniqueCount="119">
  <si>
    <t>TAURUS MUTUAL FUND</t>
  </si>
  <si>
    <t>TBFS</t>
  </si>
  <si>
    <t>SCHEME NAME :</t>
  </si>
  <si>
    <t>Taurus Banking &amp; Financial Services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</si>
  <si>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</si>
  <si>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</si>
  <si>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</si>
  <si>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</si>
  <si>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</si>
  <si>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</si>
  <si>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</si>
  <si>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</si>
  <si>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</si>
  <si>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</si>
  <si>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</si>
  <si>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</si>
  <si>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</si>
  <si>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</si>
  <si>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</si>
  <si>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</si>
  <si>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</si>
  <si>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</si>
  <si>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100010</t>
  </si>
  <si>
    <t>State Bank of India</t>
  </si>
  <si>
    <t>INE062A01020</t>
  </si>
  <si>
    <t>100024</t>
  </si>
  <si>
    <t>Axis Bank Ltd.</t>
  </si>
  <si>
    <t>INE238A01034</t>
  </si>
  <si>
    <t>100361</t>
  </si>
  <si>
    <t>Bank of India</t>
  </si>
  <si>
    <t>INE084A01016</t>
  </si>
  <si>
    <t>100104</t>
  </si>
  <si>
    <t>Kotak Mahindra Bank Ltd.</t>
  </si>
  <si>
    <t>INE237A01028</t>
  </si>
  <si>
    <t>100013</t>
  </si>
  <si>
    <t>IndusInd Bank Ltd.</t>
  </si>
  <si>
    <t>INE095A01012</t>
  </si>
  <si>
    <t>100055</t>
  </si>
  <si>
    <t>The Federal Bank Ltd.</t>
  </si>
  <si>
    <t>INE171A01029</t>
  </si>
  <si>
    <t>100325</t>
  </si>
  <si>
    <t>Bajaj Holdings &amp; Investment Ltd.</t>
  </si>
  <si>
    <t>INE118A01012</t>
  </si>
  <si>
    <t>Finance</t>
  </si>
  <si>
    <t>101740</t>
  </si>
  <si>
    <t>Prudent Corporate Advisory Services Ltd.</t>
  </si>
  <si>
    <t>INE00F201020</t>
  </si>
  <si>
    <t>Capital Markets</t>
  </si>
  <si>
    <t>100706</t>
  </si>
  <si>
    <t>HDFC Life Insurance Company Ltd.</t>
  </si>
  <si>
    <t>INE795G01014</t>
  </si>
  <si>
    <t>Insurance</t>
  </si>
  <si>
    <t>101210</t>
  </si>
  <si>
    <t>Credit Access Grameen Ltd.</t>
  </si>
  <si>
    <t>INE741K01010</t>
  </si>
  <si>
    <t>101178</t>
  </si>
  <si>
    <t>Computer Age Management Services Ltd.</t>
  </si>
  <si>
    <t>INE596I01012</t>
  </si>
  <si>
    <t>100191</t>
  </si>
  <si>
    <t>Canara Bank</t>
  </si>
  <si>
    <t>INE476A01022</t>
  </si>
  <si>
    <t>101181</t>
  </si>
  <si>
    <t>UTI Asset Management Co. Ltd.</t>
  </si>
  <si>
    <t>INE094J01016</t>
  </si>
  <si>
    <t>100665</t>
  </si>
  <si>
    <t>Aditya Birla Capital Ltd.</t>
  </si>
  <si>
    <t>INE674K01013</t>
  </si>
  <si>
    <t>100211</t>
  </si>
  <si>
    <t>IDFC First Bank Ltd.</t>
  </si>
  <si>
    <t>INE092T01019</t>
  </si>
  <si>
    <t>100399</t>
  </si>
  <si>
    <t>Cholamandalam Investment &amp; Finance Co. Ltd.</t>
  </si>
  <si>
    <t>INE121A01024</t>
  </si>
  <si>
    <t>100073</t>
  </si>
  <si>
    <t>CARE Ratings Ltd.</t>
  </si>
  <si>
    <t>INE752H01013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</si>
  <si>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</si>
  <si>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</si>
  <si>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</si>
  <si>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</si>
  <si>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</si>
  <si>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</si>
  <si>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</si>
  <si>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</si>
  <si>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</si>
  <si>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</si>
  <si>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</si>
  <si>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</si>
  <si>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</si>
  <si>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</si>
  <si>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</si>
  <si>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</si>
  <si>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</si>
  <si>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</si>
  <si>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</si>
  <si>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</si>
  <si>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</si>
  <si>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</si>
  <si>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</si>
  <si>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</si>
  <si>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</si>
  <si>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</si>
  <si>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</si>
  <si>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</si>
  <si>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</si>
  <si>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Banking &amp; Financial Services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</si>
  <si>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</si>
  <si>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</si>
  <si>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</si>
  <si>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</si>
  <si>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</si>
  <si>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</si>
  <si>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</si>
  <si>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</si>
  <si>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BSE Bankex Index TRI (Benchmark)</t>
  </si>
  <si>
    <t>Nifty 50 TRI (Additional Benchmark)</t>
  </si>
  <si>
    <t>NAV [Rs.] Per Unit (as on July 31, 2024 : 50.99)</t>
  </si>
  <si>
    <t>Taurus Banking &amp; Financial Services Fund - Direct Plan Growth Option</t>
  </si>
  <si>
    <t>NAV [Rs.] Per Unit (as on July 31, 2024 : 56.56)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</si>
</sst>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Fill="1" applyBorder="1" applyAlignment="1">
      <alignment horizontal="center"/>
    </xf>
    <xf numFmtId="168" fontId="1" fillId="0" borderId="19" xfId="1" applyNumberFormat="1" applyFill="1" applyBorder="1" applyAlignment="1">
      <alignment horizontal="center"/>
    </xf>
    <xf numFmtId="168" fontId="1" fillId="0" borderId="20" xfId="1" applyNumberFormat="1" applyFill="1" applyBorder="1" applyAlignment="1">
      <alignment horizontal="center"/>
    </xf>
  </cellXfs>
  <cellStyles count="6">
    <cellStyle name="Comma" xfId="1" builtinId="3"/>
    <cellStyle name="Comma 2" xfId="5" xr:uid="{7C085469-7453-4F7F-9F0A-68FB7FBBC8EE}"/>
    <cellStyle name="Hyperlink" xfId="2" builtinId="8"/>
    <cellStyle name="Normal" xfId="0" builtinId="0"/>
    <cellStyle name="Normal 2" xfId="4" xr:uid="{63D4581D-DA38-4700-A80E-2C405CFBAD56}"/>
    <cellStyle name="Style 1" xfId="3" xr:uid="{A3EA9433-6EAD-456F-B9CA-5A8B076263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285290</xdr:colOff>
      <xdr:row>0</xdr:row>
      <xdr:rowOff>2127250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4FF7F5-842B-4127-A489-E0CB221B1F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333" y="0"/>
          <a:ext cx="7037457" cy="212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July_2024\Client%20Report\TMF_Monthly_Portfolio_Report_July%2024.xls" TargetMode="External"/><Relationship Id="rId1" Type="http://schemas.openxmlformats.org/officeDocument/2006/relationships/externalLinkPath" Target="file:///Q:\5.TMF\Reporting\Monthly%20Reports\Monthly%20Portfolio\2024-25\July_2024\Client%20Report\TMF_Monthly_Portfolio_Report_July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CFCA4-34EA-46BC-AAAB-F214938A604F}">
  <dimension ref="A1:BB81"/>
  <sheetViews>
    <sheetView showGridLines="0" tabSelected="1" zoomScale="90" zoomScaleNormal="90" workbookViewId="0">
      <selection activeCell="E1" sqref="E1"/>
    </sheetView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0.1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45504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12857</v>
      </c>
      <c r="H10" s="32">
        <v>207.9</v>
      </c>
      <c r="I10" s="32">
        <v>18.57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16800</v>
      </c>
      <c r="H11" s="32">
        <v>204.09</v>
      </c>
      <c r="I11" s="32">
        <v>18.23</v>
      </c>
      <c r="J11" s="33"/>
    </row>
    <row r="12" spans="1:54" x14ac:dyDescent="0.25">
      <c r="B12" s="1" t="s">
        <v>22</v>
      </c>
      <c r="C12" s="20" t="s">
        <v>23</v>
      </c>
      <c r="D12" s="29" t="s">
        <v>24</v>
      </c>
      <c r="E12" s="30"/>
      <c r="F12" s="30" t="s">
        <v>18</v>
      </c>
      <c r="G12" s="31">
        <v>16568</v>
      </c>
      <c r="H12" s="32">
        <v>144.6</v>
      </c>
      <c r="I12" s="32">
        <v>12.92</v>
      </c>
      <c r="J12" s="33"/>
    </row>
    <row r="13" spans="1:54" x14ac:dyDescent="0.25">
      <c r="B13" s="1" t="s">
        <v>25</v>
      </c>
      <c r="C13" s="20" t="s">
        <v>26</v>
      </c>
      <c r="D13" s="29" t="s">
        <v>27</v>
      </c>
      <c r="E13" s="30"/>
      <c r="F13" s="30" t="s">
        <v>18</v>
      </c>
      <c r="G13" s="31">
        <v>9110</v>
      </c>
      <c r="H13" s="32">
        <v>106.24</v>
      </c>
      <c r="I13" s="32">
        <v>9.49</v>
      </c>
      <c r="J13" s="33"/>
    </row>
    <row r="14" spans="1:54" x14ac:dyDescent="0.25">
      <c r="B14" s="1" t="s">
        <v>28</v>
      </c>
      <c r="C14" s="20" t="s">
        <v>29</v>
      </c>
      <c r="D14" s="29" t="s">
        <v>30</v>
      </c>
      <c r="E14" s="30"/>
      <c r="F14" s="30" t="s">
        <v>18</v>
      </c>
      <c r="G14" s="31">
        <v>57629</v>
      </c>
      <c r="H14" s="32">
        <v>72.5</v>
      </c>
      <c r="I14" s="32">
        <v>6.48</v>
      </c>
      <c r="J14" s="33"/>
    </row>
    <row r="15" spans="1:54" x14ac:dyDescent="0.25">
      <c r="B15" s="1" t="s">
        <v>31</v>
      </c>
      <c r="C15" s="20" t="s">
        <v>32</v>
      </c>
      <c r="D15" s="29" t="s">
        <v>33</v>
      </c>
      <c r="E15" s="30"/>
      <c r="F15" s="30" t="s">
        <v>18</v>
      </c>
      <c r="G15" s="31">
        <v>3916</v>
      </c>
      <c r="H15" s="32">
        <v>70.75</v>
      </c>
      <c r="I15" s="32">
        <v>6.32</v>
      </c>
      <c r="J15" s="33"/>
    </row>
    <row r="16" spans="1:54" x14ac:dyDescent="0.25">
      <c r="B16" s="1" t="s">
        <v>34</v>
      </c>
      <c r="C16" s="20" t="s">
        <v>35</v>
      </c>
      <c r="D16" s="29" t="s">
        <v>36</v>
      </c>
      <c r="E16" s="30"/>
      <c r="F16" s="30" t="s">
        <v>18</v>
      </c>
      <c r="G16" s="31">
        <v>2636</v>
      </c>
      <c r="H16" s="32">
        <v>37.65</v>
      </c>
      <c r="I16" s="32">
        <v>3.36</v>
      </c>
      <c r="J16" s="33"/>
    </row>
    <row r="17" spans="2:10" x14ac:dyDescent="0.25">
      <c r="B17" s="1" t="s">
        <v>37</v>
      </c>
      <c r="C17" s="20" t="s">
        <v>38</v>
      </c>
      <c r="D17" s="29" t="s">
        <v>39</v>
      </c>
      <c r="E17" s="30"/>
      <c r="F17" s="30" t="s">
        <v>18</v>
      </c>
      <c r="G17" s="31">
        <v>17035</v>
      </c>
      <c r="H17" s="32">
        <v>34.299999999999997</v>
      </c>
      <c r="I17" s="32">
        <v>3.06</v>
      </c>
      <c r="J17" s="33"/>
    </row>
    <row r="18" spans="2:10" x14ac:dyDescent="0.25">
      <c r="B18" s="1" t="s">
        <v>40</v>
      </c>
      <c r="C18" s="20" t="s">
        <v>41</v>
      </c>
      <c r="D18" s="29" t="s">
        <v>42</v>
      </c>
      <c r="E18" s="30"/>
      <c r="F18" s="30" t="s">
        <v>43</v>
      </c>
      <c r="G18" s="31">
        <v>346</v>
      </c>
      <c r="H18" s="32">
        <v>33.299999999999997</v>
      </c>
      <c r="I18" s="32">
        <v>2.97</v>
      </c>
      <c r="J18" s="33"/>
    </row>
    <row r="19" spans="2:10" x14ac:dyDescent="0.25">
      <c r="B19" s="1" t="s">
        <v>44</v>
      </c>
      <c r="C19" s="20" t="s">
        <v>45</v>
      </c>
      <c r="D19" s="29" t="s">
        <v>46</v>
      </c>
      <c r="E19" s="30"/>
      <c r="F19" s="30" t="s">
        <v>47</v>
      </c>
      <c r="G19" s="31">
        <v>1332</v>
      </c>
      <c r="H19" s="32">
        <v>30.62</v>
      </c>
      <c r="I19" s="32">
        <v>2.73</v>
      </c>
      <c r="J19" s="33"/>
    </row>
    <row r="20" spans="2:10" x14ac:dyDescent="0.25">
      <c r="B20" s="1" t="s">
        <v>48</v>
      </c>
      <c r="C20" s="20" t="s">
        <v>49</v>
      </c>
      <c r="D20" s="29" t="s">
        <v>50</v>
      </c>
      <c r="E20" s="30"/>
      <c r="F20" s="30" t="s">
        <v>51</v>
      </c>
      <c r="G20" s="31">
        <v>3981</v>
      </c>
      <c r="H20" s="32">
        <v>28.49</v>
      </c>
      <c r="I20" s="32">
        <v>2.54</v>
      </c>
      <c r="J20" s="33"/>
    </row>
    <row r="21" spans="2:10" x14ac:dyDescent="0.25">
      <c r="B21" s="1" t="s">
        <v>52</v>
      </c>
      <c r="C21" s="20" t="s">
        <v>53</v>
      </c>
      <c r="D21" s="29" t="s">
        <v>54</v>
      </c>
      <c r="E21" s="30"/>
      <c r="F21" s="30" t="s">
        <v>43</v>
      </c>
      <c r="G21" s="31">
        <v>2008</v>
      </c>
      <c r="H21" s="32">
        <v>26.64</v>
      </c>
      <c r="I21" s="32">
        <v>2.38</v>
      </c>
      <c r="J21" s="33"/>
    </row>
    <row r="22" spans="2:10" x14ac:dyDescent="0.25">
      <c r="B22" s="1" t="s">
        <v>55</v>
      </c>
      <c r="C22" s="20" t="s">
        <v>56</v>
      </c>
      <c r="D22" s="29" t="s">
        <v>57</v>
      </c>
      <c r="E22" s="30"/>
      <c r="F22" s="30" t="s">
        <v>47</v>
      </c>
      <c r="G22" s="31">
        <v>536</v>
      </c>
      <c r="H22" s="32">
        <v>24.31</v>
      </c>
      <c r="I22" s="32">
        <v>2.17</v>
      </c>
      <c r="J22" s="33"/>
    </row>
    <row r="23" spans="2:10" x14ac:dyDescent="0.25">
      <c r="B23" s="1" t="s">
        <v>58</v>
      </c>
      <c r="C23" s="20" t="s">
        <v>59</v>
      </c>
      <c r="D23" s="29" t="s">
        <v>60</v>
      </c>
      <c r="E23" s="30"/>
      <c r="F23" s="30" t="s">
        <v>18</v>
      </c>
      <c r="G23" s="31">
        <v>18875</v>
      </c>
      <c r="H23" s="32">
        <v>21.65</v>
      </c>
      <c r="I23" s="32">
        <v>1.93</v>
      </c>
      <c r="J23" s="33"/>
    </row>
    <row r="24" spans="2:10" x14ac:dyDescent="0.25">
      <c r="B24" s="1" t="s">
        <v>61</v>
      </c>
      <c r="C24" s="20" t="s">
        <v>62</v>
      </c>
      <c r="D24" s="29" t="s">
        <v>63</v>
      </c>
      <c r="E24" s="30"/>
      <c r="F24" s="30" t="s">
        <v>47</v>
      </c>
      <c r="G24" s="31">
        <v>1899</v>
      </c>
      <c r="H24" s="32">
        <v>19.68</v>
      </c>
      <c r="I24" s="32">
        <v>1.76</v>
      </c>
      <c r="J24" s="33"/>
    </row>
    <row r="25" spans="2:10" x14ac:dyDescent="0.25">
      <c r="B25" s="1" t="s">
        <v>64</v>
      </c>
      <c r="C25" s="20" t="s">
        <v>65</v>
      </c>
      <c r="D25" s="29" t="s">
        <v>66</v>
      </c>
      <c r="E25" s="30"/>
      <c r="F25" s="30" t="s">
        <v>43</v>
      </c>
      <c r="G25" s="31">
        <v>6780</v>
      </c>
      <c r="H25" s="32">
        <v>15.38</v>
      </c>
      <c r="I25" s="32">
        <v>1.37</v>
      </c>
      <c r="J25" s="33"/>
    </row>
    <row r="26" spans="2:10" x14ac:dyDescent="0.25">
      <c r="B26" s="1" t="s">
        <v>67</v>
      </c>
      <c r="C26" s="20" t="s">
        <v>68</v>
      </c>
      <c r="D26" s="29" t="s">
        <v>69</v>
      </c>
      <c r="E26" s="30"/>
      <c r="F26" s="30" t="s">
        <v>18</v>
      </c>
      <c r="G26" s="31">
        <v>16184</v>
      </c>
      <c r="H26" s="32">
        <v>12.3</v>
      </c>
      <c r="I26" s="32">
        <v>1.1000000000000001</v>
      </c>
      <c r="J26" s="33"/>
    </row>
    <row r="27" spans="2:10" x14ac:dyDescent="0.25">
      <c r="B27" s="1" t="s">
        <v>70</v>
      </c>
      <c r="C27" s="20" t="s">
        <v>71</v>
      </c>
      <c r="D27" s="29" t="s">
        <v>72</v>
      </c>
      <c r="E27" s="30"/>
      <c r="F27" s="30" t="s">
        <v>43</v>
      </c>
      <c r="G27" s="31">
        <v>853</v>
      </c>
      <c r="H27" s="32">
        <v>12.08</v>
      </c>
      <c r="I27" s="32">
        <v>1.08</v>
      </c>
      <c r="J27" s="33"/>
    </row>
    <row r="28" spans="2:10" x14ac:dyDescent="0.25">
      <c r="B28" s="1" t="s">
        <v>73</v>
      </c>
      <c r="C28" s="20" t="s">
        <v>74</v>
      </c>
      <c r="D28" s="29" t="s">
        <v>75</v>
      </c>
      <c r="E28" s="30"/>
      <c r="F28" s="30" t="s">
        <v>47</v>
      </c>
      <c r="G28" s="31">
        <v>435</v>
      </c>
      <c r="H28" s="32">
        <v>4.3</v>
      </c>
      <c r="I28" s="32">
        <v>0.38</v>
      </c>
      <c r="J28" s="33"/>
    </row>
    <row r="29" spans="2:10" x14ac:dyDescent="0.25">
      <c r="C29" s="28" t="s">
        <v>76</v>
      </c>
      <c r="D29" s="29"/>
      <c r="E29" s="30"/>
      <c r="F29" s="30"/>
      <c r="G29" s="31"/>
      <c r="H29" s="35">
        <v>1106.78</v>
      </c>
      <c r="I29" s="35">
        <v>98.84</v>
      </c>
      <c r="J29" s="33"/>
    </row>
    <row r="30" spans="2:10" x14ac:dyDescent="0.25">
      <c r="C30" s="20"/>
      <c r="D30" s="29"/>
      <c r="E30" s="30"/>
      <c r="F30" s="30"/>
      <c r="G30" s="31"/>
      <c r="H30" s="32"/>
      <c r="I30" s="32"/>
      <c r="J30" s="33"/>
    </row>
    <row r="31" spans="2:10" x14ac:dyDescent="0.25">
      <c r="C31" s="28" t="s">
        <v>77</v>
      </c>
      <c r="D31" s="29"/>
      <c r="E31" s="30"/>
      <c r="F31" s="30"/>
      <c r="G31" s="31"/>
      <c r="H31" s="32" t="s">
        <v>78</v>
      </c>
      <c r="I31" s="32" t="s">
        <v>78</v>
      </c>
      <c r="J31" s="33"/>
    </row>
    <row r="32" spans="2:10" x14ac:dyDescent="0.25">
      <c r="C32" s="20"/>
      <c r="D32" s="29"/>
      <c r="E32" s="30"/>
      <c r="F32" s="30"/>
      <c r="G32" s="31"/>
      <c r="H32" s="32"/>
      <c r="I32" s="32"/>
      <c r="J32" s="33"/>
    </row>
    <row r="33" spans="3:10" x14ac:dyDescent="0.25">
      <c r="C33" s="28" t="s">
        <v>79</v>
      </c>
      <c r="D33" s="29"/>
      <c r="E33" s="30"/>
      <c r="F33" s="30"/>
      <c r="G33" s="31"/>
      <c r="H33" s="32" t="s">
        <v>78</v>
      </c>
      <c r="I33" s="32" t="s">
        <v>78</v>
      </c>
      <c r="J33" s="33"/>
    </row>
    <row r="34" spans="3:10" x14ac:dyDescent="0.25">
      <c r="C34" s="20"/>
      <c r="D34" s="29"/>
      <c r="E34" s="30"/>
      <c r="F34" s="30"/>
      <c r="G34" s="31"/>
      <c r="H34" s="32"/>
      <c r="I34" s="32"/>
      <c r="J34" s="33"/>
    </row>
    <row r="35" spans="3:10" x14ac:dyDescent="0.25">
      <c r="C35" s="28" t="s">
        <v>80</v>
      </c>
      <c r="D35" s="29"/>
      <c r="E35" s="30"/>
      <c r="F35" s="30"/>
      <c r="G35" s="31"/>
      <c r="H35" s="32"/>
      <c r="I35" s="32"/>
      <c r="J35" s="33"/>
    </row>
    <row r="36" spans="3:10" x14ac:dyDescent="0.25">
      <c r="C36" s="20"/>
      <c r="D36" s="29"/>
      <c r="E36" s="30"/>
      <c r="F36" s="30"/>
      <c r="G36" s="31"/>
      <c r="H36" s="32"/>
      <c r="I36" s="32"/>
      <c r="J36" s="33"/>
    </row>
    <row r="37" spans="3:10" x14ac:dyDescent="0.25">
      <c r="C37" s="28" t="s">
        <v>81</v>
      </c>
      <c r="D37" s="29"/>
      <c r="E37" s="30"/>
      <c r="F37" s="30"/>
      <c r="G37" s="31"/>
      <c r="H37" s="32" t="s">
        <v>78</v>
      </c>
      <c r="I37" s="32" t="s">
        <v>78</v>
      </c>
      <c r="J37" s="33"/>
    </row>
    <row r="38" spans="3:10" x14ac:dyDescent="0.25">
      <c r="C38" s="20"/>
      <c r="D38" s="29"/>
      <c r="E38" s="30"/>
      <c r="F38" s="30"/>
      <c r="G38" s="31"/>
      <c r="H38" s="32"/>
      <c r="I38" s="32"/>
      <c r="J38" s="33"/>
    </row>
    <row r="39" spans="3:10" x14ac:dyDescent="0.25">
      <c r="C39" s="28" t="s">
        <v>82</v>
      </c>
      <c r="D39" s="29"/>
      <c r="E39" s="30"/>
      <c r="F39" s="30"/>
      <c r="G39" s="31"/>
      <c r="H39" s="32" t="s">
        <v>78</v>
      </c>
      <c r="I39" s="32" t="s">
        <v>78</v>
      </c>
      <c r="J39" s="33"/>
    </row>
    <row r="40" spans="3:10" x14ac:dyDescent="0.25">
      <c r="C40" s="20"/>
      <c r="D40" s="29"/>
      <c r="E40" s="30"/>
      <c r="F40" s="30"/>
      <c r="G40" s="31"/>
      <c r="H40" s="32"/>
      <c r="I40" s="32"/>
      <c r="J40" s="33"/>
    </row>
    <row r="41" spans="3:10" x14ac:dyDescent="0.25">
      <c r="C41" s="28" t="s">
        <v>83</v>
      </c>
      <c r="D41" s="29"/>
      <c r="E41" s="30"/>
      <c r="F41" s="30"/>
      <c r="G41" s="31"/>
      <c r="H41" s="32" t="s">
        <v>78</v>
      </c>
      <c r="I41" s="32" t="s">
        <v>78</v>
      </c>
      <c r="J41" s="33"/>
    </row>
    <row r="42" spans="3:10" x14ac:dyDescent="0.25">
      <c r="C42" s="20"/>
      <c r="D42" s="29"/>
      <c r="E42" s="30"/>
      <c r="F42" s="30"/>
      <c r="G42" s="31"/>
      <c r="H42" s="32"/>
      <c r="I42" s="32"/>
      <c r="J42" s="33"/>
    </row>
    <row r="43" spans="3:10" x14ac:dyDescent="0.25">
      <c r="C43" s="28" t="s">
        <v>84</v>
      </c>
      <c r="D43" s="29"/>
      <c r="E43" s="30"/>
      <c r="F43" s="30"/>
      <c r="G43" s="31"/>
      <c r="H43" s="32" t="s">
        <v>78</v>
      </c>
      <c r="I43" s="32" t="s">
        <v>78</v>
      </c>
      <c r="J43" s="33"/>
    </row>
    <row r="44" spans="3:10" x14ac:dyDescent="0.25">
      <c r="C44" s="20"/>
      <c r="D44" s="29"/>
      <c r="E44" s="30"/>
      <c r="F44" s="30"/>
      <c r="G44" s="31"/>
      <c r="H44" s="32"/>
      <c r="I44" s="32"/>
      <c r="J44" s="33"/>
    </row>
    <row r="45" spans="3:10" x14ac:dyDescent="0.25">
      <c r="C45" s="28" t="s">
        <v>85</v>
      </c>
      <c r="D45" s="29"/>
      <c r="E45" s="30"/>
      <c r="F45" s="30"/>
      <c r="G45" s="31"/>
      <c r="H45" s="32" t="s">
        <v>78</v>
      </c>
      <c r="I45" s="32" t="s">
        <v>78</v>
      </c>
      <c r="J45" s="33"/>
    </row>
    <row r="46" spans="3:10" x14ac:dyDescent="0.25">
      <c r="C46" s="20"/>
      <c r="D46" s="29"/>
      <c r="E46" s="30"/>
      <c r="F46" s="30"/>
      <c r="G46" s="31"/>
      <c r="H46" s="32"/>
      <c r="I46" s="32"/>
      <c r="J46" s="33"/>
    </row>
    <row r="47" spans="3:10" x14ac:dyDescent="0.25">
      <c r="C47" s="28" t="s">
        <v>86</v>
      </c>
      <c r="D47" s="29"/>
      <c r="E47" s="30"/>
      <c r="F47" s="30"/>
      <c r="G47" s="31"/>
      <c r="H47" s="32"/>
      <c r="I47" s="32"/>
      <c r="J47" s="33"/>
    </row>
    <row r="48" spans="3:10" x14ac:dyDescent="0.25">
      <c r="C48" s="20"/>
      <c r="D48" s="29"/>
      <c r="E48" s="30"/>
      <c r="F48" s="30"/>
      <c r="G48" s="31"/>
      <c r="H48" s="32"/>
      <c r="I48" s="32"/>
      <c r="J48" s="33"/>
    </row>
    <row r="49" spans="3:10" x14ac:dyDescent="0.25">
      <c r="C49" s="28" t="s">
        <v>87</v>
      </c>
      <c r="D49" s="29"/>
      <c r="E49" s="30"/>
      <c r="F49" s="30"/>
      <c r="G49" s="31"/>
      <c r="H49" s="32" t="s">
        <v>78</v>
      </c>
      <c r="I49" s="32" t="s">
        <v>78</v>
      </c>
      <c r="J49" s="33"/>
    </row>
    <row r="50" spans="3:10" x14ac:dyDescent="0.25">
      <c r="C50" s="20"/>
      <c r="D50" s="29"/>
      <c r="E50" s="30"/>
      <c r="F50" s="30"/>
      <c r="G50" s="31"/>
      <c r="H50" s="32"/>
      <c r="I50" s="32"/>
      <c r="J50" s="33"/>
    </row>
    <row r="51" spans="3:10" x14ac:dyDescent="0.25">
      <c r="C51" s="28" t="s">
        <v>88</v>
      </c>
      <c r="D51" s="29"/>
      <c r="E51" s="30"/>
      <c r="F51" s="30"/>
      <c r="G51" s="31"/>
      <c r="H51" s="32" t="s">
        <v>78</v>
      </c>
      <c r="I51" s="32" t="s">
        <v>78</v>
      </c>
      <c r="J51" s="33"/>
    </row>
    <row r="52" spans="3:10" x14ac:dyDescent="0.25">
      <c r="C52" s="20"/>
      <c r="D52" s="29"/>
      <c r="E52" s="30"/>
      <c r="F52" s="30"/>
      <c r="G52" s="31"/>
      <c r="H52" s="32"/>
      <c r="I52" s="32"/>
      <c r="J52" s="33"/>
    </row>
    <row r="53" spans="3:10" x14ac:dyDescent="0.25">
      <c r="C53" s="28" t="s">
        <v>89</v>
      </c>
      <c r="D53" s="29"/>
      <c r="E53" s="30"/>
      <c r="F53" s="30"/>
      <c r="G53" s="31"/>
      <c r="H53" s="32" t="s">
        <v>78</v>
      </c>
      <c r="I53" s="32" t="s">
        <v>78</v>
      </c>
      <c r="J53" s="33"/>
    </row>
    <row r="54" spans="3:10" x14ac:dyDescent="0.25">
      <c r="C54" s="20"/>
      <c r="D54" s="29"/>
      <c r="E54" s="30"/>
      <c r="F54" s="30"/>
      <c r="G54" s="31"/>
      <c r="H54" s="32"/>
      <c r="I54" s="32"/>
      <c r="J54" s="33"/>
    </row>
    <row r="55" spans="3:10" x14ac:dyDescent="0.25">
      <c r="C55" s="28" t="s">
        <v>90</v>
      </c>
      <c r="D55" s="29"/>
      <c r="E55" s="30"/>
      <c r="F55" s="30"/>
      <c r="G55" s="31"/>
      <c r="H55" s="32" t="s">
        <v>78</v>
      </c>
      <c r="I55" s="32" t="s">
        <v>78</v>
      </c>
      <c r="J55" s="33"/>
    </row>
    <row r="56" spans="3:10" x14ac:dyDescent="0.25">
      <c r="C56" s="20"/>
      <c r="D56" s="29"/>
      <c r="E56" s="30"/>
      <c r="F56" s="30"/>
      <c r="G56" s="31"/>
      <c r="H56" s="32"/>
      <c r="I56" s="32"/>
      <c r="J56" s="33"/>
    </row>
    <row r="57" spans="3:10" x14ac:dyDescent="0.25">
      <c r="C57" s="28" t="s">
        <v>91</v>
      </c>
      <c r="D57" s="29"/>
      <c r="E57" s="30"/>
      <c r="F57" s="30"/>
      <c r="G57" s="31"/>
      <c r="H57" s="32"/>
      <c r="I57" s="32"/>
      <c r="J57" s="33"/>
    </row>
    <row r="58" spans="3:10" x14ac:dyDescent="0.25">
      <c r="C58" s="20"/>
      <c r="D58" s="29"/>
      <c r="E58" s="30"/>
      <c r="F58" s="30"/>
      <c r="G58" s="31"/>
      <c r="H58" s="32"/>
      <c r="I58" s="32"/>
      <c r="J58" s="33"/>
    </row>
    <row r="59" spans="3:10" x14ac:dyDescent="0.25">
      <c r="C59" s="28" t="s">
        <v>92</v>
      </c>
      <c r="D59" s="29"/>
      <c r="E59" s="30"/>
      <c r="F59" s="30"/>
      <c r="G59" s="31"/>
      <c r="H59" s="32" t="s">
        <v>78</v>
      </c>
      <c r="I59" s="32" t="s">
        <v>78</v>
      </c>
      <c r="J59" s="33"/>
    </row>
    <row r="60" spans="3:10" x14ac:dyDescent="0.25">
      <c r="C60" s="20"/>
      <c r="D60" s="29"/>
      <c r="E60" s="30"/>
      <c r="F60" s="30"/>
      <c r="G60" s="31"/>
      <c r="H60" s="32"/>
      <c r="I60" s="32"/>
      <c r="J60" s="33"/>
    </row>
    <row r="61" spans="3:10" x14ac:dyDescent="0.25">
      <c r="C61" s="28" t="s">
        <v>93</v>
      </c>
      <c r="D61" s="29"/>
      <c r="E61" s="30"/>
      <c r="F61" s="30"/>
      <c r="G61" s="31"/>
      <c r="H61" s="32" t="s">
        <v>78</v>
      </c>
      <c r="I61" s="32" t="s">
        <v>78</v>
      </c>
      <c r="J61" s="33"/>
    </row>
    <row r="62" spans="3:10" x14ac:dyDescent="0.25">
      <c r="C62" s="20"/>
      <c r="D62" s="29"/>
      <c r="E62" s="30"/>
      <c r="F62" s="30"/>
      <c r="G62" s="31"/>
      <c r="H62" s="32"/>
      <c r="I62" s="32"/>
      <c r="J62" s="33"/>
    </row>
    <row r="63" spans="3:10" x14ac:dyDescent="0.25">
      <c r="C63" s="28" t="s">
        <v>94</v>
      </c>
      <c r="D63" s="29"/>
      <c r="E63" s="30"/>
      <c r="F63" s="30"/>
      <c r="G63" s="31"/>
      <c r="H63" s="32" t="s">
        <v>78</v>
      </c>
      <c r="I63" s="32" t="s">
        <v>78</v>
      </c>
      <c r="J63" s="33"/>
    </row>
    <row r="64" spans="3:10" x14ac:dyDescent="0.25">
      <c r="C64" s="20"/>
      <c r="D64" s="29"/>
      <c r="E64" s="30"/>
      <c r="F64" s="30"/>
      <c r="G64" s="31"/>
      <c r="H64" s="32"/>
      <c r="I64" s="32"/>
      <c r="J64" s="33"/>
    </row>
    <row r="65" spans="1:10" x14ac:dyDescent="0.25">
      <c r="C65" s="28" t="s">
        <v>95</v>
      </c>
      <c r="D65" s="29"/>
      <c r="E65" s="30"/>
      <c r="F65" s="30"/>
      <c r="G65" s="31"/>
      <c r="H65" s="32" t="s">
        <v>78</v>
      </c>
      <c r="I65" s="32" t="s">
        <v>78</v>
      </c>
      <c r="J65" s="33"/>
    </row>
    <row r="66" spans="1:10" x14ac:dyDescent="0.25">
      <c r="C66" s="20"/>
      <c r="D66" s="29"/>
      <c r="E66" s="30"/>
      <c r="F66" s="30"/>
      <c r="G66" s="31"/>
      <c r="H66" s="32"/>
      <c r="I66" s="32"/>
      <c r="J66" s="33"/>
    </row>
    <row r="67" spans="1:10" x14ac:dyDescent="0.25">
      <c r="C67" s="28" t="s">
        <v>96</v>
      </c>
      <c r="D67" s="29"/>
      <c r="E67" s="30"/>
      <c r="F67" s="30"/>
      <c r="G67" s="31"/>
      <c r="H67" s="32" t="s">
        <v>78</v>
      </c>
      <c r="I67" s="32" t="s">
        <v>78</v>
      </c>
      <c r="J67" s="33"/>
    </row>
    <row r="68" spans="1:10" x14ac:dyDescent="0.25">
      <c r="C68" s="20"/>
      <c r="D68" s="29"/>
      <c r="E68" s="30"/>
      <c r="F68" s="30"/>
      <c r="G68" s="31"/>
      <c r="H68" s="32"/>
      <c r="I68" s="32"/>
      <c r="J68" s="33"/>
    </row>
    <row r="69" spans="1:10" x14ac:dyDescent="0.25">
      <c r="C69" s="28" t="s">
        <v>97</v>
      </c>
      <c r="D69" s="29"/>
      <c r="E69" s="30"/>
      <c r="F69" s="30"/>
      <c r="G69" s="31"/>
      <c r="H69" s="32" t="s">
        <v>78</v>
      </c>
      <c r="I69" s="32" t="s">
        <v>78</v>
      </c>
      <c r="J69" s="33"/>
    </row>
    <row r="70" spans="1:10" x14ac:dyDescent="0.25">
      <c r="C70" s="20"/>
      <c r="D70" s="29"/>
      <c r="E70" s="30"/>
      <c r="F70" s="30"/>
      <c r="G70" s="31"/>
      <c r="H70" s="32"/>
      <c r="I70" s="32"/>
      <c r="J70" s="33"/>
    </row>
    <row r="71" spans="1:10" x14ac:dyDescent="0.25">
      <c r="A71" s="26"/>
      <c r="B71" s="27"/>
      <c r="C71" s="28" t="s">
        <v>98</v>
      </c>
      <c r="D71" s="29"/>
      <c r="E71" s="30"/>
      <c r="F71" s="30"/>
      <c r="G71" s="31"/>
      <c r="H71" s="32"/>
      <c r="I71" s="32"/>
      <c r="J71" s="33"/>
    </row>
    <row r="72" spans="1:10" x14ac:dyDescent="0.25">
      <c r="B72" s="1"/>
      <c r="C72" s="20" t="s">
        <v>99</v>
      </c>
      <c r="D72" s="29"/>
      <c r="E72" s="30"/>
      <c r="F72" s="30"/>
      <c r="G72" s="31"/>
      <c r="H72" s="32">
        <v>12.74</v>
      </c>
      <c r="I72" s="32">
        <v>1.1599999999999999</v>
      </c>
      <c r="J72" s="33"/>
    </row>
    <row r="73" spans="1:10" x14ac:dyDescent="0.25">
      <c r="C73" s="28" t="s">
        <v>76</v>
      </c>
      <c r="D73" s="29"/>
      <c r="E73" s="30"/>
      <c r="F73" s="30"/>
      <c r="G73" s="31"/>
      <c r="H73" s="35">
        <v>12.74</v>
      </c>
      <c r="I73" s="35">
        <v>1.1599999999999999</v>
      </c>
      <c r="J73" s="33"/>
    </row>
    <row r="74" spans="1:10" x14ac:dyDescent="0.25">
      <c r="C74" s="20"/>
      <c r="D74" s="29"/>
      <c r="E74" s="30"/>
      <c r="F74" s="30"/>
      <c r="G74" s="31"/>
      <c r="H74" s="32"/>
      <c r="I74" s="32"/>
      <c r="J74" s="33"/>
    </row>
    <row r="75" spans="1:10" ht="14.25" thickBot="1" x14ac:dyDescent="0.3">
      <c r="C75" s="36" t="s">
        <v>100</v>
      </c>
      <c r="D75" s="37"/>
      <c r="E75" s="38"/>
      <c r="F75" s="39"/>
      <c r="G75" s="40"/>
      <c r="H75" s="41">
        <v>1119.52</v>
      </c>
      <c r="I75" s="41">
        <f>SUMIFS(I:I,C:C,"Total")</f>
        <v>100</v>
      </c>
      <c r="J75" s="42"/>
    </row>
    <row r="78" spans="1:10" x14ac:dyDescent="0.25">
      <c r="C78" s="11" t="s">
        <v>101</v>
      </c>
    </row>
    <row r="79" spans="1:10" x14ac:dyDescent="0.25">
      <c r="C79" s="2" t="s">
        <v>102</v>
      </c>
    </row>
    <row r="80" spans="1:10" x14ac:dyDescent="0.25">
      <c r="C80" s="2" t="s">
        <v>103</v>
      </c>
    </row>
    <row r="81" spans="3:3" x14ac:dyDescent="0.25">
      <c r="C81" s="2" t="s">
        <v>104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79902-9E4C-449E-9ECD-9B0A3ACF76F0}">
  <dimension ref="C4:K18"/>
  <sheetViews>
    <sheetView workbookViewId="0">
      <selection activeCell="C4" sqref="C4"/>
    </sheetView>
  </sheetViews>
  <sheetFormatPr defaultRowHeight="15" x14ac:dyDescent="0.25"/>
  <cols>
    <col min="3" max="3" width="57.5703125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</cols>
  <sheetData>
    <row r="4" spans="3:11" ht="15.75" x14ac:dyDescent="0.25">
      <c r="C4" s="43" t="s">
        <v>105</v>
      </c>
      <c r="D4" s="44"/>
      <c r="E4" s="44"/>
      <c r="F4" s="44"/>
      <c r="G4" s="44"/>
      <c r="H4" s="44"/>
      <c r="I4" s="44"/>
      <c r="J4" s="44"/>
      <c r="K4" s="44"/>
    </row>
    <row r="5" spans="3:11" x14ac:dyDescent="0.25">
      <c r="C5" s="45" t="s">
        <v>106</v>
      </c>
      <c r="D5" s="46" t="s">
        <v>107</v>
      </c>
      <c r="E5" s="46"/>
      <c r="F5" s="46" t="s">
        <v>108</v>
      </c>
      <c r="G5" s="46"/>
      <c r="H5" s="46" t="s">
        <v>109</v>
      </c>
      <c r="I5" s="46"/>
      <c r="J5" s="46" t="s">
        <v>110</v>
      </c>
      <c r="K5" s="46"/>
    </row>
    <row r="6" spans="3:11" ht="63.75" x14ac:dyDescent="0.25">
      <c r="C6" s="47"/>
      <c r="D6" s="48" t="s">
        <v>111</v>
      </c>
      <c r="E6" s="48" t="s">
        <v>112</v>
      </c>
      <c r="F6" s="48" t="s">
        <v>111</v>
      </c>
      <c r="G6" s="48" t="s">
        <v>112</v>
      </c>
      <c r="H6" s="48" t="s">
        <v>111</v>
      </c>
      <c r="I6" s="48" t="s">
        <v>112</v>
      </c>
      <c r="J6" s="48" t="s">
        <v>111</v>
      </c>
      <c r="K6" s="48" t="s">
        <v>112</v>
      </c>
    </row>
    <row r="7" spans="3:11" x14ac:dyDescent="0.25">
      <c r="C7" s="49" t="s">
        <v>113</v>
      </c>
      <c r="D7" s="50">
        <v>19.80733082706767</v>
      </c>
      <c r="E7" s="50">
        <v>11980.733082706767</v>
      </c>
      <c r="F7" s="50">
        <v>16.46556081584496</v>
      </c>
      <c r="G7" s="50">
        <v>15810.852713178294</v>
      </c>
      <c r="H7" s="50">
        <v>14.856905091295559</v>
      </c>
      <c r="I7" s="50">
        <v>20003.923107100829</v>
      </c>
      <c r="J7" s="50">
        <v>14.281927026818586</v>
      </c>
      <c r="K7" s="50">
        <v>50990</v>
      </c>
    </row>
    <row r="8" spans="3:11" x14ac:dyDescent="0.25">
      <c r="C8" s="49" t="s">
        <v>114</v>
      </c>
      <c r="D8" s="50">
        <v>15.499434154381753</v>
      </c>
      <c r="E8" s="50">
        <v>11549.943415438176</v>
      </c>
      <c r="F8" s="50">
        <v>15.37362575627197</v>
      </c>
      <c r="G8" s="50">
        <v>15357.468147278119</v>
      </c>
      <c r="H8" s="50">
        <v>13.067466689942719</v>
      </c>
      <c r="I8" s="50">
        <v>18479.418838102632</v>
      </c>
      <c r="J8" s="50">
        <v>15.970464110363825</v>
      </c>
      <c r="K8" s="50">
        <v>60959.054378410037</v>
      </c>
    </row>
    <row r="9" spans="3:11" x14ac:dyDescent="0.25">
      <c r="C9" s="49" t="s">
        <v>115</v>
      </c>
      <c r="D9" s="50">
        <v>27.841336154460539</v>
      </c>
      <c r="E9" s="50">
        <v>12784.133615446053</v>
      </c>
      <c r="F9" s="50">
        <v>17.860623990895984</v>
      </c>
      <c r="G9" s="50">
        <v>16372.168593280918</v>
      </c>
      <c r="H9" s="50">
        <v>18.898333952243519</v>
      </c>
      <c r="I9" s="50">
        <v>23761.773172097164</v>
      </c>
      <c r="J9" s="50">
        <v>15.79151239641774</v>
      </c>
      <c r="K9" s="50">
        <v>59821.329763953123</v>
      </c>
    </row>
    <row r="10" spans="3:11" x14ac:dyDescent="0.25">
      <c r="C10" s="49" t="s">
        <v>116</v>
      </c>
      <c r="D10" s="51">
        <v>42.56</v>
      </c>
      <c r="E10" s="52"/>
      <c r="F10" s="51">
        <v>32.25</v>
      </c>
      <c r="G10" s="52"/>
      <c r="H10" s="51">
        <v>25.49</v>
      </c>
      <c r="I10" s="52"/>
      <c r="J10" s="51">
        <v>10</v>
      </c>
      <c r="K10" s="52"/>
    </row>
    <row r="12" spans="3:11" ht="15.75" x14ac:dyDescent="0.25">
      <c r="C12" s="43" t="s">
        <v>117</v>
      </c>
      <c r="D12" s="44"/>
      <c r="E12" s="44"/>
      <c r="F12" s="44"/>
      <c r="G12" s="44"/>
      <c r="H12" s="44"/>
      <c r="I12" s="44"/>
      <c r="J12" s="44"/>
      <c r="K12" s="44"/>
    </row>
    <row r="13" spans="3:11" x14ac:dyDescent="0.25">
      <c r="C13" s="45" t="s">
        <v>106</v>
      </c>
      <c r="D13" s="46" t="s">
        <v>107</v>
      </c>
      <c r="E13" s="46"/>
      <c r="F13" s="46" t="s">
        <v>108</v>
      </c>
      <c r="G13" s="46"/>
      <c r="H13" s="46" t="s">
        <v>109</v>
      </c>
      <c r="I13" s="46"/>
      <c r="J13" s="46" t="s">
        <v>110</v>
      </c>
      <c r="K13" s="46"/>
    </row>
    <row r="14" spans="3:11" ht="63.75" x14ac:dyDescent="0.25">
      <c r="C14" s="47"/>
      <c r="D14" s="48" t="s">
        <v>111</v>
      </c>
      <c r="E14" s="48" t="s">
        <v>112</v>
      </c>
      <c r="F14" s="48" t="s">
        <v>111</v>
      </c>
      <c r="G14" s="48" t="s">
        <v>112</v>
      </c>
      <c r="H14" s="48" t="s">
        <v>111</v>
      </c>
      <c r="I14" s="48" t="s">
        <v>112</v>
      </c>
      <c r="J14" s="48" t="s">
        <v>111</v>
      </c>
      <c r="K14" s="48" t="s">
        <v>112</v>
      </c>
    </row>
    <row r="15" spans="3:11" x14ac:dyDescent="0.25">
      <c r="C15" s="49" t="s">
        <v>113</v>
      </c>
      <c r="D15" s="50">
        <v>20.699957319675644</v>
      </c>
      <c r="E15" s="50">
        <v>12069.995731967563</v>
      </c>
      <c r="F15" s="50">
        <v>17.348539713639212</v>
      </c>
      <c r="G15" s="50">
        <v>16173.863311409781</v>
      </c>
      <c r="H15" s="50">
        <v>15.732335290600163</v>
      </c>
      <c r="I15" s="50">
        <v>20778.839088905217</v>
      </c>
      <c r="J15" s="50">
        <v>13.057053241523576</v>
      </c>
      <c r="K15" s="50">
        <v>41435.897435897437</v>
      </c>
    </row>
    <row r="16" spans="3:11" x14ac:dyDescent="0.25">
      <c r="C16" s="49" t="s">
        <v>114</v>
      </c>
      <c r="D16" s="50">
        <v>15.499434154381753</v>
      </c>
      <c r="E16" s="50">
        <v>11549.943415438176</v>
      </c>
      <c r="F16" s="50">
        <v>15.37362575627197</v>
      </c>
      <c r="G16" s="50">
        <v>15357.468147278119</v>
      </c>
      <c r="H16" s="50">
        <v>13.067466689942719</v>
      </c>
      <c r="I16" s="50">
        <v>18479.418838102632</v>
      </c>
      <c r="J16" s="50">
        <v>13.565633569738811</v>
      </c>
      <c r="K16" s="50">
        <v>43647.180799942136</v>
      </c>
    </row>
    <row r="17" spans="3:11" x14ac:dyDescent="0.25">
      <c r="C17" s="49" t="s">
        <v>115</v>
      </c>
      <c r="D17" s="50">
        <v>27.841336154460539</v>
      </c>
      <c r="E17" s="50">
        <v>12784.133615446053</v>
      </c>
      <c r="F17" s="50">
        <v>17.860623990895984</v>
      </c>
      <c r="G17" s="50">
        <v>16372.168593280918</v>
      </c>
      <c r="H17" s="50">
        <v>18.898333952243519</v>
      </c>
      <c r="I17" s="50">
        <v>23761.773172097164</v>
      </c>
      <c r="J17" s="50">
        <v>14.49444520375236</v>
      </c>
      <c r="K17" s="50">
        <v>47965.93540081189</v>
      </c>
    </row>
    <row r="18" spans="3:11" x14ac:dyDescent="0.25">
      <c r="C18" s="49" t="s">
        <v>118</v>
      </c>
      <c r="D18" s="51">
        <v>46.86</v>
      </c>
      <c r="E18" s="52"/>
      <c r="F18" s="51">
        <v>34.97</v>
      </c>
      <c r="G18" s="52"/>
      <c r="H18" s="51">
        <v>27.22</v>
      </c>
      <c r="I18" s="52"/>
      <c r="J18" s="51">
        <v>13.65</v>
      </c>
      <c r="K18" s="52"/>
    </row>
  </sheetData>
  <mergeCells count="16">
    <mergeCell ref="D13:E13"/>
    <mergeCell ref="F13:G13"/>
    <mergeCell ref="H13:I13"/>
    <mergeCell ref="J13:K13"/>
    <mergeCell ref="D18:E18"/>
    <mergeCell ref="F18:G18"/>
    <mergeCell ref="H18:I18"/>
    <mergeCell ref="J18:K18"/>
    <mergeCell ref="D5:E5"/>
    <mergeCell ref="F5:G5"/>
    <mergeCell ref="H5:I5"/>
    <mergeCell ref="J5:K5"/>
    <mergeCell ref="D10:E10"/>
    <mergeCell ref="F10:G10"/>
    <mergeCell ref="H10:I10"/>
    <mergeCell ref="J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TBFS</vt:lpstr>
      <vt:lpstr>TBFS-Performance</vt:lpstr>
      <vt:lpstr>XDO_?CLASS_3?1?</vt:lpstr>
      <vt:lpstr>XDO_?FINAL_ISIN?1?</vt:lpstr>
      <vt:lpstr>XDO_?FINAL_ISIN?2?</vt:lpstr>
      <vt:lpstr>XDO_?FINAL_MV?1?</vt:lpstr>
      <vt:lpstr>XDO_?FINAL_MV?2?</vt:lpstr>
      <vt:lpstr>XDO_?FINAL_NAME?1?</vt:lpstr>
      <vt:lpstr>XDO_?FINAL_NAME?2?</vt:lpstr>
      <vt:lpstr>XDO_?FINAL_PER_NET?1?</vt:lpstr>
      <vt:lpstr>XDO_?FINAL_PER_NET?2?</vt:lpstr>
      <vt:lpstr>XDO_?FINAL_QUANTITE?1?</vt:lpstr>
      <vt:lpstr>XDO_?FINAL_QUANTITE?2?</vt:lpstr>
      <vt:lpstr>XDO_?IND_01?1?</vt:lpstr>
      <vt:lpstr>XDO_?IND_01?2?</vt:lpstr>
      <vt:lpstr>XDO_?NAMCNAME?1?</vt:lpstr>
      <vt:lpstr>XDO_?NOVAL?1?</vt:lpstr>
      <vt:lpstr>XDO_?NOVAL?2?</vt:lpstr>
      <vt:lpstr>XDO_?NPTF?1?</vt:lpstr>
      <vt:lpstr>XDO_?RATING?1?</vt:lpstr>
      <vt:lpstr>XDO_?RATING?2?</vt:lpstr>
      <vt:lpstr>XDO_?REMARKS?1?</vt:lpstr>
      <vt:lpstr>XDO_?REMARKS?2?</vt:lpstr>
      <vt:lpstr>XDO_?TITL?1?</vt:lpstr>
      <vt:lpstr>XDO_GROUP_?G_2?1?</vt:lpstr>
      <vt:lpstr>XDO_GROUP_?G_3?1?</vt:lpstr>
      <vt:lpstr>XDO_GROUP_?G_4?1?</vt:lpstr>
      <vt:lpstr>XDO_GROUP_?G_4?2?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Sagar Ghadigaonkar</cp:lastModifiedBy>
  <dcterms:created xsi:type="dcterms:W3CDTF">2024-08-05T09:03:52Z</dcterms:created>
  <dcterms:modified xsi:type="dcterms:W3CDTF">2024-08-07T09:43:40Z</dcterms:modified>
</cp:coreProperties>
</file>