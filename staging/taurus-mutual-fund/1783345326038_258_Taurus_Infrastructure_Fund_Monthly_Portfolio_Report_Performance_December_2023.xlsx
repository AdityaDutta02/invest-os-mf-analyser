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E4A8063B-65C5-4B66-A44F-D0F911CCCA20}" xr6:coauthVersionLast="47" xr6:coauthVersionMax="47" xr10:uidLastSave="{00000000-0000-0000-0000-000000000000}"/>
  <bookViews>
    <workbookView xWindow="-120" yWindow="-120" windowWidth="20730" windowHeight="11160" xr2:uid="{C7B67CC6-4821-4FDC-A12A-EFB3770723EA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TISF!$C$8:$C$38</definedName>
    <definedName name="XDO_?FINAL_ISIN?7?">TISF!$D$10:$D$38</definedName>
    <definedName name="XDO_?FINAL_ISIN?8?">TISF!$D$10:$D$80</definedName>
    <definedName name="XDO_?FINAL_MV?7?">TISF!$H$10:$H$38</definedName>
    <definedName name="XDO_?FINAL_MV?8?">TISF!$H$10:$H$80</definedName>
    <definedName name="XDO_?FINAL_NAME?7?">TISF!$C$10:$C$38</definedName>
    <definedName name="XDO_?FINAL_NAME?8?">TISF!$C$10:$C$80</definedName>
    <definedName name="XDO_?FINAL_PER_NET?7?">TISF!$I$10:$I$38</definedName>
    <definedName name="XDO_?FINAL_PER_NET?8?">TISF!$I$10:$I$80</definedName>
    <definedName name="XDO_?FINAL_QUANTITE?7?">TISF!$G$10:$G$38</definedName>
    <definedName name="XDO_?FINAL_QUANTITE?8?">TISF!$G$10:$G$80</definedName>
    <definedName name="XDO_?IND_01?7?">TISF!$F$10:$F$38</definedName>
    <definedName name="XDO_?IND_01?8?">TISF!$F$10:$F$80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TISF!$C$2:$C$38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TISF!$B$10:$B$38</definedName>
    <definedName name="XDO_?NOVAL?8?">TISF!$B$10:$B$80</definedName>
    <definedName name="XDO_?NPTF?4?">TISF!$D$2:$D$38</definedName>
    <definedName name="XDO_?RATING?7?">TISF!$E$10:$E$38</definedName>
    <definedName name="XDO_?RATING?8?">TISF!$E$10:$E$80</definedName>
    <definedName name="XDO_?REMARKS?7?">TISF!$J$10:$J$38</definedName>
    <definedName name="XDO_?REMARKS?8?">TISF!$J$10:$J$80</definedName>
    <definedName name="XDO_?TITL?4?">TISF!$A$8:$A$38</definedName>
    <definedName name="XDO_GROUP_?G_2?4?">TISF!$2:$83</definedName>
    <definedName name="XDO_GROUP_?G_3?4?">TISF!$8:$82</definedName>
    <definedName name="XDO_GROUP_?G_4?7?">TISF!$B$10:$IV$38</definedName>
    <definedName name="XDO_GROUP_?G_4?8?">TISF!$B$80:$IV$80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 l="1"/>
</calcChain>
</file>

<file path=xl/sharedStrings.xml><?xml version="1.0" encoding="utf-8"?>
<sst xmlns="http://schemas.openxmlformats.org/spreadsheetml/2006/main" count="228" uniqueCount="165">
  <si>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</si>
  <si>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</si>
  <si>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</si>
  <si>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</si>
  <si>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</si>
  <si>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</si>
  <si>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</si>
  <si>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</si>
  <si>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</si>
  <si>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</si>
  <si>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</si>
  <si>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</si>
  <si>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</si>
  <si>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</si>
  <si>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</si>
  <si>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</si>
  <si>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</si>
  <si>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</si>
  <si>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</si>
  <si>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</si>
  <si>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</si>
  <si>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</si>
  <si>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</si>
  <si>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100181</t>
  </si>
  <si>
    <t>NTPC Ltd.</t>
  </si>
  <si>
    <t>INE733E01010</t>
  </si>
  <si>
    <t>Power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</si>
  <si>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</si>
  <si>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</si>
  <si>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</si>
  <si>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</si>
  <si>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</si>
  <si>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</si>
  <si>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</si>
  <si>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</si>
  <si>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100302</t>
  </si>
  <si>
    <t>DLF Ltd.</t>
  </si>
  <si>
    <t>INE271C01023</t>
  </si>
  <si>
    <t>Realty</t>
  </si>
  <si>
    <t>100281</t>
  </si>
  <si>
    <t>Century Textiles &amp; Industries Ltd.</t>
  </si>
  <si>
    <t>INE055A01016</t>
  </si>
  <si>
    <t>Paper, Forest &amp; Jute Products</t>
  </si>
  <si>
    <t>100035</t>
  </si>
  <si>
    <t>NMDC Ltd.</t>
  </si>
  <si>
    <t>INE584A01023</t>
  </si>
  <si>
    <t>Minerals &amp; Mining</t>
  </si>
  <si>
    <t>100082</t>
  </si>
  <si>
    <t>Ultratech Cement Ltd.</t>
  </si>
  <si>
    <t>INE481G01011</t>
  </si>
  <si>
    <t>Cement &amp; Cement Products</t>
  </si>
  <si>
    <t>100263</t>
  </si>
  <si>
    <t>BEML Ltd.</t>
  </si>
  <si>
    <t>INE258A01016</t>
  </si>
  <si>
    <t>Agricultural, Commercial &amp; Construction Vehicles</t>
  </si>
  <si>
    <t>101883</t>
  </si>
  <si>
    <t>Anant Raj Ltd.</t>
  </si>
  <si>
    <t>INE242C01024</t>
  </si>
  <si>
    <t>100752</t>
  </si>
  <si>
    <t>Praj Industries Ltd.</t>
  </si>
  <si>
    <t>INE074A01025</t>
  </si>
  <si>
    <t>Industrial Manufacturing</t>
  </si>
  <si>
    <t>100232</t>
  </si>
  <si>
    <t>Bharat Bijlee Ltd.</t>
  </si>
  <si>
    <t>INE464A01028</t>
  </si>
  <si>
    <t>Electrical Equipment</t>
  </si>
  <si>
    <t>101718</t>
  </si>
  <si>
    <t>Faze Three Ltd.</t>
  </si>
  <si>
    <t>INE963C01033</t>
  </si>
  <si>
    <t>Textiles &amp; Apparels</t>
  </si>
  <si>
    <t>100719</t>
  </si>
  <si>
    <t>Mayur Uniquoters Ltd.</t>
  </si>
  <si>
    <t>INE040D01038</t>
  </si>
  <si>
    <t>Consumer Durables</t>
  </si>
  <si>
    <t>100184</t>
  </si>
  <si>
    <t>Tata Steel Ltd.</t>
  </si>
  <si>
    <t>INE081A01020</t>
  </si>
  <si>
    <t>Ferrous Metals</t>
  </si>
  <si>
    <t>100090</t>
  </si>
  <si>
    <t>Bharat Forge Ltd.</t>
  </si>
  <si>
    <t>INE465A01025</t>
  </si>
  <si>
    <t>Industrial Products</t>
  </si>
  <si>
    <t>100324</t>
  </si>
  <si>
    <t>NBCC (India) Ltd.</t>
  </si>
  <si>
    <t>INE095N01031</t>
  </si>
  <si>
    <t>101800</t>
  </si>
  <si>
    <t>Hindware Home Innovation Ltd.</t>
  </si>
  <si>
    <t>INE05AN01011</t>
  </si>
  <si>
    <t>100177</t>
  </si>
  <si>
    <t>Grasim Industries Ltd.</t>
  </si>
  <si>
    <t>INE047A01021</t>
  </si>
  <si>
    <t>100180</t>
  </si>
  <si>
    <t>Hindalco Industries Ltd.</t>
  </si>
  <si>
    <t>INE038A01020</t>
  </si>
  <si>
    <t>Non - Ferrous Metals</t>
  </si>
  <si>
    <t>100018</t>
  </si>
  <si>
    <t>Tata Communications Ltd.</t>
  </si>
  <si>
    <t>INE151A01013</t>
  </si>
  <si>
    <t>100843</t>
  </si>
  <si>
    <t>Dalmia Bharat Ltd.</t>
  </si>
  <si>
    <t>INE00R701025</t>
  </si>
  <si>
    <t>100258</t>
  </si>
  <si>
    <t>Arvind Ltd.</t>
  </si>
  <si>
    <t>INE034A01011</t>
  </si>
  <si>
    <t>100466</t>
  </si>
  <si>
    <t>Igarashi Motors India Ltd.</t>
  </si>
  <si>
    <t>INE188B01013</t>
  </si>
  <si>
    <t>Auto Components</t>
  </si>
  <si>
    <t>100143</t>
  </si>
  <si>
    <t>Thermax Ltd.</t>
  </si>
  <si>
    <t>INE152A01029</t>
  </si>
  <si>
    <t>100643</t>
  </si>
  <si>
    <t>PSP Projects Ltd.</t>
  </si>
  <si>
    <t>INE488V01015</t>
  </si>
  <si>
    <t>101348</t>
  </si>
  <si>
    <t>Ami Organics Ltd.</t>
  </si>
  <si>
    <t>INE00FF01017</t>
  </si>
  <si>
    <t>Pharmaceuticals &amp; Biotechnology</t>
  </si>
  <si>
    <t>101848</t>
  </si>
  <si>
    <t>Shipping Corporation of India Land and Assets Ltd.</t>
  </si>
  <si>
    <t>INE0PB301013</t>
  </si>
  <si>
    <t>Transport Services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</si>
  <si>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</si>
  <si>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</si>
  <si>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</si>
  <si>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</si>
  <si>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</si>
  <si>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</si>
  <si>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</si>
  <si>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</si>
  <si>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</si>
  <si>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</si>
  <si>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</si>
  <si>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</si>
  <si>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</si>
  <si>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</si>
  <si>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</si>
  <si>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</si>
  <si>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</si>
  <si>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</si>
  <si>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</si>
  <si>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</si>
  <si>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</si>
  <si>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</si>
  <si>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</si>
  <si>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</si>
  <si>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</si>
  <si>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</si>
  <si>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</si>
  <si>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</si>
  <si>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</si>
  <si>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</si>
  <si>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</si>
  <si>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</si>
  <si>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</si>
  <si>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</si>
  <si>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</si>
  <si>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</si>
  <si>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</si>
  <si>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</si>
  <si>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</si>
  <si>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</si>
  <si>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December 29, 2023 : 56.86)</t>
  </si>
  <si>
    <t>Taurus Infrastructure Fund - Direct Plan Growth Option</t>
  </si>
  <si>
    <t>NAV [Rs.] Per Unit (as on December 29, 2023 : 60.57)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</si>
</sst>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C848C4C-18C7-46EE-925B-870321B86D4D}"/>
    <cellStyle name="Hyperlink" xfId="2" builtinId="8"/>
    <cellStyle name="Normal" xfId="0" builtinId="0"/>
    <cellStyle name="Normal 2" xfId="4" xr:uid="{65033FB0-221B-4B08-AA42-AF2FC12E6FD5}"/>
    <cellStyle name="Style 1" xfId="3" xr:uid="{29D7EA7D-B7F4-48B8-B263-E6EE6D4CF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1830917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A7A6069B-197A-4774-8BB7-A4B5D29B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30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A0DB-2D28-4676-AB88-42FA2EFFC737}">
  <dimension ref="A1:IV89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49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50.61</v>
      </c>
      <c r="I10" s="32">
        <v>6.6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1300</v>
      </c>
      <c r="H11" s="32">
        <v>45.85</v>
      </c>
      <c r="I11" s="32">
        <v>5.98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13800</v>
      </c>
      <c r="H12" s="32">
        <v>42.94</v>
      </c>
      <c r="I12" s="32">
        <v>5.6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1598</v>
      </c>
      <c r="H13" s="32">
        <v>41.31</v>
      </c>
      <c r="I13" s="32">
        <v>5.39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2225</v>
      </c>
      <c r="H14" s="32">
        <v>38.04</v>
      </c>
      <c r="I14" s="32">
        <v>4.96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4771</v>
      </c>
      <c r="H15" s="32">
        <v>34.659999999999997</v>
      </c>
      <c r="I15" s="32">
        <v>4.5199999999999996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2831</v>
      </c>
      <c r="H16" s="32">
        <v>34.58</v>
      </c>
      <c r="I16" s="32">
        <v>4.51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16500</v>
      </c>
      <c r="H17" s="32">
        <v>34.54</v>
      </c>
      <c r="I17" s="32">
        <v>4.51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280</v>
      </c>
      <c r="H18" s="32">
        <v>29.41</v>
      </c>
      <c r="I18" s="32">
        <v>3.84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1011</v>
      </c>
      <c r="H19" s="32">
        <v>28.59</v>
      </c>
      <c r="I19" s="32">
        <v>3.73</v>
      </c>
      <c r="J19" s="33"/>
    </row>
    <row r="20" spans="2:10" x14ac:dyDescent="0.25">
      <c r="B20" s="1" t="s">
        <v>55</v>
      </c>
      <c r="C20" s="20" t="s">
        <v>56</v>
      </c>
      <c r="D20" s="29" t="s">
        <v>57</v>
      </c>
      <c r="E20" s="30"/>
      <c r="F20" s="30" t="s">
        <v>38</v>
      </c>
      <c r="G20" s="31">
        <v>9501</v>
      </c>
      <c r="H20" s="32">
        <v>28.04</v>
      </c>
      <c r="I20" s="32">
        <v>3.66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5000</v>
      </c>
      <c r="H21" s="32">
        <v>27.8</v>
      </c>
      <c r="I21" s="32">
        <v>3.63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567</v>
      </c>
      <c r="H22" s="32">
        <v>27.4</v>
      </c>
      <c r="I22" s="32">
        <v>3.57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5500</v>
      </c>
      <c r="H23" s="32">
        <v>24.49</v>
      </c>
      <c r="I23" s="32">
        <v>3.2</v>
      </c>
      <c r="J23" s="33"/>
    </row>
    <row r="24" spans="2:10" x14ac:dyDescent="0.25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4288</v>
      </c>
      <c r="H24" s="32">
        <v>24.17</v>
      </c>
      <c r="I24" s="32">
        <v>3.15</v>
      </c>
      <c r="J24" s="33"/>
    </row>
    <row r="25" spans="2:10" x14ac:dyDescent="0.25">
      <c r="B25" s="1" t="s">
        <v>74</v>
      </c>
      <c r="C25" s="20" t="s">
        <v>75</v>
      </c>
      <c r="D25" s="29" t="s">
        <v>76</v>
      </c>
      <c r="E25" s="30"/>
      <c r="F25" s="30" t="s">
        <v>77</v>
      </c>
      <c r="G25" s="31">
        <v>17300</v>
      </c>
      <c r="H25" s="32">
        <v>24.13</v>
      </c>
      <c r="I25" s="32">
        <v>3.15</v>
      </c>
      <c r="J25" s="33"/>
    </row>
    <row r="26" spans="2:10" x14ac:dyDescent="0.25">
      <c r="B26" s="1" t="s">
        <v>78</v>
      </c>
      <c r="C26" s="20" t="s">
        <v>79</v>
      </c>
      <c r="D26" s="29" t="s">
        <v>80</v>
      </c>
      <c r="E26" s="30"/>
      <c r="F26" s="30" t="s">
        <v>81</v>
      </c>
      <c r="G26" s="31">
        <v>1937</v>
      </c>
      <c r="H26" s="32">
        <v>24</v>
      </c>
      <c r="I26" s="32">
        <v>3.13</v>
      </c>
      <c r="J26" s="33"/>
    </row>
    <row r="27" spans="2:10" x14ac:dyDescent="0.25">
      <c r="B27" s="1" t="s">
        <v>82</v>
      </c>
      <c r="C27" s="20" t="s">
        <v>83</v>
      </c>
      <c r="D27" s="29" t="s">
        <v>84</v>
      </c>
      <c r="E27" s="30"/>
      <c r="F27" s="30" t="s">
        <v>22</v>
      </c>
      <c r="G27" s="31">
        <v>28312</v>
      </c>
      <c r="H27" s="32">
        <v>23.09</v>
      </c>
      <c r="I27" s="32">
        <v>3.01</v>
      </c>
      <c r="J27" s="33"/>
    </row>
    <row r="28" spans="2:10" x14ac:dyDescent="0.25">
      <c r="B28" s="1" t="s">
        <v>85</v>
      </c>
      <c r="C28" s="20" t="s">
        <v>86</v>
      </c>
      <c r="D28" s="29" t="s">
        <v>87</v>
      </c>
      <c r="E28" s="30"/>
      <c r="F28" s="30" t="s">
        <v>73</v>
      </c>
      <c r="G28" s="31">
        <v>4418</v>
      </c>
      <c r="H28" s="32">
        <v>22.47</v>
      </c>
      <c r="I28" s="32">
        <v>2.93</v>
      </c>
      <c r="J28" s="33"/>
    </row>
    <row r="29" spans="2:10" x14ac:dyDescent="0.25">
      <c r="B29" s="1" t="s">
        <v>88</v>
      </c>
      <c r="C29" s="20" t="s">
        <v>89</v>
      </c>
      <c r="D29" s="29" t="s">
        <v>90</v>
      </c>
      <c r="E29" s="30"/>
      <c r="F29" s="30" t="s">
        <v>50</v>
      </c>
      <c r="G29" s="31">
        <v>1015</v>
      </c>
      <c r="H29" s="32">
        <v>21.66</v>
      </c>
      <c r="I29" s="32">
        <v>2.83</v>
      </c>
      <c r="J29" s="33"/>
    </row>
    <row r="30" spans="2:10" x14ac:dyDescent="0.25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3358</v>
      </c>
      <c r="H30" s="32">
        <v>20.65</v>
      </c>
      <c r="I30" s="32">
        <v>2.69</v>
      </c>
      <c r="J30" s="33"/>
    </row>
    <row r="31" spans="2:10" x14ac:dyDescent="0.25">
      <c r="B31" s="1" t="s">
        <v>95</v>
      </c>
      <c r="C31" s="20" t="s">
        <v>96</v>
      </c>
      <c r="D31" s="29" t="s">
        <v>97</v>
      </c>
      <c r="E31" s="30"/>
      <c r="F31" s="30" t="s">
        <v>18</v>
      </c>
      <c r="G31" s="31">
        <v>1125</v>
      </c>
      <c r="H31" s="32">
        <v>19.91</v>
      </c>
      <c r="I31" s="32">
        <v>2.6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50</v>
      </c>
      <c r="G32" s="31">
        <v>820</v>
      </c>
      <c r="H32" s="32">
        <v>18.649999999999999</v>
      </c>
      <c r="I32" s="32">
        <v>2.4300000000000002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69</v>
      </c>
      <c r="G33" s="31">
        <v>6563</v>
      </c>
      <c r="H33" s="32">
        <v>17.170000000000002</v>
      </c>
      <c r="I33" s="32">
        <v>2.2400000000000002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2800</v>
      </c>
      <c r="H34" s="32">
        <v>14.5</v>
      </c>
      <c r="I34" s="32">
        <v>1.89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65</v>
      </c>
      <c r="G35" s="31">
        <v>367</v>
      </c>
      <c r="H35" s="32">
        <v>11.31</v>
      </c>
      <c r="I35" s="32">
        <v>1.48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22</v>
      </c>
      <c r="G36" s="31">
        <v>1274</v>
      </c>
      <c r="H36" s="32">
        <v>9.7799999999999994</v>
      </c>
      <c r="I36" s="32">
        <v>1.28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335</v>
      </c>
      <c r="H37" s="32">
        <v>3.76</v>
      </c>
      <c r="I37" s="32">
        <v>0.49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4000</v>
      </c>
      <c r="H38" s="32">
        <v>1.06</v>
      </c>
      <c r="I38" s="32">
        <v>0.14000000000000001</v>
      </c>
      <c r="J38" s="33" t="s">
        <v>122</v>
      </c>
    </row>
    <row r="39" spans="2:10" x14ac:dyDescent="0.25">
      <c r="C39" s="28" t="s">
        <v>123</v>
      </c>
      <c r="D39" s="29"/>
      <c r="E39" s="30"/>
      <c r="F39" s="30"/>
      <c r="G39" s="31"/>
      <c r="H39" s="35">
        <v>744.57</v>
      </c>
      <c r="I39" s="35">
        <v>97.14</v>
      </c>
      <c r="J39" s="33"/>
    </row>
    <row r="40" spans="2:10" x14ac:dyDescent="0.25">
      <c r="C40" s="20"/>
      <c r="D40" s="29"/>
      <c r="E40" s="30"/>
      <c r="F40" s="30"/>
      <c r="G40" s="31"/>
      <c r="H40" s="32"/>
      <c r="I40" s="32"/>
      <c r="J40" s="33"/>
    </row>
    <row r="41" spans="2:10" x14ac:dyDescent="0.25">
      <c r="C41" s="28" t="s">
        <v>124</v>
      </c>
      <c r="D41" s="29"/>
      <c r="E41" s="30"/>
      <c r="F41" s="30"/>
      <c r="G41" s="31"/>
      <c r="H41" s="32" t="s">
        <v>125</v>
      </c>
      <c r="I41" s="32" t="s">
        <v>125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126</v>
      </c>
      <c r="D43" s="29"/>
      <c r="E43" s="30"/>
      <c r="F43" s="30"/>
      <c r="G43" s="31"/>
      <c r="H43" s="32" t="s">
        <v>125</v>
      </c>
      <c r="I43" s="32" t="s">
        <v>125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127</v>
      </c>
      <c r="D45" s="29"/>
      <c r="E45" s="30"/>
      <c r="F45" s="30"/>
      <c r="G45" s="31"/>
      <c r="H45" s="32"/>
      <c r="I45" s="32"/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128</v>
      </c>
      <c r="D47" s="29"/>
      <c r="E47" s="30"/>
      <c r="F47" s="30"/>
      <c r="G47" s="31"/>
      <c r="H47" s="32" t="s">
        <v>125</v>
      </c>
      <c r="I47" s="32" t="s">
        <v>125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129</v>
      </c>
      <c r="D49" s="29"/>
      <c r="E49" s="30"/>
      <c r="F49" s="30"/>
      <c r="G49" s="31"/>
      <c r="H49" s="32" t="s">
        <v>125</v>
      </c>
      <c r="I49" s="32" t="s">
        <v>125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130</v>
      </c>
      <c r="D51" s="29"/>
      <c r="E51" s="30"/>
      <c r="F51" s="30"/>
      <c r="G51" s="31"/>
      <c r="H51" s="32" t="s">
        <v>125</v>
      </c>
      <c r="I51" s="32" t="s">
        <v>125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131</v>
      </c>
      <c r="D53" s="29"/>
      <c r="E53" s="30"/>
      <c r="F53" s="30"/>
      <c r="G53" s="31"/>
      <c r="H53" s="32" t="s">
        <v>125</v>
      </c>
      <c r="I53" s="32" t="s">
        <v>125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132</v>
      </c>
      <c r="D55" s="29"/>
      <c r="E55" s="30"/>
      <c r="F55" s="30"/>
      <c r="G55" s="31"/>
      <c r="H55" s="32" t="s">
        <v>125</v>
      </c>
      <c r="I55" s="32" t="s">
        <v>125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133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134</v>
      </c>
      <c r="D59" s="29"/>
      <c r="E59" s="30"/>
      <c r="F59" s="30"/>
      <c r="G59" s="31"/>
      <c r="H59" s="32" t="s">
        <v>125</v>
      </c>
      <c r="I59" s="32" t="s">
        <v>125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135</v>
      </c>
      <c r="D61" s="29"/>
      <c r="E61" s="30"/>
      <c r="F61" s="30"/>
      <c r="G61" s="31"/>
      <c r="H61" s="32" t="s">
        <v>125</v>
      </c>
      <c r="I61" s="32" t="s">
        <v>125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136</v>
      </c>
      <c r="D63" s="29"/>
      <c r="E63" s="30"/>
      <c r="F63" s="30"/>
      <c r="G63" s="31"/>
      <c r="H63" s="32" t="s">
        <v>125</v>
      </c>
      <c r="I63" s="32" t="s">
        <v>125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137</v>
      </c>
      <c r="D65" s="29"/>
      <c r="E65" s="30"/>
      <c r="F65" s="30"/>
      <c r="G65" s="31"/>
      <c r="H65" s="32" t="s">
        <v>125</v>
      </c>
      <c r="I65" s="32" t="s">
        <v>125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138</v>
      </c>
      <c r="D67" s="29"/>
      <c r="E67" s="30"/>
      <c r="F67" s="30"/>
      <c r="G67" s="31"/>
      <c r="H67" s="32"/>
      <c r="I67" s="32"/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139</v>
      </c>
      <c r="D69" s="29"/>
      <c r="E69" s="30"/>
      <c r="F69" s="30"/>
      <c r="G69" s="31"/>
      <c r="H69" s="32" t="s">
        <v>125</v>
      </c>
      <c r="I69" s="32" t="s">
        <v>125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140</v>
      </c>
      <c r="D71" s="29"/>
      <c r="E71" s="30"/>
      <c r="F71" s="30"/>
      <c r="G71" s="31"/>
      <c r="H71" s="32" t="s">
        <v>125</v>
      </c>
      <c r="I71" s="32" t="s">
        <v>125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141</v>
      </c>
      <c r="D73" s="29"/>
      <c r="E73" s="30"/>
      <c r="F73" s="30"/>
      <c r="G73" s="31"/>
      <c r="H73" s="32" t="s">
        <v>125</v>
      </c>
      <c r="I73" s="32" t="s">
        <v>125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C75" s="28" t="s">
        <v>142</v>
      </c>
      <c r="D75" s="29"/>
      <c r="E75" s="30"/>
      <c r="F75" s="30"/>
      <c r="G75" s="31"/>
      <c r="H75" s="32" t="s">
        <v>125</v>
      </c>
      <c r="I75" s="32" t="s">
        <v>125</v>
      </c>
      <c r="J75" s="33"/>
    </row>
    <row r="76" spans="1:10" x14ac:dyDescent="0.25">
      <c r="C76" s="20"/>
      <c r="D76" s="29"/>
      <c r="E76" s="30"/>
      <c r="F76" s="30"/>
      <c r="G76" s="31"/>
      <c r="H76" s="32"/>
      <c r="I76" s="32"/>
      <c r="J76" s="33"/>
    </row>
    <row r="77" spans="1:10" x14ac:dyDescent="0.25">
      <c r="C77" s="28" t="s">
        <v>143</v>
      </c>
      <c r="D77" s="29"/>
      <c r="E77" s="30"/>
      <c r="F77" s="30"/>
      <c r="G77" s="31"/>
      <c r="H77" s="32" t="s">
        <v>125</v>
      </c>
      <c r="I77" s="32" t="s">
        <v>125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x14ac:dyDescent="0.25">
      <c r="A79" s="26"/>
      <c r="B79" s="27"/>
      <c r="C79" s="28" t="s">
        <v>144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/>
      <c r="C80" s="20" t="s">
        <v>145</v>
      </c>
      <c r="D80" s="29"/>
      <c r="E80" s="30"/>
      <c r="F80" s="30"/>
      <c r="G80" s="31"/>
      <c r="H80" s="32">
        <v>21.95</v>
      </c>
      <c r="I80" s="32">
        <v>2.86</v>
      </c>
      <c r="J80" s="33"/>
    </row>
    <row r="81" spans="3:10" x14ac:dyDescent="0.25">
      <c r="C81" s="28" t="s">
        <v>123</v>
      </c>
      <c r="D81" s="29"/>
      <c r="E81" s="30"/>
      <c r="F81" s="30"/>
      <c r="G81" s="31"/>
      <c r="H81" s="35">
        <v>21.95</v>
      </c>
      <c r="I81" s="35">
        <v>2.86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ht="15.75" thickBot="1" x14ac:dyDescent="0.3">
      <c r="C83" s="36" t="s">
        <v>146</v>
      </c>
      <c r="D83" s="37"/>
      <c r="E83" s="38"/>
      <c r="F83" s="39"/>
      <c r="G83" s="40"/>
      <c r="H83" s="41">
        <v>766.52</v>
      </c>
      <c r="I83" s="41">
        <f>SUMIFS(I:I,C:C,"Total")</f>
        <v>100</v>
      </c>
      <c r="J83" s="42"/>
    </row>
    <row r="86" spans="3:10" x14ac:dyDescent="0.25">
      <c r="C86" s="11" t="s">
        <v>147</v>
      </c>
    </row>
    <row r="87" spans="3:10" x14ac:dyDescent="0.25">
      <c r="C87" s="2" t="s">
        <v>148</v>
      </c>
    </row>
    <row r="88" spans="3:10" x14ac:dyDescent="0.25">
      <c r="C88" s="2" t="s">
        <v>149</v>
      </c>
    </row>
    <row r="89" spans="3:10" x14ac:dyDescent="0.25">
      <c r="C89" s="2" t="s">
        <v>150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7CDC-92F7-4D91-87D4-B3BE7D7D65B9}">
  <dimension ref="B3:J17"/>
  <sheetViews>
    <sheetView workbookViewId="0"/>
  </sheetViews>
  <sheetFormatPr defaultRowHeight="15" x14ac:dyDescent="0.25"/>
  <cols>
    <col min="2" max="2" width="48.42578125" customWidth="1"/>
    <col min="4" max="4" width="12.85546875" customWidth="1"/>
    <col min="6" max="6" width="11.7109375" customWidth="1"/>
    <col min="8" max="8" width="14" customWidth="1"/>
    <col min="10" max="10" width="12.42578125" customWidth="1"/>
  </cols>
  <sheetData>
    <row r="3" spans="2:10" ht="15.75" x14ac:dyDescent="0.25">
      <c r="B3" s="43" t="s">
        <v>151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152</v>
      </c>
      <c r="C4" s="50" t="s">
        <v>153</v>
      </c>
      <c r="D4" s="50"/>
      <c r="E4" s="50" t="s">
        <v>154</v>
      </c>
      <c r="F4" s="50"/>
      <c r="G4" s="50" t="s">
        <v>155</v>
      </c>
      <c r="H4" s="50"/>
      <c r="I4" s="50" t="s">
        <v>156</v>
      </c>
      <c r="J4" s="50"/>
    </row>
    <row r="5" spans="2:10" ht="63.75" x14ac:dyDescent="0.25">
      <c r="B5" s="46"/>
      <c r="C5" s="47" t="s">
        <v>157</v>
      </c>
      <c r="D5" s="47" t="s">
        <v>158</v>
      </c>
      <c r="E5" s="47" t="s">
        <v>157</v>
      </c>
      <c r="F5" s="47" t="s">
        <v>158</v>
      </c>
      <c r="G5" s="47" t="s">
        <v>157</v>
      </c>
      <c r="H5" s="47" t="s">
        <v>158</v>
      </c>
      <c r="I5" s="47" t="s">
        <v>157</v>
      </c>
      <c r="J5" s="47" t="s">
        <v>158</v>
      </c>
    </row>
    <row r="6" spans="2:10" x14ac:dyDescent="0.25">
      <c r="B6" s="48" t="s">
        <v>159</v>
      </c>
      <c r="C6" s="49">
        <v>41.302186878727618</v>
      </c>
      <c r="D6" s="49">
        <v>14130.218687872763</v>
      </c>
      <c r="E6" s="49">
        <v>27.129746892155794</v>
      </c>
      <c r="F6" s="49">
        <v>20519.667989895341</v>
      </c>
      <c r="G6" s="49">
        <v>18.505269012087886</v>
      </c>
      <c r="H6" s="49">
        <v>23360.723089564501</v>
      </c>
      <c r="I6" s="49">
        <v>10.876938945504877</v>
      </c>
      <c r="J6" s="49">
        <v>56860</v>
      </c>
    </row>
    <row r="7" spans="2:10" x14ac:dyDescent="0.25">
      <c r="B7" s="48" t="s">
        <v>160</v>
      </c>
      <c r="C7" s="49">
        <v>40.07604528813642</v>
      </c>
      <c r="D7" s="49">
        <v>14007.604528813641</v>
      </c>
      <c r="E7" s="49">
        <v>27.59169725245496</v>
      </c>
      <c r="F7" s="49">
        <v>20771.470523593751</v>
      </c>
      <c r="G7" s="49">
        <v>19.915162950921903</v>
      </c>
      <c r="H7" s="49">
        <v>24795.365229394745</v>
      </c>
      <c r="I7" s="49">
        <v>7.109151678637704</v>
      </c>
      <c r="J7" s="49">
        <v>31767.674284295183</v>
      </c>
    </row>
    <row r="8" spans="2:10" x14ac:dyDescent="0.25">
      <c r="B8" s="48" t="s">
        <v>161</v>
      </c>
      <c r="C8" s="49">
        <v>21.300164056039627</v>
      </c>
      <c r="D8" s="49">
        <v>12130.016405603963</v>
      </c>
      <c r="E8" s="49">
        <v>17.240979467859585</v>
      </c>
      <c r="F8" s="49">
        <v>16115.297007580128</v>
      </c>
      <c r="G8" s="49">
        <v>16.247838958951345</v>
      </c>
      <c r="H8" s="49">
        <v>21228.750880739215</v>
      </c>
      <c r="I8" s="49">
        <v>12.647340414100295</v>
      </c>
      <c r="J8" s="49">
        <v>74211.38695330311</v>
      </c>
    </row>
    <row r="9" spans="2:10" x14ac:dyDescent="0.25">
      <c r="B9" s="48" t="s">
        <v>162</v>
      </c>
      <c r="C9" s="51">
        <v>40.24</v>
      </c>
      <c r="D9" s="52"/>
      <c r="E9" s="51">
        <v>27.71</v>
      </c>
      <c r="F9" s="52"/>
      <c r="G9" s="51">
        <v>24.34</v>
      </c>
      <c r="H9" s="52"/>
      <c r="I9" s="51">
        <v>10</v>
      </c>
      <c r="J9" s="52"/>
    </row>
    <row r="11" spans="2:10" ht="15.75" x14ac:dyDescent="0.25">
      <c r="B11" s="43" t="s">
        <v>163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152</v>
      </c>
      <c r="C12" s="50" t="s">
        <v>153</v>
      </c>
      <c r="D12" s="50"/>
      <c r="E12" s="50" t="s">
        <v>154</v>
      </c>
      <c r="F12" s="50"/>
      <c r="G12" s="50" t="s">
        <v>155</v>
      </c>
      <c r="H12" s="50"/>
      <c r="I12" s="50" t="s">
        <v>156</v>
      </c>
      <c r="J12" s="50"/>
    </row>
    <row r="13" spans="2:10" ht="63.75" x14ac:dyDescent="0.25">
      <c r="B13" s="46"/>
      <c r="C13" s="47" t="s">
        <v>157</v>
      </c>
      <c r="D13" s="47" t="s">
        <v>158</v>
      </c>
      <c r="E13" s="47" t="s">
        <v>157</v>
      </c>
      <c r="F13" s="47" t="s">
        <v>158</v>
      </c>
      <c r="G13" s="47" t="s">
        <v>157</v>
      </c>
      <c r="H13" s="47" t="s">
        <v>158</v>
      </c>
      <c r="I13" s="47" t="s">
        <v>157</v>
      </c>
      <c r="J13" s="47" t="s">
        <v>158</v>
      </c>
    </row>
    <row r="14" spans="2:10" x14ac:dyDescent="0.25">
      <c r="B14" s="48" t="s">
        <v>159</v>
      </c>
      <c r="C14" s="49">
        <v>41.98312236286921</v>
      </c>
      <c r="D14" s="49">
        <v>14198.312236286922</v>
      </c>
      <c r="E14" s="49">
        <v>27.678124768576517</v>
      </c>
      <c r="F14" s="49">
        <v>20785.861358956761</v>
      </c>
      <c r="G14" s="49">
        <v>18.98492663906033</v>
      </c>
      <c r="H14" s="49">
        <v>23837.072018890198</v>
      </c>
      <c r="I14" s="49">
        <v>15.165287394908077</v>
      </c>
      <c r="J14" s="49">
        <v>47246.489859594381</v>
      </c>
    </row>
    <row r="15" spans="2:10" x14ac:dyDescent="0.25">
      <c r="B15" s="48" t="s">
        <v>160</v>
      </c>
      <c r="C15" s="49">
        <v>40.07604528813642</v>
      </c>
      <c r="D15" s="49">
        <v>14007.604528813641</v>
      </c>
      <c r="E15" s="49">
        <v>27.59169725245496</v>
      </c>
      <c r="F15" s="49">
        <v>20771.470523593751</v>
      </c>
      <c r="G15" s="49">
        <v>19.915162950921903</v>
      </c>
      <c r="H15" s="49">
        <v>24795.365229394745</v>
      </c>
      <c r="I15" s="49">
        <v>11.40470574727852</v>
      </c>
      <c r="J15" s="49">
        <v>32795.20815490988</v>
      </c>
    </row>
    <row r="16" spans="2:10" x14ac:dyDescent="0.25">
      <c r="B16" s="48" t="s">
        <v>161</v>
      </c>
      <c r="C16" s="49">
        <v>21.300164056039627</v>
      </c>
      <c r="D16" s="49">
        <v>12130.016405603963</v>
      </c>
      <c r="E16" s="49">
        <v>17.240979467859585</v>
      </c>
      <c r="F16" s="49">
        <v>16115.297007580128</v>
      </c>
      <c r="G16" s="49">
        <v>16.247838958951345</v>
      </c>
      <c r="H16" s="49">
        <v>21228.750880739215</v>
      </c>
      <c r="I16" s="49">
        <v>13.87468272314778</v>
      </c>
      <c r="J16" s="49">
        <v>41739.225337937663</v>
      </c>
    </row>
    <row r="17" spans="2:10" x14ac:dyDescent="0.25">
      <c r="B17" s="48" t="s">
        <v>164</v>
      </c>
      <c r="C17" s="51">
        <v>42.66</v>
      </c>
      <c r="D17" s="52"/>
      <c r="E17" s="51">
        <v>29.14</v>
      </c>
      <c r="F17" s="52"/>
      <c r="G17" s="51">
        <v>25.41</v>
      </c>
      <c r="H17" s="52"/>
      <c r="I17" s="51">
        <v>12.82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Madhura Shinde</cp:lastModifiedBy>
  <dcterms:created xsi:type="dcterms:W3CDTF">2024-01-02T11:04:55Z</dcterms:created>
  <dcterms:modified xsi:type="dcterms:W3CDTF">2024-01-04T10:38:55Z</dcterms:modified>
</cp:coreProperties>
</file>