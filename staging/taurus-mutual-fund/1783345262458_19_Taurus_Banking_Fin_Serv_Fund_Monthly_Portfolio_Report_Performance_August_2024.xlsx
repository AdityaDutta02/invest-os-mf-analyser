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Sep 2024\Portfolio\Ops\"/>
    </mc:Choice>
  </mc:AlternateContent>
  <xr:revisionPtr revIDLastSave="0" documentId="13_ncr:1_{7BEE37EB-23A5-49D8-9D59-607D92973A10}" xr6:coauthVersionLast="47" xr6:coauthVersionMax="47" xr10:uidLastSave="{00000000-0000-0000-0000-000000000000}"/>
  <bookViews>
    <workbookView xWindow="-120" yWindow="-120" windowWidth="20730" windowHeight="11040" xr2:uid="{2EB43A0F-57A2-4CB0-B75E-0B4F7DF21377}"/>
  </bookViews>
  <sheets>
    <sheet name="TBFS" sheetId="1" r:id="rId1"/>
    <sheet name="TBFS-Performance" sheetId="2" r:id="rId2"/>
  </sheets>
  <externalReferences>
    <externalReference r:id="rId3"/>
  </externalReferences>
  <definedNames>
    <definedName name="XDO_?CLASS_3?1?">TBFS!$C$8:$C$28</definedName>
    <definedName name="XDO_?FINAL_ISIN?1?">TBFS!$D$10:$D$28</definedName>
    <definedName name="XDO_?FINAL_ISIN?2?">TBFS!$D$10:$D$72</definedName>
    <definedName name="XDO_?FINAL_MV?1?">TBFS!$H$10:$H$28</definedName>
    <definedName name="XDO_?FINAL_MV?2?">TBFS!$H$10:$H$72</definedName>
    <definedName name="XDO_?FINAL_NAME?1?">TBFS!$C$10:$C$28</definedName>
    <definedName name="XDO_?FINAL_NAME?2?">TBFS!$C$10:$C$72</definedName>
    <definedName name="XDO_?FINAL_PER_NET?1?">TBFS!$I$10:$I$28</definedName>
    <definedName name="XDO_?FINAL_PER_NET?2?">TBFS!$I$10:$I$72</definedName>
    <definedName name="XDO_?FINAL_QUANTITE?1?">TBFS!$G$10:$G$28</definedName>
    <definedName name="XDO_?FINAL_QUANTITE?2?">TBFS!$G$10:$G$72</definedName>
    <definedName name="XDO_?IND_01?1?">TBFS!$F$10:$F$28</definedName>
    <definedName name="XDO_?IND_01?2?">TBFS!$F$10:$F$72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TBFS!$C$2:$C$28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TBFS!$B$10:$B$28</definedName>
    <definedName name="XDO_?NOVAL?2?">TBFS!$B$10:$B$72</definedName>
    <definedName name="XDO_?NPTF?1?">TBFS!$D$2:$D$28</definedName>
    <definedName name="XDO_?RATING?1?">TBFS!$E$10:$E$28</definedName>
    <definedName name="XDO_?RATING?2?">TBFS!$E$10:$E$72</definedName>
    <definedName name="XDO_?REMARKS?1?">TBFS!$J$10:$J$28</definedName>
    <definedName name="XDO_?REMARKS?2?">TBFS!$J$10:$J$72</definedName>
    <definedName name="XDO_?TITL?1?">TBFS!$A$8:$A$28</definedName>
    <definedName name="XDO_GROUP_?G_2?1?">TBFS!$2:$75</definedName>
    <definedName name="XDO_GROUP_?G_3?1?">TBFS!$8:$74</definedName>
    <definedName name="XDO_GROUP_?G_4?1?">TBFS!$B$10:$IV$28</definedName>
    <definedName name="XDO_GROUP_?G_4?2?">TBFS!$B$72:$IV$72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5" i="1" l="1"/>
</calcChain>
</file>

<file path=xl/sharedStrings.xml><?xml version="1.0" encoding="utf-8"?>
<sst xmlns="http://schemas.openxmlformats.org/spreadsheetml/2006/main" count="190" uniqueCount="119">
  <si>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</si>
  <si>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</si>
  <si>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</si>
  <si>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</si>
  <si>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</si>
  <si>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</si>
  <si>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</si>
  <si>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</si>
  <si>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</si>
  <si>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</si>
  <si>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</si>
  <si>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</si>
  <si>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</si>
  <si>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</si>
  <si>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</si>
  <si>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</si>
  <si>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</si>
  <si>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</si>
  <si>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</si>
  <si>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</si>
  <si>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</si>
  <si>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</si>
  <si>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</si>
  <si>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</si>
  <si>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</si>
  <si>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</si>
  <si>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</si>
  <si>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</si>
  <si>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</si>
  <si>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</si>
  <si>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INE237A01028</t>
  </si>
  <si>
    <t>100361</t>
  </si>
  <si>
    <t>Bank of India</t>
  </si>
  <si>
    <t>INE084A01016</t>
  </si>
  <si>
    <t>100013</t>
  </si>
  <si>
    <t>IndusInd Bank Ltd.</t>
  </si>
  <si>
    <t>INE095A01012</t>
  </si>
  <si>
    <t>100325</t>
  </si>
  <si>
    <t>Bajaj Holdings &amp; Investment Ltd.</t>
  </si>
  <si>
    <t>INE118A01012</t>
  </si>
  <si>
    <t>Finance</t>
  </si>
  <si>
    <t>100055</t>
  </si>
  <si>
    <t>The Federal Bank Ltd.</t>
  </si>
  <si>
    <t>INE171A01029</t>
  </si>
  <si>
    <t>101740</t>
  </si>
  <si>
    <t>Prudent Corporate Advisory Services Ltd.</t>
  </si>
  <si>
    <t>INE00F201020</t>
  </si>
  <si>
    <t>Capital Markets</t>
  </si>
  <si>
    <t>100706</t>
  </si>
  <si>
    <t>HDFC Life Insurance Company Ltd.</t>
  </si>
  <si>
    <t>INE795G01014</t>
  </si>
  <si>
    <t>Insurance</t>
  </si>
  <si>
    <t>101210</t>
  </si>
  <si>
    <t>Credit Access Grameen Ltd.</t>
  </si>
  <si>
    <t>INE741K01010</t>
  </si>
  <si>
    <t>101178</t>
  </si>
  <si>
    <t>Computer Age Management Services Ltd.</t>
  </si>
  <si>
    <t>INE596I01012</t>
  </si>
  <si>
    <t>101181</t>
  </si>
  <si>
    <t>UTI Asset Management Co. Ltd.</t>
  </si>
  <si>
    <t>INE094J01016</t>
  </si>
  <si>
    <t>100191</t>
  </si>
  <si>
    <t>Canara Bank</t>
  </si>
  <si>
    <t>INE476A01022</t>
  </si>
  <si>
    <t>100665</t>
  </si>
  <si>
    <t>Aditya Birla Capital Ltd.</t>
  </si>
  <si>
    <t>INE674K01013</t>
  </si>
  <si>
    <t>100399</t>
  </si>
  <si>
    <t>Cholamandalam Investment &amp; Finance Co. Ltd.</t>
  </si>
  <si>
    <t>INE121A01024</t>
  </si>
  <si>
    <t>100211</t>
  </si>
  <si>
    <t>IDFC First Bank Ltd.</t>
  </si>
  <si>
    <t>INE092T01019</t>
  </si>
  <si>
    <t>100073</t>
  </si>
  <si>
    <t>CARE Ratings Ltd.</t>
  </si>
  <si>
    <t>INE752H01013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</si>
  <si>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</si>
  <si>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</si>
  <si>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</si>
  <si>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</si>
  <si>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</si>
  <si>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</si>
  <si>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</si>
  <si>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</si>
  <si>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</si>
  <si>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</si>
  <si>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</si>
  <si>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</si>
  <si>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</si>
  <si>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</si>
  <si>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</si>
  <si>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</si>
  <si>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</si>
  <si>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</si>
  <si>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</si>
  <si>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</si>
  <si>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</si>
  <si>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</si>
  <si>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</si>
  <si>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</si>
  <si>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</si>
  <si>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</si>
  <si>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</si>
  <si>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</si>
  <si>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</si>
  <si>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</si>
  <si>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</si>
  <si>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</si>
  <si>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</si>
  <si>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</si>
  <si>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</si>
  <si>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</si>
  <si>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</si>
  <si>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</si>
  <si>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</si>
  <si>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</si>
  <si>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August 30, 2024 : 50.57)</t>
  </si>
  <si>
    <t>Taurus Banking &amp; Financial Services Fund - Direct Plan Growth Option</t>
  </si>
  <si>
    <t>NAV [Rs.] Per Unit (as on August 30, 2024 : 56.13)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</si>
</sst>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9D342719-144A-4F7A-A001-2D9B4555FC1B}"/>
    <cellStyle name="Hyperlink" xfId="2" builtinId="8"/>
    <cellStyle name="Normal" xfId="0" builtinId="0"/>
    <cellStyle name="Normal 2" xfId="4" xr:uid="{152ECEB6-EE85-4E43-B096-B847BA89A156}"/>
    <cellStyle name="Style 1" xfId="3" xr:uid="{99AED15F-308F-42AF-B44D-261CAABAEF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285290</xdr:colOff>
      <xdr:row>0</xdr:row>
      <xdr:rowOff>2127250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6E5129-8E99-4C9E-B117-F7DF95B03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037457" cy="212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Aug_2024\Client%20Report\TMF_Monthly_Portfolio_Report_August%2024.xls" TargetMode="External"/><Relationship Id="rId1" Type="http://schemas.openxmlformats.org/officeDocument/2006/relationships/externalLinkPath" Target="TMF_Monthly_Portfolio_Report_August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14BFF-C6CF-421F-BAB7-4351DB033BE8}">
  <dimension ref="A1:BB81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45535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12857</v>
      </c>
      <c r="H10" s="32">
        <v>209.95</v>
      </c>
      <c r="I10" s="32">
        <v>18.93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16800</v>
      </c>
      <c r="H11" s="32">
        <v>206.67</v>
      </c>
      <c r="I11" s="32">
        <v>18.64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16568</v>
      </c>
      <c r="H12" s="32">
        <v>135.13999999999999</v>
      </c>
      <c r="I12" s="32">
        <v>12.19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9110</v>
      </c>
      <c r="H13" s="32">
        <v>107.09</v>
      </c>
      <c r="I13" s="32">
        <v>9.66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3916</v>
      </c>
      <c r="H14" s="32">
        <v>69.75</v>
      </c>
      <c r="I14" s="32">
        <v>6.29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18</v>
      </c>
      <c r="G15" s="31">
        <v>57629</v>
      </c>
      <c r="H15" s="32">
        <v>67.89</v>
      </c>
      <c r="I15" s="32">
        <v>6.12</v>
      </c>
      <c r="J15" s="33"/>
    </row>
    <row r="16" spans="1:54" x14ac:dyDescent="0.25">
      <c r="B16" s="1" t="s">
        <v>34</v>
      </c>
      <c r="C16" s="20" t="s">
        <v>35</v>
      </c>
      <c r="D16" s="29" t="s">
        <v>36</v>
      </c>
      <c r="E16" s="30"/>
      <c r="F16" s="30" t="s">
        <v>18</v>
      </c>
      <c r="G16" s="31">
        <v>2636</v>
      </c>
      <c r="H16" s="32">
        <v>37.6</v>
      </c>
      <c r="I16" s="32">
        <v>3.39</v>
      </c>
      <c r="J16" s="33"/>
    </row>
    <row r="17" spans="2:10" x14ac:dyDescent="0.25">
      <c r="B17" s="1" t="s">
        <v>37</v>
      </c>
      <c r="C17" s="20" t="s">
        <v>38</v>
      </c>
      <c r="D17" s="29" t="s">
        <v>39</v>
      </c>
      <c r="E17" s="30"/>
      <c r="F17" s="30" t="s">
        <v>40</v>
      </c>
      <c r="G17" s="31">
        <v>346</v>
      </c>
      <c r="H17" s="32">
        <v>34.840000000000003</v>
      </c>
      <c r="I17" s="32">
        <v>3.14</v>
      </c>
      <c r="J17" s="33"/>
    </row>
    <row r="18" spans="2:10" x14ac:dyDescent="0.25">
      <c r="B18" s="1" t="s">
        <v>41</v>
      </c>
      <c r="C18" s="20" t="s">
        <v>42</v>
      </c>
      <c r="D18" s="29" t="s">
        <v>43</v>
      </c>
      <c r="E18" s="30"/>
      <c r="F18" s="30" t="s">
        <v>18</v>
      </c>
      <c r="G18" s="31">
        <v>17035</v>
      </c>
      <c r="H18" s="32">
        <v>33.21</v>
      </c>
      <c r="I18" s="32">
        <v>2.99</v>
      </c>
      <c r="J18" s="33"/>
    </row>
    <row r="19" spans="2:10" x14ac:dyDescent="0.25">
      <c r="B19" s="1" t="s">
        <v>44</v>
      </c>
      <c r="C19" s="20" t="s">
        <v>45</v>
      </c>
      <c r="D19" s="29" t="s">
        <v>46</v>
      </c>
      <c r="E19" s="30"/>
      <c r="F19" s="30" t="s">
        <v>47</v>
      </c>
      <c r="G19" s="31">
        <v>1332</v>
      </c>
      <c r="H19" s="32">
        <v>32.35</v>
      </c>
      <c r="I19" s="32">
        <v>2.92</v>
      </c>
      <c r="J19" s="33"/>
    </row>
    <row r="20" spans="2:10" x14ac:dyDescent="0.25">
      <c r="B20" s="1" t="s">
        <v>48</v>
      </c>
      <c r="C20" s="20" t="s">
        <v>49</v>
      </c>
      <c r="D20" s="29" t="s">
        <v>50</v>
      </c>
      <c r="E20" s="30"/>
      <c r="F20" s="30" t="s">
        <v>51</v>
      </c>
      <c r="G20" s="31">
        <v>3981</v>
      </c>
      <c r="H20" s="32">
        <v>29.41</v>
      </c>
      <c r="I20" s="32">
        <v>2.65</v>
      </c>
      <c r="J20" s="33"/>
    </row>
    <row r="21" spans="2:10" x14ac:dyDescent="0.25">
      <c r="B21" s="1" t="s">
        <v>52</v>
      </c>
      <c r="C21" s="20" t="s">
        <v>53</v>
      </c>
      <c r="D21" s="29" t="s">
        <v>54</v>
      </c>
      <c r="E21" s="30"/>
      <c r="F21" s="30" t="s">
        <v>40</v>
      </c>
      <c r="G21" s="31">
        <v>2008</v>
      </c>
      <c r="H21" s="32">
        <v>24.51</v>
      </c>
      <c r="I21" s="32">
        <v>2.21</v>
      </c>
      <c r="J21" s="33"/>
    </row>
    <row r="22" spans="2:10" x14ac:dyDescent="0.25">
      <c r="B22" s="1" t="s">
        <v>55</v>
      </c>
      <c r="C22" s="20" t="s">
        <v>56</v>
      </c>
      <c r="D22" s="29" t="s">
        <v>57</v>
      </c>
      <c r="E22" s="30"/>
      <c r="F22" s="30" t="s">
        <v>47</v>
      </c>
      <c r="G22" s="31">
        <v>536</v>
      </c>
      <c r="H22" s="32">
        <v>22.84</v>
      </c>
      <c r="I22" s="32">
        <v>2.06</v>
      </c>
      <c r="J22" s="33"/>
    </row>
    <row r="23" spans="2:10" x14ac:dyDescent="0.25">
      <c r="B23" s="1" t="s">
        <v>58</v>
      </c>
      <c r="C23" s="20" t="s">
        <v>59</v>
      </c>
      <c r="D23" s="29" t="s">
        <v>60</v>
      </c>
      <c r="E23" s="30"/>
      <c r="F23" s="30" t="s">
        <v>47</v>
      </c>
      <c r="G23" s="31">
        <v>1899</v>
      </c>
      <c r="H23" s="32">
        <v>21.82</v>
      </c>
      <c r="I23" s="32">
        <v>1.97</v>
      </c>
      <c r="J23" s="33"/>
    </row>
    <row r="24" spans="2:10" x14ac:dyDescent="0.25">
      <c r="B24" s="1" t="s">
        <v>61</v>
      </c>
      <c r="C24" s="20" t="s">
        <v>62</v>
      </c>
      <c r="D24" s="29" t="s">
        <v>63</v>
      </c>
      <c r="E24" s="30"/>
      <c r="F24" s="30" t="s">
        <v>18</v>
      </c>
      <c r="G24" s="31">
        <v>18875</v>
      </c>
      <c r="H24" s="32">
        <v>21.05</v>
      </c>
      <c r="I24" s="32">
        <v>1.9</v>
      </c>
      <c r="J24" s="33"/>
    </row>
    <row r="25" spans="2:10" x14ac:dyDescent="0.25">
      <c r="B25" s="1" t="s">
        <v>64</v>
      </c>
      <c r="C25" s="20" t="s">
        <v>65</v>
      </c>
      <c r="D25" s="29" t="s">
        <v>66</v>
      </c>
      <c r="E25" s="30"/>
      <c r="F25" s="30" t="s">
        <v>40</v>
      </c>
      <c r="G25" s="31">
        <v>6780</v>
      </c>
      <c r="H25" s="32">
        <v>14.91</v>
      </c>
      <c r="I25" s="32">
        <v>1.34</v>
      </c>
      <c r="J25" s="33"/>
    </row>
    <row r="26" spans="2:10" x14ac:dyDescent="0.25">
      <c r="B26" s="1" t="s">
        <v>67</v>
      </c>
      <c r="C26" s="20" t="s">
        <v>68</v>
      </c>
      <c r="D26" s="29" t="s">
        <v>69</v>
      </c>
      <c r="E26" s="30"/>
      <c r="F26" s="30" t="s">
        <v>40</v>
      </c>
      <c r="G26" s="31">
        <v>853</v>
      </c>
      <c r="H26" s="32">
        <v>12.43</v>
      </c>
      <c r="I26" s="32">
        <v>1.1200000000000001</v>
      </c>
      <c r="J26" s="33"/>
    </row>
    <row r="27" spans="2:10" x14ac:dyDescent="0.25">
      <c r="B27" s="1" t="s">
        <v>70</v>
      </c>
      <c r="C27" s="20" t="s">
        <v>71</v>
      </c>
      <c r="D27" s="29" t="s">
        <v>72</v>
      </c>
      <c r="E27" s="30"/>
      <c r="F27" s="30" t="s">
        <v>18</v>
      </c>
      <c r="G27" s="31">
        <v>16184</v>
      </c>
      <c r="H27" s="32">
        <v>11.95</v>
      </c>
      <c r="I27" s="32">
        <v>1.08</v>
      </c>
      <c r="J27" s="33"/>
    </row>
    <row r="28" spans="2:10" x14ac:dyDescent="0.25">
      <c r="B28" s="1" t="s">
        <v>73</v>
      </c>
      <c r="C28" s="20" t="s">
        <v>74</v>
      </c>
      <c r="D28" s="29" t="s">
        <v>75</v>
      </c>
      <c r="E28" s="30"/>
      <c r="F28" s="30" t="s">
        <v>47</v>
      </c>
      <c r="G28" s="31">
        <v>435</v>
      </c>
      <c r="H28" s="32">
        <v>4.2300000000000004</v>
      </c>
      <c r="I28" s="32">
        <v>0.38</v>
      </c>
      <c r="J28" s="33"/>
    </row>
    <row r="29" spans="2:10" x14ac:dyDescent="0.25">
      <c r="C29" s="28" t="s">
        <v>76</v>
      </c>
      <c r="D29" s="29"/>
      <c r="E29" s="30"/>
      <c r="F29" s="30"/>
      <c r="G29" s="31"/>
      <c r="H29" s="35">
        <v>1097.6400000000001</v>
      </c>
      <c r="I29" s="35">
        <v>98.98</v>
      </c>
      <c r="J29" s="33"/>
    </row>
    <row r="30" spans="2:10" x14ac:dyDescent="0.25">
      <c r="C30" s="20"/>
      <c r="D30" s="29"/>
      <c r="E30" s="30"/>
      <c r="F30" s="30"/>
      <c r="G30" s="31"/>
      <c r="H30" s="32"/>
      <c r="I30" s="32"/>
      <c r="J30" s="33"/>
    </row>
    <row r="31" spans="2:10" x14ac:dyDescent="0.25">
      <c r="C31" s="28" t="s">
        <v>77</v>
      </c>
      <c r="D31" s="29"/>
      <c r="E31" s="30"/>
      <c r="F31" s="30"/>
      <c r="G31" s="31"/>
      <c r="H31" s="32" t="s">
        <v>78</v>
      </c>
      <c r="I31" s="32" t="s">
        <v>78</v>
      </c>
      <c r="J31" s="33"/>
    </row>
    <row r="32" spans="2:10" x14ac:dyDescent="0.25">
      <c r="C32" s="20"/>
      <c r="D32" s="29"/>
      <c r="E32" s="30"/>
      <c r="F32" s="30"/>
      <c r="G32" s="31"/>
      <c r="H32" s="32"/>
      <c r="I32" s="32"/>
      <c r="J32" s="33"/>
    </row>
    <row r="33" spans="3:10" x14ac:dyDescent="0.25">
      <c r="C33" s="28" t="s">
        <v>79</v>
      </c>
      <c r="D33" s="29"/>
      <c r="E33" s="30"/>
      <c r="F33" s="30"/>
      <c r="G33" s="31"/>
      <c r="H33" s="32" t="s">
        <v>78</v>
      </c>
      <c r="I33" s="32" t="s">
        <v>78</v>
      </c>
      <c r="J33" s="33"/>
    </row>
    <row r="34" spans="3:10" x14ac:dyDescent="0.25">
      <c r="C34" s="20"/>
      <c r="D34" s="29"/>
      <c r="E34" s="30"/>
      <c r="F34" s="30"/>
      <c r="G34" s="31"/>
      <c r="H34" s="32"/>
      <c r="I34" s="32"/>
      <c r="J34" s="33"/>
    </row>
    <row r="35" spans="3:10" x14ac:dyDescent="0.25">
      <c r="C35" s="28" t="s">
        <v>80</v>
      </c>
      <c r="D35" s="29"/>
      <c r="E35" s="30"/>
      <c r="F35" s="30"/>
      <c r="G35" s="31"/>
      <c r="H35" s="32"/>
      <c r="I35" s="32"/>
      <c r="J35" s="33"/>
    </row>
    <row r="36" spans="3:10" x14ac:dyDescent="0.25">
      <c r="C36" s="20"/>
      <c r="D36" s="29"/>
      <c r="E36" s="30"/>
      <c r="F36" s="30"/>
      <c r="G36" s="31"/>
      <c r="H36" s="32"/>
      <c r="I36" s="32"/>
      <c r="J36" s="33"/>
    </row>
    <row r="37" spans="3:10" x14ac:dyDescent="0.25">
      <c r="C37" s="28" t="s">
        <v>81</v>
      </c>
      <c r="D37" s="29"/>
      <c r="E37" s="30"/>
      <c r="F37" s="30"/>
      <c r="G37" s="31"/>
      <c r="H37" s="32" t="s">
        <v>78</v>
      </c>
      <c r="I37" s="32" t="s">
        <v>78</v>
      </c>
      <c r="J37" s="33"/>
    </row>
    <row r="38" spans="3:10" x14ac:dyDescent="0.25">
      <c r="C38" s="20"/>
      <c r="D38" s="29"/>
      <c r="E38" s="30"/>
      <c r="F38" s="30"/>
      <c r="G38" s="31"/>
      <c r="H38" s="32"/>
      <c r="I38" s="32"/>
      <c r="J38" s="33"/>
    </row>
    <row r="39" spans="3:10" x14ac:dyDescent="0.25">
      <c r="C39" s="28" t="s">
        <v>82</v>
      </c>
      <c r="D39" s="29"/>
      <c r="E39" s="30"/>
      <c r="F39" s="30"/>
      <c r="G39" s="31"/>
      <c r="H39" s="32" t="s">
        <v>78</v>
      </c>
      <c r="I39" s="32" t="s">
        <v>78</v>
      </c>
      <c r="J39" s="33"/>
    </row>
    <row r="40" spans="3:10" x14ac:dyDescent="0.25">
      <c r="C40" s="20"/>
      <c r="D40" s="29"/>
      <c r="E40" s="30"/>
      <c r="F40" s="30"/>
      <c r="G40" s="31"/>
      <c r="H40" s="32"/>
      <c r="I40" s="32"/>
      <c r="J40" s="33"/>
    </row>
    <row r="41" spans="3:10" x14ac:dyDescent="0.25">
      <c r="C41" s="28" t="s">
        <v>83</v>
      </c>
      <c r="D41" s="29"/>
      <c r="E41" s="30"/>
      <c r="F41" s="30"/>
      <c r="G41" s="31"/>
      <c r="H41" s="32" t="s">
        <v>78</v>
      </c>
      <c r="I41" s="32" t="s">
        <v>78</v>
      </c>
      <c r="J41" s="33"/>
    </row>
    <row r="42" spans="3:10" x14ac:dyDescent="0.25">
      <c r="C42" s="20"/>
      <c r="D42" s="29"/>
      <c r="E42" s="30"/>
      <c r="F42" s="30"/>
      <c r="G42" s="31"/>
      <c r="H42" s="32"/>
      <c r="I42" s="32"/>
      <c r="J42" s="33"/>
    </row>
    <row r="43" spans="3:10" x14ac:dyDescent="0.25">
      <c r="C43" s="28" t="s">
        <v>84</v>
      </c>
      <c r="D43" s="29"/>
      <c r="E43" s="30"/>
      <c r="F43" s="30"/>
      <c r="G43" s="31"/>
      <c r="H43" s="32" t="s">
        <v>78</v>
      </c>
      <c r="I43" s="32" t="s">
        <v>78</v>
      </c>
      <c r="J43" s="33"/>
    </row>
    <row r="44" spans="3:10" x14ac:dyDescent="0.25">
      <c r="C44" s="20"/>
      <c r="D44" s="29"/>
      <c r="E44" s="30"/>
      <c r="F44" s="30"/>
      <c r="G44" s="31"/>
      <c r="H44" s="32"/>
      <c r="I44" s="32"/>
      <c r="J44" s="33"/>
    </row>
    <row r="45" spans="3:10" x14ac:dyDescent="0.25">
      <c r="C45" s="28" t="s">
        <v>85</v>
      </c>
      <c r="D45" s="29"/>
      <c r="E45" s="30"/>
      <c r="F45" s="30"/>
      <c r="G45" s="31"/>
      <c r="H45" s="32" t="s">
        <v>78</v>
      </c>
      <c r="I45" s="32" t="s">
        <v>78</v>
      </c>
      <c r="J45" s="33"/>
    </row>
    <row r="46" spans="3:10" x14ac:dyDescent="0.25">
      <c r="C46" s="20"/>
      <c r="D46" s="29"/>
      <c r="E46" s="30"/>
      <c r="F46" s="30"/>
      <c r="G46" s="31"/>
      <c r="H46" s="32"/>
      <c r="I46" s="32"/>
      <c r="J46" s="33"/>
    </row>
    <row r="47" spans="3:10" x14ac:dyDescent="0.25">
      <c r="C47" s="28" t="s">
        <v>86</v>
      </c>
      <c r="D47" s="29"/>
      <c r="E47" s="30"/>
      <c r="F47" s="30"/>
      <c r="G47" s="31"/>
      <c r="H47" s="32"/>
      <c r="I47" s="32"/>
      <c r="J47" s="33"/>
    </row>
    <row r="48" spans="3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87</v>
      </c>
      <c r="D49" s="29"/>
      <c r="E49" s="30"/>
      <c r="F49" s="30"/>
      <c r="G49" s="31"/>
      <c r="H49" s="32" t="s">
        <v>78</v>
      </c>
      <c r="I49" s="32" t="s">
        <v>78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88</v>
      </c>
      <c r="D51" s="29"/>
      <c r="E51" s="30"/>
      <c r="F51" s="30"/>
      <c r="G51" s="31"/>
      <c r="H51" s="32" t="s">
        <v>78</v>
      </c>
      <c r="I51" s="32" t="s">
        <v>78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89</v>
      </c>
      <c r="D53" s="29"/>
      <c r="E53" s="30"/>
      <c r="F53" s="30"/>
      <c r="G53" s="31"/>
      <c r="H53" s="32" t="s">
        <v>78</v>
      </c>
      <c r="I53" s="32" t="s">
        <v>78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90</v>
      </c>
      <c r="D55" s="29"/>
      <c r="E55" s="30"/>
      <c r="F55" s="30"/>
      <c r="G55" s="31"/>
      <c r="H55" s="32" t="s">
        <v>78</v>
      </c>
      <c r="I55" s="32" t="s">
        <v>78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91</v>
      </c>
      <c r="D57" s="29"/>
      <c r="E57" s="30"/>
      <c r="F57" s="30"/>
      <c r="G57" s="31"/>
      <c r="H57" s="32"/>
      <c r="I57" s="32"/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92</v>
      </c>
      <c r="D59" s="29"/>
      <c r="E59" s="30"/>
      <c r="F59" s="30"/>
      <c r="G59" s="31"/>
      <c r="H59" s="32" t="s">
        <v>78</v>
      </c>
      <c r="I59" s="32" t="s">
        <v>78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93</v>
      </c>
      <c r="D61" s="29"/>
      <c r="E61" s="30"/>
      <c r="F61" s="30"/>
      <c r="G61" s="31"/>
      <c r="H61" s="32" t="s">
        <v>78</v>
      </c>
      <c r="I61" s="32" t="s">
        <v>78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94</v>
      </c>
      <c r="D63" s="29"/>
      <c r="E63" s="30"/>
      <c r="F63" s="30"/>
      <c r="G63" s="31"/>
      <c r="H63" s="32" t="s">
        <v>78</v>
      </c>
      <c r="I63" s="32" t="s">
        <v>78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95</v>
      </c>
      <c r="D65" s="29"/>
      <c r="E65" s="30"/>
      <c r="F65" s="30"/>
      <c r="G65" s="31"/>
      <c r="H65" s="32" t="s">
        <v>78</v>
      </c>
      <c r="I65" s="32" t="s">
        <v>78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96</v>
      </c>
      <c r="D67" s="29"/>
      <c r="E67" s="30"/>
      <c r="F67" s="30"/>
      <c r="G67" s="31"/>
      <c r="H67" s="32" t="s">
        <v>78</v>
      </c>
      <c r="I67" s="32" t="s">
        <v>78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C69" s="28" t="s">
        <v>97</v>
      </c>
      <c r="D69" s="29"/>
      <c r="E69" s="30"/>
      <c r="F69" s="30"/>
      <c r="G69" s="31"/>
      <c r="H69" s="32" t="s">
        <v>78</v>
      </c>
      <c r="I69" s="32" t="s">
        <v>78</v>
      </c>
      <c r="J69" s="33"/>
    </row>
    <row r="70" spans="1:10" x14ac:dyDescent="0.25">
      <c r="C70" s="20"/>
      <c r="D70" s="29"/>
      <c r="E70" s="30"/>
      <c r="F70" s="30"/>
      <c r="G70" s="31"/>
      <c r="H70" s="32"/>
      <c r="I70" s="32"/>
      <c r="J70" s="33"/>
    </row>
    <row r="71" spans="1:10" x14ac:dyDescent="0.25">
      <c r="A71" s="26"/>
      <c r="B71" s="27"/>
      <c r="C71" s="28" t="s">
        <v>98</v>
      </c>
      <c r="D71" s="29"/>
      <c r="E71" s="30"/>
      <c r="F71" s="30"/>
      <c r="G71" s="31"/>
      <c r="H71" s="32"/>
      <c r="I71" s="32"/>
      <c r="J71" s="33"/>
    </row>
    <row r="72" spans="1:10" x14ac:dyDescent="0.25">
      <c r="B72" s="1"/>
      <c r="C72" s="20" t="s">
        <v>99</v>
      </c>
      <c r="D72" s="29"/>
      <c r="E72" s="30"/>
      <c r="F72" s="30"/>
      <c r="G72" s="31"/>
      <c r="H72" s="32">
        <v>11.24</v>
      </c>
      <c r="I72" s="32">
        <v>1.02</v>
      </c>
      <c r="J72" s="33"/>
    </row>
    <row r="73" spans="1:10" x14ac:dyDescent="0.25">
      <c r="C73" s="28" t="s">
        <v>76</v>
      </c>
      <c r="D73" s="29"/>
      <c r="E73" s="30"/>
      <c r="F73" s="30"/>
      <c r="G73" s="31"/>
      <c r="H73" s="35">
        <v>11.24</v>
      </c>
      <c r="I73" s="35">
        <v>1.02</v>
      </c>
      <c r="J73" s="33"/>
    </row>
    <row r="74" spans="1:10" x14ac:dyDescent="0.25">
      <c r="C74" s="20"/>
      <c r="D74" s="29"/>
      <c r="E74" s="30"/>
      <c r="F74" s="30"/>
      <c r="G74" s="31"/>
      <c r="H74" s="32"/>
      <c r="I74" s="32"/>
      <c r="J74" s="33"/>
    </row>
    <row r="75" spans="1:10" ht="14.25" thickBot="1" x14ac:dyDescent="0.3">
      <c r="C75" s="36" t="s">
        <v>100</v>
      </c>
      <c r="D75" s="37"/>
      <c r="E75" s="38"/>
      <c r="F75" s="39"/>
      <c r="G75" s="40"/>
      <c r="H75" s="41">
        <v>1108.8800000000001</v>
      </c>
      <c r="I75" s="41">
        <f>SUMIFS(I:I,C:C,"Total")</f>
        <v>100</v>
      </c>
      <c r="J75" s="42"/>
    </row>
    <row r="78" spans="1:10" x14ac:dyDescent="0.25">
      <c r="C78" s="11" t="s">
        <v>101</v>
      </c>
    </row>
    <row r="79" spans="1:10" x14ac:dyDescent="0.25">
      <c r="C79" s="2" t="s">
        <v>102</v>
      </c>
    </row>
    <row r="80" spans="1:10" x14ac:dyDescent="0.25">
      <c r="C80" s="2" t="s">
        <v>103</v>
      </c>
    </row>
    <row r="81" spans="3:3" x14ac:dyDescent="0.25">
      <c r="C81" s="2" t="s">
        <v>104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AB3C5-DB0B-4201-8511-575FFDB6E4D2}">
  <dimension ref="C3:K17"/>
  <sheetViews>
    <sheetView workbookViewId="0"/>
  </sheetViews>
  <sheetFormatPr defaultRowHeight="15" x14ac:dyDescent="0.25"/>
  <cols>
    <col min="3" max="3" width="51.5703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3" spans="3:11" ht="15.75" x14ac:dyDescent="0.25">
      <c r="C3" s="43" t="s">
        <v>105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106</v>
      </c>
      <c r="D4" s="46" t="s">
        <v>107</v>
      </c>
      <c r="E4" s="46"/>
      <c r="F4" s="46" t="s">
        <v>108</v>
      </c>
      <c r="G4" s="46"/>
      <c r="H4" s="46" t="s">
        <v>109</v>
      </c>
      <c r="I4" s="46"/>
      <c r="J4" s="46" t="s">
        <v>110</v>
      </c>
      <c r="K4" s="46"/>
    </row>
    <row r="5" spans="3:11" ht="63.75" x14ac:dyDescent="0.25">
      <c r="C5" s="47"/>
      <c r="D5" s="48" t="s">
        <v>111</v>
      </c>
      <c r="E5" s="48" t="s">
        <v>112</v>
      </c>
      <c r="F5" s="48" t="s">
        <v>111</v>
      </c>
      <c r="G5" s="48" t="s">
        <v>112</v>
      </c>
      <c r="H5" s="48" t="s">
        <v>111</v>
      </c>
      <c r="I5" s="48" t="s">
        <v>112</v>
      </c>
      <c r="J5" s="48" t="s">
        <v>111</v>
      </c>
      <c r="K5" s="48" t="s">
        <v>112</v>
      </c>
    </row>
    <row r="6" spans="3:11" x14ac:dyDescent="0.25">
      <c r="C6" s="49" t="s">
        <v>113</v>
      </c>
      <c r="D6" s="50">
        <v>23.31138746647159</v>
      </c>
      <c r="E6" s="50">
        <v>12331.138746647161</v>
      </c>
      <c r="F6" s="50">
        <v>13.81502842667377</v>
      </c>
      <c r="G6" s="50">
        <v>14743.440233236151</v>
      </c>
      <c r="H6" s="50">
        <v>15.362789857649162</v>
      </c>
      <c r="I6" s="50">
        <v>20448.847553578649</v>
      </c>
      <c r="J6" s="50">
        <v>14.103052578186137</v>
      </c>
      <c r="K6" s="50">
        <v>50570</v>
      </c>
    </row>
    <row r="7" spans="3:11" x14ac:dyDescent="0.25">
      <c r="C7" s="49" t="s">
        <v>114</v>
      </c>
      <c r="D7" s="50">
        <v>19.181743433530318</v>
      </c>
      <c r="E7" s="50">
        <v>11918.174343353032</v>
      </c>
      <c r="F7" s="50">
        <v>12.958561028721526</v>
      </c>
      <c r="G7" s="50">
        <v>14413.101793829246</v>
      </c>
      <c r="H7" s="50">
        <v>14.13134789460242</v>
      </c>
      <c r="I7" s="50">
        <v>19365.322399169541</v>
      </c>
      <c r="J7" s="50">
        <v>15.785851076608704</v>
      </c>
      <c r="K7" s="50">
        <v>60510.252298971522</v>
      </c>
    </row>
    <row r="8" spans="3:11" x14ac:dyDescent="0.25">
      <c r="C8" s="49" t="s">
        <v>115</v>
      </c>
      <c r="D8" s="50">
        <v>32.637285288704689</v>
      </c>
      <c r="E8" s="50">
        <v>13263.728528870468</v>
      </c>
      <c r="F8" s="50">
        <v>15.165415879249267</v>
      </c>
      <c r="G8" s="50">
        <v>15274.473195679144</v>
      </c>
      <c r="H8" s="50">
        <v>19.371647399859615</v>
      </c>
      <c r="I8" s="50">
        <v>24238.511002957006</v>
      </c>
      <c r="J8" s="50">
        <v>15.805148617756949</v>
      </c>
      <c r="K8" s="50">
        <v>60634.234595585236</v>
      </c>
    </row>
    <row r="9" spans="3:11" x14ac:dyDescent="0.25">
      <c r="C9" s="49" t="s">
        <v>116</v>
      </c>
      <c r="D9" s="51">
        <v>41.01</v>
      </c>
      <c r="E9" s="52"/>
      <c r="F9" s="51">
        <v>34.299999999999997</v>
      </c>
      <c r="G9" s="52"/>
      <c r="H9" s="51">
        <v>24.73</v>
      </c>
      <c r="I9" s="52"/>
      <c r="J9" s="51">
        <v>10</v>
      </c>
      <c r="K9" s="52"/>
    </row>
    <row r="11" spans="3:11" ht="15.75" x14ac:dyDescent="0.25">
      <c r="C11" s="43" t="s">
        <v>117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106</v>
      </c>
      <c r="D12" s="46" t="s">
        <v>107</v>
      </c>
      <c r="E12" s="46"/>
      <c r="F12" s="46" t="s">
        <v>108</v>
      </c>
      <c r="G12" s="46"/>
      <c r="H12" s="46" t="s">
        <v>109</v>
      </c>
      <c r="I12" s="46"/>
      <c r="J12" s="46" t="s">
        <v>110</v>
      </c>
      <c r="K12" s="46"/>
    </row>
    <row r="13" spans="3:11" ht="63.75" x14ac:dyDescent="0.25">
      <c r="C13" s="47"/>
      <c r="D13" s="48" t="s">
        <v>111</v>
      </c>
      <c r="E13" s="48" t="s">
        <v>112</v>
      </c>
      <c r="F13" s="48" t="s">
        <v>111</v>
      </c>
      <c r="G13" s="48" t="s">
        <v>112</v>
      </c>
      <c r="H13" s="48" t="s">
        <v>111</v>
      </c>
      <c r="I13" s="48" t="s">
        <v>112</v>
      </c>
      <c r="J13" s="48" t="s">
        <v>111</v>
      </c>
      <c r="K13" s="48" t="s">
        <v>112</v>
      </c>
    </row>
    <row r="14" spans="3:11" x14ac:dyDescent="0.25">
      <c r="C14" s="49" t="s">
        <v>113</v>
      </c>
      <c r="D14" s="50">
        <v>24.236387782204517</v>
      </c>
      <c r="E14" s="50">
        <v>12423.638778220453</v>
      </c>
      <c r="F14" s="50">
        <v>14.6863657390921</v>
      </c>
      <c r="G14" s="50">
        <v>15084.654662725075</v>
      </c>
      <c r="H14" s="50">
        <v>16.237955239435721</v>
      </c>
      <c r="I14" s="50">
        <v>21237.230419977299</v>
      </c>
      <c r="J14" s="50">
        <v>12.885468465553696</v>
      </c>
      <c r="K14" s="50">
        <v>41120.879120879123</v>
      </c>
    </row>
    <row r="15" spans="3:11" x14ac:dyDescent="0.25">
      <c r="C15" s="49" t="s">
        <v>114</v>
      </c>
      <c r="D15" s="50">
        <v>19.181743433530318</v>
      </c>
      <c r="E15" s="50">
        <v>11918.174343353032</v>
      </c>
      <c r="F15" s="50">
        <v>12.958561028721526</v>
      </c>
      <c r="G15" s="50">
        <v>14413.101793829246</v>
      </c>
      <c r="H15" s="50">
        <v>14.13134789460242</v>
      </c>
      <c r="I15" s="50">
        <v>19365.322399169541</v>
      </c>
      <c r="J15" s="50">
        <v>13.392001000025378</v>
      </c>
      <c r="K15" s="50">
        <v>43325.645735822873</v>
      </c>
    </row>
    <row r="16" spans="3:11" x14ac:dyDescent="0.25">
      <c r="C16" s="49" t="s">
        <v>115</v>
      </c>
      <c r="D16" s="50">
        <v>32.637285288704689</v>
      </c>
      <c r="E16" s="50">
        <v>13263.728528870468</v>
      </c>
      <c r="F16" s="50">
        <v>15.165415879249267</v>
      </c>
      <c r="G16" s="50">
        <v>15274.473195679144</v>
      </c>
      <c r="H16" s="50">
        <v>19.371647399859615</v>
      </c>
      <c r="I16" s="50">
        <v>24238.511002957006</v>
      </c>
      <c r="J16" s="50">
        <v>14.517733054188419</v>
      </c>
      <c r="K16" s="50">
        <v>48617.754394343639</v>
      </c>
    </row>
    <row r="17" spans="3:11" x14ac:dyDescent="0.25">
      <c r="C17" s="49" t="s">
        <v>118</v>
      </c>
      <c r="D17" s="51">
        <v>45.18</v>
      </c>
      <c r="E17" s="52"/>
      <c r="F17" s="51">
        <v>37.21</v>
      </c>
      <c r="G17" s="52"/>
      <c r="H17" s="51">
        <v>26.43</v>
      </c>
      <c r="I17" s="52"/>
      <c r="J17" s="51">
        <v>13.65</v>
      </c>
      <c r="K17" s="52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2024-09-02T11:17:25Z</dcterms:created>
  <dcterms:modified xsi:type="dcterms:W3CDTF">2024-09-05T08:48:25Z</dcterms:modified>
</cp:coreProperties>
</file>