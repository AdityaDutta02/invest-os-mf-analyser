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2. March 2026\Monthly Portfolio\Ops\"/>
    </mc:Choice>
  </mc:AlternateContent>
  <xr:revisionPtr revIDLastSave="0" documentId="13_ncr:1_{C17FFBC6-9535-44D9-9144-090F5A0F6153}" xr6:coauthVersionLast="47" xr6:coauthVersionMax="47" xr10:uidLastSave="{00000000-0000-0000-0000-000000000000}"/>
  <bookViews>
    <workbookView xWindow="-120" yWindow="-120" windowWidth="20730" windowHeight="11040" activeTab="1" xr2:uid="{48049E32-CEBD-481B-B278-48ADFD4F87E9}"/>
  </bookViews>
  <sheets>
    <sheet name="TBFS" sheetId="1" r:id="rId1"/>
    <sheet name="TBFS Performance" sheetId="2" r:id="rId2"/>
  </sheets>
  <externalReferences>
    <externalReference r:id="rId3"/>
  </externalReferences>
  <definedNames>
    <definedName name="XDO_?CLASS_3?1?">TBFS!$C$8:$C$27</definedName>
    <definedName name="XDO_?FINAL_ISIN?1?">TBFS!$D$10:$D$27</definedName>
    <definedName name="XDO_?FINAL_ISIN?2?">TBFS!$D$10:$D$71</definedName>
    <definedName name="XDO_?FINAL_MV?1?">TBFS!$H$10:$H$27</definedName>
    <definedName name="XDO_?FINAL_MV?2?">TBFS!$H$10:$H$71</definedName>
    <definedName name="XDO_?FINAL_NAME?1?">TBFS!$C$10:$C$27</definedName>
    <definedName name="XDO_?FINAL_NAME?2?">TBFS!$C$10:$C$71</definedName>
    <definedName name="XDO_?FINAL_PER_NET?1?">TBFS!$I$10:$I$27</definedName>
    <definedName name="XDO_?FINAL_PER_NET?2?">TBFS!$I$10:$I$71</definedName>
    <definedName name="XDO_?FINAL_QUANTITE?1?">TBFS!$G$10:$G$27</definedName>
    <definedName name="XDO_?FINAL_QUANTITE?2?">TBFS!$G$10:$G$71</definedName>
    <definedName name="XDO_?IND_01?1?">TBFS!$F$10:$F$27</definedName>
    <definedName name="XDO_?IND_01?2?">TBFS!$F$10:$F$71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TBFS!$C$2:$C$27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TBFS!$B$10:$B$27</definedName>
    <definedName name="XDO_?NOVAL?2?">TBFS!$B$10:$B$71</definedName>
    <definedName name="XDO_?NPTF?1?">TBFS!$D$2:$D$27</definedName>
    <definedName name="XDO_?RATING?1?">TBFS!$E$10:$E$27</definedName>
    <definedName name="XDO_?RATING?2?">TBFS!$E$10:$E$71</definedName>
    <definedName name="XDO_?REMARKS?1?">TBFS!$J$10:$J$27</definedName>
    <definedName name="XDO_?REMARKS?2?">TBFS!$J$10:$J$71</definedName>
    <definedName name="XDO_?TITL?1?">TBFS!$A$8:$A$27</definedName>
    <definedName name="XDO_GROUP_?G_2?1?">TBFS!$2:$74</definedName>
    <definedName name="XDO_GROUP_?G_3?1?">TBFS!$8:$73</definedName>
    <definedName name="XDO_GROUP_?G_4?1?">TBFS!$B$10:$IV$27</definedName>
    <definedName name="XDO_GROUP_?G_4?2?">TBFS!$B$71:$IV$71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<sst xmlns="http://schemas.openxmlformats.org/spreadsheetml/2006/main" count="214" uniqueCount="138">
  <si>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</si>
  <si>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</si>
  <si>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</si>
  <si>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</si>
  <si>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</si>
  <si>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</si>
  <si>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</si>
  <si>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</si>
  <si>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</si>
  <si>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</si>
  <si>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</si>
  <si>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</si>
  <si>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</si>
  <si>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</si>
  <si>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</si>
  <si>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</si>
  <si>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</si>
  <si>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</si>
  <si>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</si>
  <si>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</si>
  <si>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</si>
  <si>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</si>
  <si>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</si>
  <si>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</si>
  <si>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</si>
  <si>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</si>
  <si>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</si>
  <si>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</si>
  <si>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</si>
  <si>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</si>
  <si>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</si>
  <si>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100194</t>
  </si>
  <si>
    <t>Power Finance Corporation Ltd.</t>
  </si>
  <si>
    <t>INE134E01011</t>
  </si>
  <si>
    <t>Finance</t>
  </si>
  <si>
    <t>102528</t>
  </si>
  <si>
    <t>DAM Capital Advisors Ltd.</t>
  </si>
  <si>
    <t>INE284H01025</t>
  </si>
  <si>
    <t>Capital Markets</t>
  </si>
  <si>
    <t>100125</t>
  </si>
  <si>
    <t>Bajaj Finance Ltd.</t>
  </si>
  <si>
    <t>INE296A01032</t>
  </si>
  <si>
    <t>100135</t>
  </si>
  <si>
    <t>The Karnataka Bank Ltd.</t>
  </si>
  <si>
    <t>INE614B01018</t>
  </si>
  <si>
    <t>100325</t>
  </si>
  <si>
    <t>Bajaj Holdings &amp; Investment Ltd.</t>
  </si>
  <si>
    <t>INE118A01012</t>
  </si>
  <si>
    <t>100042</t>
  </si>
  <si>
    <t>LIC Housing Finance Ltd.</t>
  </si>
  <si>
    <t>INE115A01026</t>
  </si>
  <si>
    <t>100733</t>
  </si>
  <si>
    <t>General Insurance Corporation of India</t>
  </si>
  <si>
    <t>INE481Y01014</t>
  </si>
  <si>
    <t>Insurance</t>
  </si>
  <si>
    <t>100694</t>
  </si>
  <si>
    <t>Indian Energy Exchange Ltd.</t>
  </si>
  <si>
    <t>INE022Q01020</t>
  </si>
  <si>
    <t>100783</t>
  </si>
  <si>
    <t>JM Financial Ltd.</t>
  </si>
  <si>
    <t>INE780C01023</t>
  </si>
  <si>
    <t>100661</t>
  </si>
  <si>
    <t>Central Depository Services (I) Ltd.</t>
  </si>
  <si>
    <t>INE736A01011</t>
  </si>
  <si>
    <t>101550</t>
  </si>
  <si>
    <t>Life Insurance Corporation of India</t>
  </si>
  <si>
    <t>INE0J1Y01017</t>
  </si>
  <si>
    <t>100092</t>
  </si>
  <si>
    <t>Bank of Baroda</t>
  </si>
  <si>
    <t>INE028A01039</t>
  </si>
  <si>
    <t>100814</t>
  </si>
  <si>
    <t>HDFC Asset Management Co. Ltd.</t>
  </si>
  <si>
    <t>INE127D01025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</si>
  <si>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</si>
  <si>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</si>
  <si>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</si>
  <si>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</si>
  <si>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</si>
  <si>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</si>
  <si>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</si>
  <si>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</si>
  <si>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</si>
  <si>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</si>
  <si>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</si>
  <si>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</si>
  <si>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</si>
  <si>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</si>
  <si>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</si>
  <si>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</si>
  <si>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</si>
  <si>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</si>
  <si>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</si>
  <si>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</si>
  <si>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</si>
  <si>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</si>
  <si>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</si>
  <si>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</si>
  <si>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</si>
  <si>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</si>
  <si>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</si>
  <si>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</si>
  <si>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</si>
  <si>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</si>
  <si>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</si>
  <si>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</si>
  <si>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</si>
  <si>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</si>
  <si>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</si>
  <si>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31, 2026</t>
  </si>
  <si>
    <t>February 28,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</si>
  <si>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</si>
  <si>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</si>
  <si>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</si>
  <si>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</si>
  <si>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February 28, 2026.</t>
  </si>
  <si>
    <t>7. The Scheme did not declare any bonus during the month ended as on February 28, 2026.</t>
  </si>
  <si>
    <t>8. Total outstanding exposure in derivative instruments as on February 28, 2026 is Nil</t>
  </si>
  <si>
    <t>9. Total investments in Foreign Securities /ADRs/GDRs /Overseas ETFs as on February 28, 2026 and its percentage to NAV is Nil.</t>
  </si>
  <si>
    <t>10. During the period, the portfolio turnover ratio is 0.57 times.</t>
  </si>
  <si>
    <t>      Portfolio Turnover Ratio = Lower of sales or purchase of securities divided by average AUM for 12 months ended as on February 28, 2026</t>
  </si>
  <si>
    <t>11. The Scheme did not invest in repo transactions of corporate debt securities during the month ended as on February 28, 2026.</t>
  </si>
  <si>
    <t>12. The Scheme did not invest in credit default swaps during the month ended as on February 28, 2026.</t>
  </si>
  <si>
    <t>13. There are Nil instances of deviation from the valuation principles/guidelines during the month ended as on February 28th, 2026.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</si>
  <si>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</si>
  <si>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</si>
  <si>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</si>
  <si>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</si>
  <si>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</si>
  <si>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</si>
  <si>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</si>
  <si>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</si>
  <si>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</si>
  <si>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</si>
  <si>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</si>
  <si>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</si>
  <si>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February 27,2026 :54.83)</t>
  </si>
  <si>
    <t>Taurus Banking &amp; Financial Services Fund - Direct Plan Growth Option</t>
  </si>
  <si>
    <t>NAV [Rs.] Per Unit (as on February 27,2026 :61.59)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</si>
</sst>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03EAA220-3DD2-4B48-8EF8-CBEC97F882BD}"/>
    <cellStyle name="Hyperlink" xfId="2" builtinId="8"/>
    <cellStyle name="Normal" xfId="0" builtinId="0"/>
    <cellStyle name="Normal 2" xfId="4" xr:uid="{EF37F3D6-3BCA-4A4D-939C-8F3D06D3211E}"/>
    <cellStyle name="Style 1" xfId="3" xr:uid="{1D01A51F-E8A3-4630-878F-52D12E5CC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3" name="Picture 2" descr="Product Label - 9th Dec 2024 - Banking.jpg">
          <a:extLst>
            <a:ext uri="{FF2B5EF4-FFF2-40B4-BE49-F238E27FC236}">
              <a16:creationId xmlns:a16="http://schemas.microsoft.com/office/drawing/2014/main" id="{3FCD8423-F965-4737-A071-D632B1D6E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Feb_2026\Final\TMF_Monthly_Portfolio_Report_Feb_26.xlsx" TargetMode="External"/><Relationship Id="rId1" Type="http://schemas.openxmlformats.org/officeDocument/2006/relationships/externalLinkPath" Target="file:///Q:\5.TMF\Reporting\Monthly%20Reports\Monthly%20Portfolio\2025-26\Feb_2026\Final\TMF_Monthly_Portfolio_Report_Feb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636D-DB5E-4A5A-BBE1-3012252E84A2}">
  <dimension ref="A1:BB100"/>
  <sheetViews>
    <sheetView showGridLines="0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58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46081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15267</v>
      </c>
      <c r="H10" s="32">
        <v>210.53</v>
      </c>
      <c r="I10" s="32">
        <v>17.75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21388</v>
      </c>
      <c r="H11" s="32">
        <v>189.8</v>
      </c>
      <c r="I11" s="32">
        <v>16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9932</v>
      </c>
      <c r="H12" s="32">
        <v>119.38</v>
      </c>
      <c r="I12" s="32">
        <v>10.07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6944</v>
      </c>
      <c r="H13" s="32">
        <v>96.09</v>
      </c>
      <c r="I13" s="32">
        <v>8.1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21269</v>
      </c>
      <c r="H14" s="32">
        <v>88.33</v>
      </c>
      <c r="I14" s="32">
        <v>7.45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14671</v>
      </c>
      <c r="H15" s="32">
        <v>60.55</v>
      </c>
      <c r="I15" s="32">
        <v>5.1100000000000003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30629</v>
      </c>
      <c r="H16" s="32">
        <v>46.04</v>
      </c>
      <c r="I16" s="32">
        <v>3.88</v>
      </c>
      <c r="J16" s="33"/>
    </row>
    <row r="17" spans="2:10" x14ac:dyDescent="0.25">
      <c r="B17" s="1" t="s">
        <v>39</v>
      </c>
      <c r="C17" s="20" t="s">
        <v>40</v>
      </c>
      <c r="D17" s="29" t="s">
        <v>41</v>
      </c>
      <c r="E17" s="30"/>
      <c r="F17" s="30" t="s">
        <v>34</v>
      </c>
      <c r="G17" s="31">
        <v>4487</v>
      </c>
      <c r="H17" s="32">
        <v>44.71</v>
      </c>
      <c r="I17" s="32">
        <v>3.77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18</v>
      </c>
      <c r="G18" s="31">
        <v>21319</v>
      </c>
      <c r="H18" s="32">
        <v>43.22</v>
      </c>
      <c r="I18" s="32">
        <v>3.64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34</v>
      </c>
      <c r="G19" s="31">
        <v>300</v>
      </c>
      <c r="H19" s="32">
        <v>32.409999999999997</v>
      </c>
      <c r="I19" s="32">
        <v>2.73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34</v>
      </c>
      <c r="G20" s="31">
        <v>5977</v>
      </c>
      <c r="H20" s="32">
        <v>32.130000000000003</v>
      </c>
      <c r="I20" s="32">
        <v>2.71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54</v>
      </c>
      <c r="G21" s="31">
        <v>7712</v>
      </c>
      <c r="H21" s="32">
        <v>29.52</v>
      </c>
      <c r="I21" s="32">
        <v>2.4900000000000002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38</v>
      </c>
      <c r="G22" s="31">
        <v>20720</v>
      </c>
      <c r="H22" s="32">
        <v>25.93</v>
      </c>
      <c r="I22" s="32">
        <v>2.19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34</v>
      </c>
      <c r="G23" s="31">
        <v>16910</v>
      </c>
      <c r="H23" s="32">
        <v>21.61</v>
      </c>
      <c r="I23" s="32">
        <v>1.82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38</v>
      </c>
      <c r="G24" s="31">
        <v>1660</v>
      </c>
      <c r="H24" s="32">
        <v>21.12</v>
      </c>
      <c r="I24" s="32">
        <v>1.78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54</v>
      </c>
      <c r="G25" s="31">
        <v>2448</v>
      </c>
      <c r="H25" s="32">
        <v>20.79</v>
      </c>
      <c r="I25" s="32">
        <v>1.75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18</v>
      </c>
      <c r="G26" s="31">
        <v>5858</v>
      </c>
      <c r="H26" s="32">
        <v>18.850000000000001</v>
      </c>
      <c r="I26" s="32">
        <v>1.59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38</v>
      </c>
      <c r="G27" s="31">
        <v>403</v>
      </c>
      <c r="H27" s="32">
        <v>10.9</v>
      </c>
      <c r="I27" s="32">
        <v>0.92</v>
      </c>
      <c r="J27" s="33"/>
    </row>
    <row r="28" spans="2:10" x14ac:dyDescent="0.25">
      <c r="C28" s="28" t="s">
        <v>73</v>
      </c>
      <c r="D28" s="29"/>
      <c r="E28" s="30"/>
      <c r="F28" s="30"/>
      <c r="G28" s="31"/>
      <c r="H28" s="35">
        <v>1111.9100000000001</v>
      </c>
      <c r="I28" s="35">
        <v>93.75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94</v>
      </c>
      <c r="D68" s="29"/>
      <c r="E68" s="30"/>
      <c r="F68" s="30"/>
      <c r="G68" s="31"/>
      <c r="H68" s="32" t="s">
        <v>75</v>
      </c>
      <c r="I68" s="32" t="s">
        <v>75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95</v>
      </c>
      <c r="D70" s="29"/>
      <c r="E70" s="30"/>
      <c r="F70" s="30"/>
      <c r="G70" s="31"/>
      <c r="H70" s="32"/>
      <c r="I70" s="32"/>
      <c r="J70" s="33"/>
    </row>
    <row r="71" spans="1:10" x14ac:dyDescent="0.25">
      <c r="B71" s="1"/>
      <c r="C71" s="20" t="s">
        <v>96</v>
      </c>
      <c r="D71" s="29"/>
      <c r="E71" s="30"/>
      <c r="F71" s="30"/>
      <c r="G71" s="31"/>
      <c r="H71" s="32">
        <v>74.2</v>
      </c>
      <c r="I71" s="32">
        <v>6.25</v>
      </c>
      <c r="J71" s="33"/>
    </row>
    <row r="72" spans="1:10" x14ac:dyDescent="0.25">
      <c r="C72" s="28" t="s">
        <v>73</v>
      </c>
      <c r="D72" s="29"/>
      <c r="E72" s="30"/>
      <c r="F72" s="30"/>
      <c r="G72" s="31"/>
      <c r="H72" s="35">
        <v>74.2</v>
      </c>
      <c r="I72" s="35">
        <v>6.25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ht="14.25" thickBot="1" x14ac:dyDescent="0.3">
      <c r="C74" s="36" t="s">
        <v>97</v>
      </c>
      <c r="D74" s="37"/>
      <c r="E74" s="38"/>
      <c r="F74" s="39"/>
      <c r="G74" s="40"/>
      <c r="H74" s="41">
        <v>1186.1099999999999</v>
      </c>
      <c r="I74" s="41">
        <f>SUMIFS(I:I,C:C,"Total")</f>
        <v>100</v>
      </c>
      <c r="J74" s="42"/>
    </row>
    <row r="77" spans="1:10" x14ac:dyDescent="0.25">
      <c r="C77" s="11" t="s">
        <v>98</v>
      </c>
    </row>
    <row r="78" spans="1:10" x14ac:dyDescent="0.25">
      <c r="C78" s="2" t="s">
        <v>99</v>
      </c>
    </row>
    <row r="79" spans="1:10" x14ac:dyDescent="0.25">
      <c r="C79" s="2" t="s">
        <v>100</v>
      </c>
    </row>
    <row r="80" spans="1:10" x14ac:dyDescent="0.25">
      <c r="C80" s="2" t="s">
        <v>101</v>
      </c>
    </row>
    <row r="81" spans="3:5" x14ac:dyDescent="0.25">
      <c r="C81" s="43" t="s">
        <v>102</v>
      </c>
      <c r="D81" s="44"/>
      <c r="E81" s="44"/>
    </row>
    <row r="82" spans="3:5" x14ac:dyDescent="0.25">
      <c r="C82" s="43" t="s">
        <v>103</v>
      </c>
      <c r="D82" s="44"/>
      <c r="E82" s="44"/>
    </row>
    <row r="83" spans="3:5" ht="14.25" thickBot="1" x14ac:dyDescent="0.3">
      <c r="C83" s="43" t="s">
        <v>104</v>
      </c>
      <c r="D83" s="44"/>
      <c r="E83" s="44"/>
    </row>
    <row r="84" spans="3:5" ht="14.25" thickBot="1" x14ac:dyDescent="0.3">
      <c r="C84" s="45"/>
      <c r="D84" s="63" t="s">
        <v>105</v>
      </c>
      <c r="E84" s="64"/>
    </row>
    <row r="85" spans="3:5" x14ac:dyDescent="0.25">
      <c r="C85" s="46" t="s">
        <v>106</v>
      </c>
      <c r="D85" s="47" t="s">
        <v>107</v>
      </c>
      <c r="E85" s="48" t="s">
        <v>107</v>
      </c>
    </row>
    <row r="86" spans="3:5" ht="14.25" thickBot="1" x14ac:dyDescent="0.3">
      <c r="C86" s="49"/>
      <c r="D86" s="50" t="s">
        <v>108</v>
      </c>
      <c r="E86" s="51" t="s">
        <v>109</v>
      </c>
    </row>
    <row r="87" spans="3:5" ht="14.25" thickBot="1" x14ac:dyDescent="0.3">
      <c r="C87" s="52" t="s">
        <v>110</v>
      </c>
      <c r="D87" s="53">
        <v>48.37</v>
      </c>
      <c r="E87" s="53">
        <v>49.08</v>
      </c>
    </row>
    <row r="88" spans="3:5" ht="14.25" thickBot="1" x14ac:dyDescent="0.3">
      <c r="C88" s="52" t="s">
        <v>111</v>
      </c>
      <c r="D88" s="53">
        <v>54.03</v>
      </c>
      <c r="E88" s="53">
        <v>54.83</v>
      </c>
    </row>
    <row r="89" spans="3:5" ht="14.25" thickBot="1" x14ac:dyDescent="0.3">
      <c r="C89" s="52" t="s">
        <v>112</v>
      </c>
      <c r="D89" s="53">
        <v>59.96</v>
      </c>
      <c r="E89" s="53">
        <v>60.88</v>
      </c>
    </row>
    <row r="90" spans="3:5" ht="14.25" thickBot="1" x14ac:dyDescent="0.3">
      <c r="C90" s="52" t="s">
        <v>113</v>
      </c>
      <c r="D90" s="53">
        <v>60.66</v>
      </c>
      <c r="E90" s="53">
        <v>61.59</v>
      </c>
    </row>
    <row r="91" spans="3:5" x14ac:dyDescent="0.25">
      <c r="C91" s="44"/>
      <c r="D91" s="44"/>
      <c r="E91" s="44"/>
    </row>
    <row r="92" spans="3:5" x14ac:dyDescent="0.25">
      <c r="C92" s="43" t="s">
        <v>114</v>
      </c>
      <c r="D92" s="43"/>
      <c r="E92" s="54"/>
    </row>
    <row r="93" spans="3:5" x14ac:dyDescent="0.25">
      <c r="C93" s="43" t="s">
        <v>115</v>
      </c>
      <c r="D93" s="43"/>
      <c r="E93" s="54"/>
    </row>
    <row r="94" spans="3:5" x14ac:dyDescent="0.25">
      <c r="C94" s="43" t="s">
        <v>116</v>
      </c>
      <c r="D94" s="43"/>
      <c r="E94" s="54"/>
    </row>
    <row r="95" spans="3:5" x14ac:dyDescent="0.25">
      <c r="C95" s="43" t="s">
        <v>117</v>
      </c>
      <c r="D95" s="43"/>
      <c r="E95" s="43"/>
    </row>
    <row r="96" spans="3:5" x14ac:dyDescent="0.25">
      <c r="C96" s="43" t="s">
        <v>118</v>
      </c>
      <c r="D96" s="44"/>
      <c r="E96" s="44"/>
    </row>
    <row r="97" spans="3:5" x14ac:dyDescent="0.25">
      <c r="C97" s="43" t="s">
        <v>119</v>
      </c>
      <c r="D97" s="43"/>
      <c r="E97" s="43"/>
    </row>
    <row r="98" spans="3:5" x14ac:dyDescent="0.25">
      <c r="C98" s="43" t="s">
        <v>120</v>
      </c>
      <c r="D98" s="43"/>
      <c r="E98" s="43"/>
    </row>
    <row r="99" spans="3:5" x14ac:dyDescent="0.25">
      <c r="C99" s="43" t="s">
        <v>121</v>
      </c>
      <c r="D99" s="43"/>
      <c r="E99" s="43"/>
    </row>
    <row r="100" spans="3:5" ht="15" x14ac:dyDescent="0.25">
      <c r="C100" s="43" t="s">
        <v>122</v>
      </c>
      <c r="D100"/>
      <c r="E100"/>
    </row>
  </sheetData>
  <mergeCells count="1">
    <mergeCell ref="D84:E84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CC0C-7452-424A-9BB0-B9710102747F}">
  <dimension ref="C3:M17"/>
  <sheetViews>
    <sheetView tabSelected="1" topLeftCell="A4" workbookViewId="0">
      <selection activeCell="L8" sqref="L8"/>
    </sheetView>
  </sheetViews>
  <sheetFormatPr defaultRowHeight="15" x14ac:dyDescent="0.25"/>
  <cols>
    <col min="3" max="3" width="4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5" t="s">
        <v>123</v>
      </c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3:13" x14ac:dyDescent="0.25">
      <c r="C4" s="57" t="s">
        <v>124</v>
      </c>
      <c r="D4" s="65" t="s">
        <v>125</v>
      </c>
      <c r="E4" s="65"/>
      <c r="F4" s="65" t="s">
        <v>126</v>
      </c>
      <c r="G4" s="65"/>
      <c r="H4" s="65" t="s">
        <v>127</v>
      </c>
      <c r="I4" s="65"/>
      <c r="J4" s="66" t="s">
        <v>128</v>
      </c>
      <c r="K4" s="67"/>
      <c r="L4" s="68" t="s">
        <v>129</v>
      </c>
      <c r="M4" s="68"/>
    </row>
    <row r="5" spans="3:13" ht="63.75" x14ac:dyDescent="0.25">
      <c r="C5" s="58"/>
      <c r="D5" s="59" t="s">
        <v>130</v>
      </c>
      <c r="E5" s="59" t="s">
        <v>131</v>
      </c>
      <c r="F5" s="59" t="s">
        <v>130</v>
      </c>
      <c r="G5" s="59" t="s">
        <v>131</v>
      </c>
      <c r="H5" s="59" t="s">
        <v>130</v>
      </c>
      <c r="I5" s="59" t="s">
        <v>131</v>
      </c>
      <c r="J5" s="59" t="s">
        <v>130</v>
      </c>
      <c r="K5" s="59" t="s">
        <v>131</v>
      </c>
      <c r="L5" s="60" t="s">
        <v>130</v>
      </c>
      <c r="M5" s="60" t="s">
        <v>131</v>
      </c>
    </row>
    <row r="6" spans="3:13" x14ac:dyDescent="0.25">
      <c r="C6" s="61" t="s">
        <v>132</v>
      </c>
      <c r="D6" s="62">
        <v>17.083100000000002</v>
      </c>
      <c r="E6" s="62">
        <v>11708.306641042067</v>
      </c>
      <c r="F6" s="62">
        <v>14.3567</v>
      </c>
      <c r="G6" s="62">
        <v>14960.436562073668</v>
      </c>
      <c r="H6" s="62">
        <v>11.309699999999999</v>
      </c>
      <c r="I6" s="62">
        <v>17096.975366386032</v>
      </c>
      <c r="J6" s="62">
        <v>15.641</v>
      </c>
      <c r="K6" s="62">
        <v>42835.9375</v>
      </c>
      <c r="L6" s="62">
        <v>13.1455</v>
      </c>
      <c r="M6" s="62">
        <v>54830</v>
      </c>
    </row>
    <row r="7" spans="3:13" x14ac:dyDescent="0.25">
      <c r="C7" s="61" t="s">
        <v>133</v>
      </c>
      <c r="D7" s="62">
        <v>24.125900000000001</v>
      </c>
      <c r="E7" s="62">
        <v>12412.589999999998</v>
      </c>
      <c r="F7" s="62">
        <v>15.232699999999999</v>
      </c>
      <c r="G7" s="62">
        <v>15301.260666055899</v>
      </c>
      <c r="H7" s="62">
        <v>12.6332</v>
      </c>
      <c r="I7" s="62">
        <v>18127.257947578022</v>
      </c>
      <c r="J7" s="62">
        <v>16.528700000000001</v>
      </c>
      <c r="K7" s="62">
        <v>21486.442096109571</v>
      </c>
      <c r="L7" s="62">
        <v>15.4514</v>
      </c>
      <c r="M7" s="62">
        <v>72400.465241411832</v>
      </c>
    </row>
    <row r="8" spans="3:13" x14ac:dyDescent="0.25">
      <c r="C8" s="61" t="s">
        <v>134</v>
      </c>
      <c r="D8" s="62">
        <v>12.9283</v>
      </c>
      <c r="E8" s="62">
        <v>11292.83</v>
      </c>
      <c r="F8" s="62">
        <v>14.430300000000001</v>
      </c>
      <c r="G8" s="62">
        <v>14983.839401403065</v>
      </c>
      <c r="H8" s="62">
        <v>12.929500000000001</v>
      </c>
      <c r="I8" s="62">
        <v>18366.949269106684</v>
      </c>
      <c r="J8" s="62">
        <v>15.0045</v>
      </c>
      <c r="K8" s="62">
        <v>20117.507447051736</v>
      </c>
      <c r="L8" s="62">
        <v>14.0839</v>
      </c>
      <c r="M8" s="62">
        <v>61438.686949534189</v>
      </c>
    </row>
    <row r="9" spans="3:13" x14ac:dyDescent="0.25">
      <c r="C9" s="61" t="s">
        <v>135</v>
      </c>
      <c r="D9" s="69">
        <v>46.83</v>
      </c>
      <c r="E9" s="70"/>
      <c r="F9" s="69">
        <v>36.65</v>
      </c>
      <c r="G9" s="70"/>
      <c r="H9" s="69">
        <v>32.07</v>
      </c>
      <c r="I9" s="70"/>
      <c r="J9" s="69">
        <v>12.8</v>
      </c>
      <c r="K9" s="70"/>
      <c r="L9" s="69">
        <v>10</v>
      </c>
      <c r="M9" s="70"/>
    </row>
    <row r="11" spans="3:13" ht="15.75" x14ac:dyDescent="0.25">
      <c r="C11" s="55" t="s">
        <v>136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3:13" x14ac:dyDescent="0.25">
      <c r="C12" s="57" t="s">
        <v>124</v>
      </c>
      <c r="D12" s="65" t="s">
        <v>125</v>
      </c>
      <c r="E12" s="65"/>
      <c r="F12" s="65" t="s">
        <v>126</v>
      </c>
      <c r="G12" s="65"/>
      <c r="H12" s="65" t="s">
        <v>127</v>
      </c>
      <c r="I12" s="65"/>
      <c r="J12" s="66" t="s">
        <v>128</v>
      </c>
      <c r="K12" s="67"/>
      <c r="L12" s="68" t="s">
        <v>129</v>
      </c>
      <c r="M12" s="68"/>
    </row>
    <row r="13" spans="3:13" ht="63.75" x14ac:dyDescent="0.25">
      <c r="C13" s="58"/>
      <c r="D13" s="59" t="s">
        <v>130</v>
      </c>
      <c r="E13" s="59" t="s">
        <v>131</v>
      </c>
      <c r="F13" s="59" t="s">
        <v>130</v>
      </c>
      <c r="G13" s="59" t="s">
        <v>131</v>
      </c>
      <c r="H13" s="59" t="s">
        <v>130</v>
      </c>
      <c r="I13" s="59" t="s">
        <v>131</v>
      </c>
      <c r="J13" s="59" t="s">
        <v>130</v>
      </c>
      <c r="K13" s="59" t="s">
        <v>131</v>
      </c>
      <c r="L13" s="60" t="s">
        <v>130</v>
      </c>
      <c r="M13" s="60" t="s">
        <v>131</v>
      </c>
    </row>
    <row r="14" spans="3:13" x14ac:dyDescent="0.25">
      <c r="C14" s="61" t="s">
        <v>132</v>
      </c>
      <c r="D14" s="62">
        <v>18.0564</v>
      </c>
      <c r="E14" s="62">
        <v>11805.635422656698</v>
      </c>
      <c r="F14" s="62">
        <v>15.2479</v>
      </c>
      <c r="G14" s="62">
        <v>15313.276976628544</v>
      </c>
      <c r="H14" s="62">
        <v>12.1713</v>
      </c>
      <c r="I14" s="62">
        <v>17769.763416041547</v>
      </c>
      <c r="J14" s="62">
        <v>16.659199999999998</v>
      </c>
      <c r="K14" s="62">
        <v>46765.37585421413</v>
      </c>
      <c r="L14" s="62">
        <v>11.995699999999999</v>
      </c>
      <c r="M14" s="62">
        <v>45120.879120879123</v>
      </c>
    </row>
    <row r="15" spans="3:13" x14ac:dyDescent="0.25">
      <c r="C15" s="61" t="s">
        <v>133</v>
      </c>
      <c r="D15" s="62">
        <v>24.125900000000001</v>
      </c>
      <c r="E15" s="62">
        <v>12412.589999999998</v>
      </c>
      <c r="F15" s="62">
        <v>15.232699999999999</v>
      </c>
      <c r="G15" s="62">
        <v>15301.260666055899</v>
      </c>
      <c r="H15" s="62">
        <v>12.6332</v>
      </c>
      <c r="I15" s="62">
        <v>18127.257947578022</v>
      </c>
      <c r="J15" s="62">
        <v>16.528700000000001</v>
      </c>
      <c r="K15" s="62">
        <v>21486.442096109571</v>
      </c>
      <c r="L15" s="62">
        <v>13.2094</v>
      </c>
      <c r="M15" s="62">
        <v>51172.24867415709</v>
      </c>
    </row>
    <row r="16" spans="3:13" x14ac:dyDescent="0.25">
      <c r="C16" s="61" t="s">
        <v>134</v>
      </c>
      <c r="D16" s="62">
        <v>12.9283</v>
      </c>
      <c r="E16" s="62">
        <v>11292.83</v>
      </c>
      <c r="F16" s="62">
        <v>14.430300000000001</v>
      </c>
      <c r="G16" s="62">
        <v>14983.839401403065</v>
      </c>
      <c r="H16" s="62">
        <v>12.929500000000001</v>
      </c>
      <c r="I16" s="62">
        <v>18366.949269106684</v>
      </c>
      <c r="J16" s="62">
        <v>15.0045</v>
      </c>
      <c r="K16" s="62">
        <v>20117.507447051736</v>
      </c>
      <c r="L16" s="62">
        <v>12.8561</v>
      </c>
      <c r="M16" s="62">
        <v>49110.22687570408</v>
      </c>
    </row>
    <row r="17" spans="3:13" x14ac:dyDescent="0.25">
      <c r="C17" s="61" t="s">
        <v>137</v>
      </c>
      <c r="D17" s="69">
        <v>52.17</v>
      </c>
      <c r="E17" s="70"/>
      <c r="F17" s="69">
        <v>40.22</v>
      </c>
      <c r="G17" s="70"/>
      <c r="H17" s="69">
        <v>34.659999999999997</v>
      </c>
      <c r="I17" s="70"/>
      <c r="J17" s="69">
        <v>13.17</v>
      </c>
      <c r="K17" s="70"/>
      <c r="L17" s="69">
        <v>13.65</v>
      </c>
      <c r="M17" s="70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 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Chandrakant Gajane</cp:lastModifiedBy>
  <dcterms:created xsi:type="dcterms:W3CDTF">2026-03-06T09:35:24Z</dcterms:created>
  <dcterms:modified xsi:type="dcterms:W3CDTF">2026-03-09T07:09:39Z</dcterms:modified>
</cp:coreProperties>
</file>