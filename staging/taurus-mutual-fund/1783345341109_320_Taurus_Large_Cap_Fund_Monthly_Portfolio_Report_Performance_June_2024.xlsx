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JULY 2024\Portfolio\Ops\"/>
    </mc:Choice>
  </mc:AlternateContent>
  <xr:revisionPtr revIDLastSave="0" documentId="13_ncr:1_{9A090F4F-D439-4D7F-AB55-382FA6F0D5D8}" xr6:coauthVersionLast="47" xr6:coauthVersionMax="47" xr10:uidLastSave="{00000000-0000-0000-0000-000000000000}"/>
  <bookViews>
    <workbookView xWindow="-120" yWindow="-120" windowWidth="20730" windowHeight="11040" xr2:uid="{BFC7A398-4441-4ABA-BD2A-1FF13D7C4997}"/>
  </bookViews>
  <sheets>
    <sheet name="TBF" sheetId="1" r:id="rId1"/>
    <sheet name="TBF-Performance" sheetId="2" r:id="rId2"/>
  </sheets>
  <externalReferences>
    <externalReference r:id="rId3"/>
  </externalReferences>
  <definedNames>
    <definedName name="XDO_?AUM?">TBF!$H$13</definedName>
    <definedName name="XDO_?CLASS_3?">TBF!$C$8:$C$44</definedName>
    <definedName name="XDO_?CLASS_4?">TBF!$C$9</definedName>
    <definedName name="XDO_?CS_1?">TBF!$H$11</definedName>
    <definedName name="XDO_?CS_2?">TBF!$I$11</definedName>
    <definedName name="XDO_?FINAL_ISIN?">TBF!$D$10:$D$88</definedName>
    <definedName name="XDO_?FINAL_MV?">TBF!$H$10:$H$88</definedName>
    <definedName name="XDO_?FINAL_NAME?">TBF!$C$10:$C$88</definedName>
    <definedName name="XDO_?FINAL_PER_NET?">TBF!$I$10:$I$88</definedName>
    <definedName name="XDO_?FINAL_QUANTITE?">TBF!$G$10:$G$88</definedName>
    <definedName name="XDO_?IND_01?">TBF!$F$10:$F$88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TBF!$C$2:$C$44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TBF!$B$10:$B$88</definedName>
    <definedName name="XDO_?NPTF?">TBF!$D$2:$D$44</definedName>
    <definedName name="XDO_?RATING?">TBF!$E$10:$E$88</definedName>
    <definedName name="XDO_?REMARKS?">TBF!$J$10:$J$88</definedName>
    <definedName name="XDO_?TDATE?">TBF!$D$4</definedName>
    <definedName name="XDO_?TITL?">TBF!$A$8:$A$44</definedName>
    <definedName name="XDO_GROUP_?G_2?">TBF!$2:$91</definedName>
    <definedName name="XDO_GROUP_?G_3?">TBF!$8:$90</definedName>
    <definedName name="XDO_GROUP_?G_4?">TBF!$B$88:$IV$88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1" l="1"/>
</calcChain>
</file>

<file path=xl/sharedStrings.xml><?xml version="1.0" encoding="utf-8"?>
<sst xmlns="http://schemas.openxmlformats.org/spreadsheetml/2006/main" count="254" uniqueCount="183">
  <si>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</si>
  <si>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</si>
  <si>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</si>
  <si>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</si>
  <si>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</si>
  <si>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</si>
  <si>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</si>
  <si>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</si>
  <si>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</si>
  <si>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</si>
  <si>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</si>
  <si>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</si>
  <si>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</si>
  <si>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</si>
  <si>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</si>
  <si>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</si>
  <si>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</si>
  <si>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</si>
  <si>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</si>
  <si>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100010</t>
  </si>
  <si>
    <t>State Bank of India</t>
  </si>
  <si>
    <t>INE062A01020</t>
  </si>
  <si>
    <t>100097</t>
  </si>
  <si>
    <t>Coal India Ltd.</t>
  </si>
  <si>
    <t>INE522F01014</t>
  </si>
  <si>
    <t>Consumable Fuels</t>
  </si>
  <si>
    <t>100037</t>
  </si>
  <si>
    <t>HCL Technologies Ltd.</t>
  </si>
  <si>
    <t>INE860A01027</t>
  </si>
  <si>
    <t>IT - Software</t>
  </si>
  <si>
    <t>100024</t>
  </si>
  <si>
    <t>Axis Bank Ltd.</t>
  </si>
  <si>
    <t>INE238A01034</t>
  </si>
  <si>
    <t>100014</t>
  </si>
  <si>
    <t>Mahindra &amp; Mahindra Ltd.</t>
  </si>
  <si>
    <t>INE101A01026</t>
  </si>
  <si>
    <t>Automobiles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</si>
  <si>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</si>
  <si>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</si>
  <si>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</si>
  <si>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</si>
  <si>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</si>
  <si>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</si>
  <si>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</si>
  <si>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100106</t>
  </si>
  <si>
    <t>Maruti Suzuki India Ltd.</t>
  </si>
  <si>
    <t>INE585B01010</t>
  </si>
  <si>
    <t>101178</t>
  </si>
  <si>
    <t>Computer Age Management Services Ltd.</t>
  </si>
  <si>
    <t>INE596I01012</t>
  </si>
  <si>
    <t>Capital Markets</t>
  </si>
  <si>
    <t>100005</t>
  </si>
  <si>
    <t>Larsen &amp; Toubro Ltd.</t>
  </si>
  <si>
    <t>INE018A01030</t>
  </si>
  <si>
    <t>Construction</t>
  </si>
  <si>
    <t>100003</t>
  </si>
  <si>
    <t>Infosys Ltd.</t>
  </si>
  <si>
    <t>INE009A01021</t>
  </si>
  <si>
    <t>100104</t>
  </si>
  <si>
    <t>Kotak Mahindra Bank Ltd.</t>
  </si>
  <si>
    <t>INE237A01028</t>
  </si>
  <si>
    <t>100002</t>
  </si>
  <si>
    <t>Reliance Industries Ltd.</t>
  </si>
  <si>
    <t>INE002A01018</t>
  </si>
  <si>
    <t>Petroleum Products</t>
  </si>
  <si>
    <t>100181</t>
  </si>
  <si>
    <t>NTPC Ltd.</t>
  </si>
  <si>
    <t>INE733E01010</t>
  </si>
  <si>
    <t>Power</t>
  </si>
  <si>
    <t>100830</t>
  </si>
  <si>
    <t>Varun Beverages Ltd.</t>
  </si>
  <si>
    <t>INE200M01021</t>
  </si>
  <si>
    <t>Beverages</t>
  </si>
  <si>
    <t>100111</t>
  </si>
  <si>
    <t>Oil &amp; Natural Gas Corporation Ltd.</t>
  </si>
  <si>
    <t>INE213A01029</t>
  </si>
  <si>
    <t>Oil</t>
  </si>
  <si>
    <t>100153</t>
  </si>
  <si>
    <t>Cipla Ltd.</t>
  </si>
  <si>
    <t>INE059A01026</t>
  </si>
  <si>
    <t>Pharmaceuticals &amp; Biotechnology</t>
  </si>
  <si>
    <t>100132</t>
  </si>
  <si>
    <t>Info Edge (India) Ltd.</t>
  </si>
  <si>
    <t>INE663F01024</t>
  </si>
  <si>
    <t>Retailing</t>
  </si>
  <si>
    <t>100182</t>
  </si>
  <si>
    <t>Power Grid Corporation of India Ltd.</t>
  </si>
  <si>
    <t>INE752E01010</t>
  </si>
  <si>
    <t>100008</t>
  </si>
  <si>
    <t>Sun Pharmaceutical Industries Ltd.</t>
  </si>
  <si>
    <t>INE044A01036</t>
  </si>
  <si>
    <t>100080</t>
  </si>
  <si>
    <t>Dr. Reddy's Laboratories Ltd.</t>
  </si>
  <si>
    <t>INE089A01023</t>
  </si>
  <si>
    <t>100150</t>
  </si>
  <si>
    <t>Apollo Hospitals Enterprise Ltd.</t>
  </si>
  <si>
    <t>INE437A01024</t>
  </si>
  <si>
    <t>Healthcare Services</t>
  </si>
  <si>
    <t>100169</t>
  </si>
  <si>
    <t>Indian Oil Corporation Ltd.</t>
  </si>
  <si>
    <t>INE242A01010</t>
  </si>
  <si>
    <t>100119</t>
  </si>
  <si>
    <t>Tata Motors Ltd.</t>
  </si>
  <si>
    <t>INE155A01022</t>
  </si>
  <si>
    <t>101698</t>
  </si>
  <si>
    <t>Swan Energy Ltd.</t>
  </si>
  <si>
    <t>INE665A01038</t>
  </si>
  <si>
    <t>Diversified</t>
  </si>
  <si>
    <t>100302</t>
  </si>
  <si>
    <t>DLF Ltd.</t>
  </si>
  <si>
    <t>INE271C01023</t>
  </si>
  <si>
    <t>Realty</t>
  </si>
  <si>
    <t>100292</t>
  </si>
  <si>
    <t>Steel Authority of India Ltd.</t>
  </si>
  <si>
    <t>INE114A01011</t>
  </si>
  <si>
    <t>Ferrous Metals</t>
  </si>
  <si>
    <t>100147</t>
  </si>
  <si>
    <t>Tech Mahindra Ltd.</t>
  </si>
  <si>
    <t>INE669C01036</t>
  </si>
  <si>
    <t>101949</t>
  </si>
  <si>
    <t>Samhi Hotels Ltd.</t>
  </si>
  <si>
    <t>INE08U801020</t>
  </si>
  <si>
    <t>Leisure Services</t>
  </si>
  <si>
    <t>100184</t>
  </si>
  <si>
    <t>Tata Steel Ltd.</t>
  </si>
  <si>
    <t>INE081A01020</t>
  </si>
  <si>
    <t>100081</t>
  </si>
  <si>
    <t>Titan Company Ltd.</t>
  </si>
  <si>
    <t>INE280A01028</t>
  </si>
  <si>
    <t>Consumer Durables</t>
  </si>
  <si>
    <t>100128</t>
  </si>
  <si>
    <t>Eicher Motors Ltd.</t>
  </si>
  <si>
    <t>INE066A01021</t>
  </si>
  <si>
    <t>100263</t>
  </si>
  <si>
    <t>BEML Ltd.</t>
  </si>
  <si>
    <t>INE258A01016</t>
  </si>
  <si>
    <t>Agricultural, Commercial &amp; Construction Vehicles</t>
  </si>
  <si>
    <t>100100</t>
  </si>
  <si>
    <t>Hindustan Petroleum Corporation Ltd.</t>
  </si>
  <si>
    <t>INE094A01015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</si>
  <si>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</si>
  <si>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</si>
  <si>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</si>
  <si>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</si>
  <si>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</si>
  <si>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</si>
  <si>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</si>
  <si>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</si>
  <si>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</si>
  <si>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</si>
  <si>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</si>
  <si>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</si>
  <si>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</si>
  <si>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</si>
  <si>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</si>
  <si>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</si>
  <si>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</si>
  <si>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</si>
  <si>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</si>
  <si>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</si>
  <si>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</si>
  <si>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</si>
  <si>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</si>
  <si>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</si>
  <si>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</si>
  <si>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</si>
  <si>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</si>
  <si>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</si>
  <si>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</si>
  <si>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</si>
  <si>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</si>
  <si>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</si>
  <si>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</si>
  <si>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</si>
  <si>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</si>
  <si>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</si>
  <si>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</si>
  <si>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</si>
  <si>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</si>
  <si>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June 28, 2024 : 153.39)</t>
  </si>
  <si>
    <t>NAV [Rs.] Per Unit (as on June 28, 2024 : 162.01)</t>
  </si>
  <si>
    <t>Taurus Large Cap Fund - Regular Plan Growth Option</t>
  </si>
  <si>
    <t>Taurus Large Cap Fund - Direct Plan 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</si>
</sst>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C67DBEC8-4198-448F-AC1A-04C54F744897}"/>
    <cellStyle name="Hyperlink" xfId="2" builtinId="8"/>
    <cellStyle name="Normal" xfId="0" builtinId="0"/>
    <cellStyle name="Normal 2" xfId="4" xr:uid="{B70A3B04-DFB8-4D73-8D01-21FACD55E1C5}"/>
    <cellStyle name="Style 1" xfId="3" xr:uid="{5C44A70F-877F-4AB0-906B-01B3B748AC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876692</xdr:colOff>
      <xdr:row>0</xdr:row>
      <xdr:rowOff>2053166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357520-0473-4019-B325-745B1A0F6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628859" cy="2053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June_2024\Client%20Report\TMF_Monthly_Portfolio_Report_June%2024.xls" TargetMode="External"/><Relationship Id="rId1" Type="http://schemas.openxmlformats.org/officeDocument/2006/relationships/externalLinkPath" Target="TMF_Monthly_Portfolio_Report_June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384F-F1BC-4603-880E-A53F88F34D31}">
  <sheetPr codeName="Sheet1"/>
  <dimension ref="A1:BB97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45473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23999</v>
      </c>
      <c r="H10" s="32">
        <v>404.04</v>
      </c>
      <c r="I10" s="32">
        <v>8.2799999999999994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34404</v>
      </c>
      <c r="H11" s="32">
        <v>292.04000000000002</v>
      </c>
      <c r="I11" s="32">
        <v>5.99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57649</v>
      </c>
      <c r="H12" s="32">
        <v>272.74</v>
      </c>
      <c r="I12" s="32">
        <v>5.59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17307</v>
      </c>
      <c r="H13" s="32">
        <v>252.61</v>
      </c>
      <c r="I13" s="32">
        <v>5.18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19761</v>
      </c>
      <c r="H14" s="32">
        <v>250.11</v>
      </c>
      <c r="I14" s="32">
        <v>5.13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8410</v>
      </c>
      <c r="H15" s="32">
        <v>241.22</v>
      </c>
      <c r="I15" s="32">
        <v>4.95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54880</v>
      </c>
      <c r="H16" s="32">
        <v>233.19</v>
      </c>
      <c r="I16" s="32">
        <v>4.78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19245</v>
      </c>
      <c r="H17" s="32">
        <v>230.9</v>
      </c>
      <c r="I17" s="32">
        <v>4.7300000000000004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36</v>
      </c>
      <c r="G18" s="31">
        <v>1553</v>
      </c>
      <c r="H18" s="32">
        <v>186.93</v>
      </c>
      <c r="I18" s="32">
        <v>3.83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3807</v>
      </c>
      <c r="H19" s="32">
        <v>137.53</v>
      </c>
      <c r="I19" s="32">
        <v>2.82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3732</v>
      </c>
      <c r="H20" s="32">
        <v>132.46</v>
      </c>
      <c r="I20" s="32">
        <v>2.72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29</v>
      </c>
      <c r="G21" s="31">
        <v>8147</v>
      </c>
      <c r="H21" s="32">
        <v>127.66</v>
      </c>
      <c r="I21" s="32">
        <v>2.62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18</v>
      </c>
      <c r="G22" s="31">
        <v>7067</v>
      </c>
      <c r="H22" s="32">
        <v>127.42</v>
      </c>
      <c r="I22" s="32">
        <v>2.61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3795</v>
      </c>
      <c r="H23" s="32">
        <v>118.85</v>
      </c>
      <c r="I23" s="32">
        <v>2.44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31179</v>
      </c>
      <c r="H24" s="32">
        <v>117.97</v>
      </c>
      <c r="I24" s="32">
        <v>2.42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7139</v>
      </c>
      <c r="H25" s="32">
        <v>116.35</v>
      </c>
      <c r="I25" s="32">
        <v>2.39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42238</v>
      </c>
      <c r="H26" s="32">
        <v>115.77</v>
      </c>
      <c r="I26" s="32">
        <v>2.37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7725</v>
      </c>
      <c r="H27" s="32">
        <v>114.36</v>
      </c>
      <c r="I27" s="32">
        <v>2.34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1626</v>
      </c>
      <c r="H28" s="32">
        <v>110.34</v>
      </c>
      <c r="I28" s="32">
        <v>2.2599999999999998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68</v>
      </c>
      <c r="G29" s="31">
        <v>33010</v>
      </c>
      <c r="H29" s="32">
        <v>109.2</v>
      </c>
      <c r="I29" s="32">
        <v>2.2400000000000002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80</v>
      </c>
      <c r="G30" s="31">
        <v>6749</v>
      </c>
      <c r="H30" s="32">
        <v>102.75</v>
      </c>
      <c r="I30" s="32">
        <v>2.11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80</v>
      </c>
      <c r="G31" s="31">
        <v>1505</v>
      </c>
      <c r="H31" s="32">
        <v>96.41</v>
      </c>
      <c r="I31" s="32">
        <v>1.98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1517</v>
      </c>
      <c r="H32" s="32">
        <v>93.83</v>
      </c>
      <c r="I32" s="32">
        <v>1.92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64</v>
      </c>
      <c r="G33" s="31">
        <v>54212</v>
      </c>
      <c r="H33" s="32">
        <v>89.78</v>
      </c>
      <c r="I33" s="32">
        <v>1.84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36</v>
      </c>
      <c r="G34" s="31">
        <v>8674</v>
      </c>
      <c r="H34" s="32">
        <v>85.88</v>
      </c>
      <c r="I34" s="32">
        <v>1.76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107</v>
      </c>
      <c r="G35" s="31">
        <v>14538</v>
      </c>
      <c r="H35" s="32">
        <v>85.45</v>
      </c>
      <c r="I35" s="32">
        <v>1.75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111</v>
      </c>
      <c r="G36" s="31">
        <v>10345</v>
      </c>
      <c r="H36" s="32">
        <v>85.3</v>
      </c>
      <c r="I36" s="32">
        <v>1.75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53727</v>
      </c>
      <c r="H37" s="32">
        <v>79.92</v>
      </c>
      <c r="I37" s="32">
        <v>1.64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29</v>
      </c>
      <c r="G38" s="31">
        <v>5523</v>
      </c>
      <c r="H38" s="32">
        <v>78.989999999999995</v>
      </c>
      <c r="I38" s="32">
        <v>1.62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31683</v>
      </c>
      <c r="H39" s="32">
        <v>60.53</v>
      </c>
      <c r="I39" s="32">
        <v>1.24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115</v>
      </c>
      <c r="G40" s="31">
        <v>32171</v>
      </c>
      <c r="H40" s="32">
        <v>55.98</v>
      </c>
      <c r="I40" s="32">
        <v>1.1499999999999999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1393</v>
      </c>
      <c r="H41" s="32">
        <v>47.45</v>
      </c>
      <c r="I41" s="32">
        <v>0.97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36</v>
      </c>
      <c r="G42" s="31">
        <v>1012</v>
      </c>
      <c r="H42" s="32">
        <v>47.24</v>
      </c>
      <c r="I42" s="32">
        <v>0.97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136</v>
      </c>
      <c r="G43" s="31">
        <v>1027</v>
      </c>
      <c r="H43" s="32">
        <v>45.58</v>
      </c>
      <c r="I43" s="32">
        <v>0.93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64</v>
      </c>
      <c r="G44" s="31">
        <v>12849</v>
      </c>
      <c r="H44" s="32">
        <v>42.67</v>
      </c>
      <c r="I44" s="32">
        <v>0.87</v>
      </c>
      <c r="J44" s="33"/>
    </row>
    <row r="45" spans="2:10" x14ac:dyDescent="0.25">
      <c r="C45" s="28" t="s">
        <v>140</v>
      </c>
      <c r="D45" s="29"/>
      <c r="E45" s="30"/>
      <c r="F45" s="30"/>
      <c r="G45" s="31"/>
      <c r="H45" s="35">
        <v>4789.45</v>
      </c>
      <c r="I45" s="35">
        <v>98.19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141</v>
      </c>
      <c r="D47" s="29"/>
      <c r="E47" s="30"/>
      <c r="F47" s="30"/>
      <c r="G47" s="31"/>
      <c r="H47" s="32" t="s">
        <v>142</v>
      </c>
      <c r="I47" s="32" t="s">
        <v>142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143</v>
      </c>
      <c r="D49" s="29"/>
      <c r="E49" s="30"/>
      <c r="F49" s="30"/>
      <c r="G49" s="31"/>
      <c r="H49" s="32" t="s">
        <v>142</v>
      </c>
      <c r="I49" s="32" t="s">
        <v>142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144</v>
      </c>
      <c r="D51" s="29"/>
      <c r="E51" s="30"/>
      <c r="F51" s="30"/>
      <c r="G51" s="31"/>
      <c r="H51" s="32"/>
      <c r="I51" s="32"/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145</v>
      </c>
      <c r="D53" s="29"/>
      <c r="E53" s="30"/>
      <c r="F53" s="30"/>
      <c r="G53" s="31"/>
      <c r="H53" s="32" t="s">
        <v>142</v>
      </c>
      <c r="I53" s="32" t="s">
        <v>142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146</v>
      </c>
      <c r="D55" s="29"/>
      <c r="E55" s="30"/>
      <c r="F55" s="30"/>
      <c r="G55" s="31"/>
      <c r="H55" s="32" t="s">
        <v>142</v>
      </c>
      <c r="I55" s="32" t="s">
        <v>142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147</v>
      </c>
      <c r="D57" s="29"/>
      <c r="E57" s="30"/>
      <c r="F57" s="30"/>
      <c r="G57" s="31"/>
      <c r="H57" s="32" t="s">
        <v>142</v>
      </c>
      <c r="I57" s="32" t="s">
        <v>142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148</v>
      </c>
      <c r="D59" s="29"/>
      <c r="E59" s="30"/>
      <c r="F59" s="30"/>
      <c r="G59" s="31"/>
      <c r="H59" s="32" t="s">
        <v>142</v>
      </c>
      <c r="I59" s="32" t="s">
        <v>142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149</v>
      </c>
      <c r="D61" s="29"/>
      <c r="E61" s="30"/>
      <c r="F61" s="30"/>
      <c r="G61" s="31"/>
      <c r="H61" s="32" t="s">
        <v>142</v>
      </c>
      <c r="I61" s="32" t="s">
        <v>142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150</v>
      </c>
      <c r="D63" s="29"/>
      <c r="E63" s="30"/>
      <c r="F63" s="30"/>
      <c r="G63" s="31"/>
      <c r="H63" s="32"/>
      <c r="I63" s="32"/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151</v>
      </c>
      <c r="D65" s="29"/>
      <c r="E65" s="30"/>
      <c r="F65" s="30"/>
      <c r="G65" s="31"/>
      <c r="H65" s="32" t="s">
        <v>142</v>
      </c>
      <c r="I65" s="32" t="s">
        <v>142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152</v>
      </c>
      <c r="D67" s="29"/>
      <c r="E67" s="30"/>
      <c r="F67" s="30"/>
      <c r="G67" s="31"/>
      <c r="H67" s="32" t="s">
        <v>142</v>
      </c>
      <c r="I67" s="32" t="s">
        <v>142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153</v>
      </c>
      <c r="D69" s="29"/>
      <c r="E69" s="30"/>
      <c r="F69" s="30"/>
      <c r="G69" s="31"/>
      <c r="H69" s="32" t="s">
        <v>142</v>
      </c>
      <c r="I69" s="32" t="s">
        <v>142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154</v>
      </c>
      <c r="D71" s="29"/>
      <c r="E71" s="30"/>
      <c r="F71" s="30"/>
      <c r="G71" s="31"/>
      <c r="H71" s="32" t="s">
        <v>142</v>
      </c>
      <c r="I71" s="32" t="s">
        <v>142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155</v>
      </c>
      <c r="D73" s="29"/>
      <c r="E73" s="30"/>
      <c r="F73" s="30"/>
      <c r="G73" s="31"/>
      <c r="H73" s="32"/>
      <c r="I73" s="32"/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156</v>
      </c>
      <c r="D75" s="29"/>
      <c r="E75" s="30"/>
      <c r="F75" s="30"/>
      <c r="G75" s="31"/>
      <c r="H75" s="32" t="s">
        <v>142</v>
      </c>
      <c r="I75" s="32" t="s">
        <v>142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157</v>
      </c>
      <c r="D77" s="29"/>
      <c r="E77" s="30"/>
      <c r="F77" s="30"/>
      <c r="G77" s="31"/>
      <c r="H77" s="32" t="s">
        <v>142</v>
      </c>
      <c r="I77" s="32" t="s">
        <v>142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158</v>
      </c>
      <c r="D79" s="29"/>
      <c r="E79" s="30"/>
      <c r="F79" s="30"/>
      <c r="G79" s="31"/>
      <c r="H79" s="32" t="s">
        <v>142</v>
      </c>
      <c r="I79" s="32" t="s">
        <v>142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159</v>
      </c>
      <c r="D81" s="29"/>
      <c r="E81" s="30"/>
      <c r="F81" s="30"/>
      <c r="G81" s="31"/>
      <c r="H81" s="32" t="s">
        <v>142</v>
      </c>
      <c r="I81" s="32" t="s">
        <v>142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160</v>
      </c>
      <c r="D83" s="29"/>
      <c r="E83" s="30"/>
      <c r="F83" s="30"/>
      <c r="G83" s="31"/>
      <c r="H83" s="32" t="s">
        <v>142</v>
      </c>
      <c r="I83" s="32" t="s">
        <v>142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161</v>
      </c>
      <c r="D85" s="29"/>
      <c r="E85" s="30"/>
      <c r="F85" s="30"/>
      <c r="G85" s="31"/>
      <c r="H85" s="32" t="s">
        <v>142</v>
      </c>
      <c r="I85" s="32" t="s">
        <v>142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A87" s="26"/>
      <c r="B87" s="27"/>
      <c r="C87" s="28" t="s">
        <v>162</v>
      </c>
      <c r="D87" s="29"/>
      <c r="E87" s="30"/>
      <c r="F87" s="30"/>
      <c r="G87" s="31"/>
      <c r="H87" s="32"/>
      <c r="I87" s="32"/>
      <c r="J87" s="33"/>
    </row>
    <row r="88" spans="1:10" x14ac:dyDescent="0.25">
      <c r="B88" s="1"/>
      <c r="C88" s="20" t="s">
        <v>163</v>
      </c>
      <c r="D88" s="29"/>
      <c r="E88" s="30"/>
      <c r="F88" s="30"/>
      <c r="G88" s="31"/>
      <c r="H88" s="32">
        <v>88.07</v>
      </c>
      <c r="I88" s="32">
        <v>1.81</v>
      </c>
      <c r="J88" s="33"/>
    </row>
    <row r="89" spans="1:10" x14ac:dyDescent="0.25">
      <c r="C89" s="28" t="s">
        <v>140</v>
      </c>
      <c r="D89" s="29"/>
      <c r="E89" s="30"/>
      <c r="F89" s="30"/>
      <c r="G89" s="31"/>
      <c r="H89" s="35">
        <v>88.07</v>
      </c>
      <c r="I89" s="35">
        <v>1.81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ht="14.25" thickBot="1" x14ac:dyDescent="0.3">
      <c r="C91" s="36" t="s">
        <v>164</v>
      </c>
      <c r="D91" s="37"/>
      <c r="E91" s="38"/>
      <c r="F91" s="39"/>
      <c r="G91" s="40"/>
      <c r="H91" s="41">
        <v>4877.5200000000004</v>
      </c>
      <c r="I91" s="41">
        <f>SUMIFS(I:I,C:C,"Total")</f>
        <v>100</v>
      </c>
      <c r="J91" s="42"/>
    </row>
    <row r="94" spans="1:10" x14ac:dyDescent="0.25">
      <c r="C94" s="11" t="s">
        <v>165</v>
      </c>
    </row>
    <row r="95" spans="1:10" x14ac:dyDescent="0.25">
      <c r="C95" s="2" t="s">
        <v>166</v>
      </c>
    </row>
    <row r="96" spans="1:10" x14ac:dyDescent="0.25">
      <c r="C96" s="2" t="s">
        <v>167</v>
      </c>
    </row>
    <row r="97" spans="3:3" x14ac:dyDescent="0.25">
      <c r="C97" s="2" t="s">
        <v>168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9890-CDE8-4B3B-9295-067BCE64513F}">
  <dimension ref="B4:J18"/>
  <sheetViews>
    <sheetView workbookViewId="0"/>
  </sheetViews>
  <sheetFormatPr defaultRowHeight="15" x14ac:dyDescent="0.25"/>
  <cols>
    <col min="2" max="2" width="68" bestFit="1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" bestFit="1" customWidth="1"/>
  </cols>
  <sheetData>
    <row r="4" spans="2:10" ht="15.75" x14ac:dyDescent="0.25">
      <c r="B4" s="43" t="s">
        <v>181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169</v>
      </c>
      <c r="C5" s="50" t="s">
        <v>170</v>
      </c>
      <c r="D5" s="50"/>
      <c r="E5" s="50" t="s">
        <v>171</v>
      </c>
      <c r="F5" s="50"/>
      <c r="G5" s="50" t="s">
        <v>172</v>
      </c>
      <c r="H5" s="50"/>
      <c r="I5" s="50" t="s">
        <v>173</v>
      </c>
      <c r="J5" s="50"/>
    </row>
    <row r="6" spans="2:10" ht="63.75" x14ac:dyDescent="0.25">
      <c r="B6" s="46"/>
      <c r="C6" s="47" t="s">
        <v>174</v>
      </c>
      <c r="D6" s="47" t="s">
        <v>175</v>
      </c>
      <c r="E6" s="47" t="s">
        <v>174</v>
      </c>
      <c r="F6" s="47" t="s">
        <v>175</v>
      </c>
      <c r="G6" s="47" t="s">
        <v>174</v>
      </c>
      <c r="H6" s="47" t="s">
        <v>175</v>
      </c>
      <c r="I6" s="47" t="s">
        <v>174</v>
      </c>
      <c r="J6" s="47" t="s">
        <v>175</v>
      </c>
    </row>
    <row r="7" spans="2:10" x14ac:dyDescent="0.25">
      <c r="B7" s="48" t="s">
        <v>176</v>
      </c>
      <c r="C7" s="49">
        <v>39.192377495462779</v>
      </c>
      <c r="D7" s="49">
        <v>13919.237749546277</v>
      </c>
      <c r="E7" s="49">
        <v>17.279759752630209</v>
      </c>
      <c r="F7" s="49">
        <v>16124.251024913276</v>
      </c>
      <c r="G7" s="49">
        <v>15.252974439437716</v>
      </c>
      <c r="H7" s="49">
        <v>20351.598779355176</v>
      </c>
      <c r="I7" s="49">
        <v>11.144947709669584</v>
      </c>
      <c r="J7" s="49">
        <v>153390</v>
      </c>
    </row>
    <row r="8" spans="2:10" x14ac:dyDescent="0.25">
      <c r="B8" s="48" t="s">
        <v>177</v>
      </c>
      <c r="C8" s="49">
        <v>31.441515178631452</v>
      </c>
      <c r="D8" s="49">
        <v>13144.151517863145</v>
      </c>
      <c r="E8" s="49">
        <v>18.241414749753314</v>
      </c>
      <c r="F8" s="49">
        <v>16531.370224994233</v>
      </c>
      <c r="G8" s="49">
        <v>17.896628656930758</v>
      </c>
      <c r="H8" s="49">
        <v>22777.545952177832</v>
      </c>
      <c r="I8" s="49">
        <v>12.720781531505754</v>
      </c>
      <c r="J8" s="49">
        <v>336010.43244754442</v>
      </c>
    </row>
    <row r="9" spans="2:10" x14ac:dyDescent="0.25">
      <c r="B9" s="48" t="s">
        <v>178</v>
      </c>
      <c r="C9" s="49">
        <v>26.655749448050848</v>
      </c>
      <c r="D9" s="49">
        <v>12665.574944805085</v>
      </c>
      <c r="E9" s="49">
        <v>16.55232376873219</v>
      </c>
      <c r="F9" s="49">
        <v>15832.985358067599</v>
      </c>
      <c r="G9" s="49">
        <v>16.659532245726538</v>
      </c>
      <c r="H9" s="49">
        <v>21607.332439649079</v>
      </c>
      <c r="I9" s="49">
        <v>12.662892667391134</v>
      </c>
      <c r="J9" s="49">
        <v>330982.33459482813</v>
      </c>
    </row>
    <row r="10" spans="2:10" x14ac:dyDescent="0.25">
      <c r="B10" s="48" t="s">
        <v>179</v>
      </c>
      <c r="C10" s="51">
        <v>110.2</v>
      </c>
      <c r="D10" s="52"/>
      <c r="E10" s="51">
        <v>95.13</v>
      </c>
      <c r="F10" s="52"/>
      <c r="G10" s="51">
        <v>75.37</v>
      </c>
      <c r="H10" s="52"/>
      <c r="I10" s="51">
        <v>10</v>
      </c>
      <c r="J10" s="52"/>
    </row>
    <row r="12" spans="2:10" ht="15.75" x14ac:dyDescent="0.25">
      <c r="B12" s="43" t="s">
        <v>182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169</v>
      </c>
      <c r="C13" s="50" t="s">
        <v>170</v>
      </c>
      <c r="D13" s="50"/>
      <c r="E13" s="50" t="s">
        <v>171</v>
      </c>
      <c r="F13" s="50"/>
      <c r="G13" s="50" t="s">
        <v>172</v>
      </c>
      <c r="H13" s="50"/>
      <c r="I13" s="50" t="s">
        <v>173</v>
      </c>
      <c r="J13" s="50"/>
    </row>
    <row r="14" spans="2:10" ht="63.75" x14ac:dyDescent="0.25">
      <c r="B14" s="46"/>
      <c r="C14" s="47" t="s">
        <v>174</v>
      </c>
      <c r="D14" s="47" t="s">
        <v>175</v>
      </c>
      <c r="E14" s="47" t="s">
        <v>174</v>
      </c>
      <c r="F14" s="47" t="s">
        <v>175</v>
      </c>
      <c r="G14" s="47" t="s">
        <v>174</v>
      </c>
      <c r="H14" s="47" t="s">
        <v>175</v>
      </c>
      <c r="I14" s="47" t="s">
        <v>174</v>
      </c>
      <c r="J14" s="47" t="s">
        <v>175</v>
      </c>
    </row>
    <row r="15" spans="2:10" x14ac:dyDescent="0.25">
      <c r="B15" s="48" t="s">
        <v>176</v>
      </c>
      <c r="C15" s="49">
        <v>39.315504342591787</v>
      </c>
      <c r="D15" s="49">
        <v>13931.550434259179</v>
      </c>
      <c r="E15" s="49">
        <v>17.383527073234628</v>
      </c>
      <c r="F15" s="49">
        <v>16167.049196686956</v>
      </c>
      <c r="G15" s="49">
        <v>15.393929599571955</v>
      </c>
      <c r="H15" s="49">
        <v>20476.491405460059</v>
      </c>
      <c r="I15" s="49">
        <v>11.89495872784898</v>
      </c>
      <c r="J15" s="49">
        <v>36390.386343216531</v>
      </c>
    </row>
    <row r="16" spans="2:10" x14ac:dyDescent="0.25">
      <c r="B16" s="48" t="s">
        <v>177</v>
      </c>
      <c r="C16" s="49">
        <v>31.441515178631452</v>
      </c>
      <c r="D16" s="49">
        <v>13144.151517863145</v>
      </c>
      <c r="E16" s="49">
        <v>18.241414749753314</v>
      </c>
      <c r="F16" s="49">
        <v>16531.370224994233</v>
      </c>
      <c r="G16" s="49">
        <v>17.896628656930758</v>
      </c>
      <c r="H16" s="49">
        <v>22777.545952177832</v>
      </c>
      <c r="I16" s="49">
        <v>14.820084246978404</v>
      </c>
      <c r="J16" s="49">
        <v>48954.691985579644</v>
      </c>
    </row>
    <row r="17" spans="2:10" x14ac:dyDescent="0.25">
      <c r="B17" s="48" t="s">
        <v>178</v>
      </c>
      <c r="C17" s="49">
        <v>26.655749448050848</v>
      </c>
      <c r="D17" s="49">
        <v>12665.574944805085</v>
      </c>
      <c r="E17" s="49">
        <v>16.55232376873219</v>
      </c>
      <c r="F17" s="49">
        <v>15832.985358067599</v>
      </c>
      <c r="G17" s="49">
        <v>16.659532245726538</v>
      </c>
      <c r="H17" s="49">
        <v>21607.332439649079</v>
      </c>
      <c r="I17" s="49">
        <v>14.22629140600138</v>
      </c>
      <c r="J17" s="49">
        <v>46122.647092413652</v>
      </c>
    </row>
    <row r="18" spans="2:10" x14ac:dyDescent="0.25">
      <c r="B18" s="48" t="s">
        <v>180</v>
      </c>
      <c r="C18" s="51">
        <v>116.29</v>
      </c>
      <c r="D18" s="52"/>
      <c r="E18" s="51">
        <v>100.21</v>
      </c>
      <c r="F18" s="52"/>
      <c r="G18" s="51">
        <v>79.12</v>
      </c>
      <c r="H18" s="52"/>
      <c r="I18" s="51">
        <v>44.52</v>
      </c>
      <c r="J18" s="52"/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2024-07-01T11:16:42Z</dcterms:created>
  <dcterms:modified xsi:type="dcterms:W3CDTF">2024-07-08T13:13:32Z</dcterms:modified>
</cp:coreProperties>
</file>