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6-27\2. MAY 2026\MONTHLY PORTFOLIO\Ops\"/>
    </mc:Choice>
  </mc:AlternateContent>
  <xr:revisionPtr revIDLastSave="0" documentId="13_ncr:1_{771B41C5-32DA-4B87-9303-655A6D5470B2}" xr6:coauthVersionLast="47" xr6:coauthVersionMax="47" xr10:uidLastSave="{00000000-0000-0000-0000-000000000000}"/>
  <bookViews>
    <workbookView xWindow="-120" yWindow="-120" windowWidth="20730" windowHeight="11040" xr2:uid="{93AF4764-BDD1-4EE7-8B14-A3064A2FFC3B}"/>
  </bookViews>
  <sheets>
    <sheet name="TBFS" sheetId="1" r:id="rId1"/>
    <sheet name="TBFS Performance" sheetId="2" r:id="rId2"/>
  </sheets>
  <externalReferences>
    <externalReference r:id="rId3"/>
  </externalReferences>
  <definedNames>
    <definedName name="XDO_?CLASS_3?1?">TBFS!$C$8:$C$32</definedName>
    <definedName name="XDO_?FINAL_ISIN?1?">TBFS!$D$10:$D$32</definedName>
    <definedName name="XDO_?FINAL_ISIN?2?">TBFS!$D$10:$D$76</definedName>
    <definedName name="XDO_?FINAL_MV?1?">TBFS!$H$10:$H$32</definedName>
    <definedName name="XDO_?FINAL_MV?2?">TBFS!$H$10:$H$76</definedName>
    <definedName name="XDO_?FINAL_NAME?1?">TBFS!$C$10:$C$32</definedName>
    <definedName name="XDO_?FINAL_NAME?2?">TBFS!$C$10:$C$76</definedName>
    <definedName name="XDO_?FINAL_PER_NET?1?">TBFS!$I$10:$I$32</definedName>
    <definedName name="XDO_?FINAL_PER_NET?2?">TBFS!$I$10:$I$76</definedName>
    <definedName name="XDO_?FINAL_QUANTITE?1?">TBFS!$G$10:$G$32</definedName>
    <definedName name="XDO_?FINAL_QUANTITE?2?">TBFS!$G$10:$G$76</definedName>
    <definedName name="XDO_?IND_01?1?">TBFS!$F$10:$F$32</definedName>
    <definedName name="XDO_?IND_01?2?">TBFS!$F$10:$F$76</definedName>
    <definedName name="XDO_?NAMC?">[1]TBF!#REF!</definedName>
    <definedName name="XDO_?NAMC?1?">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TBFS!$C$2:$C$32</definedName>
    <definedName name="XDO_?NDATE?">[1]TBF!#REF!</definedName>
    <definedName name="XDO_?NDATE?1?">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TBFS!$B$10:$B$32</definedName>
    <definedName name="XDO_?NOVAL?2?">TBFS!$B$10:$B$76</definedName>
    <definedName name="XDO_?NPTF?1?">TBFS!$D$2:$D$32</definedName>
    <definedName name="XDO_?RATING?1?">TBFS!$E$10:$E$32</definedName>
    <definedName name="XDO_?RATING?2?">TBFS!$E$10:$E$76</definedName>
    <definedName name="XDO_?REMARKS?1?">TBFS!$J$10:$J$32</definedName>
    <definedName name="XDO_?REMARKS?2?">TBFS!$J$10:$J$76</definedName>
    <definedName name="XDO_?TITL?1?">TBFS!$A$8:$A$32</definedName>
    <definedName name="XDO_GROUP_?G_2?1?">TBFS!$2:$79</definedName>
    <definedName name="XDO_GROUP_?G_3?1?">TBFS!$8:$78</definedName>
    <definedName name="XDO_GROUP_?G_4?1?">TBFS!$B$10:$IV$32</definedName>
    <definedName name="XDO_GROUP_?G_4?2?">TBFS!$B$76:$IV$76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79" i="1" l="1"/>
</calcChain>
</file>

<file path=xl/sharedStrings.xml><?xml version="1.0" encoding="utf-8"?>
<sst xmlns="http://schemas.openxmlformats.org/spreadsheetml/2006/main" count="233" uniqueCount="152">
  <si>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</si>
  <si>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</si>
  <si>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</si>
  <si>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</si>
  <si>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</si>
  <si>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</si>
  <si>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</si>
  <si>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</si>
  <si>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</si>
  <si>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</si>
  <si>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</si>
  <si>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</si>
  <si>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</si>
  <si>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</si>
  <si>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</si>
  <si>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</si>
  <si>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</si>
  <si>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</si>
  <si>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</si>
  <si>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</si>
  <si>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</si>
  <si>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</si>
  <si>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100010</t>
  </si>
  <si>
    <t>State Bank of India</t>
  </si>
  <si>
    <t>INE062A01020</t>
  </si>
  <si>
    <t>100024</t>
  </si>
  <si>
    <t>Axis Bank Ltd.</t>
  </si>
  <si>
    <t>INE238A01034</t>
  </si>
  <si>
    <t>100104</t>
  </si>
  <si>
    <t>Kotak Mahindra Bank Ltd.</t>
  </si>
  <si>
    <t>INE237A01036</t>
  </si>
  <si>
    <t>102528</t>
  </si>
  <si>
    <t>DAM Capital Advisors Ltd.</t>
  </si>
  <si>
    <t>INE284H01025</t>
  </si>
  <si>
    <t>Capital Markets</t>
  </si>
  <si>
    <t>100135</t>
  </si>
  <si>
    <t>The Karnataka Bank Ltd.</t>
  </si>
  <si>
    <t>INE614B01018</t>
  </si>
  <si>
    <t>100194</t>
  </si>
  <si>
    <t>Power Finance Corporation Ltd.</t>
  </si>
  <si>
    <t>INE134E01011</t>
  </si>
  <si>
    <t>Finance</t>
  </si>
  <si>
    <t>100125</t>
  </si>
  <si>
    <t>Bajaj Finance Ltd.</t>
  </si>
  <si>
    <t>INE296A01032</t>
  </si>
  <si>
    <t>100042</t>
  </si>
  <si>
    <t>LIC Housing Finance Ltd.</t>
  </si>
  <si>
    <t>INE115A01026</t>
  </si>
  <si>
    <t>100325</t>
  </si>
  <si>
    <t>Bajaj Holdings &amp; Investment Ltd.</t>
  </si>
  <si>
    <t>INE118A01012</t>
  </si>
  <si>
    <t>100733</t>
  </si>
  <si>
    <t>General Insurance Corporation of India</t>
  </si>
  <si>
    <t>INE481Y01014</t>
  </si>
  <si>
    <t>Insurance</t>
  </si>
  <si>
    <t>100783</t>
  </si>
  <si>
    <t>JM Financial Ltd.</t>
  </si>
  <si>
    <t>INE780C01023</t>
  </si>
  <si>
    <t>100814</t>
  </si>
  <si>
    <t>HDFC Asset Management Co. Ltd.</t>
  </si>
  <si>
    <t>INE127D01025</t>
  </si>
  <si>
    <t>100694</t>
  </si>
  <si>
    <t>Indian Energy Exchange Ltd.</t>
  </si>
  <si>
    <t>INE022Q01020</t>
  </si>
  <si>
    <t>101889</t>
  </si>
  <si>
    <t>Jio Financial Services Ltd.</t>
  </si>
  <si>
    <t>INE758E01017</t>
  </si>
  <si>
    <t>101550</t>
  </si>
  <si>
    <t>Life Insurance Corporation of India</t>
  </si>
  <si>
    <t>INE0J1Y01017</t>
  </si>
  <si>
    <t>100453</t>
  </si>
  <si>
    <t>RBL Bank Ltd.</t>
  </si>
  <si>
    <t>INE976G01028</t>
  </si>
  <si>
    <t>100661</t>
  </si>
  <si>
    <t>Central Depository Services (I) Ltd.</t>
  </si>
  <si>
    <t>INE736A01011</t>
  </si>
  <si>
    <t>100092</t>
  </si>
  <si>
    <t>Bank of Baroda</t>
  </si>
  <si>
    <t>INE028A01039</t>
  </si>
  <si>
    <t>100243</t>
  </si>
  <si>
    <t>Multi Commodity Exchange of India Ltd.</t>
  </si>
  <si>
    <t>INE745G01043</t>
  </si>
  <si>
    <t>101119</t>
  </si>
  <si>
    <t>SBI Cards &amp; Payment Services Ltd.</t>
  </si>
  <si>
    <t>INE018E01016</t>
  </si>
  <si>
    <t>101181</t>
  </si>
  <si>
    <t>UTI Asset Management Co. Ltd.</t>
  </si>
  <si>
    <t>INE094J01016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</si>
  <si>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</si>
  <si>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</si>
  <si>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</si>
  <si>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</si>
  <si>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</si>
  <si>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</si>
  <si>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</si>
  <si>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</si>
  <si>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</si>
  <si>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</si>
  <si>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</si>
  <si>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</si>
  <si>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</si>
  <si>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</si>
  <si>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</si>
  <si>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</si>
  <si>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</si>
  <si>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</si>
  <si>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</si>
  <si>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</si>
  <si>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</si>
  <si>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</si>
  <si>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</si>
  <si>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</si>
  <si>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</si>
  <si>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</si>
  <si>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</si>
  <si>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</si>
  <si>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</si>
  <si>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</si>
  <si>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</si>
  <si>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</si>
  <si>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</si>
  <si>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</si>
  <si>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</si>
  <si>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March 31, 2026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</si>
  <si>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</si>
  <si>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</si>
  <si>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</si>
  <si>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</si>
  <si>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 April 30, 2026.</t>
  </si>
  <si>
    <t>7. The Scheme did not declare any bonus during the month ended as on April 30, 2026.</t>
  </si>
  <si>
    <t>8. Total outstanding exposure in derivative instruments as on April 30, 2026 is Nil</t>
  </si>
  <si>
    <t>9. Total investments in Foreign Securities /ADRs/GDRs /Overseas ETFs as on April 30, 2026 and its percentage to NAV is Nil.</t>
  </si>
  <si>
    <t>10. During the period, the portfolio turnover ratio is 0.63 times.</t>
  </si>
  <si>
    <t>      Portfolio Turnover Ratio = Lower of sales or purchase of securities divided by average AUM for 12 months ended as on April 30, 2026</t>
  </si>
  <si>
    <t>11. The Scheme did not invest in repo transactions of corporate debt securities during the month ended as on April 30, 2026.</t>
  </si>
  <si>
    <t>12. The Scheme did not invest in credit default swaps during the month ended as on April 30, 2026.</t>
  </si>
  <si>
    <t>13. There are Nil instances of deviation from the valuation principles/guidelines during the month ended as on April 30th, 2026.</t>
  </si>
  <si>
    <t>Taurus Banking &amp; Financial Services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</si>
  <si>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</si>
  <si>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</si>
  <si>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</si>
  <si>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</si>
  <si>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</si>
  <si>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</si>
  <si>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</si>
  <si>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</si>
  <si>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</si>
  <si>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Bankex Index TRI (Benchmark)</t>
  </si>
  <si>
    <t>Nifty 50 TRI (Additional Benchmark)</t>
  </si>
  <si>
    <t>NAV [Rs.] Per Unit (as on April 30,2026 :52.53)</t>
  </si>
  <si>
    <t>Taurus Banking &amp; Financial Services Fund - Direct Plan Growth Option</t>
  </si>
  <si>
    <t>NAV [Rs.] Per Unit (as on April 30,2026 :59.05)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</si>
</sst>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[$-409]mmmm\ d\,\ yyyy;@"/>
    <numFmt numFmtId="168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horizontal="center" vertical="center"/>
    </xf>
    <xf numFmtId="167" fontId="6" fillId="0" borderId="24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4" borderId="13" xfId="1" applyNumberFormat="1" applyFill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3" fillId="3" borderId="13" xfId="0" applyFont="1" applyFill="1" applyBorder="1" applyAlignment="1">
      <alignment horizontal="center"/>
    </xf>
    <xf numFmtId="0" fontId="13" fillId="3" borderId="25" xfId="0" applyFont="1" applyFill="1" applyBorder="1" applyAlignment="1">
      <alignment horizontal="center"/>
    </xf>
    <xf numFmtId="0" fontId="13" fillId="3" borderId="26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168" fontId="1" fillId="4" borderId="25" xfId="1" applyNumberFormat="1" applyFill="1" applyBorder="1" applyAlignment="1">
      <alignment horizontal="center"/>
    </xf>
    <xf numFmtId="168" fontId="1" fillId="4" borderId="26" xfId="1" applyNumberFormat="1" applyFill="1" applyBorder="1" applyAlignment="1">
      <alignment horizontal="center"/>
    </xf>
  </cellXfs>
  <cellStyles count="6">
    <cellStyle name="Comma" xfId="1" builtinId="3"/>
    <cellStyle name="Comma 2" xfId="5" xr:uid="{8E3F06CA-7FE4-4869-AB12-1AA7E96FDEE3}"/>
    <cellStyle name="Hyperlink" xfId="2" builtinId="8"/>
    <cellStyle name="Normal" xfId="0" builtinId="0"/>
    <cellStyle name="Normal 2" xfId="4" xr:uid="{2AE61E63-CCFC-43CD-80C2-3779944A94ED}"/>
    <cellStyle name="Style 1" xfId="3" xr:uid="{7818ABF7-90CC-4457-8D02-F0DC4D79FB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169332</xdr:colOff>
      <xdr:row>0</xdr:row>
      <xdr:rowOff>0</xdr:rowOff>
    </xdr:from>
    <xdr:to>
      <xdr:col>5</xdr:col>
      <xdr:colOff>603250</xdr:colOff>
      <xdr:row>0</xdr:row>
      <xdr:rowOff>1819390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7AE8CB-2329-4717-BAB0-D1DCE3A8F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2" y="0"/>
          <a:ext cx="7355418" cy="1819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6-27\Apr_2026\TMF_Monthly_Portfolio_Report_April%202026.xls" TargetMode="External"/><Relationship Id="rId1" Type="http://schemas.openxmlformats.org/officeDocument/2006/relationships/externalLinkPath" Target="file:///Q:\5.TMF\Reporting\Monthly%20Reports\Monthly%20Portfolio\2026-27\Apr_2026\TMF_Monthly_Portfolio_Report_April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57DA5-B830-481D-8B9D-6B235A1316F9}">
  <dimension ref="A1:BB105"/>
  <sheetViews>
    <sheetView showGridLines="0" tabSelected="1" zoomScale="90" zoomScaleNormal="90" workbookViewId="0">
      <selection activeCell="G1" sqref="G1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2.2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46142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14447</v>
      </c>
      <c r="H10" s="32">
        <v>182.43</v>
      </c>
      <c r="I10" s="32">
        <v>15.97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20113</v>
      </c>
      <c r="H11" s="32">
        <v>155.11000000000001</v>
      </c>
      <c r="I11" s="32">
        <v>13.58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8982</v>
      </c>
      <c r="H12" s="32">
        <v>95.93</v>
      </c>
      <c r="I12" s="32">
        <v>8.4</v>
      </c>
      <c r="J12" s="33"/>
    </row>
    <row r="13" spans="1:54" x14ac:dyDescent="0.25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6944</v>
      </c>
      <c r="H13" s="32">
        <v>88.03</v>
      </c>
      <c r="I13" s="32">
        <v>7.71</v>
      </c>
      <c r="J13" s="33"/>
    </row>
    <row r="14" spans="1:54" x14ac:dyDescent="0.25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21269</v>
      </c>
      <c r="H14" s="32">
        <v>81.39</v>
      </c>
      <c r="I14" s="32">
        <v>7.13</v>
      </c>
      <c r="J14" s="33"/>
    </row>
    <row r="15" spans="1:54" x14ac:dyDescent="0.25">
      <c r="B15" s="1" t="s">
        <v>31</v>
      </c>
      <c r="C15" s="20" t="s">
        <v>32</v>
      </c>
      <c r="D15" s="29" t="s">
        <v>33</v>
      </c>
      <c r="E15" s="30"/>
      <c r="F15" s="30" t="s">
        <v>34</v>
      </c>
      <c r="G15" s="31">
        <v>30629</v>
      </c>
      <c r="H15" s="32">
        <v>47.09</v>
      </c>
      <c r="I15" s="32">
        <v>4.12</v>
      </c>
      <c r="J15" s="33"/>
    </row>
    <row r="16" spans="1:54" x14ac:dyDescent="0.25">
      <c r="B16" s="1" t="s">
        <v>35</v>
      </c>
      <c r="C16" s="20" t="s">
        <v>36</v>
      </c>
      <c r="D16" s="29" t="s">
        <v>37</v>
      </c>
      <c r="E16" s="30"/>
      <c r="F16" s="30" t="s">
        <v>18</v>
      </c>
      <c r="G16" s="31">
        <v>16937</v>
      </c>
      <c r="H16" s="32">
        <v>45.44</v>
      </c>
      <c r="I16" s="32">
        <v>3.98</v>
      </c>
      <c r="J16" s="33"/>
    </row>
    <row r="17" spans="2:10" x14ac:dyDescent="0.25">
      <c r="B17" s="1" t="s">
        <v>38</v>
      </c>
      <c r="C17" s="20" t="s">
        <v>39</v>
      </c>
      <c r="D17" s="29" t="s">
        <v>40</v>
      </c>
      <c r="E17" s="30"/>
      <c r="F17" s="30" t="s">
        <v>41</v>
      </c>
      <c r="G17" s="31">
        <v>9923</v>
      </c>
      <c r="H17" s="32">
        <v>44.47</v>
      </c>
      <c r="I17" s="32">
        <v>3.89</v>
      </c>
      <c r="J17" s="33"/>
    </row>
    <row r="18" spans="2:10" x14ac:dyDescent="0.25">
      <c r="B18" s="1" t="s">
        <v>42</v>
      </c>
      <c r="C18" s="20" t="s">
        <v>43</v>
      </c>
      <c r="D18" s="29" t="s">
        <v>44</v>
      </c>
      <c r="E18" s="30"/>
      <c r="F18" s="30" t="s">
        <v>41</v>
      </c>
      <c r="G18" s="31">
        <v>4487</v>
      </c>
      <c r="H18" s="32">
        <v>42.03</v>
      </c>
      <c r="I18" s="32">
        <v>3.68</v>
      </c>
      <c r="J18" s="33"/>
    </row>
    <row r="19" spans="2:10" x14ac:dyDescent="0.25">
      <c r="B19" s="1" t="s">
        <v>45</v>
      </c>
      <c r="C19" s="20" t="s">
        <v>46</v>
      </c>
      <c r="D19" s="29" t="s">
        <v>47</v>
      </c>
      <c r="E19" s="30"/>
      <c r="F19" s="30" t="s">
        <v>41</v>
      </c>
      <c r="G19" s="31">
        <v>5977</v>
      </c>
      <c r="H19" s="32">
        <v>33.130000000000003</v>
      </c>
      <c r="I19" s="32">
        <v>2.9</v>
      </c>
      <c r="J19" s="33"/>
    </row>
    <row r="20" spans="2:10" x14ac:dyDescent="0.25">
      <c r="B20" s="1" t="s">
        <v>48</v>
      </c>
      <c r="C20" s="20" t="s">
        <v>49</v>
      </c>
      <c r="D20" s="29" t="s">
        <v>50</v>
      </c>
      <c r="E20" s="30"/>
      <c r="F20" s="30" t="s">
        <v>41</v>
      </c>
      <c r="G20" s="31">
        <v>300</v>
      </c>
      <c r="H20" s="32">
        <v>30.8</v>
      </c>
      <c r="I20" s="32">
        <v>2.7</v>
      </c>
      <c r="J20" s="33"/>
    </row>
    <row r="21" spans="2:10" x14ac:dyDescent="0.25">
      <c r="B21" s="1" t="s">
        <v>51</v>
      </c>
      <c r="C21" s="20" t="s">
        <v>52</v>
      </c>
      <c r="D21" s="29" t="s">
        <v>53</v>
      </c>
      <c r="E21" s="30"/>
      <c r="F21" s="30" t="s">
        <v>54</v>
      </c>
      <c r="G21" s="31">
        <v>7712</v>
      </c>
      <c r="H21" s="32">
        <v>30.34</v>
      </c>
      <c r="I21" s="32">
        <v>2.66</v>
      </c>
      <c r="J21" s="33"/>
    </row>
    <row r="22" spans="2:10" x14ac:dyDescent="0.25">
      <c r="B22" s="1" t="s">
        <v>55</v>
      </c>
      <c r="C22" s="20" t="s">
        <v>56</v>
      </c>
      <c r="D22" s="29" t="s">
        <v>57</v>
      </c>
      <c r="E22" s="30"/>
      <c r="F22" s="30" t="s">
        <v>41</v>
      </c>
      <c r="G22" s="31">
        <v>21520</v>
      </c>
      <c r="H22" s="32">
        <v>29.96</v>
      </c>
      <c r="I22" s="32">
        <v>2.62</v>
      </c>
      <c r="J22" s="33"/>
    </row>
    <row r="23" spans="2:10" x14ac:dyDescent="0.25">
      <c r="B23" s="1" t="s">
        <v>58</v>
      </c>
      <c r="C23" s="20" t="s">
        <v>59</v>
      </c>
      <c r="D23" s="29" t="s">
        <v>60</v>
      </c>
      <c r="E23" s="30"/>
      <c r="F23" s="30" t="s">
        <v>34</v>
      </c>
      <c r="G23" s="31">
        <v>1068</v>
      </c>
      <c r="H23" s="32">
        <v>28.97</v>
      </c>
      <c r="I23" s="32">
        <v>2.54</v>
      </c>
      <c r="J23" s="33"/>
    </row>
    <row r="24" spans="2:10" x14ac:dyDescent="0.25">
      <c r="B24" s="1" t="s">
        <v>61</v>
      </c>
      <c r="C24" s="20" t="s">
        <v>62</v>
      </c>
      <c r="D24" s="29" t="s">
        <v>63</v>
      </c>
      <c r="E24" s="30"/>
      <c r="F24" s="30" t="s">
        <v>34</v>
      </c>
      <c r="G24" s="31">
        <v>20720</v>
      </c>
      <c r="H24" s="32">
        <v>25.97</v>
      </c>
      <c r="I24" s="32">
        <v>2.27</v>
      </c>
      <c r="J24" s="33"/>
    </row>
    <row r="25" spans="2:10" x14ac:dyDescent="0.25">
      <c r="B25" s="1" t="s">
        <v>64</v>
      </c>
      <c r="C25" s="20" t="s">
        <v>65</v>
      </c>
      <c r="D25" s="29" t="s">
        <v>66</v>
      </c>
      <c r="E25" s="30"/>
      <c r="F25" s="30" t="s">
        <v>41</v>
      </c>
      <c r="G25" s="31">
        <v>8946</v>
      </c>
      <c r="H25" s="32">
        <v>22.04</v>
      </c>
      <c r="I25" s="32">
        <v>1.93</v>
      </c>
      <c r="J25" s="33"/>
    </row>
    <row r="26" spans="2:10" x14ac:dyDescent="0.25">
      <c r="B26" s="1" t="s">
        <v>67</v>
      </c>
      <c r="C26" s="20" t="s">
        <v>68</v>
      </c>
      <c r="D26" s="29" t="s">
        <v>69</v>
      </c>
      <c r="E26" s="30"/>
      <c r="F26" s="30" t="s">
        <v>54</v>
      </c>
      <c r="G26" s="31">
        <v>2448</v>
      </c>
      <c r="H26" s="32">
        <v>19.54</v>
      </c>
      <c r="I26" s="32">
        <v>1.71</v>
      </c>
      <c r="J26" s="33"/>
    </row>
    <row r="27" spans="2:10" x14ac:dyDescent="0.25">
      <c r="B27" s="1" t="s">
        <v>70</v>
      </c>
      <c r="C27" s="20" t="s">
        <v>71</v>
      </c>
      <c r="D27" s="29" t="s">
        <v>72</v>
      </c>
      <c r="E27" s="30"/>
      <c r="F27" s="30" t="s">
        <v>18</v>
      </c>
      <c r="G27" s="31">
        <v>5490</v>
      </c>
      <c r="H27" s="32">
        <v>18.48</v>
      </c>
      <c r="I27" s="32">
        <v>1.62</v>
      </c>
      <c r="J27" s="33"/>
    </row>
    <row r="28" spans="2:10" x14ac:dyDescent="0.25">
      <c r="B28" s="1" t="s">
        <v>73</v>
      </c>
      <c r="C28" s="20" t="s">
        <v>74</v>
      </c>
      <c r="D28" s="29" t="s">
        <v>75</v>
      </c>
      <c r="E28" s="30"/>
      <c r="F28" s="30" t="s">
        <v>34</v>
      </c>
      <c r="G28" s="31">
        <v>1288</v>
      </c>
      <c r="H28" s="32">
        <v>16.38</v>
      </c>
      <c r="I28" s="32">
        <v>1.43</v>
      </c>
      <c r="J28" s="33"/>
    </row>
    <row r="29" spans="2:10" x14ac:dyDescent="0.25">
      <c r="B29" s="1" t="s">
        <v>76</v>
      </c>
      <c r="C29" s="20" t="s">
        <v>77</v>
      </c>
      <c r="D29" s="29" t="s">
        <v>78</v>
      </c>
      <c r="E29" s="30"/>
      <c r="F29" s="30" t="s">
        <v>18</v>
      </c>
      <c r="G29" s="31">
        <v>5858</v>
      </c>
      <c r="H29" s="32">
        <v>15.44</v>
      </c>
      <c r="I29" s="32">
        <v>1.35</v>
      </c>
      <c r="J29" s="33"/>
    </row>
    <row r="30" spans="2:10" x14ac:dyDescent="0.25">
      <c r="B30" s="1" t="s">
        <v>79</v>
      </c>
      <c r="C30" s="20" t="s">
        <v>80</v>
      </c>
      <c r="D30" s="29" t="s">
        <v>81</v>
      </c>
      <c r="E30" s="30"/>
      <c r="F30" s="30" t="s">
        <v>34</v>
      </c>
      <c r="G30" s="31">
        <v>450</v>
      </c>
      <c r="H30" s="32">
        <v>13.37</v>
      </c>
      <c r="I30" s="32">
        <v>1.17</v>
      </c>
      <c r="J30" s="33"/>
    </row>
    <row r="31" spans="2:10" x14ac:dyDescent="0.25">
      <c r="B31" s="1" t="s">
        <v>82</v>
      </c>
      <c r="C31" s="20" t="s">
        <v>83</v>
      </c>
      <c r="D31" s="29" t="s">
        <v>84</v>
      </c>
      <c r="E31" s="30"/>
      <c r="F31" s="30" t="s">
        <v>41</v>
      </c>
      <c r="G31" s="31">
        <v>1706</v>
      </c>
      <c r="H31" s="32">
        <v>10.98</v>
      </c>
      <c r="I31" s="32">
        <v>0.96</v>
      </c>
      <c r="J31" s="33"/>
    </row>
    <row r="32" spans="2:10" x14ac:dyDescent="0.25">
      <c r="B32" s="1" t="s">
        <v>85</v>
      </c>
      <c r="C32" s="20" t="s">
        <v>86</v>
      </c>
      <c r="D32" s="29" t="s">
        <v>87</v>
      </c>
      <c r="E32" s="30"/>
      <c r="F32" s="30" t="s">
        <v>34</v>
      </c>
      <c r="G32" s="31">
        <v>610</v>
      </c>
      <c r="H32" s="32">
        <v>5.79</v>
      </c>
      <c r="I32" s="32">
        <v>0.51</v>
      </c>
      <c r="J32" s="33"/>
    </row>
    <row r="33" spans="3:10" x14ac:dyDescent="0.25">
      <c r="C33" s="28" t="s">
        <v>88</v>
      </c>
      <c r="D33" s="29"/>
      <c r="E33" s="30"/>
      <c r="F33" s="30"/>
      <c r="G33" s="31"/>
      <c r="H33" s="35">
        <v>1083.1099999999999</v>
      </c>
      <c r="I33" s="35">
        <v>94.83</v>
      </c>
      <c r="J33" s="33"/>
    </row>
    <row r="34" spans="3:10" x14ac:dyDescent="0.25">
      <c r="C34" s="20"/>
      <c r="D34" s="29"/>
      <c r="E34" s="30"/>
      <c r="F34" s="30"/>
      <c r="G34" s="31"/>
      <c r="H34" s="32"/>
      <c r="I34" s="32"/>
      <c r="J34" s="33"/>
    </row>
    <row r="35" spans="3:10" x14ac:dyDescent="0.25">
      <c r="C35" s="28" t="s">
        <v>89</v>
      </c>
      <c r="D35" s="29"/>
      <c r="E35" s="30"/>
      <c r="F35" s="30"/>
      <c r="G35" s="31"/>
      <c r="H35" s="32" t="s">
        <v>90</v>
      </c>
      <c r="I35" s="32" t="s">
        <v>90</v>
      </c>
      <c r="J35" s="33"/>
    </row>
    <row r="36" spans="3:10" x14ac:dyDescent="0.25">
      <c r="C36" s="20"/>
      <c r="D36" s="29"/>
      <c r="E36" s="30"/>
      <c r="F36" s="30"/>
      <c r="G36" s="31"/>
      <c r="H36" s="32"/>
      <c r="I36" s="32"/>
      <c r="J36" s="33"/>
    </row>
    <row r="37" spans="3:10" x14ac:dyDescent="0.25">
      <c r="C37" s="28" t="s">
        <v>91</v>
      </c>
      <c r="D37" s="29"/>
      <c r="E37" s="30"/>
      <c r="F37" s="30"/>
      <c r="G37" s="31"/>
      <c r="H37" s="32" t="s">
        <v>90</v>
      </c>
      <c r="I37" s="32" t="s">
        <v>90</v>
      </c>
      <c r="J37" s="33"/>
    </row>
    <row r="38" spans="3:10" x14ac:dyDescent="0.25">
      <c r="C38" s="20"/>
      <c r="D38" s="29"/>
      <c r="E38" s="30"/>
      <c r="F38" s="30"/>
      <c r="G38" s="31"/>
      <c r="H38" s="32"/>
      <c r="I38" s="32"/>
      <c r="J38" s="33"/>
    </row>
    <row r="39" spans="3:10" x14ac:dyDescent="0.25">
      <c r="C39" s="28" t="s">
        <v>92</v>
      </c>
      <c r="D39" s="29"/>
      <c r="E39" s="30"/>
      <c r="F39" s="30"/>
      <c r="G39" s="31"/>
      <c r="H39" s="32"/>
      <c r="I39" s="32"/>
      <c r="J39" s="33"/>
    </row>
    <row r="40" spans="3:10" x14ac:dyDescent="0.25">
      <c r="C40" s="20"/>
      <c r="D40" s="29"/>
      <c r="E40" s="30"/>
      <c r="F40" s="30"/>
      <c r="G40" s="31"/>
      <c r="H40" s="32"/>
      <c r="I40" s="32"/>
      <c r="J40" s="33"/>
    </row>
    <row r="41" spans="3:10" x14ac:dyDescent="0.25">
      <c r="C41" s="28" t="s">
        <v>93</v>
      </c>
      <c r="D41" s="29"/>
      <c r="E41" s="30"/>
      <c r="F41" s="30"/>
      <c r="G41" s="31"/>
      <c r="H41" s="32" t="s">
        <v>90</v>
      </c>
      <c r="I41" s="32" t="s">
        <v>90</v>
      </c>
      <c r="J41" s="33"/>
    </row>
    <row r="42" spans="3:10" x14ac:dyDescent="0.25">
      <c r="C42" s="20"/>
      <c r="D42" s="29"/>
      <c r="E42" s="30"/>
      <c r="F42" s="30"/>
      <c r="G42" s="31"/>
      <c r="H42" s="32"/>
      <c r="I42" s="32"/>
      <c r="J42" s="33"/>
    </row>
    <row r="43" spans="3:10" x14ac:dyDescent="0.25">
      <c r="C43" s="28" t="s">
        <v>94</v>
      </c>
      <c r="D43" s="29"/>
      <c r="E43" s="30"/>
      <c r="F43" s="30"/>
      <c r="G43" s="31"/>
      <c r="H43" s="32" t="s">
        <v>90</v>
      </c>
      <c r="I43" s="32" t="s">
        <v>90</v>
      </c>
      <c r="J43" s="33"/>
    </row>
    <row r="44" spans="3:10" x14ac:dyDescent="0.25">
      <c r="C44" s="20"/>
      <c r="D44" s="29"/>
      <c r="E44" s="30"/>
      <c r="F44" s="30"/>
      <c r="G44" s="31"/>
      <c r="H44" s="32"/>
      <c r="I44" s="32"/>
      <c r="J44" s="33"/>
    </row>
    <row r="45" spans="3:10" x14ac:dyDescent="0.25">
      <c r="C45" s="28" t="s">
        <v>95</v>
      </c>
      <c r="D45" s="29"/>
      <c r="E45" s="30"/>
      <c r="F45" s="30"/>
      <c r="G45" s="31"/>
      <c r="H45" s="32" t="s">
        <v>90</v>
      </c>
      <c r="I45" s="32" t="s">
        <v>90</v>
      </c>
      <c r="J45" s="33"/>
    </row>
    <row r="46" spans="3:10" x14ac:dyDescent="0.25">
      <c r="C46" s="20"/>
      <c r="D46" s="29"/>
      <c r="E46" s="30"/>
      <c r="F46" s="30"/>
      <c r="G46" s="31"/>
      <c r="H46" s="32"/>
      <c r="I46" s="32"/>
      <c r="J46" s="33"/>
    </row>
    <row r="47" spans="3:10" x14ac:dyDescent="0.25">
      <c r="C47" s="28" t="s">
        <v>96</v>
      </c>
      <c r="D47" s="29"/>
      <c r="E47" s="30"/>
      <c r="F47" s="30"/>
      <c r="G47" s="31"/>
      <c r="H47" s="32" t="s">
        <v>90</v>
      </c>
      <c r="I47" s="32" t="s">
        <v>90</v>
      </c>
      <c r="J47" s="33"/>
    </row>
    <row r="48" spans="3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97</v>
      </c>
      <c r="D49" s="29"/>
      <c r="E49" s="30"/>
      <c r="F49" s="30"/>
      <c r="G49" s="31"/>
      <c r="H49" s="32" t="s">
        <v>90</v>
      </c>
      <c r="I49" s="32" t="s">
        <v>90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98</v>
      </c>
      <c r="D51" s="29"/>
      <c r="E51" s="30"/>
      <c r="F51" s="30"/>
      <c r="G51" s="31"/>
      <c r="H51" s="32"/>
      <c r="I51" s="32"/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99</v>
      </c>
      <c r="D53" s="29"/>
      <c r="E53" s="30"/>
      <c r="F53" s="30"/>
      <c r="G53" s="31"/>
      <c r="H53" s="32" t="s">
        <v>90</v>
      </c>
      <c r="I53" s="32" t="s">
        <v>90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100</v>
      </c>
      <c r="D55" s="29"/>
      <c r="E55" s="30"/>
      <c r="F55" s="30"/>
      <c r="G55" s="31"/>
      <c r="H55" s="32" t="s">
        <v>90</v>
      </c>
      <c r="I55" s="32" t="s">
        <v>90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101</v>
      </c>
      <c r="D57" s="29"/>
      <c r="E57" s="30"/>
      <c r="F57" s="30"/>
      <c r="G57" s="31"/>
      <c r="H57" s="32" t="s">
        <v>90</v>
      </c>
      <c r="I57" s="32" t="s">
        <v>90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102</v>
      </c>
      <c r="D59" s="29"/>
      <c r="E59" s="30"/>
      <c r="F59" s="30"/>
      <c r="G59" s="31"/>
      <c r="H59" s="32" t="s">
        <v>90</v>
      </c>
      <c r="I59" s="32" t="s">
        <v>90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103</v>
      </c>
      <c r="D61" s="29"/>
      <c r="E61" s="30"/>
      <c r="F61" s="30"/>
      <c r="G61" s="31"/>
      <c r="H61" s="32"/>
      <c r="I61" s="32"/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104</v>
      </c>
      <c r="D63" s="29"/>
      <c r="E63" s="30"/>
      <c r="F63" s="30"/>
      <c r="G63" s="31"/>
      <c r="H63" s="32" t="s">
        <v>90</v>
      </c>
      <c r="I63" s="32" t="s">
        <v>90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1:10" x14ac:dyDescent="0.25">
      <c r="C65" s="28" t="s">
        <v>105</v>
      </c>
      <c r="D65" s="29"/>
      <c r="E65" s="30"/>
      <c r="F65" s="30"/>
      <c r="G65" s="31"/>
      <c r="H65" s="32" t="s">
        <v>90</v>
      </c>
      <c r="I65" s="32" t="s">
        <v>90</v>
      </c>
      <c r="J65" s="33"/>
    </row>
    <row r="66" spans="1:10" x14ac:dyDescent="0.25">
      <c r="C66" s="20"/>
      <c r="D66" s="29"/>
      <c r="E66" s="30"/>
      <c r="F66" s="30"/>
      <c r="G66" s="31"/>
      <c r="H66" s="32"/>
      <c r="I66" s="32"/>
      <c r="J66" s="33"/>
    </row>
    <row r="67" spans="1:10" x14ac:dyDescent="0.25">
      <c r="C67" s="28" t="s">
        <v>106</v>
      </c>
      <c r="D67" s="29"/>
      <c r="E67" s="30"/>
      <c r="F67" s="30"/>
      <c r="G67" s="31"/>
      <c r="H67" s="32" t="s">
        <v>90</v>
      </c>
      <c r="I67" s="32" t="s">
        <v>90</v>
      </c>
      <c r="J67" s="33"/>
    </row>
    <row r="68" spans="1:10" x14ac:dyDescent="0.25">
      <c r="C68" s="20"/>
      <c r="D68" s="29"/>
      <c r="E68" s="30"/>
      <c r="F68" s="30"/>
      <c r="G68" s="31"/>
      <c r="H68" s="32"/>
      <c r="I68" s="32"/>
      <c r="J68" s="33"/>
    </row>
    <row r="69" spans="1:10" x14ac:dyDescent="0.25">
      <c r="C69" s="28" t="s">
        <v>107</v>
      </c>
      <c r="D69" s="29"/>
      <c r="E69" s="30"/>
      <c r="F69" s="30"/>
      <c r="G69" s="31"/>
      <c r="H69" s="32" t="s">
        <v>90</v>
      </c>
      <c r="I69" s="32" t="s">
        <v>90</v>
      </c>
      <c r="J69" s="33"/>
    </row>
    <row r="70" spans="1:10" x14ac:dyDescent="0.25">
      <c r="C70" s="20"/>
      <c r="D70" s="29"/>
      <c r="E70" s="30"/>
      <c r="F70" s="30"/>
      <c r="G70" s="31"/>
      <c r="H70" s="32"/>
      <c r="I70" s="32"/>
      <c r="J70" s="33"/>
    </row>
    <row r="71" spans="1:10" x14ac:dyDescent="0.25">
      <c r="C71" s="28" t="s">
        <v>108</v>
      </c>
      <c r="D71" s="29"/>
      <c r="E71" s="30"/>
      <c r="F71" s="30"/>
      <c r="G71" s="31"/>
      <c r="H71" s="32" t="s">
        <v>90</v>
      </c>
      <c r="I71" s="32" t="s">
        <v>90</v>
      </c>
      <c r="J71" s="33"/>
    </row>
    <row r="72" spans="1:10" x14ac:dyDescent="0.25">
      <c r="C72" s="20"/>
      <c r="D72" s="29"/>
      <c r="E72" s="30"/>
      <c r="F72" s="30"/>
      <c r="G72" s="31"/>
      <c r="H72" s="32"/>
      <c r="I72" s="32"/>
      <c r="J72" s="33"/>
    </row>
    <row r="73" spans="1:10" x14ac:dyDescent="0.25">
      <c r="C73" s="28" t="s">
        <v>109</v>
      </c>
      <c r="D73" s="29"/>
      <c r="E73" s="30"/>
      <c r="F73" s="30"/>
      <c r="G73" s="31"/>
      <c r="H73" s="32" t="s">
        <v>90</v>
      </c>
      <c r="I73" s="32" t="s">
        <v>90</v>
      </c>
      <c r="J73" s="33"/>
    </row>
    <row r="74" spans="1:10" x14ac:dyDescent="0.25">
      <c r="C74" s="20"/>
      <c r="D74" s="29"/>
      <c r="E74" s="30"/>
      <c r="F74" s="30"/>
      <c r="G74" s="31"/>
      <c r="H74" s="32"/>
      <c r="I74" s="32"/>
      <c r="J74" s="33"/>
    </row>
    <row r="75" spans="1:10" x14ac:dyDescent="0.25">
      <c r="A75" s="26"/>
      <c r="B75" s="27"/>
      <c r="C75" s="28" t="s">
        <v>110</v>
      </c>
      <c r="D75" s="29"/>
      <c r="E75" s="30"/>
      <c r="F75" s="30"/>
      <c r="G75" s="31"/>
      <c r="H75" s="32"/>
      <c r="I75" s="32"/>
      <c r="J75" s="33"/>
    </row>
    <row r="76" spans="1:10" x14ac:dyDescent="0.25">
      <c r="B76" s="1"/>
      <c r="C76" s="20" t="s">
        <v>111</v>
      </c>
      <c r="D76" s="29"/>
      <c r="E76" s="30"/>
      <c r="F76" s="30"/>
      <c r="G76" s="31"/>
      <c r="H76" s="32">
        <v>58.99</v>
      </c>
      <c r="I76" s="32">
        <v>5.17</v>
      </c>
      <c r="J76" s="33"/>
    </row>
    <row r="77" spans="1:10" x14ac:dyDescent="0.25">
      <c r="C77" s="28" t="s">
        <v>88</v>
      </c>
      <c r="D77" s="29"/>
      <c r="E77" s="30"/>
      <c r="F77" s="30"/>
      <c r="G77" s="31"/>
      <c r="H77" s="35">
        <v>58.99</v>
      </c>
      <c r="I77" s="35">
        <v>5.17</v>
      </c>
      <c r="J77" s="33"/>
    </row>
    <row r="78" spans="1:10" x14ac:dyDescent="0.25">
      <c r="C78" s="20"/>
      <c r="D78" s="29"/>
      <c r="E78" s="30"/>
      <c r="F78" s="30"/>
      <c r="G78" s="31"/>
      <c r="H78" s="32"/>
      <c r="I78" s="32"/>
      <c r="J78" s="33"/>
    </row>
    <row r="79" spans="1:10" ht="14.25" thickBot="1" x14ac:dyDescent="0.3">
      <c r="C79" s="36" t="s">
        <v>112</v>
      </c>
      <c r="D79" s="37"/>
      <c r="E79" s="38"/>
      <c r="F79" s="39"/>
      <c r="G79" s="40"/>
      <c r="H79" s="41">
        <v>1142.0999999999999</v>
      </c>
      <c r="I79" s="41">
        <f>SUMIFS(I:I,C:C,"Total")</f>
        <v>100</v>
      </c>
      <c r="J79" s="42"/>
    </row>
    <row r="82" spans="3:5" x14ac:dyDescent="0.25">
      <c r="C82" s="11" t="s">
        <v>113</v>
      </c>
    </row>
    <row r="83" spans="3:5" x14ac:dyDescent="0.25">
      <c r="C83" s="2" t="s">
        <v>114</v>
      </c>
    </row>
    <row r="84" spans="3:5" x14ac:dyDescent="0.25">
      <c r="C84" s="2" t="s">
        <v>115</v>
      </c>
    </row>
    <row r="85" spans="3:5" x14ac:dyDescent="0.25">
      <c r="C85" s="2" t="s">
        <v>116</v>
      </c>
    </row>
    <row r="86" spans="3:5" x14ac:dyDescent="0.25">
      <c r="C86" s="2" t="s">
        <v>117</v>
      </c>
    </row>
    <row r="87" spans="3:5" x14ac:dyDescent="0.25">
      <c r="C87" s="2" t="s">
        <v>118</v>
      </c>
    </row>
    <row r="88" spans="3:5" ht="14.25" thickBot="1" x14ac:dyDescent="0.3">
      <c r="C88" s="2" t="s">
        <v>119</v>
      </c>
    </row>
    <row r="89" spans="3:5" ht="14.25" thickBot="1" x14ac:dyDescent="0.3">
      <c r="C89" s="43"/>
      <c r="D89" s="60" t="s">
        <v>120</v>
      </c>
      <c r="E89" s="61"/>
    </row>
    <row r="90" spans="3:5" x14ac:dyDescent="0.25">
      <c r="C90" s="44" t="s">
        <v>121</v>
      </c>
      <c r="D90" s="45" t="s">
        <v>122</v>
      </c>
      <c r="E90" s="45" t="s">
        <v>122</v>
      </c>
    </row>
    <row r="91" spans="3:5" ht="14.25" thickBot="1" x14ac:dyDescent="0.3">
      <c r="C91" s="46"/>
      <c r="D91" s="47" t="s">
        <v>123</v>
      </c>
      <c r="E91" s="48">
        <v>46142</v>
      </c>
    </row>
    <row r="92" spans="3:5" ht="14.25" thickBot="1" x14ac:dyDescent="0.3">
      <c r="C92" s="49" t="s">
        <v>124</v>
      </c>
      <c r="D92" s="50">
        <v>42.78</v>
      </c>
      <c r="E92" s="50">
        <v>47.02</v>
      </c>
    </row>
    <row r="93" spans="3:5" ht="14.25" thickBot="1" x14ac:dyDescent="0.3">
      <c r="C93" s="49" t="s">
        <v>125</v>
      </c>
      <c r="D93" s="50">
        <v>47.78</v>
      </c>
      <c r="E93" s="50">
        <v>52.53</v>
      </c>
    </row>
    <row r="94" spans="3:5" ht="14.25" thickBot="1" x14ac:dyDescent="0.3">
      <c r="C94" s="49" t="s">
        <v>126</v>
      </c>
      <c r="D94" s="50">
        <v>53.07</v>
      </c>
      <c r="E94" s="50">
        <v>58.37</v>
      </c>
    </row>
    <row r="95" spans="3:5" ht="14.25" thickBot="1" x14ac:dyDescent="0.3">
      <c r="C95" s="49" t="s">
        <v>127</v>
      </c>
      <c r="D95" s="50">
        <v>53.69</v>
      </c>
      <c r="E95" s="50">
        <v>59.05</v>
      </c>
    </row>
    <row r="97" spans="3:3" x14ac:dyDescent="0.25">
      <c r="C97" s="51" t="s">
        <v>128</v>
      </c>
    </row>
    <row r="98" spans="3:3" x14ac:dyDescent="0.25">
      <c r="C98" s="51" t="s">
        <v>129</v>
      </c>
    </row>
    <row r="99" spans="3:3" x14ac:dyDescent="0.25">
      <c r="C99" s="51" t="s">
        <v>130</v>
      </c>
    </row>
    <row r="100" spans="3:3" x14ac:dyDescent="0.25">
      <c r="C100" s="51" t="s">
        <v>131</v>
      </c>
    </row>
    <row r="101" spans="3:3" x14ac:dyDescent="0.25">
      <c r="C101" s="51" t="s">
        <v>132</v>
      </c>
    </row>
    <row r="102" spans="3:3" x14ac:dyDescent="0.25">
      <c r="C102" s="51" t="s">
        <v>133</v>
      </c>
    </row>
    <row r="103" spans="3:3" x14ac:dyDescent="0.25">
      <c r="C103" s="51" t="s">
        <v>134</v>
      </c>
    </row>
    <row r="104" spans="3:3" x14ac:dyDescent="0.25">
      <c r="C104" s="51" t="s">
        <v>135</v>
      </c>
    </row>
    <row r="105" spans="3:3" x14ac:dyDescent="0.25">
      <c r="C105" s="51" t="s">
        <v>136</v>
      </c>
    </row>
  </sheetData>
  <mergeCells count="1">
    <mergeCell ref="D89:E89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638BC-59DD-4F87-86FA-E614A32F354E}">
  <dimension ref="C3:M17"/>
  <sheetViews>
    <sheetView workbookViewId="0">
      <selection activeCell="F6" sqref="F6"/>
    </sheetView>
  </sheetViews>
  <sheetFormatPr defaultRowHeight="15" x14ac:dyDescent="0.25"/>
  <cols>
    <col min="3" max="3" width="79" customWidth="1"/>
    <col min="4" max="4" width="7.1406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1" bestFit="1" customWidth="1"/>
  </cols>
  <sheetData>
    <row r="3" spans="3:13" ht="15.75" x14ac:dyDescent="0.25">
      <c r="C3" s="52" t="s">
        <v>137</v>
      </c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3:13" x14ac:dyDescent="0.25">
      <c r="C4" s="54" t="s">
        <v>138</v>
      </c>
      <c r="D4" s="62" t="s">
        <v>139</v>
      </c>
      <c r="E4" s="62"/>
      <c r="F4" s="62" t="s">
        <v>140</v>
      </c>
      <c r="G4" s="62"/>
      <c r="H4" s="62" t="s">
        <v>141</v>
      </c>
      <c r="I4" s="62"/>
      <c r="J4" s="63" t="s">
        <v>142</v>
      </c>
      <c r="K4" s="64"/>
      <c r="L4" s="65" t="s">
        <v>143</v>
      </c>
      <c r="M4" s="65"/>
    </row>
    <row r="5" spans="3:13" ht="63.75" x14ac:dyDescent="0.25">
      <c r="C5" s="55"/>
      <c r="D5" s="56" t="s">
        <v>144</v>
      </c>
      <c r="E5" s="56" t="s">
        <v>145</v>
      </c>
      <c r="F5" s="56" t="s">
        <v>144</v>
      </c>
      <c r="G5" s="56" t="s">
        <v>145</v>
      </c>
      <c r="H5" s="56" t="s">
        <v>144</v>
      </c>
      <c r="I5" s="56" t="s">
        <v>145</v>
      </c>
      <c r="J5" s="56" t="s">
        <v>144</v>
      </c>
      <c r="K5" s="56" t="s">
        <v>145</v>
      </c>
      <c r="L5" s="57" t="s">
        <v>144</v>
      </c>
      <c r="M5" s="57" t="s">
        <v>145</v>
      </c>
    </row>
    <row r="6" spans="3:13" x14ac:dyDescent="0.25">
      <c r="C6" s="58" t="s">
        <v>146</v>
      </c>
      <c r="D6" s="59">
        <v>-0.19</v>
      </c>
      <c r="E6" s="59">
        <v>9980.9994299828995</v>
      </c>
      <c r="F6" s="59">
        <v>10.3224</v>
      </c>
      <c r="G6" s="59">
        <v>13438.21949347659</v>
      </c>
      <c r="H6" s="59">
        <v>11.334099999999999</v>
      </c>
      <c r="I6" s="59">
        <v>17110.749185667752</v>
      </c>
      <c r="J6" s="59">
        <v>12.9557</v>
      </c>
      <c r="K6" s="59">
        <v>33846.649484536087</v>
      </c>
      <c r="L6" s="59">
        <v>12.6289</v>
      </c>
      <c r="M6" s="59">
        <v>52530</v>
      </c>
    </row>
    <row r="7" spans="3:13" x14ac:dyDescent="0.25">
      <c r="C7" s="58" t="s">
        <v>147</v>
      </c>
      <c r="D7" s="59">
        <v>-0.57481119999999997</v>
      </c>
      <c r="E7" s="59">
        <v>10041.17</v>
      </c>
      <c r="F7" s="59">
        <v>8.9308300000000003</v>
      </c>
      <c r="G7" s="59">
        <v>13056.581765945861</v>
      </c>
      <c r="H7" s="59">
        <v>11.404263</v>
      </c>
      <c r="I7" s="59">
        <v>17334.853894004948</v>
      </c>
      <c r="J7" s="59">
        <v>13.100111</v>
      </c>
      <c r="K7" s="59">
        <v>18600.70668857596</v>
      </c>
      <c r="L7" s="59">
        <v>14.315986000000001</v>
      </c>
      <c r="M7" s="59">
        <v>74189.197564558315</v>
      </c>
    </row>
    <row r="8" spans="3:13" x14ac:dyDescent="0.25">
      <c r="C8" s="58" t="s">
        <v>148</v>
      </c>
      <c r="D8" s="59">
        <v>-0.27589999999999998</v>
      </c>
      <c r="E8" s="59">
        <v>9972.41</v>
      </c>
      <c r="F8" s="59">
        <v>11.1752</v>
      </c>
      <c r="G8" s="59">
        <v>13741.171444260912</v>
      </c>
      <c r="H8" s="59">
        <v>11.6852</v>
      </c>
      <c r="I8" s="59">
        <v>17377.133247119516</v>
      </c>
      <c r="J8" s="59">
        <v>13.1839</v>
      </c>
      <c r="K8" s="59">
        <v>18574.762612601593</v>
      </c>
      <c r="L8" s="59">
        <v>13.511799999999999</v>
      </c>
      <c r="M8" s="59">
        <v>58574.555090184796</v>
      </c>
    </row>
    <row r="9" spans="3:13" x14ac:dyDescent="0.25">
      <c r="C9" s="58" t="s">
        <v>149</v>
      </c>
      <c r="D9" s="66">
        <v>52.63</v>
      </c>
      <c r="E9" s="67"/>
      <c r="F9" s="66">
        <v>39.090000000000003</v>
      </c>
      <c r="G9" s="67"/>
      <c r="H9" s="66">
        <v>30.7</v>
      </c>
      <c r="I9" s="67"/>
      <c r="J9" s="66">
        <v>15.52</v>
      </c>
      <c r="K9" s="67"/>
      <c r="L9" s="66">
        <v>10</v>
      </c>
      <c r="M9" s="67"/>
    </row>
    <row r="11" spans="3:13" ht="15.75" x14ac:dyDescent="0.25">
      <c r="C11" s="52" t="s">
        <v>150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3:13" x14ac:dyDescent="0.25">
      <c r="C12" s="54" t="s">
        <v>138</v>
      </c>
      <c r="D12" s="62" t="s">
        <v>139</v>
      </c>
      <c r="E12" s="62"/>
      <c r="F12" s="62" t="s">
        <v>140</v>
      </c>
      <c r="G12" s="62"/>
      <c r="H12" s="62" t="s">
        <v>141</v>
      </c>
      <c r="I12" s="62"/>
      <c r="J12" s="63" t="s">
        <v>142</v>
      </c>
      <c r="K12" s="64"/>
      <c r="L12" s="65" t="s">
        <v>143</v>
      </c>
      <c r="M12" s="65"/>
    </row>
    <row r="13" spans="3:13" ht="63.75" x14ac:dyDescent="0.25">
      <c r="C13" s="55"/>
      <c r="D13" s="56" t="s">
        <v>144</v>
      </c>
      <c r="E13" s="56" t="s">
        <v>145</v>
      </c>
      <c r="F13" s="56" t="s">
        <v>144</v>
      </c>
      <c r="G13" s="56" t="s">
        <v>145</v>
      </c>
      <c r="H13" s="56" t="s">
        <v>144</v>
      </c>
      <c r="I13" s="56" t="s">
        <v>145</v>
      </c>
      <c r="J13" s="56" t="s">
        <v>144</v>
      </c>
      <c r="K13" s="56" t="s">
        <v>145</v>
      </c>
      <c r="L13" s="57" t="s">
        <v>144</v>
      </c>
      <c r="M13" s="57" t="s">
        <v>145</v>
      </c>
    </row>
    <row r="14" spans="3:13" x14ac:dyDescent="0.25">
      <c r="C14" s="58" t="s">
        <v>146</v>
      </c>
      <c r="D14" s="59">
        <v>0.57909999999999995</v>
      </c>
      <c r="E14" s="59">
        <v>10057.911769715551</v>
      </c>
      <c r="F14" s="59">
        <v>11.162800000000001</v>
      </c>
      <c r="G14" s="59">
        <v>13748.544819557625</v>
      </c>
      <c r="H14" s="59">
        <v>12.185499999999999</v>
      </c>
      <c r="I14" s="59">
        <v>17775.436484045757</v>
      </c>
      <c r="J14" s="59">
        <v>13.9224</v>
      </c>
      <c r="K14" s="59">
        <v>36860.174781523099</v>
      </c>
      <c r="L14" s="59">
        <v>11.481299999999999</v>
      </c>
      <c r="M14" s="59">
        <v>43260.073260073259</v>
      </c>
    </row>
    <row r="15" spans="3:13" x14ac:dyDescent="0.25">
      <c r="C15" s="58" t="s">
        <v>147</v>
      </c>
      <c r="D15" s="59">
        <v>-0.57481119999999997</v>
      </c>
      <c r="E15" s="59">
        <v>10041.17</v>
      </c>
      <c r="F15" s="59">
        <v>8.9308300000000003</v>
      </c>
      <c r="G15" s="59">
        <v>13056.581765945861</v>
      </c>
      <c r="H15" s="59">
        <v>11.404263</v>
      </c>
      <c r="I15" s="59">
        <v>17334.853894004948</v>
      </c>
      <c r="J15" s="59">
        <v>13.100111</v>
      </c>
      <c r="K15" s="59">
        <v>18600.70668857596</v>
      </c>
      <c r="L15" s="59">
        <v>14.315986000000001</v>
      </c>
      <c r="M15" s="59">
        <v>52262.134538184364</v>
      </c>
    </row>
    <row r="16" spans="3:13" x14ac:dyDescent="0.25">
      <c r="C16" s="58" t="s">
        <v>148</v>
      </c>
      <c r="D16" s="59">
        <v>-0.27589999999999998</v>
      </c>
      <c r="E16" s="59">
        <v>9972.41</v>
      </c>
      <c r="F16" s="59">
        <v>11.1752</v>
      </c>
      <c r="G16" s="59">
        <v>13741.171444260912</v>
      </c>
      <c r="H16" s="59">
        <v>11.6852</v>
      </c>
      <c r="I16" s="59">
        <v>17377.133247119516</v>
      </c>
      <c r="J16" s="59">
        <v>13.1839</v>
      </c>
      <c r="K16" s="59">
        <v>18574.762612601593</v>
      </c>
      <c r="L16" s="59">
        <v>12.279400000000001</v>
      </c>
      <c r="M16" s="59">
        <v>46820.720764033635</v>
      </c>
    </row>
    <row r="17" spans="3:13" x14ac:dyDescent="0.25">
      <c r="C17" s="58" t="s">
        <v>151</v>
      </c>
      <c r="D17" s="66">
        <v>58.71</v>
      </c>
      <c r="E17" s="67"/>
      <c r="F17" s="66">
        <v>42.95</v>
      </c>
      <c r="G17" s="67"/>
      <c r="H17" s="66">
        <v>33.22</v>
      </c>
      <c r="I17" s="67"/>
      <c r="J17" s="66">
        <v>16.02</v>
      </c>
      <c r="K17" s="67"/>
      <c r="L17" s="66">
        <v>13.65</v>
      </c>
      <c r="M17" s="67"/>
    </row>
  </sheetData>
  <mergeCells count="20">
    <mergeCell ref="D9:E9"/>
    <mergeCell ref="F9:G9"/>
    <mergeCell ref="H9:I9"/>
    <mergeCell ref="J9:K9"/>
    <mergeCell ref="L9:M9"/>
    <mergeCell ref="D4:E4"/>
    <mergeCell ref="F4:G4"/>
    <mergeCell ref="H4:I4"/>
    <mergeCell ref="J4:K4"/>
    <mergeCell ref="L4:M4"/>
    <mergeCell ref="D17:E17"/>
    <mergeCell ref="F17:G17"/>
    <mergeCell ref="H17:I17"/>
    <mergeCell ref="J17:K17"/>
    <mergeCell ref="L17:M17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</vt:lpstr>
      <vt:lpstr>TBFS 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Rohini-Yadav</dc:creator>
  <cp:lastModifiedBy>Gangaram Bharat Chavan</cp:lastModifiedBy>
  <dcterms:created xsi:type="dcterms:W3CDTF">2026-05-06T13:07:54Z</dcterms:created>
  <dcterms:modified xsi:type="dcterms:W3CDTF">2026-05-07T05:27:29Z</dcterms:modified>
</cp:coreProperties>
</file>