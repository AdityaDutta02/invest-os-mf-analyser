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6" windowHeight="11040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TTS!$C$8:$C$42</definedName>
    <definedName name="XDO_?FINAL_ISIN?15?">TTS!$D$10:$D$42</definedName>
    <definedName name="XDO_?FINAL_ISIN?16?">TTS!$D$10:$D$86</definedName>
    <definedName name="XDO_?FINAL_MV?15?">TTS!$H$10:$H$42</definedName>
    <definedName name="XDO_?FINAL_MV?16?">TTS!$H$10:$H$86</definedName>
    <definedName name="XDO_?FINAL_NAME?15?">TTS!$C$10:$C$42</definedName>
    <definedName name="XDO_?FINAL_NAME?16?">TTS!$C$10:$C$86</definedName>
    <definedName name="XDO_?FINAL_PER_NET?15?">TTS!$I$10:$I$42</definedName>
    <definedName name="XDO_?FINAL_PER_NET?16?">TTS!$I$10:$I$86</definedName>
    <definedName name="XDO_?FINAL_QUANTITE?15?">TTS!$G$10:$G$42</definedName>
    <definedName name="XDO_?FINAL_QUANTITE?16?">TTS!$G$10:$G$86</definedName>
    <definedName name="XDO_?IND_01?15?">TTS!$F$10:$F$42</definedName>
    <definedName name="XDO_?IND_01?16?">TTS!$F$10:$F$86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5?">TTS!$B$10:$B$42</definedName>
    <definedName name="XDO_?NOVAL?16?">TTS!$B$10:$B$86</definedName>
    <definedName name="XDO_?NPTF?7?">TTS!$D$2:$D$42</definedName>
    <definedName name="XDO_?RATING?15?">TTS!$E$10:$E$42</definedName>
    <definedName name="XDO_?RATING?16?">TTS!$E$10:$E$86</definedName>
    <definedName name="XDO_?REMARKS?15?">TTS!$J$10:$J$42</definedName>
    <definedName name="XDO_?REMARKS?16?">TTS!$J$10:$J$86</definedName>
    <definedName name="XDO_?TITL?7?">TTS!$A$8:$A$42</definedName>
    <definedName name="XDO_GROUP_?G_2?7?">TTS!$2:$89</definedName>
    <definedName name="XDO_GROUP_?G_3?7?">TTS!$8:$88</definedName>
    <definedName name="XDO_GROUP_?G_4?15?">TTS!$B$10:$IV$42</definedName>
    <definedName name="XDO_GROUP_?G_4?16?">TTS!$B$86:$IV$86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/>
</calcChain>
</file>

<file path=xl/sharedStrings.xml><?xml version="1.0" encoding="utf-8"?>
<sst xmlns="http://schemas.openxmlformats.org/spreadsheetml/2006/main" count="277" uniqueCount="203">
  <si>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</si>
  <si>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</si>
  <si>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</si>
  <si>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</si>
  <si>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</si>
  <si>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</si>
  <si>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</si>
  <si>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</si>
  <si>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</si>
  <si>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</si>
  <si>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</si>
  <si>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</si>
  <si>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</si>
  <si>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</si>
  <si>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</si>
  <si>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</si>
  <si>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</si>
  <si>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</si>
  <si>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</si>
  <si>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</si>
  <si>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</si>
  <si>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</si>
  <si>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</si>
  <si>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</si>
  <si>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</si>
  <si>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</si>
  <si>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</si>
  <si>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</si>
  <si>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</si>
  <si>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</si>
  <si>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100474</t>
  </si>
  <si>
    <t>Narayana Hrudayalaya Ltd.</t>
  </si>
  <si>
    <t>INE410P01011</t>
  </si>
  <si>
    <t>Healthcare Services</t>
  </si>
  <si>
    <t>102663</t>
  </si>
  <si>
    <t>Pace Digitek Ltd.</t>
  </si>
  <si>
    <t>INE0S3G01027</t>
  </si>
  <si>
    <t>Telecom - Services</t>
  </si>
  <si>
    <t>A**</t>
  </si>
  <si>
    <t>100024</t>
  </si>
  <si>
    <t>Axis Bank Ltd.</t>
  </si>
  <si>
    <t>INE238A01034</t>
  </si>
  <si>
    <t>100182</t>
  </si>
  <si>
    <t>Power Grid Corporation of India Ltd.</t>
  </si>
  <si>
    <t>INE752E01010</t>
  </si>
  <si>
    <t>Power</t>
  </si>
  <si>
    <t>102528</t>
  </si>
  <si>
    <t>DAM Capital Advisors Ltd.</t>
  </si>
  <si>
    <t>INE284H01025</t>
  </si>
  <si>
    <t>Capital Markets</t>
  </si>
  <si>
    <t>100097</t>
  </si>
  <si>
    <t>Coal India Ltd.</t>
  </si>
  <si>
    <t>INE522F01014</t>
  </si>
  <si>
    <t>Consumable Fuels</t>
  </si>
  <si>
    <t>100014</t>
  </si>
  <si>
    <t>Mahindra &amp; Mahindra Ltd.</t>
  </si>
  <si>
    <t>INE101A01026</t>
  </si>
  <si>
    <t>Automobiles</t>
  </si>
  <si>
    <t>100389</t>
  </si>
  <si>
    <t>Zydus Wellness Ltd.</t>
  </si>
  <si>
    <t>INE768C01028</t>
  </si>
  <si>
    <t>Food Products</t>
  </si>
  <si>
    <t>100153</t>
  </si>
  <si>
    <t>Cipla Ltd.</t>
  </si>
  <si>
    <t>INE059A01026</t>
  </si>
  <si>
    <t>Pharmaceuticals &amp; Biotechnology</t>
  </si>
  <si>
    <t>100037</t>
  </si>
  <si>
    <t>HCL Technologies Ltd.</t>
  </si>
  <si>
    <t>INE860A01027</t>
  </si>
  <si>
    <t>IT - Software</t>
  </si>
  <si>
    <t>102644</t>
  </si>
  <si>
    <t>Vikram Solar Ltd.</t>
  </si>
  <si>
    <t>INE078V01014</t>
  </si>
  <si>
    <t>Electrical Equipment</t>
  </si>
  <si>
    <t>100095</t>
  </si>
  <si>
    <t>Bharti Airtel Ltd.</t>
  </si>
  <si>
    <t>INE397D01024</t>
  </si>
  <si>
    <t>100133</t>
  </si>
  <si>
    <t>Oracle Financial Services Software Ltd.</t>
  </si>
  <si>
    <t>INE881D01027</t>
  </si>
  <si>
    <t>100003</t>
  </si>
  <si>
    <t>Infosys Ltd.</t>
  </si>
  <si>
    <t>INE009A01021</t>
  </si>
  <si>
    <t>101178</t>
  </si>
  <si>
    <t>Computer Age Management Services Ltd.</t>
  </si>
  <si>
    <t>INE596I01012</t>
  </si>
  <si>
    <t>100194</t>
  </si>
  <si>
    <t>Power Finance Corporation Ltd.</t>
  </si>
  <si>
    <t>INE134E01011</t>
  </si>
  <si>
    <t>100100</t>
  </si>
  <si>
    <t>Hindustan Petroleum Corporation Ltd.</t>
  </si>
  <si>
    <t>INE094A01015</t>
  </si>
  <si>
    <t>Petroleum Products</t>
  </si>
  <si>
    <t>100566</t>
  </si>
  <si>
    <t>Laurus Labs Ltd.</t>
  </si>
  <si>
    <t>INE947Q01028</t>
  </si>
  <si>
    <t>102094</t>
  </si>
  <si>
    <t>HBL Engineering Ltd.</t>
  </si>
  <si>
    <t>INE292B01021</t>
  </si>
  <si>
    <t>Industrial Products</t>
  </si>
  <si>
    <t>100083</t>
  </si>
  <si>
    <t>Samvardhana Motherson International Ltd.</t>
  </si>
  <si>
    <t>INE775A01035</t>
  </si>
  <si>
    <t>Auto Components</t>
  </si>
  <si>
    <t>100177</t>
  </si>
  <si>
    <t>Grasim Industries Ltd.</t>
  </si>
  <si>
    <t>INE047A01021</t>
  </si>
  <si>
    <t>Cement &amp; Cement Products</t>
  </si>
  <si>
    <t>100155</t>
  </si>
  <si>
    <t>Divi's Laboratories Ltd.</t>
  </si>
  <si>
    <t>INE361B01024</t>
  </si>
  <si>
    <t>100663</t>
  </si>
  <si>
    <t>AU Small Finance Bank Ltd.</t>
  </si>
  <si>
    <t>INE949L01017</t>
  </si>
  <si>
    <t>101550</t>
  </si>
  <si>
    <t>Life Insurance Corporation of India</t>
  </si>
  <si>
    <t>INE0J1Y01017</t>
  </si>
  <si>
    <t>Insurance</t>
  </si>
  <si>
    <t>100292</t>
  </si>
  <si>
    <t>Steel Authority of India Ltd.</t>
  </si>
  <si>
    <t>INE114A01011</t>
  </si>
  <si>
    <t>Ferrous Metals</t>
  </si>
  <si>
    <t>102206</t>
  </si>
  <si>
    <t>Chemtech Industrial Valves Ltd.</t>
  </si>
  <si>
    <t>INE212P01011</t>
  </si>
  <si>
    <t>Industrial Manufacturing</t>
  </si>
  <si>
    <t>102042</t>
  </si>
  <si>
    <t>Associated Alcohols &amp; Breweries Ltd.</t>
  </si>
  <si>
    <t>INE073G01016</t>
  </si>
  <si>
    <t>Beverages</t>
  </si>
  <si>
    <t>100156</t>
  </si>
  <si>
    <t>Finolex Cables Ltd.</t>
  </si>
  <si>
    <t>INE235A01022</t>
  </si>
  <si>
    <t>100147</t>
  </si>
  <si>
    <t>Tech Mahindra Ltd.</t>
  </si>
  <si>
    <t>INE669C01036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</si>
  <si>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</si>
  <si>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</si>
  <si>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</si>
  <si>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</si>
  <si>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</si>
  <si>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</si>
  <si>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</si>
  <si>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</si>
  <si>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</si>
  <si>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</si>
  <si>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</si>
  <si>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</si>
  <si>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</si>
  <si>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</si>
  <si>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</si>
  <si>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</si>
  <si>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</si>
  <si>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</si>
  <si>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</si>
  <si>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</si>
  <si>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</si>
  <si>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</si>
  <si>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</si>
  <si>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</si>
  <si>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</si>
  <si>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</si>
  <si>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</si>
  <si>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</si>
  <si>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</si>
  <si>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</si>
  <si>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</si>
  <si>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</si>
  <si>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</si>
  <si>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</si>
  <si>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</si>
  <si>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September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</si>
  <si>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</si>
  <si>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</si>
  <si>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</si>
  <si>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</si>
  <si>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September 30, 2025.</t>
  </si>
  <si>
    <t>7. The Scheme did not declare any bonus during the month ended As on September 30, 2025.</t>
  </si>
  <si>
    <t>8. Total outstanding exposure in derivative instruments as on As on September 30, 2025 is Nil</t>
  </si>
  <si>
    <t>9. Total investments in Foreign Securities /ADRs/GDRs /Overseas ETFs as at As on September 30, 2025 and its percentage to NAV is Nil.</t>
  </si>
  <si>
    <t>10. During the period, the portfolio turnover ratio is 0.84 times.</t>
  </si>
  <si>
    <t>      Portfolio Turnover Ratio = Lower of sales or purchase of securities divided by average AUM for 12 months ended As on September 30, 2025</t>
  </si>
  <si>
    <t>11. The Scheme did not invest in repo transactions of corporate debt securities during the month ended As on September 30, 2025.</t>
  </si>
  <si>
    <t>12. The Scheme did not invest in credit default swaps during the month ended As on September 30, 2025.</t>
  </si>
  <si>
    <t>13. There are Nil instances of deviation from the valuation principles/guidelilys during the month ended as on September 30th, 2025.</t>
  </si>
  <si>
    <t>Taurus Elss Tax Saver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</si>
  <si>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</si>
  <si>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</si>
  <si>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</si>
  <si>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</si>
  <si>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</si>
  <si>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</si>
  <si>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</si>
  <si>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</si>
  <si>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</si>
  <si>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</si>
  <si>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</si>
  <si>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</si>
  <si>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September 30,2025 :182.07)</t>
  </si>
  <si>
    <t>Taurus Elss Tax Saver Fund - Direct Plan Growth Option</t>
  </si>
  <si>
    <t>NAV [Rs.] Per Unit (as on September 30,2025 :198.7)</t>
  </si>
  <si>
    <t>*NIL</t>
  </si>
  <si>
    <t>August  31, 2025</t>
  </si>
</sst>
</file>

<file path=xl/styles.xml><?xml version="1.0" encoding="utf-8"?>
<styleSheet xmlns="http://schemas.openxmlformats.org/spreadsheetml/2006/main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\ #,##0.00_);_(\ \(#,##0.00\);_(\ \-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8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10583</xdr:colOff>
      <xdr:row>0</xdr:row>
      <xdr:rowOff>0</xdr:rowOff>
    </xdr:from>
    <xdr:to>
      <xdr:col>5</xdr:col>
      <xdr:colOff>29463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xmlns="" id="{66E55B49-B84A-4AD3-AA6F-8E2EA2A99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9916" y="0"/>
          <a:ext cx="6999647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5.TMF\Reporting\Monthly%20Reports\Monthly%20Portfolio\2025-26\Sep_2025\Final\TMF_Monthly_Portfolio_Report_Sep_2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5"/>
  <sheetViews>
    <sheetView showGridLines="0" tabSelected="1" zoomScale="90" zoomScaleNormal="90" workbookViewId="0">
      <selection activeCell="C3" sqref="C3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22.88671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9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J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45930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76490</v>
      </c>
      <c r="H10" s="32">
        <v>727.53</v>
      </c>
      <c r="I10" s="32">
        <v>9.5399999999999991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637.91</v>
      </c>
      <c r="I11" s="32">
        <v>8.36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147908</v>
      </c>
      <c r="H12" s="32">
        <v>594</v>
      </c>
      <c r="I12" s="32">
        <v>7.79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41805</v>
      </c>
      <c r="H13" s="32">
        <v>563.54999999999995</v>
      </c>
      <c r="I13" s="32">
        <v>7.39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23293</v>
      </c>
      <c r="H14" s="32">
        <v>403.89</v>
      </c>
      <c r="I14" s="32">
        <v>5.29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182716</v>
      </c>
      <c r="H15" s="32">
        <v>400.15</v>
      </c>
      <c r="I15" s="32">
        <v>5.24</v>
      </c>
      <c r="J15" s="33" t="s">
        <v>38</v>
      </c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18</v>
      </c>
      <c r="G16" s="31">
        <v>28650</v>
      </c>
      <c r="H16" s="32">
        <v>324.27999999999997</v>
      </c>
      <c r="I16" s="32">
        <v>4.25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114996</v>
      </c>
      <c r="H17" s="32">
        <v>322.10000000000002</v>
      </c>
      <c r="I17" s="32">
        <v>4.22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122125</v>
      </c>
      <c r="H18" s="32">
        <v>284.61</v>
      </c>
      <c r="I18" s="32">
        <v>3.73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65000</v>
      </c>
      <c r="H19" s="32">
        <v>253.53</v>
      </c>
      <c r="I19" s="32">
        <v>3.32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7337</v>
      </c>
      <c r="H20" s="32">
        <v>251.41</v>
      </c>
      <c r="I20" s="32">
        <v>3.3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54975</v>
      </c>
      <c r="H21" s="32">
        <v>251.13</v>
      </c>
      <c r="I21" s="32">
        <v>3.29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13798</v>
      </c>
      <c r="H22" s="32">
        <v>207.19</v>
      </c>
      <c r="I22" s="32">
        <v>2.72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14191</v>
      </c>
      <c r="H23" s="32">
        <v>196.55</v>
      </c>
      <c r="I23" s="32">
        <v>2.58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73</v>
      </c>
      <c r="G24" s="31">
        <v>54721</v>
      </c>
      <c r="H24" s="32">
        <v>172.84</v>
      </c>
      <c r="I24" s="32">
        <v>2.27</v>
      </c>
      <c r="J24" s="33"/>
    </row>
    <row r="25" spans="2:10">
      <c r="B25" s="1" t="s">
        <v>74</v>
      </c>
      <c r="C25" s="20" t="s">
        <v>75</v>
      </c>
      <c r="D25" s="29" t="s">
        <v>76</v>
      </c>
      <c r="E25" s="30"/>
      <c r="F25" s="30" t="s">
        <v>37</v>
      </c>
      <c r="G25" s="31">
        <v>8882</v>
      </c>
      <c r="H25" s="32">
        <v>166.8</v>
      </c>
      <c r="I25" s="32">
        <v>2.19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69</v>
      </c>
      <c r="G26" s="31">
        <v>1912</v>
      </c>
      <c r="H26" s="32">
        <v>160.69</v>
      </c>
      <c r="I26" s="32">
        <v>2.11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69</v>
      </c>
      <c r="G27" s="31">
        <v>10579</v>
      </c>
      <c r="H27" s="32">
        <v>152.55000000000001</v>
      </c>
      <c r="I27" s="32">
        <v>2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49</v>
      </c>
      <c r="G28" s="31">
        <v>4035</v>
      </c>
      <c r="H28" s="32">
        <v>151.71</v>
      </c>
      <c r="I28" s="32">
        <v>1.99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22</v>
      </c>
      <c r="G29" s="31">
        <v>34916</v>
      </c>
      <c r="H29" s="32">
        <v>143.28</v>
      </c>
      <c r="I29" s="32">
        <v>1.88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31987</v>
      </c>
      <c r="H30" s="32">
        <v>141.69999999999999</v>
      </c>
      <c r="I30" s="32">
        <v>1.86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65</v>
      </c>
      <c r="G31" s="31">
        <v>14250</v>
      </c>
      <c r="H31" s="32">
        <v>119.98</v>
      </c>
      <c r="I31" s="32">
        <v>1.57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14581</v>
      </c>
      <c r="H32" s="32">
        <v>118.62</v>
      </c>
      <c r="I32" s="32">
        <v>1.55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107347</v>
      </c>
      <c r="H33" s="32">
        <v>113.39</v>
      </c>
      <c r="I33" s="32">
        <v>1.49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3981</v>
      </c>
      <c r="H34" s="32">
        <v>109.75</v>
      </c>
      <c r="I34" s="32">
        <v>1.44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65</v>
      </c>
      <c r="G35" s="31">
        <v>1928</v>
      </c>
      <c r="H35" s="32">
        <v>109.66</v>
      </c>
      <c r="I35" s="32">
        <v>1.44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18</v>
      </c>
      <c r="G36" s="31">
        <v>10820</v>
      </c>
      <c r="H36" s="32">
        <v>79.16</v>
      </c>
      <c r="I36" s="32">
        <v>1.04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8000</v>
      </c>
      <c r="H37" s="32">
        <v>71.959999999999994</v>
      </c>
      <c r="I37" s="32">
        <v>0.94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45110</v>
      </c>
      <c r="H38" s="32">
        <v>60.76</v>
      </c>
      <c r="I38" s="32">
        <v>0.8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50000</v>
      </c>
      <c r="H39" s="32">
        <v>58.35</v>
      </c>
      <c r="I39" s="32">
        <v>0.76</v>
      </c>
      <c r="J39" s="33"/>
    </row>
    <row r="40" spans="2:10">
      <c r="B40" s="1" t="s">
        <v>126</v>
      </c>
      <c r="C40" s="20" t="s">
        <v>127</v>
      </c>
      <c r="D40" s="29" t="s">
        <v>128</v>
      </c>
      <c r="E40" s="30"/>
      <c r="F40" s="30" t="s">
        <v>129</v>
      </c>
      <c r="G40" s="31">
        <v>5252</v>
      </c>
      <c r="H40" s="32">
        <v>48.72</v>
      </c>
      <c r="I40" s="32">
        <v>0.64</v>
      </c>
      <c r="J40" s="33"/>
    </row>
    <row r="41" spans="2:10">
      <c r="B41" s="1" t="s">
        <v>130</v>
      </c>
      <c r="C41" s="20" t="s">
        <v>131</v>
      </c>
      <c r="D41" s="29" t="s">
        <v>132</v>
      </c>
      <c r="E41" s="30"/>
      <c r="F41" s="30" t="s">
        <v>99</v>
      </c>
      <c r="G41" s="31">
        <v>5000</v>
      </c>
      <c r="H41" s="32">
        <v>40.89</v>
      </c>
      <c r="I41" s="32">
        <v>0.54</v>
      </c>
      <c r="J41" s="33"/>
    </row>
    <row r="42" spans="2:10">
      <c r="B42" s="1" t="s">
        <v>133</v>
      </c>
      <c r="C42" s="20" t="s">
        <v>134</v>
      </c>
      <c r="D42" s="29" t="s">
        <v>135</v>
      </c>
      <c r="E42" s="30"/>
      <c r="F42" s="30" t="s">
        <v>69</v>
      </c>
      <c r="G42" s="31">
        <v>2739</v>
      </c>
      <c r="H42" s="32">
        <v>38.340000000000003</v>
      </c>
      <c r="I42" s="32">
        <v>0.5</v>
      </c>
      <c r="J42" s="33"/>
    </row>
    <row r="43" spans="2:10">
      <c r="C43" s="28" t="s">
        <v>136</v>
      </c>
      <c r="D43" s="29"/>
      <c r="E43" s="30"/>
      <c r="F43" s="30"/>
      <c r="G43" s="31"/>
      <c r="H43" s="35">
        <v>7476.98</v>
      </c>
      <c r="I43" s="35">
        <v>98.03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137</v>
      </c>
      <c r="D45" s="29"/>
      <c r="E45" s="30"/>
      <c r="F45" s="30"/>
      <c r="G45" s="31"/>
      <c r="H45" s="32" t="s">
        <v>138</v>
      </c>
      <c r="I45" s="32" t="s">
        <v>138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139</v>
      </c>
      <c r="D47" s="29"/>
      <c r="E47" s="30"/>
      <c r="F47" s="30"/>
      <c r="G47" s="31"/>
      <c r="H47" s="32" t="s">
        <v>138</v>
      </c>
      <c r="I47" s="32" t="s">
        <v>138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140</v>
      </c>
      <c r="D49" s="29"/>
      <c r="E49" s="30"/>
      <c r="F49" s="30"/>
      <c r="G49" s="31"/>
      <c r="H49" s="32"/>
      <c r="I49" s="32"/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141</v>
      </c>
      <c r="D51" s="29"/>
      <c r="E51" s="30"/>
      <c r="F51" s="30"/>
      <c r="G51" s="31"/>
      <c r="H51" s="32" t="s">
        <v>138</v>
      </c>
      <c r="I51" s="32" t="s">
        <v>138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142</v>
      </c>
      <c r="D53" s="29"/>
      <c r="E53" s="30"/>
      <c r="F53" s="30"/>
      <c r="G53" s="31"/>
      <c r="H53" s="32" t="s">
        <v>138</v>
      </c>
      <c r="I53" s="32" t="s">
        <v>138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143</v>
      </c>
      <c r="D55" s="29"/>
      <c r="E55" s="30"/>
      <c r="F55" s="30"/>
      <c r="G55" s="31"/>
      <c r="H55" s="32" t="s">
        <v>138</v>
      </c>
      <c r="I55" s="32" t="s">
        <v>138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144</v>
      </c>
      <c r="D57" s="29"/>
      <c r="E57" s="30"/>
      <c r="F57" s="30"/>
      <c r="G57" s="31"/>
      <c r="H57" s="32" t="s">
        <v>138</v>
      </c>
      <c r="I57" s="32" t="s">
        <v>138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145</v>
      </c>
      <c r="D59" s="29"/>
      <c r="E59" s="30"/>
      <c r="F59" s="30"/>
      <c r="G59" s="31"/>
      <c r="H59" s="32" t="s">
        <v>138</v>
      </c>
      <c r="I59" s="32" t="s">
        <v>138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146</v>
      </c>
      <c r="D61" s="29"/>
      <c r="E61" s="30"/>
      <c r="F61" s="30"/>
      <c r="G61" s="31"/>
      <c r="H61" s="32"/>
      <c r="I61" s="32"/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147</v>
      </c>
      <c r="D63" s="29"/>
      <c r="E63" s="30"/>
      <c r="F63" s="30"/>
      <c r="G63" s="31"/>
      <c r="H63" s="32" t="s">
        <v>138</v>
      </c>
      <c r="I63" s="32" t="s">
        <v>138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148</v>
      </c>
      <c r="D65" s="29"/>
      <c r="E65" s="30"/>
      <c r="F65" s="30"/>
      <c r="G65" s="31"/>
      <c r="H65" s="32" t="s">
        <v>138</v>
      </c>
      <c r="I65" s="32" t="s">
        <v>138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149</v>
      </c>
      <c r="D67" s="29"/>
      <c r="E67" s="30"/>
      <c r="F67" s="30"/>
      <c r="G67" s="31"/>
      <c r="H67" s="32" t="s">
        <v>138</v>
      </c>
      <c r="I67" s="32" t="s">
        <v>138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150</v>
      </c>
      <c r="D69" s="29"/>
      <c r="E69" s="30"/>
      <c r="F69" s="30"/>
      <c r="G69" s="31"/>
      <c r="H69" s="32" t="s">
        <v>138</v>
      </c>
      <c r="I69" s="32" t="s">
        <v>138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151</v>
      </c>
      <c r="D71" s="29"/>
      <c r="E71" s="30"/>
      <c r="F71" s="30"/>
      <c r="G71" s="31"/>
      <c r="H71" s="32"/>
      <c r="I71" s="32"/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152</v>
      </c>
      <c r="D73" s="29"/>
      <c r="E73" s="30"/>
      <c r="F73" s="30"/>
      <c r="G73" s="31"/>
      <c r="H73" s="32" t="s">
        <v>138</v>
      </c>
      <c r="I73" s="32" t="s">
        <v>138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153</v>
      </c>
      <c r="D75" s="29"/>
      <c r="E75" s="30"/>
      <c r="F75" s="30"/>
      <c r="G75" s="31"/>
      <c r="H75" s="32" t="s">
        <v>138</v>
      </c>
      <c r="I75" s="32" t="s">
        <v>138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154</v>
      </c>
      <c r="D77" s="29"/>
      <c r="E77" s="30"/>
      <c r="F77" s="30"/>
      <c r="G77" s="31"/>
      <c r="H77" s="32" t="s">
        <v>138</v>
      </c>
      <c r="I77" s="32" t="s">
        <v>138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155</v>
      </c>
      <c r="D79" s="29"/>
      <c r="E79" s="30"/>
      <c r="F79" s="30"/>
      <c r="G79" s="31"/>
      <c r="H79" s="32" t="s">
        <v>138</v>
      </c>
      <c r="I79" s="32" t="s">
        <v>138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156</v>
      </c>
      <c r="D81" s="29"/>
      <c r="E81" s="30"/>
      <c r="F81" s="30"/>
      <c r="G81" s="31"/>
      <c r="H81" s="32" t="s">
        <v>138</v>
      </c>
      <c r="I81" s="32" t="s">
        <v>138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157</v>
      </c>
      <c r="D83" s="29"/>
      <c r="E83" s="30"/>
      <c r="F83" s="30"/>
      <c r="G83" s="31"/>
      <c r="H83" s="32" t="s">
        <v>138</v>
      </c>
      <c r="I83" s="32" t="s">
        <v>138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A85" s="26"/>
      <c r="B85" s="27"/>
      <c r="C85" s="28" t="s">
        <v>158</v>
      </c>
      <c r="D85" s="29"/>
      <c r="E85" s="30"/>
      <c r="F85" s="30"/>
      <c r="G85" s="31"/>
      <c r="H85" s="32"/>
      <c r="I85" s="32"/>
      <c r="J85" s="33"/>
    </row>
    <row r="86" spans="1:10">
      <c r="B86" s="1"/>
      <c r="C86" s="20" t="s">
        <v>159</v>
      </c>
      <c r="D86" s="29"/>
      <c r="E86" s="30"/>
      <c r="F86" s="30"/>
      <c r="G86" s="31"/>
      <c r="H86" s="32">
        <v>152.59</v>
      </c>
      <c r="I86" s="32">
        <v>1.97</v>
      </c>
      <c r="J86" s="33"/>
    </row>
    <row r="87" spans="1:10">
      <c r="C87" s="28" t="s">
        <v>136</v>
      </c>
      <c r="D87" s="29"/>
      <c r="E87" s="30"/>
      <c r="F87" s="30"/>
      <c r="G87" s="31"/>
      <c r="H87" s="35">
        <v>152.59</v>
      </c>
      <c r="I87" s="35">
        <v>1.97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 ht="14.4" thickBot="1">
      <c r="C89" s="36" t="s">
        <v>160</v>
      </c>
      <c r="D89" s="37"/>
      <c r="E89" s="38"/>
      <c r="F89" s="39"/>
      <c r="G89" s="40"/>
      <c r="H89" s="41">
        <v>7629.57</v>
      </c>
      <c r="I89" s="41">
        <f>SUMIFS(I:I,C:C,"Total")</f>
        <v>100</v>
      </c>
      <c r="J89" s="42"/>
    </row>
    <row r="92" spans="1:10">
      <c r="C92" s="11" t="s">
        <v>161</v>
      </c>
    </row>
    <row r="93" spans="1:10">
      <c r="C93" s="2" t="s">
        <v>162</v>
      </c>
    </row>
    <row r="94" spans="1:10">
      <c r="C94" s="2" t="s">
        <v>163</v>
      </c>
    </row>
    <row r="95" spans="1:10">
      <c r="C95" s="2" t="s">
        <v>164</v>
      </c>
    </row>
    <row r="96" spans="1:10">
      <c r="C96" s="2" t="s">
        <v>165</v>
      </c>
    </row>
    <row r="97" spans="3:8">
      <c r="C97" s="2" t="s">
        <v>166</v>
      </c>
    </row>
    <row r="98" spans="3:8" ht="14.4" thickBot="1">
      <c r="C98" s="2" t="s">
        <v>167</v>
      </c>
    </row>
    <row r="99" spans="3:8" ht="14.4" thickBot="1">
      <c r="C99" s="43"/>
      <c r="D99" s="60" t="s">
        <v>168</v>
      </c>
      <c r="E99" s="61"/>
    </row>
    <row r="100" spans="3:8">
      <c r="C100" s="44" t="s">
        <v>169</v>
      </c>
      <c r="D100" s="45" t="s">
        <v>170</v>
      </c>
      <c r="E100" s="46" t="s">
        <v>170</v>
      </c>
    </row>
    <row r="101" spans="3:8" ht="14.4" thickBot="1">
      <c r="C101" s="47"/>
      <c r="D101" s="48" t="s">
        <v>202</v>
      </c>
      <c r="E101" s="49" t="s">
        <v>171</v>
      </c>
    </row>
    <row r="102" spans="3:8" ht="14.4" thickBot="1">
      <c r="C102" s="50" t="s">
        <v>172</v>
      </c>
      <c r="D102" s="51">
        <v>84.87</v>
      </c>
      <c r="E102" s="51">
        <v>85.3</v>
      </c>
      <c r="H102" s="7"/>
    </row>
    <row r="103" spans="3:8" ht="14.4" thickBot="1">
      <c r="C103" s="50" t="s">
        <v>173</v>
      </c>
      <c r="D103" s="51">
        <v>181.17</v>
      </c>
      <c r="E103" s="51">
        <v>182.07</v>
      </c>
      <c r="H103" s="7"/>
    </row>
    <row r="104" spans="3:8" ht="14.4" thickBot="1">
      <c r="C104" s="50" t="s">
        <v>174</v>
      </c>
      <c r="D104" s="51">
        <v>91.07</v>
      </c>
      <c r="E104" s="51">
        <v>91.58</v>
      </c>
      <c r="H104" s="7"/>
    </row>
    <row r="105" spans="3:8" ht="14.4" thickBot="1">
      <c r="C105" s="50" t="s">
        <v>175</v>
      </c>
      <c r="D105" s="51">
        <v>197.61</v>
      </c>
      <c r="E105" s="51">
        <v>198.7</v>
      </c>
      <c r="H105" s="7"/>
    </row>
    <row r="107" spans="3:8">
      <c r="C107" s="2" t="s">
        <v>176</v>
      </c>
    </row>
    <row r="108" spans="3:8">
      <c r="C108" s="2" t="s">
        <v>177</v>
      </c>
    </row>
    <row r="109" spans="3:8">
      <c r="C109" s="2" t="s">
        <v>178</v>
      </c>
    </row>
    <row r="110" spans="3:8">
      <c r="C110" s="2" t="s">
        <v>179</v>
      </c>
    </row>
    <row r="111" spans="3:8">
      <c r="C111" s="2" t="s">
        <v>180</v>
      </c>
    </row>
    <row r="112" spans="3:8">
      <c r="C112" s="2" t="s">
        <v>181</v>
      </c>
    </row>
    <row r="113" spans="3:3">
      <c r="C113" s="2" t="s">
        <v>182</v>
      </c>
    </row>
    <row r="114" spans="3:3">
      <c r="C114" s="2" t="s">
        <v>183</v>
      </c>
    </row>
    <row r="115" spans="3:3">
      <c r="C115" s="2" t="s">
        <v>184</v>
      </c>
    </row>
  </sheetData>
  <mergeCells count="1">
    <mergeCell ref="D99:E9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M17"/>
  <sheetViews>
    <sheetView workbookViewId="0">
      <selection activeCell="H8" sqref="H8"/>
    </sheetView>
  </sheetViews>
  <sheetFormatPr defaultRowHeight="14.4"/>
  <cols>
    <col min="3" max="3" width="47.6640625" customWidth="1"/>
    <col min="4" max="4" width="7.10937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5.6640625" customWidth="1"/>
  </cols>
  <sheetData>
    <row r="3" spans="3:13" ht="15.6">
      <c r="C3" s="52" t="s">
        <v>185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>
      <c r="C4" s="54" t="s">
        <v>186</v>
      </c>
      <c r="D4" s="64" t="s">
        <v>187</v>
      </c>
      <c r="E4" s="64"/>
      <c r="F4" s="64" t="s">
        <v>188</v>
      </c>
      <c r="G4" s="64"/>
      <c r="H4" s="64" t="s">
        <v>189</v>
      </c>
      <c r="I4" s="64"/>
      <c r="J4" s="65" t="s">
        <v>190</v>
      </c>
      <c r="K4" s="66"/>
      <c r="L4" s="67" t="s">
        <v>191</v>
      </c>
      <c r="M4" s="67"/>
    </row>
    <row r="5" spans="3:13" ht="66">
      <c r="C5" s="55"/>
      <c r="D5" s="56" t="s">
        <v>192</v>
      </c>
      <c r="E5" s="56" t="s">
        <v>193</v>
      </c>
      <c r="F5" s="56" t="s">
        <v>192</v>
      </c>
      <c r="G5" s="56" t="s">
        <v>193</v>
      </c>
      <c r="H5" s="56" t="s">
        <v>192</v>
      </c>
      <c r="I5" s="56" t="s">
        <v>193</v>
      </c>
      <c r="J5" s="56" t="s">
        <v>192</v>
      </c>
      <c r="K5" s="56" t="s">
        <v>193</v>
      </c>
      <c r="L5" s="57" t="s">
        <v>192</v>
      </c>
      <c r="M5" s="57" t="s">
        <v>193</v>
      </c>
    </row>
    <row r="6" spans="3:13">
      <c r="C6" s="58" t="s">
        <v>194</v>
      </c>
      <c r="D6" s="59">
        <v>-3.9815999999999998</v>
      </c>
      <c r="E6" s="59">
        <v>9601.8352494462597</v>
      </c>
      <c r="F6" s="59">
        <v>17.5505</v>
      </c>
      <c r="G6" s="59">
        <v>16250.446269189575</v>
      </c>
      <c r="H6" s="59">
        <v>18.193200000000001</v>
      </c>
      <c r="I6" s="59">
        <v>23076.045627376425</v>
      </c>
      <c r="J6" s="59">
        <v>13.3171</v>
      </c>
      <c r="K6" s="59">
        <v>34946.257197696737</v>
      </c>
      <c r="L6" s="59">
        <v>11.9017</v>
      </c>
      <c r="M6" s="59">
        <v>182070</v>
      </c>
    </row>
    <row r="7" spans="3:13">
      <c r="C7" s="58" t="s">
        <v>195</v>
      </c>
      <c r="D7" s="59">
        <v>-5.5</v>
      </c>
      <c r="E7" s="59">
        <v>10036.5</v>
      </c>
      <c r="F7" s="59">
        <v>16.12</v>
      </c>
      <c r="G7" s="59">
        <v>17940.961438825401</v>
      </c>
      <c r="H7" s="59">
        <v>20.66</v>
      </c>
      <c r="I7" s="59">
        <v>28508.352349489178</v>
      </c>
      <c r="J7" s="59">
        <v>14.43</v>
      </c>
      <c r="K7" s="59">
        <v>19232.874332301493</v>
      </c>
      <c r="L7" s="59" t="s">
        <v>201</v>
      </c>
      <c r="M7" s="59" t="s">
        <v>196</v>
      </c>
    </row>
    <row r="8" spans="3:13">
      <c r="C8" s="58" t="s">
        <v>197</v>
      </c>
      <c r="D8" s="59">
        <v>-3.4517000000000002</v>
      </c>
      <c r="E8" s="59">
        <v>9654.83</v>
      </c>
      <c r="F8" s="59">
        <v>14.212199999999999</v>
      </c>
      <c r="G8" s="59">
        <v>14898.326630184003</v>
      </c>
      <c r="H8" s="59">
        <v>18.361999999999998</v>
      </c>
      <c r="I8" s="59">
        <v>23230.656052809176</v>
      </c>
      <c r="J8" s="59">
        <v>13.3378</v>
      </c>
      <c r="K8" s="59">
        <v>18701.390188053683</v>
      </c>
      <c r="L8" s="59">
        <v>13.067399999999999</v>
      </c>
      <c r="M8" s="59">
        <v>375447.69293750287</v>
      </c>
    </row>
    <row r="9" spans="3:13">
      <c r="C9" s="58" t="s">
        <v>198</v>
      </c>
      <c r="D9" s="62">
        <v>189.62</v>
      </c>
      <c r="E9" s="63"/>
      <c r="F9" s="62">
        <v>112.04</v>
      </c>
      <c r="G9" s="63"/>
      <c r="H9" s="62">
        <v>78.900000000000006</v>
      </c>
      <c r="I9" s="63"/>
      <c r="J9" s="62">
        <v>52.1</v>
      </c>
      <c r="K9" s="63"/>
      <c r="L9" s="62">
        <v>10</v>
      </c>
      <c r="M9" s="63"/>
    </row>
    <row r="11" spans="3:13" ht="15.6">
      <c r="C11" s="52" t="s">
        <v>199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>
      <c r="C12" s="54" t="s">
        <v>186</v>
      </c>
      <c r="D12" s="64" t="s">
        <v>187</v>
      </c>
      <c r="E12" s="64"/>
      <c r="F12" s="64" t="s">
        <v>188</v>
      </c>
      <c r="G12" s="64"/>
      <c r="H12" s="64" t="s">
        <v>189</v>
      </c>
      <c r="I12" s="64"/>
      <c r="J12" s="65" t="s">
        <v>190</v>
      </c>
      <c r="K12" s="66"/>
      <c r="L12" s="67" t="s">
        <v>191</v>
      </c>
      <c r="M12" s="67"/>
    </row>
    <row r="13" spans="3:13" ht="66">
      <c r="C13" s="55"/>
      <c r="D13" s="56" t="s">
        <v>192</v>
      </c>
      <c r="E13" s="56" t="s">
        <v>193</v>
      </c>
      <c r="F13" s="56" t="s">
        <v>192</v>
      </c>
      <c r="G13" s="56" t="s">
        <v>193</v>
      </c>
      <c r="H13" s="56" t="s">
        <v>192</v>
      </c>
      <c r="I13" s="56" t="s">
        <v>193</v>
      </c>
      <c r="J13" s="56" t="s">
        <v>192</v>
      </c>
      <c r="K13" s="56" t="s">
        <v>193</v>
      </c>
      <c r="L13" s="57" t="s">
        <v>192</v>
      </c>
      <c r="M13" s="57" t="s">
        <v>193</v>
      </c>
    </row>
    <row r="14" spans="3:13">
      <c r="C14" s="58" t="s">
        <v>194</v>
      </c>
      <c r="D14" s="59">
        <v>-3.403</v>
      </c>
      <c r="E14" s="59">
        <v>9659.6985901798744</v>
      </c>
      <c r="F14" s="59">
        <v>18.303899999999999</v>
      </c>
      <c r="G14" s="59">
        <v>16565.235514797831</v>
      </c>
      <c r="H14" s="59">
        <v>18.9559</v>
      </c>
      <c r="I14" s="59">
        <v>23830.654833293356</v>
      </c>
      <c r="J14" s="59">
        <v>14.1587</v>
      </c>
      <c r="K14" s="59">
        <v>37632.57575757576</v>
      </c>
      <c r="L14" s="59">
        <v>13.611800000000001</v>
      </c>
      <c r="M14" s="59">
        <v>51356.939777720334</v>
      </c>
    </row>
    <row r="15" spans="3:13">
      <c r="C15" s="58" t="s">
        <v>195</v>
      </c>
      <c r="D15" s="59">
        <v>-5.5</v>
      </c>
      <c r="E15" s="59">
        <v>10036.5</v>
      </c>
      <c r="F15" s="59">
        <v>16.12</v>
      </c>
      <c r="G15" s="59">
        <v>17940.961438825401</v>
      </c>
      <c r="H15" s="59">
        <v>20.66</v>
      </c>
      <c r="I15" s="59">
        <v>28508.352349489178</v>
      </c>
      <c r="J15" s="59">
        <v>14.43</v>
      </c>
      <c r="K15" s="59">
        <v>19232.874332301493</v>
      </c>
      <c r="L15" s="59">
        <v>14.26</v>
      </c>
      <c r="M15" s="59">
        <v>55148.536929118192</v>
      </c>
    </row>
    <row r="16" spans="3:13">
      <c r="C16" s="58" t="s">
        <v>197</v>
      </c>
      <c r="D16" s="59">
        <v>-3.4517000000000002</v>
      </c>
      <c r="E16" s="59">
        <v>9654.83</v>
      </c>
      <c r="F16" s="59">
        <v>14.212199999999999</v>
      </c>
      <c r="G16" s="59">
        <v>14898.326630184003</v>
      </c>
      <c r="H16" s="59">
        <v>18.361999999999998</v>
      </c>
      <c r="I16" s="59">
        <v>23230.656052809176</v>
      </c>
      <c r="J16" s="59">
        <v>13.3378</v>
      </c>
      <c r="K16" s="59">
        <v>18701.390188053683</v>
      </c>
      <c r="L16" s="59">
        <v>13.092599999999999</v>
      </c>
      <c r="M16" s="59">
        <v>48008.982720568572</v>
      </c>
    </row>
    <row r="17" spans="3:13">
      <c r="C17" s="58" t="s">
        <v>200</v>
      </c>
      <c r="D17" s="62">
        <v>205.7</v>
      </c>
      <c r="E17" s="63"/>
      <c r="F17" s="62">
        <v>119.95</v>
      </c>
      <c r="G17" s="63"/>
      <c r="H17" s="62">
        <v>83.38</v>
      </c>
      <c r="I17" s="63"/>
      <c r="J17" s="62">
        <v>52.8</v>
      </c>
      <c r="K17" s="63"/>
      <c r="L17" s="62">
        <v>38.69</v>
      </c>
      <c r="M17" s="63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XDO_?FINAL_ISIN?15?</vt:lpstr>
      <vt:lpstr>XDO_?FINAL_ISIN?16?</vt:lpstr>
      <vt:lpstr>XDO_?FINAL_MV?15?</vt:lpstr>
      <vt:lpstr>XDO_?FINAL_MV?16?</vt:lpstr>
      <vt:lpstr>XDO_?FINAL_NAME?15?</vt:lpstr>
      <vt:lpstr>XDO_?FINAL_NAME?16?</vt:lpstr>
      <vt:lpstr>XDO_?FINAL_PER_NET?15?</vt:lpstr>
      <vt:lpstr>XDO_?FINAL_PER_NET?16?</vt:lpstr>
      <vt:lpstr>XDO_?FINAL_QUANTITE?15?</vt:lpstr>
      <vt:lpstr>XDO_?FINAL_QUANTITE?16?</vt:lpstr>
      <vt:lpstr>XDO_?IND_01?15?</vt:lpstr>
      <vt:lpstr>XDO_?IND_01?16?</vt:lpstr>
      <vt:lpstr>XDO_?NAMCNAME?7?</vt:lpstr>
      <vt:lpstr>XDO_?NOVAL?15?</vt:lpstr>
      <vt:lpstr>XDO_?NOVAL?16?</vt:lpstr>
      <vt:lpstr>XDO_?NPTF?7?</vt:lpstr>
      <vt:lpstr>XDO_?RATING?15?</vt:lpstr>
      <vt:lpstr>XDO_?RATING?16?</vt:lpstr>
      <vt:lpstr>XDO_?REMARKS?15?</vt:lpstr>
      <vt:lpstr>XDO_?REMARKS?16?</vt:lpstr>
      <vt:lpstr>XDO_?TITL?7?</vt:lpstr>
      <vt:lpstr>XDO_GROUP_?G_2?7?</vt:lpstr>
      <vt:lpstr>XDO_GROUP_?G_3?7?</vt:lpstr>
      <vt:lpstr>XDO_GROUP_?G_4?15?</vt:lpstr>
      <vt:lpstr>XDO_GROUP_?G_4?16?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2025-10-06T12:45:15Z</dcterms:created>
  <dcterms:modified xsi:type="dcterms:W3CDTF">2025-10-09T11:37:55Z</dcterms:modified>
</cp:coreProperties>
</file>