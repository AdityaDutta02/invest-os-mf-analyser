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RE_ TMF_Monthly_Portfolio_Report_Jan  26\"/>
    </mc:Choice>
  </mc:AlternateContent>
  <xr:revisionPtr revIDLastSave="0" documentId="13_ncr:1_{B4EFC43D-38C9-46BA-96C1-11C78A216B2C}" xr6:coauthVersionLast="47" xr6:coauthVersionMax="47" xr10:uidLastSave="{00000000-0000-0000-0000-000000000000}"/>
  <bookViews>
    <workbookView xWindow="-108" yWindow="-108" windowWidth="23256" windowHeight="12456" xr2:uid="{C1F8D6BF-9CD8-4568-8030-F0F74A81CC87}"/>
  </bookViews>
  <sheets>
    <sheet name="TDF" sheetId="1" r:id="rId1"/>
    <sheet name="TDF-Performance" sheetId="2" r:id="rId2"/>
  </sheets>
  <externalReferences>
    <externalReference r:id="rId3"/>
  </externalReferences>
  <definedNames>
    <definedName name="XDO_?CLASS_3?2?">TDF!$C$8:$C$48</definedName>
    <definedName name="XDO_?FINAL_ISIN?3?">TDF!$D$10:$D$48</definedName>
    <definedName name="XDO_?FINAL_ISIN?4?">TDF!$D$10:$D$92</definedName>
    <definedName name="XDO_?FINAL_MV?3?">TDF!$H$10:$H$48</definedName>
    <definedName name="XDO_?FINAL_MV?4?">TDF!$H$10:$H$92</definedName>
    <definedName name="XDO_?FINAL_NAME?3?">TDF!$C$10:$C$48</definedName>
    <definedName name="XDO_?FINAL_NAME?4?">TDF!$C$10:$C$92</definedName>
    <definedName name="XDO_?FINAL_PER_NET?3?">TDF!$I$10:$I$48</definedName>
    <definedName name="XDO_?FINAL_PER_NET?4?">TDF!$I$10:$I$92</definedName>
    <definedName name="XDO_?FINAL_QUANTITE?3?">TDF!$G$10:$G$48</definedName>
    <definedName name="XDO_?FINAL_QUANTITE?4?">TDF!$G$10:$G$92</definedName>
    <definedName name="XDO_?IND_01?3?">TDF!$F$10:$F$48</definedName>
    <definedName name="XDO_?IND_01?4?">TDF!$F$10:$F$92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TDF!$C$2:$C$48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TDF!$B$10:$B$48</definedName>
    <definedName name="XDO_?NOVAL?4?">TDF!$B$10:$B$92</definedName>
    <definedName name="XDO_?NPTF?2?">TDF!$D$2:$D$48</definedName>
    <definedName name="XDO_?RATING?3?">TDF!$E$10:$E$48</definedName>
    <definedName name="XDO_?RATING?4?">TDF!$E$10:$E$92</definedName>
    <definedName name="XDO_?REMARKS?3?">TDF!$J$10:$J$48</definedName>
    <definedName name="XDO_?REMARKS?4?">TDF!$J$10:$J$92</definedName>
    <definedName name="XDO_?TITL?2?">TDF!$A$8:$A$48</definedName>
    <definedName name="XDO_GROUP_?G_2?2?">TDF!$2:$95</definedName>
    <definedName name="XDO_GROUP_?G_3?2?">TDF!$8:$94</definedName>
    <definedName name="XDO_GROUP_?G_4?3?">TDF!$B$10:$IV$48</definedName>
    <definedName name="XDO_GROUP_?G_4?4?">TDF!$B$92:$IV$92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5" i="1" l="1"/>
</calcChain>
</file>

<file path=xl/sharedStrings.xml><?xml version="1.0" encoding="utf-8"?>
<sst xmlns="http://schemas.openxmlformats.org/spreadsheetml/2006/main" count="300" uniqueCount="224">
  <si>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</si>
  <si>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</si>
  <si>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</si>
  <si>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</si>
  <si>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</si>
  <si>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</si>
  <si>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</si>
  <si>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</si>
  <si>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</si>
  <si>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</si>
  <si>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</si>
  <si>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</si>
  <si>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</si>
  <si>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</si>
  <si>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</si>
  <si>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101574</t>
  </si>
  <si>
    <t>Linde India Ltd.</t>
  </si>
  <si>
    <t>INE473A01011</t>
  </si>
  <si>
    <t>Chemicals &amp; Petrochemicals</t>
  </si>
  <si>
    <t>100234</t>
  </si>
  <si>
    <t>Coforge Ltd.</t>
  </si>
  <si>
    <t>INE591G01025</t>
  </si>
  <si>
    <t>IT - Software</t>
  </si>
  <si>
    <t>100055</t>
  </si>
  <si>
    <t>The Federal Bank Ltd.</t>
  </si>
  <si>
    <t>INE171A01029</t>
  </si>
  <si>
    <t>Banks</t>
  </si>
  <si>
    <t>100361</t>
  </si>
  <si>
    <t>Bank of India</t>
  </si>
  <si>
    <t>INE084A01016</t>
  </si>
  <si>
    <t>100195</t>
  </si>
  <si>
    <t>REC Ltd.</t>
  </si>
  <si>
    <t>INE020B01018</t>
  </si>
  <si>
    <t>Finance</t>
  </si>
  <si>
    <t>100164</t>
  </si>
  <si>
    <t>Petronet LNG Ltd.</t>
  </si>
  <si>
    <t>INE347G01014</t>
  </si>
  <si>
    <t>Gas</t>
  </si>
  <si>
    <t>100201</t>
  </si>
  <si>
    <t>Aurobindo Pharma Ltd.</t>
  </si>
  <si>
    <t>INE406A01037</t>
  </si>
  <si>
    <t>Pharmaceuticals &amp; Biotechnology</t>
  </si>
  <si>
    <t>102663</t>
  </si>
  <si>
    <t>Pace Digitek Ltd.</t>
  </si>
  <si>
    <t>INE0S3G01027</t>
  </si>
  <si>
    <t>Telecom - Services</t>
  </si>
  <si>
    <t>100100</t>
  </si>
  <si>
    <t>Hindustan Petroleum Corporation Ltd.</t>
  </si>
  <si>
    <t>INE094A01015</t>
  </si>
  <si>
    <t>Petroleum Products</t>
  </si>
  <si>
    <t>100096</t>
  </si>
  <si>
    <t>Container Corporation of India Ltd.</t>
  </si>
  <si>
    <t>INE111A01025</t>
  </si>
  <si>
    <t>Transport Services</t>
  </si>
  <si>
    <t>100270</t>
  </si>
  <si>
    <t>PI Industries Ltd.</t>
  </si>
  <si>
    <t>INE603J01030</t>
  </si>
  <si>
    <t>Fertilizers &amp; Agrochemicals</t>
  </si>
  <si>
    <t>100060</t>
  </si>
  <si>
    <t>Deepak Nitrite Ltd.</t>
  </si>
  <si>
    <t>INE288B01029</t>
  </si>
  <si>
    <t>100416</t>
  </si>
  <si>
    <t>GMR Airports Ltd.</t>
  </si>
  <si>
    <t>INE776C01039</t>
  </si>
  <si>
    <t>Transport Infrastructure</t>
  </si>
  <si>
    <t>100174</t>
  </si>
  <si>
    <t>Vodafone Idea Ltd.</t>
  </si>
  <si>
    <t>INE669E01016</t>
  </si>
  <si>
    <t>100026</t>
  </si>
  <si>
    <t>Persistent Systems Ltd.</t>
  </si>
  <si>
    <t>INE262H01021</t>
  </si>
  <si>
    <t>100134</t>
  </si>
  <si>
    <t>Inox Wind Ltd.</t>
  </si>
  <si>
    <t>INE066P01011</t>
  </si>
  <si>
    <t>Electrical Equipment</t>
  </si>
  <si>
    <t>100694</t>
  </si>
  <si>
    <t>Indian Energy Exchange Ltd.</t>
  </si>
  <si>
    <t>INE022Q01020</t>
  </si>
  <si>
    <t>Capital Markets</t>
  </si>
  <si>
    <t>102642</t>
  </si>
  <si>
    <t>Regaal Resources Ltd.</t>
  </si>
  <si>
    <t>INE0MHO01029</t>
  </si>
  <si>
    <t>Agricultural Food &amp; other Products</t>
  </si>
  <si>
    <t>102449</t>
  </si>
  <si>
    <t>Swiggy Ltd.</t>
  </si>
  <si>
    <t>INE00H001014</t>
  </si>
  <si>
    <t>Retailing</t>
  </si>
  <si>
    <t>100461</t>
  </si>
  <si>
    <t>Astral Ltd.</t>
  </si>
  <si>
    <t>INE006I01046</t>
  </si>
  <si>
    <t>Industrial Products</t>
  </si>
  <si>
    <t>100677</t>
  </si>
  <si>
    <t>Dixon Technologies (India) Ltd.</t>
  </si>
  <si>
    <t>INE935N01020</t>
  </si>
  <si>
    <t>Consumer Durables</t>
  </si>
  <si>
    <t>100217</t>
  </si>
  <si>
    <t>Torrent Power Ltd.</t>
  </si>
  <si>
    <t>INE813H01021</t>
  </si>
  <si>
    <t>Power</t>
  </si>
  <si>
    <t>100367</t>
  </si>
  <si>
    <t>Exide Industries Ltd.</t>
  </si>
  <si>
    <t>INE302A01020</t>
  </si>
  <si>
    <t>Auto Components</t>
  </si>
  <si>
    <t>100088</t>
  </si>
  <si>
    <t>Bharat Heavy Electricals Ltd.</t>
  </si>
  <si>
    <t>INE257A01026</t>
  </si>
  <si>
    <t>100306</t>
  </si>
  <si>
    <t>Abbott India Ltd.</t>
  </si>
  <si>
    <t>INE358A01014</t>
  </si>
  <si>
    <t>100042</t>
  </si>
  <si>
    <t>LIC Housing Finance Ltd.</t>
  </si>
  <si>
    <t>INE115A01026</t>
  </si>
  <si>
    <t>100154</t>
  </si>
  <si>
    <t>Colgate Palmolive (India) Ltd.</t>
  </si>
  <si>
    <t>INE259A01022</t>
  </si>
  <si>
    <t>Personal Products</t>
  </si>
  <si>
    <t>101949</t>
  </si>
  <si>
    <t>Samhi Hotels Ltd.</t>
  </si>
  <si>
    <t>INE08U801020</t>
  </si>
  <si>
    <t>Leisure Services</t>
  </si>
  <si>
    <t>101674</t>
  </si>
  <si>
    <t>Bharat Dynamics Ltd.</t>
  </si>
  <si>
    <t>INE171Z01026</t>
  </si>
  <si>
    <t>Aerospace &amp; Defense</t>
  </si>
  <si>
    <t>100565</t>
  </si>
  <si>
    <t>Glaxosmithkline Pharmaceuticals Ltd.</t>
  </si>
  <si>
    <t>INE159A01016</t>
  </si>
  <si>
    <t>100271</t>
  </si>
  <si>
    <t>Balkrishna Industries Ltd.</t>
  </si>
  <si>
    <t>INE787D01026</t>
  </si>
  <si>
    <t>100814</t>
  </si>
  <si>
    <t>HDFC Asset Management Co. Ltd.</t>
  </si>
  <si>
    <t>INE127D01025</t>
  </si>
  <si>
    <t>100019</t>
  </si>
  <si>
    <t>ITC Ltd.</t>
  </si>
  <si>
    <t>INE154A01025</t>
  </si>
  <si>
    <t>Diversified FMCG</t>
  </si>
  <si>
    <t>100170</t>
  </si>
  <si>
    <t>Titagarh Rail Systems Ltd.</t>
  </si>
  <si>
    <t>INE615H01020</t>
  </si>
  <si>
    <t>Industrial Manufacturing</t>
  </si>
  <si>
    <t>100172</t>
  </si>
  <si>
    <t>ACC Ltd.</t>
  </si>
  <si>
    <t>INE012A01025</t>
  </si>
  <si>
    <t>Cement &amp; Cement Products</t>
  </si>
  <si>
    <t>101433</t>
  </si>
  <si>
    <t>Metro Brands Ltd.</t>
  </si>
  <si>
    <t>INE317I01021</t>
  </si>
  <si>
    <t>101152</t>
  </si>
  <si>
    <t>Sumitomo Chemical India Ltd.</t>
  </si>
  <si>
    <t>INE258G01013</t>
  </si>
  <si>
    <t>102206</t>
  </si>
  <si>
    <t>Chemtech Industrial Valves Ltd.</t>
  </si>
  <si>
    <t>INE212P01011</t>
  </si>
  <si>
    <t>102729</t>
  </si>
  <si>
    <t>Park Medi World Ltd.</t>
  </si>
  <si>
    <t>INE119201023</t>
  </si>
  <si>
    <t>Healthcare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</si>
  <si>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</si>
  <si>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</si>
  <si>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</si>
  <si>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</si>
  <si>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</si>
  <si>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</si>
  <si>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</si>
  <si>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</si>
  <si>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</si>
  <si>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</si>
  <si>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</si>
  <si>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</si>
  <si>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</si>
  <si>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</si>
  <si>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</si>
  <si>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</si>
  <si>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</si>
  <si>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</si>
  <si>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</si>
  <si>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</si>
  <si>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</si>
  <si>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</si>
  <si>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</si>
  <si>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</si>
  <si>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</si>
  <si>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</si>
  <si>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</si>
  <si>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</si>
  <si>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</si>
  <si>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</si>
  <si>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</si>
  <si>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</si>
  <si>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</si>
  <si>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</si>
  <si>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</si>
  <si>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December 31, 2025</t>
  </si>
  <si>
    <t>January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</si>
  <si>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</si>
  <si>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</si>
  <si>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</si>
  <si>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</si>
  <si>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January 31, 2026.</t>
  </si>
  <si>
    <t>7. The Scheme did not declare any bonus during the month ended as on January 31, 2026.</t>
  </si>
  <si>
    <t>8. Total outstanding exposure in derivative instruments as on January 31, 2026 is Nil</t>
  </si>
  <si>
    <t>9. Total investments in Foreign Securities /ADRs/GDRs /Overseas ETFs as on January 31, 2026 and its percentage to NAV is Nil.</t>
  </si>
  <si>
    <t>10. During the period, the portfolio turnover ratio is 0.82 times.</t>
  </si>
  <si>
    <t>      Portfolio Turnover Ratio = Lower of sales or purchase of securities divided by average AUM for 12 months ended as on January 31, 2026</t>
  </si>
  <si>
    <t>11. The Scheme did not invest in repo transactions of corporate debt securities during the month ended as on January 31, 2026.</t>
  </si>
  <si>
    <t>12. The Scheme did not invest in credit default swaps during the month ended as on January 31, 2026.</t>
  </si>
  <si>
    <t>13. There are Nil instances of deviation from the valuation principles/guidelines during the month ended as on January 31st, 2026.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</si>
  <si>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</si>
  <si>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</si>
  <si>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</si>
  <si>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</si>
  <si>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</si>
  <si>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</si>
  <si>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</si>
  <si>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</si>
  <si>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</si>
  <si>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</si>
  <si>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</si>
  <si>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</si>
  <si>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January 30,2026 :115.68)</t>
  </si>
  <si>
    <t>NAV [Rs.] Per Unit (as on January 30,2026 :122.41)</t>
  </si>
  <si>
    <t>Taurus Mid Cap Fund - Regular Plan Growth Option</t>
  </si>
  <si>
    <t>Taurus Mid Cap Fund-Direct Plan-Growth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</si>
</sst>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D80B5CAC-636C-403C-AFB1-02E17FBE638A}"/>
    <cellStyle name="Hyperlink" xfId="2" builtinId="8"/>
    <cellStyle name="Normal" xfId="0" builtinId="0"/>
    <cellStyle name="Normal 2" xfId="4" xr:uid="{5A19BFD2-FBEA-4E9E-8F8A-6DBCB683628F}"/>
    <cellStyle name="Style 1" xfId="3" xr:uid="{2FAE189B-8DD5-4EE8-A0C2-C53A6DFEBE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2</xdr:row>
      <xdr:rowOff>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FB546-0504-49F3-9BB9-43C0CFD97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an_2026\Final\TMF_Monthly_Portfolio_Report_Jan_26.xlsx" TargetMode="External"/><Relationship Id="rId1" Type="http://schemas.openxmlformats.org/officeDocument/2006/relationships/externalLinkPath" Target="file:///Q:\5.TMF\Reporting\Monthly%20Reports\Monthly%20Portfolio\2025-26\Jan_2026\Final\TMF_Monthly_Portfolio_Report_Jan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AA67-196F-471C-9626-09680FF3BC94}">
  <dimension ref="A1:BB121"/>
  <sheetViews>
    <sheetView showGridLines="0" tabSelected="1" zoomScale="90" zoomScaleNormal="90" workbookViewId="0">
      <selection activeCell="D3" sqref="D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40.1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46053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10130</v>
      </c>
      <c r="H10" s="32">
        <v>607.30999999999995</v>
      </c>
      <c r="I10" s="32">
        <v>4.93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33050</v>
      </c>
      <c r="H11" s="32">
        <v>546.15</v>
      </c>
      <c r="I11" s="32">
        <v>4.43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183012</v>
      </c>
      <c r="H12" s="32">
        <v>527.9</v>
      </c>
      <c r="I12" s="32">
        <v>4.28</v>
      </c>
      <c r="J12" s="33"/>
    </row>
    <row r="13" spans="1:54" x14ac:dyDescent="0.3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321241</v>
      </c>
      <c r="H13" s="32">
        <v>526.84</v>
      </c>
      <c r="I13" s="32">
        <v>4.28</v>
      </c>
      <c r="J13" s="33"/>
    </row>
    <row r="14" spans="1:54" x14ac:dyDescent="0.3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140000</v>
      </c>
      <c r="H14" s="32">
        <v>510.09</v>
      </c>
      <c r="I14" s="32">
        <v>4.1399999999999997</v>
      </c>
      <c r="J14" s="33"/>
    </row>
    <row r="15" spans="1:54" x14ac:dyDescent="0.3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175000</v>
      </c>
      <c r="H15" s="32">
        <v>506.45</v>
      </c>
      <c r="I15" s="32">
        <v>4.1100000000000003</v>
      </c>
      <c r="J15" s="33"/>
    </row>
    <row r="16" spans="1:54" x14ac:dyDescent="0.3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41000</v>
      </c>
      <c r="H16" s="32">
        <v>497.04</v>
      </c>
      <c r="I16" s="32">
        <v>4.03</v>
      </c>
      <c r="J16" s="33"/>
    </row>
    <row r="17" spans="2:10" x14ac:dyDescent="0.3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274040</v>
      </c>
      <c r="H17" s="32">
        <v>470.12</v>
      </c>
      <c r="I17" s="32">
        <v>3.82</v>
      </c>
      <c r="J17" s="33"/>
    </row>
    <row r="18" spans="2:10" x14ac:dyDescent="0.3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102997</v>
      </c>
      <c r="H18" s="32">
        <v>439.64</v>
      </c>
      <c r="I18" s="32">
        <v>3.57</v>
      </c>
      <c r="J18" s="33"/>
    </row>
    <row r="19" spans="2:10" x14ac:dyDescent="0.3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87500</v>
      </c>
      <c r="H19" s="32">
        <v>439.47</v>
      </c>
      <c r="I19" s="32">
        <v>3.57</v>
      </c>
      <c r="J19" s="33"/>
    </row>
    <row r="20" spans="2:10" x14ac:dyDescent="0.3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13500</v>
      </c>
      <c r="H20" s="32">
        <v>431.89</v>
      </c>
      <c r="I20" s="32">
        <v>3.51</v>
      </c>
      <c r="J20" s="33"/>
    </row>
    <row r="21" spans="2:10" x14ac:dyDescent="0.3">
      <c r="B21" s="1" t="s">
        <v>58</v>
      </c>
      <c r="C21" s="20" t="s">
        <v>59</v>
      </c>
      <c r="D21" s="29" t="s">
        <v>60</v>
      </c>
      <c r="E21" s="30"/>
      <c r="F21" s="30" t="s">
        <v>18</v>
      </c>
      <c r="G21" s="31">
        <v>26000</v>
      </c>
      <c r="H21" s="32">
        <v>426.83</v>
      </c>
      <c r="I21" s="32">
        <v>3.46</v>
      </c>
      <c r="J21" s="33"/>
    </row>
    <row r="22" spans="2:10" x14ac:dyDescent="0.3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450000</v>
      </c>
      <c r="H22" s="32">
        <v>422.33</v>
      </c>
      <c r="I22" s="32">
        <v>3.43</v>
      </c>
      <c r="J22" s="33"/>
    </row>
    <row r="23" spans="2:10" x14ac:dyDescent="0.3">
      <c r="B23" s="1" t="s">
        <v>65</v>
      </c>
      <c r="C23" s="20" t="s">
        <v>66</v>
      </c>
      <c r="D23" s="29" t="s">
        <v>67</v>
      </c>
      <c r="E23" s="30"/>
      <c r="F23" s="30" t="s">
        <v>45</v>
      </c>
      <c r="G23" s="31">
        <v>3621441</v>
      </c>
      <c r="H23" s="32">
        <v>404.51</v>
      </c>
      <c r="I23" s="32">
        <v>3.28</v>
      </c>
      <c r="J23" s="33"/>
    </row>
    <row r="24" spans="2:10" x14ac:dyDescent="0.3">
      <c r="B24" s="1" t="s">
        <v>68</v>
      </c>
      <c r="C24" s="20" t="s">
        <v>69</v>
      </c>
      <c r="D24" s="29" t="s">
        <v>70</v>
      </c>
      <c r="E24" s="30"/>
      <c r="F24" s="30" t="s">
        <v>22</v>
      </c>
      <c r="G24" s="31">
        <v>5662</v>
      </c>
      <c r="H24" s="32">
        <v>341.63</v>
      </c>
      <c r="I24" s="32">
        <v>2.77</v>
      </c>
      <c r="J24" s="33"/>
    </row>
    <row r="25" spans="2:10" x14ac:dyDescent="0.3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311398</v>
      </c>
      <c r="H25" s="32">
        <v>336.31</v>
      </c>
      <c r="I25" s="32">
        <v>2.73</v>
      </c>
      <c r="J25" s="33"/>
    </row>
    <row r="26" spans="2:10" x14ac:dyDescent="0.3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260000</v>
      </c>
      <c r="H26" s="32">
        <v>329.68</v>
      </c>
      <c r="I26" s="32">
        <v>2.68</v>
      </c>
      <c r="J26" s="33"/>
    </row>
    <row r="27" spans="2:10" x14ac:dyDescent="0.3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539280</v>
      </c>
      <c r="H27" s="32">
        <v>323.41000000000003</v>
      </c>
      <c r="I27" s="32">
        <v>2.62</v>
      </c>
      <c r="J27" s="33"/>
    </row>
    <row r="28" spans="2:10" x14ac:dyDescent="0.3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100000</v>
      </c>
      <c r="H28" s="32">
        <v>311.10000000000002</v>
      </c>
      <c r="I28" s="32">
        <v>2.5299999999999998</v>
      </c>
      <c r="J28" s="33"/>
    </row>
    <row r="29" spans="2:10" x14ac:dyDescent="0.3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19958</v>
      </c>
      <c r="H29" s="32">
        <v>294.69</v>
      </c>
      <c r="I29" s="32">
        <v>2.39</v>
      </c>
      <c r="J29" s="33"/>
    </row>
    <row r="30" spans="2:10" x14ac:dyDescent="0.3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2700</v>
      </c>
      <c r="H30" s="32">
        <v>282.01</v>
      </c>
      <c r="I30" s="32">
        <v>2.29</v>
      </c>
      <c r="J30" s="33"/>
    </row>
    <row r="31" spans="2:10" x14ac:dyDescent="0.3">
      <c r="B31" s="1" t="s">
        <v>95</v>
      </c>
      <c r="C31" s="20" t="s">
        <v>96</v>
      </c>
      <c r="D31" s="29" t="s">
        <v>97</v>
      </c>
      <c r="E31" s="30"/>
      <c r="F31" s="30" t="s">
        <v>98</v>
      </c>
      <c r="G31" s="31">
        <v>19500</v>
      </c>
      <c r="H31" s="32">
        <v>270.47000000000003</v>
      </c>
      <c r="I31" s="32">
        <v>2.2000000000000002</v>
      </c>
      <c r="J31" s="33"/>
    </row>
    <row r="32" spans="2:10" x14ac:dyDescent="0.3">
      <c r="B32" s="1" t="s">
        <v>99</v>
      </c>
      <c r="C32" s="20" t="s">
        <v>100</v>
      </c>
      <c r="D32" s="29" t="s">
        <v>101</v>
      </c>
      <c r="E32" s="30"/>
      <c r="F32" s="30" t="s">
        <v>102</v>
      </c>
      <c r="G32" s="31">
        <v>83104</v>
      </c>
      <c r="H32" s="32">
        <v>267.18</v>
      </c>
      <c r="I32" s="32">
        <v>2.17</v>
      </c>
      <c r="J32" s="33"/>
    </row>
    <row r="33" spans="2:10" x14ac:dyDescent="0.3">
      <c r="B33" s="1" t="s">
        <v>103</v>
      </c>
      <c r="C33" s="20" t="s">
        <v>104</v>
      </c>
      <c r="D33" s="29" t="s">
        <v>105</v>
      </c>
      <c r="E33" s="30"/>
      <c r="F33" s="30" t="s">
        <v>74</v>
      </c>
      <c r="G33" s="31">
        <v>100622</v>
      </c>
      <c r="H33" s="32">
        <v>264.48</v>
      </c>
      <c r="I33" s="32">
        <v>2.15</v>
      </c>
      <c r="J33" s="33"/>
    </row>
    <row r="34" spans="2:10" x14ac:dyDescent="0.3">
      <c r="B34" s="1" t="s">
        <v>106</v>
      </c>
      <c r="C34" s="20" t="s">
        <v>107</v>
      </c>
      <c r="D34" s="29" t="s">
        <v>108</v>
      </c>
      <c r="E34" s="30"/>
      <c r="F34" s="30" t="s">
        <v>41</v>
      </c>
      <c r="G34" s="31">
        <v>947</v>
      </c>
      <c r="H34" s="32">
        <v>262.08</v>
      </c>
      <c r="I34" s="32">
        <v>2.13</v>
      </c>
      <c r="J34" s="33"/>
    </row>
    <row r="35" spans="2:10" x14ac:dyDescent="0.3">
      <c r="B35" s="1" t="s">
        <v>109</v>
      </c>
      <c r="C35" s="20" t="s">
        <v>110</v>
      </c>
      <c r="D35" s="29" t="s">
        <v>111</v>
      </c>
      <c r="E35" s="30"/>
      <c r="F35" s="30" t="s">
        <v>33</v>
      </c>
      <c r="G35" s="31">
        <v>48000</v>
      </c>
      <c r="H35" s="32">
        <v>252.65</v>
      </c>
      <c r="I35" s="32">
        <v>2.0499999999999998</v>
      </c>
      <c r="J35" s="33"/>
    </row>
    <row r="36" spans="2:10" x14ac:dyDescent="0.3">
      <c r="B36" s="1" t="s">
        <v>112</v>
      </c>
      <c r="C36" s="20" t="s">
        <v>113</v>
      </c>
      <c r="D36" s="29" t="s">
        <v>114</v>
      </c>
      <c r="E36" s="30"/>
      <c r="F36" s="30" t="s">
        <v>115</v>
      </c>
      <c r="G36" s="31">
        <v>11750</v>
      </c>
      <c r="H36" s="32">
        <v>248.35</v>
      </c>
      <c r="I36" s="32">
        <v>2.02</v>
      </c>
      <c r="J36" s="33"/>
    </row>
    <row r="37" spans="2:10" x14ac:dyDescent="0.3">
      <c r="B37" s="1" t="s">
        <v>116</v>
      </c>
      <c r="C37" s="20" t="s">
        <v>117</v>
      </c>
      <c r="D37" s="29" t="s">
        <v>118</v>
      </c>
      <c r="E37" s="30"/>
      <c r="F37" s="30" t="s">
        <v>119</v>
      </c>
      <c r="G37" s="31">
        <v>135000</v>
      </c>
      <c r="H37" s="32">
        <v>228.89</v>
      </c>
      <c r="I37" s="32">
        <v>1.86</v>
      </c>
      <c r="J37" s="33"/>
    </row>
    <row r="38" spans="2:10" x14ac:dyDescent="0.3">
      <c r="B38" s="1" t="s">
        <v>120</v>
      </c>
      <c r="C38" s="20" t="s">
        <v>121</v>
      </c>
      <c r="D38" s="29" t="s">
        <v>122</v>
      </c>
      <c r="E38" s="30"/>
      <c r="F38" s="30" t="s">
        <v>123</v>
      </c>
      <c r="G38" s="31">
        <v>12000</v>
      </c>
      <c r="H38" s="32">
        <v>184.51</v>
      </c>
      <c r="I38" s="32">
        <v>1.5</v>
      </c>
      <c r="J38" s="33"/>
    </row>
    <row r="39" spans="2:10" x14ac:dyDescent="0.3">
      <c r="B39" s="1" t="s">
        <v>124</v>
      </c>
      <c r="C39" s="20" t="s">
        <v>125</v>
      </c>
      <c r="D39" s="29" t="s">
        <v>126</v>
      </c>
      <c r="E39" s="30"/>
      <c r="F39" s="30" t="s">
        <v>41</v>
      </c>
      <c r="G39" s="31">
        <v>7623</v>
      </c>
      <c r="H39" s="32">
        <v>182.76</v>
      </c>
      <c r="I39" s="32">
        <v>1.48</v>
      </c>
      <c r="J39" s="33"/>
    </row>
    <row r="40" spans="2:10" x14ac:dyDescent="0.3">
      <c r="B40" s="1" t="s">
        <v>127</v>
      </c>
      <c r="C40" s="20" t="s">
        <v>128</v>
      </c>
      <c r="D40" s="29" t="s">
        <v>129</v>
      </c>
      <c r="E40" s="30"/>
      <c r="F40" s="30" t="s">
        <v>102</v>
      </c>
      <c r="G40" s="31">
        <v>7579</v>
      </c>
      <c r="H40" s="32">
        <v>174.76</v>
      </c>
      <c r="I40" s="32">
        <v>1.42</v>
      </c>
      <c r="J40" s="33"/>
    </row>
    <row r="41" spans="2:10" x14ac:dyDescent="0.3">
      <c r="B41" s="1" t="s">
        <v>130</v>
      </c>
      <c r="C41" s="20" t="s">
        <v>131</v>
      </c>
      <c r="D41" s="29" t="s">
        <v>132</v>
      </c>
      <c r="E41" s="30"/>
      <c r="F41" s="30" t="s">
        <v>78</v>
      </c>
      <c r="G41" s="31">
        <v>6936</v>
      </c>
      <c r="H41" s="32">
        <v>174.64</v>
      </c>
      <c r="I41" s="32">
        <v>1.42</v>
      </c>
      <c r="J41" s="33"/>
    </row>
    <row r="42" spans="2:10" x14ac:dyDescent="0.3">
      <c r="B42" s="1" t="s">
        <v>133</v>
      </c>
      <c r="C42" s="20" t="s">
        <v>134</v>
      </c>
      <c r="D42" s="29" t="s">
        <v>135</v>
      </c>
      <c r="E42" s="30"/>
      <c r="F42" s="30" t="s">
        <v>136</v>
      </c>
      <c r="G42" s="31">
        <v>45000</v>
      </c>
      <c r="H42" s="32">
        <v>144.99</v>
      </c>
      <c r="I42" s="32">
        <v>1.18</v>
      </c>
      <c r="J42" s="33"/>
    </row>
    <row r="43" spans="2:10" x14ac:dyDescent="0.3">
      <c r="B43" s="1" t="s">
        <v>137</v>
      </c>
      <c r="C43" s="20" t="s">
        <v>138</v>
      </c>
      <c r="D43" s="29" t="s">
        <v>139</v>
      </c>
      <c r="E43" s="30"/>
      <c r="F43" s="30" t="s">
        <v>140</v>
      </c>
      <c r="G43" s="31">
        <v>16400</v>
      </c>
      <c r="H43" s="32">
        <v>134.66</v>
      </c>
      <c r="I43" s="32">
        <v>1.0900000000000001</v>
      </c>
      <c r="J43" s="33"/>
    </row>
    <row r="44" spans="2:10" x14ac:dyDescent="0.3">
      <c r="B44" s="1" t="s">
        <v>141</v>
      </c>
      <c r="C44" s="20" t="s">
        <v>142</v>
      </c>
      <c r="D44" s="29" t="s">
        <v>143</v>
      </c>
      <c r="E44" s="30"/>
      <c r="F44" s="30" t="s">
        <v>144</v>
      </c>
      <c r="G44" s="31">
        <v>6274</v>
      </c>
      <c r="H44" s="32">
        <v>102.74</v>
      </c>
      <c r="I44" s="32">
        <v>0.83</v>
      </c>
      <c r="J44" s="33"/>
    </row>
    <row r="45" spans="2:10" x14ac:dyDescent="0.3">
      <c r="B45" s="1" t="s">
        <v>145</v>
      </c>
      <c r="C45" s="20" t="s">
        <v>146</v>
      </c>
      <c r="D45" s="29" t="s">
        <v>147</v>
      </c>
      <c r="E45" s="30"/>
      <c r="F45" s="30" t="s">
        <v>94</v>
      </c>
      <c r="G45" s="31">
        <v>8053</v>
      </c>
      <c r="H45" s="32">
        <v>84.69</v>
      </c>
      <c r="I45" s="32">
        <v>0.69</v>
      </c>
      <c r="J45" s="33"/>
    </row>
    <row r="46" spans="2:10" x14ac:dyDescent="0.3">
      <c r="B46" s="1" t="s">
        <v>148</v>
      </c>
      <c r="C46" s="20" t="s">
        <v>149</v>
      </c>
      <c r="D46" s="29" t="s">
        <v>150</v>
      </c>
      <c r="E46" s="30"/>
      <c r="F46" s="30" t="s">
        <v>57</v>
      </c>
      <c r="G46" s="31">
        <v>20000</v>
      </c>
      <c r="H46" s="32">
        <v>81.78</v>
      </c>
      <c r="I46" s="32">
        <v>0.66</v>
      </c>
      <c r="J46" s="33"/>
    </row>
    <row r="47" spans="2:10" x14ac:dyDescent="0.3">
      <c r="B47" s="1" t="s">
        <v>151</v>
      </c>
      <c r="C47" s="20" t="s">
        <v>152</v>
      </c>
      <c r="D47" s="29" t="s">
        <v>153</v>
      </c>
      <c r="E47" s="30"/>
      <c r="F47" s="30" t="s">
        <v>140</v>
      </c>
      <c r="G47" s="31">
        <v>100000</v>
      </c>
      <c r="H47" s="32">
        <v>69.95</v>
      </c>
      <c r="I47" s="32">
        <v>0.56999999999999995</v>
      </c>
      <c r="J47" s="33"/>
    </row>
    <row r="48" spans="2:10" x14ac:dyDescent="0.3">
      <c r="B48" s="1" t="s">
        <v>154</v>
      </c>
      <c r="C48" s="20" t="s">
        <v>155</v>
      </c>
      <c r="D48" s="29" t="s">
        <v>156</v>
      </c>
      <c r="E48" s="30"/>
      <c r="F48" s="30" t="s">
        <v>157</v>
      </c>
      <c r="G48" s="31">
        <v>32620</v>
      </c>
      <c r="H48" s="32">
        <v>50.07</v>
      </c>
      <c r="I48" s="32">
        <v>0.41</v>
      </c>
      <c r="J48" s="33"/>
    </row>
    <row r="49" spans="3:10" x14ac:dyDescent="0.3">
      <c r="C49" s="28" t="s">
        <v>158</v>
      </c>
      <c r="D49" s="29"/>
      <c r="E49" s="30"/>
      <c r="F49" s="30"/>
      <c r="G49" s="31"/>
      <c r="H49" s="35">
        <v>12155.05</v>
      </c>
      <c r="I49" s="35">
        <v>98.68</v>
      </c>
      <c r="J49" s="33"/>
    </row>
    <row r="50" spans="3:10" x14ac:dyDescent="0.3">
      <c r="C50" s="20"/>
      <c r="D50" s="29"/>
      <c r="E50" s="30"/>
      <c r="F50" s="30"/>
      <c r="G50" s="31"/>
      <c r="H50" s="32"/>
      <c r="I50" s="32"/>
      <c r="J50" s="33"/>
    </row>
    <row r="51" spans="3:10" x14ac:dyDescent="0.3">
      <c r="C51" s="28" t="s">
        <v>159</v>
      </c>
      <c r="D51" s="29"/>
      <c r="E51" s="30"/>
      <c r="F51" s="30"/>
      <c r="G51" s="31"/>
      <c r="H51" s="32" t="s">
        <v>160</v>
      </c>
      <c r="I51" s="32" t="s">
        <v>160</v>
      </c>
      <c r="J51" s="33"/>
    </row>
    <row r="52" spans="3:10" x14ac:dyDescent="0.3">
      <c r="C52" s="20"/>
      <c r="D52" s="29"/>
      <c r="E52" s="30"/>
      <c r="F52" s="30"/>
      <c r="G52" s="31"/>
      <c r="H52" s="32"/>
      <c r="I52" s="32"/>
      <c r="J52" s="33"/>
    </row>
    <row r="53" spans="3:10" x14ac:dyDescent="0.3">
      <c r="C53" s="28" t="s">
        <v>161</v>
      </c>
      <c r="D53" s="29"/>
      <c r="E53" s="30"/>
      <c r="F53" s="30"/>
      <c r="G53" s="31"/>
      <c r="H53" s="32" t="s">
        <v>160</v>
      </c>
      <c r="I53" s="32" t="s">
        <v>160</v>
      </c>
      <c r="J53" s="33"/>
    </row>
    <row r="54" spans="3:10" x14ac:dyDescent="0.3">
      <c r="C54" s="20"/>
      <c r="D54" s="29"/>
      <c r="E54" s="30"/>
      <c r="F54" s="30"/>
      <c r="G54" s="31"/>
      <c r="H54" s="32"/>
      <c r="I54" s="32"/>
      <c r="J54" s="33"/>
    </row>
    <row r="55" spans="3:10" x14ac:dyDescent="0.3">
      <c r="C55" s="28" t="s">
        <v>162</v>
      </c>
      <c r="D55" s="29"/>
      <c r="E55" s="30"/>
      <c r="F55" s="30"/>
      <c r="G55" s="31"/>
      <c r="H55" s="32"/>
      <c r="I55" s="32"/>
      <c r="J55" s="33"/>
    </row>
    <row r="56" spans="3:10" x14ac:dyDescent="0.3">
      <c r="C56" s="20"/>
      <c r="D56" s="29"/>
      <c r="E56" s="30"/>
      <c r="F56" s="30"/>
      <c r="G56" s="31"/>
      <c r="H56" s="32"/>
      <c r="I56" s="32"/>
      <c r="J56" s="33"/>
    </row>
    <row r="57" spans="3:10" x14ac:dyDescent="0.3">
      <c r="C57" s="28" t="s">
        <v>163</v>
      </c>
      <c r="D57" s="29"/>
      <c r="E57" s="30"/>
      <c r="F57" s="30"/>
      <c r="G57" s="31"/>
      <c r="H57" s="32" t="s">
        <v>160</v>
      </c>
      <c r="I57" s="32" t="s">
        <v>160</v>
      </c>
      <c r="J57" s="33"/>
    </row>
    <row r="58" spans="3:10" x14ac:dyDescent="0.3">
      <c r="C58" s="20"/>
      <c r="D58" s="29"/>
      <c r="E58" s="30"/>
      <c r="F58" s="30"/>
      <c r="G58" s="31"/>
      <c r="H58" s="32"/>
      <c r="I58" s="32"/>
      <c r="J58" s="33"/>
    </row>
    <row r="59" spans="3:10" x14ac:dyDescent="0.3">
      <c r="C59" s="28" t="s">
        <v>164</v>
      </c>
      <c r="D59" s="29"/>
      <c r="E59" s="30"/>
      <c r="F59" s="30"/>
      <c r="G59" s="31"/>
      <c r="H59" s="32" t="s">
        <v>160</v>
      </c>
      <c r="I59" s="32" t="s">
        <v>160</v>
      </c>
      <c r="J59" s="33"/>
    </row>
    <row r="60" spans="3:10" x14ac:dyDescent="0.3">
      <c r="C60" s="20"/>
      <c r="D60" s="29"/>
      <c r="E60" s="30"/>
      <c r="F60" s="30"/>
      <c r="G60" s="31"/>
      <c r="H60" s="32"/>
      <c r="I60" s="32"/>
      <c r="J60" s="33"/>
    </row>
    <row r="61" spans="3:10" x14ac:dyDescent="0.3">
      <c r="C61" s="28" t="s">
        <v>165</v>
      </c>
      <c r="D61" s="29"/>
      <c r="E61" s="30"/>
      <c r="F61" s="30"/>
      <c r="G61" s="31"/>
      <c r="H61" s="32" t="s">
        <v>160</v>
      </c>
      <c r="I61" s="32" t="s">
        <v>160</v>
      </c>
      <c r="J61" s="33"/>
    </row>
    <row r="62" spans="3:10" x14ac:dyDescent="0.3">
      <c r="C62" s="20"/>
      <c r="D62" s="29"/>
      <c r="E62" s="30"/>
      <c r="F62" s="30"/>
      <c r="G62" s="31"/>
      <c r="H62" s="32"/>
      <c r="I62" s="32"/>
      <c r="J62" s="33"/>
    </row>
    <row r="63" spans="3:10" x14ac:dyDescent="0.3">
      <c r="C63" s="28" t="s">
        <v>166</v>
      </c>
      <c r="D63" s="29"/>
      <c r="E63" s="30"/>
      <c r="F63" s="30"/>
      <c r="G63" s="31"/>
      <c r="H63" s="32" t="s">
        <v>160</v>
      </c>
      <c r="I63" s="32" t="s">
        <v>160</v>
      </c>
      <c r="J63" s="33"/>
    </row>
    <row r="64" spans="3:10" x14ac:dyDescent="0.3">
      <c r="C64" s="20"/>
      <c r="D64" s="29"/>
      <c r="E64" s="30"/>
      <c r="F64" s="30"/>
      <c r="G64" s="31"/>
      <c r="H64" s="32"/>
      <c r="I64" s="32"/>
      <c r="J64" s="33"/>
    </row>
    <row r="65" spans="3:10" x14ac:dyDescent="0.3">
      <c r="C65" s="28" t="s">
        <v>167</v>
      </c>
      <c r="D65" s="29"/>
      <c r="E65" s="30"/>
      <c r="F65" s="30"/>
      <c r="G65" s="31"/>
      <c r="H65" s="32" t="s">
        <v>160</v>
      </c>
      <c r="I65" s="32" t="s">
        <v>160</v>
      </c>
      <c r="J65" s="33"/>
    </row>
    <row r="66" spans="3:10" x14ac:dyDescent="0.3">
      <c r="C66" s="20"/>
      <c r="D66" s="29"/>
      <c r="E66" s="30"/>
      <c r="F66" s="30"/>
      <c r="G66" s="31"/>
      <c r="H66" s="32"/>
      <c r="I66" s="32"/>
      <c r="J66" s="33"/>
    </row>
    <row r="67" spans="3:10" x14ac:dyDescent="0.3">
      <c r="C67" s="28" t="s">
        <v>168</v>
      </c>
      <c r="D67" s="29"/>
      <c r="E67" s="30"/>
      <c r="F67" s="30"/>
      <c r="G67" s="31"/>
      <c r="H67" s="32"/>
      <c r="I67" s="32"/>
      <c r="J67" s="33"/>
    </row>
    <row r="68" spans="3:10" x14ac:dyDescent="0.3">
      <c r="C68" s="20"/>
      <c r="D68" s="29"/>
      <c r="E68" s="30"/>
      <c r="F68" s="30"/>
      <c r="G68" s="31"/>
      <c r="H68" s="32"/>
      <c r="I68" s="32"/>
      <c r="J68" s="33"/>
    </row>
    <row r="69" spans="3:10" x14ac:dyDescent="0.3">
      <c r="C69" s="28" t="s">
        <v>169</v>
      </c>
      <c r="D69" s="29"/>
      <c r="E69" s="30"/>
      <c r="F69" s="30"/>
      <c r="G69" s="31"/>
      <c r="H69" s="32" t="s">
        <v>160</v>
      </c>
      <c r="I69" s="32" t="s">
        <v>160</v>
      </c>
      <c r="J69" s="33"/>
    </row>
    <row r="70" spans="3:10" x14ac:dyDescent="0.3">
      <c r="C70" s="20"/>
      <c r="D70" s="29"/>
      <c r="E70" s="30"/>
      <c r="F70" s="30"/>
      <c r="G70" s="31"/>
      <c r="H70" s="32"/>
      <c r="I70" s="32"/>
      <c r="J70" s="33"/>
    </row>
    <row r="71" spans="3:10" x14ac:dyDescent="0.3">
      <c r="C71" s="28" t="s">
        <v>170</v>
      </c>
      <c r="D71" s="29"/>
      <c r="E71" s="30"/>
      <c r="F71" s="30"/>
      <c r="G71" s="31"/>
      <c r="H71" s="32" t="s">
        <v>160</v>
      </c>
      <c r="I71" s="32" t="s">
        <v>160</v>
      </c>
      <c r="J71" s="33"/>
    </row>
    <row r="72" spans="3:10" x14ac:dyDescent="0.3">
      <c r="C72" s="20"/>
      <c r="D72" s="29"/>
      <c r="E72" s="30"/>
      <c r="F72" s="30"/>
      <c r="G72" s="31"/>
      <c r="H72" s="32"/>
      <c r="I72" s="32"/>
      <c r="J72" s="33"/>
    </row>
    <row r="73" spans="3:10" x14ac:dyDescent="0.3">
      <c r="C73" s="28" t="s">
        <v>171</v>
      </c>
      <c r="D73" s="29"/>
      <c r="E73" s="30"/>
      <c r="F73" s="30"/>
      <c r="G73" s="31"/>
      <c r="H73" s="32" t="s">
        <v>160</v>
      </c>
      <c r="I73" s="32" t="s">
        <v>160</v>
      </c>
      <c r="J73" s="33"/>
    </row>
    <row r="74" spans="3:10" x14ac:dyDescent="0.3">
      <c r="C74" s="20"/>
      <c r="D74" s="29"/>
      <c r="E74" s="30"/>
      <c r="F74" s="30"/>
      <c r="G74" s="31"/>
      <c r="H74" s="32"/>
      <c r="I74" s="32"/>
      <c r="J74" s="33"/>
    </row>
    <row r="75" spans="3:10" x14ac:dyDescent="0.3">
      <c r="C75" s="28" t="s">
        <v>172</v>
      </c>
      <c r="D75" s="29"/>
      <c r="E75" s="30"/>
      <c r="F75" s="30"/>
      <c r="G75" s="31"/>
      <c r="H75" s="32" t="s">
        <v>160</v>
      </c>
      <c r="I75" s="32" t="s">
        <v>160</v>
      </c>
      <c r="J75" s="33"/>
    </row>
    <row r="76" spans="3:10" x14ac:dyDescent="0.3">
      <c r="C76" s="20"/>
      <c r="D76" s="29"/>
      <c r="E76" s="30"/>
      <c r="F76" s="30"/>
      <c r="G76" s="31"/>
      <c r="H76" s="32"/>
      <c r="I76" s="32"/>
      <c r="J76" s="33"/>
    </row>
    <row r="77" spans="3:10" x14ac:dyDescent="0.3">
      <c r="C77" s="28" t="s">
        <v>173</v>
      </c>
      <c r="D77" s="29"/>
      <c r="E77" s="30"/>
      <c r="F77" s="30"/>
      <c r="G77" s="31"/>
      <c r="H77" s="32"/>
      <c r="I77" s="32"/>
      <c r="J77" s="33"/>
    </row>
    <row r="78" spans="3:10" x14ac:dyDescent="0.3">
      <c r="C78" s="20"/>
      <c r="D78" s="29"/>
      <c r="E78" s="30"/>
      <c r="F78" s="30"/>
      <c r="G78" s="31"/>
      <c r="H78" s="32"/>
      <c r="I78" s="32"/>
      <c r="J78" s="33"/>
    </row>
    <row r="79" spans="3:10" x14ac:dyDescent="0.3">
      <c r="C79" s="28" t="s">
        <v>174</v>
      </c>
      <c r="D79" s="29"/>
      <c r="E79" s="30"/>
      <c r="F79" s="30"/>
      <c r="G79" s="31"/>
      <c r="H79" s="32" t="s">
        <v>160</v>
      </c>
      <c r="I79" s="32" t="s">
        <v>160</v>
      </c>
      <c r="J79" s="33"/>
    </row>
    <row r="80" spans="3:10" x14ac:dyDescent="0.3">
      <c r="C80" s="20"/>
      <c r="D80" s="29"/>
      <c r="E80" s="30"/>
      <c r="F80" s="30"/>
      <c r="G80" s="31"/>
      <c r="H80" s="32"/>
      <c r="I80" s="32"/>
      <c r="J80" s="33"/>
    </row>
    <row r="81" spans="1:10" x14ac:dyDescent="0.3">
      <c r="C81" s="28" t="s">
        <v>175</v>
      </c>
      <c r="D81" s="29"/>
      <c r="E81" s="30"/>
      <c r="F81" s="30"/>
      <c r="G81" s="31"/>
      <c r="H81" s="32" t="s">
        <v>160</v>
      </c>
      <c r="I81" s="32" t="s">
        <v>160</v>
      </c>
      <c r="J81" s="33"/>
    </row>
    <row r="82" spans="1:10" x14ac:dyDescent="0.3">
      <c r="C82" s="20"/>
      <c r="D82" s="29"/>
      <c r="E82" s="30"/>
      <c r="F82" s="30"/>
      <c r="G82" s="31"/>
      <c r="H82" s="32"/>
      <c r="I82" s="32"/>
      <c r="J82" s="33"/>
    </row>
    <row r="83" spans="1:10" x14ac:dyDescent="0.3">
      <c r="C83" s="28" t="s">
        <v>176</v>
      </c>
      <c r="D83" s="29"/>
      <c r="E83" s="30"/>
      <c r="F83" s="30"/>
      <c r="G83" s="31"/>
      <c r="H83" s="32" t="s">
        <v>160</v>
      </c>
      <c r="I83" s="32" t="s">
        <v>160</v>
      </c>
      <c r="J83" s="33"/>
    </row>
    <row r="84" spans="1:10" x14ac:dyDescent="0.3">
      <c r="C84" s="20"/>
      <c r="D84" s="29"/>
      <c r="E84" s="30"/>
      <c r="F84" s="30"/>
      <c r="G84" s="31"/>
      <c r="H84" s="32"/>
      <c r="I84" s="32"/>
      <c r="J84" s="33"/>
    </row>
    <row r="85" spans="1:10" x14ac:dyDescent="0.3">
      <c r="C85" s="28" t="s">
        <v>177</v>
      </c>
      <c r="D85" s="29"/>
      <c r="E85" s="30"/>
      <c r="F85" s="30"/>
      <c r="G85" s="31"/>
      <c r="H85" s="32" t="s">
        <v>160</v>
      </c>
      <c r="I85" s="32" t="s">
        <v>160</v>
      </c>
      <c r="J85" s="33"/>
    </row>
    <row r="86" spans="1:10" x14ac:dyDescent="0.3">
      <c r="C86" s="20"/>
      <c r="D86" s="29"/>
      <c r="E86" s="30"/>
      <c r="F86" s="30"/>
      <c r="G86" s="31"/>
      <c r="H86" s="32"/>
      <c r="I86" s="32"/>
      <c r="J86" s="33"/>
    </row>
    <row r="87" spans="1:10" x14ac:dyDescent="0.3">
      <c r="C87" s="28" t="s">
        <v>178</v>
      </c>
      <c r="D87" s="29"/>
      <c r="E87" s="30"/>
      <c r="F87" s="30"/>
      <c r="G87" s="31"/>
      <c r="H87" s="32" t="s">
        <v>160</v>
      </c>
      <c r="I87" s="32" t="s">
        <v>160</v>
      </c>
      <c r="J87" s="33"/>
    </row>
    <row r="88" spans="1:10" x14ac:dyDescent="0.3">
      <c r="C88" s="20"/>
      <c r="D88" s="29"/>
      <c r="E88" s="30"/>
      <c r="F88" s="30"/>
      <c r="G88" s="31"/>
      <c r="H88" s="32"/>
      <c r="I88" s="32"/>
      <c r="J88" s="33"/>
    </row>
    <row r="89" spans="1:10" x14ac:dyDescent="0.3">
      <c r="C89" s="28" t="s">
        <v>179</v>
      </c>
      <c r="D89" s="29"/>
      <c r="E89" s="30"/>
      <c r="F89" s="30"/>
      <c r="G89" s="31"/>
      <c r="H89" s="32" t="s">
        <v>160</v>
      </c>
      <c r="I89" s="32" t="s">
        <v>160</v>
      </c>
      <c r="J89" s="33"/>
    </row>
    <row r="90" spans="1:10" x14ac:dyDescent="0.3">
      <c r="C90" s="20"/>
      <c r="D90" s="29"/>
      <c r="E90" s="30"/>
      <c r="F90" s="30"/>
      <c r="G90" s="31"/>
      <c r="H90" s="32"/>
      <c r="I90" s="32"/>
      <c r="J90" s="33"/>
    </row>
    <row r="91" spans="1:10" x14ac:dyDescent="0.3">
      <c r="A91" s="26"/>
      <c r="B91" s="27"/>
      <c r="C91" s="28" t="s">
        <v>180</v>
      </c>
      <c r="D91" s="29"/>
      <c r="E91" s="30"/>
      <c r="F91" s="30"/>
      <c r="G91" s="31"/>
      <c r="H91" s="32"/>
      <c r="I91" s="32"/>
      <c r="J91" s="33"/>
    </row>
    <row r="92" spans="1:10" x14ac:dyDescent="0.3">
      <c r="B92" s="1"/>
      <c r="C92" s="20" t="s">
        <v>181</v>
      </c>
      <c r="D92" s="29"/>
      <c r="E92" s="30"/>
      <c r="F92" s="30"/>
      <c r="G92" s="31"/>
      <c r="H92" s="32">
        <v>165.24</v>
      </c>
      <c r="I92" s="32">
        <v>1.32</v>
      </c>
      <c r="J92" s="33"/>
    </row>
    <row r="93" spans="1:10" x14ac:dyDescent="0.3">
      <c r="C93" s="28" t="s">
        <v>158</v>
      </c>
      <c r="D93" s="29"/>
      <c r="E93" s="30"/>
      <c r="F93" s="30"/>
      <c r="G93" s="31"/>
      <c r="H93" s="35">
        <v>165.24</v>
      </c>
      <c r="I93" s="35">
        <v>1.32</v>
      </c>
      <c r="J93" s="33"/>
    </row>
    <row r="94" spans="1:10" x14ac:dyDescent="0.3">
      <c r="C94" s="20"/>
      <c r="D94" s="29"/>
      <c r="E94" s="30"/>
      <c r="F94" s="30"/>
      <c r="G94" s="31"/>
      <c r="H94" s="32"/>
      <c r="I94" s="32"/>
      <c r="J94" s="33"/>
    </row>
    <row r="95" spans="1:10" ht="14.4" thickBot="1" x14ac:dyDescent="0.35">
      <c r="C95" s="36" t="s">
        <v>182</v>
      </c>
      <c r="D95" s="37"/>
      <c r="E95" s="38"/>
      <c r="F95" s="39"/>
      <c r="G95" s="40"/>
      <c r="H95" s="41">
        <v>12320.29</v>
      </c>
      <c r="I95" s="41">
        <f>SUMIFS(I:I,C:C,"Total")</f>
        <v>100</v>
      </c>
      <c r="J95" s="42"/>
    </row>
    <row r="98" spans="3:5" x14ac:dyDescent="0.3">
      <c r="C98" s="11" t="s">
        <v>183</v>
      </c>
    </row>
    <row r="99" spans="3:5" x14ac:dyDescent="0.3">
      <c r="C99" s="2" t="s">
        <v>184</v>
      </c>
    </row>
    <row r="100" spans="3:5" x14ac:dyDescent="0.3">
      <c r="C100" s="2" t="s">
        <v>185</v>
      </c>
    </row>
    <row r="101" spans="3:5" x14ac:dyDescent="0.3">
      <c r="C101" s="2" t="s">
        <v>186</v>
      </c>
    </row>
    <row r="102" spans="3:5" x14ac:dyDescent="0.3">
      <c r="C102" s="2" t="s">
        <v>187</v>
      </c>
    </row>
    <row r="103" spans="3:5" x14ac:dyDescent="0.3">
      <c r="C103" s="2" t="s">
        <v>188</v>
      </c>
    </row>
    <row r="104" spans="3:5" ht="14.4" thickBot="1" x14ac:dyDescent="0.35">
      <c r="C104" s="2" t="s">
        <v>189</v>
      </c>
    </row>
    <row r="105" spans="3:5" ht="14.4" thickBot="1" x14ac:dyDescent="0.35">
      <c r="C105" s="43"/>
      <c r="D105" s="60" t="s">
        <v>190</v>
      </c>
      <c r="E105" s="61"/>
    </row>
    <row r="106" spans="3:5" x14ac:dyDescent="0.3">
      <c r="C106" s="44" t="s">
        <v>191</v>
      </c>
      <c r="D106" s="45" t="s">
        <v>192</v>
      </c>
      <c r="E106" s="46" t="s">
        <v>192</v>
      </c>
    </row>
    <row r="107" spans="3:5" ht="14.4" thickBot="1" x14ac:dyDescent="0.35">
      <c r="C107" s="47"/>
      <c r="D107" s="48" t="s">
        <v>193</v>
      </c>
      <c r="E107" s="49" t="s">
        <v>194</v>
      </c>
    </row>
    <row r="108" spans="3:5" ht="14.4" thickBot="1" x14ac:dyDescent="0.35">
      <c r="C108" s="50" t="s">
        <v>195</v>
      </c>
      <c r="D108" s="51">
        <v>107.12</v>
      </c>
      <c r="E108" s="51">
        <v>103.11</v>
      </c>
    </row>
    <row r="109" spans="3:5" ht="14.4" thickBot="1" x14ac:dyDescent="0.35">
      <c r="C109" s="50" t="s">
        <v>196</v>
      </c>
      <c r="D109" s="51">
        <v>120.18</v>
      </c>
      <c r="E109" s="51">
        <v>115.68</v>
      </c>
    </row>
    <row r="110" spans="3:5" ht="14.4" thickBot="1" x14ac:dyDescent="0.35">
      <c r="C110" s="50" t="s">
        <v>197</v>
      </c>
      <c r="D110" s="51">
        <v>112.92</v>
      </c>
      <c r="E110" s="51">
        <v>108.73</v>
      </c>
    </row>
    <row r="111" spans="3:5" ht="14.4" thickBot="1" x14ac:dyDescent="0.35">
      <c r="C111" s="50" t="s">
        <v>198</v>
      </c>
      <c r="D111" s="51">
        <v>127.11</v>
      </c>
      <c r="E111" s="51">
        <v>122.4</v>
      </c>
    </row>
    <row r="113" spans="3:3" x14ac:dyDescent="0.3">
      <c r="C113" s="2" t="s">
        <v>199</v>
      </c>
    </row>
    <row r="114" spans="3:3" x14ac:dyDescent="0.3">
      <c r="C114" s="2" t="s">
        <v>200</v>
      </c>
    </row>
    <row r="115" spans="3:3" x14ac:dyDescent="0.3">
      <c r="C115" s="2" t="s">
        <v>201</v>
      </c>
    </row>
    <row r="116" spans="3:3" x14ac:dyDescent="0.3">
      <c r="C116" s="2" t="s">
        <v>202</v>
      </c>
    </row>
    <row r="117" spans="3:3" x14ac:dyDescent="0.3">
      <c r="C117" s="2" t="s">
        <v>203</v>
      </c>
    </row>
    <row r="118" spans="3:3" x14ac:dyDescent="0.3">
      <c r="C118" s="2" t="s">
        <v>204</v>
      </c>
    </row>
    <row r="119" spans="3:3" x14ac:dyDescent="0.3">
      <c r="C119" s="2" t="s">
        <v>205</v>
      </c>
    </row>
    <row r="120" spans="3:3" x14ac:dyDescent="0.3">
      <c r="C120" s="2" t="s">
        <v>206</v>
      </c>
    </row>
    <row r="121" spans="3:3" x14ac:dyDescent="0.3">
      <c r="C121" s="2" t="s">
        <v>207</v>
      </c>
    </row>
  </sheetData>
  <mergeCells count="1">
    <mergeCell ref="D105:E105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51E4-C928-4A8B-B8CB-BBB10374782B}">
  <dimension ref="C3:M17"/>
  <sheetViews>
    <sheetView zoomScaleNormal="100" workbookViewId="0">
      <selection activeCell="N5" sqref="N5"/>
    </sheetView>
  </sheetViews>
  <sheetFormatPr defaultRowHeight="14.4" x14ac:dyDescent="0.3"/>
  <cols>
    <col min="3" max="3" width="46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7.33203125" customWidth="1"/>
  </cols>
  <sheetData>
    <row r="3" spans="3:13" ht="15.6" x14ac:dyDescent="0.3">
      <c r="C3" s="52" t="s">
        <v>222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3">
      <c r="C4" s="54" t="s">
        <v>208</v>
      </c>
      <c r="D4" s="64" t="s">
        <v>209</v>
      </c>
      <c r="E4" s="64"/>
      <c r="F4" s="64" t="s">
        <v>210</v>
      </c>
      <c r="G4" s="64"/>
      <c r="H4" s="64" t="s">
        <v>211</v>
      </c>
      <c r="I4" s="64"/>
      <c r="J4" s="65" t="s">
        <v>212</v>
      </c>
      <c r="K4" s="66"/>
      <c r="L4" s="67" t="s">
        <v>213</v>
      </c>
      <c r="M4" s="67"/>
    </row>
    <row r="5" spans="3:13" ht="66" x14ac:dyDescent="0.3">
      <c r="C5" s="55"/>
      <c r="D5" s="56" t="s">
        <v>214</v>
      </c>
      <c r="E5" s="56" t="s">
        <v>215</v>
      </c>
      <c r="F5" s="56" t="s">
        <v>214</v>
      </c>
      <c r="G5" s="56" t="s">
        <v>215</v>
      </c>
      <c r="H5" s="56" t="s">
        <v>214</v>
      </c>
      <c r="I5" s="56" t="s">
        <v>215</v>
      </c>
      <c r="J5" s="56" t="s">
        <v>214</v>
      </c>
      <c r="K5" s="56" t="s">
        <v>215</v>
      </c>
      <c r="L5" s="57" t="s">
        <v>214</v>
      </c>
      <c r="M5" s="57" t="s">
        <v>215</v>
      </c>
    </row>
    <row r="6" spans="3:13" x14ac:dyDescent="0.3">
      <c r="C6" s="58" t="s">
        <v>216</v>
      </c>
      <c r="D6" s="59">
        <v>3.9540000000000002</v>
      </c>
      <c r="E6" s="59">
        <v>10395.398993529836</v>
      </c>
      <c r="F6" s="59">
        <v>15.891299999999999</v>
      </c>
      <c r="G6" s="59">
        <v>15571.409341768742</v>
      </c>
      <c r="H6" s="59">
        <v>16.508600000000001</v>
      </c>
      <c r="I6" s="59">
        <v>21485.884101040119</v>
      </c>
      <c r="J6" s="59">
        <v>15.178800000000001</v>
      </c>
      <c r="K6" s="59">
        <v>41152.61472785486</v>
      </c>
      <c r="L6" s="59">
        <v>8.1023999999999994</v>
      </c>
      <c r="M6" s="59">
        <v>115680</v>
      </c>
    </row>
    <row r="7" spans="3:13" x14ac:dyDescent="0.3">
      <c r="C7" s="58" t="s">
        <v>217</v>
      </c>
      <c r="D7" s="59">
        <v>10.7881</v>
      </c>
      <c r="E7" s="59">
        <v>11078.81</v>
      </c>
      <c r="F7" s="59">
        <v>24.153600000000001</v>
      </c>
      <c r="G7" s="59">
        <v>19137.180410049987</v>
      </c>
      <c r="H7" s="59">
        <v>23.069400000000002</v>
      </c>
      <c r="I7" s="59">
        <v>28232.570184064603</v>
      </c>
      <c r="J7" s="59">
        <v>18.7471</v>
      </c>
      <c r="K7" s="59">
        <v>23611.036968677443</v>
      </c>
      <c r="L7" s="59" t="s">
        <v>218</v>
      </c>
      <c r="M7" s="59" t="s">
        <v>218</v>
      </c>
    </row>
    <row r="8" spans="3:13" x14ac:dyDescent="0.3">
      <c r="C8" s="58" t="s">
        <v>219</v>
      </c>
      <c r="D8" s="59">
        <v>10.217000000000001</v>
      </c>
      <c r="E8" s="59">
        <v>11021.7</v>
      </c>
      <c r="F8" s="59">
        <v>14.098599999999999</v>
      </c>
      <c r="G8" s="59">
        <v>14853.915426689055</v>
      </c>
      <c r="H8" s="59">
        <v>14.522399999999999</v>
      </c>
      <c r="I8" s="59">
        <v>19699.363947534817</v>
      </c>
      <c r="J8" s="59">
        <v>14.2287</v>
      </c>
      <c r="K8" s="59">
        <v>19448.054876599468</v>
      </c>
      <c r="L8" s="59">
        <v>11.2087</v>
      </c>
      <c r="M8" s="59">
        <v>281770.06847005396</v>
      </c>
    </row>
    <row r="9" spans="3:13" x14ac:dyDescent="0.3">
      <c r="C9" s="58" t="s">
        <v>220</v>
      </c>
      <c r="D9" s="62">
        <v>111.28</v>
      </c>
      <c r="E9" s="63"/>
      <c r="F9" s="62">
        <v>74.290000000000006</v>
      </c>
      <c r="G9" s="63"/>
      <c r="H9" s="62">
        <v>53.84</v>
      </c>
      <c r="I9" s="63"/>
      <c r="J9" s="62">
        <v>28.11</v>
      </c>
      <c r="K9" s="63"/>
      <c r="L9" s="62">
        <v>10</v>
      </c>
      <c r="M9" s="63"/>
    </row>
    <row r="11" spans="3:13" ht="15.6" x14ac:dyDescent="0.3">
      <c r="C11" s="52" t="s">
        <v>223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3">
      <c r="C12" s="54" t="s">
        <v>208</v>
      </c>
      <c r="D12" s="64" t="s">
        <v>209</v>
      </c>
      <c r="E12" s="64"/>
      <c r="F12" s="64" t="s">
        <v>210</v>
      </c>
      <c r="G12" s="64"/>
      <c r="H12" s="64" t="s">
        <v>211</v>
      </c>
      <c r="I12" s="64"/>
      <c r="J12" s="65" t="s">
        <v>212</v>
      </c>
      <c r="K12" s="66"/>
      <c r="L12" s="67" t="s">
        <v>213</v>
      </c>
      <c r="M12" s="67"/>
    </row>
    <row r="13" spans="3:13" ht="66" x14ac:dyDescent="0.3">
      <c r="C13" s="55"/>
      <c r="D13" s="56" t="s">
        <v>214</v>
      </c>
      <c r="E13" s="56" t="s">
        <v>215</v>
      </c>
      <c r="F13" s="56" t="s">
        <v>214</v>
      </c>
      <c r="G13" s="56" t="s">
        <v>215</v>
      </c>
      <c r="H13" s="56" t="s">
        <v>214</v>
      </c>
      <c r="I13" s="56" t="s">
        <v>215</v>
      </c>
      <c r="J13" s="56" t="s">
        <v>214</v>
      </c>
      <c r="K13" s="56" t="s">
        <v>215</v>
      </c>
      <c r="L13" s="57" t="s">
        <v>214</v>
      </c>
      <c r="M13" s="57" t="s">
        <v>215</v>
      </c>
    </row>
    <row r="14" spans="3:13" x14ac:dyDescent="0.3">
      <c r="C14" s="58" t="s">
        <v>216</v>
      </c>
      <c r="D14" s="59">
        <v>4.4187000000000003</v>
      </c>
      <c r="E14" s="59">
        <v>10441.866416446303</v>
      </c>
      <c r="F14" s="59">
        <v>16.3475</v>
      </c>
      <c r="G14" s="59">
        <v>15756.210580512292</v>
      </c>
      <c r="H14" s="59">
        <v>16.951699999999999</v>
      </c>
      <c r="I14" s="59">
        <v>21898.032200357782</v>
      </c>
      <c r="J14" s="59">
        <v>15.659800000000001</v>
      </c>
      <c r="K14" s="59">
        <v>42905.713284262172</v>
      </c>
      <c r="L14" s="59">
        <v>15.872</v>
      </c>
      <c r="M14" s="59">
        <v>69119.14172783737</v>
      </c>
    </row>
    <row r="15" spans="3:13" x14ac:dyDescent="0.3">
      <c r="C15" s="58" t="s">
        <v>217</v>
      </c>
      <c r="D15" s="59">
        <v>10.7881</v>
      </c>
      <c r="E15" s="59">
        <v>11078.81</v>
      </c>
      <c r="F15" s="59">
        <v>24.153600000000001</v>
      </c>
      <c r="G15" s="59">
        <v>19137.180410049987</v>
      </c>
      <c r="H15" s="59">
        <v>23.069400000000002</v>
      </c>
      <c r="I15" s="59">
        <v>28232.570184064603</v>
      </c>
      <c r="J15" s="59">
        <v>18.7471</v>
      </c>
      <c r="K15" s="59">
        <v>23611.036968677443</v>
      </c>
      <c r="L15" s="59">
        <v>18.2774</v>
      </c>
      <c r="M15" s="59">
        <v>89932.083849998628</v>
      </c>
    </row>
    <row r="16" spans="3:13" x14ac:dyDescent="0.3">
      <c r="C16" s="58" t="s">
        <v>219</v>
      </c>
      <c r="D16" s="59">
        <v>10.217000000000001</v>
      </c>
      <c r="E16" s="59">
        <v>11021.7</v>
      </c>
      <c r="F16" s="59">
        <v>14.098599999999999</v>
      </c>
      <c r="G16" s="59">
        <v>14853.915426689055</v>
      </c>
      <c r="H16" s="59">
        <v>14.522399999999999</v>
      </c>
      <c r="I16" s="59">
        <v>19699.363947534817</v>
      </c>
      <c r="J16" s="59">
        <v>14.2287</v>
      </c>
      <c r="K16" s="59">
        <v>19448.054876599468</v>
      </c>
      <c r="L16" s="59">
        <v>13.0009</v>
      </c>
      <c r="M16" s="59">
        <v>49496.336759310369</v>
      </c>
    </row>
    <row r="17" spans="3:13" x14ac:dyDescent="0.3">
      <c r="C17" s="58" t="s">
        <v>221</v>
      </c>
      <c r="D17" s="62">
        <v>117.23</v>
      </c>
      <c r="E17" s="63"/>
      <c r="F17" s="62">
        <v>77.69</v>
      </c>
      <c r="G17" s="63"/>
      <c r="H17" s="62">
        <v>55.9</v>
      </c>
      <c r="I17" s="63"/>
      <c r="J17" s="62">
        <v>28.53</v>
      </c>
      <c r="K17" s="63"/>
      <c r="L17" s="62">
        <v>17.71</v>
      </c>
      <c r="M17" s="63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2026-02-06T11:30:15Z</dcterms:created>
  <dcterms:modified xsi:type="dcterms:W3CDTF">2026-02-09T10:44:22Z</dcterms:modified>
</cp:coreProperties>
</file>