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Portfolio'!$C$8:$C$48</definedName>
    <definedName name="XDO_?FINAL_ISIN?3?">'TDF-Risk-O-Meter &amp; Portfolio'!$D$10:$D$48</definedName>
    <definedName name="XDO_?FINAL_ISIN?4?">'TDF-Risk-O-Meter &amp; Portfolio'!$D$10:$D$90</definedName>
    <definedName name="XDO_?FINAL_MV?3?">'TDF-Risk-O-Meter &amp; Portfolio'!$H$10:$H$48</definedName>
    <definedName name="XDO_?FINAL_MV?4?">'TDF-Risk-O-Meter &amp; Portfolio'!$H$10:$H$90</definedName>
    <definedName name="XDO_?FINAL_NAME?3?">'TDF-Risk-O-Meter &amp; Portfolio'!$C$10:$C$48</definedName>
    <definedName name="XDO_?FINAL_NAME?4?">'TDF-Risk-O-Meter &amp; Portfolio'!$C$10:$C$90</definedName>
    <definedName name="XDO_?FINAL_PER_NET?3?">'TDF-Risk-O-Meter &amp; Portfolio'!$I$10:$I$48</definedName>
    <definedName name="XDO_?FINAL_PER_NET?4?">'TDF-Risk-O-Meter &amp; Portfolio'!$I$10:$I$90</definedName>
    <definedName name="XDO_?FINAL_QUANTITE?3?">'TDF-Risk-O-Meter &amp; Portfolio'!$G$10:$G$48</definedName>
    <definedName name="XDO_?FINAL_QUANTITE?4?">'TDF-Risk-O-Meter &amp; Portfolio'!$G$10:$G$90</definedName>
    <definedName name="XDO_?IND_01?3?">'TDF-Risk-O-Meter &amp; Portfolio'!$F$10:$F$48</definedName>
    <definedName name="XDO_?IND_01?4?">'TDF-Risk-O-Meter &amp; Portfolio'!$F$10:$F$90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Portfolio'!$C$2:$C$48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Portfolio'!$B$10:$B$48</definedName>
    <definedName name="XDO_?NOVAL?4?">'TDF-Risk-O-Meter &amp; Portfolio'!$B$10:$B$90</definedName>
    <definedName name="XDO_?NPTF?2?">'TDF-Risk-O-Meter &amp; Portfolio'!$D$2:$D$48</definedName>
    <definedName name="XDO_?RATING?3?">'TDF-Risk-O-Meter &amp; Portfolio'!$E$10:$E$48</definedName>
    <definedName name="XDO_?RATING?4?">'TDF-Risk-O-Meter &amp; Portfolio'!$E$10:$E$90</definedName>
    <definedName name="XDO_?REMARKS?3?">'TDF-Risk-O-Meter &amp; Portfolio'!$J$10:$J$48</definedName>
    <definedName name="XDO_?REMARKS?4?">'TDF-Risk-O-Meter &amp; Portfolio'!$J$10:$J$90</definedName>
    <definedName name="XDO_?TITL?2?">'TDF-Risk-O-Meter &amp; Portfolio'!$A$8:$A$48</definedName>
    <definedName name="XDO_GROUP_?G_2?2?">'TDF-Risk-O-Meter &amp; Portfolio'!$2:$93</definedName>
    <definedName name="XDO_GROUP_?G_3?2?">'TDF-Risk-O-Meter &amp; Portfolio'!$8:$92</definedName>
    <definedName name="XDO_GROUP_?G_4?3?">'TDF-Risk-O-Meter &amp; Portfolio'!$B$10:$IV$48</definedName>
    <definedName name="XDO_GROUP_?G_4?4?">'TDF-Risk-O-Meter &amp; Portfolio'!$B$90:$IV$90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/>
</calcChain>
</file>

<file path=xl/sharedStrings.xml><?xml version="1.0" encoding="utf-8"?>
<sst xmlns="http://schemas.openxmlformats.org/spreadsheetml/2006/main" count="268" uniqueCount="195">
  <si>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</si>
  <si>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</si>
  <si>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</si>
  <si>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</si>
  <si>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</si>
  <si>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</si>
  <si>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</si>
  <si>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</si>
  <si>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</si>
  <si>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</si>
  <si>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</si>
  <si>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</si>
  <si>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</si>
  <si>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</si>
  <si>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</si>
  <si>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</si>
  <si>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</si>
  <si>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</si>
  <si>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</si>
  <si>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</si>
  <si>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</si>
  <si>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</si>
  <si>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</si>
  <si>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100719</t>
  </si>
  <si>
    <t>Mayur Uniquoters Ltd.</t>
  </si>
  <si>
    <t>INE040D01038</t>
  </si>
  <si>
    <t>Consumer Durables</t>
  </si>
  <si>
    <t>100740</t>
  </si>
  <si>
    <t>Sterlite Technologies Ltd.</t>
  </si>
  <si>
    <t>INE089C01029</t>
  </si>
  <si>
    <t>Telecom - Services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</si>
  <si>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</si>
  <si>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</si>
  <si>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</si>
  <si>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</si>
  <si>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</si>
  <si>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</si>
  <si>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</si>
  <si>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100570</t>
  </si>
  <si>
    <t>K.P.R. Mill Ltd.</t>
  </si>
  <si>
    <t>INE930H01031</t>
  </si>
  <si>
    <t>Textiles &amp; Apparels</t>
  </si>
  <si>
    <t>100055</t>
  </si>
  <si>
    <t>The Federal Bank Ltd.</t>
  </si>
  <si>
    <t>INE171A01029</t>
  </si>
  <si>
    <t>Banks</t>
  </si>
  <si>
    <t>100461</t>
  </si>
  <si>
    <t>Astral Limited</t>
  </si>
  <si>
    <t>INE006I01046</t>
  </si>
  <si>
    <t>Industrial Products</t>
  </si>
  <si>
    <t>100843</t>
  </si>
  <si>
    <t>Dalmia Bharat Ltd.</t>
  </si>
  <si>
    <t>INE00R701025</t>
  </si>
  <si>
    <t>Cement &amp; Cement Products</t>
  </si>
  <si>
    <t>100371</t>
  </si>
  <si>
    <t>Sun TV Network Ltd.</t>
  </si>
  <si>
    <t>INE424H01027</t>
  </si>
  <si>
    <t>Entertainment</t>
  </si>
  <si>
    <t>101415</t>
  </si>
  <si>
    <t>HINDUSTAN OIL EXPLORATION CO.LTD.</t>
  </si>
  <si>
    <t>INE345A01011</t>
  </si>
  <si>
    <t>Oil</t>
  </si>
  <si>
    <t>101152</t>
  </si>
  <si>
    <t>Sumitomo Chemical India Ltd.</t>
  </si>
  <si>
    <t>INE258G01013</t>
  </si>
  <si>
    <t>Fertilizers &amp; Agrochemicals</t>
  </si>
  <si>
    <t>100161</t>
  </si>
  <si>
    <t>Cummins India Ltd.</t>
  </si>
  <si>
    <t>INE298A01020</t>
  </si>
  <si>
    <t>100234</t>
  </si>
  <si>
    <t>Coforge Ltd.</t>
  </si>
  <si>
    <t>INE591G01017</t>
  </si>
  <si>
    <t>IT - Software</t>
  </si>
  <si>
    <t>100195</t>
  </si>
  <si>
    <t>REC Ltd.</t>
  </si>
  <si>
    <t>INE020B01018</t>
  </si>
  <si>
    <t>Finance</t>
  </si>
  <si>
    <t>101574</t>
  </si>
  <si>
    <t>Linde India Ltd.</t>
  </si>
  <si>
    <t>INE473A01011</t>
  </si>
  <si>
    <t>Chemicals &amp; Petrochemicals</t>
  </si>
  <si>
    <t>100112</t>
  </si>
  <si>
    <t>Punjab National Bank</t>
  </si>
  <si>
    <t>INE160A01022</t>
  </si>
  <si>
    <t>100271</t>
  </si>
  <si>
    <t>Balkrishna Industries Ltd.</t>
  </si>
  <si>
    <t>INE787D01026</t>
  </si>
  <si>
    <t>Auto Components</t>
  </si>
  <si>
    <t>101800</t>
  </si>
  <si>
    <t>Hindware Home Innovation Ltd.</t>
  </si>
  <si>
    <t>INE05AN01011</t>
  </si>
  <si>
    <t>100088</t>
  </si>
  <si>
    <t>Bharat Heavy Electricals Ltd.</t>
  </si>
  <si>
    <t>INE257A01026</t>
  </si>
  <si>
    <t>Electrical Equipment</t>
  </si>
  <si>
    <t>100435</t>
  </si>
  <si>
    <t>Crompton Greaves Consumer Electricals Ltd.</t>
  </si>
  <si>
    <t>INE299U01018</t>
  </si>
  <si>
    <t>100026</t>
  </si>
  <si>
    <t>Persistent Systems Ltd.</t>
  </si>
  <si>
    <t>INE262H01013</t>
  </si>
  <si>
    <t>100090</t>
  </si>
  <si>
    <t>Bharat Forge Ltd.</t>
  </si>
  <si>
    <t>INE465A01025</t>
  </si>
  <si>
    <t>100222</t>
  </si>
  <si>
    <t>The Indian Hotels Company Ltd.</t>
  </si>
  <si>
    <t>INE053A01029</t>
  </si>
  <si>
    <t>Leisure Services</t>
  </si>
  <si>
    <t>100068</t>
  </si>
  <si>
    <t>Kansai Nerolac Paints Ltd.</t>
  </si>
  <si>
    <t>INE531A01024</t>
  </si>
  <si>
    <t>100116</t>
  </si>
  <si>
    <t>Sundaram Finance Ltd.</t>
  </si>
  <si>
    <t>INE660A01013</t>
  </si>
  <si>
    <t>100503</t>
  </si>
  <si>
    <t>Prism Johnson Ltd.</t>
  </si>
  <si>
    <t>INE010A01011</t>
  </si>
  <si>
    <t>100426</t>
  </si>
  <si>
    <t>Relaxo Footwears Ltd.</t>
  </si>
  <si>
    <t>INE131B01039</t>
  </si>
  <si>
    <t>100728</t>
  </si>
  <si>
    <t>Welspun Corp Ltd.</t>
  </si>
  <si>
    <t>INE191B01025</t>
  </si>
  <si>
    <t>100471</t>
  </si>
  <si>
    <t>Endurance Technologies Ltd.</t>
  </si>
  <si>
    <t>INE913H01037</t>
  </si>
  <si>
    <t>100335</t>
  </si>
  <si>
    <t>Kajaria Ceramics Ltd.</t>
  </si>
  <si>
    <t>INE217B01036</t>
  </si>
  <si>
    <t>100242</t>
  </si>
  <si>
    <t>Schaeffler India Ltd.</t>
  </si>
  <si>
    <t>INE513A01022</t>
  </si>
  <si>
    <t>100143</t>
  </si>
  <si>
    <t>Thermax Ltd.</t>
  </si>
  <si>
    <t>INE152A01029</t>
  </si>
  <si>
    <t>100227</t>
  </si>
  <si>
    <t>Jubilant Foodworks Ltd.</t>
  </si>
  <si>
    <t>INE797F01020</t>
  </si>
  <si>
    <t>100107</t>
  </si>
  <si>
    <t>Max Financial Services Ltd.</t>
  </si>
  <si>
    <t>INE180A01020</t>
  </si>
  <si>
    <t>Insurance</t>
  </si>
  <si>
    <t>100280</t>
  </si>
  <si>
    <t>TVS Motor Company Ltd.</t>
  </si>
  <si>
    <t>INE494B01023</t>
  </si>
  <si>
    <t>Automobiles</t>
  </si>
  <si>
    <t>100144</t>
  </si>
  <si>
    <t>Voltas Ltd.</t>
  </si>
  <si>
    <t>INE226A01021</t>
  </si>
  <si>
    <t>100042</t>
  </si>
  <si>
    <t>LIC Housing Finance Ltd.</t>
  </si>
  <si>
    <t>INE115A01026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</si>
  <si>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</si>
  <si>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</si>
  <si>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</si>
  <si>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</si>
  <si>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</si>
  <si>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</si>
  <si>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</si>
  <si>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</si>
  <si>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</si>
  <si>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</si>
  <si>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</si>
  <si>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</si>
  <si>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</si>
  <si>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</si>
  <si>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</si>
  <si>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</si>
  <si>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</si>
  <si>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</si>
  <si>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</si>
  <si>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</si>
  <si>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</si>
  <si>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</si>
  <si>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</si>
  <si>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</si>
  <si>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</si>
  <si>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</si>
  <si>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</si>
  <si>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</si>
  <si>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</si>
  <si>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</si>
  <si>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</si>
  <si>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</si>
  <si>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</si>
  <si>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</si>
  <si>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</si>
  <si>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</si>
  <si>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</si>
  <si>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</si>
  <si>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</si>
  <si>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February 28, 2023 : 73.76)</t>
  </si>
  <si>
    <t>Taurus Discovery (Midcap) Fund-Direct Plan-Growth Option</t>
  </si>
  <si>
    <t>NAV [Rs.] Per Unit (as on February 28, 2023 : 77.16)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</si>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</sst>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9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1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44985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51750</v>
      </c>
      <c r="H10" s="32">
        <v>470.33</v>
      </c>
      <c r="I10" s="32">
        <v>6.34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57000</v>
      </c>
      <c r="H11" s="32">
        <v>345.82</v>
      </c>
      <c r="I11" s="32">
        <v>4.66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67000</v>
      </c>
      <c r="H12" s="32">
        <v>327.16000000000003</v>
      </c>
      <c r="I12" s="32">
        <v>4.41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200000</v>
      </c>
      <c r="H13" s="32">
        <v>317.39999999999998</v>
      </c>
      <c r="I13" s="32">
        <v>4.28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133000</v>
      </c>
      <c r="H14" s="32">
        <v>305.24</v>
      </c>
      <c r="I14" s="32">
        <v>4.1100000000000003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46000</v>
      </c>
      <c r="H15" s="32">
        <v>301.19</v>
      </c>
      <c r="I15" s="32">
        <v>4.0599999999999996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44500</v>
      </c>
      <c r="H16" s="32">
        <v>255.79</v>
      </c>
      <c r="I16" s="32">
        <v>3.45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190000</v>
      </c>
      <c r="H17" s="32">
        <v>245.29</v>
      </c>
      <c r="I17" s="32">
        <v>3.31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12600</v>
      </c>
      <c r="H18" s="32">
        <v>238</v>
      </c>
      <c r="I18" s="32">
        <v>3.21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12950</v>
      </c>
      <c r="H19" s="32">
        <v>237.65</v>
      </c>
      <c r="I19" s="32">
        <v>3.2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55000</v>
      </c>
      <c r="H20" s="32">
        <v>235.7</v>
      </c>
      <c r="I20" s="32">
        <v>3.18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169000</v>
      </c>
      <c r="H21" s="32">
        <v>233.81</v>
      </c>
      <c r="I21" s="32">
        <v>3.15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50000</v>
      </c>
      <c r="H22" s="32">
        <v>222.73</v>
      </c>
      <c r="I22" s="32">
        <v>3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49</v>
      </c>
      <c r="G23" s="31">
        <v>13900</v>
      </c>
      <c r="H23" s="32">
        <v>218.45</v>
      </c>
      <c r="I23" s="32">
        <v>2.94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5050</v>
      </c>
      <c r="H24" s="32">
        <v>217.08</v>
      </c>
      <c r="I24" s="32">
        <v>2.93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185000</v>
      </c>
      <c r="H25" s="32">
        <v>211.36</v>
      </c>
      <c r="I25" s="32">
        <v>2.85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80</v>
      </c>
      <c r="G26" s="31">
        <v>5600</v>
      </c>
      <c r="H26" s="32">
        <v>208.51</v>
      </c>
      <c r="I26" s="32">
        <v>2.81</v>
      </c>
      <c r="J26" s="33"/>
    </row>
    <row r="27" spans="2:10">
      <c r="B27" s="1" t="s">
        <v>81</v>
      </c>
      <c r="C27" s="20" t="s">
        <v>82</v>
      </c>
      <c r="D27" s="29" t="s">
        <v>83</v>
      </c>
      <c r="E27" s="30"/>
      <c r="F27" s="30" t="s">
        <v>45</v>
      </c>
      <c r="G27" s="31">
        <v>400000</v>
      </c>
      <c r="H27" s="32">
        <v>193.4</v>
      </c>
      <c r="I27" s="32">
        <v>2.61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9500</v>
      </c>
      <c r="H28" s="32">
        <v>191.55</v>
      </c>
      <c r="I28" s="32">
        <v>2.58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26</v>
      </c>
      <c r="G29" s="31">
        <v>52000</v>
      </c>
      <c r="H29" s="32">
        <v>191.36</v>
      </c>
      <c r="I29" s="32">
        <v>2.58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265000</v>
      </c>
      <c r="H30" s="32">
        <v>184.84</v>
      </c>
      <c r="I30" s="32">
        <v>2.4900000000000002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26</v>
      </c>
      <c r="G31" s="31">
        <v>60000</v>
      </c>
      <c r="H31" s="32">
        <v>182.61</v>
      </c>
      <c r="I31" s="32">
        <v>2.46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72</v>
      </c>
      <c r="G32" s="31">
        <v>3600</v>
      </c>
      <c r="H32" s="32">
        <v>172.61</v>
      </c>
      <c r="I32" s="32">
        <v>2.33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49</v>
      </c>
      <c r="G33" s="31">
        <v>21000</v>
      </c>
      <c r="H33" s="32">
        <v>171.37</v>
      </c>
      <c r="I33" s="32">
        <v>2.31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55000</v>
      </c>
      <c r="H34" s="32">
        <v>170.83</v>
      </c>
      <c r="I34" s="32">
        <v>2.2999999999999998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26</v>
      </c>
      <c r="G35" s="31">
        <v>39000</v>
      </c>
      <c r="H35" s="32">
        <v>157.27000000000001</v>
      </c>
      <c r="I35" s="32">
        <v>2.12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76</v>
      </c>
      <c r="G36" s="31">
        <v>6500</v>
      </c>
      <c r="H36" s="32">
        <v>148.71</v>
      </c>
      <c r="I36" s="32">
        <v>2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53</v>
      </c>
      <c r="G37" s="31">
        <v>115000</v>
      </c>
      <c r="H37" s="32">
        <v>119.89</v>
      </c>
      <c r="I37" s="32">
        <v>1.62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26</v>
      </c>
      <c r="G38" s="31">
        <v>15000</v>
      </c>
      <c r="H38" s="32">
        <v>116.58</v>
      </c>
      <c r="I38" s="32">
        <v>1.57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49</v>
      </c>
      <c r="G39" s="31">
        <v>62000</v>
      </c>
      <c r="H39" s="32">
        <v>114.08</v>
      </c>
      <c r="I39" s="32">
        <v>1.54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87</v>
      </c>
      <c r="G40" s="31">
        <v>8000</v>
      </c>
      <c r="H40" s="32">
        <v>100.06</v>
      </c>
      <c r="I40" s="32">
        <v>1.35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26</v>
      </c>
      <c r="G41" s="31">
        <v>9250</v>
      </c>
      <c r="H41" s="32">
        <v>99.06</v>
      </c>
      <c r="I41" s="32">
        <v>1.34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87</v>
      </c>
      <c r="G42" s="31">
        <v>3200</v>
      </c>
      <c r="H42" s="32">
        <v>95.41</v>
      </c>
      <c r="I42" s="32">
        <v>1.29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94</v>
      </c>
      <c r="G43" s="31">
        <v>4300</v>
      </c>
      <c r="H43" s="32">
        <v>92.62</v>
      </c>
      <c r="I43" s="32">
        <v>1.25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107</v>
      </c>
      <c r="G44" s="31">
        <v>19000</v>
      </c>
      <c r="H44" s="32">
        <v>83.63</v>
      </c>
      <c r="I44" s="32">
        <v>1.1299999999999999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9500</v>
      </c>
      <c r="H45" s="32">
        <v>65.78</v>
      </c>
      <c r="I45" s="32">
        <v>0.89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2600</v>
      </c>
      <c r="H46" s="32">
        <v>28.09</v>
      </c>
      <c r="I46" s="32">
        <v>0.38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26</v>
      </c>
      <c r="G47" s="31">
        <v>2500</v>
      </c>
      <c r="H47" s="32">
        <v>22.3</v>
      </c>
      <c r="I47" s="32">
        <v>0.3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76</v>
      </c>
      <c r="G48" s="31">
        <v>4000</v>
      </c>
      <c r="H48" s="32">
        <v>14.02</v>
      </c>
      <c r="I48" s="32">
        <v>0.19</v>
      </c>
      <c r="J48" s="33"/>
    </row>
    <row r="49" spans="3:10">
      <c r="C49" s="28" t="s">
        <v>152</v>
      </c>
      <c r="D49" s="29"/>
      <c r="E49" s="30"/>
      <c r="F49" s="30"/>
      <c r="G49" s="31"/>
      <c r="H49" s="35">
        <v>7307.58</v>
      </c>
      <c r="I49" s="35">
        <v>98.52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153</v>
      </c>
      <c r="D51" s="29"/>
      <c r="E51" s="30"/>
      <c r="F51" s="30"/>
      <c r="G51" s="31"/>
      <c r="H51" s="32" t="s">
        <v>154</v>
      </c>
      <c r="I51" s="32" t="s">
        <v>154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155</v>
      </c>
      <c r="D53" s="29"/>
      <c r="E53" s="30"/>
      <c r="F53" s="30"/>
      <c r="G53" s="31"/>
      <c r="H53" s="32" t="s">
        <v>154</v>
      </c>
      <c r="I53" s="32" t="s">
        <v>154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156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157</v>
      </c>
      <c r="D57" s="29"/>
      <c r="E57" s="30"/>
      <c r="F57" s="30"/>
      <c r="G57" s="31"/>
      <c r="H57" s="32" t="s">
        <v>154</v>
      </c>
      <c r="I57" s="32" t="s">
        <v>154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158</v>
      </c>
      <c r="D59" s="29"/>
      <c r="E59" s="30"/>
      <c r="F59" s="30"/>
      <c r="G59" s="31"/>
      <c r="H59" s="32" t="s">
        <v>154</v>
      </c>
      <c r="I59" s="32" t="s">
        <v>154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159</v>
      </c>
      <c r="D61" s="29"/>
      <c r="E61" s="30"/>
      <c r="F61" s="30"/>
      <c r="G61" s="31"/>
      <c r="H61" s="32" t="s">
        <v>154</v>
      </c>
      <c r="I61" s="32" t="s">
        <v>154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160</v>
      </c>
      <c r="D63" s="29"/>
      <c r="E63" s="30"/>
      <c r="F63" s="30"/>
      <c r="G63" s="31"/>
      <c r="H63" s="32" t="s">
        <v>154</v>
      </c>
      <c r="I63" s="32" t="s">
        <v>154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161</v>
      </c>
      <c r="D65" s="29"/>
      <c r="E65" s="30"/>
      <c r="F65" s="30"/>
      <c r="G65" s="31"/>
      <c r="H65" s="32" t="s">
        <v>154</v>
      </c>
      <c r="I65" s="32" t="s">
        <v>154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162</v>
      </c>
      <c r="D67" s="29"/>
      <c r="E67" s="30"/>
      <c r="F67" s="30"/>
      <c r="G67" s="31"/>
      <c r="H67" s="32"/>
      <c r="I67" s="32"/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163</v>
      </c>
      <c r="D69" s="29"/>
      <c r="E69" s="30"/>
      <c r="F69" s="30"/>
      <c r="G69" s="31"/>
      <c r="H69" s="32" t="s">
        <v>154</v>
      </c>
      <c r="I69" s="32" t="s">
        <v>154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164</v>
      </c>
      <c r="D71" s="29"/>
      <c r="E71" s="30"/>
      <c r="F71" s="30"/>
      <c r="G71" s="31"/>
      <c r="H71" s="32" t="s">
        <v>154</v>
      </c>
      <c r="I71" s="32" t="s">
        <v>154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165</v>
      </c>
      <c r="D73" s="29"/>
      <c r="E73" s="30"/>
      <c r="F73" s="30"/>
      <c r="G73" s="31"/>
      <c r="H73" s="32" t="s">
        <v>154</v>
      </c>
      <c r="I73" s="32" t="s">
        <v>154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166</v>
      </c>
      <c r="D75" s="29"/>
      <c r="E75" s="30"/>
      <c r="F75" s="30"/>
      <c r="G75" s="31"/>
      <c r="H75" s="32" t="s">
        <v>154</v>
      </c>
      <c r="I75" s="32" t="s">
        <v>154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167</v>
      </c>
      <c r="D77" s="29"/>
      <c r="E77" s="30"/>
      <c r="F77" s="30"/>
      <c r="G77" s="31"/>
      <c r="H77" s="32"/>
      <c r="I77" s="32"/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168</v>
      </c>
      <c r="D79" s="29"/>
      <c r="E79" s="30"/>
      <c r="F79" s="30"/>
      <c r="G79" s="31"/>
      <c r="H79" s="32" t="s">
        <v>154</v>
      </c>
      <c r="I79" s="32" t="s">
        <v>154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169</v>
      </c>
      <c r="D81" s="29"/>
      <c r="E81" s="30"/>
      <c r="F81" s="30"/>
      <c r="G81" s="31"/>
      <c r="H81" s="32" t="s">
        <v>154</v>
      </c>
      <c r="I81" s="32" t="s">
        <v>154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170</v>
      </c>
      <c r="D83" s="29"/>
      <c r="E83" s="30"/>
      <c r="F83" s="30"/>
      <c r="G83" s="31"/>
      <c r="H83" s="32" t="s">
        <v>154</v>
      </c>
      <c r="I83" s="32" t="s">
        <v>154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171</v>
      </c>
      <c r="D85" s="29"/>
      <c r="E85" s="30"/>
      <c r="F85" s="30"/>
      <c r="G85" s="31"/>
      <c r="H85" s="32" t="s">
        <v>154</v>
      </c>
      <c r="I85" s="32" t="s">
        <v>154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172</v>
      </c>
      <c r="D87" s="29"/>
      <c r="E87" s="30"/>
      <c r="F87" s="30"/>
      <c r="G87" s="31"/>
      <c r="H87" s="32" t="s">
        <v>154</v>
      </c>
      <c r="I87" s="32" t="s">
        <v>154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A89" s="26"/>
      <c r="B89" s="27"/>
      <c r="C89" s="28" t="s">
        <v>173</v>
      </c>
      <c r="D89" s="29"/>
      <c r="E89" s="30"/>
      <c r="F89" s="30"/>
      <c r="G89" s="31"/>
      <c r="H89" s="32"/>
      <c r="I89" s="32"/>
      <c r="J89" s="33"/>
    </row>
    <row r="90" spans="1:10">
      <c r="B90" s="1"/>
      <c r="C90" s="20" t="s">
        <v>174</v>
      </c>
      <c r="D90" s="29"/>
      <c r="E90" s="30"/>
      <c r="F90" s="30"/>
      <c r="G90" s="31"/>
      <c r="H90" s="32">
        <v>112.26</v>
      </c>
      <c r="I90" s="32">
        <v>1.48</v>
      </c>
      <c r="J90" s="33"/>
    </row>
    <row r="91" spans="1:10">
      <c r="C91" s="28" t="s">
        <v>152</v>
      </c>
      <c r="D91" s="29"/>
      <c r="E91" s="30"/>
      <c r="F91" s="30"/>
      <c r="G91" s="31"/>
      <c r="H91" s="35">
        <v>112.26</v>
      </c>
      <c r="I91" s="35">
        <v>1.48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 ht="13.5" thickBot="1">
      <c r="C93" s="36" t="s">
        <v>175</v>
      </c>
      <c r="D93" s="37"/>
      <c r="E93" s="38"/>
      <c r="F93" s="39"/>
      <c r="G93" s="40"/>
      <c r="H93" s="41">
        <v>7419.84</v>
      </c>
      <c r="I93" s="41">
        <f>SUMIFS(I:I,C:C,"Total")</f>
        <v>100</v>
      </c>
      <c r="J93" s="42"/>
    </row>
    <row r="96" spans="1:10">
      <c r="C96" s="11" t="s">
        <v>176</v>
      </c>
    </row>
    <row r="97" spans="3:3">
      <c r="C97" s="2" t="s">
        <v>177</v>
      </c>
    </row>
    <row r="98" spans="3:3">
      <c r="C98" s="2" t="s">
        <v>178</v>
      </c>
    </row>
    <row r="99" spans="3:3">
      <c r="C99" s="2" t="s">
        <v>179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6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180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181</v>
      </c>
      <c r="C5" s="46" t="s">
        <v>182</v>
      </c>
      <c r="D5" s="46"/>
      <c r="E5" s="46" t="s">
        <v>183</v>
      </c>
      <c r="F5" s="46"/>
      <c r="G5" s="46" t="s">
        <v>184</v>
      </c>
      <c r="H5" s="46"/>
      <c r="I5" s="46" t="s">
        <v>185</v>
      </c>
      <c r="J5" s="46"/>
    </row>
    <row r="6" spans="2:10" ht="63.75">
      <c r="B6" s="47"/>
      <c r="C6" s="48" t="s">
        <v>186</v>
      </c>
      <c r="D6" s="48" t="s">
        <v>187</v>
      </c>
      <c r="E6" s="48" t="s">
        <v>186</v>
      </c>
      <c r="F6" s="48" t="s">
        <v>187</v>
      </c>
      <c r="G6" s="48" t="s">
        <v>186</v>
      </c>
      <c r="H6" s="48" t="s">
        <v>187</v>
      </c>
      <c r="I6" s="48" t="s">
        <v>186</v>
      </c>
      <c r="J6" s="48" t="s">
        <v>187</v>
      </c>
    </row>
    <row r="7" spans="2:10">
      <c r="B7" s="49" t="s">
        <v>188</v>
      </c>
      <c r="C7" s="50">
        <v>8.614342512148454</v>
      </c>
      <c r="D7" s="50">
        <v>10861.434251214845</v>
      </c>
      <c r="E7" s="50">
        <v>17.662374979413652</v>
      </c>
      <c r="F7" s="50">
        <v>16296.950950066284</v>
      </c>
      <c r="G7" s="50">
        <v>10.143279541576277</v>
      </c>
      <c r="H7" s="50">
        <v>16214.552648933832</v>
      </c>
      <c r="I7" s="50">
        <v>7.2618952254677405</v>
      </c>
      <c r="J7" s="50">
        <v>73760</v>
      </c>
    </row>
    <row r="8" spans="2:10">
      <c r="B8" s="49" t="s">
        <v>189</v>
      </c>
      <c r="C8" s="50">
        <v>8.2813606994345932</v>
      </c>
      <c r="D8" s="50">
        <v>10828.136069943459</v>
      </c>
      <c r="E8" s="50">
        <v>23.140355067712171</v>
      </c>
      <c r="F8" s="50">
        <v>18672.445673553</v>
      </c>
      <c r="G8" s="50">
        <v>11.845583498464251</v>
      </c>
      <c r="H8" s="50">
        <v>17502.262690554107</v>
      </c>
      <c r="I8" s="50">
        <v>0</v>
      </c>
      <c r="J8" s="50">
        <v>0</v>
      </c>
    </row>
    <row r="9" spans="2:10">
      <c r="B9" s="49" t="s">
        <v>190</v>
      </c>
      <c r="C9" s="50">
        <v>4.2705236324582341</v>
      </c>
      <c r="D9" s="50">
        <v>10427.052363245823</v>
      </c>
      <c r="E9" s="50">
        <v>16.977100801067714</v>
      </c>
      <c r="F9" s="50">
        <v>16006.727826404724</v>
      </c>
      <c r="G9" s="50">
        <v>11.886258528558491</v>
      </c>
      <c r="H9" s="50">
        <v>17534.111201090232</v>
      </c>
      <c r="I9" s="50">
        <v>10.582548368109812</v>
      </c>
      <c r="J9" s="50">
        <v>175844.08891504162</v>
      </c>
    </row>
    <row r="10" spans="2:10">
      <c r="B10" s="49" t="s">
        <v>191</v>
      </c>
      <c r="C10" s="51">
        <v>67.91</v>
      </c>
      <c r="D10" s="52"/>
      <c r="E10" s="51">
        <v>45.26</v>
      </c>
      <c r="F10" s="52"/>
      <c r="G10" s="51">
        <v>45.49</v>
      </c>
      <c r="H10" s="52"/>
      <c r="I10" s="51">
        <v>10</v>
      </c>
      <c r="J10" s="52"/>
    </row>
    <row r="12" spans="2:10" ht="15.75">
      <c r="B12" s="43" t="s">
        <v>192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181</v>
      </c>
      <c r="C13" s="46" t="s">
        <v>182</v>
      </c>
      <c r="D13" s="46"/>
      <c r="E13" s="46" t="s">
        <v>183</v>
      </c>
      <c r="F13" s="46"/>
      <c r="G13" s="46" t="s">
        <v>184</v>
      </c>
      <c r="H13" s="46"/>
      <c r="I13" s="46" t="s">
        <v>185</v>
      </c>
      <c r="J13" s="46"/>
    </row>
    <row r="14" spans="2:10" ht="63.75">
      <c r="B14" s="47"/>
      <c r="C14" s="48" t="s">
        <v>186</v>
      </c>
      <c r="D14" s="48" t="s">
        <v>187</v>
      </c>
      <c r="E14" s="48" t="s">
        <v>186</v>
      </c>
      <c r="F14" s="48" t="s">
        <v>187</v>
      </c>
      <c r="G14" s="48" t="s">
        <v>186</v>
      </c>
      <c r="H14" s="48" t="s">
        <v>187</v>
      </c>
      <c r="I14" s="48" t="s">
        <v>186</v>
      </c>
      <c r="J14" s="48" t="s">
        <v>187</v>
      </c>
    </row>
    <row r="15" spans="2:10">
      <c r="B15" s="49" t="s">
        <v>188</v>
      </c>
      <c r="C15" s="50">
        <v>8.9830508474576298</v>
      </c>
      <c r="D15" s="50">
        <v>10898.305084745763</v>
      </c>
      <c r="E15" s="50">
        <v>18.092793574634626</v>
      </c>
      <c r="F15" s="50">
        <v>16476.617552850737</v>
      </c>
      <c r="G15" s="50">
        <v>10.600896147243798</v>
      </c>
      <c r="H15" s="50">
        <v>16554.387470499893</v>
      </c>
      <c r="I15" s="50">
        <v>15.580258579974471</v>
      </c>
      <c r="J15" s="50">
        <v>43568.605307735736</v>
      </c>
    </row>
    <row r="16" spans="2:10">
      <c r="B16" s="49" t="s">
        <v>189</v>
      </c>
      <c r="C16" s="50">
        <v>8.2813606994345932</v>
      </c>
      <c r="D16" s="50">
        <v>10828.136069943459</v>
      </c>
      <c r="E16" s="50">
        <v>23.140355067712171</v>
      </c>
      <c r="F16" s="50">
        <v>18672.445673553</v>
      </c>
      <c r="G16" s="50">
        <v>11.845583498464251</v>
      </c>
      <c r="H16" s="50">
        <v>17502.262690554107</v>
      </c>
      <c r="I16" s="50">
        <v>16.489787827146273</v>
      </c>
      <c r="J16" s="50">
        <v>47181.872868135019</v>
      </c>
    </row>
    <row r="17" spans="2:10">
      <c r="B17" s="49" t="s">
        <v>190</v>
      </c>
      <c r="C17" s="50">
        <v>4.2705236324582341</v>
      </c>
      <c r="D17" s="50">
        <v>10427.052363245823</v>
      </c>
      <c r="E17" s="50">
        <v>16.977100801067714</v>
      </c>
      <c r="F17" s="50">
        <v>16006.727826404724</v>
      </c>
      <c r="G17" s="50">
        <v>11.886258528558491</v>
      </c>
      <c r="H17" s="50">
        <v>17534.111201090232</v>
      </c>
      <c r="I17" s="50">
        <v>12.436075240682577</v>
      </c>
      <c r="J17" s="50">
        <v>32917.347421583596</v>
      </c>
    </row>
    <row r="18" spans="2:10">
      <c r="B18" s="49" t="s">
        <v>193</v>
      </c>
      <c r="C18" s="51">
        <v>70.8</v>
      </c>
      <c r="D18" s="52"/>
      <c r="E18" s="51">
        <v>46.83</v>
      </c>
      <c r="F18" s="52"/>
      <c r="G18" s="51">
        <v>46.61</v>
      </c>
      <c r="H18" s="52"/>
      <c r="I18" s="51">
        <v>17.71</v>
      </c>
      <c r="J18" s="52"/>
    </row>
    <row r="20" spans="2:10">
      <c r="B20" t="s">
        <v>194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2023-03-01T10:10:52Z</dcterms:created>
  <dcterms:modified xsi:type="dcterms:W3CDTF">2023-03-09T10:47:07Z</dcterms:modified>
</cp:coreProperties>
</file>