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93F116C9-02BE-4433-8083-8F1987FB4FF7}" xr6:coauthVersionLast="47" xr6:coauthVersionMax="47" xr10:uidLastSave="{00000000-0000-0000-0000-000000000000}"/>
  <bookViews>
    <workbookView xWindow="-120" yWindow="-120" windowWidth="20730" windowHeight="11040" xr2:uid="{2EB8A8DD-C5A0-4827-9F22-29A7009C5933}"/>
  </bookViews>
  <sheets>
    <sheet name="TBF" sheetId="1" r:id="rId1"/>
    <sheet name="TBF Performance" sheetId="3" r:id="rId2"/>
  </sheets>
  <externalReferences>
    <externalReference r:id="rId3"/>
    <externalReference r:id="rId4"/>
    <externalReference r:id="rId5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 localSheetId="1">'[1]TBF-Risk-o-meter &amp; Portfolio'!#REF!</definedName>
    <definedName name="XDO_?NAMC?">TBF!#REF!</definedName>
    <definedName name="XDO_?NAMC?1?" localSheetId="1">[2]TBFS!#REF!</definedName>
    <definedName name="XDO_?NAMC?1?">[3]TBFS!#REF!</definedName>
    <definedName name="XDO_?NAMC?2?" localSheetId="1">[2]TDF!#REF!</definedName>
    <definedName name="XDO_?NAMC?2?">[3]TDF!#REF!</definedName>
    <definedName name="XDO_?NAMC?3?" localSheetId="1">[2]TEF!#REF!</definedName>
    <definedName name="XDO_?NAMC?3?">[3]TEF!#REF!</definedName>
    <definedName name="XDO_?NAMC?4?" localSheetId="1">[2]TISF!#REF!</definedName>
    <definedName name="XDO_?NAMC?4?">[3]TISF!#REF!</definedName>
    <definedName name="XDO_?NAMC?5?" localSheetId="1">[2]TNI!#REF!</definedName>
    <definedName name="XDO_?NAMC?5?">[3]TNI!#REF!</definedName>
    <definedName name="XDO_?NAMC?6?" localSheetId="1">[2]TSS!#REF!</definedName>
    <definedName name="XDO_?NAMC?6?">[3]TSS!#REF!</definedName>
    <definedName name="XDO_?NAMC?7?" localSheetId="1">[2]TTS!#REF!</definedName>
    <definedName name="XDO_?NAMC?7?">[3]TTS!#REF!</definedName>
    <definedName name="XDO_?NAMCNAME?">TBF!$C$2:$C$45</definedName>
    <definedName name="XDO_?NDATE?" localSheetId="1">'[1]TBF-Risk-o-meter &amp; Portfolio'!#REF!</definedName>
    <definedName name="XDO_?NDATE?">TBF!#REF!</definedName>
    <definedName name="XDO_?NDATE?1?" localSheetId="1">[2]TBFS!#REF!</definedName>
    <definedName name="XDO_?NDATE?1?">[3]TBFS!#REF!</definedName>
    <definedName name="XDO_?NDATE?2?" localSheetId="1">[2]TDF!#REF!</definedName>
    <definedName name="XDO_?NDATE?2?">[3]TDF!#REF!</definedName>
    <definedName name="XDO_?NDATE?3?" localSheetId="1">[2]TEF!#REF!</definedName>
    <definedName name="XDO_?NDATE?3?">[3]TEF!#REF!</definedName>
    <definedName name="XDO_?NDATE?4?" localSheetId="1">[2]TISF!#REF!</definedName>
    <definedName name="XDO_?NDATE?4?">[3]TISF!#REF!</definedName>
    <definedName name="XDO_?NDATE?5?" localSheetId="1">[2]TNI!#REF!</definedName>
    <definedName name="XDO_?NDATE?5?">[3]TNI!#REF!</definedName>
    <definedName name="XDO_?NDATE?6?" localSheetId="1">[2]TSS!#REF!</definedName>
    <definedName name="XDO_?NDATE?6?">[3]TSS!#REF!</definedName>
    <definedName name="XDO_?NDATE?7?" localSheetId="1">[2]TTS!#REF!</definedName>
    <definedName name="XDO_?NDATE?7?">[3]TTS!#REF!</definedName>
    <definedName name="XDO_?NNPTF?" localSheetId="1">'[1]TBF-Risk-o-meter &amp; Portfolio'!#REF!</definedName>
    <definedName name="XDO_?NNPTF?">TBF!#REF!</definedName>
    <definedName name="XDO_?NNPTF?1?" localSheetId="1">[2]TBFS!#REF!</definedName>
    <definedName name="XDO_?NNPTF?1?">[3]TBFS!#REF!</definedName>
    <definedName name="XDO_?NNPTF?2?" localSheetId="1">[2]TDF!#REF!</definedName>
    <definedName name="XDO_?NNPTF?2?">[3]TDF!#REF!</definedName>
    <definedName name="XDO_?NNPTF?3?" localSheetId="1">[2]TEF!#REF!</definedName>
    <definedName name="XDO_?NNPTF?3?">[3]TEF!#REF!</definedName>
    <definedName name="XDO_?NNPTF?4?" localSheetId="1">[2]TISF!#REF!</definedName>
    <definedName name="XDO_?NNPTF?4?">[3]TISF!#REF!</definedName>
    <definedName name="XDO_?NNPTF?5?" localSheetId="1">[2]TNI!#REF!</definedName>
    <definedName name="XDO_?NNPTF?5?">[3]TNI!#REF!</definedName>
    <definedName name="XDO_?NNPTF?6?" localSheetId="1">[2]TSS!#REF!</definedName>
    <definedName name="XDO_?NNPTF?6?">[3]TSS!#REF!</definedName>
    <definedName name="XDO_?NNPTF?7?" localSheetId="1">[2]TTS!#REF!</definedName>
    <definedName name="XDO_?NNPTF?7?">[3]TTS!#REF!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<sst xmlns="http://schemas.openxmlformats.org/spreadsheetml/2006/main" count="281" uniqueCount="210">
  <si>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</si>
  <si>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</si>
  <si>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</si>
  <si>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</si>
  <si>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</si>
  <si>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</si>
  <si>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</si>
  <si>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</si>
  <si>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</si>
  <si>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</si>
  <si>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</si>
  <si>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</si>
  <si>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</si>
  <si>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</si>
  <si>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</si>
  <si>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</si>
  <si>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</si>
  <si>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</si>
  <si>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</si>
  <si>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</si>
  <si>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</si>
  <si>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</si>
  <si>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</si>
  <si>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</si>
  <si>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</si>
  <si>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</si>
  <si>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</si>
  <si>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</si>
  <si>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</si>
  <si>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100169</t>
  </si>
  <si>
    <t>Indian Oil Corporation Ltd.</t>
  </si>
  <si>
    <t>INE242A01010</t>
  </si>
  <si>
    <t>Petroleum Products</t>
  </si>
  <si>
    <t>100002</t>
  </si>
  <si>
    <t>Reliance Industries Ltd.</t>
  </si>
  <si>
    <t>INE002A01018</t>
  </si>
  <si>
    <t>100019</t>
  </si>
  <si>
    <t>ITC Ltd.</t>
  </si>
  <si>
    <t>INE154A01025</t>
  </si>
  <si>
    <t>Diversified FMCG</t>
  </si>
  <si>
    <t>100182</t>
  </si>
  <si>
    <t>Power Grid Corporation of India Ltd.</t>
  </si>
  <si>
    <t>INE752E01010</t>
  </si>
  <si>
    <t>Power</t>
  </si>
  <si>
    <t>101313</t>
  </si>
  <si>
    <t>Zomato Ltd.</t>
  </si>
  <si>
    <t>INE758T01015</t>
  </si>
  <si>
    <t>Retailing</t>
  </si>
  <si>
    <t>100024</t>
  </si>
  <si>
    <t>Axis Bank Ltd.</t>
  </si>
  <si>
    <t>INE238A01034</t>
  </si>
  <si>
    <t>100153</t>
  </si>
  <si>
    <t>Cipla Ltd.</t>
  </si>
  <si>
    <t>INE059A01026</t>
  </si>
  <si>
    <t>Pharmaceuticals &amp; Biotechnology</t>
  </si>
  <si>
    <t>100830</t>
  </si>
  <si>
    <t>Varun Beverages Ltd.</t>
  </si>
  <si>
    <t>INE200M01039</t>
  </si>
  <si>
    <t>Beverages</t>
  </si>
  <si>
    <t>100097</t>
  </si>
  <si>
    <t>Coal India Ltd.</t>
  </si>
  <si>
    <t>INE522F01014</t>
  </si>
  <si>
    <t>Consumable Fuels</t>
  </si>
  <si>
    <t>100302</t>
  </si>
  <si>
    <t>DLF Ltd.</t>
  </si>
  <si>
    <t>INE271C01023</t>
  </si>
  <si>
    <t>Realty</t>
  </si>
  <si>
    <t>100003</t>
  </si>
  <si>
    <t>Infosys Ltd.</t>
  </si>
  <si>
    <t>INE009A01021</t>
  </si>
  <si>
    <t>IT - Software</t>
  </si>
  <si>
    <t>100380</t>
  </si>
  <si>
    <t>Bajaj Finserv Ltd.</t>
  </si>
  <si>
    <t>INE918I01026</t>
  </si>
  <si>
    <t>Finance</t>
  </si>
  <si>
    <t>100083</t>
  </si>
  <si>
    <t>Samvardhana Motherson International Ltd.</t>
  </si>
  <si>
    <t>INE775A01035</t>
  </si>
  <si>
    <t>Auto Components</t>
  </si>
  <si>
    <t>100759</t>
  </si>
  <si>
    <t>The New India Assurance Co. Ltd.</t>
  </si>
  <si>
    <t>INE470Y01017</t>
  </si>
  <si>
    <t>Insurance</t>
  </si>
  <si>
    <t>100050</t>
  </si>
  <si>
    <t>Trent Ltd.</t>
  </si>
  <si>
    <t>INE849A01020</t>
  </si>
  <si>
    <t>100111</t>
  </si>
  <si>
    <t>Oil &amp; Natural Gas Corporation Ltd.</t>
  </si>
  <si>
    <t>INE213A01029</t>
  </si>
  <si>
    <t>Oil</t>
  </si>
  <si>
    <t>100122</t>
  </si>
  <si>
    <t>Union Bank of India</t>
  </si>
  <si>
    <t>INE692A01016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</si>
  <si>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</si>
  <si>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</si>
  <si>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</si>
  <si>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</si>
  <si>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</si>
  <si>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</si>
  <si>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</si>
  <si>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100112</t>
  </si>
  <si>
    <t>Punjab National Bank</t>
  </si>
  <si>
    <t>INE160A01022</t>
  </si>
  <si>
    <t>100008</t>
  </si>
  <si>
    <t>Sun Pharmaceutical Industries Ltd.</t>
  </si>
  <si>
    <t>INE044A01036</t>
  </si>
  <si>
    <t>100399</t>
  </si>
  <si>
    <t>Cholamandalam Investment &amp; Finance Co. Ltd.</t>
  </si>
  <si>
    <t>INE121A01024</t>
  </si>
  <si>
    <t>100119</t>
  </si>
  <si>
    <t>Tata Motors Ltd.</t>
  </si>
  <si>
    <t>INE155A01022</t>
  </si>
  <si>
    <t>102520</t>
  </si>
  <si>
    <t>Transrail Lighting Ltd.</t>
  </si>
  <si>
    <t>INE454P01035</t>
  </si>
  <si>
    <t>Electrical Equipment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</si>
  <si>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</si>
  <si>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</si>
  <si>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</si>
  <si>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</si>
  <si>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</si>
  <si>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</si>
  <si>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</si>
  <si>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100106</t>
  </si>
  <si>
    <t>Maruti Suzuki India Ltd.</t>
  </si>
  <si>
    <t>INE585B01010</t>
  </si>
  <si>
    <t>101178</t>
  </si>
  <si>
    <t>Computer Age Management Services Ltd.</t>
  </si>
  <si>
    <t>INE596I01012</t>
  </si>
  <si>
    <t>Capital Markets</t>
  </si>
  <si>
    <t>100081</t>
  </si>
  <si>
    <t>Titan Company Ltd.</t>
  </si>
  <si>
    <t>INE280A01028</t>
  </si>
  <si>
    <t>Consumer Durables</t>
  </si>
  <si>
    <t>102005</t>
  </si>
  <si>
    <t>Tata Technologies Ltd.</t>
  </si>
  <si>
    <t>INE142M01025</t>
  </si>
  <si>
    <t>IT - Services</t>
  </si>
  <si>
    <t>100155</t>
  </si>
  <si>
    <t>Divi's Laboratories Ltd.</t>
  </si>
  <si>
    <t>INE361B01024</t>
  </si>
  <si>
    <t>102554</t>
  </si>
  <si>
    <t>ITC Hotels Ltd.</t>
  </si>
  <si>
    <t>INE379A01028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</si>
  <si>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</si>
  <si>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</si>
  <si>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</si>
  <si>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</si>
  <si>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</si>
  <si>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</si>
  <si>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</si>
  <si>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</si>
  <si>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</si>
  <si>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</si>
  <si>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</si>
  <si>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</si>
  <si>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</si>
  <si>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</si>
  <si>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</si>
  <si>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</si>
  <si>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</si>
  <si>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</si>
  <si>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</si>
  <si>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</si>
  <si>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</si>
  <si>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</si>
  <si>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</si>
  <si>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</si>
  <si>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</si>
  <si>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</si>
  <si>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</si>
  <si>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</si>
  <si>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</si>
  <si>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</si>
  <si>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</si>
  <si>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</si>
  <si>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</si>
  <si>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</si>
  <si>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</si>
  <si>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</si>
  <si>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</si>
  <si>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</si>
  <si>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</si>
  <si>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</si>
  <si>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</si>
  <si>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</si>
  <si>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</si>
  <si>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</si>
  <si>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</si>
  <si>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</si>
  <si>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</si>
  <si>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</si>
  <si>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</si>
  <si>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</si>
  <si>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</si>
  <si>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</si>
  <si>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</si>
  <si>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</si>
  <si>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</si>
  <si>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</si>
  <si>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</si>
  <si>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</si>
  <si>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</si>
  <si>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</si>
  <si>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NAV [Rs.] Per Unit (as on March 28,2025 :146.08)</t>
  </si>
  <si>
    <t>NAV [Rs.] Per Unit (as on March 28,2025 :154.45)</t>
  </si>
  <si>
    <t>Scheme Returns calculated According to trading day 28.03.2025</t>
  </si>
  <si>
    <t>Taurus Largecap Fund - Regular Plan Growth Option</t>
  </si>
  <si>
    <t>BSE 100 TRI (Benchmark)</t>
  </si>
  <si>
    <t>Taurus Largecap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</si>
</sst>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13" fillId="0" borderId="0" xfId="0" applyFont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3650D23-C9EB-442A-9CBD-4E1B402A45B6}"/>
    <cellStyle name="Hyperlink" xfId="2" builtinId="8"/>
    <cellStyle name="Normal" xfId="0" builtinId="0"/>
    <cellStyle name="Normal 2" xfId="4" xr:uid="{338E4DCC-CE80-43DF-B107-5B27D209368D}"/>
    <cellStyle name="Style 1" xfId="3" xr:uid="{7A42EC62-0882-4052-B890-704047A463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6F8B6-5612-4C3D-AE4C-B620FA06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BF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BF_Half%20Yearly_Portfolio_March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F-Risk-o-meter &amp; Portfolio"/>
      <sheetName val="TBF Performance"/>
      <sheetName val="Annexur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B0DD-836C-4930-A1D4-CF6E104B469A}">
  <sheetPr codeName="Sheet1"/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21562</v>
      </c>
      <c r="H10" s="32">
        <v>394.26</v>
      </c>
      <c r="I10" s="32">
        <v>8.4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22452</v>
      </c>
      <c r="H11" s="32">
        <v>302.74</v>
      </c>
      <c r="I11" s="32">
        <v>6.45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9520</v>
      </c>
      <c r="H12" s="32">
        <v>253.84</v>
      </c>
      <c r="I12" s="32">
        <v>5.41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32804</v>
      </c>
      <c r="H13" s="32">
        <v>253.12</v>
      </c>
      <c r="I13" s="32">
        <v>5.39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164230</v>
      </c>
      <c r="H14" s="32">
        <v>209.8</v>
      </c>
      <c r="I14" s="32">
        <v>4.47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32</v>
      </c>
      <c r="G15" s="31">
        <v>16131</v>
      </c>
      <c r="H15" s="32">
        <v>205.67</v>
      </c>
      <c r="I15" s="32">
        <v>4.38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49580</v>
      </c>
      <c r="H16" s="32">
        <v>203.18</v>
      </c>
      <c r="I16" s="32">
        <v>4.33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58197</v>
      </c>
      <c r="H17" s="32">
        <v>169.03</v>
      </c>
      <c r="I17" s="32">
        <v>3.6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83623</v>
      </c>
      <c r="H18" s="32">
        <v>168.5</v>
      </c>
      <c r="I18" s="32">
        <v>3.59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14966</v>
      </c>
      <c r="H19" s="32">
        <v>164.91</v>
      </c>
      <c r="I19" s="32">
        <v>3.51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9475</v>
      </c>
      <c r="H20" s="32">
        <v>136.6</v>
      </c>
      <c r="I20" s="32">
        <v>2.91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24495</v>
      </c>
      <c r="H21" s="32">
        <v>132.18</v>
      </c>
      <c r="I21" s="32">
        <v>2.82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32167</v>
      </c>
      <c r="H22" s="32">
        <v>128.16999999999999</v>
      </c>
      <c r="I22" s="32">
        <v>2.73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18195</v>
      </c>
      <c r="H23" s="32">
        <v>123.82</v>
      </c>
      <c r="I23" s="32">
        <v>2.64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7839</v>
      </c>
      <c r="H24" s="32">
        <v>123.1</v>
      </c>
      <c r="I24" s="32">
        <v>2.62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5822</v>
      </c>
      <c r="H25" s="32">
        <v>116.79</v>
      </c>
      <c r="I25" s="32">
        <v>2.4900000000000002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86238</v>
      </c>
      <c r="H26" s="32">
        <v>112.97</v>
      </c>
      <c r="I26" s="32">
        <v>2.41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73035</v>
      </c>
      <c r="H27" s="32">
        <v>112.88</v>
      </c>
      <c r="I27" s="32">
        <v>2.41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47</v>
      </c>
      <c r="G28" s="31">
        <v>1974</v>
      </c>
      <c r="H28" s="32">
        <v>104.84</v>
      </c>
      <c r="I28" s="32">
        <v>2.23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42238</v>
      </c>
      <c r="H29" s="32">
        <v>104.07</v>
      </c>
      <c r="I29" s="32">
        <v>2.2200000000000002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18</v>
      </c>
      <c r="G30" s="31">
        <v>78850</v>
      </c>
      <c r="H30" s="32">
        <v>99.51</v>
      </c>
      <c r="I30" s="32">
        <v>2.12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5528</v>
      </c>
      <c r="H31" s="32">
        <v>95.69</v>
      </c>
      <c r="I31" s="32">
        <v>2.04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70</v>
      </c>
      <c r="G32" s="31">
        <v>5991</v>
      </c>
      <c r="H32" s="32">
        <v>95.31</v>
      </c>
      <c r="I32" s="32">
        <v>2.0299999999999998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18</v>
      </c>
      <c r="G33" s="31">
        <v>95975</v>
      </c>
      <c r="H33" s="32">
        <v>92.26</v>
      </c>
      <c r="I33" s="32">
        <v>1.97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54</v>
      </c>
      <c r="G34" s="31">
        <v>5074</v>
      </c>
      <c r="H34" s="32">
        <v>88.06</v>
      </c>
      <c r="I34" s="32">
        <v>1.88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74</v>
      </c>
      <c r="G35" s="31">
        <v>5188</v>
      </c>
      <c r="H35" s="32">
        <v>78.83</v>
      </c>
      <c r="I35" s="32">
        <v>1.68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25</v>
      </c>
      <c r="G36" s="31">
        <v>11596</v>
      </c>
      <c r="H36" s="32">
        <v>78.16</v>
      </c>
      <c r="I36" s="32">
        <v>1.67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16391</v>
      </c>
      <c r="H37" s="32">
        <v>75.8</v>
      </c>
      <c r="I37" s="32">
        <v>1.62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1868</v>
      </c>
      <c r="H38" s="32">
        <v>65.209999999999994</v>
      </c>
      <c r="I38" s="32">
        <v>1.39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43</v>
      </c>
      <c r="G39" s="31">
        <v>16514</v>
      </c>
      <c r="H39" s="32">
        <v>59.06</v>
      </c>
      <c r="I39" s="32">
        <v>1.26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25</v>
      </c>
      <c r="G40" s="31">
        <v>443</v>
      </c>
      <c r="H40" s="32">
        <v>51.04</v>
      </c>
      <c r="I40" s="32">
        <v>1.0900000000000001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1207</v>
      </c>
      <c r="H41" s="32">
        <v>44.84</v>
      </c>
      <c r="I41" s="32">
        <v>0.96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1393</v>
      </c>
      <c r="H42" s="32">
        <v>42.68</v>
      </c>
      <c r="I42" s="32">
        <v>0.91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5876</v>
      </c>
      <c r="H43" s="32">
        <v>39.85</v>
      </c>
      <c r="I43" s="32">
        <v>0.85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54</v>
      </c>
      <c r="G44" s="31">
        <v>398</v>
      </c>
      <c r="H44" s="32">
        <v>22.98</v>
      </c>
      <c r="I44" s="32">
        <v>0.49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4958</v>
      </c>
      <c r="H45" s="32">
        <v>9.7899999999999991</v>
      </c>
      <c r="I45" s="32">
        <v>0.21</v>
      </c>
      <c r="J45" s="33"/>
    </row>
    <row r="46" spans="2:10" x14ac:dyDescent="0.25">
      <c r="C46" s="28" t="s">
        <v>145</v>
      </c>
      <c r="D46" s="29"/>
      <c r="E46" s="30"/>
      <c r="F46" s="30"/>
      <c r="G46" s="31"/>
      <c r="H46" s="35">
        <v>4559.54</v>
      </c>
      <c r="I46" s="35">
        <v>97.18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146</v>
      </c>
      <c r="D48" s="29"/>
      <c r="E48" s="30"/>
      <c r="F48" s="30"/>
      <c r="G48" s="31"/>
      <c r="H48" s="32" t="s">
        <v>147</v>
      </c>
      <c r="I48" s="32" t="s">
        <v>147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148</v>
      </c>
      <c r="D50" s="29"/>
      <c r="E50" s="30"/>
      <c r="F50" s="30"/>
      <c r="G50" s="31"/>
      <c r="H50" s="32" t="s">
        <v>147</v>
      </c>
      <c r="I50" s="32" t="s">
        <v>147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149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150</v>
      </c>
      <c r="D54" s="29"/>
      <c r="E54" s="30"/>
      <c r="F54" s="30"/>
      <c r="G54" s="31"/>
      <c r="H54" s="32" t="s">
        <v>147</v>
      </c>
      <c r="I54" s="32" t="s">
        <v>147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151</v>
      </c>
      <c r="D56" s="29"/>
      <c r="E56" s="30"/>
      <c r="F56" s="30"/>
      <c r="G56" s="31"/>
      <c r="H56" s="32" t="s">
        <v>147</v>
      </c>
      <c r="I56" s="32" t="s">
        <v>147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152</v>
      </c>
      <c r="D58" s="29"/>
      <c r="E58" s="30"/>
      <c r="F58" s="30"/>
      <c r="G58" s="31"/>
      <c r="H58" s="32" t="s">
        <v>147</v>
      </c>
      <c r="I58" s="32" t="s">
        <v>147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153</v>
      </c>
      <c r="D60" s="29"/>
      <c r="E60" s="30"/>
      <c r="F60" s="30"/>
      <c r="G60" s="31"/>
      <c r="H60" s="32" t="s">
        <v>147</v>
      </c>
      <c r="I60" s="32" t="s">
        <v>147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154</v>
      </c>
      <c r="D62" s="29"/>
      <c r="E62" s="30"/>
      <c r="F62" s="30"/>
      <c r="G62" s="31"/>
      <c r="H62" s="32" t="s">
        <v>147</v>
      </c>
      <c r="I62" s="32" t="s">
        <v>147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155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156</v>
      </c>
      <c r="D66" s="29"/>
      <c r="E66" s="30"/>
      <c r="F66" s="30"/>
      <c r="G66" s="31"/>
      <c r="H66" s="32" t="s">
        <v>147</v>
      </c>
      <c r="I66" s="32" t="s">
        <v>147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157</v>
      </c>
      <c r="D68" s="29"/>
      <c r="E68" s="30"/>
      <c r="F68" s="30"/>
      <c r="G68" s="31"/>
      <c r="H68" s="32" t="s">
        <v>147</v>
      </c>
      <c r="I68" s="32" t="s">
        <v>147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158</v>
      </c>
      <c r="D70" s="29"/>
      <c r="E70" s="30"/>
      <c r="F70" s="30"/>
      <c r="G70" s="31"/>
      <c r="H70" s="32" t="s">
        <v>147</v>
      </c>
      <c r="I70" s="32" t="s">
        <v>147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159</v>
      </c>
      <c r="D72" s="29"/>
      <c r="E72" s="30"/>
      <c r="F72" s="30"/>
      <c r="G72" s="31"/>
      <c r="H72" s="32" t="s">
        <v>147</v>
      </c>
      <c r="I72" s="32" t="s">
        <v>147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160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161</v>
      </c>
      <c r="D76" s="29"/>
      <c r="E76" s="30"/>
      <c r="F76" s="30"/>
      <c r="G76" s="31"/>
      <c r="H76" s="32" t="s">
        <v>147</v>
      </c>
      <c r="I76" s="32" t="s">
        <v>147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162</v>
      </c>
      <c r="D78" s="29"/>
      <c r="E78" s="30"/>
      <c r="F78" s="30"/>
      <c r="G78" s="31"/>
      <c r="H78" s="32" t="s">
        <v>147</v>
      </c>
      <c r="I78" s="32" t="s">
        <v>147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163</v>
      </c>
      <c r="D80" s="29"/>
      <c r="E80" s="30"/>
      <c r="F80" s="30"/>
      <c r="G80" s="31"/>
      <c r="H80" s="32" t="s">
        <v>147</v>
      </c>
      <c r="I80" s="32" t="s">
        <v>147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164</v>
      </c>
      <c r="D82" s="29"/>
      <c r="E82" s="30"/>
      <c r="F82" s="30"/>
      <c r="G82" s="31"/>
      <c r="H82" s="32" t="s">
        <v>147</v>
      </c>
      <c r="I82" s="32" t="s">
        <v>147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165</v>
      </c>
      <c r="D84" s="29"/>
      <c r="E84" s="30"/>
      <c r="F84" s="30"/>
      <c r="G84" s="31"/>
      <c r="H84" s="32" t="s">
        <v>147</v>
      </c>
      <c r="I84" s="32" t="s">
        <v>147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166</v>
      </c>
      <c r="D86" s="29"/>
      <c r="E86" s="30"/>
      <c r="F86" s="30"/>
      <c r="G86" s="31"/>
      <c r="H86" s="32" t="s">
        <v>147</v>
      </c>
      <c r="I86" s="32" t="s">
        <v>147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167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168</v>
      </c>
      <c r="D89" s="29"/>
      <c r="E89" s="30"/>
      <c r="F89" s="30"/>
      <c r="G89" s="31"/>
      <c r="H89" s="32">
        <v>132.22</v>
      </c>
      <c r="I89" s="32">
        <v>2.82</v>
      </c>
      <c r="J89" s="33"/>
    </row>
    <row r="90" spans="1:10" x14ac:dyDescent="0.25">
      <c r="C90" s="28" t="s">
        <v>145</v>
      </c>
      <c r="D90" s="29"/>
      <c r="E90" s="30"/>
      <c r="F90" s="30"/>
      <c r="G90" s="31"/>
      <c r="H90" s="35">
        <v>132.22</v>
      </c>
      <c r="I90" s="35">
        <v>2.82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169</v>
      </c>
      <c r="D92" s="37"/>
      <c r="E92" s="38"/>
      <c r="F92" s="39"/>
      <c r="G92" s="40"/>
      <c r="H92" s="41">
        <v>4691.76</v>
      </c>
      <c r="I92" s="41">
        <f>SUMIFS(I:I,C:C,"Total")</f>
        <v>100</v>
      </c>
      <c r="J92" s="42"/>
    </row>
    <row r="95" spans="1:10" x14ac:dyDescent="0.25">
      <c r="C95" s="11" t="s">
        <v>170</v>
      </c>
    </row>
    <row r="96" spans="1:10" x14ac:dyDescent="0.25">
      <c r="C96" s="2" t="s">
        <v>171</v>
      </c>
    </row>
    <row r="97" spans="3:5" x14ac:dyDescent="0.25">
      <c r="C97" s="2" t="s">
        <v>172</v>
      </c>
    </row>
    <row r="98" spans="3:5" x14ac:dyDescent="0.25">
      <c r="C98" s="2" t="s">
        <v>173</v>
      </c>
    </row>
    <row r="99" spans="3:5" x14ac:dyDescent="0.25">
      <c r="C99" s="2" t="s">
        <v>174</v>
      </c>
    </row>
    <row r="100" spans="3:5" x14ac:dyDescent="0.25">
      <c r="C100" s="2" t="s">
        <v>175</v>
      </c>
    </row>
    <row r="101" spans="3:5" x14ac:dyDescent="0.25">
      <c r="C101" s="2" t="s">
        <v>176</v>
      </c>
    </row>
    <row r="102" spans="3:5" x14ac:dyDescent="0.25">
      <c r="D102" s="2" t="s">
        <v>177</v>
      </c>
    </row>
    <row r="103" spans="3:5" x14ac:dyDescent="0.25">
      <c r="C103" s="2" t="s">
        <v>178</v>
      </c>
      <c r="D103" s="2" t="s">
        <v>179</v>
      </c>
      <c r="E103" s="2" t="s">
        <v>179</v>
      </c>
    </row>
    <row r="104" spans="3:5" x14ac:dyDescent="0.25">
      <c r="D104" s="2" t="s">
        <v>180</v>
      </c>
      <c r="E104" s="2" t="s">
        <v>181</v>
      </c>
    </row>
    <row r="105" spans="3:5" x14ac:dyDescent="0.25">
      <c r="C105" s="2" t="s">
        <v>182</v>
      </c>
      <c r="D105" s="2">
        <v>60.08</v>
      </c>
      <c r="E105" s="2">
        <v>63.98</v>
      </c>
    </row>
    <row r="106" spans="3:5" x14ac:dyDescent="0.25">
      <c r="C106" s="2" t="s">
        <v>183</v>
      </c>
      <c r="D106" s="2">
        <v>137.15</v>
      </c>
      <c r="E106" s="2">
        <v>146.04</v>
      </c>
    </row>
    <row r="107" spans="3:5" x14ac:dyDescent="0.25">
      <c r="C107" s="2" t="s">
        <v>184</v>
      </c>
      <c r="D107" s="2">
        <v>63.87</v>
      </c>
      <c r="E107" s="2">
        <v>68.02</v>
      </c>
    </row>
    <row r="108" spans="3:5" x14ac:dyDescent="0.25">
      <c r="C108" s="2" t="s">
        <v>185</v>
      </c>
      <c r="D108" s="2">
        <v>144.99</v>
      </c>
      <c r="E108" s="2">
        <v>154.41999999999999</v>
      </c>
    </row>
    <row r="110" spans="3:5" x14ac:dyDescent="0.25">
      <c r="C110" s="2" t="s">
        <v>186</v>
      </c>
    </row>
    <row r="111" spans="3:5" x14ac:dyDescent="0.25">
      <c r="C111" s="2" t="s">
        <v>187</v>
      </c>
    </row>
    <row r="112" spans="3:5" x14ac:dyDescent="0.25">
      <c r="C112" s="2" t="s">
        <v>188</v>
      </c>
    </row>
    <row r="113" spans="3:3" x14ac:dyDescent="0.25">
      <c r="C113" s="2" t="s">
        <v>189</v>
      </c>
    </row>
    <row r="114" spans="3:3" x14ac:dyDescent="0.25">
      <c r="C114" s="2" t="s">
        <v>190</v>
      </c>
    </row>
    <row r="115" spans="3:3" x14ac:dyDescent="0.25">
      <c r="C115" s="2" t="s">
        <v>191</v>
      </c>
    </row>
    <row r="116" spans="3:3" x14ac:dyDescent="0.25">
      <c r="C116" s="2" t="s">
        <v>192</v>
      </c>
    </row>
    <row r="117" spans="3:3" x14ac:dyDescent="0.25">
      <c r="C117" s="2" t="s">
        <v>193</v>
      </c>
    </row>
    <row r="118" spans="3:3" x14ac:dyDescent="0.25">
      <c r="C118" s="2" t="s">
        <v>194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D963-F587-4C62-B7E5-D089C51EC979}">
  <dimension ref="B3:J19"/>
  <sheetViews>
    <sheetView workbookViewId="0"/>
  </sheetViews>
  <sheetFormatPr defaultRowHeight="15" x14ac:dyDescent="0.25"/>
  <cols>
    <col min="2" max="2" width="48.42578125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207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195</v>
      </c>
      <c r="C4" s="53" t="s">
        <v>196</v>
      </c>
      <c r="D4" s="53"/>
      <c r="E4" s="53" t="s">
        <v>197</v>
      </c>
      <c r="F4" s="53"/>
      <c r="G4" s="53" t="s">
        <v>198</v>
      </c>
      <c r="H4" s="53"/>
      <c r="I4" s="54" t="s">
        <v>199</v>
      </c>
      <c r="J4" s="54"/>
    </row>
    <row r="5" spans="2:10" ht="63.75" x14ac:dyDescent="0.25">
      <c r="B5" s="46"/>
      <c r="C5" s="47" t="s">
        <v>200</v>
      </c>
      <c r="D5" s="47" t="s">
        <v>201</v>
      </c>
      <c r="E5" s="47" t="s">
        <v>200</v>
      </c>
      <c r="F5" s="47" t="s">
        <v>201</v>
      </c>
      <c r="G5" s="47" t="s">
        <v>200</v>
      </c>
      <c r="H5" s="47" t="s">
        <v>201</v>
      </c>
      <c r="I5" s="48" t="s">
        <v>200</v>
      </c>
      <c r="J5" s="48" t="s">
        <v>201</v>
      </c>
    </row>
    <row r="6" spans="2:10" x14ac:dyDescent="0.25">
      <c r="B6" s="49" t="s">
        <v>202</v>
      </c>
      <c r="C6" s="50">
        <v>3.4047999999999998</v>
      </c>
      <c r="D6" s="50">
        <v>10340.482763502512</v>
      </c>
      <c r="E6" s="50">
        <v>13.125500000000001</v>
      </c>
      <c r="F6" s="50">
        <v>14482.006543075246</v>
      </c>
      <c r="G6" s="50">
        <v>20.685099999999998</v>
      </c>
      <c r="H6" s="50">
        <v>25628.070175438599</v>
      </c>
      <c r="I6" s="50">
        <v>10.674899999999999</v>
      </c>
      <c r="J6" s="50">
        <v>146080</v>
      </c>
    </row>
    <row r="7" spans="2:10" x14ac:dyDescent="0.25">
      <c r="B7" s="49" t="s">
        <v>208</v>
      </c>
      <c r="C7" s="50">
        <v>6.8207000000000004</v>
      </c>
      <c r="D7" s="50">
        <v>10682.07</v>
      </c>
      <c r="E7" s="50">
        <v>13.547800000000001</v>
      </c>
      <c r="F7" s="50">
        <v>14639.834677472352</v>
      </c>
      <c r="G7" s="50">
        <v>24.656400000000001</v>
      </c>
      <c r="H7" s="50">
        <v>30100.444079683915</v>
      </c>
      <c r="I7" s="50">
        <v>12.2926</v>
      </c>
      <c r="J7" s="50">
        <v>327717.97683880292</v>
      </c>
    </row>
    <row r="8" spans="2:10" x14ac:dyDescent="0.25">
      <c r="B8" s="49" t="s">
        <v>203</v>
      </c>
      <c r="C8" s="50">
        <v>6.6536</v>
      </c>
      <c r="D8" s="50">
        <v>10665.359999999999</v>
      </c>
      <c r="E8" s="50">
        <v>12.262</v>
      </c>
      <c r="F8" s="50">
        <v>14148.106663687278</v>
      </c>
      <c r="G8" s="50">
        <v>23.486899999999999</v>
      </c>
      <c r="H8" s="50">
        <v>28714.710455893492</v>
      </c>
      <c r="I8" s="50">
        <v>12.4894</v>
      </c>
      <c r="J8" s="50">
        <v>345453.14749953285</v>
      </c>
    </row>
    <row r="9" spans="2:10" x14ac:dyDescent="0.25">
      <c r="B9" s="49" t="s">
        <v>204</v>
      </c>
      <c r="C9" s="55">
        <v>141.27000000000001</v>
      </c>
      <c r="D9" s="56"/>
      <c r="E9" s="55">
        <v>100.87</v>
      </c>
      <c r="F9" s="56"/>
      <c r="G9" s="55">
        <v>57</v>
      </c>
      <c r="H9" s="56"/>
      <c r="I9" s="55">
        <v>10</v>
      </c>
      <c r="J9" s="56"/>
    </row>
    <row r="11" spans="2:10" ht="15.75" x14ac:dyDescent="0.25">
      <c r="B11" s="43" t="s">
        <v>209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195</v>
      </c>
      <c r="C12" s="53" t="s">
        <v>196</v>
      </c>
      <c r="D12" s="53"/>
      <c r="E12" s="53" t="s">
        <v>197</v>
      </c>
      <c r="F12" s="53"/>
      <c r="G12" s="53" t="s">
        <v>198</v>
      </c>
      <c r="H12" s="53"/>
      <c r="I12" s="54" t="s">
        <v>199</v>
      </c>
      <c r="J12" s="54"/>
    </row>
    <row r="13" spans="2:10" ht="63.75" x14ac:dyDescent="0.25">
      <c r="B13" s="46"/>
      <c r="C13" s="47" t="s">
        <v>200</v>
      </c>
      <c r="D13" s="47" t="s">
        <v>201</v>
      </c>
      <c r="E13" s="47" t="s">
        <v>200</v>
      </c>
      <c r="F13" s="47" t="s">
        <v>201</v>
      </c>
      <c r="G13" s="47" t="s">
        <v>200</v>
      </c>
      <c r="H13" s="47" t="s">
        <v>201</v>
      </c>
      <c r="I13" s="48" t="s">
        <v>200</v>
      </c>
      <c r="J13" s="48" t="s">
        <v>201</v>
      </c>
    </row>
    <row r="14" spans="2:10" x14ac:dyDescent="0.25">
      <c r="B14" s="49" t="s">
        <v>202</v>
      </c>
      <c r="C14" s="50">
        <v>3.5396000000000001</v>
      </c>
      <c r="D14" s="50">
        <v>10353.958570758195</v>
      </c>
      <c r="E14" s="50">
        <v>13.2387</v>
      </c>
      <c r="F14" s="50">
        <v>14525.533715790461</v>
      </c>
      <c r="G14" s="50">
        <v>20.799800000000001</v>
      </c>
      <c r="H14" s="50">
        <v>25750.250083361119</v>
      </c>
      <c r="I14" s="50">
        <v>10.6541</v>
      </c>
      <c r="J14" s="50">
        <v>34692.273135669362</v>
      </c>
    </row>
    <row r="15" spans="2:10" x14ac:dyDescent="0.25">
      <c r="B15" s="49" t="s">
        <v>208</v>
      </c>
      <c r="C15" s="50">
        <v>6.8207000000000004</v>
      </c>
      <c r="D15" s="50">
        <v>10682.07</v>
      </c>
      <c r="E15" s="50">
        <v>13.547800000000001</v>
      </c>
      <c r="F15" s="50">
        <v>14639.834677472352</v>
      </c>
      <c r="G15" s="50">
        <v>24.656400000000001</v>
      </c>
      <c r="H15" s="50">
        <v>30100.444079683915</v>
      </c>
      <c r="I15" s="50">
        <v>13.5977</v>
      </c>
      <c r="J15" s="50">
        <v>47602.759697161258</v>
      </c>
    </row>
    <row r="16" spans="2:10" x14ac:dyDescent="0.25">
      <c r="B16" s="49" t="s">
        <v>203</v>
      </c>
      <c r="C16" s="50">
        <v>6.6536</v>
      </c>
      <c r="D16" s="50">
        <v>10665.359999999999</v>
      </c>
      <c r="E16" s="50">
        <v>12.262</v>
      </c>
      <c r="F16" s="50">
        <v>14148.106663687278</v>
      </c>
      <c r="G16" s="50">
        <v>23.486899999999999</v>
      </c>
      <c r="H16" s="50">
        <v>28714.710455893492</v>
      </c>
      <c r="I16" s="50">
        <v>13.152699999999999</v>
      </c>
      <c r="J16" s="50">
        <v>45370.171521828001</v>
      </c>
    </row>
    <row r="17" spans="2:10" x14ac:dyDescent="0.25">
      <c r="B17" s="51" t="s">
        <v>205</v>
      </c>
      <c r="C17" s="55">
        <v>149.16999999999999</v>
      </c>
      <c r="D17" s="56"/>
      <c r="E17" s="55">
        <v>106.33</v>
      </c>
      <c r="F17" s="56"/>
      <c r="G17" s="55">
        <v>59.98</v>
      </c>
      <c r="H17" s="56"/>
      <c r="I17" s="55">
        <v>44.52</v>
      </c>
      <c r="J17" s="56"/>
    </row>
    <row r="19" spans="2:10" x14ac:dyDescent="0.25">
      <c r="B19" s="52" t="s">
        <v>206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2025-04-05T11:09:20Z</dcterms:created>
  <dcterms:modified xsi:type="dcterms:W3CDTF">2025-04-08T11:00:05Z</dcterms:modified>
</cp:coreProperties>
</file>