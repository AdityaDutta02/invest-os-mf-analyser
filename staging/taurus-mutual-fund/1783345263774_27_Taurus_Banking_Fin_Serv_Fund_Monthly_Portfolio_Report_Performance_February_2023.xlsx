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Portfolio'!$C$8:$C$26</definedName>
    <definedName name="XDO_?FINAL_ISIN?1?">'TBFS - Risk-O-Meter &amp; Portfolio'!$D$10:$D$26</definedName>
    <definedName name="XDO_?FINAL_ISIN?2?">'TBFS - Risk-O-Meter &amp; Portfolio'!$D$10:$D$68</definedName>
    <definedName name="XDO_?FINAL_MV?1?">'TBFS - Risk-O-Meter &amp; Portfolio'!$H$10:$H$26</definedName>
    <definedName name="XDO_?FINAL_MV?2?">'TBFS - Risk-O-Meter &amp; Portfolio'!$H$10:$H$68</definedName>
    <definedName name="XDO_?FINAL_NAME?1?">'TBFS - Risk-O-Meter &amp; Portfolio'!$C$10:$C$26</definedName>
    <definedName name="XDO_?FINAL_NAME?2?">'TBFS - Risk-O-Meter &amp; Portfolio'!$C$10:$C$68</definedName>
    <definedName name="XDO_?FINAL_PER_NET?1?">'TBFS - Risk-O-Meter &amp; Portfolio'!$I$10:$I$26</definedName>
    <definedName name="XDO_?FINAL_PER_NET?2?">'TBFS - Risk-O-Meter &amp; Portfolio'!$I$10:$I$68</definedName>
    <definedName name="XDO_?FINAL_QUANTITE?1?">'TBFS - Risk-O-Meter &amp; Portfolio'!$G$10:$G$26</definedName>
    <definedName name="XDO_?FINAL_QUANTITE?2?">'TBFS - Risk-O-Meter &amp; Portfolio'!$G$10:$G$68</definedName>
    <definedName name="XDO_?IND_01?1?">'TBFS - Risk-O-Meter &amp; Portfolio'!$F$10:$F$26</definedName>
    <definedName name="XDO_?IND_01?2?">'TBFS - Risk-O-Meter &amp; Portfolio'!$F$10:$F$68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Portfolio'!$C$2:$C$26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Portfolio'!$B$10:$B$26</definedName>
    <definedName name="XDO_?NOVAL?2?">'TBFS - Risk-O-Meter &amp; Portfolio'!$B$10:$B$68</definedName>
    <definedName name="XDO_?NPTF?1?">'TBFS - Risk-O-Meter &amp; Portfolio'!$D$2:$D$26</definedName>
    <definedName name="XDO_?RATING?1?">'TBFS - Risk-O-Meter &amp; Portfolio'!$E$10:$E$26</definedName>
    <definedName name="XDO_?RATING?2?">'TBFS - Risk-O-Meter &amp; Portfolio'!$E$10:$E$68</definedName>
    <definedName name="XDO_?REMARKS?1?">'TBFS - Risk-O-Meter &amp; Portfolio'!$J$10:$J$26</definedName>
    <definedName name="XDO_?REMARKS?2?">'TBFS - Risk-O-Meter &amp; Portfolio'!$J$10:$J$68</definedName>
    <definedName name="XDO_?TITL?1?">'TBFS - Risk-O-Meter &amp; Portfolio'!$A$8:$A$26</definedName>
    <definedName name="XDO_GROUP_?G_2?1?">'TBFS - Risk-O-Meter &amp; Portfolio'!$2:$71</definedName>
    <definedName name="XDO_GROUP_?G_3?1?">'TBFS - Risk-O-Meter &amp; Portfolio'!$8:$70</definedName>
    <definedName name="XDO_GROUP_?G_4?1?">'TBFS - Risk-O-Meter &amp; Portfolio'!$B$10:$IV$26</definedName>
    <definedName name="XDO_GROUP_?G_4?2?">'TBFS - Risk-O-Meter &amp; Portfolio'!$B$68:$IV$68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1"/>
</calcChain>
</file>

<file path=xl/sharedStrings.xml><?xml version="1.0" encoding="utf-8"?>
<sst xmlns="http://schemas.openxmlformats.org/spreadsheetml/2006/main" count="179" uniqueCount="112">
  <si>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</si>
  <si>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</si>
  <si>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</si>
  <si>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</si>
  <si>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</si>
  <si>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</si>
  <si>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</si>
  <si>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</si>
  <si>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</si>
  <si>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</si>
  <si>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</si>
  <si>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</si>
  <si>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</si>
  <si>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</si>
  <si>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</si>
  <si>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</si>
  <si>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</si>
  <si>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</si>
  <si>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</si>
  <si>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</si>
  <si>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</si>
  <si>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</si>
  <si>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</si>
  <si>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</si>
  <si>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</si>
  <si>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100104</t>
  </si>
  <si>
    <t>Kotak Mahindra Bank Ltd.</t>
  </si>
  <si>
    <t>INE237A01028</t>
  </si>
  <si>
    <t>100024</t>
  </si>
  <si>
    <t>Axis Bank Ltd.</t>
  </si>
  <si>
    <t>INE238A01034</t>
  </si>
  <si>
    <t>100112</t>
  </si>
  <si>
    <t>Punjab National Bank</t>
  </si>
  <si>
    <t>INE160A01022</t>
  </si>
  <si>
    <t>100399</t>
  </si>
  <si>
    <t>Cholamandalam Investment &amp; Finance Co. Ltd.</t>
  </si>
  <si>
    <t>INE121A01024</t>
  </si>
  <si>
    <t>Finance</t>
  </si>
  <si>
    <t>100325</t>
  </si>
  <si>
    <t>Bajaj Holdings &amp; Investment Ltd.</t>
  </si>
  <si>
    <t>INE118A01012</t>
  </si>
  <si>
    <t>100013</t>
  </si>
  <si>
    <t>IndusInd Bank Ltd.</t>
  </si>
  <si>
    <t>INE095A01012</t>
  </si>
  <si>
    <t>100067</t>
  </si>
  <si>
    <t>DCB Bank Ltd.</t>
  </si>
  <si>
    <t>INE503A01015</t>
  </si>
  <si>
    <t>100148</t>
  </si>
  <si>
    <t>Motilal Oswal Financial Services Ltd.</t>
  </si>
  <si>
    <t>INE338I01027</t>
  </si>
  <si>
    <t>Capital Markets</t>
  </si>
  <si>
    <t>100055</t>
  </si>
  <si>
    <t>The Federal Bank Ltd.</t>
  </si>
  <si>
    <t>INE171A01029</t>
  </si>
  <si>
    <t>100125</t>
  </si>
  <si>
    <t>Bajaj Finance Ltd.</t>
  </si>
  <si>
    <t>INE296A01024</t>
  </si>
  <si>
    <t>100122</t>
  </si>
  <si>
    <t>Union Bank of India</t>
  </si>
  <si>
    <t>INE692A01016</t>
  </si>
  <si>
    <t>100701</t>
  </si>
  <si>
    <t>Nippon Life India Asset Management Ltd.</t>
  </si>
  <si>
    <t>INE298J01013</t>
  </si>
  <si>
    <t>100294</t>
  </si>
  <si>
    <t>IIFL Finance Ltd.</t>
  </si>
  <si>
    <t>INE530B01024</t>
  </si>
  <si>
    <t>100684</t>
  </si>
  <si>
    <t>SBI Life Insurance Company Ltd.</t>
  </si>
  <si>
    <t>INE123W01016</t>
  </si>
  <si>
    <t>Insurance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</si>
  <si>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</si>
  <si>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</si>
  <si>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</si>
  <si>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</si>
  <si>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</si>
  <si>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</si>
  <si>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</si>
  <si>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</si>
  <si>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</si>
  <si>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</si>
  <si>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</si>
  <si>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</si>
  <si>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</si>
  <si>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</si>
  <si>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</si>
  <si>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</si>
  <si>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</si>
  <si>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</si>
  <si>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</si>
  <si>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</si>
  <si>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</si>
  <si>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</si>
  <si>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</si>
  <si>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</si>
  <si>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</si>
  <si>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</si>
  <si>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</si>
  <si>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</si>
  <si>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</si>
  <si>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</si>
  <si>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</si>
  <si>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</si>
  <si>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</si>
  <si>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</si>
  <si>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</si>
  <si>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</si>
  <si>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</si>
  <si>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</si>
  <si>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</si>
  <si>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February 28, 2023 : 36.67)</t>
  </si>
  <si>
    <t>Taurus Banking &amp; Financial Services Fund - Direct Plan Growth Option</t>
  </si>
  <si>
    <t>NAV [Rs.] Per Unit (as on February 28, 2023 : 40.24)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</si>
</sst>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banking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77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3.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44985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11000</v>
      </c>
      <c r="H10" s="32">
        <v>176.14</v>
      </c>
      <c r="I10" s="32">
        <v>19.78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143.58000000000001</v>
      </c>
      <c r="I11" s="32">
        <v>16.12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16700</v>
      </c>
      <c r="H12" s="32">
        <v>87.3</v>
      </c>
      <c r="I12" s="32">
        <v>9.8000000000000007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5000</v>
      </c>
      <c r="H13" s="32">
        <v>86.45</v>
      </c>
      <c r="I13" s="32">
        <v>9.7100000000000009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8000</v>
      </c>
      <c r="H14" s="32">
        <v>67.5</v>
      </c>
      <c r="I14" s="32">
        <v>7.58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100000</v>
      </c>
      <c r="H15" s="32">
        <v>48.35</v>
      </c>
      <c r="I15" s="32">
        <v>5.43</v>
      </c>
      <c r="J15" s="33"/>
    </row>
    <row r="16" spans="1:54">
      <c r="B16" s="1" t="s">
        <v>34</v>
      </c>
      <c r="C16" s="20" t="s">
        <v>35</v>
      </c>
      <c r="D16" s="29" t="s">
        <v>36</v>
      </c>
      <c r="E16" s="30"/>
      <c r="F16" s="30" t="s">
        <v>37</v>
      </c>
      <c r="G16" s="31">
        <v>6250</v>
      </c>
      <c r="H16" s="32">
        <v>47.28</v>
      </c>
      <c r="I16" s="32">
        <v>5.31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37</v>
      </c>
      <c r="G17" s="31">
        <v>600</v>
      </c>
      <c r="H17" s="32">
        <v>37.56</v>
      </c>
      <c r="I17" s="32">
        <v>4.22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3250</v>
      </c>
      <c r="H18" s="32">
        <v>35.03</v>
      </c>
      <c r="I18" s="32">
        <v>3.93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26000</v>
      </c>
      <c r="H19" s="32">
        <v>29.25</v>
      </c>
      <c r="I19" s="32">
        <v>3.28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50</v>
      </c>
      <c r="G20" s="31">
        <v>4450</v>
      </c>
      <c r="H20" s="32">
        <v>26.7</v>
      </c>
      <c r="I20" s="32">
        <v>3</v>
      </c>
      <c r="J20" s="33"/>
    </row>
    <row r="21" spans="2:10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18000</v>
      </c>
      <c r="H21" s="32">
        <v>23.24</v>
      </c>
      <c r="I21" s="32">
        <v>2.61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37</v>
      </c>
      <c r="G22" s="31">
        <v>361</v>
      </c>
      <c r="H22" s="32">
        <v>22.08</v>
      </c>
      <c r="I22" s="32">
        <v>2.48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18</v>
      </c>
      <c r="G23" s="31">
        <v>30000</v>
      </c>
      <c r="H23" s="32">
        <v>20.16</v>
      </c>
      <c r="I23" s="32">
        <v>2.2599999999999998</v>
      </c>
      <c r="J23" s="33"/>
    </row>
    <row r="24" spans="2:10">
      <c r="B24" s="1" t="s">
        <v>60</v>
      </c>
      <c r="C24" s="20" t="s">
        <v>61</v>
      </c>
      <c r="D24" s="29" t="s">
        <v>62</v>
      </c>
      <c r="E24" s="30"/>
      <c r="F24" s="30" t="s">
        <v>50</v>
      </c>
      <c r="G24" s="31">
        <v>6000</v>
      </c>
      <c r="H24" s="32">
        <v>13.3</v>
      </c>
      <c r="I24" s="32">
        <v>1.49</v>
      </c>
      <c r="J24" s="33"/>
    </row>
    <row r="25" spans="2:10">
      <c r="B25" s="1" t="s">
        <v>63</v>
      </c>
      <c r="C25" s="20" t="s">
        <v>64</v>
      </c>
      <c r="D25" s="29" t="s">
        <v>65</v>
      </c>
      <c r="E25" s="30"/>
      <c r="F25" s="30" t="s">
        <v>37</v>
      </c>
      <c r="G25" s="31">
        <v>2500</v>
      </c>
      <c r="H25" s="32">
        <v>10.73</v>
      </c>
      <c r="I25" s="32">
        <v>1.2</v>
      </c>
      <c r="J25" s="33"/>
    </row>
    <row r="26" spans="2:10">
      <c r="B26" s="1" t="s">
        <v>66</v>
      </c>
      <c r="C26" s="20" t="s">
        <v>67</v>
      </c>
      <c r="D26" s="29" t="s">
        <v>68</v>
      </c>
      <c r="E26" s="30"/>
      <c r="F26" s="30" t="s">
        <v>69</v>
      </c>
      <c r="G26" s="31">
        <v>600</v>
      </c>
      <c r="H26" s="32">
        <v>6.72</v>
      </c>
      <c r="I26" s="32">
        <v>0.75</v>
      </c>
      <c r="J26" s="33"/>
    </row>
    <row r="27" spans="2:10">
      <c r="C27" s="28" t="s">
        <v>70</v>
      </c>
      <c r="D27" s="29"/>
      <c r="E27" s="30"/>
      <c r="F27" s="30"/>
      <c r="G27" s="31"/>
      <c r="H27" s="35">
        <v>881.37</v>
      </c>
      <c r="I27" s="35">
        <v>98.95</v>
      </c>
      <c r="J27" s="33"/>
    </row>
    <row r="28" spans="2:10">
      <c r="C28" s="20"/>
      <c r="D28" s="29"/>
      <c r="E28" s="30"/>
      <c r="F28" s="30"/>
      <c r="G28" s="31"/>
      <c r="H28" s="32"/>
      <c r="I28" s="32"/>
      <c r="J28" s="33"/>
    </row>
    <row r="29" spans="2:10">
      <c r="C29" s="28" t="s">
        <v>71</v>
      </c>
      <c r="D29" s="29"/>
      <c r="E29" s="30"/>
      <c r="F29" s="30"/>
      <c r="G29" s="31"/>
      <c r="H29" s="32" t="s">
        <v>72</v>
      </c>
      <c r="I29" s="32" t="s">
        <v>72</v>
      </c>
      <c r="J29" s="33"/>
    </row>
    <row r="30" spans="2:10">
      <c r="C30" s="20"/>
      <c r="D30" s="29"/>
      <c r="E30" s="30"/>
      <c r="F30" s="30"/>
      <c r="G30" s="31"/>
      <c r="H30" s="32"/>
      <c r="I30" s="32"/>
      <c r="J30" s="33"/>
    </row>
    <row r="31" spans="2:10">
      <c r="C31" s="28" t="s">
        <v>73</v>
      </c>
      <c r="D31" s="29"/>
      <c r="E31" s="30"/>
      <c r="F31" s="30"/>
      <c r="G31" s="31"/>
      <c r="H31" s="32" t="s">
        <v>72</v>
      </c>
      <c r="I31" s="32" t="s">
        <v>72</v>
      </c>
      <c r="J31" s="33"/>
    </row>
    <row r="32" spans="2:10">
      <c r="C32" s="20"/>
      <c r="D32" s="29"/>
      <c r="E32" s="30"/>
      <c r="F32" s="30"/>
      <c r="G32" s="31"/>
      <c r="H32" s="32"/>
      <c r="I32" s="32"/>
      <c r="J32" s="33"/>
    </row>
    <row r="33" spans="3:10">
      <c r="C33" s="28" t="s">
        <v>74</v>
      </c>
      <c r="D33" s="29"/>
      <c r="E33" s="30"/>
      <c r="F33" s="30"/>
      <c r="G33" s="31"/>
      <c r="H33" s="32"/>
      <c r="I33" s="32"/>
      <c r="J33" s="33"/>
    </row>
    <row r="34" spans="3:10">
      <c r="C34" s="20"/>
      <c r="D34" s="29"/>
      <c r="E34" s="30"/>
      <c r="F34" s="30"/>
      <c r="G34" s="31"/>
      <c r="H34" s="32"/>
      <c r="I34" s="32"/>
      <c r="J34" s="33"/>
    </row>
    <row r="35" spans="3:10">
      <c r="C35" s="28" t="s">
        <v>75</v>
      </c>
      <c r="D35" s="29"/>
      <c r="E35" s="30"/>
      <c r="F35" s="30"/>
      <c r="G35" s="31"/>
      <c r="H35" s="32" t="s">
        <v>72</v>
      </c>
      <c r="I35" s="32" t="s">
        <v>72</v>
      </c>
      <c r="J35" s="33"/>
    </row>
    <row r="36" spans="3:10">
      <c r="C36" s="20"/>
      <c r="D36" s="29"/>
      <c r="E36" s="30"/>
      <c r="F36" s="30"/>
      <c r="G36" s="31"/>
      <c r="H36" s="32"/>
      <c r="I36" s="32"/>
      <c r="J36" s="33"/>
    </row>
    <row r="37" spans="3:10">
      <c r="C37" s="28" t="s">
        <v>76</v>
      </c>
      <c r="D37" s="29"/>
      <c r="E37" s="30"/>
      <c r="F37" s="30"/>
      <c r="G37" s="31"/>
      <c r="H37" s="32" t="s">
        <v>72</v>
      </c>
      <c r="I37" s="32" t="s">
        <v>72</v>
      </c>
      <c r="J37" s="33"/>
    </row>
    <row r="38" spans="3:10">
      <c r="C38" s="20"/>
      <c r="D38" s="29"/>
      <c r="E38" s="30"/>
      <c r="F38" s="30"/>
      <c r="G38" s="31"/>
      <c r="H38" s="32"/>
      <c r="I38" s="32"/>
      <c r="J38" s="33"/>
    </row>
    <row r="39" spans="3:10">
      <c r="C39" s="28" t="s">
        <v>77</v>
      </c>
      <c r="D39" s="29"/>
      <c r="E39" s="30"/>
      <c r="F39" s="30"/>
      <c r="G39" s="31"/>
      <c r="H39" s="32" t="s">
        <v>72</v>
      </c>
      <c r="I39" s="32" t="s">
        <v>72</v>
      </c>
      <c r="J39" s="33"/>
    </row>
    <row r="40" spans="3:10">
      <c r="C40" s="20"/>
      <c r="D40" s="29"/>
      <c r="E40" s="30"/>
      <c r="F40" s="30"/>
      <c r="G40" s="31"/>
      <c r="H40" s="32"/>
      <c r="I40" s="32"/>
      <c r="J40" s="33"/>
    </row>
    <row r="41" spans="3:10">
      <c r="C41" s="28" t="s">
        <v>78</v>
      </c>
      <c r="D41" s="29"/>
      <c r="E41" s="30"/>
      <c r="F41" s="30"/>
      <c r="G41" s="31"/>
      <c r="H41" s="32" t="s">
        <v>72</v>
      </c>
      <c r="I41" s="32" t="s">
        <v>72</v>
      </c>
      <c r="J41" s="33"/>
    </row>
    <row r="42" spans="3:10">
      <c r="C42" s="20"/>
      <c r="D42" s="29"/>
      <c r="E42" s="30"/>
      <c r="F42" s="30"/>
      <c r="G42" s="31"/>
      <c r="H42" s="32"/>
      <c r="I42" s="32"/>
      <c r="J42" s="33"/>
    </row>
    <row r="43" spans="3:10">
      <c r="C43" s="28" t="s">
        <v>79</v>
      </c>
      <c r="D43" s="29"/>
      <c r="E43" s="30"/>
      <c r="F43" s="30"/>
      <c r="G43" s="31"/>
      <c r="H43" s="32" t="s">
        <v>72</v>
      </c>
      <c r="I43" s="32" t="s">
        <v>72</v>
      </c>
      <c r="J43" s="33"/>
    </row>
    <row r="44" spans="3:10">
      <c r="C44" s="20"/>
      <c r="D44" s="29"/>
      <c r="E44" s="30"/>
      <c r="F44" s="30"/>
      <c r="G44" s="31"/>
      <c r="H44" s="32"/>
      <c r="I44" s="32"/>
      <c r="J44" s="33"/>
    </row>
    <row r="45" spans="3:10">
      <c r="C45" s="28" t="s">
        <v>80</v>
      </c>
      <c r="D45" s="29"/>
      <c r="E45" s="30"/>
      <c r="F45" s="30"/>
      <c r="G45" s="31"/>
      <c r="H45" s="32"/>
      <c r="I45" s="32"/>
      <c r="J45" s="33"/>
    </row>
    <row r="46" spans="3:10">
      <c r="C46" s="20"/>
      <c r="D46" s="29"/>
      <c r="E46" s="30"/>
      <c r="F46" s="30"/>
      <c r="G46" s="31"/>
      <c r="H46" s="32"/>
      <c r="I46" s="32"/>
      <c r="J46" s="33"/>
    </row>
    <row r="47" spans="3:10">
      <c r="C47" s="28" t="s">
        <v>81</v>
      </c>
      <c r="D47" s="29"/>
      <c r="E47" s="30"/>
      <c r="F47" s="30"/>
      <c r="G47" s="31"/>
      <c r="H47" s="32" t="s">
        <v>72</v>
      </c>
      <c r="I47" s="32" t="s">
        <v>72</v>
      </c>
      <c r="J47" s="33"/>
    </row>
    <row r="48" spans="3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82</v>
      </c>
      <c r="D49" s="29"/>
      <c r="E49" s="30"/>
      <c r="F49" s="30"/>
      <c r="G49" s="31"/>
      <c r="H49" s="32" t="s">
        <v>72</v>
      </c>
      <c r="I49" s="32" t="s">
        <v>72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83</v>
      </c>
      <c r="D51" s="29"/>
      <c r="E51" s="30"/>
      <c r="F51" s="30"/>
      <c r="G51" s="31"/>
      <c r="H51" s="32" t="s">
        <v>72</v>
      </c>
      <c r="I51" s="32" t="s">
        <v>72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84</v>
      </c>
      <c r="D53" s="29"/>
      <c r="E53" s="30"/>
      <c r="F53" s="30"/>
      <c r="G53" s="31"/>
      <c r="H53" s="32" t="s">
        <v>72</v>
      </c>
      <c r="I53" s="32" t="s">
        <v>72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85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86</v>
      </c>
      <c r="D57" s="29"/>
      <c r="E57" s="30"/>
      <c r="F57" s="30"/>
      <c r="G57" s="31"/>
      <c r="H57" s="32" t="s">
        <v>72</v>
      </c>
      <c r="I57" s="32" t="s">
        <v>72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87</v>
      </c>
      <c r="D59" s="29"/>
      <c r="E59" s="30"/>
      <c r="F59" s="30"/>
      <c r="G59" s="31"/>
      <c r="H59" s="32" t="s">
        <v>72</v>
      </c>
      <c r="I59" s="32" t="s">
        <v>72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88</v>
      </c>
      <c r="D61" s="29"/>
      <c r="E61" s="30"/>
      <c r="F61" s="30"/>
      <c r="G61" s="31"/>
      <c r="H61" s="32" t="s">
        <v>72</v>
      </c>
      <c r="I61" s="32" t="s">
        <v>72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89</v>
      </c>
      <c r="D63" s="29"/>
      <c r="E63" s="30"/>
      <c r="F63" s="30"/>
      <c r="G63" s="31"/>
      <c r="H63" s="32" t="s">
        <v>72</v>
      </c>
      <c r="I63" s="32" t="s">
        <v>72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90</v>
      </c>
      <c r="D65" s="29"/>
      <c r="E65" s="30"/>
      <c r="F65" s="30"/>
      <c r="G65" s="31"/>
      <c r="H65" s="32" t="s">
        <v>72</v>
      </c>
      <c r="I65" s="32" t="s">
        <v>72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A67" s="26"/>
      <c r="B67" s="27"/>
      <c r="C67" s="28" t="s">
        <v>91</v>
      </c>
      <c r="D67" s="29"/>
      <c r="E67" s="30"/>
      <c r="F67" s="30"/>
      <c r="G67" s="31"/>
      <c r="H67" s="32"/>
      <c r="I67" s="32"/>
      <c r="J67" s="33"/>
    </row>
    <row r="68" spans="1:10">
      <c r="B68" s="1"/>
      <c r="C68" s="20" t="s">
        <v>92</v>
      </c>
      <c r="D68" s="29"/>
      <c r="E68" s="30"/>
      <c r="F68" s="30"/>
      <c r="G68" s="31"/>
      <c r="H68" s="32">
        <v>9.2100000000000009</v>
      </c>
      <c r="I68" s="32">
        <v>1.05</v>
      </c>
      <c r="J68" s="33"/>
    </row>
    <row r="69" spans="1:10">
      <c r="C69" s="28" t="s">
        <v>70</v>
      </c>
      <c r="D69" s="29"/>
      <c r="E69" s="30"/>
      <c r="F69" s="30"/>
      <c r="G69" s="31"/>
      <c r="H69" s="35">
        <v>9.2100000000000009</v>
      </c>
      <c r="I69" s="35">
        <v>1.05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 ht="13.5" thickBot="1">
      <c r="C71" s="36" t="s">
        <v>93</v>
      </c>
      <c r="D71" s="37"/>
      <c r="E71" s="38"/>
      <c r="F71" s="39"/>
      <c r="G71" s="40"/>
      <c r="H71" s="41">
        <v>890.58</v>
      </c>
      <c r="I71" s="41">
        <f>SUMIFS(I:I,C:C,"Total")</f>
        <v>100</v>
      </c>
      <c r="J71" s="42"/>
    </row>
    <row r="74" spans="1:10">
      <c r="C74" s="11" t="s">
        <v>94</v>
      </c>
    </row>
    <row r="75" spans="1:10">
      <c r="C75" s="2" t="s">
        <v>95</v>
      </c>
    </row>
    <row r="76" spans="1:10">
      <c r="C76" s="2" t="s">
        <v>96</v>
      </c>
    </row>
    <row r="77" spans="1:10">
      <c r="C77" s="2" t="s">
        <v>97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55.140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98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99</v>
      </c>
      <c r="C5" s="46" t="s">
        <v>100</v>
      </c>
      <c r="D5" s="46"/>
      <c r="E5" s="46" t="s">
        <v>101</v>
      </c>
      <c r="F5" s="46"/>
      <c r="G5" s="46" t="s">
        <v>102</v>
      </c>
      <c r="H5" s="46"/>
      <c r="I5" s="46" t="s">
        <v>103</v>
      </c>
      <c r="J5" s="46"/>
    </row>
    <row r="6" spans="2:10" ht="63.75">
      <c r="B6" s="47"/>
      <c r="C6" s="48" t="s">
        <v>104</v>
      </c>
      <c r="D6" s="48" t="s">
        <v>105</v>
      </c>
      <c r="E6" s="48" t="s">
        <v>104</v>
      </c>
      <c r="F6" s="48" t="s">
        <v>105</v>
      </c>
      <c r="G6" s="48" t="s">
        <v>104</v>
      </c>
      <c r="H6" s="48" t="s">
        <v>105</v>
      </c>
      <c r="I6" s="48" t="s">
        <v>104</v>
      </c>
      <c r="J6" s="48" t="s">
        <v>105</v>
      </c>
    </row>
    <row r="7" spans="2:10">
      <c r="B7" s="49" t="s">
        <v>106</v>
      </c>
      <c r="C7" s="50">
        <v>10.087060942659853</v>
      </c>
      <c r="D7" s="50">
        <v>11008.706094265986</v>
      </c>
      <c r="E7" s="50">
        <v>9.8852213977899552</v>
      </c>
      <c r="F7" s="50">
        <v>13271.806007962361</v>
      </c>
      <c r="G7" s="50">
        <v>10.792745635080859</v>
      </c>
      <c r="H7" s="50">
        <v>16698.542805100184</v>
      </c>
      <c r="I7" s="50">
        <v>12.8090546678711</v>
      </c>
      <c r="J7" s="50">
        <v>36670</v>
      </c>
    </row>
    <row r="8" spans="2:10">
      <c r="B8" s="49" t="s">
        <v>107</v>
      </c>
      <c r="C8" s="50">
        <v>10.343149209951763</v>
      </c>
      <c r="D8" s="50">
        <v>11034.314920995177</v>
      </c>
      <c r="E8" s="50">
        <v>11.312913970532691</v>
      </c>
      <c r="F8" s="50">
        <v>13792.29875477753</v>
      </c>
      <c r="G8" s="50">
        <v>10.387120018756812</v>
      </c>
      <c r="H8" s="50">
        <v>16390.492903859547</v>
      </c>
      <c r="I8" s="50">
        <v>15.328514547277416</v>
      </c>
      <c r="J8" s="50">
        <v>46511.337092608897</v>
      </c>
    </row>
    <row r="9" spans="2:10">
      <c r="B9" s="49" t="s">
        <v>108</v>
      </c>
      <c r="C9" s="50">
        <v>4.2705236324582341</v>
      </c>
      <c r="D9" s="50">
        <v>10427.052363245823</v>
      </c>
      <c r="E9" s="50">
        <v>16.977100801067714</v>
      </c>
      <c r="F9" s="50">
        <v>16006.727826404724</v>
      </c>
      <c r="G9" s="50">
        <v>11.886258528558491</v>
      </c>
      <c r="H9" s="50">
        <v>17534.111201090232</v>
      </c>
      <c r="I9" s="50">
        <v>13.925917940865729</v>
      </c>
      <c r="J9" s="50">
        <v>40764.521852782753</v>
      </c>
    </row>
    <row r="10" spans="2:10">
      <c r="B10" s="49" t="s">
        <v>109</v>
      </c>
      <c r="C10" s="51">
        <v>33.31</v>
      </c>
      <c r="D10" s="52"/>
      <c r="E10" s="51">
        <v>27.63</v>
      </c>
      <c r="F10" s="52"/>
      <c r="G10" s="51">
        <v>21.96</v>
      </c>
      <c r="H10" s="52"/>
      <c r="I10" s="51">
        <v>10</v>
      </c>
      <c r="J10" s="52"/>
    </row>
    <row r="12" spans="2:10" ht="15.75">
      <c r="B12" s="43" t="s">
        <v>110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99</v>
      </c>
      <c r="C13" s="46" t="s">
        <v>100</v>
      </c>
      <c r="D13" s="46"/>
      <c r="E13" s="46" t="s">
        <v>101</v>
      </c>
      <c r="F13" s="46"/>
      <c r="G13" s="46" t="s">
        <v>102</v>
      </c>
      <c r="H13" s="46"/>
      <c r="I13" s="46" t="s">
        <v>103</v>
      </c>
      <c r="J13" s="46"/>
    </row>
    <row r="14" spans="2:10" ht="63.75">
      <c r="B14" s="47"/>
      <c r="C14" s="48" t="s">
        <v>104</v>
      </c>
      <c r="D14" s="48" t="s">
        <v>105</v>
      </c>
      <c r="E14" s="48" t="s">
        <v>104</v>
      </c>
      <c r="F14" s="48" t="s">
        <v>105</v>
      </c>
      <c r="G14" s="48" t="s">
        <v>104</v>
      </c>
      <c r="H14" s="48" t="s">
        <v>105</v>
      </c>
      <c r="I14" s="48" t="s">
        <v>104</v>
      </c>
      <c r="J14" s="48" t="s">
        <v>105</v>
      </c>
    </row>
    <row r="15" spans="2:10">
      <c r="B15" s="49" t="s">
        <v>106</v>
      </c>
      <c r="C15" s="50">
        <v>10.945685139233529</v>
      </c>
      <c r="D15" s="50">
        <v>11094.568513923354</v>
      </c>
      <c r="E15" s="50">
        <v>10.693464704353573</v>
      </c>
      <c r="F15" s="50">
        <v>13567.09372892785</v>
      </c>
      <c r="G15" s="50">
        <v>11.665786728934702</v>
      </c>
      <c r="H15" s="50">
        <v>17367.285282693138</v>
      </c>
      <c r="I15" s="50">
        <v>11.222638097947456</v>
      </c>
      <c r="J15" s="50">
        <v>29479.853479853482</v>
      </c>
    </row>
    <row r="16" spans="2:10">
      <c r="B16" s="49" t="s">
        <v>107</v>
      </c>
      <c r="C16" s="50">
        <v>10.343149209951763</v>
      </c>
      <c r="D16" s="50">
        <v>11034.314920995177</v>
      </c>
      <c r="E16" s="50">
        <v>11.312913970532691</v>
      </c>
      <c r="F16" s="50">
        <v>13792.29875477753</v>
      </c>
      <c r="G16" s="50">
        <v>10.387120018756812</v>
      </c>
      <c r="H16" s="50">
        <v>16390.492903859547</v>
      </c>
      <c r="I16" s="50">
        <v>12.564657519582267</v>
      </c>
      <c r="J16" s="50">
        <v>33301.990773107442</v>
      </c>
    </row>
    <row r="17" spans="2:10">
      <c r="B17" s="49" t="s">
        <v>108</v>
      </c>
      <c r="C17" s="50">
        <v>4.2705236324582341</v>
      </c>
      <c r="D17" s="50">
        <v>10427.052363245823</v>
      </c>
      <c r="E17" s="50">
        <v>16.977100801067714</v>
      </c>
      <c r="F17" s="50">
        <v>16006.727826404724</v>
      </c>
      <c r="G17" s="50">
        <v>11.886258528558491</v>
      </c>
      <c r="H17" s="50">
        <v>17534.111201090232</v>
      </c>
      <c r="I17" s="50">
        <v>12.357526966124155</v>
      </c>
      <c r="J17" s="50">
        <v>32684.352191201997</v>
      </c>
    </row>
    <row r="18" spans="2:10">
      <c r="B18" s="49" t="s">
        <v>111</v>
      </c>
      <c r="C18" s="51">
        <v>36.270000000000003</v>
      </c>
      <c r="D18" s="52"/>
      <c r="E18" s="51">
        <v>29.66</v>
      </c>
      <c r="F18" s="52"/>
      <c r="G18" s="51">
        <v>23.17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2023-03-01T10:10:51Z</dcterms:created>
  <dcterms:modified xsi:type="dcterms:W3CDTF">2023-03-09T10:45:24Z</dcterms:modified>
</cp:coreProperties>
</file>