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Performance'!$C$8:$C$53</definedName>
    <definedName name="XDO_?FINAL_ISIN?7?">'TISF-Risk-O-Meter &amp; Performance'!$D$10:$D$53</definedName>
    <definedName name="XDO_?FINAL_ISIN?8?">'TISF-Risk-O-Meter &amp; Performance'!$D$10:$D$95</definedName>
    <definedName name="XDO_?FINAL_MV?7?">'TISF-Risk-O-Meter &amp; Performance'!$H$10:$H$53</definedName>
    <definedName name="XDO_?FINAL_MV?8?">'TISF-Risk-O-Meter &amp; Performance'!$H$10:$H$95</definedName>
    <definedName name="XDO_?FINAL_NAME?7?">'TISF-Risk-O-Meter &amp; Performance'!$C$10:$C$53</definedName>
    <definedName name="XDO_?FINAL_NAME?8?">'TISF-Risk-O-Meter &amp; Performance'!$C$10:$C$95</definedName>
    <definedName name="XDO_?FINAL_PER_NET?7?">'TISF-Risk-O-Meter &amp; Performance'!$I$10:$I$53</definedName>
    <definedName name="XDO_?FINAL_PER_NET?8?">'TISF-Risk-O-Meter &amp; Performance'!$I$10:$I$95</definedName>
    <definedName name="XDO_?FINAL_QUANTITE?7?">'TISF-Risk-O-Meter &amp; Performance'!$G$10:$G$53</definedName>
    <definedName name="XDO_?FINAL_QUANTITE?8?">'TISF-Risk-O-Meter &amp; Performance'!$G$10:$G$95</definedName>
    <definedName name="XDO_?IND_01?7?">'TISF-Risk-O-Meter &amp; Performance'!$F$10:$F$53</definedName>
    <definedName name="XDO_?IND_01?8?">'TISF-Risk-O-Meter &amp; Performance'!$F$10:$F$95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Performance'!$B$10:$B$53</definedName>
    <definedName name="XDO_?NOVAL?8?">'TISF-Risk-O-Meter &amp; Performance'!$B$10:$B$95</definedName>
    <definedName name="XDO_?NPTF?4?">'TISF-Risk-O-Meter &amp; Performance'!$D$2:$D$53</definedName>
    <definedName name="XDO_?RATING?7?">'TISF-Risk-O-Meter &amp; Performance'!$E$10:$E$53</definedName>
    <definedName name="XDO_?RATING?8?">'TISF-Risk-O-Meter &amp; Performance'!$E$10:$E$95</definedName>
    <definedName name="XDO_?REMARKS?7?">'TISF-Risk-O-Meter &amp; Performance'!$J$10:$J$53</definedName>
    <definedName name="XDO_?REMARKS?8?">'TISF-Risk-O-Meter &amp; Performance'!$J$10:$J$95</definedName>
    <definedName name="XDO_?TITL?4?">'TISF-Risk-O-Meter &amp; Performance'!$A$8:$A$53</definedName>
    <definedName name="XDO_GROUP_?G_2?4?">'TISF-Risk-O-Meter &amp; Performance'!$2:$98</definedName>
    <definedName name="XDO_GROUP_?G_3?4?">'TISF-Risk-O-Meter &amp; Performance'!$8:$97</definedName>
    <definedName name="XDO_GROUP_?G_4?7?">'TISF-Risk-O-Meter &amp; Performance'!$B$10:$IV$53</definedName>
    <definedName name="XDO_GROUP_?G_4?8?">'TISF-Risk-O-Meter &amp; Performance'!$B$95:$IV$95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<sst xmlns="http://schemas.openxmlformats.org/spreadsheetml/2006/main" count="287" uniqueCount="212">
  <si>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</si>
  <si>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</si>
  <si>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</si>
  <si>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</si>
  <si>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</si>
  <si>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</si>
  <si>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</si>
  <si>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</si>
  <si>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</si>
  <si>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</si>
  <si>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</si>
  <si>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</si>
  <si>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</si>
  <si>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</si>
  <si>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</si>
  <si>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</si>
  <si>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</si>
  <si>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</si>
  <si>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</si>
  <si>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</si>
  <si>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</si>
  <si>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</si>
  <si>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</si>
  <si>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</si>
  <si>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</si>
  <si>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</si>
  <si>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</si>
  <si>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</si>
  <si>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</si>
  <si>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</si>
  <si>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</si>
  <si>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100108</t>
  </si>
  <si>
    <t>Adani Ports and Special Economic Zone Ltd.</t>
  </si>
  <si>
    <t>INE742F01042</t>
  </si>
  <si>
    <t>Transportation</t>
  </si>
  <si>
    <t>100816</t>
  </si>
  <si>
    <t>APL Apollo Tubes Ltd.</t>
  </si>
  <si>
    <t>INE702C01027</t>
  </si>
  <si>
    <t>Ferrous Metals</t>
  </si>
  <si>
    <t>100095</t>
  </si>
  <si>
    <t>Bharti Airtel Ltd.</t>
  </si>
  <si>
    <t>INE397D01024</t>
  </si>
  <si>
    <t>Telecom - Services</t>
  </si>
  <si>
    <t>100654</t>
  </si>
  <si>
    <t>Automotive Axles Ltd.</t>
  </si>
  <si>
    <t>INE449A01011</t>
  </si>
  <si>
    <t>Auto Ancillaries</t>
  </si>
  <si>
    <t>100143</t>
  </si>
  <si>
    <t>Thermax Ltd.</t>
  </si>
  <si>
    <t>INE152A01029</t>
  </si>
  <si>
    <t>Industrial Capital Goods</t>
  </si>
  <si>
    <t>100315</t>
  </si>
  <si>
    <t>Prestige Estates Projects Ltd.</t>
  </si>
  <si>
    <t>INE811K01011</t>
  </si>
  <si>
    <t>Construction</t>
  </si>
  <si>
    <t>101412</t>
  </si>
  <si>
    <t>Punjab Chemicals &amp; Crop Protection Ltd.</t>
  </si>
  <si>
    <t>INE277B01014</t>
  </si>
  <si>
    <t>Pesticides</t>
  </si>
  <si>
    <t>100571</t>
  </si>
  <si>
    <t>KNR Constructions Ltd.</t>
  </si>
  <si>
    <t>INE634I01029</t>
  </si>
  <si>
    <t>100461</t>
  </si>
  <si>
    <t>Astral Limited</t>
  </si>
  <si>
    <t>INE006I01046</t>
  </si>
  <si>
    <t>Industrial Products</t>
  </si>
  <si>
    <t>101415</t>
  </si>
  <si>
    <t>HINDUSTAN OIL EXPLORATION CO.LTD.</t>
  </si>
  <si>
    <t>INE345A01011</t>
  </si>
  <si>
    <t>Oil</t>
  </si>
  <si>
    <t>100282</t>
  </si>
  <si>
    <t>Blue Star Ltd.</t>
  </si>
  <si>
    <t>INE472A01039</t>
  </si>
  <si>
    <t>Consumer Durables</t>
  </si>
  <si>
    <t>100586</t>
  </si>
  <si>
    <t>Ratnamani Metals &amp; Tubes Ltd.</t>
  </si>
  <si>
    <t>INE703B01027</t>
  </si>
  <si>
    <t>100130</t>
  </si>
  <si>
    <t>Gujarat Gas Ltd.</t>
  </si>
  <si>
    <t>INE844O01030</t>
  </si>
  <si>
    <t>Gas</t>
  </si>
  <si>
    <t>100374</t>
  </si>
  <si>
    <t>CESC Ltd.</t>
  </si>
  <si>
    <t>INE486A01021</t>
  </si>
  <si>
    <t>101348</t>
  </si>
  <si>
    <t>Ami Organics Ltd.</t>
  </si>
  <si>
    <t>INE00FF01017</t>
  </si>
  <si>
    <t>Pharmaceuticals</t>
  </si>
  <si>
    <t>100115</t>
  </si>
  <si>
    <t>Siemens Ltd.</t>
  </si>
  <si>
    <t>INE003A01024</t>
  </si>
  <si>
    <t>100183</t>
  </si>
  <si>
    <t>Vedanta Ltd.</t>
  </si>
  <si>
    <t>INE205A01025</t>
  </si>
  <si>
    <t>Non - Ferrous Metals</t>
  </si>
  <si>
    <t>100001</t>
  </si>
  <si>
    <t>Housing Development Finance Corporation Ltd.</t>
  </si>
  <si>
    <t>INE001A01036</t>
  </si>
  <si>
    <t>Finance</t>
  </si>
  <si>
    <t>100151</t>
  </si>
  <si>
    <t>3M India Ltd.</t>
  </si>
  <si>
    <t>INE470A01017</t>
  </si>
  <si>
    <t>Consumer Non Durables</t>
  </si>
  <si>
    <t>100378</t>
  </si>
  <si>
    <t>Jindal Steel &amp; Power Ltd.</t>
  </si>
  <si>
    <t>INE749A01030</t>
  </si>
  <si>
    <t>100144</t>
  </si>
  <si>
    <t>Voltas Ltd.</t>
  </si>
  <si>
    <t>INE226A01021</t>
  </si>
  <si>
    <t>100243</t>
  </si>
  <si>
    <t>Multi Commodity Exchange of India Ltd.</t>
  </si>
  <si>
    <t>INE745G01035</t>
  </si>
  <si>
    <t>Capital Markets</t>
  </si>
  <si>
    <t>100161</t>
  </si>
  <si>
    <t>Cummins India Ltd.</t>
  </si>
  <si>
    <t>INE298A01020</t>
  </si>
  <si>
    <t>100399</t>
  </si>
  <si>
    <t>Cholamandalam Investment &amp; Finance Co. Ltd.</t>
  </si>
  <si>
    <t>INE121A01024</t>
  </si>
  <si>
    <t>100096</t>
  </si>
  <si>
    <t>Container Corporation of India Ltd.</t>
  </si>
  <si>
    <t>INE111A01025</t>
  </si>
  <si>
    <t>100232</t>
  </si>
  <si>
    <t>Bharat Bijlee Ltd.</t>
  </si>
  <si>
    <t>INE464A01028</t>
  </si>
  <si>
    <t>100271</t>
  </si>
  <si>
    <t>Balkrishna Industries Ltd.</t>
  </si>
  <si>
    <t>INE787D01026</t>
  </si>
  <si>
    <t>100168</t>
  </si>
  <si>
    <t>Escorts Ltd.</t>
  </si>
  <si>
    <t>INE042A01014</t>
  </si>
  <si>
    <t>Auto</t>
  </si>
  <si>
    <t>100137</t>
  </si>
  <si>
    <t>The Ramco Cements Ltd.</t>
  </si>
  <si>
    <t>INE331A01037</t>
  </si>
  <si>
    <t>100193</t>
  </si>
  <si>
    <t>JSW Steel Ltd.</t>
  </si>
  <si>
    <t>INE019A01038</t>
  </si>
  <si>
    <t>101152</t>
  </si>
  <si>
    <t>Sumitomo Chemical India Ltd.</t>
  </si>
  <si>
    <t>INE258G01013</t>
  </si>
  <si>
    <t>100314</t>
  </si>
  <si>
    <t>SRF Ltd.</t>
  </si>
  <si>
    <t>INE647A01010</t>
  </si>
  <si>
    <t>Chemicals</t>
  </si>
  <si>
    <t>100114</t>
  </si>
  <si>
    <t>Shriram Transport Finance Company Ltd.</t>
  </si>
  <si>
    <t>INE721A01013</t>
  </si>
  <si>
    <t>100553</t>
  </si>
  <si>
    <t>Kennametal India Ltd.</t>
  </si>
  <si>
    <t>INE717A01029</t>
  </si>
  <si>
    <t>100661</t>
  </si>
  <si>
    <t>Central Depository Services (I) Ltd.</t>
  </si>
  <si>
    <t>INE736A01011</t>
  </si>
  <si>
    <t>100365</t>
  </si>
  <si>
    <t>Ashok Leyland Ltd.</t>
  </si>
  <si>
    <t>INE208A01029</t>
  </si>
  <si>
    <t>100405</t>
  </si>
  <si>
    <t>TeamLease Services Ltd.</t>
  </si>
  <si>
    <t>INE985S01024</t>
  </si>
  <si>
    <t>Commercial Services</t>
  </si>
  <si>
    <t>100561</t>
  </si>
  <si>
    <t>RHI MAGNESITA INDIA Ltd.</t>
  </si>
  <si>
    <t>INE743M01012</t>
  </si>
  <si>
    <t>100446</t>
  </si>
  <si>
    <t>V.S.T Tillers Tractors Ltd.</t>
  </si>
  <si>
    <t>INE764D01017</t>
  </si>
  <si>
    <t>100090</t>
  </si>
  <si>
    <t>Bharat Forge Ltd.</t>
  </si>
  <si>
    <t>INE465A01025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</si>
  <si>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</si>
  <si>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</si>
  <si>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</si>
  <si>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</si>
  <si>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</si>
  <si>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</si>
  <si>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</si>
  <si>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</si>
  <si>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</si>
  <si>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</si>
  <si>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</si>
  <si>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</si>
  <si>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</si>
  <si>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</si>
  <si>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</si>
  <si>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</si>
  <si>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</si>
  <si>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</si>
  <si>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</si>
  <si>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</si>
  <si>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</si>
  <si>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</si>
  <si>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</si>
  <si>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</si>
  <si>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</si>
  <si>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</si>
  <si>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</si>
  <si>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</si>
  <si>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</si>
  <si>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</si>
  <si>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</si>
  <si>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</si>
  <si>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</si>
  <si>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</si>
  <si>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</si>
  <si>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</si>
  <si>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</si>
  <si>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</si>
  <si>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</si>
  <si>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December 31, 2021 : 38.28)</t>
  </si>
  <si>
    <t>Taurus Infrastructure Fund - Direct Plan Growth Option</t>
  </si>
  <si>
    <t>NAV [Rs.] Per Unit (as on December 31, 2021 : 40.44)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</si>
</sst>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72813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>
      <selection activeCell="A2" sqref="A2"/>
    </sheetView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81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2421</v>
      </c>
      <c r="H10" s="32">
        <v>45.88</v>
      </c>
      <c r="I10" s="32">
        <v>8.77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579</v>
      </c>
      <c r="H11" s="32">
        <v>43.96</v>
      </c>
      <c r="I11" s="32">
        <v>8.4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1802</v>
      </c>
      <c r="H12" s="32">
        <v>42.67</v>
      </c>
      <c r="I12" s="32">
        <v>8.16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15531</v>
      </c>
      <c r="H13" s="32">
        <v>31.74</v>
      </c>
      <c r="I13" s="32">
        <v>6.07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3173</v>
      </c>
      <c r="H14" s="32">
        <v>23.17</v>
      </c>
      <c r="I14" s="32">
        <v>4.43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1921</v>
      </c>
      <c r="H15" s="32">
        <v>19.21</v>
      </c>
      <c r="I15" s="32">
        <v>3.67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2791</v>
      </c>
      <c r="H16" s="32">
        <v>19.09</v>
      </c>
      <c r="I16" s="32">
        <v>3.65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866</v>
      </c>
      <c r="H17" s="32">
        <v>13.63</v>
      </c>
      <c r="I17" s="32">
        <v>2.6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703</v>
      </c>
      <c r="H18" s="32">
        <v>12.57</v>
      </c>
      <c r="I18" s="32">
        <v>2.4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2581</v>
      </c>
      <c r="H19" s="32">
        <v>12.26</v>
      </c>
      <c r="I19" s="32">
        <v>2.34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724</v>
      </c>
      <c r="H20" s="32">
        <v>10.56</v>
      </c>
      <c r="I20" s="32">
        <v>2.02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54</v>
      </c>
      <c r="G21" s="31">
        <v>3518</v>
      </c>
      <c r="H21" s="32">
        <v>10.54</v>
      </c>
      <c r="I21" s="32">
        <v>2.0099999999999998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459</v>
      </c>
      <c r="H22" s="32">
        <v>10.49</v>
      </c>
      <c r="I22" s="32">
        <v>2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5723</v>
      </c>
      <c r="H23" s="32">
        <v>10.42</v>
      </c>
      <c r="I23" s="32">
        <v>1.99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1008</v>
      </c>
      <c r="H24" s="32">
        <v>10.220000000000001</v>
      </c>
      <c r="I24" s="32">
        <v>1.95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38</v>
      </c>
      <c r="G25" s="31">
        <v>520</v>
      </c>
      <c r="H25" s="32">
        <v>10.11</v>
      </c>
      <c r="I25" s="32">
        <v>1.93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80</v>
      </c>
      <c r="G26" s="31">
        <v>1565</v>
      </c>
      <c r="H26" s="32">
        <v>9.94</v>
      </c>
      <c r="I26" s="32">
        <v>1.9</v>
      </c>
      <c r="J26" s="33"/>
    </row>
    <row r="27" spans="2:10">
      <c r="B27" s="1" t="s">
        <v>81</v>
      </c>
      <c r="C27" s="20" t="s">
        <v>82</v>
      </c>
      <c r="D27" s="29" t="s">
        <v>83</v>
      </c>
      <c r="E27" s="30"/>
      <c r="F27" s="30" t="s">
        <v>30</v>
      </c>
      <c r="G27" s="31">
        <v>10570</v>
      </c>
      <c r="H27" s="32">
        <v>9.25</v>
      </c>
      <c r="I27" s="32">
        <v>1.77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867</v>
      </c>
      <c r="H28" s="32">
        <v>9.25</v>
      </c>
      <c r="I28" s="32">
        <v>1.77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50</v>
      </c>
      <c r="G29" s="31">
        <v>382</v>
      </c>
      <c r="H29" s="32">
        <v>9.0299999999999994</v>
      </c>
      <c r="I29" s="32">
        <v>1.73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2477</v>
      </c>
      <c r="H30" s="32">
        <v>8.4499999999999993</v>
      </c>
      <c r="I30" s="32">
        <v>1.61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326</v>
      </c>
      <c r="H31" s="32">
        <v>8.43</v>
      </c>
      <c r="I31" s="32">
        <v>1.61</v>
      </c>
      <c r="J31" s="33"/>
    </row>
    <row r="32" spans="2:10">
      <c r="B32" s="1" t="s">
        <v>99</v>
      </c>
      <c r="C32" s="20" t="s">
        <v>100</v>
      </c>
      <c r="D32" s="29" t="s">
        <v>101</v>
      </c>
      <c r="E32" s="30"/>
      <c r="F32" s="30" t="s">
        <v>102</v>
      </c>
      <c r="G32" s="31">
        <v>33</v>
      </c>
      <c r="H32" s="32">
        <v>8.36</v>
      </c>
      <c r="I32" s="32">
        <v>1.6</v>
      </c>
      <c r="J32" s="33"/>
    </row>
    <row r="33" spans="2:10">
      <c r="B33" s="1" t="s">
        <v>103</v>
      </c>
      <c r="C33" s="20" t="s">
        <v>104</v>
      </c>
      <c r="D33" s="29" t="s">
        <v>105</v>
      </c>
      <c r="E33" s="30"/>
      <c r="F33" s="30" t="s">
        <v>38</v>
      </c>
      <c r="G33" s="31">
        <v>2171</v>
      </c>
      <c r="H33" s="32">
        <v>8.19</v>
      </c>
      <c r="I33" s="32">
        <v>1.57</v>
      </c>
      <c r="J33" s="33"/>
    </row>
    <row r="34" spans="2:10">
      <c r="B34" s="1" t="s">
        <v>106</v>
      </c>
      <c r="C34" s="20" t="s">
        <v>107</v>
      </c>
      <c r="D34" s="29" t="s">
        <v>108</v>
      </c>
      <c r="E34" s="30"/>
      <c r="F34" s="30" t="s">
        <v>73</v>
      </c>
      <c r="G34" s="31">
        <v>670</v>
      </c>
      <c r="H34" s="32">
        <v>8.17</v>
      </c>
      <c r="I34" s="32">
        <v>1.56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112</v>
      </c>
      <c r="G35" s="31">
        <v>506</v>
      </c>
      <c r="H35" s="32">
        <v>8.01</v>
      </c>
      <c r="I35" s="32">
        <v>1.53</v>
      </c>
      <c r="J35" s="33"/>
    </row>
    <row r="36" spans="2:10">
      <c r="B36" s="1" t="s">
        <v>113</v>
      </c>
      <c r="C36" s="20" t="s">
        <v>114</v>
      </c>
      <c r="D36" s="29" t="s">
        <v>115</v>
      </c>
      <c r="E36" s="30"/>
      <c r="F36" s="30" t="s">
        <v>65</v>
      </c>
      <c r="G36" s="31">
        <v>841</v>
      </c>
      <c r="H36" s="32">
        <v>7.93</v>
      </c>
      <c r="I36" s="32">
        <v>1.51</v>
      </c>
      <c r="J36" s="33"/>
    </row>
    <row r="37" spans="2:10">
      <c r="B37" s="1" t="s">
        <v>116</v>
      </c>
      <c r="C37" s="20" t="s">
        <v>117</v>
      </c>
      <c r="D37" s="29" t="s">
        <v>118</v>
      </c>
      <c r="E37" s="30"/>
      <c r="F37" s="30" t="s">
        <v>98</v>
      </c>
      <c r="G37" s="31">
        <v>1487</v>
      </c>
      <c r="H37" s="32">
        <v>7.74</v>
      </c>
      <c r="I37" s="32">
        <v>1.48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34</v>
      </c>
      <c r="G38" s="31">
        <v>1141</v>
      </c>
      <c r="H38" s="32">
        <v>7.01</v>
      </c>
      <c r="I38" s="32">
        <v>1.34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50</v>
      </c>
      <c r="G39" s="31">
        <v>359</v>
      </c>
      <c r="H39" s="32">
        <v>6.91</v>
      </c>
      <c r="I39" s="32">
        <v>1.32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46</v>
      </c>
      <c r="G40" s="31">
        <v>297</v>
      </c>
      <c r="H40" s="32">
        <v>6.89</v>
      </c>
      <c r="I40" s="32">
        <v>1.32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338</v>
      </c>
      <c r="H41" s="32">
        <v>6.44</v>
      </c>
      <c r="I41" s="32">
        <v>1.23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22</v>
      </c>
      <c r="G42" s="31">
        <v>625</v>
      </c>
      <c r="H42" s="32">
        <v>6.28</v>
      </c>
      <c r="I42" s="32">
        <v>1.2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38</v>
      </c>
      <c r="G43" s="31">
        <v>933</v>
      </c>
      <c r="H43" s="32">
        <v>6.12</v>
      </c>
      <c r="I43" s="32">
        <v>1.17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58</v>
      </c>
      <c r="G44" s="31">
        <v>1531</v>
      </c>
      <c r="H44" s="32">
        <v>5.91</v>
      </c>
      <c r="I44" s="32">
        <v>1.1299999999999999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234</v>
      </c>
      <c r="H45" s="32">
        <v>5.66</v>
      </c>
      <c r="I45" s="32">
        <v>1.08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98</v>
      </c>
      <c r="G46" s="31">
        <v>454</v>
      </c>
      <c r="H46" s="32">
        <v>5.53</v>
      </c>
      <c r="I46" s="32">
        <v>1.06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50</v>
      </c>
      <c r="G47" s="31">
        <v>284</v>
      </c>
      <c r="H47" s="32">
        <v>5.25</v>
      </c>
      <c r="I47" s="32">
        <v>1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112</v>
      </c>
      <c r="G48" s="31">
        <v>312</v>
      </c>
      <c r="H48" s="32">
        <v>4.68</v>
      </c>
      <c r="I48" s="32">
        <v>0.89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131</v>
      </c>
      <c r="G49" s="31">
        <v>3264</v>
      </c>
      <c r="H49" s="32">
        <v>4</v>
      </c>
      <c r="I49" s="32">
        <v>0.76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87</v>
      </c>
      <c r="H50" s="32">
        <v>3.62</v>
      </c>
      <c r="I50" s="32">
        <v>0.69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65</v>
      </c>
      <c r="G51" s="31">
        <v>961</v>
      </c>
      <c r="H51" s="32">
        <v>3.52</v>
      </c>
      <c r="I51" s="32">
        <v>0.67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131</v>
      </c>
      <c r="G52" s="31">
        <v>126</v>
      </c>
      <c r="H52" s="32">
        <v>3.48</v>
      </c>
      <c r="I52" s="32">
        <v>0.67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65</v>
      </c>
      <c r="G53" s="31">
        <v>422</v>
      </c>
      <c r="H53" s="32">
        <v>2.95</v>
      </c>
      <c r="I53" s="32">
        <v>0.56000000000000005</v>
      </c>
      <c r="J53" s="33"/>
    </row>
    <row r="54" spans="2:10">
      <c r="C54" s="28" t="s">
        <v>170</v>
      </c>
      <c r="D54" s="29"/>
      <c r="E54" s="30"/>
      <c r="F54" s="30"/>
      <c r="G54" s="31"/>
      <c r="H54" s="35">
        <v>513.52</v>
      </c>
      <c r="I54" s="35">
        <v>98.12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171</v>
      </c>
      <c r="D56" s="29"/>
      <c r="E56" s="30"/>
      <c r="F56" s="30"/>
      <c r="G56" s="31"/>
      <c r="H56" s="32" t="s">
        <v>172</v>
      </c>
      <c r="I56" s="32" t="s">
        <v>172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173</v>
      </c>
      <c r="D58" s="29"/>
      <c r="E58" s="30"/>
      <c r="F58" s="30"/>
      <c r="G58" s="31"/>
      <c r="H58" s="32" t="s">
        <v>172</v>
      </c>
      <c r="I58" s="32" t="s">
        <v>172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174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175</v>
      </c>
      <c r="D62" s="29"/>
      <c r="E62" s="30"/>
      <c r="F62" s="30"/>
      <c r="G62" s="31"/>
      <c r="H62" s="32" t="s">
        <v>172</v>
      </c>
      <c r="I62" s="32" t="s">
        <v>172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176</v>
      </c>
      <c r="D64" s="29"/>
      <c r="E64" s="30"/>
      <c r="F64" s="30"/>
      <c r="G64" s="31"/>
      <c r="H64" s="32" t="s">
        <v>172</v>
      </c>
      <c r="I64" s="32" t="s">
        <v>172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177</v>
      </c>
      <c r="D66" s="29"/>
      <c r="E66" s="30"/>
      <c r="F66" s="30"/>
      <c r="G66" s="31"/>
      <c r="H66" s="32" t="s">
        <v>172</v>
      </c>
      <c r="I66" s="32" t="s">
        <v>172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178</v>
      </c>
      <c r="D68" s="29"/>
      <c r="E68" s="30"/>
      <c r="F68" s="30"/>
      <c r="G68" s="31"/>
      <c r="H68" s="32" t="s">
        <v>172</v>
      </c>
      <c r="I68" s="32" t="s">
        <v>172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179</v>
      </c>
      <c r="D70" s="29"/>
      <c r="E70" s="30"/>
      <c r="F70" s="30"/>
      <c r="G70" s="31"/>
      <c r="H70" s="32" t="s">
        <v>172</v>
      </c>
      <c r="I70" s="32" t="s">
        <v>172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180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181</v>
      </c>
      <c r="D74" s="29"/>
      <c r="E74" s="30"/>
      <c r="F74" s="30"/>
      <c r="G74" s="31"/>
      <c r="H74" s="32" t="s">
        <v>172</v>
      </c>
      <c r="I74" s="32" t="s">
        <v>172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182</v>
      </c>
      <c r="D76" s="29"/>
      <c r="E76" s="30"/>
      <c r="F76" s="30"/>
      <c r="G76" s="31"/>
      <c r="H76" s="32" t="s">
        <v>172</v>
      </c>
      <c r="I76" s="32" t="s">
        <v>172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183</v>
      </c>
      <c r="D78" s="29"/>
      <c r="E78" s="30"/>
      <c r="F78" s="30"/>
      <c r="G78" s="31"/>
      <c r="H78" s="32" t="s">
        <v>172</v>
      </c>
      <c r="I78" s="32" t="s">
        <v>172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184</v>
      </c>
      <c r="D80" s="29"/>
      <c r="E80" s="30"/>
      <c r="F80" s="30"/>
      <c r="G80" s="31"/>
      <c r="H80" s="32" t="s">
        <v>172</v>
      </c>
      <c r="I80" s="32" t="s">
        <v>172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185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186</v>
      </c>
      <c r="D84" s="29"/>
      <c r="E84" s="30"/>
      <c r="F84" s="30"/>
      <c r="G84" s="31"/>
      <c r="H84" s="32" t="s">
        <v>172</v>
      </c>
      <c r="I84" s="32" t="s">
        <v>172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187</v>
      </c>
      <c r="D86" s="29"/>
      <c r="E86" s="30"/>
      <c r="F86" s="30"/>
      <c r="G86" s="31"/>
      <c r="H86" s="32" t="s">
        <v>172</v>
      </c>
      <c r="I86" s="32" t="s">
        <v>172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188</v>
      </c>
      <c r="D88" s="29"/>
      <c r="E88" s="30"/>
      <c r="F88" s="30"/>
      <c r="G88" s="31"/>
      <c r="H88" s="32" t="s">
        <v>172</v>
      </c>
      <c r="I88" s="32" t="s">
        <v>172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189</v>
      </c>
      <c r="D90" s="29"/>
      <c r="E90" s="30"/>
      <c r="F90" s="30"/>
      <c r="G90" s="31"/>
      <c r="H90" s="32" t="s">
        <v>172</v>
      </c>
      <c r="I90" s="32" t="s">
        <v>172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190</v>
      </c>
      <c r="D92" s="29"/>
      <c r="E92" s="30"/>
      <c r="F92" s="30"/>
      <c r="G92" s="31"/>
      <c r="H92" s="32" t="s">
        <v>172</v>
      </c>
      <c r="I92" s="32" t="s">
        <v>172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191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192</v>
      </c>
      <c r="D95" s="29"/>
      <c r="E95" s="30"/>
      <c r="F95" s="30"/>
      <c r="G95" s="31"/>
      <c r="H95" s="32">
        <v>9.69</v>
      </c>
      <c r="I95" s="32">
        <v>1.8800000000000001</v>
      </c>
      <c r="J95" s="33"/>
    </row>
    <row r="96" spans="1:10">
      <c r="C96" s="28" t="s">
        <v>170</v>
      </c>
      <c r="D96" s="29"/>
      <c r="E96" s="30"/>
      <c r="F96" s="30"/>
      <c r="G96" s="31"/>
      <c r="H96" s="35">
        <v>9.69</v>
      </c>
      <c r="I96" s="35">
        <v>1.8800000000000001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5" thickBot="1">
      <c r="C98" s="36" t="s">
        <v>193</v>
      </c>
      <c r="D98" s="37"/>
      <c r="E98" s="38"/>
      <c r="F98" s="39"/>
      <c r="G98" s="40"/>
      <c r="H98" s="41">
        <v>523.21</v>
      </c>
      <c r="I98" s="41">
        <f>SUMIFS(I:I,C:C,"Total")</f>
        <v>100</v>
      </c>
      <c r="J98" s="42"/>
    </row>
    <row r="101" spans="3:10">
      <c r="C101" s="11" t="s">
        <v>194</v>
      </c>
    </row>
    <row r="102" spans="3:10">
      <c r="C102" s="2" t="s">
        <v>195</v>
      </c>
    </row>
    <row r="103" spans="3:10">
      <c r="C103" s="2" t="s">
        <v>196</v>
      </c>
    </row>
    <row r="104" spans="3:10">
      <c r="C104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B4" sqref="B4:J18"/>
    </sheetView>
  </sheetViews>
  <sheetFormatPr defaultRowHeight="15"/>
  <cols>
    <col min="2" max="2" width="47.2851562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>
      <c r="B4" s="43" t="s">
        <v>198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199</v>
      </c>
      <c r="C5" s="50" t="s">
        <v>200</v>
      </c>
      <c r="D5" s="50"/>
      <c r="E5" s="50" t="s">
        <v>201</v>
      </c>
      <c r="F5" s="50"/>
      <c r="G5" s="50" t="s">
        <v>202</v>
      </c>
      <c r="H5" s="50"/>
      <c r="I5" s="50" t="s">
        <v>203</v>
      </c>
      <c r="J5" s="50"/>
    </row>
    <row r="6" spans="2:10" ht="63.75">
      <c r="B6" s="46"/>
      <c r="C6" s="47" t="s">
        <v>204</v>
      </c>
      <c r="D6" s="47" t="s">
        <v>205</v>
      </c>
      <c r="E6" s="47" t="s">
        <v>204</v>
      </c>
      <c r="F6" s="47" t="s">
        <v>205</v>
      </c>
      <c r="G6" s="47" t="s">
        <v>204</v>
      </c>
      <c r="H6" s="47" t="s">
        <v>205</v>
      </c>
      <c r="I6" s="47" t="s">
        <v>204</v>
      </c>
      <c r="J6" s="47" t="s">
        <v>205</v>
      </c>
    </row>
    <row r="7" spans="2:10">
      <c r="B7" s="48" t="s">
        <v>206</v>
      </c>
      <c r="C7" s="49">
        <v>38.145073980512457</v>
      </c>
      <c r="D7" s="49">
        <v>13814.507398051244</v>
      </c>
      <c r="E7" s="49">
        <v>16.276149851544595</v>
      </c>
      <c r="F7" s="49">
        <v>15727.198027937551</v>
      </c>
      <c r="G7" s="49">
        <v>15.811046877109414</v>
      </c>
      <c r="H7" s="49">
        <v>20849.67320261438</v>
      </c>
      <c r="I7" s="49">
        <v>9.4682498344186961</v>
      </c>
      <c r="J7" s="49">
        <v>38280</v>
      </c>
    </row>
    <row r="8" spans="2:10">
      <c r="B8" s="48" t="s">
        <v>207</v>
      </c>
      <c r="C8" s="49">
        <v>37.771572776879793</v>
      </c>
      <c r="D8" s="49">
        <v>13777.157277687978</v>
      </c>
      <c r="E8" s="49">
        <v>18.052826415085811</v>
      </c>
      <c r="F8" s="49">
        <v>16452.396530414499</v>
      </c>
      <c r="G8" s="49">
        <v>14.774592132650511</v>
      </c>
      <c r="H8" s="49">
        <v>19917.223214387319</v>
      </c>
      <c r="I8" s="49">
        <v>5.1618392586113782</v>
      </c>
      <c r="J8" s="49">
        <v>21099.855152752632</v>
      </c>
    </row>
    <row r="9" spans="2:10">
      <c r="B9" s="48" t="s">
        <v>208</v>
      </c>
      <c r="C9" s="49">
        <v>25.591042086522652</v>
      </c>
      <c r="D9" s="49">
        <v>12559.104208652265</v>
      </c>
      <c r="E9" s="49">
        <v>18.271879577811557</v>
      </c>
      <c r="F9" s="49">
        <v>16544.151409719863</v>
      </c>
      <c r="G9" s="49">
        <v>17.65105924853998</v>
      </c>
      <c r="H9" s="49">
        <v>22541.312926601455</v>
      </c>
      <c r="I9" s="49">
        <v>12.56446759647547</v>
      </c>
      <c r="J9" s="49">
        <v>57885.566965832746</v>
      </c>
    </row>
    <row r="10" spans="2:10">
      <c r="B10" s="48" t="s">
        <v>209</v>
      </c>
      <c r="C10" s="51">
        <v>27.71</v>
      </c>
      <c r="D10" s="52"/>
      <c r="E10" s="51">
        <v>24.34</v>
      </c>
      <c r="F10" s="52"/>
      <c r="G10" s="51">
        <v>18.36</v>
      </c>
      <c r="H10" s="52"/>
      <c r="I10" s="51">
        <v>10</v>
      </c>
      <c r="J10" s="52"/>
    </row>
    <row r="12" spans="2:10" ht="15.75">
      <c r="B12" s="43" t="s">
        <v>210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199</v>
      </c>
      <c r="C13" s="50" t="s">
        <v>200</v>
      </c>
      <c r="D13" s="50"/>
      <c r="E13" s="50" t="s">
        <v>201</v>
      </c>
      <c r="F13" s="50"/>
      <c r="G13" s="50" t="s">
        <v>202</v>
      </c>
      <c r="H13" s="50"/>
      <c r="I13" s="50" t="s">
        <v>203</v>
      </c>
      <c r="J13" s="50"/>
    </row>
    <row r="14" spans="2:10" ht="63.75">
      <c r="B14" s="46"/>
      <c r="C14" s="47" t="s">
        <v>204</v>
      </c>
      <c r="D14" s="47" t="s">
        <v>205</v>
      </c>
      <c r="E14" s="47" t="s">
        <v>204</v>
      </c>
      <c r="F14" s="47" t="s">
        <v>205</v>
      </c>
      <c r="G14" s="47" t="s">
        <v>204</v>
      </c>
      <c r="H14" s="47" t="s">
        <v>205</v>
      </c>
      <c r="I14" s="47" t="s">
        <v>204</v>
      </c>
      <c r="J14" s="47" t="s">
        <v>205</v>
      </c>
    </row>
    <row r="15" spans="2:10">
      <c r="B15" s="48" t="s">
        <v>206</v>
      </c>
      <c r="C15" s="49">
        <v>38.778311599176376</v>
      </c>
      <c r="D15" s="49">
        <v>13877.831159917638</v>
      </c>
      <c r="E15" s="49">
        <v>16.736710331068583</v>
      </c>
      <c r="F15" s="49">
        <v>15914.994096812277</v>
      </c>
      <c r="G15" s="49">
        <v>16.362785641915956</v>
      </c>
      <c r="H15" s="49">
        <v>21351.63674762407</v>
      </c>
      <c r="I15" s="49">
        <v>13.610646733018061</v>
      </c>
      <c r="J15" s="49">
        <v>31544.461778471137</v>
      </c>
    </row>
    <row r="16" spans="2:10">
      <c r="B16" s="48" t="s">
        <v>207</v>
      </c>
      <c r="C16" s="49">
        <v>37.771572776879793</v>
      </c>
      <c r="D16" s="49">
        <v>13777.157277687978</v>
      </c>
      <c r="E16" s="49">
        <v>18.052826415085811</v>
      </c>
      <c r="F16" s="49">
        <v>16452.396530414499</v>
      </c>
      <c r="G16" s="49">
        <v>14.774592132650511</v>
      </c>
      <c r="H16" s="49">
        <v>19917.223214387319</v>
      </c>
      <c r="I16" s="49">
        <v>9.0318304184374476</v>
      </c>
      <c r="J16" s="49">
        <v>21781.240643647419</v>
      </c>
    </row>
    <row r="17" spans="2:10">
      <c r="B17" s="48" t="s">
        <v>208</v>
      </c>
      <c r="C17" s="49">
        <v>25.591042086522652</v>
      </c>
      <c r="D17" s="49">
        <v>12559.104208652265</v>
      </c>
      <c r="E17" s="49">
        <v>18.271879577811557</v>
      </c>
      <c r="F17" s="49">
        <v>16544.151409719863</v>
      </c>
      <c r="G17" s="49">
        <v>17.65105924853998</v>
      </c>
      <c r="H17" s="49">
        <v>22541.312926601455</v>
      </c>
      <c r="I17" s="49">
        <v>14.010021367717918</v>
      </c>
      <c r="J17" s="49">
        <v>32556.915467884479</v>
      </c>
    </row>
    <row r="18" spans="2:10">
      <c r="B18" s="48" t="s">
        <v>211</v>
      </c>
      <c r="C18" s="51">
        <v>29.14</v>
      </c>
      <c r="D18" s="52"/>
      <c r="E18" s="51">
        <v>25.41</v>
      </c>
      <c r="F18" s="52"/>
      <c r="G18" s="51">
        <v>18.940000000000001</v>
      </c>
      <c r="H18" s="52"/>
      <c r="I18" s="51">
        <v>12.82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2022-01-03T08:45:06Z</dcterms:created>
  <dcterms:modified xsi:type="dcterms:W3CDTF">2022-01-06T05:43:51Z</dcterms:modified>
</cp:coreProperties>
</file>