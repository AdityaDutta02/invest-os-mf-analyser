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NOV 2023\Portfolio\OPS\TMF_Monthly_Portfolio_Report_Oct 23\"/>
    </mc:Choice>
  </mc:AlternateContent>
  <xr:revisionPtr revIDLastSave="0" documentId="13_ncr:1_{C7862848-0AD2-441A-B177-BCE979F44218}" xr6:coauthVersionLast="47" xr6:coauthVersionMax="47" xr10:uidLastSave="{00000000-0000-0000-0000-000000000000}"/>
  <bookViews>
    <workbookView xWindow="-120" yWindow="-120" windowWidth="20730" windowHeight="11160" xr2:uid="{E4B73D82-8185-4345-9C68-E08DEB306552}"/>
  </bookViews>
  <sheets>
    <sheet name="TTS-Risk-O-Meter &amp; Portfolio" sheetId="1" r:id="rId1"/>
    <sheet name="TTS Performance" sheetId="2" r:id="rId2"/>
  </sheets>
  <externalReferences>
    <externalReference r:id="rId3"/>
  </externalReferences>
  <definedNames>
    <definedName name="XDO_?CLASS_3?7?">'TTS-Risk-O-Meter &amp; Portfolio'!$C$8:$C$37</definedName>
    <definedName name="XDO_?FINAL_ISIN?15?">'TTS-Risk-O-Meter &amp; Portfolio'!$D$10:$D$37</definedName>
    <definedName name="XDO_?FINAL_ISIN?16?">'TTS-Risk-O-Meter &amp; Portfolio'!$D$10:$D$76</definedName>
    <definedName name="XDO_?FINAL_ISIN?17?">'TTS-Risk-O-Meter &amp; Portfolio'!$D$10:$D$80</definedName>
    <definedName name="XDO_?FINAL_MV?15?">'TTS-Risk-O-Meter &amp; Portfolio'!$H$10:$H$37</definedName>
    <definedName name="XDO_?FINAL_MV?16?">'TTS-Risk-O-Meter &amp; Portfolio'!$H$10:$H$76</definedName>
    <definedName name="XDO_?FINAL_MV?17?">'TTS-Risk-O-Meter &amp; Portfolio'!$H$10:$H$80</definedName>
    <definedName name="XDO_?FINAL_NAME?15?">'TTS-Risk-O-Meter &amp; Portfolio'!$C$10:$C$37</definedName>
    <definedName name="XDO_?FINAL_NAME?16?">'TTS-Risk-O-Meter &amp; Portfolio'!$C$10:$C$76</definedName>
    <definedName name="XDO_?FINAL_NAME?17?">'TTS-Risk-O-Meter &amp; Portfolio'!$C$10:$C$80</definedName>
    <definedName name="XDO_?FINAL_PER_NET?15?">'TTS-Risk-O-Meter &amp; Portfolio'!$I$10:$I$37</definedName>
    <definedName name="XDO_?FINAL_PER_NET?16?">'TTS-Risk-O-Meter &amp; Portfolio'!$I$10:$I$76</definedName>
    <definedName name="XDO_?FINAL_PER_NET?17?">'TTS-Risk-O-Meter &amp; Portfolio'!$I$10:$I$80</definedName>
    <definedName name="XDO_?FINAL_QUANTITE?15?">'TTS-Risk-O-Meter &amp; Portfolio'!$G$10:$G$37</definedName>
    <definedName name="XDO_?FINAL_QUANTITE?16?">'TTS-Risk-O-Meter &amp; Portfolio'!$G$10:$G$76</definedName>
    <definedName name="XDO_?FINAL_QUANTITE?17?">'TTS-Risk-O-Meter &amp; Portfolio'!$G$10:$G$80</definedName>
    <definedName name="XDO_?IND_01?15?">'TTS-Risk-O-Meter &amp; Portfolio'!$F$10:$F$37</definedName>
    <definedName name="XDO_?IND_01?16?">'TTS-Risk-O-Meter &amp; Portfolio'!$F$10:$F$76</definedName>
    <definedName name="XDO_?IND_01?17?">'TTS-Risk-O-Meter &amp; Portfolio'!$F$10:$F$80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Portfolio'!$C$2:$C$37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5?">'TTS-Risk-O-Meter &amp; Portfolio'!$B$10:$B$37</definedName>
    <definedName name="XDO_?NOVAL?16?">'TTS-Risk-O-Meter &amp; Portfolio'!$B$10:$B$76</definedName>
    <definedName name="XDO_?NOVAL?17?">'TTS-Risk-O-Meter &amp; Portfolio'!$B$10:$B$80</definedName>
    <definedName name="XDO_?NPTF?7?">'TTS-Risk-O-Meter &amp; Portfolio'!$D$2:$D$37</definedName>
    <definedName name="XDO_?RATING?15?">'TTS-Risk-O-Meter &amp; Portfolio'!$E$10:$E$37</definedName>
    <definedName name="XDO_?RATING?16?">'TTS-Risk-O-Meter &amp; Portfolio'!$E$10:$E$76</definedName>
    <definedName name="XDO_?RATING?17?">'TTS-Risk-O-Meter &amp; Portfolio'!$E$10:$E$80</definedName>
    <definedName name="XDO_?REMARKS?15?">'TTS-Risk-O-Meter &amp; Portfolio'!$J$10:$J$37</definedName>
    <definedName name="XDO_?REMARKS?16?">'TTS-Risk-O-Meter &amp; Portfolio'!$J$10:$J$76</definedName>
    <definedName name="XDO_?REMARKS?17?">'TTS-Risk-O-Meter &amp; Portfolio'!$J$10:$J$80</definedName>
    <definedName name="XDO_?TITL?7?">'TTS-Risk-O-Meter &amp; Portfolio'!$A$8:$A$37</definedName>
    <definedName name="XDO_GROUP_?G_2?7?">'TTS-Risk-O-Meter &amp; Portfolio'!$2:$83</definedName>
    <definedName name="XDO_GROUP_?G_3?7?">'TTS-Risk-O-Meter &amp; Portfolio'!$8:$82</definedName>
    <definedName name="XDO_GROUP_?G_4?15?">'TTS-Risk-O-Meter &amp; Portfolio'!$B$10:$IV$37</definedName>
    <definedName name="XDO_GROUP_?G_4?16?">'TTS-Risk-O-Meter &amp; Portfolio'!$B$76:$IV$76</definedName>
    <definedName name="XDO_GROUP_?G_4?17?">'TTS-Risk-O-Meter &amp; Portfolio'!$B$80:$IV$80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3" i="1" l="1"/>
</calcChain>
</file>

<file path=xl/sharedStrings.xml><?xml version="1.0" encoding="utf-8"?>
<sst xmlns="http://schemas.openxmlformats.org/spreadsheetml/2006/main" count="225" uniqueCount="162">
  <si>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</si>
  <si>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</si>
  <si>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</si>
  <si>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</si>
  <si>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</si>
  <si>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</si>
  <si>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</si>
  <si>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</si>
  <si>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</si>
  <si>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</si>
  <si>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</si>
  <si>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</si>
  <si>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</si>
  <si>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</si>
  <si>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</si>
  <si>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</si>
  <si>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</si>
  <si>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</si>
  <si>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IT - Software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</si>
  <si>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</si>
  <si>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</si>
  <si>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</si>
  <si>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</si>
  <si>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</si>
  <si>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</si>
  <si>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</si>
  <si>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</si>
  <si>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100147</t>
  </si>
  <si>
    <t>Tech Mahindra Ltd.</t>
  </si>
  <si>
    <t>INE669C01036</t>
  </si>
  <si>
    <t>100024</t>
  </si>
  <si>
    <t>Axis Bank Ltd.</t>
  </si>
  <si>
    <t>INE238A01034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</si>
  <si>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</si>
  <si>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</si>
  <si>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</si>
  <si>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</si>
  <si>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</si>
  <si>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</si>
  <si>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</si>
  <si>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100045</t>
  </si>
  <si>
    <t>Gujarat Pipavav Port Ltd.</t>
  </si>
  <si>
    <t>INE517F01014</t>
  </si>
  <si>
    <t>Transport Infrastructure</t>
  </si>
  <si>
    <t>100097</t>
  </si>
  <si>
    <t>Coal India Ltd.</t>
  </si>
  <si>
    <t>INE522F01014</t>
  </si>
  <si>
    <t>Consumable Fuels</t>
  </si>
  <si>
    <t>100474</t>
  </si>
  <si>
    <t>Narayana Hrudayalaya Ltd.</t>
  </si>
  <si>
    <t>INE410P01011</t>
  </si>
  <si>
    <t>Healthcare Services</t>
  </si>
  <si>
    <t>100003</t>
  </si>
  <si>
    <t>Infosys Ltd.</t>
  </si>
  <si>
    <t>INE009A01021</t>
  </si>
  <si>
    <t>100153</t>
  </si>
  <si>
    <t>Cipla Ltd.</t>
  </si>
  <si>
    <t>INE059A01026</t>
  </si>
  <si>
    <t>Pharmaceuticals &amp; Biotechnology</t>
  </si>
  <si>
    <t>101181</t>
  </si>
  <si>
    <t>UTI Asset Management Co. Ltd.</t>
  </si>
  <si>
    <t>INE094J01016</t>
  </si>
  <si>
    <t>Capital Markets</t>
  </si>
  <si>
    <t>100035</t>
  </si>
  <si>
    <t>NMDC Ltd.</t>
  </si>
  <si>
    <t>INE584A01023</t>
  </si>
  <si>
    <t>Minerals &amp; Mining</t>
  </si>
  <si>
    <t>100172</t>
  </si>
  <si>
    <t>ACC Ltd.</t>
  </si>
  <si>
    <t>INE012A01025</t>
  </si>
  <si>
    <t>Cement &amp; Cement Products</t>
  </si>
  <si>
    <t>101178</t>
  </si>
  <si>
    <t>Computer Age Management Services Ltd.</t>
  </si>
  <si>
    <t>INE596I01012</t>
  </si>
  <si>
    <t>100080</t>
  </si>
  <si>
    <t>Dr. Reddy's Laboratories Ltd.</t>
  </si>
  <si>
    <t>INE089A01023</t>
  </si>
  <si>
    <t>100342</t>
  </si>
  <si>
    <t>Vardhman Textiles Ltd.</t>
  </si>
  <si>
    <t>INE825A01020</t>
  </si>
  <si>
    <t>Textiles &amp; Apparels</t>
  </si>
  <si>
    <t>100096</t>
  </si>
  <si>
    <t>Container Corporation of India Ltd.</t>
  </si>
  <si>
    <t>INE111A01025</t>
  </si>
  <si>
    <t>Transport Services</t>
  </si>
  <si>
    <t>100783</t>
  </si>
  <si>
    <t>JM Financial Ltd.</t>
  </si>
  <si>
    <t>INE780C01023</t>
  </si>
  <si>
    <t>100155</t>
  </si>
  <si>
    <t>Divi's Laboratories Ltd.</t>
  </si>
  <si>
    <t>INE361B01024</t>
  </si>
  <si>
    <t>101966</t>
  </si>
  <si>
    <t>Cyient DLM Ltd.</t>
  </si>
  <si>
    <t>INE055S01018</t>
  </si>
  <si>
    <t>Industrial Manufacturing</t>
  </si>
  <si>
    <t>100263</t>
  </si>
  <si>
    <t>BEML Ltd.</t>
  </si>
  <si>
    <t>INE258A01016</t>
  </si>
  <si>
    <t>Agricultural, Commercial &amp; Construction Vehicles</t>
  </si>
  <si>
    <t>100410</t>
  </si>
  <si>
    <t>Healthcare Global Enterprises Ltd.</t>
  </si>
  <si>
    <t>INE075I01017</t>
  </si>
  <si>
    <t>100130</t>
  </si>
  <si>
    <t>Gujarat Gas Ltd.</t>
  </si>
  <si>
    <t>INE844O01030</t>
  </si>
  <si>
    <t>Gas</t>
  </si>
  <si>
    <t>100747</t>
  </si>
  <si>
    <t>Mahindra Logistics Ltd.</t>
  </si>
  <si>
    <t>INE766P01016</t>
  </si>
  <si>
    <t>101946</t>
  </si>
  <si>
    <t>National Fertilizers Ltd.</t>
  </si>
  <si>
    <t>INE870D01012</t>
  </si>
  <si>
    <t>Fertilizers &amp; Agrochemicals</t>
  </si>
  <si>
    <t>101214</t>
  </si>
  <si>
    <t>Antony Waste Handling Cell Ltd.</t>
  </si>
  <si>
    <t>INE01BK01022</t>
  </si>
  <si>
    <t>Other Utilities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</si>
  <si>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</si>
  <si>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</si>
  <si>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</si>
  <si>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</si>
  <si>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</si>
  <si>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</si>
  <si>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</si>
  <si>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</si>
  <si>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</si>
  <si>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</si>
  <si>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</si>
  <si>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</si>
  <si>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</si>
  <si>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</si>
  <si>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</si>
  <si>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</si>
  <si>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</si>
  <si>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</si>
  <si>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</si>
  <si>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</si>
  <si>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</si>
  <si>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</si>
  <si>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</si>
  <si>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</si>
  <si>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</si>
  <si>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</si>
  <si>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</si>
  <si>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</si>
  <si>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</si>
  <si>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</si>
  <si>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</si>
  <si>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</si>
  <si>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</si>
  <si>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</si>
  <si>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</si>
  <si>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</si>
  <si>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</si>
  <si>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</si>
  <si>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</si>
  <si>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</si>
  <si>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</si>
  <si>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Taurus Tax Shield - Direct Plan Growth Option</t>
  </si>
  <si>
    <r>
      <rPr>
        <b/>
        <sz val="11"/>
        <color indexed="8"/>
        <rFont val="Calibri"/>
        <family val="2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</si>
  <si>
    <t>NAV [Rs.] Per Unit (as on October 31, 2023 : 133.12)</t>
  </si>
  <si>
    <t>NAV [Rs.] Per Unit (as on October 31, 2023 : 143.58)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</si>
</sst>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68F00F4E-0CA4-47A8-8BA5-AE541888A1EB}"/>
    <cellStyle name="Hyperlink" xfId="2" builtinId="8"/>
    <cellStyle name="Normal" xfId="0" builtinId="0"/>
    <cellStyle name="Normal 2" xfId="4" xr:uid="{EAB8B189-D26E-48BE-9775-CD46187F8FBE}"/>
    <cellStyle name="Style 1" xfId="3" xr:uid="{3A1DD180-E115-4D9C-8AE4-536367B562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5</xdr:col>
      <xdr:colOff>38100</xdr:colOff>
      <xdr:row>0</xdr:row>
      <xdr:rowOff>1968501</xdr:rowOff>
    </xdr:to>
    <xdr:pic>
      <xdr:nvPicPr>
        <xdr:cNvPr id="2" name="Picture 1" descr="Tax Prodcut label - 9th Dec 2022.jpg">
          <a:extLst>
            <a:ext uri="{FF2B5EF4-FFF2-40B4-BE49-F238E27FC236}">
              <a16:creationId xmlns:a16="http://schemas.microsoft.com/office/drawing/2014/main" id="{568BEE95-7D9D-4082-9683-14A02ECC4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1"/>
          <a:ext cx="6790267" cy="1968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Oct%2023\Client%20Report\TMF_Monthly_Portfolio_Report_Oct%2023.xls" TargetMode="External"/><Relationship Id="rId1" Type="http://schemas.openxmlformats.org/officeDocument/2006/relationships/externalLinkPath" Target="TMF_Monthly_Portfolio_Report_Oct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0E314-9D7C-44B8-AABF-C85A97828930}">
  <dimension ref="A1:BB8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2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45230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48200</v>
      </c>
      <c r="H10" s="32">
        <v>615.44000000000005</v>
      </c>
      <c r="I10" s="32">
        <v>9.77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37729</v>
      </c>
      <c r="H11" s="32">
        <v>557.14</v>
      </c>
      <c r="I11" s="32">
        <v>8.85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5500</v>
      </c>
      <c r="H12" s="32">
        <v>380.35</v>
      </c>
      <c r="I12" s="32">
        <v>6.04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31000</v>
      </c>
      <c r="H13" s="32">
        <v>351.28</v>
      </c>
      <c r="I13" s="32">
        <v>5.58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22</v>
      </c>
      <c r="G14" s="31">
        <v>35000</v>
      </c>
      <c r="H14" s="32">
        <v>343.67</v>
      </c>
      <c r="I14" s="32">
        <v>5.46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80000</v>
      </c>
      <c r="H15" s="32">
        <v>342.84</v>
      </c>
      <c r="I15" s="32">
        <v>5.45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22</v>
      </c>
      <c r="G16" s="31">
        <v>36000</v>
      </c>
      <c r="H16" s="32">
        <v>329.54</v>
      </c>
      <c r="I16" s="32">
        <v>5.23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240000</v>
      </c>
      <c r="H17" s="32">
        <v>292.68</v>
      </c>
      <c r="I17" s="32">
        <v>4.6500000000000004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80000</v>
      </c>
      <c r="H18" s="32">
        <v>251.52</v>
      </c>
      <c r="I18" s="32">
        <v>3.99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25000</v>
      </c>
      <c r="H19" s="32">
        <v>248.99</v>
      </c>
      <c r="I19" s="32">
        <v>3.95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18</v>
      </c>
      <c r="G20" s="31">
        <v>16361</v>
      </c>
      <c r="H20" s="32">
        <v>223.92</v>
      </c>
      <c r="I20" s="32">
        <v>3.56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13798</v>
      </c>
      <c r="H21" s="32">
        <v>165.49</v>
      </c>
      <c r="I21" s="32">
        <v>2.63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22000</v>
      </c>
      <c r="H22" s="32">
        <v>165.24</v>
      </c>
      <c r="I22" s="32">
        <v>2.62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100000</v>
      </c>
      <c r="H23" s="32">
        <v>154.19999999999999</v>
      </c>
      <c r="I23" s="32">
        <v>2.4500000000000002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8139</v>
      </c>
      <c r="H24" s="32">
        <v>153.72999999999999</v>
      </c>
      <c r="I24" s="32">
        <v>2.44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62</v>
      </c>
      <c r="G25" s="31">
        <v>5500</v>
      </c>
      <c r="H25" s="32">
        <v>123.68</v>
      </c>
      <c r="I25" s="32">
        <v>1.96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58</v>
      </c>
      <c r="G26" s="31">
        <v>2087</v>
      </c>
      <c r="H26" s="32">
        <v>111.9</v>
      </c>
      <c r="I26" s="32">
        <v>1.78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30000</v>
      </c>
      <c r="H27" s="32">
        <v>110.85</v>
      </c>
      <c r="I27" s="32">
        <v>1.76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15000</v>
      </c>
      <c r="H28" s="32">
        <v>103.28</v>
      </c>
      <c r="I28" s="32">
        <v>1.64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26</v>
      </c>
      <c r="G29" s="31">
        <v>123189</v>
      </c>
      <c r="H29" s="32">
        <v>100.77</v>
      </c>
      <c r="I29" s="32">
        <v>1.6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58</v>
      </c>
      <c r="G30" s="31">
        <v>2780</v>
      </c>
      <c r="H30" s="32">
        <v>94.18</v>
      </c>
      <c r="I30" s="32">
        <v>1.5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13892</v>
      </c>
      <c r="H31" s="32">
        <v>88.85</v>
      </c>
      <c r="I31" s="32">
        <v>1.41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4082</v>
      </c>
      <c r="H32" s="32">
        <v>82.38</v>
      </c>
      <c r="I32" s="32">
        <v>1.31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51</v>
      </c>
      <c r="G33" s="31">
        <v>20000</v>
      </c>
      <c r="H33" s="32">
        <v>74.150000000000006</v>
      </c>
      <c r="I33" s="32">
        <v>1.18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16660</v>
      </c>
      <c r="H34" s="32">
        <v>68.28</v>
      </c>
      <c r="I34" s="32">
        <v>1.08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84</v>
      </c>
      <c r="G35" s="31">
        <v>17000</v>
      </c>
      <c r="H35" s="32">
        <v>59.47</v>
      </c>
      <c r="I35" s="32">
        <v>0.94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64160</v>
      </c>
      <c r="H36" s="32">
        <v>44.44</v>
      </c>
      <c r="I36" s="32">
        <v>0.71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4330</v>
      </c>
      <c r="H37" s="32">
        <v>17.59</v>
      </c>
      <c r="I37" s="32">
        <v>0.28000000000000003</v>
      </c>
      <c r="J37" s="33"/>
    </row>
    <row r="38" spans="2:10" x14ac:dyDescent="0.25">
      <c r="C38" s="28" t="s">
        <v>117</v>
      </c>
      <c r="D38" s="29"/>
      <c r="E38" s="30"/>
      <c r="F38" s="30"/>
      <c r="G38" s="31"/>
      <c r="H38" s="35">
        <v>5655.85</v>
      </c>
      <c r="I38" s="35">
        <v>89.82</v>
      </c>
      <c r="J38" s="33"/>
    </row>
    <row r="39" spans="2:10" x14ac:dyDescent="0.25">
      <c r="C39" s="20"/>
      <c r="D39" s="29"/>
      <c r="E39" s="30"/>
      <c r="F39" s="30"/>
      <c r="G39" s="31"/>
      <c r="H39" s="32"/>
      <c r="I39" s="32"/>
      <c r="J39" s="33"/>
    </row>
    <row r="40" spans="2:10" x14ac:dyDescent="0.25">
      <c r="C40" s="28" t="s">
        <v>118</v>
      </c>
      <c r="D40" s="29"/>
      <c r="E40" s="30"/>
      <c r="F40" s="30"/>
      <c r="G40" s="31"/>
      <c r="H40" s="32" t="s">
        <v>119</v>
      </c>
      <c r="I40" s="32" t="s">
        <v>119</v>
      </c>
      <c r="J40" s="33"/>
    </row>
    <row r="41" spans="2:10" x14ac:dyDescent="0.25">
      <c r="C41" s="20"/>
      <c r="D41" s="29"/>
      <c r="E41" s="30"/>
      <c r="F41" s="30"/>
      <c r="G41" s="31"/>
      <c r="H41" s="32"/>
      <c r="I41" s="32"/>
      <c r="J41" s="33"/>
    </row>
    <row r="42" spans="2:10" x14ac:dyDescent="0.25">
      <c r="C42" s="28" t="s">
        <v>120</v>
      </c>
      <c r="D42" s="29"/>
      <c r="E42" s="30"/>
      <c r="F42" s="30"/>
      <c r="G42" s="31"/>
      <c r="H42" s="32" t="s">
        <v>119</v>
      </c>
      <c r="I42" s="32" t="s">
        <v>119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121</v>
      </c>
      <c r="D44" s="29"/>
      <c r="E44" s="30"/>
      <c r="F44" s="30"/>
      <c r="G44" s="31"/>
      <c r="H44" s="32"/>
      <c r="I44" s="32"/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122</v>
      </c>
      <c r="D46" s="29"/>
      <c r="E46" s="30"/>
      <c r="F46" s="30"/>
      <c r="G46" s="31"/>
      <c r="H46" s="32" t="s">
        <v>119</v>
      </c>
      <c r="I46" s="32" t="s">
        <v>119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123</v>
      </c>
      <c r="D48" s="29"/>
      <c r="E48" s="30"/>
      <c r="F48" s="30"/>
      <c r="G48" s="31"/>
      <c r="H48" s="32" t="s">
        <v>119</v>
      </c>
      <c r="I48" s="32" t="s">
        <v>119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124</v>
      </c>
      <c r="D50" s="29"/>
      <c r="E50" s="30"/>
      <c r="F50" s="30"/>
      <c r="G50" s="31"/>
      <c r="H50" s="32" t="s">
        <v>119</v>
      </c>
      <c r="I50" s="32" t="s">
        <v>119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125</v>
      </c>
      <c r="D52" s="29"/>
      <c r="E52" s="30"/>
      <c r="F52" s="30"/>
      <c r="G52" s="31"/>
      <c r="H52" s="32" t="s">
        <v>119</v>
      </c>
      <c r="I52" s="32" t="s">
        <v>119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126</v>
      </c>
      <c r="D54" s="29"/>
      <c r="E54" s="30"/>
      <c r="F54" s="30"/>
      <c r="G54" s="31"/>
      <c r="H54" s="32" t="s">
        <v>119</v>
      </c>
      <c r="I54" s="32" t="s">
        <v>119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127</v>
      </c>
      <c r="D56" s="29"/>
      <c r="E56" s="30"/>
      <c r="F56" s="30"/>
      <c r="G56" s="31"/>
      <c r="H56" s="32"/>
      <c r="I56" s="32"/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128</v>
      </c>
      <c r="D58" s="29"/>
      <c r="E58" s="30"/>
      <c r="F58" s="30"/>
      <c r="G58" s="31"/>
      <c r="H58" s="32" t="s">
        <v>119</v>
      </c>
      <c r="I58" s="32" t="s">
        <v>119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129</v>
      </c>
      <c r="D60" s="29"/>
      <c r="E60" s="30"/>
      <c r="F60" s="30"/>
      <c r="G60" s="31"/>
      <c r="H60" s="32" t="s">
        <v>119</v>
      </c>
      <c r="I60" s="32" t="s">
        <v>119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130</v>
      </c>
      <c r="D62" s="29"/>
      <c r="E62" s="30"/>
      <c r="F62" s="30"/>
      <c r="G62" s="31"/>
      <c r="H62" s="32" t="s">
        <v>119</v>
      </c>
      <c r="I62" s="32" t="s">
        <v>119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131</v>
      </c>
      <c r="D64" s="29"/>
      <c r="E64" s="30"/>
      <c r="F64" s="30"/>
      <c r="G64" s="31"/>
      <c r="H64" s="32" t="s">
        <v>119</v>
      </c>
      <c r="I64" s="32" t="s">
        <v>119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A66" s="26"/>
      <c r="B66" s="27"/>
      <c r="C66" s="28" t="s">
        <v>132</v>
      </c>
      <c r="D66" s="29"/>
      <c r="E66" s="30"/>
      <c r="F66" s="30"/>
      <c r="G66" s="31"/>
      <c r="H66" s="32"/>
      <c r="I66" s="32"/>
      <c r="J66" s="33"/>
    </row>
    <row r="67" spans="1:10" x14ac:dyDescent="0.25">
      <c r="A67" s="27"/>
      <c r="B67" s="27"/>
      <c r="C67" s="28" t="s">
        <v>133</v>
      </c>
      <c r="D67" s="29"/>
      <c r="E67" s="30"/>
      <c r="F67" s="30"/>
      <c r="G67" s="31"/>
      <c r="H67" s="32" t="s">
        <v>119</v>
      </c>
      <c r="I67" s="32" t="s">
        <v>119</v>
      </c>
      <c r="J67" s="33"/>
    </row>
    <row r="68" spans="1:10" x14ac:dyDescent="0.25">
      <c r="A68" s="27"/>
      <c r="B68" s="27"/>
      <c r="C68" s="28"/>
      <c r="D68" s="29"/>
      <c r="E68" s="30"/>
      <c r="F68" s="30"/>
      <c r="G68" s="31"/>
      <c r="H68" s="32"/>
      <c r="I68" s="32"/>
      <c r="J68" s="33"/>
    </row>
    <row r="69" spans="1:10" x14ac:dyDescent="0.25">
      <c r="A69" s="27"/>
      <c r="B69" s="27"/>
      <c r="C69" s="28" t="s">
        <v>134</v>
      </c>
      <c r="D69" s="29"/>
      <c r="E69" s="30"/>
      <c r="F69" s="30"/>
      <c r="G69" s="31"/>
      <c r="H69" s="32" t="s">
        <v>119</v>
      </c>
      <c r="I69" s="32" t="s">
        <v>119</v>
      </c>
      <c r="J69" s="33"/>
    </row>
    <row r="70" spans="1:10" x14ac:dyDescent="0.25">
      <c r="A70" s="27"/>
      <c r="B70" s="27"/>
      <c r="C70" s="28"/>
      <c r="D70" s="29"/>
      <c r="E70" s="30"/>
      <c r="F70" s="30"/>
      <c r="G70" s="31"/>
      <c r="H70" s="32"/>
      <c r="I70" s="32"/>
      <c r="J70" s="33"/>
    </row>
    <row r="71" spans="1:10" x14ac:dyDescent="0.25">
      <c r="A71" s="27"/>
      <c r="B71" s="27"/>
      <c r="C71" s="28" t="s">
        <v>135</v>
      </c>
      <c r="D71" s="29"/>
      <c r="E71" s="30"/>
      <c r="F71" s="30"/>
      <c r="G71" s="31"/>
      <c r="H71" s="32" t="s">
        <v>119</v>
      </c>
      <c r="I71" s="32" t="s">
        <v>119</v>
      </c>
      <c r="J71" s="33"/>
    </row>
    <row r="72" spans="1:10" x14ac:dyDescent="0.25">
      <c r="A72" s="27"/>
      <c r="B72" s="27"/>
      <c r="C72" s="28"/>
      <c r="D72" s="29"/>
      <c r="E72" s="30"/>
      <c r="F72" s="30"/>
      <c r="G72" s="31"/>
      <c r="H72" s="32"/>
      <c r="I72" s="32"/>
      <c r="J72" s="33"/>
    </row>
    <row r="73" spans="1:10" x14ac:dyDescent="0.25">
      <c r="A73" s="27"/>
      <c r="B73" s="27"/>
      <c r="C73" s="28" t="s">
        <v>136</v>
      </c>
      <c r="D73" s="29"/>
      <c r="E73" s="30"/>
      <c r="F73" s="30"/>
      <c r="G73" s="31"/>
      <c r="H73" s="32" t="s">
        <v>119</v>
      </c>
      <c r="I73" s="32" t="s">
        <v>119</v>
      </c>
      <c r="J73" s="33"/>
    </row>
    <row r="74" spans="1:10" x14ac:dyDescent="0.25">
      <c r="A74" s="27"/>
      <c r="B74" s="27"/>
      <c r="C74" s="28"/>
      <c r="D74" s="29"/>
      <c r="E74" s="30"/>
      <c r="F74" s="30"/>
      <c r="G74" s="31"/>
      <c r="H74" s="32"/>
      <c r="I74" s="32"/>
      <c r="J74" s="33"/>
    </row>
    <row r="75" spans="1:10" x14ac:dyDescent="0.25">
      <c r="C75" s="34" t="s">
        <v>137</v>
      </c>
      <c r="D75" s="29"/>
      <c r="E75" s="30"/>
      <c r="F75" s="30"/>
      <c r="G75" s="31"/>
      <c r="H75" s="32"/>
      <c r="I75" s="32"/>
      <c r="J75" s="33"/>
    </row>
    <row r="76" spans="1:10" x14ac:dyDescent="0.25">
      <c r="B76" s="1" t="s">
        <v>138</v>
      </c>
      <c r="C76" s="20" t="s">
        <v>139</v>
      </c>
      <c r="D76" s="29"/>
      <c r="E76" s="30"/>
      <c r="F76" s="30"/>
      <c r="G76" s="31"/>
      <c r="H76" s="32">
        <v>500</v>
      </c>
      <c r="I76" s="32">
        <v>7.94</v>
      </c>
      <c r="J76" s="33"/>
    </row>
    <row r="77" spans="1:10" x14ac:dyDescent="0.25">
      <c r="C77" s="28" t="s">
        <v>117</v>
      </c>
      <c r="D77" s="29"/>
      <c r="E77" s="30"/>
      <c r="F77" s="30"/>
      <c r="G77" s="31"/>
      <c r="H77" s="35">
        <v>500</v>
      </c>
      <c r="I77" s="35">
        <v>7.94</v>
      </c>
      <c r="J77" s="33"/>
    </row>
    <row r="78" spans="1:10" x14ac:dyDescent="0.25">
      <c r="C78" s="20"/>
      <c r="D78" s="29"/>
      <c r="E78" s="30"/>
      <c r="F78" s="30"/>
      <c r="G78" s="31"/>
      <c r="H78" s="32"/>
      <c r="I78" s="32"/>
      <c r="J78" s="33"/>
    </row>
    <row r="79" spans="1:10" x14ac:dyDescent="0.25">
      <c r="A79" s="26"/>
      <c r="B79" s="27"/>
      <c r="C79" s="28" t="s">
        <v>140</v>
      </c>
      <c r="D79" s="29"/>
      <c r="E79" s="30"/>
      <c r="F79" s="30"/>
      <c r="G79" s="31"/>
      <c r="H79" s="32"/>
      <c r="I79" s="32"/>
      <c r="J79" s="33"/>
    </row>
    <row r="80" spans="1:10" x14ac:dyDescent="0.25">
      <c r="B80" s="1"/>
      <c r="C80" s="20" t="s">
        <v>141</v>
      </c>
      <c r="D80" s="29"/>
      <c r="E80" s="30"/>
      <c r="F80" s="30"/>
      <c r="G80" s="31"/>
      <c r="H80" s="32">
        <v>140.46</v>
      </c>
      <c r="I80" s="32">
        <v>2.2399999999999998</v>
      </c>
      <c r="J80" s="33"/>
    </row>
    <row r="81" spans="3:10" x14ac:dyDescent="0.25">
      <c r="C81" s="28" t="s">
        <v>117</v>
      </c>
      <c r="D81" s="29"/>
      <c r="E81" s="30"/>
      <c r="F81" s="30"/>
      <c r="G81" s="31"/>
      <c r="H81" s="35">
        <v>140.46</v>
      </c>
      <c r="I81" s="35">
        <v>2.2399999999999998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ht="14.25" thickBot="1" x14ac:dyDescent="0.3">
      <c r="C83" s="36" t="s">
        <v>142</v>
      </c>
      <c r="D83" s="37"/>
      <c r="E83" s="38"/>
      <c r="F83" s="39"/>
      <c r="G83" s="40"/>
      <c r="H83" s="41">
        <v>6296.31</v>
      </c>
      <c r="I83" s="41">
        <f>SUMIFS(I:I,C:C,"Total")</f>
        <v>99.999999999999986</v>
      </c>
      <c r="J83" s="42"/>
    </row>
    <row r="86" spans="3:10" x14ac:dyDescent="0.25">
      <c r="C86" s="11" t="s">
        <v>143</v>
      </c>
    </row>
    <row r="87" spans="3:10" x14ac:dyDescent="0.25">
      <c r="C87" s="2" t="s">
        <v>144</v>
      </c>
    </row>
    <row r="88" spans="3:10" x14ac:dyDescent="0.25">
      <c r="C88" s="2" t="s">
        <v>145</v>
      </c>
    </row>
    <row r="89" spans="3:10" x14ac:dyDescent="0.25">
      <c r="C89" s="2" t="s">
        <v>146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D4BE-0E3A-45F4-94BD-E0529E199077}">
  <dimension ref="B4:J20"/>
  <sheetViews>
    <sheetView workbookViewId="0"/>
  </sheetViews>
  <sheetFormatPr defaultRowHeight="15" x14ac:dyDescent="0.25"/>
  <cols>
    <col min="2" max="2" width="55.42578125" customWidth="1"/>
    <col min="4" max="4" width="10.85546875" bestFit="1" customWidth="1"/>
    <col min="6" max="6" width="10.85546875" bestFit="1" customWidth="1"/>
    <col min="8" max="8" width="10.85546875" bestFit="1" customWidth="1"/>
    <col min="9" max="9" width="7.28515625" bestFit="1" customWidth="1"/>
    <col min="10" max="10" width="12.42578125" bestFit="1" customWidth="1"/>
  </cols>
  <sheetData>
    <row r="4" spans="2:10" ht="15.75" x14ac:dyDescent="0.25">
      <c r="B4" s="43" t="s">
        <v>147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148</v>
      </c>
      <c r="C5" s="46" t="s">
        <v>149</v>
      </c>
      <c r="D5" s="46"/>
      <c r="E5" s="46" t="s">
        <v>150</v>
      </c>
      <c r="F5" s="46"/>
      <c r="G5" s="46" t="s">
        <v>151</v>
      </c>
      <c r="H5" s="46"/>
      <c r="I5" s="46" t="s">
        <v>152</v>
      </c>
      <c r="J5" s="46"/>
    </row>
    <row r="6" spans="2:10" ht="63.75" x14ac:dyDescent="0.25">
      <c r="B6" s="47"/>
      <c r="C6" s="48" t="s">
        <v>153</v>
      </c>
      <c r="D6" s="48" t="s">
        <v>154</v>
      </c>
      <c r="E6" s="48" t="s">
        <v>153</v>
      </c>
      <c r="F6" s="48" t="s">
        <v>154</v>
      </c>
      <c r="G6" s="48" t="s">
        <v>153</v>
      </c>
      <c r="H6" s="48" t="s">
        <v>154</v>
      </c>
      <c r="I6" s="48" t="s">
        <v>153</v>
      </c>
      <c r="J6" s="48" t="s">
        <v>154</v>
      </c>
    </row>
    <row r="7" spans="2:10" x14ac:dyDescent="0.25">
      <c r="B7" s="49" t="s">
        <v>155</v>
      </c>
      <c r="C7" s="50">
        <v>12.890094979647216</v>
      </c>
      <c r="D7" s="50">
        <v>11289.009497964724</v>
      </c>
      <c r="E7" s="50">
        <v>18.162622330854905</v>
      </c>
      <c r="F7" s="50">
        <v>16505.889646621203</v>
      </c>
      <c r="G7" s="50">
        <v>12.778650231704791</v>
      </c>
      <c r="H7" s="50">
        <v>18250.616945434602</v>
      </c>
      <c r="I7" s="50">
        <v>11.505974337393399</v>
      </c>
      <c r="J7" s="50">
        <v>133120</v>
      </c>
    </row>
    <row r="8" spans="2:10" x14ac:dyDescent="0.25">
      <c r="B8" s="49" t="s">
        <v>156</v>
      </c>
      <c r="C8" s="50">
        <v>9.633436189105149</v>
      </c>
      <c r="D8" s="50">
        <v>10963.343618910514</v>
      </c>
      <c r="E8" s="50">
        <v>21.989983077315813</v>
      </c>
      <c r="F8" s="50">
        <v>18154.007610912791</v>
      </c>
      <c r="G8" s="50">
        <v>15.343577231297111</v>
      </c>
      <c r="H8" s="50">
        <v>20415.831930886125</v>
      </c>
      <c r="I8" s="50">
        <v>0</v>
      </c>
      <c r="J8" s="50">
        <v>0</v>
      </c>
    </row>
    <row r="9" spans="2:10" x14ac:dyDescent="0.25">
      <c r="B9" s="49" t="s">
        <v>157</v>
      </c>
      <c r="C9" s="50">
        <v>7.0085355178066466</v>
      </c>
      <c r="D9" s="50">
        <v>10700.853551780665</v>
      </c>
      <c r="E9" s="50">
        <v>19.272785240684787</v>
      </c>
      <c r="F9" s="50">
        <v>16967.743206865995</v>
      </c>
      <c r="G9" s="50">
        <v>14.2661924180016</v>
      </c>
      <c r="H9" s="50">
        <v>19479.992271038322</v>
      </c>
      <c r="I9" s="50">
        <v>12.66296748207405</v>
      </c>
      <c r="J9" s="50">
        <v>268721.61662297673</v>
      </c>
    </row>
    <row r="10" spans="2:10" x14ac:dyDescent="0.25">
      <c r="B10" s="49" t="s">
        <v>160</v>
      </c>
      <c r="C10" s="51">
        <v>117.92</v>
      </c>
      <c r="D10" s="52"/>
      <c r="E10" s="51">
        <v>80.650000000000006</v>
      </c>
      <c r="F10" s="52"/>
      <c r="G10" s="51">
        <v>72.94</v>
      </c>
      <c r="H10" s="52"/>
      <c r="I10" s="51">
        <v>10</v>
      </c>
      <c r="J10" s="52"/>
    </row>
    <row r="12" spans="2:10" ht="15.75" x14ac:dyDescent="0.25">
      <c r="B12" s="43" t="s">
        <v>158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148</v>
      </c>
      <c r="C13" s="46" t="s">
        <v>149</v>
      </c>
      <c r="D13" s="46"/>
      <c r="E13" s="46" t="s">
        <v>150</v>
      </c>
      <c r="F13" s="46"/>
      <c r="G13" s="46" t="s">
        <v>151</v>
      </c>
      <c r="H13" s="46"/>
      <c r="I13" s="46" t="s">
        <v>152</v>
      </c>
      <c r="J13" s="46"/>
    </row>
    <row r="14" spans="2:10" ht="63.75" x14ac:dyDescent="0.25">
      <c r="B14" s="47"/>
      <c r="C14" s="48" t="s">
        <v>153</v>
      </c>
      <c r="D14" s="48" t="s">
        <v>154</v>
      </c>
      <c r="E14" s="48" t="s">
        <v>153</v>
      </c>
      <c r="F14" s="48" t="s">
        <v>154</v>
      </c>
      <c r="G14" s="48" t="s">
        <v>153</v>
      </c>
      <c r="H14" s="48" t="s">
        <v>154</v>
      </c>
      <c r="I14" s="48" t="s">
        <v>153</v>
      </c>
      <c r="J14" s="48" t="s">
        <v>154</v>
      </c>
    </row>
    <row r="15" spans="2:10" x14ac:dyDescent="0.25">
      <c r="B15" s="49" t="s">
        <v>155</v>
      </c>
      <c r="C15" s="50">
        <v>13.67270999920831</v>
      </c>
      <c r="D15" s="50">
        <v>11367.270999920831</v>
      </c>
      <c r="E15" s="50">
        <v>18.954451667360537</v>
      </c>
      <c r="F15" s="50">
        <v>16840.253342716398</v>
      </c>
      <c r="G15" s="50">
        <v>13.575051427127715</v>
      </c>
      <c r="H15" s="50">
        <v>18904.54246214615</v>
      </c>
      <c r="I15" s="50">
        <v>12.864591237396938</v>
      </c>
      <c r="J15" s="50">
        <v>37110.364435254589</v>
      </c>
    </row>
    <row r="16" spans="2:10" x14ac:dyDescent="0.25">
      <c r="B16" s="49" t="s">
        <v>156</v>
      </c>
      <c r="C16" s="50">
        <v>9.633436189105149</v>
      </c>
      <c r="D16" s="50">
        <v>10963.343618910514</v>
      </c>
      <c r="E16" s="50">
        <v>21.989983077315813</v>
      </c>
      <c r="F16" s="50">
        <v>18154.007610912791</v>
      </c>
      <c r="G16" s="50">
        <v>15.343577231297111</v>
      </c>
      <c r="H16" s="50">
        <v>20415.831930886125</v>
      </c>
      <c r="I16" s="50">
        <v>13.685170498565657</v>
      </c>
      <c r="J16" s="50">
        <v>40140.723877095217</v>
      </c>
    </row>
    <row r="17" spans="2:10" x14ac:dyDescent="0.25">
      <c r="B17" s="49" t="s">
        <v>157</v>
      </c>
      <c r="C17" s="50">
        <v>7.0085355178066466</v>
      </c>
      <c r="D17" s="50">
        <v>10700.853551780665</v>
      </c>
      <c r="E17" s="50">
        <v>19.272785240684787</v>
      </c>
      <c r="F17" s="50">
        <v>16967.743206865995</v>
      </c>
      <c r="G17" s="50">
        <v>14.2661924180016</v>
      </c>
      <c r="H17" s="50">
        <v>19479.992271038322</v>
      </c>
      <c r="I17" s="50">
        <v>12.726145382760778</v>
      </c>
      <c r="J17" s="50">
        <v>36620.07471094605</v>
      </c>
    </row>
    <row r="18" spans="2:10" x14ac:dyDescent="0.25">
      <c r="B18" s="49" t="s">
        <v>161</v>
      </c>
      <c r="C18" s="51">
        <v>126.31</v>
      </c>
      <c r="D18" s="52"/>
      <c r="E18" s="51">
        <v>85.26</v>
      </c>
      <c r="F18" s="52"/>
      <c r="G18" s="51">
        <v>75.95</v>
      </c>
      <c r="H18" s="52"/>
      <c r="I18" s="51">
        <v>38.69</v>
      </c>
      <c r="J18" s="52"/>
    </row>
    <row r="20" spans="2:10" x14ac:dyDescent="0.25">
      <c r="B20" t="s">
        <v>159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TTS-Risk-O-Meter &amp; Portfolio</vt:lpstr>
      <vt:lpstr>TTS Performance</vt:lpstr>
      <vt:lpstr>XDO_?CLASS_3?7?</vt:lpstr>
      <vt:lpstr>XDO_?FINAL_ISIN?15?</vt:lpstr>
      <vt:lpstr>XDO_?FINAL_ISIN?16?</vt:lpstr>
      <vt:lpstr>XDO_?FINAL_ISIN?17?</vt:lpstr>
      <vt:lpstr>XDO_?FINAL_MV?15?</vt:lpstr>
      <vt:lpstr>XDO_?FINAL_MV?16?</vt:lpstr>
      <vt:lpstr>XDO_?FINAL_MV?17?</vt:lpstr>
      <vt:lpstr>XDO_?FINAL_NAME?15?</vt:lpstr>
      <vt:lpstr>XDO_?FINAL_NAME?16?</vt:lpstr>
      <vt:lpstr>XDO_?FINAL_NAME?17?</vt:lpstr>
      <vt:lpstr>XDO_?FINAL_PER_NET?15?</vt:lpstr>
      <vt:lpstr>XDO_?FINAL_PER_NET?16?</vt:lpstr>
      <vt:lpstr>XDO_?FINAL_PER_NET?17?</vt:lpstr>
      <vt:lpstr>XDO_?FINAL_QUANTITE?15?</vt:lpstr>
      <vt:lpstr>XDO_?FINAL_QUANTITE?16?</vt:lpstr>
      <vt:lpstr>XDO_?FINAL_QUANTITE?17?</vt:lpstr>
      <vt:lpstr>XDO_?IND_01?15?</vt:lpstr>
      <vt:lpstr>XDO_?IND_01?16?</vt:lpstr>
      <vt:lpstr>XDO_?IND_01?17?</vt:lpstr>
      <vt:lpstr>XDO_?NAMCNAME?7?</vt:lpstr>
      <vt:lpstr>XDO_?NOVAL?15?</vt:lpstr>
      <vt:lpstr>XDO_?NOVAL?16?</vt:lpstr>
      <vt:lpstr>XDO_?NOVAL?17?</vt:lpstr>
      <vt:lpstr>XDO_?NPTF?7?</vt:lpstr>
      <vt:lpstr>XDO_?RATING?15?</vt:lpstr>
      <vt:lpstr>XDO_?RATING?16?</vt:lpstr>
      <vt:lpstr>XDO_?RATING?17?</vt:lpstr>
      <vt:lpstr>XDO_?REMARKS?15?</vt:lpstr>
      <vt:lpstr>XDO_?REMARKS?16?</vt:lpstr>
      <vt:lpstr>XDO_?REMARKS?17?</vt:lpstr>
      <vt:lpstr>XDO_?TITL?7?</vt:lpstr>
      <vt:lpstr>XDO_GROUP_?G_2?7?</vt:lpstr>
      <vt:lpstr>XDO_GROUP_?G_3?7?</vt:lpstr>
      <vt:lpstr>XDO_GROUP_?G_4?15?</vt:lpstr>
      <vt:lpstr>XDO_GROUP_?G_4?16?</vt:lpstr>
      <vt:lpstr>XDO_GROUP_?G_4?17?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2023-11-04T02:36:45Z</dcterms:created>
  <dcterms:modified xsi:type="dcterms:W3CDTF">2023-11-06T06:28:47Z</dcterms:modified>
</cp:coreProperties>
</file>