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7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Performance'!$C$8:$C$48</definedName>
    <definedName name="XDO_?FINAL_ISIN?5?">'TEF-Risk-O-Meter &amp; Performance'!$D$10:$D$48</definedName>
    <definedName name="XDO_?FINAL_ISIN?6?">'TEF-Risk-O-Meter &amp; Performance'!$D$10:$D$90</definedName>
    <definedName name="XDO_?FINAL_MV?5?">'TEF-Risk-O-Meter &amp; Performance'!$H$10:$H$48</definedName>
    <definedName name="XDO_?FINAL_MV?6?">'TEF-Risk-O-Meter &amp; Performance'!$H$10:$H$90</definedName>
    <definedName name="XDO_?FINAL_NAME?5?">'TEF-Risk-O-Meter &amp; Performance'!$C$10:$C$48</definedName>
    <definedName name="XDO_?FINAL_NAME?6?">'TEF-Risk-O-Meter &amp; Performance'!$C$10:$C$90</definedName>
    <definedName name="XDO_?FINAL_PER_NET?5?">'TEF-Risk-O-Meter &amp; Performance'!$I$10:$I$48</definedName>
    <definedName name="XDO_?FINAL_PER_NET?6?">'TEF-Risk-O-Meter &amp; Performance'!$I$10:$I$90</definedName>
    <definedName name="XDO_?FINAL_QUANTITE?5?">'TEF-Risk-O-Meter &amp; Performance'!$G$10:$G$48</definedName>
    <definedName name="XDO_?FINAL_QUANTITE?6?">'TEF-Risk-O-Meter &amp; Performance'!$G$10:$G$90</definedName>
    <definedName name="XDO_?IND_01?5?">'TEF-Risk-O-Meter &amp; Performance'!$F$10:$F$48</definedName>
    <definedName name="XDO_?IND_01?6?">'TEF-Risk-O-Meter &amp; Performance'!$F$10:$F$90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Performance'!$C$2:$C$48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Performance'!$B$10:$B$48</definedName>
    <definedName name="XDO_?NOVAL?6?">'TEF-Risk-O-Meter &amp; Performance'!$B$10:$B$90</definedName>
    <definedName name="XDO_?NPTF?3?">'TEF-Risk-O-Meter &amp; Performance'!$D$2:$D$48</definedName>
    <definedName name="XDO_?RATING?5?">'TEF-Risk-O-Meter &amp; Performance'!$E$10:$E$48</definedName>
    <definedName name="XDO_?RATING?6?">'TEF-Risk-O-Meter &amp; Performance'!$E$10:$E$90</definedName>
    <definedName name="XDO_?REMARKS?5?">'TEF-Risk-O-Meter &amp; Performance'!$J$10:$J$48</definedName>
    <definedName name="XDO_?REMARKS?6?">'TEF-Risk-O-Meter &amp; Performance'!$J$10:$J$90</definedName>
    <definedName name="XDO_?TITL?3?">'TEF-Risk-O-Meter &amp; Performance'!$A$8:$A$48</definedName>
    <definedName name="XDO_GROUP_?G_2?3?">'TEF-Risk-O-Meter &amp; Performance'!$2:$93</definedName>
    <definedName name="XDO_GROUP_?G_3?3?">'TEF-Risk-O-Meter &amp; Performance'!$8:$92</definedName>
    <definedName name="XDO_GROUP_?G_4?5?">'TEF-Risk-O-Meter &amp; Performance'!$B$10:$IV$48</definedName>
    <definedName name="XDO_GROUP_?G_4?6?">'TEF-Risk-O-Meter &amp; Performance'!$B$90:$IV$90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/>
</calcChain>
</file>

<file path=xl/sharedStrings.xml><?xml version="1.0" encoding="utf-8"?>
<sst xmlns="http://schemas.openxmlformats.org/spreadsheetml/2006/main" count="267" uniqueCount="197">
  <si>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</si>
  <si>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</si>
  <si>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</si>
  <si>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</si>
  <si>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</si>
  <si>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</si>
  <si>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</si>
  <si>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</si>
  <si>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</si>
  <si>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</si>
  <si>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</si>
  <si>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</si>
  <si>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</si>
  <si>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</si>
  <si>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</si>
  <si>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</si>
  <si>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</si>
  <si>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</si>
  <si>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</si>
  <si>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</si>
  <si>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</si>
  <si>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</si>
  <si>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</si>
  <si>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</si>
  <si>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</si>
  <si>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</si>
  <si>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100032</t>
  </si>
  <si>
    <t>Tata Consultancy Services Ltd.</t>
  </si>
  <si>
    <t>INE467B01029</t>
  </si>
  <si>
    <t>100944</t>
  </si>
  <si>
    <t>Mishra Dhatu Nigam Ltd.</t>
  </si>
  <si>
    <t>INE099Z01011</t>
  </si>
  <si>
    <t>Aerospace &amp; Defense</t>
  </si>
  <si>
    <t>100147</t>
  </si>
  <si>
    <t>Tech Mahindra Ltd.</t>
  </si>
  <si>
    <t>INE669C01036</t>
  </si>
  <si>
    <t>101670</t>
  </si>
  <si>
    <t>Patanjali Foods Ltd.</t>
  </si>
  <si>
    <t>INE619A01035</t>
  </si>
  <si>
    <t>Agricultural Food &amp; other Products</t>
  </si>
  <si>
    <t>100474</t>
  </si>
  <si>
    <t>Narayana Hrudayalaya Ltd.</t>
  </si>
  <si>
    <t>INE410P01011</t>
  </si>
  <si>
    <t>Healthcare Services</t>
  </si>
  <si>
    <t>100017</t>
  </si>
  <si>
    <t>National Aluminium Company Ltd.</t>
  </si>
  <si>
    <t>INE139A01034</t>
  </si>
  <si>
    <t>Non - Ferrous Metals</t>
  </si>
  <si>
    <t>100367</t>
  </si>
  <si>
    <t>Exide Industries Ltd.</t>
  </si>
  <si>
    <t>INE302A01020</t>
  </si>
  <si>
    <t>Auto Components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</si>
  <si>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</si>
  <si>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</si>
  <si>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</si>
  <si>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</si>
  <si>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</si>
  <si>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</si>
  <si>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</si>
  <si>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100821</t>
  </si>
  <si>
    <t>TTK Prestige Ltd.</t>
  </si>
  <si>
    <t>INE690A01028</t>
  </si>
  <si>
    <t>Consumer Durables</t>
  </si>
  <si>
    <t>100370</t>
  </si>
  <si>
    <t>Biocon Ltd.</t>
  </si>
  <si>
    <t>INE376G01013</t>
  </si>
  <si>
    <t>101229</t>
  </si>
  <si>
    <t>Jubilant Ingrevia Ltd.</t>
  </si>
  <si>
    <t>INE0BY001018</t>
  </si>
  <si>
    <t>Chemicals &amp; Petrochemicals</t>
  </si>
  <si>
    <t>100172</t>
  </si>
  <si>
    <t>ACC Ltd.</t>
  </si>
  <si>
    <t>INE012A01025</t>
  </si>
  <si>
    <t>Cement &amp; Cement Products</t>
  </si>
  <si>
    <t>100945</t>
  </si>
  <si>
    <t>Indian Railway Catering &amp; Tourism Corporation Ltd.</t>
  </si>
  <si>
    <t>INE335Y01020</t>
  </si>
  <si>
    <t>Leisure Services</t>
  </si>
  <si>
    <t>100089</t>
  </si>
  <si>
    <t>Bharat Electronics Ltd.</t>
  </si>
  <si>
    <t>INE263A01024</t>
  </si>
  <si>
    <t>100099</t>
  </si>
  <si>
    <t>Hindustan Unilever Ltd.</t>
  </si>
  <si>
    <t>INE030A01027</t>
  </si>
  <si>
    <t>Diversified FMCG</t>
  </si>
  <si>
    <t>101101</t>
  </si>
  <si>
    <t>LA Opala RG Ltd.</t>
  </si>
  <si>
    <t>INE059D01020</t>
  </si>
  <si>
    <t>100284</t>
  </si>
  <si>
    <t>Dr. Lal Path labs Ltd.</t>
  </si>
  <si>
    <t>INE600L01024</t>
  </si>
  <si>
    <t>100029</t>
  </si>
  <si>
    <t>Mphasis Ltd.</t>
  </si>
  <si>
    <t>INE356A01018</t>
  </si>
  <si>
    <t>100164</t>
  </si>
  <si>
    <t>Petronet LNG Ltd.</t>
  </si>
  <si>
    <t>INE347G01014</t>
  </si>
  <si>
    <t>Gas</t>
  </si>
  <si>
    <t>100132</t>
  </si>
  <si>
    <t>Info Edge (India) Ltd.</t>
  </si>
  <si>
    <t>INE663F01024</t>
  </si>
  <si>
    <t>Retailing</t>
  </si>
  <si>
    <t>100161</t>
  </si>
  <si>
    <t>Cummins India Ltd.</t>
  </si>
  <si>
    <t>INE298A01020</t>
  </si>
  <si>
    <t>Industrial Products</t>
  </si>
  <si>
    <t>100155</t>
  </si>
  <si>
    <t>Divi's Laboratories Ltd.</t>
  </si>
  <si>
    <t>INE361B01024</t>
  </si>
  <si>
    <t>100689</t>
  </si>
  <si>
    <t>Godrej Agrovet Ltd.</t>
  </si>
  <si>
    <t>INE850D01014</t>
  </si>
  <si>
    <t>Food Products</t>
  </si>
  <si>
    <t>100090</t>
  </si>
  <si>
    <t>Bharat Forge Ltd.</t>
  </si>
  <si>
    <t>INE465A01025</t>
  </si>
  <si>
    <t>100096</t>
  </si>
  <si>
    <t>Container Corporation of India Ltd.</t>
  </si>
  <si>
    <t>INE111A01025</t>
  </si>
  <si>
    <t>Transport Services</t>
  </si>
  <si>
    <t>100054</t>
  </si>
  <si>
    <t>Oberoi Realty Ltd.</t>
  </si>
  <si>
    <t>INE093I01010</t>
  </si>
  <si>
    <t>Realty</t>
  </si>
  <si>
    <t>100747</t>
  </si>
  <si>
    <t>Mahindra Logistics Ltd.</t>
  </si>
  <si>
    <t>INE766P01016</t>
  </si>
  <si>
    <t>100570</t>
  </si>
  <si>
    <t>K.P.R. Mill Ltd.</t>
  </si>
  <si>
    <t>INE930H01031</t>
  </si>
  <si>
    <t>Textiles &amp; Apparels</t>
  </si>
  <si>
    <t>100544</t>
  </si>
  <si>
    <t>Quess Corp Ltd.</t>
  </si>
  <si>
    <t>INE615P01015</t>
  </si>
  <si>
    <t>Commercial Services &amp; Supplies</t>
  </si>
  <si>
    <t>101178</t>
  </si>
  <si>
    <t>Computer Age Management Services Ltd.</t>
  </si>
  <si>
    <t>INE596I01012</t>
  </si>
  <si>
    <t>Capital Markets</t>
  </si>
  <si>
    <t>100671</t>
  </si>
  <si>
    <t>HEG Ltd.</t>
  </si>
  <si>
    <t>INE545A01016</t>
  </si>
  <si>
    <t>100179</t>
  </si>
  <si>
    <t>Hero MotoCorp Ltd.</t>
  </si>
  <si>
    <t>INE158A01026</t>
  </si>
  <si>
    <t>Automobiles</t>
  </si>
  <si>
    <t>100447</t>
  </si>
  <si>
    <t>LTIMindtree Ltd.</t>
  </si>
  <si>
    <t>INE214T01019</t>
  </si>
  <si>
    <t>100159</t>
  </si>
  <si>
    <t>Sanofi India Ltd.</t>
  </si>
  <si>
    <t>INE058A01010</t>
  </si>
  <si>
    <t>100737</t>
  </si>
  <si>
    <t>Hindustan Copper Ltd.</t>
  </si>
  <si>
    <t>INE531E01026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</si>
  <si>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</si>
  <si>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</si>
  <si>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</si>
  <si>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</si>
  <si>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</si>
  <si>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</si>
  <si>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</si>
  <si>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</si>
  <si>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</si>
  <si>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</si>
  <si>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</si>
  <si>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</si>
  <si>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</si>
  <si>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</si>
  <si>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</si>
  <si>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</si>
  <si>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</si>
  <si>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</si>
  <si>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</si>
  <si>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</si>
  <si>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</si>
  <si>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</si>
  <si>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</si>
  <si>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</si>
  <si>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</si>
  <si>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</si>
  <si>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</si>
  <si>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</si>
  <si>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</si>
  <si>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</si>
  <si>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</si>
  <si>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</si>
  <si>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</si>
  <si>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</si>
  <si>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</si>
  <si>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</si>
  <si>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</si>
  <si>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</si>
  <si>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</si>
  <si>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April 28, 2023 : 81.07)</t>
  </si>
  <si>
    <t>Taurus Ethical Fund - Direct Plan Growth Option</t>
  </si>
  <si>
    <t>NAV [Rs.] Per Unit  (as on April 28, 2023 : 88.82)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</si>
</sst>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9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45046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51801</v>
      </c>
      <c r="H10" s="32">
        <v>648.83000000000004</v>
      </c>
      <c r="I10" s="32">
        <v>7.44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26487</v>
      </c>
      <c r="H11" s="32">
        <v>641.04</v>
      </c>
      <c r="I11" s="32">
        <v>7.35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51760</v>
      </c>
      <c r="H12" s="32">
        <v>550.54999999999995</v>
      </c>
      <c r="I12" s="32">
        <v>6.31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15245</v>
      </c>
      <c r="H13" s="32">
        <v>490.28</v>
      </c>
      <c r="I13" s="32">
        <v>5.62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210000</v>
      </c>
      <c r="H14" s="32">
        <v>428.93</v>
      </c>
      <c r="I14" s="32">
        <v>4.92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40750</v>
      </c>
      <c r="H15" s="32">
        <v>417.18</v>
      </c>
      <c r="I15" s="32">
        <v>4.78</v>
      </c>
      <c r="J15" s="33"/>
    </row>
    <row r="16" spans="1:54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39000</v>
      </c>
      <c r="H16" s="32">
        <v>366.85</v>
      </c>
      <c r="I16" s="32">
        <v>4.2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47560</v>
      </c>
      <c r="H17" s="32">
        <v>362.07</v>
      </c>
      <c r="I17" s="32">
        <v>4.1500000000000004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400000</v>
      </c>
      <c r="H18" s="32">
        <v>331.8</v>
      </c>
      <c r="I18" s="32">
        <v>3.8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138334</v>
      </c>
      <c r="H19" s="32">
        <v>270.64999999999998</v>
      </c>
      <c r="I19" s="32">
        <v>3.1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29372</v>
      </c>
      <c r="H20" s="32">
        <v>266.61</v>
      </c>
      <c r="I20" s="32">
        <v>3.06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55</v>
      </c>
      <c r="G21" s="31">
        <v>25000</v>
      </c>
      <c r="H21" s="32">
        <v>246.7</v>
      </c>
      <c r="I21" s="32">
        <v>2.83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33400</v>
      </c>
      <c r="H22" s="32">
        <v>243.97</v>
      </c>
      <c r="I22" s="32">
        <v>2.8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55</v>
      </c>
      <c r="G23" s="31">
        <v>101850</v>
      </c>
      <c r="H23" s="32">
        <v>237.06</v>
      </c>
      <c r="I23" s="32">
        <v>2.72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56260</v>
      </c>
      <c r="H24" s="32">
        <v>237.02</v>
      </c>
      <c r="I24" s="32">
        <v>2.72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13007</v>
      </c>
      <c r="H25" s="32">
        <v>229.31</v>
      </c>
      <c r="I25" s="32">
        <v>2.63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35500</v>
      </c>
      <c r="H26" s="32">
        <v>219.21</v>
      </c>
      <c r="I26" s="32">
        <v>2.5099999999999998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32</v>
      </c>
      <c r="G27" s="31">
        <v>202568</v>
      </c>
      <c r="H27" s="32">
        <v>209.25</v>
      </c>
      <c r="I27" s="32">
        <v>2.4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7250</v>
      </c>
      <c r="H28" s="32">
        <v>177.94</v>
      </c>
      <c r="I28" s="32">
        <v>2.04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62</v>
      </c>
      <c r="G29" s="31">
        <v>41600</v>
      </c>
      <c r="H29" s="32">
        <v>159.35</v>
      </c>
      <c r="I29" s="32">
        <v>1.83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43</v>
      </c>
      <c r="G30" s="31">
        <v>8000</v>
      </c>
      <c r="H30" s="32">
        <v>156.38999999999999</v>
      </c>
      <c r="I30" s="32">
        <v>1.79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18</v>
      </c>
      <c r="G31" s="31">
        <v>8350</v>
      </c>
      <c r="H31" s="32">
        <v>151.55000000000001</v>
      </c>
      <c r="I31" s="32">
        <v>1.74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62200</v>
      </c>
      <c r="H32" s="32">
        <v>147.54</v>
      </c>
      <c r="I32" s="32">
        <v>1.69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3722</v>
      </c>
      <c r="H33" s="32">
        <v>140.41</v>
      </c>
      <c r="I33" s="32">
        <v>1.61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8185</v>
      </c>
      <c r="H34" s="32">
        <v>128.83000000000001</v>
      </c>
      <c r="I34" s="32">
        <v>1.48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55</v>
      </c>
      <c r="G35" s="31">
        <v>3709</v>
      </c>
      <c r="H35" s="32">
        <v>121.15</v>
      </c>
      <c r="I35" s="32">
        <v>1.39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27500</v>
      </c>
      <c r="H36" s="32">
        <v>120.49</v>
      </c>
      <c r="I36" s="32">
        <v>1.38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105</v>
      </c>
      <c r="G37" s="31">
        <v>13000</v>
      </c>
      <c r="H37" s="32">
        <v>104.11</v>
      </c>
      <c r="I37" s="32">
        <v>1.19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15600</v>
      </c>
      <c r="H38" s="32">
        <v>95.49</v>
      </c>
      <c r="I38" s="32">
        <v>1.0900000000000001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9900</v>
      </c>
      <c r="H39" s="32">
        <v>90.58</v>
      </c>
      <c r="I39" s="32">
        <v>1.04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119</v>
      </c>
      <c r="G40" s="31">
        <v>24000</v>
      </c>
      <c r="H40" s="32">
        <v>88.84</v>
      </c>
      <c r="I40" s="32">
        <v>1.02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14700</v>
      </c>
      <c r="H41" s="32">
        <v>88</v>
      </c>
      <c r="I41" s="32">
        <v>1.01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21032</v>
      </c>
      <c r="H42" s="32">
        <v>76.28</v>
      </c>
      <c r="I42" s="32">
        <v>0.87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3508</v>
      </c>
      <c r="H43" s="32">
        <v>72.33</v>
      </c>
      <c r="I43" s="32">
        <v>0.83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105</v>
      </c>
      <c r="G44" s="31">
        <v>4053</v>
      </c>
      <c r="H44" s="32">
        <v>45.18</v>
      </c>
      <c r="I44" s="32">
        <v>0.52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1102</v>
      </c>
      <c r="H45" s="32">
        <v>28.16</v>
      </c>
      <c r="I45" s="32">
        <v>0.32</v>
      </c>
      <c r="J45" s="33"/>
    </row>
    <row r="46" spans="2:10">
      <c r="B46" s="1" t="s">
        <v>146</v>
      </c>
      <c r="C46" s="20" t="s">
        <v>147</v>
      </c>
      <c r="D46" s="29" t="s">
        <v>148</v>
      </c>
      <c r="E46" s="30"/>
      <c r="F46" s="30" t="s">
        <v>18</v>
      </c>
      <c r="G46" s="31">
        <v>517</v>
      </c>
      <c r="H46" s="32">
        <v>22.85</v>
      </c>
      <c r="I46" s="32">
        <v>0.26</v>
      </c>
      <c r="J46" s="33"/>
    </row>
    <row r="47" spans="2:10">
      <c r="B47" s="1" t="s">
        <v>149</v>
      </c>
      <c r="C47" s="20" t="s">
        <v>150</v>
      </c>
      <c r="D47" s="29" t="s">
        <v>151</v>
      </c>
      <c r="E47" s="30"/>
      <c r="F47" s="30" t="s">
        <v>55</v>
      </c>
      <c r="G47" s="31">
        <v>400</v>
      </c>
      <c r="H47" s="32">
        <v>22.29</v>
      </c>
      <c r="I47" s="32">
        <v>0.26</v>
      </c>
      <c r="J47" s="33"/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47</v>
      </c>
      <c r="G48" s="31">
        <v>12000</v>
      </c>
      <c r="H48" s="32">
        <v>12.17</v>
      </c>
      <c r="I48" s="32">
        <v>0.14000000000000001</v>
      </c>
      <c r="J48" s="33"/>
    </row>
    <row r="49" spans="3:10">
      <c r="C49" s="28" t="s">
        <v>155</v>
      </c>
      <c r="D49" s="29"/>
      <c r="E49" s="30"/>
      <c r="F49" s="30"/>
      <c r="G49" s="31"/>
      <c r="H49" s="35">
        <v>8447.24</v>
      </c>
      <c r="I49" s="35">
        <v>96.84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156</v>
      </c>
      <c r="D51" s="29"/>
      <c r="E51" s="30"/>
      <c r="F51" s="30"/>
      <c r="G51" s="31"/>
      <c r="H51" s="32" t="s">
        <v>157</v>
      </c>
      <c r="I51" s="32" t="s">
        <v>157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158</v>
      </c>
      <c r="D53" s="29"/>
      <c r="E53" s="30"/>
      <c r="F53" s="30"/>
      <c r="G53" s="31"/>
      <c r="H53" s="32" t="s">
        <v>157</v>
      </c>
      <c r="I53" s="32" t="s">
        <v>157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159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160</v>
      </c>
      <c r="D57" s="29"/>
      <c r="E57" s="30"/>
      <c r="F57" s="30"/>
      <c r="G57" s="31"/>
      <c r="H57" s="32" t="s">
        <v>157</v>
      </c>
      <c r="I57" s="32" t="s">
        <v>157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161</v>
      </c>
      <c r="D59" s="29"/>
      <c r="E59" s="30"/>
      <c r="F59" s="30"/>
      <c r="G59" s="31"/>
      <c r="H59" s="32" t="s">
        <v>157</v>
      </c>
      <c r="I59" s="32" t="s">
        <v>157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162</v>
      </c>
      <c r="D61" s="29"/>
      <c r="E61" s="30"/>
      <c r="F61" s="30"/>
      <c r="G61" s="31"/>
      <c r="H61" s="32" t="s">
        <v>157</v>
      </c>
      <c r="I61" s="32" t="s">
        <v>157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163</v>
      </c>
      <c r="D63" s="29"/>
      <c r="E63" s="30"/>
      <c r="F63" s="30"/>
      <c r="G63" s="31"/>
      <c r="H63" s="32" t="s">
        <v>157</v>
      </c>
      <c r="I63" s="32" t="s">
        <v>157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164</v>
      </c>
      <c r="D65" s="29"/>
      <c r="E65" s="30"/>
      <c r="F65" s="30"/>
      <c r="G65" s="31"/>
      <c r="H65" s="32" t="s">
        <v>157</v>
      </c>
      <c r="I65" s="32" t="s">
        <v>157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165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166</v>
      </c>
      <c r="D69" s="29"/>
      <c r="E69" s="30"/>
      <c r="F69" s="30"/>
      <c r="G69" s="31"/>
      <c r="H69" s="32" t="s">
        <v>157</v>
      </c>
      <c r="I69" s="32" t="s">
        <v>157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167</v>
      </c>
      <c r="D71" s="29"/>
      <c r="E71" s="30"/>
      <c r="F71" s="30"/>
      <c r="G71" s="31"/>
      <c r="H71" s="32" t="s">
        <v>157</v>
      </c>
      <c r="I71" s="32" t="s">
        <v>157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168</v>
      </c>
      <c r="D73" s="29"/>
      <c r="E73" s="30"/>
      <c r="F73" s="30"/>
      <c r="G73" s="31"/>
      <c r="H73" s="32" t="s">
        <v>157</v>
      </c>
      <c r="I73" s="32" t="s">
        <v>157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169</v>
      </c>
      <c r="D75" s="29"/>
      <c r="E75" s="30"/>
      <c r="F75" s="30"/>
      <c r="G75" s="31"/>
      <c r="H75" s="32" t="s">
        <v>157</v>
      </c>
      <c r="I75" s="32" t="s">
        <v>157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170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171</v>
      </c>
      <c r="D79" s="29"/>
      <c r="E79" s="30"/>
      <c r="F79" s="30"/>
      <c r="G79" s="31"/>
      <c r="H79" s="32" t="s">
        <v>157</v>
      </c>
      <c r="I79" s="32" t="s">
        <v>157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172</v>
      </c>
      <c r="D81" s="29"/>
      <c r="E81" s="30"/>
      <c r="F81" s="30"/>
      <c r="G81" s="31"/>
      <c r="H81" s="32" t="s">
        <v>157</v>
      </c>
      <c r="I81" s="32" t="s">
        <v>157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173</v>
      </c>
      <c r="D83" s="29"/>
      <c r="E83" s="30"/>
      <c r="F83" s="30"/>
      <c r="G83" s="31"/>
      <c r="H83" s="32" t="s">
        <v>157</v>
      </c>
      <c r="I83" s="32" t="s">
        <v>157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174</v>
      </c>
      <c r="D85" s="29"/>
      <c r="E85" s="30"/>
      <c r="F85" s="30"/>
      <c r="G85" s="31"/>
      <c r="H85" s="32" t="s">
        <v>157</v>
      </c>
      <c r="I85" s="32" t="s">
        <v>157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175</v>
      </c>
      <c r="D87" s="29"/>
      <c r="E87" s="30"/>
      <c r="F87" s="30"/>
      <c r="G87" s="31"/>
      <c r="H87" s="32" t="s">
        <v>157</v>
      </c>
      <c r="I87" s="32" t="s">
        <v>157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A89" s="26"/>
      <c r="B89" s="27"/>
      <c r="C89" s="28" t="s">
        <v>176</v>
      </c>
      <c r="D89" s="29"/>
      <c r="E89" s="30"/>
      <c r="F89" s="30"/>
      <c r="G89" s="31"/>
      <c r="H89" s="32"/>
      <c r="I89" s="32"/>
      <c r="J89" s="33"/>
    </row>
    <row r="90" spans="1:10">
      <c r="B90" s="1"/>
      <c r="C90" s="20" t="s">
        <v>177</v>
      </c>
      <c r="D90" s="29"/>
      <c r="E90" s="30"/>
      <c r="F90" s="30"/>
      <c r="G90" s="31"/>
      <c r="H90" s="32">
        <v>277.18</v>
      </c>
      <c r="I90" s="32">
        <v>3.16</v>
      </c>
      <c r="J90" s="33"/>
    </row>
    <row r="91" spans="1:10">
      <c r="C91" s="28" t="s">
        <v>155</v>
      </c>
      <c r="D91" s="29"/>
      <c r="E91" s="30"/>
      <c r="F91" s="30"/>
      <c r="G91" s="31"/>
      <c r="H91" s="35">
        <v>277.18</v>
      </c>
      <c r="I91" s="35">
        <v>3.16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 ht="13.5" thickBot="1">
      <c r="C93" s="36" t="s">
        <v>178</v>
      </c>
      <c r="D93" s="37"/>
      <c r="E93" s="38"/>
      <c r="F93" s="39"/>
      <c r="G93" s="40"/>
      <c r="H93" s="41">
        <v>8724.42</v>
      </c>
      <c r="I93" s="41">
        <f>SUMIFS(I:I,C:C,"Total")</f>
        <v>100</v>
      </c>
      <c r="J93" s="42"/>
    </row>
    <row r="96" spans="1:10">
      <c r="C96" s="11" t="s">
        <v>179</v>
      </c>
    </row>
    <row r="97" spans="3:3">
      <c r="C97" s="2" t="s">
        <v>180</v>
      </c>
    </row>
    <row r="98" spans="3:3">
      <c r="C98" s="2" t="s">
        <v>181</v>
      </c>
    </row>
    <row r="99" spans="3:3">
      <c r="C99" s="2" t="s">
        <v>182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6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183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184</v>
      </c>
      <c r="C5" s="46" t="s">
        <v>185</v>
      </c>
      <c r="D5" s="46"/>
      <c r="E5" s="46" t="s">
        <v>186</v>
      </c>
      <c r="F5" s="46"/>
      <c r="G5" s="46" t="s">
        <v>187</v>
      </c>
      <c r="H5" s="46"/>
      <c r="I5" s="46" t="s">
        <v>188</v>
      </c>
      <c r="J5" s="46"/>
    </row>
    <row r="6" spans="2:10" ht="63.75">
      <c r="B6" s="47"/>
      <c r="C6" s="48" t="s">
        <v>189</v>
      </c>
      <c r="D6" s="48" t="s">
        <v>190</v>
      </c>
      <c r="E6" s="48" t="s">
        <v>189</v>
      </c>
      <c r="F6" s="48" t="s">
        <v>190</v>
      </c>
      <c r="G6" s="48" t="s">
        <v>189</v>
      </c>
      <c r="H6" s="48" t="s">
        <v>190</v>
      </c>
      <c r="I6" s="48" t="s">
        <v>189</v>
      </c>
      <c r="J6" s="48" t="s">
        <v>190</v>
      </c>
    </row>
    <row r="7" spans="2:10">
      <c r="B7" s="49" t="s">
        <v>191</v>
      </c>
      <c r="C7" s="50">
        <v>-3.4536143860902757</v>
      </c>
      <c r="D7" s="50">
        <v>9654.6385613909715</v>
      </c>
      <c r="E7" s="50">
        <v>17.869810980017963</v>
      </c>
      <c r="F7" s="50">
        <v>16361.25126135217</v>
      </c>
      <c r="G7" s="50">
        <v>9.3056636228184395</v>
      </c>
      <c r="H7" s="50">
        <v>15599.384260150086</v>
      </c>
      <c r="I7" s="50">
        <v>16.035251017895469</v>
      </c>
      <c r="J7" s="50">
        <v>81070</v>
      </c>
    </row>
    <row r="8" spans="2:10">
      <c r="B8" s="49" t="s">
        <v>192</v>
      </c>
      <c r="C8" s="50">
        <v>-5.5283061364291397</v>
      </c>
      <c r="D8" s="50">
        <v>9447.1693863570854</v>
      </c>
      <c r="E8" s="50">
        <v>21.55901221052039</v>
      </c>
      <c r="F8" s="50">
        <v>17962.281035695116</v>
      </c>
      <c r="G8" s="50">
        <v>11.915612910245009</v>
      </c>
      <c r="H8" s="50">
        <v>17557.12444437989</v>
      </c>
      <c r="I8" s="50">
        <v>15.696929374070191</v>
      </c>
      <c r="J8" s="50">
        <v>77775.492753184837</v>
      </c>
    </row>
    <row r="9" spans="2:10">
      <c r="B9" s="49" t="s">
        <v>193</v>
      </c>
      <c r="C9" s="50">
        <v>6.8929782767188641</v>
      </c>
      <c r="D9" s="50">
        <v>10689.297827671886</v>
      </c>
      <c r="E9" s="50">
        <v>23.783804099770322</v>
      </c>
      <c r="F9" s="50">
        <v>18966.686929372914</v>
      </c>
      <c r="G9" s="50">
        <v>12.312287809612998</v>
      </c>
      <c r="H9" s="50">
        <v>17870.48625225159</v>
      </c>
      <c r="I9" s="50">
        <v>14.299992422539965</v>
      </c>
      <c r="J9" s="50">
        <v>65557.531105221904</v>
      </c>
    </row>
    <row r="10" spans="2:10">
      <c r="B10" s="49" t="s">
        <v>194</v>
      </c>
      <c r="C10" s="51">
        <v>83.97</v>
      </c>
      <c r="D10" s="52"/>
      <c r="E10" s="51">
        <v>49.55</v>
      </c>
      <c r="F10" s="52"/>
      <c r="G10" s="51">
        <v>51.97</v>
      </c>
      <c r="H10" s="52"/>
      <c r="I10" s="51">
        <v>10</v>
      </c>
      <c r="J10" s="52"/>
    </row>
    <row r="12" spans="2:10" ht="15.75">
      <c r="B12" s="43" t="s">
        <v>195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184</v>
      </c>
      <c r="C13" s="46" t="s">
        <v>185</v>
      </c>
      <c r="D13" s="46"/>
      <c r="E13" s="46" t="s">
        <v>186</v>
      </c>
      <c r="F13" s="46"/>
      <c r="G13" s="46" t="s">
        <v>187</v>
      </c>
      <c r="H13" s="46"/>
      <c r="I13" s="46" t="s">
        <v>188</v>
      </c>
      <c r="J13" s="46"/>
    </row>
    <row r="14" spans="2:10" ht="63.75">
      <c r="B14" s="47"/>
      <c r="C14" s="48" t="s">
        <v>189</v>
      </c>
      <c r="D14" s="48" t="s">
        <v>190</v>
      </c>
      <c r="E14" s="48" t="s">
        <v>189</v>
      </c>
      <c r="F14" s="48" t="s">
        <v>190</v>
      </c>
      <c r="G14" s="48" t="s">
        <v>189</v>
      </c>
      <c r="H14" s="48" t="s">
        <v>190</v>
      </c>
      <c r="I14" s="48" t="s">
        <v>189</v>
      </c>
      <c r="J14" s="48" t="s">
        <v>190</v>
      </c>
    </row>
    <row r="15" spans="2:10">
      <c r="B15" s="49" t="s">
        <v>191</v>
      </c>
      <c r="C15" s="50">
        <v>-2.2989770102298968</v>
      </c>
      <c r="D15" s="50">
        <v>9770.1022989770099</v>
      </c>
      <c r="E15" s="50">
        <v>19.133967932638395</v>
      </c>
      <c r="F15" s="50">
        <v>16892.354507417269</v>
      </c>
      <c r="G15" s="50">
        <v>10.433891244182769</v>
      </c>
      <c r="H15" s="50">
        <v>16420.780181179514</v>
      </c>
      <c r="I15" s="50">
        <v>13.760831768567527</v>
      </c>
      <c r="J15" s="50">
        <v>37860.187553282172</v>
      </c>
    </row>
    <row r="16" spans="2:10">
      <c r="B16" s="49" t="s">
        <v>192</v>
      </c>
      <c r="C16" s="50">
        <v>-5.5283061364291397</v>
      </c>
      <c r="D16" s="50">
        <v>9447.1693863570854</v>
      </c>
      <c r="E16" s="50">
        <v>21.55901221052039</v>
      </c>
      <c r="F16" s="50">
        <v>17962.281035695116</v>
      </c>
      <c r="G16" s="50">
        <v>11.915612910245009</v>
      </c>
      <c r="H16" s="50">
        <v>17557.12444437989</v>
      </c>
      <c r="I16" s="50">
        <v>14.782536910558397</v>
      </c>
      <c r="J16" s="50">
        <v>41522.103815019953</v>
      </c>
    </row>
    <row r="17" spans="2:10">
      <c r="B17" s="49" t="s">
        <v>193</v>
      </c>
      <c r="C17" s="50">
        <v>6.8929782767188641</v>
      </c>
      <c r="D17" s="50">
        <v>10689.297827671886</v>
      </c>
      <c r="E17" s="50">
        <v>23.783804099770322</v>
      </c>
      <c r="F17" s="50">
        <v>18966.686929372914</v>
      </c>
      <c r="G17" s="50">
        <v>12.312287809612998</v>
      </c>
      <c r="H17" s="50">
        <v>17870.48625225159</v>
      </c>
      <c r="I17" s="50">
        <v>12.70322181245751</v>
      </c>
      <c r="J17" s="50">
        <v>34379.216868257223</v>
      </c>
    </row>
    <row r="18" spans="2:10">
      <c r="B18" s="49" t="s">
        <v>196</v>
      </c>
      <c r="C18" s="51">
        <v>90.91</v>
      </c>
      <c r="D18" s="52"/>
      <c r="E18" s="51">
        <v>52.58</v>
      </c>
      <c r="F18" s="52"/>
      <c r="G18" s="51">
        <v>54.09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Anwer Rizvi</dc:creator>
  <cp:lastModifiedBy>Acer</cp:lastModifiedBy>
  <dcterms:created xsi:type="dcterms:W3CDTF">2023-05-05T11:20:26Z</dcterms:created>
  <dcterms:modified xsi:type="dcterms:W3CDTF">2023-05-09T08:59:54Z</dcterms:modified>
</cp:coreProperties>
</file>