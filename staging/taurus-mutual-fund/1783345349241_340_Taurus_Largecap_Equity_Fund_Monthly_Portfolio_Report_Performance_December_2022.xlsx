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Portfolio'!$C$8:$C$37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Portfolio'!$D$10:$D$79</definedName>
    <definedName name="XDO_?FINAL_MV?">'TBF-Risk-o-meter &amp; Portfolio'!$H$10:$H$79</definedName>
    <definedName name="XDO_?FINAL_NAME?">'TBF-Risk-o-meter &amp; Portfolio'!$C$10:$C$79</definedName>
    <definedName name="XDO_?FINAL_PER_NET?">'TBF-Risk-o-meter &amp; Portfolio'!$I$10:$I$79</definedName>
    <definedName name="XDO_?FINAL_QUANTITE?">'TBF-Risk-o-meter &amp; Portfolio'!$G$10:$G$79</definedName>
    <definedName name="XDO_?IND_01?">'TBF-Risk-o-meter &amp; Portfolio'!$F$10:$F$79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Portfolio'!$C$2:$C$37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Portfolio'!$B$10:$B$79</definedName>
    <definedName name="XDO_?NPTF?">'TBF-Risk-o-meter &amp; Portfolio'!$D$2:$D$37</definedName>
    <definedName name="XDO_?RATING?">'TBF-Risk-o-meter &amp; Portfolio'!$E$10:$E$79</definedName>
    <definedName name="XDO_?REMARKS?">'TBF-Risk-o-meter &amp; Portfolio'!$J$10:$J$79</definedName>
    <definedName name="XDO_?TDATE?">'TBF-Risk-o-meter &amp; Portfolio'!$D$4</definedName>
    <definedName name="XDO_?TITL?">'TBF-Risk-o-meter &amp; Portfolio'!$A$8:$A$37</definedName>
    <definedName name="XDO_GROUP_?G_2?">'TBF-Risk-o-meter &amp; Portfolio'!$2:$82</definedName>
    <definedName name="XDO_GROUP_?G_3?">'TBF-Risk-o-meter &amp; Portfolio'!$8:$81</definedName>
    <definedName name="XDO_GROUP_?G_4?">'TBF-Risk-o-meter &amp; Portfolio'!$B$79:$IV$79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<sst xmlns="http://schemas.openxmlformats.org/spreadsheetml/2006/main" count="223" uniqueCount="157">
  <si>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</si>
  <si>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</si>
  <si>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</si>
  <si>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</si>
  <si>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</si>
  <si>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</si>
  <si>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</si>
  <si>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</si>
  <si>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</si>
  <si>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</si>
  <si>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</si>
  <si>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</si>
  <si>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</si>
  <si>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</si>
  <si>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</si>
  <si>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101617</t>
  </si>
  <si>
    <t>Macrotech Developers Ltd.</t>
  </si>
  <si>
    <t>INE670K01029</t>
  </si>
  <si>
    <t>Realty</t>
  </si>
  <si>
    <t>100418</t>
  </si>
  <si>
    <t>Adani Enterprises Ltd.</t>
  </si>
  <si>
    <t>INE423A01024</t>
  </si>
  <si>
    <t>Metals &amp; Minerals Trading</t>
  </si>
  <si>
    <t>100104</t>
  </si>
  <si>
    <t>Kotak Mahindra Bank Ltd.</t>
  </si>
  <si>
    <t>INE237A01028</t>
  </si>
  <si>
    <t>Banks</t>
  </si>
  <si>
    <t>100183</t>
  </si>
  <si>
    <t>Vedanta Ltd.</t>
  </si>
  <si>
    <t>INE205A01025</t>
  </si>
  <si>
    <t>Diversified Metals</t>
  </si>
  <si>
    <t>100108</t>
  </si>
  <si>
    <t>Adani Ports and Special Economic Zone Ltd.</t>
  </si>
  <si>
    <t>INE742F01042</t>
  </si>
  <si>
    <t>Transport Infrastructure</t>
  </si>
  <si>
    <t>100027</t>
  </si>
  <si>
    <t>Pidilite Industries Ltd.</t>
  </si>
  <si>
    <t>INE318A01026</t>
  </si>
  <si>
    <t>Chemicals &amp; Petrochemicals</t>
  </si>
  <si>
    <t>100115</t>
  </si>
  <si>
    <t>Siemens Ltd.</t>
  </si>
  <si>
    <t>INE003A01024</t>
  </si>
  <si>
    <t>Electrical Equipment</t>
  </si>
  <si>
    <t>100012</t>
  </si>
  <si>
    <t>ICICI Bank Ltd.</t>
  </si>
  <si>
    <t>INE090A01021</t>
  </si>
  <si>
    <t>100273</t>
  </si>
  <si>
    <t>Havells India Ltd.</t>
  </si>
  <si>
    <t>INE176B01034</t>
  </si>
  <si>
    <t>Consumer Durables</t>
  </si>
  <si>
    <t>100302</t>
  </si>
  <si>
    <t>DLF Ltd.</t>
  </si>
  <si>
    <t>INE271C01023</t>
  </si>
  <si>
    <t>100314</t>
  </si>
  <si>
    <t>SRF Ltd.</t>
  </si>
  <si>
    <t>INE647A01010</t>
  </si>
  <si>
    <t>100014</t>
  </si>
  <si>
    <t>Mahindra &amp; Mahindra Ltd.</t>
  </si>
  <si>
    <t>INE101A01026</t>
  </si>
  <si>
    <t>Automobiles</t>
  </si>
  <si>
    <t>100139</t>
  </si>
  <si>
    <t>UPL Ltd.</t>
  </si>
  <si>
    <t>INE628A01036</t>
  </si>
  <si>
    <t>Fertilizers &amp; Agrochemicals</t>
  </si>
  <si>
    <t>100335</t>
  </si>
  <si>
    <t>Kajaria Ceramics Ltd.</t>
  </si>
  <si>
    <t>INE217B01036</t>
  </si>
  <si>
    <t>100081</t>
  </si>
  <si>
    <t>Titan Company Ltd.</t>
  </si>
  <si>
    <t>INE280A01028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</si>
  <si>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</si>
  <si>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</si>
  <si>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</si>
  <si>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</si>
  <si>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</si>
  <si>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</si>
  <si>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</si>
  <si>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Pharmaceuticals &amp; Biotechnology</t>
  </si>
  <si>
    <t>100461</t>
  </si>
  <si>
    <t>Astral Limited</t>
  </si>
  <si>
    <t>INE006I01046</t>
  </si>
  <si>
    <t>Industrial Products</t>
  </si>
  <si>
    <t>100013</t>
  </si>
  <si>
    <t>IndusInd Bank Ltd.</t>
  </si>
  <si>
    <t>INE095A01012</t>
  </si>
  <si>
    <t>100315</t>
  </si>
  <si>
    <t>Prestige Estates Projects Ltd.</t>
  </si>
  <si>
    <t>INE811K01011</t>
  </si>
  <si>
    <t>100178</t>
  </si>
  <si>
    <t>Ambuja Cements Ltd.</t>
  </si>
  <si>
    <t>INE079A01024</t>
  </si>
  <si>
    <t>Cement &amp; Cement Products</t>
  </si>
  <si>
    <t>100282</t>
  </si>
  <si>
    <t>Blue Star Ltd.</t>
  </si>
  <si>
    <t>INE472A01039</t>
  </si>
  <si>
    <t>100447</t>
  </si>
  <si>
    <t>LTIMindtree Ltd.</t>
  </si>
  <si>
    <t>INE214T01019</t>
  </si>
  <si>
    <t>IT - Software</t>
  </si>
  <si>
    <t>100235</t>
  </si>
  <si>
    <t>CRISIL Ltd.</t>
  </si>
  <si>
    <t>INE007A01025</t>
  </si>
  <si>
    <t>Finance</t>
  </si>
  <si>
    <t>100821</t>
  </si>
  <si>
    <t>TTK Prestige Ltd.</t>
  </si>
  <si>
    <t>INE690A01028</t>
  </si>
  <si>
    <t>100172</t>
  </si>
  <si>
    <t>ACC Ltd.</t>
  </si>
  <si>
    <t>INE012A01025</t>
  </si>
  <si>
    <t>101229</t>
  </si>
  <si>
    <t>Jubilant Ingrevia Ltd.</t>
  </si>
  <si>
    <t>INE0BY001018</t>
  </si>
  <si>
    <t>101306</t>
  </si>
  <si>
    <t>Apollo Pipes Ltd.</t>
  </si>
  <si>
    <t>INE126J01016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</si>
  <si>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</si>
  <si>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</si>
  <si>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</si>
  <si>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</si>
  <si>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</si>
  <si>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</si>
  <si>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</si>
  <si>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</si>
  <si>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</si>
  <si>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</si>
  <si>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</si>
  <si>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</si>
  <si>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</si>
  <si>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</si>
  <si>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</si>
  <si>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</si>
  <si>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</si>
  <si>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</si>
  <si>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</si>
  <si>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</si>
  <si>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</si>
  <si>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</si>
  <si>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</si>
  <si>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</si>
  <si>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</si>
  <si>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</si>
  <si>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</si>
  <si>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</si>
  <si>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</si>
  <si>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</si>
  <si>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</si>
  <si>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</si>
  <si>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</si>
  <si>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</si>
  <si>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</si>
  <si>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</si>
  <si>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</si>
  <si>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</si>
  <si>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</si>
  <si>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December 30, 2022 : 107.32)</t>
  </si>
  <si>
    <t>Taurus Largecap Equity Fund - Direct Plan Growth Option</t>
  </si>
  <si>
    <t>NAV [Rs.] Per Unit (as on December 30, 2022 : 113.20)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</si>
</sst>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8"/>
  <sheetViews>
    <sheetView showGridLines="0" tabSelected="1" zoomScale="90" zoomScaleNormal="90" workbookViewId="0">
      <selection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72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44926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21462</v>
      </c>
      <c r="H10" s="32">
        <v>234.25</v>
      </c>
      <c r="I10" s="32">
        <v>6.9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5377</v>
      </c>
      <c r="H11" s="32">
        <v>207.52</v>
      </c>
      <c r="I11" s="32">
        <v>6.12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11196</v>
      </c>
      <c r="H12" s="32">
        <v>204.49</v>
      </c>
      <c r="I12" s="32">
        <v>6.03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64285</v>
      </c>
      <c r="H13" s="32">
        <v>198.13</v>
      </c>
      <c r="I13" s="32">
        <v>5.84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22403</v>
      </c>
      <c r="H14" s="32">
        <v>183.23</v>
      </c>
      <c r="I14" s="32">
        <v>5.4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7019</v>
      </c>
      <c r="H15" s="32">
        <v>179.03</v>
      </c>
      <c r="I15" s="32">
        <v>5.28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6097</v>
      </c>
      <c r="H16" s="32">
        <v>172.26</v>
      </c>
      <c r="I16" s="32">
        <v>5.08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26</v>
      </c>
      <c r="G17" s="31">
        <v>19245</v>
      </c>
      <c r="H17" s="32">
        <v>171.46</v>
      </c>
      <c r="I17" s="32">
        <v>5.05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15408</v>
      </c>
      <c r="H18" s="32">
        <v>169.45</v>
      </c>
      <c r="I18" s="32">
        <v>4.99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18</v>
      </c>
      <c r="G19" s="31">
        <v>42817</v>
      </c>
      <c r="H19" s="32">
        <v>160.63</v>
      </c>
      <c r="I19" s="32">
        <v>4.7300000000000004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38</v>
      </c>
      <c r="G20" s="31">
        <v>6935</v>
      </c>
      <c r="H20" s="32">
        <v>158.91999999999999</v>
      </c>
      <c r="I20" s="32">
        <v>4.68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11321</v>
      </c>
      <c r="H21" s="32">
        <v>141.43</v>
      </c>
      <c r="I21" s="32">
        <v>4.17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19142</v>
      </c>
      <c r="H22" s="32">
        <v>137.18</v>
      </c>
      <c r="I22" s="32">
        <v>4.04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49</v>
      </c>
      <c r="G23" s="31">
        <v>11550</v>
      </c>
      <c r="H23" s="32">
        <v>133.68</v>
      </c>
      <c r="I23" s="32">
        <v>3.94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49</v>
      </c>
      <c r="G24" s="31">
        <v>4167</v>
      </c>
      <c r="H24" s="32">
        <v>108.26</v>
      </c>
      <c r="I24" s="32">
        <v>3.19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22605</v>
      </c>
      <c r="H25" s="32">
        <v>106.98</v>
      </c>
      <c r="I25" s="32">
        <v>3.15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2430</v>
      </c>
      <c r="H26" s="32">
        <v>102.9</v>
      </c>
      <c r="I26" s="32">
        <v>3.03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4572</v>
      </c>
      <c r="H27" s="32">
        <v>89.79</v>
      </c>
      <c r="I27" s="32">
        <v>2.65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26</v>
      </c>
      <c r="G28" s="31">
        <v>6800</v>
      </c>
      <c r="H28" s="32">
        <v>83.06</v>
      </c>
      <c r="I28" s="32">
        <v>2.4500000000000002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15092</v>
      </c>
      <c r="H29" s="32">
        <v>69.900000000000006</v>
      </c>
      <c r="I29" s="32">
        <v>2.06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12800</v>
      </c>
      <c r="H30" s="32">
        <v>67.08</v>
      </c>
      <c r="I30" s="32">
        <v>1.98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49</v>
      </c>
      <c r="G31" s="31">
        <v>4847</v>
      </c>
      <c r="H31" s="32">
        <v>57.8</v>
      </c>
      <c r="I31" s="32">
        <v>1.7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1150</v>
      </c>
      <c r="H32" s="32">
        <v>50.19</v>
      </c>
      <c r="I32" s="32">
        <v>1.48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1598</v>
      </c>
      <c r="H33" s="32">
        <v>49</v>
      </c>
      <c r="I33" s="32">
        <v>1.44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49</v>
      </c>
      <c r="G34" s="31">
        <v>5512</v>
      </c>
      <c r="H34" s="32">
        <v>44.26</v>
      </c>
      <c r="I34" s="32">
        <v>1.3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91</v>
      </c>
      <c r="G35" s="31">
        <v>1350</v>
      </c>
      <c r="H35" s="32">
        <v>32.96</v>
      </c>
      <c r="I35" s="32">
        <v>0.97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38</v>
      </c>
      <c r="G36" s="31">
        <v>5700</v>
      </c>
      <c r="H36" s="32">
        <v>30.12</v>
      </c>
      <c r="I36" s="32">
        <v>0.89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81</v>
      </c>
      <c r="G37" s="31">
        <v>4200</v>
      </c>
      <c r="H37" s="32">
        <v>21.79</v>
      </c>
      <c r="I37" s="32">
        <v>0.64</v>
      </c>
      <c r="J37" s="33"/>
    </row>
    <row r="38" spans="2:10">
      <c r="C38" s="28" t="s">
        <v>115</v>
      </c>
      <c r="D38" s="29"/>
      <c r="E38" s="30"/>
      <c r="F38" s="30"/>
      <c r="G38" s="31"/>
      <c r="H38" s="35">
        <v>3365.75</v>
      </c>
      <c r="I38" s="35">
        <v>99.18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116</v>
      </c>
      <c r="D40" s="29"/>
      <c r="E40" s="30"/>
      <c r="F40" s="30"/>
      <c r="G40" s="31"/>
      <c r="H40" s="32" t="s">
        <v>117</v>
      </c>
      <c r="I40" s="32" t="s">
        <v>117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118</v>
      </c>
      <c r="D42" s="29"/>
      <c r="E42" s="30"/>
      <c r="F42" s="30"/>
      <c r="G42" s="31"/>
      <c r="H42" s="32" t="s">
        <v>117</v>
      </c>
      <c r="I42" s="32" t="s">
        <v>117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119</v>
      </c>
      <c r="D44" s="29"/>
      <c r="E44" s="30"/>
      <c r="F44" s="30"/>
      <c r="G44" s="31"/>
      <c r="H44" s="32"/>
      <c r="I44" s="32"/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120</v>
      </c>
      <c r="D46" s="29"/>
      <c r="E46" s="30"/>
      <c r="F46" s="30"/>
      <c r="G46" s="31"/>
      <c r="H46" s="32" t="s">
        <v>117</v>
      </c>
      <c r="I46" s="32" t="s">
        <v>117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121</v>
      </c>
      <c r="D48" s="29"/>
      <c r="E48" s="30"/>
      <c r="F48" s="30"/>
      <c r="G48" s="31"/>
      <c r="H48" s="32" t="s">
        <v>117</v>
      </c>
      <c r="I48" s="32" t="s">
        <v>117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122</v>
      </c>
      <c r="D50" s="29"/>
      <c r="E50" s="30"/>
      <c r="F50" s="30"/>
      <c r="G50" s="31"/>
      <c r="H50" s="32" t="s">
        <v>117</v>
      </c>
      <c r="I50" s="32" t="s">
        <v>117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123</v>
      </c>
      <c r="D52" s="29"/>
      <c r="E52" s="30"/>
      <c r="F52" s="30"/>
      <c r="G52" s="31"/>
      <c r="H52" s="32" t="s">
        <v>117</v>
      </c>
      <c r="I52" s="32" t="s">
        <v>117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124</v>
      </c>
      <c r="D54" s="29"/>
      <c r="E54" s="30"/>
      <c r="F54" s="30"/>
      <c r="G54" s="31"/>
      <c r="H54" s="32" t="s">
        <v>117</v>
      </c>
      <c r="I54" s="32" t="s">
        <v>117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125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126</v>
      </c>
      <c r="D58" s="29"/>
      <c r="E58" s="30"/>
      <c r="F58" s="30"/>
      <c r="G58" s="31"/>
      <c r="H58" s="32" t="s">
        <v>117</v>
      </c>
      <c r="I58" s="32" t="s">
        <v>117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127</v>
      </c>
      <c r="D60" s="29"/>
      <c r="E60" s="30"/>
      <c r="F60" s="30"/>
      <c r="G60" s="31"/>
      <c r="H60" s="32" t="s">
        <v>117</v>
      </c>
      <c r="I60" s="32" t="s">
        <v>117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128</v>
      </c>
      <c r="D62" s="29"/>
      <c r="E62" s="30"/>
      <c r="F62" s="30"/>
      <c r="G62" s="31"/>
      <c r="H62" s="32" t="s">
        <v>117</v>
      </c>
      <c r="I62" s="32" t="s">
        <v>117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129</v>
      </c>
      <c r="D64" s="29"/>
      <c r="E64" s="30"/>
      <c r="F64" s="30"/>
      <c r="G64" s="31"/>
      <c r="H64" s="32" t="s">
        <v>117</v>
      </c>
      <c r="I64" s="32" t="s">
        <v>117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130</v>
      </c>
      <c r="D66" s="29"/>
      <c r="E66" s="30"/>
      <c r="F66" s="30"/>
      <c r="G66" s="31"/>
      <c r="H66" s="32"/>
      <c r="I66" s="32"/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131</v>
      </c>
      <c r="D68" s="29"/>
      <c r="E68" s="30"/>
      <c r="F68" s="30"/>
      <c r="G68" s="31"/>
      <c r="H68" s="32" t="s">
        <v>117</v>
      </c>
      <c r="I68" s="32" t="s">
        <v>117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132</v>
      </c>
      <c r="D70" s="29"/>
      <c r="E70" s="30"/>
      <c r="F70" s="30"/>
      <c r="G70" s="31"/>
      <c r="H70" s="32" t="s">
        <v>117</v>
      </c>
      <c r="I70" s="32" t="s">
        <v>117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133</v>
      </c>
      <c r="D72" s="29"/>
      <c r="E72" s="30"/>
      <c r="F72" s="30"/>
      <c r="G72" s="31"/>
      <c r="H72" s="32" t="s">
        <v>117</v>
      </c>
      <c r="I72" s="32" t="s">
        <v>117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134</v>
      </c>
      <c r="D74" s="29"/>
      <c r="E74" s="30"/>
      <c r="F74" s="30"/>
      <c r="G74" s="31"/>
      <c r="H74" s="32" t="s">
        <v>117</v>
      </c>
      <c r="I74" s="32" t="s">
        <v>117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135</v>
      </c>
      <c r="D76" s="29"/>
      <c r="E76" s="30"/>
      <c r="F76" s="30"/>
      <c r="G76" s="31"/>
      <c r="H76" s="32" t="s">
        <v>117</v>
      </c>
      <c r="I76" s="32" t="s">
        <v>117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136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137</v>
      </c>
      <c r="D79" s="29"/>
      <c r="E79" s="30"/>
      <c r="F79" s="30"/>
      <c r="G79" s="31"/>
      <c r="H79" s="32">
        <v>26.92</v>
      </c>
      <c r="I79" s="32">
        <v>0.82000000000000006</v>
      </c>
      <c r="J79" s="33"/>
    </row>
    <row r="80" spans="1:10">
      <c r="C80" s="28" t="s">
        <v>115</v>
      </c>
      <c r="D80" s="29"/>
      <c r="E80" s="30"/>
      <c r="F80" s="30"/>
      <c r="G80" s="31"/>
      <c r="H80" s="35">
        <v>26.92</v>
      </c>
      <c r="I80" s="35">
        <v>0.82000000000000006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8" thickBot="1">
      <c r="C82" s="36" t="s">
        <v>138</v>
      </c>
      <c r="D82" s="37"/>
      <c r="E82" s="38"/>
      <c r="F82" s="39"/>
      <c r="G82" s="40"/>
      <c r="H82" s="41">
        <v>3392.67</v>
      </c>
      <c r="I82" s="41">
        <f>SUMIFS(I:I,C:C,"Total")</f>
        <v>100</v>
      </c>
      <c r="J82" s="42"/>
    </row>
    <row r="85" spans="3:10">
      <c r="C85" s="11" t="s">
        <v>139</v>
      </c>
    </row>
    <row r="86" spans="3:10">
      <c r="C86" s="2" t="s">
        <v>140</v>
      </c>
    </row>
    <row r="87" spans="3:10">
      <c r="C87" s="2" t="s">
        <v>141</v>
      </c>
    </row>
    <row r="88" spans="3:10">
      <c r="C88" s="2" t="s">
        <v>142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C21" sqref="C21"/>
    </sheetView>
  </sheetViews>
  <sheetFormatPr defaultRowHeight="14.4"/>
  <cols>
    <col min="2" max="2" width="49.218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143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144</v>
      </c>
      <c r="C5" s="46" t="s">
        <v>145</v>
      </c>
      <c r="D5" s="46"/>
      <c r="E5" s="46" t="s">
        <v>146</v>
      </c>
      <c r="F5" s="46"/>
      <c r="G5" s="46" t="s">
        <v>147</v>
      </c>
      <c r="H5" s="46"/>
      <c r="I5" s="46" t="s">
        <v>148</v>
      </c>
      <c r="J5" s="46"/>
    </row>
    <row r="6" spans="2:10" ht="79.2">
      <c r="B6" s="47"/>
      <c r="C6" s="48" t="s">
        <v>149</v>
      </c>
      <c r="D6" s="48" t="s">
        <v>150</v>
      </c>
      <c r="E6" s="48" t="s">
        <v>149</v>
      </c>
      <c r="F6" s="48" t="s">
        <v>150</v>
      </c>
      <c r="G6" s="48" t="s">
        <v>149</v>
      </c>
      <c r="H6" s="48" t="s">
        <v>150</v>
      </c>
      <c r="I6" s="48" t="s">
        <v>149</v>
      </c>
      <c r="J6" s="48" t="s">
        <v>150</v>
      </c>
    </row>
    <row r="7" spans="2:10">
      <c r="B7" s="49" t="s">
        <v>151</v>
      </c>
      <c r="C7" s="50">
        <v>6.679920477137169</v>
      </c>
      <c r="D7" s="50">
        <v>10667.992047713717</v>
      </c>
      <c r="E7" s="50">
        <v>11.500247741072478</v>
      </c>
      <c r="F7" s="50">
        <v>13862.051149573752</v>
      </c>
      <c r="G7" s="50">
        <v>7.1147603387252678</v>
      </c>
      <c r="H7" s="50">
        <v>14106.203995793901</v>
      </c>
      <c r="I7" s="50">
        <v>10.35339646600133</v>
      </c>
      <c r="J7" s="50">
        <v>107320</v>
      </c>
    </row>
    <row r="8" spans="2:10">
      <c r="B8" s="49" t="s">
        <v>152</v>
      </c>
      <c r="C8" s="50">
        <v>6.0330523599732011</v>
      </c>
      <c r="D8" s="50">
        <v>10603.305235997321</v>
      </c>
      <c r="E8" s="50">
        <v>16.166050313479332</v>
      </c>
      <c r="F8" s="50">
        <v>15676.087189348891</v>
      </c>
      <c r="G8" s="50">
        <v>12.264336187843771</v>
      </c>
      <c r="H8" s="50">
        <v>17832.369880243285</v>
      </c>
      <c r="I8" s="50">
        <v>12.064665683779307</v>
      </c>
      <c r="J8" s="50">
        <v>238748.40001100607</v>
      </c>
    </row>
    <row r="9" spans="2:10">
      <c r="B9" s="49" t="s">
        <v>153</v>
      </c>
      <c r="C9" s="50">
        <v>5.6914227994946387</v>
      </c>
      <c r="D9" s="50">
        <v>10569.142279949463</v>
      </c>
      <c r="E9" s="50">
        <v>15.520561759160877</v>
      </c>
      <c r="F9" s="50">
        <v>15416.219185269591</v>
      </c>
      <c r="G9" s="50">
        <v>12.838507957581768</v>
      </c>
      <c r="H9" s="50">
        <v>18293.073301820179</v>
      </c>
      <c r="I9" s="50">
        <v>12.171743708168425</v>
      </c>
      <c r="J9" s="50">
        <v>245184.96510520947</v>
      </c>
    </row>
    <row r="10" spans="2:10">
      <c r="B10" s="49" t="s">
        <v>154</v>
      </c>
      <c r="C10" s="51">
        <v>100.6</v>
      </c>
      <c r="D10" s="52"/>
      <c r="E10" s="51">
        <v>77.42</v>
      </c>
      <c r="F10" s="52"/>
      <c r="G10" s="51">
        <v>76.08</v>
      </c>
      <c r="H10" s="52"/>
      <c r="I10" s="51">
        <v>10</v>
      </c>
      <c r="J10" s="52"/>
    </row>
    <row r="12" spans="2:10" ht="15.6">
      <c r="B12" s="43" t="s">
        <v>155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144</v>
      </c>
      <c r="C13" s="46" t="s">
        <v>145</v>
      </c>
      <c r="D13" s="46"/>
      <c r="E13" s="46" t="s">
        <v>146</v>
      </c>
      <c r="F13" s="46"/>
      <c r="G13" s="46" t="s">
        <v>147</v>
      </c>
      <c r="H13" s="46"/>
      <c r="I13" s="46" t="s">
        <v>148</v>
      </c>
      <c r="J13" s="46"/>
    </row>
    <row r="14" spans="2:10" ht="79.2">
      <c r="B14" s="47"/>
      <c r="C14" s="48" t="s">
        <v>149</v>
      </c>
      <c r="D14" s="48" t="s">
        <v>150</v>
      </c>
      <c r="E14" s="48" t="s">
        <v>149</v>
      </c>
      <c r="F14" s="48" t="s">
        <v>150</v>
      </c>
      <c r="G14" s="48" t="s">
        <v>149</v>
      </c>
      <c r="H14" s="48" t="s">
        <v>150</v>
      </c>
      <c r="I14" s="48" t="s">
        <v>149</v>
      </c>
      <c r="J14" s="48" t="s">
        <v>150</v>
      </c>
    </row>
    <row r="15" spans="2:10">
      <c r="B15" s="49" t="s">
        <v>151</v>
      </c>
      <c r="C15" s="50">
        <v>6.7723071118656941</v>
      </c>
      <c r="D15" s="50">
        <v>10677.23071118657</v>
      </c>
      <c r="E15" s="50">
        <v>11.615084068281023</v>
      </c>
      <c r="F15" s="50">
        <v>13904.925684805308</v>
      </c>
      <c r="G15" s="50">
        <v>7.3911219966263486</v>
      </c>
      <c r="H15" s="50">
        <v>14289.320878566019</v>
      </c>
      <c r="I15" s="50">
        <v>9.7842992244103968</v>
      </c>
      <c r="J15" s="50">
        <v>25426.774483378256</v>
      </c>
    </row>
    <row r="16" spans="2:10">
      <c r="B16" s="49" t="s">
        <v>152</v>
      </c>
      <c r="C16" s="50">
        <v>6.0330523599732011</v>
      </c>
      <c r="D16" s="50">
        <v>10603.305235997321</v>
      </c>
      <c r="E16" s="50">
        <v>16.166050313479332</v>
      </c>
      <c r="F16" s="50">
        <v>15676.087189348891</v>
      </c>
      <c r="G16" s="50">
        <v>12.264336187843771</v>
      </c>
      <c r="H16" s="50">
        <v>17832.369880243285</v>
      </c>
      <c r="I16" s="50">
        <v>13.27976638893842</v>
      </c>
      <c r="J16" s="50">
        <v>34783.644567690244</v>
      </c>
    </row>
    <row r="17" spans="2:10">
      <c r="B17" s="49" t="s">
        <v>153</v>
      </c>
      <c r="C17" s="50">
        <v>5.6914227994946387</v>
      </c>
      <c r="D17" s="50">
        <v>10569.142279949463</v>
      </c>
      <c r="E17" s="50">
        <v>15.520561759160877</v>
      </c>
      <c r="F17" s="50">
        <v>15416.219185269591</v>
      </c>
      <c r="G17" s="50">
        <v>12.838507957581768</v>
      </c>
      <c r="H17" s="50">
        <v>18293.073301820179</v>
      </c>
      <c r="I17" s="50">
        <v>13.077039033570559</v>
      </c>
      <c r="J17" s="50">
        <v>34166.307609248615</v>
      </c>
    </row>
    <row r="18" spans="2:10">
      <c r="B18" s="49" t="s">
        <v>156</v>
      </c>
      <c r="C18" s="51">
        <v>106.02</v>
      </c>
      <c r="D18" s="52"/>
      <c r="E18" s="51">
        <v>81.41</v>
      </c>
      <c r="F18" s="52"/>
      <c r="G18" s="51">
        <v>79.22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2023-01-03T07:35:12Z</dcterms:created>
  <dcterms:modified xsi:type="dcterms:W3CDTF">2023-01-06T13:15:07Z</dcterms:modified>
</cp:coreProperties>
</file>