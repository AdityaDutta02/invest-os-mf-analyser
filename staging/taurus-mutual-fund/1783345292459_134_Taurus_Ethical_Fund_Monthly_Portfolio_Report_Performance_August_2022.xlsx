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TEF-Risk-O-Meter &amp; Performance" sheetId="1" r:id="rId1"/>
    <sheet name="TEF - Performance" sheetId="2" r:id="rId2"/>
  </sheets>
  <externalReferences>
    <externalReference r:id="rId3"/>
  </externalReferences>
  <definedNames>
    <definedName name="XDO_?CLASS_3?3?">'TEF-Risk-O-Meter &amp; Performance'!$C$8:$C$54</definedName>
    <definedName name="XDO_?FINAL_ISIN?5?">'TEF-Risk-O-Meter &amp; Performance'!$D$10:$D$54</definedName>
    <definedName name="XDO_?FINAL_ISIN?6?">'TEF-Risk-O-Meter &amp; Performance'!$D$10:$D$96</definedName>
    <definedName name="XDO_?FINAL_MV?5?">'TEF-Risk-O-Meter &amp; Performance'!$H$10:$H$54</definedName>
    <definedName name="XDO_?FINAL_MV?6?">'TEF-Risk-O-Meter &amp; Performance'!$H$10:$H$96</definedName>
    <definedName name="XDO_?FINAL_NAME?5?">'TEF-Risk-O-Meter &amp; Performance'!$C$10:$C$54</definedName>
    <definedName name="XDO_?FINAL_NAME?6?">'TEF-Risk-O-Meter &amp; Performance'!$C$10:$C$96</definedName>
    <definedName name="XDO_?FINAL_PER_NET?5?">'TEF-Risk-O-Meter &amp; Performance'!$I$10:$I$54</definedName>
    <definedName name="XDO_?FINAL_PER_NET?6?">'TEF-Risk-O-Meter &amp; Performance'!$I$10:$I$96</definedName>
    <definedName name="XDO_?FINAL_QUANTITE?5?">'TEF-Risk-O-Meter &amp; Performance'!$G$10:$G$54</definedName>
    <definedName name="XDO_?FINAL_QUANTITE?6?">'TEF-Risk-O-Meter &amp; Performance'!$G$10:$G$96</definedName>
    <definedName name="XDO_?IND_01?5?">'TEF-Risk-O-Meter &amp; Performance'!$F$10:$F$54</definedName>
    <definedName name="XDO_?IND_01?6?">'TEF-Risk-O-Meter &amp; Performance'!$F$10:$F$96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Performance'!$C$2:$C$54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Performance'!$B$10:$B$54</definedName>
    <definedName name="XDO_?NOVAL?6?">'TEF-Risk-O-Meter &amp; Performance'!$B$10:$B$96</definedName>
    <definedName name="XDO_?NPTF?3?">'TEF-Risk-O-Meter &amp; Performance'!$D$2:$D$54</definedName>
    <definedName name="XDO_?RATING?5?">'TEF-Risk-O-Meter &amp; Performance'!$E$10:$E$54</definedName>
    <definedName name="XDO_?RATING?6?">'TEF-Risk-O-Meter &amp; Performance'!$E$10:$E$96</definedName>
    <definedName name="XDO_?REMARKS?5?">'TEF-Risk-O-Meter &amp; Performance'!$J$10:$J$54</definedName>
    <definedName name="XDO_?REMARKS?6?">'TEF-Risk-O-Meter &amp; Performance'!$J$10:$J$96</definedName>
    <definedName name="XDO_?TITL?3?">'TEF-Risk-O-Meter &amp; Performance'!$A$8:$A$54</definedName>
    <definedName name="XDO_GROUP_?G_2?3?">'TEF-Risk-O-Meter &amp; Performance'!$2:$99</definedName>
    <definedName name="XDO_GROUP_?G_3?3?">'TEF-Risk-O-Meter &amp; Performance'!$8:$98</definedName>
    <definedName name="XDO_GROUP_?G_4?5?">'TEF-Risk-O-Meter &amp; Performance'!$B$10:$IV$54</definedName>
    <definedName name="XDO_GROUP_?G_4?6?">'TEF-Risk-O-Meter &amp; Performance'!$B$96:$IV$96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</calcChain>
</file>

<file path=xl/sharedStrings.xml><?xml version="1.0" encoding="utf-8"?>
<sst xmlns="http://schemas.openxmlformats.org/spreadsheetml/2006/main" count="291" uniqueCount="213">
  <si>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</si>
  <si>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</si>
  <si>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</si>
  <si>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</si>
  <si>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</si>
  <si>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</si>
  <si>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</si>
  <si>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</si>
  <si>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</si>
  <si>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</si>
  <si>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</si>
  <si>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</si>
  <si>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</si>
  <si>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</si>
  <si>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</si>
  <si>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</si>
  <si>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</si>
  <si>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</si>
  <si>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</si>
  <si>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</si>
  <si>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</si>
  <si>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</si>
  <si>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</si>
  <si>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100032</t>
  </si>
  <si>
    <t>Tata Consultancy Services Ltd.</t>
  </si>
  <si>
    <t>INE467B01029</t>
  </si>
  <si>
    <t>100273</t>
  </si>
  <si>
    <t>Havells India Ltd.</t>
  </si>
  <si>
    <t>INE176B01034</t>
  </si>
  <si>
    <t>Consumer Durables</t>
  </si>
  <si>
    <t>100106</t>
  </si>
  <si>
    <t>Maruti Suzuki India Ltd.</t>
  </si>
  <si>
    <t>INE585B01010</t>
  </si>
  <si>
    <t>Automobiles</t>
  </si>
  <si>
    <t>100570</t>
  </si>
  <si>
    <t>K.P.R. Mill Ltd.</t>
  </si>
  <si>
    <t>INE930H01031</t>
  </si>
  <si>
    <t>Textiles &amp; Apparels</t>
  </si>
  <si>
    <t>100281</t>
  </si>
  <si>
    <t>Century Textiles &amp; Industries Ltd.</t>
  </si>
  <si>
    <t>INE055A01016</t>
  </si>
  <si>
    <t>Paper, Forest &amp; Jute Products</t>
  </si>
  <si>
    <t>100115</t>
  </si>
  <si>
    <t>Siemens Ltd.</t>
  </si>
  <si>
    <t>INE003A01024</t>
  </si>
  <si>
    <t>Electrical Equipment</t>
  </si>
  <si>
    <t>100161</t>
  </si>
  <si>
    <t>Cummins India Ltd.</t>
  </si>
  <si>
    <t>INE298A01020</t>
  </si>
  <si>
    <t>Industrial Products</t>
  </si>
  <si>
    <t>100178</t>
  </si>
  <si>
    <t>Ambuja Cements Ltd.</t>
  </si>
  <si>
    <t>INE079A01024</t>
  </si>
  <si>
    <t>Cement &amp; Cement Products</t>
  </si>
  <si>
    <t>100821</t>
  </si>
  <si>
    <t>TTK Prestige Ltd.</t>
  </si>
  <si>
    <t>INE690A01028</t>
  </si>
  <si>
    <t>100476</t>
  </si>
  <si>
    <t>Caplin Point Laboratories Ltd.</t>
  </si>
  <si>
    <t>INE475E01026</t>
  </si>
  <si>
    <t>Pharmaceuticals &amp; Biotechnology</t>
  </si>
  <si>
    <t>100843</t>
  </si>
  <si>
    <t>Dalmia Bharat Ltd.</t>
  </si>
  <si>
    <t>INE00R701025</t>
  </si>
  <si>
    <t>100143</t>
  </si>
  <si>
    <t>Thermax Ltd.</t>
  </si>
  <si>
    <t>INE152A01029</t>
  </si>
  <si>
    <t>100089</t>
  </si>
  <si>
    <t>Bharat Electronics Ltd.</t>
  </si>
  <si>
    <t>INE263A01024</t>
  </si>
  <si>
    <t>Aerospace &amp; Defense</t>
  </si>
  <si>
    <t>100008</t>
  </si>
  <si>
    <t>Sun Pharmaceutical Industries Ltd.</t>
  </si>
  <si>
    <t>INE044A01036</t>
  </si>
  <si>
    <t>100707</t>
  </si>
  <si>
    <t>Cera Sanitaryware Ltd.</t>
  </si>
  <si>
    <t>INE739E01017</t>
  </si>
  <si>
    <t>100090</t>
  </si>
  <si>
    <t>Bharat Forge Ltd.</t>
  </si>
  <si>
    <t>INE465A01025</t>
  </si>
  <si>
    <t>100282</t>
  </si>
  <si>
    <t>Blue Star Ltd.</t>
  </si>
  <si>
    <t>INE472A01039</t>
  </si>
  <si>
    <t>101102</t>
  </si>
  <si>
    <t>ESAB India Ltd.</t>
  </si>
  <si>
    <t>INE284A01012</t>
  </si>
  <si>
    <t>100203</t>
  </si>
  <si>
    <t>Greaves Cotton Ltd.</t>
  </si>
  <si>
    <t>INE224A01026</t>
  </si>
  <si>
    <t>100200</t>
  </si>
  <si>
    <t>Page Industries Ltd.</t>
  </si>
  <si>
    <t>INE761H01022</t>
  </si>
  <si>
    <t>100260</t>
  </si>
  <si>
    <t>Solar Industries India Ltd.</t>
  </si>
  <si>
    <t>INE343H01029</t>
  </si>
  <si>
    <t>Chemicals &amp; Petrochemicals</t>
  </si>
  <si>
    <t>100037</t>
  </si>
  <si>
    <t>HCL Technologies Ltd.</t>
  </si>
  <si>
    <t>INE860A01027</t>
  </si>
  <si>
    <t>100130</t>
  </si>
  <si>
    <t>Gujarat Gas Ltd.</t>
  </si>
  <si>
    <t>INE844O01030</t>
  </si>
  <si>
    <t>Gas</t>
  </si>
  <si>
    <t>100474</t>
  </si>
  <si>
    <t>Narayana Hrudayalaya Ltd.</t>
  </si>
  <si>
    <t>INE410P01011</t>
  </si>
  <si>
    <t>Healthcare Services</t>
  </si>
  <si>
    <t>100086</t>
  </si>
  <si>
    <t>Bata India Ltd.</t>
  </si>
  <si>
    <t>INE176A01028</t>
  </si>
  <si>
    <t>100271</t>
  </si>
  <si>
    <t>Balkrishna Industries Ltd.</t>
  </si>
  <si>
    <t>INE787D01026</t>
  </si>
  <si>
    <t>Auto Components</t>
  </si>
  <si>
    <t>100068</t>
  </si>
  <si>
    <t>Kansai Nerolac Paints Ltd.</t>
  </si>
  <si>
    <t>INE531A01024</t>
  </si>
  <si>
    <t>100386</t>
  </si>
  <si>
    <t>Carborundum Universal Ltd.</t>
  </si>
  <si>
    <t>INE120A01034</t>
  </si>
  <si>
    <t>100266</t>
  </si>
  <si>
    <t>Gujarat State Petronet Ltd.</t>
  </si>
  <si>
    <t>INE246F01010</t>
  </si>
  <si>
    <t>100398</t>
  </si>
  <si>
    <t>Aditya Birla Fashion and Retail Ltd.</t>
  </si>
  <si>
    <t>INE647O01011</t>
  </si>
  <si>
    <t>Retailing</t>
  </si>
  <si>
    <t>100560</t>
  </si>
  <si>
    <t>NESCO Ltd.</t>
  </si>
  <si>
    <t>INE317F01035</t>
  </si>
  <si>
    <t>Commercial Services &amp; Supplies</t>
  </si>
  <si>
    <t>100406</t>
  </si>
  <si>
    <t>KSB Ltd.</t>
  </si>
  <si>
    <t>INE999A01015</t>
  </si>
  <si>
    <t>100081</t>
  </si>
  <si>
    <t>Titan Company Ltd.</t>
  </si>
  <si>
    <t>INE280A01028</t>
  </si>
  <si>
    <t>100461</t>
  </si>
  <si>
    <t>Astral Limited</t>
  </si>
  <si>
    <t>INE006I01046</t>
  </si>
  <si>
    <t>100235</t>
  </si>
  <si>
    <t>CRISIL Ltd.</t>
  </si>
  <si>
    <t>INE007A01025</t>
  </si>
  <si>
    <t>Finance</t>
  </si>
  <si>
    <t>100747</t>
  </si>
  <si>
    <t>Mahindra Logistics Ltd.</t>
  </si>
  <si>
    <t>INE766P01016</t>
  </si>
  <si>
    <t>Transport Services</t>
  </si>
  <si>
    <t>100554</t>
  </si>
  <si>
    <t>V-Guard Industries Ltd.</t>
  </si>
  <si>
    <t>INE951I01027</t>
  </si>
  <si>
    <t>100514</t>
  </si>
  <si>
    <t>Grindwell Norton Ltd.</t>
  </si>
  <si>
    <t>INE536A01023</t>
  </si>
  <si>
    <t>100056</t>
  </si>
  <si>
    <t>Supreme Industries Ltd.</t>
  </si>
  <si>
    <t>INE195A01028</t>
  </si>
  <si>
    <t>100020</t>
  </si>
  <si>
    <t>Tata Consumer Products Ltd.</t>
  </si>
  <si>
    <t>INE192A01025</t>
  </si>
  <si>
    <t>Agricultural Food &amp; other Products</t>
  </si>
  <si>
    <t>100426</t>
  </si>
  <si>
    <t>Relaxo Footwears Ltd.</t>
  </si>
  <si>
    <t>INE131B01039</t>
  </si>
  <si>
    <t>100082</t>
  </si>
  <si>
    <t>Ultratech Cement Ltd.</t>
  </si>
  <si>
    <t>INE481G01011</t>
  </si>
  <si>
    <t>100099</t>
  </si>
  <si>
    <t>Hindustan Unilever Ltd.</t>
  </si>
  <si>
    <t>INE030A01027</t>
  </si>
  <si>
    <t>Diversified FMCG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</si>
  <si>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</si>
  <si>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</si>
  <si>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</si>
  <si>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</si>
  <si>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</si>
  <si>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</si>
  <si>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</si>
  <si>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</si>
  <si>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</si>
  <si>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</si>
  <si>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</si>
  <si>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</si>
  <si>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</si>
  <si>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</si>
  <si>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</si>
  <si>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</si>
  <si>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</si>
  <si>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</si>
  <si>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</si>
  <si>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</si>
  <si>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</si>
  <si>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</si>
  <si>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</si>
  <si>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</si>
  <si>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</si>
  <si>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</si>
  <si>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</si>
  <si>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</si>
  <si>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</si>
  <si>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</si>
  <si>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</si>
  <si>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</si>
  <si>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</si>
  <si>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</si>
  <si>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</si>
  <si>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</si>
  <si>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</si>
  <si>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</si>
  <si>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</si>
  <si>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August 30, 2022 : 86.05)</t>
  </si>
  <si>
    <t>Taurus Ethical Fund - Direct Plan Growth Option</t>
  </si>
  <si>
    <t>NAV [Rs.] Per Unit  (as on August 30, 2022 : 93.48)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</si>
</sst>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2354580</xdr:rowOff>
    </xdr:from>
    <xdr:to>
      <xdr:col>5</xdr:col>
      <xdr:colOff>89747</xdr:colOff>
      <xdr:row>0</xdr:row>
      <xdr:rowOff>4686300</xdr:rowOff>
    </xdr:to>
    <xdr:pic>
      <xdr:nvPicPr>
        <xdr:cNvPr id="2" name="Picture 1" descr="for half yearly - Taurus Ethical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54580"/>
          <a:ext cx="7040880" cy="23317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Ethical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ugust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05"/>
  <sheetViews>
    <sheetView showGridLines="0" tabSelected="1" zoomScale="90" zoomScaleNormal="9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372.6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44804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23911</v>
      </c>
      <c r="H10" s="32">
        <v>631.04</v>
      </c>
      <c r="I10" s="32">
        <v>7.53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26565</v>
      </c>
      <c r="H11" s="32">
        <v>396.67</v>
      </c>
      <c r="I11" s="32">
        <v>4.7300000000000004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9481</v>
      </c>
      <c r="H12" s="32">
        <v>304.49</v>
      </c>
      <c r="I12" s="32">
        <v>3.63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21715</v>
      </c>
      <c r="H13" s="32">
        <v>302.13</v>
      </c>
      <c r="I13" s="32">
        <v>3.6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3098</v>
      </c>
      <c r="H14" s="32">
        <v>281.67</v>
      </c>
      <c r="I14" s="32">
        <v>3.36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46069</v>
      </c>
      <c r="H15" s="32">
        <v>278.86</v>
      </c>
      <c r="I15" s="32">
        <v>3.33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29974</v>
      </c>
      <c r="H16" s="32">
        <v>258.77</v>
      </c>
      <c r="I16" s="32">
        <v>3.09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8725</v>
      </c>
      <c r="H17" s="32">
        <v>251.6</v>
      </c>
      <c r="I17" s="32">
        <v>3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20686</v>
      </c>
      <c r="H18" s="32">
        <v>246.69</v>
      </c>
      <c r="I18" s="32">
        <v>2.94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53588</v>
      </c>
      <c r="H19" s="32">
        <v>220.38</v>
      </c>
      <c r="I19" s="32">
        <v>2.63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29</v>
      </c>
      <c r="G20" s="31">
        <v>22343</v>
      </c>
      <c r="H20" s="32">
        <v>214.75</v>
      </c>
      <c r="I20" s="32">
        <v>2.56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25818</v>
      </c>
      <c r="H21" s="32">
        <v>200.83</v>
      </c>
      <c r="I21" s="32">
        <v>2.4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53</v>
      </c>
      <c r="G22" s="31">
        <v>12479</v>
      </c>
      <c r="H22" s="32">
        <v>191.82</v>
      </c>
      <c r="I22" s="32">
        <v>2.29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45</v>
      </c>
      <c r="G23" s="31">
        <v>7895</v>
      </c>
      <c r="H23" s="32">
        <v>190.98</v>
      </c>
      <c r="I23" s="32">
        <v>2.2799999999999998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61939</v>
      </c>
      <c r="H24" s="32">
        <v>189.84</v>
      </c>
      <c r="I24" s="32">
        <v>2.2599999999999998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60</v>
      </c>
      <c r="G25" s="31">
        <v>20190</v>
      </c>
      <c r="H25" s="32">
        <v>180.35</v>
      </c>
      <c r="I25" s="32">
        <v>2.15</v>
      </c>
      <c r="J25" s="33"/>
    </row>
    <row r="26" spans="2:10">
      <c r="B26" s="1" t="s">
        <v>74</v>
      </c>
      <c r="C26" s="20" t="s">
        <v>75</v>
      </c>
      <c r="D26" s="29" t="s">
        <v>76</v>
      </c>
      <c r="E26" s="30"/>
      <c r="F26" s="30" t="s">
        <v>29</v>
      </c>
      <c r="G26" s="31">
        <v>3637</v>
      </c>
      <c r="H26" s="32">
        <v>180.33</v>
      </c>
      <c r="I26" s="32">
        <v>2.15</v>
      </c>
      <c r="J26" s="33"/>
    </row>
    <row r="27" spans="2:10">
      <c r="B27" s="1" t="s">
        <v>77</v>
      </c>
      <c r="C27" s="20" t="s">
        <v>78</v>
      </c>
      <c r="D27" s="29" t="s">
        <v>79</v>
      </c>
      <c r="E27" s="30"/>
      <c r="F27" s="30" t="s">
        <v>49</v>
      </c>
      <c r="G27" s="31">
        <v>23101</v>
      </c>
      <c r="H27" s="32">
        <v>171.1</v>
      </c>
      <c r="I27" s="32">
        <v>2.04</v>
      </c>
      <c r="J27" s="33"/>
    </row>
    <row r="28" spans="2:10">
      <c r="B28" s="1" t="s">
        <v>80</v>
      </c>
      <c r="C28" s="20" t="s">
        <v>81</v>
      </c>
      <c r="D28" s="29" t="s">
        <v>82</v>
      </c>
      <c r="E28" s="30"/>
      <c r="F28" s="30" t="s">
        <v>29</v>
      </c>
      <c r="G28" s="31">
        <v>15548</v>
      </c>
      <c r="H28" s="32">
        <v>170.7</v>
      </c>
      <c r="I28" s="32">
        <v>2.04</v>
      </c>
      <c r="J28" s="33"/>
    </row>
    <row r="29" spans="2:10">
      <c r="B29" s="1" t="s">
        <v>83</v>
      </c>
      <c r="C29" s="20" t="s">
        <v>84</v>
      </c>
      <c r="D29" s="29" t="s">
        <v>85</v>
      </c>
      <c r="E29" s="30"/>
      <c r="F29" s="30" t="s">
        <v>49</v>
      </c>
      <c r="G29" s="31">
        <v>5153</v>
      </c>
      <c r="H29" s="32">
        <v>167.28</v>
      </c>
      <c r="I29" s="32">
        <v>2</v>
      </c>
      <c r="J29" s="33"/>
    </row>
    <row r="30" spans="2:10">
      <c r="B30" s="1" t="s">
        <v>86</v>
      </c>
      <c r="C30" s="20" t="s">
        <v>87</v>
      </c>
      <c r="D30" s="29" t="s">
        <v>88</v>
      </c>
      <c r="E30" s="30"/>
      <c r="F30" s="30" t="s">
        <v>49</v>
      </c>
      <c r="G30" s="31">
        <v>95844</v>
      </c>
      <c r="H30" s="32">
        <v>163.37</v>
      </c>
      <c r="I30" s="32">
        <v>1.95</v>
      </c>
      <c r="J30" s="33"/>
    </row>
    <row r="31" spans="2:10">
      <c r="B31" s="1" t="s">
        <v>89</v>
      </c>
      <c r="C31" s="20" t="s">
        <v>90</v>
      </c>
      <c r="D31" s="29" t="s">
        <v>91</v>
      </c>
      <c r="E31" s="30"/>
      <c r="F31" s="30" t="s">
        <v>37</v>
      </c>
      <c r="G31" s="31">
        <v>316</v>
      </c>
      <c r="H31" s="32">
        <v>161.31</v>
      </c>
      <c r="I31" s="32">
        <v>1.92</v>
      </c>
      <c r="J31" s="33"/>
    </row>
    <row r="32" spans="2:10">
      <c r="B32" s="1" t="s">
        <v>92</v>
      </c>
      <c r="C32" s="20" t="s">
        <v>93</v>
      </c>
      <c r="D32" s="29" t="s">
        <v>94</v>
      </c>
      <c r="E32" s="30"/>
      <c r="F32" s="30" t="s">
        <v>95</v>
      </c>
      <c r="G32" s="31">
        <v>4802</v>
      </c>
      <c r="H32" s="32">
        <v>159.79</v>
      </c>
      <c r="I32" s="32">
        <v>1.91</v>
      </c>
      <c r="J32" s="33"/>
    </row>
    <row r="33" spans="2:10">
      <c r="B33" s="1" t="s">
        <v>96</v>
      </c>
      <c r="C33" s="20" t="s">
        <v>97</v>
      </c>
      <c r="D33" s="29" t="s">
        <v>98</v>
      </c>
      <c r="E33" s="30"/>
      <c r="F33" s="30" t="s">
        <v>22</v>
      </c>
      <c r="G33" s="31">
        <v>16003</v>
      </c>
      <c r="H33" s="32">
        <v>150.32</v>
      </c>
      <c r="I33" s="32">
        <v>1.79</v>
      </c>
      <c r="J33" s="33"/>
    </row>
    <row r="34" spans="2:10">
      <c r="B34" s="1" t="s">
        <v>99</v>
      </c>
      <c r="C34" s="20" t="s">
        <v>100</v>
      </c>
      <c r="D34" s="29" t="s">
        <v>101</v>
      </c>
      <c r="E34" s="30"/>
      <c r="F34" s="30" t="s">
        <v>102</v>
      </c>
      <c r="G34" s="31">
        <v>30626</v>
      </c>
      <c r="H34" s="32">
        <v>144.46</v>
      </c>
      <c r="I34" s="32">
        <v>1.72</v>
      </c>
      <c r="J34" s="33"/>
    </row>
    <row r="35" spans="2:10">
      <c r="B35" s="1" t="s">
        <v>103</v>
      </c>
      <c r="C35" s="20" t="s">
        <v>104</v>
      </c>
      <c r="D35" s="29" t="s">
        <v>105</v>
      </c>
      <c r="E35" s="30"/>
      <c r="F35" s="30" t="s">
        <v>106</v>
      </c>
      <c r="G35" s="31">
        <v>20140</v>
      </c>
      <c r="H35" s="32">
        <v>141.16</v>
      </c>
      <c r="I35" s="32">
        <v>1.68</v>
      </c>
      <c r="J35" s="33"/>
    </row>
    <row r="36" spans="2:10">
      <c r="B36" s="1" t="s">
        <v>107</v>
      </c>
      <c r="C36" s="20" t="s">
        <v>108</v>
      </c>
      <c r="D36" s="29" t="s">
        <v>109</v>
      </c>
      <c r="E36" s="30"/>
      <c r="F36" s="30" t="s">
        <v>29</v>
      </c>
      <c r="G36" s="31">
        <v>7132</v>
      </c>
      <c r="H36" s="32">
        <v>138.5</v>
      </c>
      <c r="I36" s="32">
        <v>1.65</v>
      </c>
      <c r="J36" s="33"/>
    </row>
    <row r="37" spans="2:10">
      <c r="B37" s="1" t="s">
        <v>110</v>
      </c>
      <c r="C37" s="20" t="s">
        <v>111</v>
      </c>
      <c r="D37" s="29" t="s">
        <v>112</v>
      </c>
      <c r="E37" s="30"/>
      <c r="F37" s="30" t="s">
        <v>113</v>
      </c>
      <c r="G37" s="31">
        <v>6348</v>
      </c>
      <c r="H37" s="32">
        <v>129.87</v>
      </c>
      <c r="I37" s="32">
        <v>1.55</v>
      </c>
      <c r="J37" s="33"/>
    </row>
    <row r="38" spans="2:10">
      <c r="B38" s="1" t="s">
        <v>114</v>
      </c>
      <c r="C38" s="20" t="s">
        <v>115</v>
      </c>
      <c r="D38" s="29" t="s">
        <v>116</v>
      </c>
      <c r="E38" s="30"/>
      <c r="F38" s="30" t="s">
        <v>29</v>
      </c>
      <c r="G38" s="31">
        <v>25230</v>
      </c>
      <c r="H38" s="32">
        <v>127.69</v>
      </c>
      <c r="I38" s="32">
        <v>1.52</v>
      </c>
      <c r="J38" s="33"/>
    </row>
    <row r="39" spans="2:10">
      <c r="B39" s="1" t="s">
        <v>117</v>
      </c>
      <c r="C39" s="20" t="s">
        <v>118</v>
      </c>
      <c r="D39" s="29" t="s">
        <v>119</v>
      </c>
      <c r="E39" s="30"/>
      <c r="F39" s="30" t="s">
        <v>49</v>
      </c>
      <c r="G39" s="31">
        <v>15035</v>
      </c>
      <c r="H39" s="32">
        <v>127</v>
      </c>
      <c r="I39" s="32">
        <v>1.52</v>
      </c>
      <c r="J39" s="33"/>
    </row>
    <row r="40" spans="2:10">
      <c r="B40" s="1" t="s">
        <v>120</v>
      </c>
      <c r="C40" s="20" t="s">
        <v>121</v>
      </c>
      <c r="D40" s="29" t="s">
        <v>122</v>
      </c>
      <c r="E40" s="30"/>
      <c r="F40" s="30" t="s">
        <v>102</v>
      </c>
      <c r="G40" s="31">
        <v>51711</v>
      </c>
      <c r="H40" s="32">
        <v>125.27</v>
      </c>
      <c r="I40" s="32">
        <v>1.49</v>
      </c>
      <c r="J40" s="33"/>
    </row>
    <row r="41" spans="2:10">
      <c r="B41" s="1" t="s">
        <v>123</v>
      </c>
      <c r="C41" s="20" t="s">
        <v>124</v>
      </c>
      <c r="D41" s="29" t="s">
        <v>125</v>
      </c>
      <c r="E41" s="30"/>
      <c r="F41" s="30" t="s">
        <v>126</v>
      </c>
      <c r="G41" s="31">
        <v>40144</v>
      </c>
      <c r="H41" s="32">
        <v>122.84</v>
      </c>
      <c r="I41" s="32">
        <v>1.47</v>
      </c>
      <c r="J41" s="33"/>
    </row>
    <row r="42" spans="2:10">
      <c r="B42" s="1" t="s">
        <v>127</v>
      </c>
      <c r="C42" s="20" t="s">
        <v>128</v>
      </c>
      <c r="D42" s="29" t="s">
        <v>129</v>
      </c>
      <c r="E42" s="30"/>
      <c r="F42" s="30" t="s">
        <v>130</v>
      </c>
      <c r="G42" s="31">
        <v>21422</v>
      </c>
      <c r="H42" s="32">
        <v>122.71</v>
      </c>
      <c r="I42" s="32">
        <v>1.46</v>
      </c>
      <c r="J42" s="33"/>
    </row>
    <row r="43" spans="2:10">
      <c r="B43" s="1" t="s">
        <v>131</v>
      </c>
      <c r="C43" s="20" t="s">
        <v>132</v>
      </c>
      <c r="D43" s="29" t="s">
        <v>133</v>
      </c>
      <c r="E43" s="30"/>
      <c r="F43" s="30" t="s">
        <v>49</v>
      </c>
      <c r="G43" s="31">
        <v>6371</v>
      </c>
      <c r="H43" s="32">
        <v>121.91</v>
      </c>
      <c r="I43" s="32">
        <v>1.45</v>
      </c>
      <c r="J43" s="33"/>
    </row>
    <row r="44" spans="2:10">
      <c r="B44" s="1" t="s">
        <v>134</v>
      </c>
      <c r="C44" s="20" t="s">
        <v>135</v>
      </c>
      <c r="D44" s="29" t="s">
        <v>136</v>
      </c>
      <c r="E44" s="30"/>
      <c r="F44" s="30" t="s">
        <v>29</v>
      </c>
      <c r="G44" s="31">
        <v>4556</v>
      </c>
      <c r="H44" s="32">
        <v>118.58</v>
      </c>
      <c r="I44" s="32">
        <v>1.41</v>
      </c>
      <c r="J44" s="33"/>
    </row>
    <row r="45" spans="2:10">
      <c r="B45" s="1" t="s">
        <v>137</v>
      </c>
      <c r="C45" s="20" t="s">
        <v>138</v>
      </c>
      <c r="D45" s="29" t="s">
        <v>139</v>
      </c>
      <c r="E45" s="30"/>
      <c r="F45" s="30" t="s">
        <v>49</v>
      </c>
      <c r="G45" s="31">
        <v>5301</v>
      </c>
      <c r="H45" s="32">
        <v>110.98</v>
      </c>
      <c r="I45" s="32">
        <v>1.32</v>
      </c>
      <c r="J45" s="33"/>
    </row>
    <row r="46" spans="2:10">
      <c r="B46" s="1" t="s">
        <v>140</v>
      </c>
      <c r="C46" s="20" t="s">
        <v>141</v>
      </c>
      <c r="D46" s="29" t="s">
        <v>142</v>
      </c>
      <c r="E46" s="30"/>
      <c r="F46" s="30" t="s">
        <v>143</v>
      </c>
      <c r="G46" s="31">
        <v>3288</v>
      </c>
      <c r="H46" s="32">
        <v>107.78</v>
      </c>
      <c r="I46" s="32">
        <v>1.29</v>
      </c>
      <c r="J46" s="33"/>
    </row>
    <row r="47" spans="2:10">
      <c r="B47" s="1" t="s">
        <v>144</v>
      </c>
      <c r="C47" s="20" t="s">
        <v>145</v>
      </c>
      <c r="D47" s="29" t="s">
        <v>146</v>
      </c>
      <c r="E47" s="30"/>
      <c r="F47" s="30" t="s">
        <v>147</v>
      </c>
      <c r="G47" s="31">
        <v>22220</v>
      </c>
      <c r="H47" s="32">
        <v>106.79</v>
      </c>
      <c r="I47" s="32">
        <v>1.27</v>
      </c>
      <c r="J47" s="33"/>
    </row>
    <row r="48" spans="2:10">
      <c r="B48" s="1" t="s">
        <v>148</v>
      </c>
      <c r="C48" s="20" t="s">
        <v>149</v>
      </c>
      <c r="D48" s="29" t="s">
        <v>150</v>
      </c>
      <c r="E48" s="30"/>
      <c r="F48" s="30" t="s">
        <v>29</v>
      </c>
      <c r="G48" s="31">
        <v>42743</v>
      </c>
      <c r="H48" s="32">
        <v>97.09</v>
      </c>
      <c r="I48" s="32">
        <v>1.1599999999999999</v>
      </c>
      <c r="J48" s="33"/>
    </row>
    <row r="49" spans="2:10">
      <c r="B49" s="1" t="s">
        <v>151</v>
      </c>
      <c r="C49" s="20" t="s">
        <v>152</v>
      </c>
      <c r="D49" s="29" t="s">
        <v>153</v>
      </c>
      <c r="E49" s="30"/>
      <c r="F49" s="30" t="s">
        <v>49</v>
      </c>
      <c r="G49" s="31">
        <v>4338</v>
      </c>
      <c r="H49" s="32">
        <v>95.45</v>
      </c>
      <c r="I49" s="32">
        <v>1.1399999999999999</v>
      </c>
      <c r="J49" s="33"/>
    </row>
    <row r="50" spans="2:10">
      <c r="B50" s="1" t="s">
        <v>154</v>
      </c>
      <c r="C50" s="20" t="s">
        <v>155</v>
      </c>
      <c r="D50" s="29" t="s">
        <v>156</v>
      </c>
      <c r="E50" s="30"/>
      <c r="F50" s="30" t="s">
        <v>49</v>
      </c>
      <c r="G50" s="31">
        <v>4351</v>
      </c>
      <c r="H50" s="32">
        <v>85.42</v>
      </c>
      <c r="I50" s="32">
        <v>1.02</v>
      </c>
      <c r="J50" s="33"/>
    </row>
    <row r="51" spans="2:10">
      <c r="B51" s="1" t="s">
        <v>157</v>
      </c>
      <c r="C51" s="20" t="s">
        <v>158</v>
      </c>
      <c r="D51" s="29" t="s">
        <v>159</v>
      </c>
      <c r="E51" s="30"/>
      <c r="F51" s="30" t="s">
        <v>160</v>
      </c>
      <c r="G51" s="31">
        <v>10150</v>
      </c>
      <c r="H51" s="32">
        <v>82.18</v>
      </c>
      <c r="I51" s="32">
        <v>0.98</v>
      </c>
      <c r="J51" s="33"/>
    </row>
    <row r="52" spans="2:10">
      <c r="B52" s="1" t="s">
        <v>161</v>
      </c>
      <c r="C52" s="20" t="s">
        <v>162</v>
      </c>
      <c r="D52" s="29" t="s">
        <v>163</v>
      </c>
      <c r="E52" s="30"/>
      <c r="F52" s="30" t="s">
        <v>29</v>
      </c>
      <c r="G52" s="31">
        <v>8067</v>
      </c>
      <c r="H52" s="32">
        <v>80.680000000000007</v>
      </c>
      <c r="I52" s="32">
        <v>0.96</v>
      </c>
      <c r="J52" s="33"/>
    </row>
    <row r="53" spans="2:10">
      <c r="B53" s="1" t="s">
        <v>164</v>
      </c>
      <c r="C53" s="20" t="s">
        <v>165</v>
      </c>
      <c r="D53" s="29" t="s">
        <v>166</v>
      </c>
      <c r="E53" s="30"/>
      <c r="F53" s="30" t="s">
        <v>53</v>
      </c>
      <c r="G53" s="31">
        <v>1148</v>
      </c>
      <c r="H53" s="32">
        <v>76.599999999999994</v>
      </c>
      <c r="I53" s="32">
        <v>0.91</v>
      </c>
      <c r="J53" s="33"/>
    </row>
    <row r="54" spans="2:10">
      <c r="B54" s="1" t="s">
        <v>167</v>
      </c>
      <c r="C54" s="20" t="s">
        <v>168</v>
      </c>
      <c r="D54" s="29" t="s">
        <v>169</v>
      </c>
      <c r="E54" s="30"/>
      <c r="F54" s="30" t="s">
        <v>170</v>
      </c>
      <c r="G54" s="31">
        <v>2354</v>
      </c>
      <c r="H54" s="32">
        <v>62.59</v>
      </c>
      <c r="I54" s="32">
        <v>0.75</v>
      </c>
      <c r="J54" s="33"/>
    </row>
    <row r="55" spans="2:10">
      <c r="C55" s="28" t="s">
        <v>171</v>
      </c>
      <c r="D55" s="29"/>
      <c r="E55" s="30"/>
      <c r="F55" s="30"/>
      <c r="G55" s="31"/>
      <c r="H55" s="35">
        <v>7990.62</v>
      </c>
      <c r="I55" s="35">
        <v>95.3</v>
      </c>
      <c r="J55" s="33"/>
    </row>
    <row r="56" spans="2:10">
      <c r="C56" s="20"/>
      <c r="D56" s="29"/>
      <c r="E56" s="30"/>
      <c r="F56" s="30"/>
      <c r="G56" s="31"/>
      <c r="H56" s="32"/>
      <c r="I56" s="32"/>
      <c r="J56" s="33"/>
    </row>
    <row r="57" spans="2:10">
      <c r="C57" s="28" t="s">
        <v>172</v>
      </c>
      <c r="D57" s="29"/>
      <c r="E57" s="30"/>
      <c r="F57" s="30"/>
      <c r="G57" s="31"/>
      <c r="H57" s="32" t="s">
        <v>173</v>
      </c>
      <c r="I57" s="32" t="s">
        <v>173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174</v>
      </c>
      <c r="D59" s="29"/>
      <c r="E59" s="30"/>
      <c r="F59" s="30"/>
      <c r="G59" s="31"/>
      <c r="H59" s="32" t="s">
        <v>173</v>
      </c>
      <c r="I59" s="32" t="s">
        <v>173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175</v>
      </c>
      <c r="D61" s="29"/>
      <c r="E61" s="30"/>
      <c r="F61" s="30"/>
      <c r="G61" s="31"/>
      <c r="H61" s="32"/>
      <c r="I61" s="32"/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176</v>
      </c>
      <c r="D63" s="29"/>
      <c r="E63" s="30"/>
      <c r="F63" s="30"/>
      <c r="G63" s="31"/>
      <c r="H63" s="32" t="s">
        <v>173</v>
      </c>
      <c r="I63" s="32" t="s">
        <v>173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177</v>
      </c>
      <c r="D65" s="29"/>
      <c r="E65" s="30"/>
      <c r="F65" s="30"/>
      <c r="G65" s="31"/>
      <c r="H65" s="32" t="s">
        <v>173</v>
      </c>
      <c r="I65" s="32" t="s">
        <v>173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178</v>
      </c>
      <c r="D67" s="29"/>
      <c r="E67" s="30"/>
      <c r="F67" s="30"/>
      <c r="G67" s="31"/>
      <c r="H67" s="32" t="s">
        <v>173</v>
      </c>
      <c r="I67" s="32" t="s">
        <v>173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179</v>
      </c>
      <c r="D69" s="29"/>
      <c r="E69" s="30"/>
      <c r="F69" s="30"/>
      <c r="G69" s="31"/>
      <c r="H69" s="32" t="s">
        <v>173</v>
      </c>
      <c r="I69" s="32" t="s">
        <v>173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180</v>
      </c>
      <c r="D71" s="29"/>
      <c r="E71" s="30"/>
      <c r="F71" s="30"/>
      <c r="G71" s="31"/>
      <c r="H71" s="32" t="s">
        <v>173</v>
      </c>
      <c r="I71" s="32" t="s">
        <v>173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181</v>
      </c>
      <c r="D73" s="29"/>
      <c r="E73" s="30"/>
      <c r="F73" s="30"/>
      <c r="G73" s="31"/>
      <c r="H73" s="32"/>
      <c r="I73" s="32"/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182</v>
      </c>
      <c r="D75" s="29"/>
      <c r="E75" s="30"/>
      <c r="F75" s="30"/>
      <c r="G75" s="31"/>
      <c r="H75" s="32" t="s">
        <v>173</v>
      </c>
      <c r="I75" s="32" t="s">
        <v>173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183</v>
      </c>
      <c r="D77" s="29"/>
      <c r="E77" s="30"/>
      <c r="F77" s="30"/>
      <c r="G77" s="31"/>
      <c r="H77" s="32" t="s">
        <v>173</v>
      </c>
      <c r="I77" s="32" t="s">
        <v>173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184</v>
      </c>
      <c r="D79" s="29"/>
      <c r="E79" s="30"/>
      <c r="F79" s="30"/>
      <c r="G79" s="31"/>
      <c r="H79" s="32" t="s">
        <v>173</v>
      </c>
      <c r="I79" s="32" t="s">
        <v>173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185</v>
      </c>
      <c r="D81" s="29"/>
      <c r="E81" s="30"/>
      <c r="F81" s="30"/>
      <c r="G81" s="31"/>
      <c r="H81" s="32" t="s">
        <v>173</v>
      </c>
      <c r="I81" s="32" t="s">
        <v>173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186</v>
      </c>
      <c r="D83" s="29"/>
      <c r="E83" s="30"/>
      <c r="F83" s="30"/>
      <c r="G83" s="31"/>
      <c r="H83" s="32"/>
      <c r="I83" s="32"/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187</v>
      </c>
      <c r="D85" s="29"/>
      <c r="E85" s="30"/>
      <c r="F85" s="30"/>
      <c r="G85" s="31"/>
      <c r="H85" s="32" t="s">
        <v>173</v>
      </c>
      <c r="I85" s="32" t="s">
        <v>173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C87" s="28" t="s">
        <v>188</v>
      </c>
      <c r="D87" s="29"/>
      <c r="E87" s="30"/>
      <c r="F87" s="30"/>
      <c r="G87" s="31"/>
      <c r="H87" s="32" t="s">
        <v>173</v>
      </c>
      <c r="I87" s="32" t="s">
        <v>173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>
      <c r="C89" s="28" t="s">
        <v>189</v>
      </c>
      <c r="D89" s="29"/>
      <c r="E89" s="30"/>
      <c r="F89" s="30"/>
      <c r="G89" s="31"/>
      <c r="H89" s="32" t="s">
        <v>173</v>
      </c>
      <c r="I89" s="32" t="s">
        <v>173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>
      <c r="C91" s="28" t="s">
        <v>190</v>
      </c>
      <c r="D91" s="29"/>
      <c r="E91" s="30"/>
      <c r="F91" s="30"/>
      <c r="G91" s="31"/>
      <c r="H91" s="32" t="s">
        <v>173</v>
      </c>
      <c r="I91" s="32" t="s">
        <v>173</v>
      </c>
      <c r="J91" s="33"/>
    </row>
    <row r="92" spans="1:10">
      <c r="C92" s="20"/>
      <c r="D92" s="29"/>
      <c r="E92" s="30"/>
      <c r="F92" s="30"/>
      <c r="G92" s="31"/>
      <c r="H92" s="32"/>
      <c r="I92" s="32"/>
      <c r="J92" s="33"/>
    </row>
    <row r="93" spans="1:10">
      <c r="C93" s="28" t="s">
        <v>191</v>
      </c>
      <c r="D93" s="29"/>
      <c r="E93" s="30"/>
      <c r="F93" s="30"/>
      <c r="G93" s="31"/>
      <c r="H93" s="32" t="s">
        <v>173</v>
      </c>
      <c r="I93" s="32" t="s">
        <v>173</v>
      </c>
      <c r="J93" s="33"/>
    </row>
    <row r="94" spans="1:10">
      <c r="C94" s="20"/>
      <c r="D94" s="29"/>
      <c r="E94" s="30"/>
      <c r="F94" s="30"/>
      <c r="G94" s="31"/>
      <c r="H94" s="32"/>
      <c r="I94" s="32"/>
      <c r="J94" s="33"/>
    </row>
    <row r="95" spans="1:10">
      <c r="A95" s="26"/>
      <c r="B95" s="27"/>
      <c r="C95" s="28" t="s">
        <v>192</v>
      </c>
      <c r="D95" s="29"/>
      <c r="E95" s="30"/>
      <c r="F95" s="30"/>
      <c r="G95" s="31"/>
      <c r="H95" s="32"/>
      <c r="I95" s="32"/>
      <c r="J95" s="33"/>
    </row>
    <row r="96" spans="1:10">
      <c r="B96" s="1"/>
      <c r="C96" s="20" t="s">
        <v>193</v>
      </c>
      <c r="D96" s="29"/>
      <c r="E96" s="30"/>
      <c r="F96" s="30"/>
      <c r="G96" s="31"/>
      <c r="H96" s="32">
        <v>392</v>
      </c>
      <c r="I96" s="32">
        <v>4.6999999999999993</v>
      </c>
      <c r="J96" s="33"/>
    </row>
    <row r="97" spans="3:10">
      <c r="C97" s="28" t="s">
        <v>171</v>
      </c>
      <c r="D97" s="29"/>
      <c r="E97" s="30"/>
      <c r="F97" s="30"/>
      <c r="G97" s="31"/>
      <c r="H97" s="35">
        <v>392</v>
      </c>
      <c r="I97" s="35">
        <v>4.6999999999999993</v>
      </c>
      <c r="J97" s="33"/>
    </row>
    <row r="98" spans="3:10">
      <c r="C98" s="20"/>
      <c r="D98" s="29"/>
      <c r="E98" s="30"/>
      <c r="F98" s="30"/>
      <c r="G98" s="31"/>
      <c r="H98" s="32"/>
      <c r="I98" s="32"/>
      <c r="J98" s="33"/>
    </row>
    <row r="99" spans="3:10" ht="13.5" thickBot="1">
      <c r="C99" s="36" t="s">
        <v>194</v>
      </c>
      <c r="D99" s="37"/>
      <c r="E99" s="38"/>
      <c r="F99" s="39"/>
      <c r="G99" s="40"/>
      <c r="H99" s="41">
        <v>8382.6200000000008</v>
      </c>
      <c r="I99" s="41">
        <f>SUMIFS(I:I,C:C,"Total")</f>
        <v>100</v>
      </c>
      <c r="J99" s="42"/>
    </row>
    <row r="102" spans="3:10">
      <c r="C102" s="11" t="s">
        <v>195</v>
      </c>
    </row>
    <row r="103" spans="3:10">
      <c r="C103" s="2" t="s">
        <v>196</v>
      </c>
    </row>
    <row r="104" spans="3:10">
      <c r="C104" s="2" t="s">
        <v>197</v>
      </c>
    </row>
    <row r="105" spans="3:10">
      <c r="C105" s="2" t="s">
        <v>198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18"/>
  <sheetViews>
    <sheetView workbookViewId="0">
      <selection activeCell="K11" sqref="K11"/>
    </sheetView>
  </sheetViews>
  <sheetFormatPr defaultRowHeight="15"/>
  <cols>
    <col min="1" max="1" width="44.14062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4" spans="1:9" ht="15.75">
      <c r="A4" s="43" t="s">
        <v>199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200</v>
      </c>
      <c r="B5" s="50" t="s">
        <v>201</v>
      </c>
      <c r="C5" s="50"/>
      <c r="D5" s="50" t="s">
        <v>202</v>
      </c>
      <c r="E5" s="50"/>
      <c r="F5" s="50" t="s">
        <v>203</v>
      </c>
      <c r="G5" s="50"/>
      <c r="H5" s="50" t="s">
        <v>204</v>
      </c>
      <c r="I5" s="50"/>
    </row>
    <row r="6" spans="1:9" ht="63.75">
      <c r="A6" s="46"/>
      <c r="B6" s="47" t="s">
        <v>205</v>
      </c>
      <c r="C6" s="47" t="s">
        <v>206</v>
      </c>
      <c r="D6" s="47" t="s">
        <v>205</v>
      </c>
      <c r="E6" s="47" t="s">
        <v>206</v>
      </c>
      <c r="F6" s="47" t="s">
        <v>205</v>
      </c>
      <c r="G6" s="47" t="s">
        <v>206</v>
      </c>
      <c r="H6" s="47" t="s">
        <v>205</v>
      </c>
      <c r="I6" s="47" t="s">
        <v>206</v>
      </c>
    </row>
    <row r="7" spans="1:9">
      <c r="A7" s="48" t="s">
        <v>207</v>
      </c>
      <c r="B7" s="49">
        <v>2.7585383329352897</v>
      </c>
      <c r="C7" s="49">
        <v>10275.853833293528</v>
      </c>
      <c r="D7" s="49">
        <v>20.373737648179358</v>
      </c>
      <c r="E7" s="49">
        <v>17450.821334414923</v>
      </c>
      <c r="F7" s="49">
        <v>14.231834472102234</v>
      </c>
      <c r="G7" s="49">
        <v>19450.723327305604</v>
      </c>
      <c r="H7" s="49">
        <v>17.408766366915486</v>
      </c>
      <c r="I7" s="49">
        <v>86050</v>
      </c>
    </row>
    <row r="8" spans="1:9">
      <c r="A8" s="48" t="s">
        <v>208</v>
      </c>
      <c r="B8" s="49">
        <v>1.6146648853623935</v>
      </c>
      <c r="C8" s="49">
        <v>10161.46648853624</v>
      </c>
      <c r="D8" s="49">
        <v>24.303112841509723</v>
      </c>
      <c r="E8" s="49">
        <v>19206.401953932025</v>
      </c>
      <c r="F8" s="49">
        <v>17.063273710127589</v>
      </c>
      <c r="G8" s="49">
        <v>21983.828411330815</v>
      </c>
      <c r="H8" s="49">
        <v>17.212715922892951</v>
      </c>
      <c r="I8" s="49">
        <v>84106.252925169407</v>
      </c>
    </row>
    <row r="9" spans="1:9">
      <c r="A9" s="48" t="s">
        <v>209</v>
      </c>
      <c r="B9" s="49">
        <v>5.1410540204544608</v>
      </c>
      <c r="C9" s="49">
        <v>10514.105402045447</v>
      </c>
      <c r="D9" s="49">
        <v>18.625136484194549</v>
      </c>
      <c r="E9" s="49">
        <v>16692.837871692274</v>
      </c>
      <c r="F9" s="49">
        <v>13.782855266252803</v>
      </c>
      <c r="G9" s="49">
        <v>19071.468667697653</v>
      </c>
      <c r="H9" s="49">
        <v>14.884655767147393</v>
      </c>
      <c r="I9" s="49">
        <v>64269.729200346155</v>
      </c>
    </row>
    <row r="10" spans="1:9">
      <c r="A10" s="48" t="s">
        <v>210</v>
      </c>
      <c r="B10" s="51">
        <v>83.74</v>
      </c>
      <c r="C10" s="52"/>
      <c r="D10" s="51">
        <v>49.31</v>
      </c>
      <c r="E10" s="52"/>
      <c r="F10" s="51">
        <v>44.24</v>
      </c>
      <c r="G10" s="52"/>
      <c r="H10" s="51">
        <v>10</v>
      </c>
      <c r="I10" s="52"/>
    </row>
    <row r="12" spans="1:9" ht="15.75">
      <c r="A12" s="43" t="s">
        <v>211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200</v>
      </c>
      <c r="B13" s="50" t="s">
        <v>201</v>
      </c>
      <c r="C13" s="50"/>
      <c r="D13" s="50" t="s">
        <v>202</v>
      </c>
      <c r="E13" s="50"/>
      <c r="F13" s="50" t="s">
        <v>203</v>
      </c>
      <c r="G13" s="50"/>
      <c r="H13" s="50" t="s">
        <v>204</v>
      </c>
      <c r="I13" s="50"/>
    </row>
    <row r="14" spans="1:9" ht="63.75">
      <c r="A14" s="46"/>
      <c r="B14" s="47" t="s">
        <v>205</v>
      </c>
      <c r="C14" s="47" t="s">
        <v>206</v>
      </c>
      <c r="D14" s="47" t="s">
        <v>205</v>
      </c>
      <c r="E14" s="47" t="s">
        <v>206</v>
      </c>
      <c r="F14" s="47" t="s">
        <v>205</v>
      </c>
      <c r="G14" s="47" t="s">
        <v>206</v>
      </c>
      <c r="H14" s="47" t="s">
        <v>205</v>
      </c>
      <c r="I14" s="47" t="s">
        <v>206</v>
      </c>
    </row>
    <row r="15" spans="1:9">
      <c r="A15" s="48" t="s">
        <v>207</v>
      </c>
      <c r="B15" s="49">
        <v>3.7859442655712394</v>
      </c>
      <c r="C15" s="49">
        <v>10378.594426557123</v>
      </c>
      <c r="D15" s="49">
        <v>21.546997147906556</v>
      </c>
      <c r="E15" s="49">
        <v>17966.557755141264</v>
      </c>
      <c r="F15" s="49">
        <v>15.327459109642504</v>
      </c>
      <c r="G15" s="49">
        <v>20401.571366215627</v>
      </c>
      <c r="H15" s="49">
        <v>15.375939523214232</v>
      </c>
      <c r="I15" s="49">
        <v>39846.547314578005</v>
      </c>
    </row>
    <row r="16" spans="1:9">
      <c r="A16" s="48" t="s">
        <v>208</v>
      </c>
      <c r="B16" s="49">
        <v>1.6146648853623935</v>
      </c>
      <c r="C16" s="49">
        <v>10161.46648853624</v>
      </c>
      <c r="D16" s="49">
        <v>24.303112841509723</v>
      </c>
      <c r="E16" s="49">
        <v>19206.401953932025</v>
      </c>
      <c r="F16" s="49">
        <v>17.063273710127589</v>
      </c>
      <c r="G16" s="49">
        <v>21983.828411330815</v>
      </c>
      <c r="H16" s="49">
        <v>16.810976118679434</v>
      </c>
      <c r="I16" s="49">
        <v>44903.516286753678</v>
      </c>
    </row>
    <row r="17" spans="1:9">
      <c r="A17" s="48" t="s">
        <v>209</v>
      </c>
      <c r="B17" s="49">
        <v>5.1410540204544608</v>
      </c>
      <c r="C17" s="49">
        <v>10514.105402045447</v>
      </c>
      <c r="D17" s="49">
        <v>18.625136484194549</v>
      </c>
      <c r="E17" s="49">
        <v>16692.837871692274</v>
      </c>
      <c r="F17" s="49">
        <v>13.782855266252803</v>
      </c>
      <c r="G17" s="49">
        <v>19071.468667697653</v>
      </c>
      <c r="H17" s="49">
        <v>13.394856913984565</v>
      </c>
      <c r="I17" s="49">
        <v>33704.348030668589</v>
      </c>
    </row>
    <row r="18" spans="1:9">
      <c r="A18" s="48" t="s">
        <v>212</v>
      </c>
      <c r="B18" s="51">
        <v>90.07</v>
      </c>
      <c r="C18" s="52"/>
      <c r="D18" s="51">
        <v>52.03</v>
      </c>
      <c r="E18" s="52"/>
      <c r="F18" s="51">
        <v>45.82</v>
      </c>
      <c r="G18" s="52"/>
      <c r="H18" s="51">
        <v>23.46</v>
      </c>
      <c r="I18" s="52"/>
    </row>
  </sheetData>
  <mergeCells count="16">
    <mergeCell ref="B5:C5"/>
    <mergeCell ref="D5:E5"/>
    <mergeCell ref="F5:G5"/>
    <mergeCell ref="H5:I5"/>
    <mergeCell ref="B10:C10"/>
    <mergeCell ref="D10:E10"/>
    <mergeCell ref="F10:G10"/>
    <mergeCell ref="H10:I10"/>
    <mergeCell ref="B13:C13"/>
    <mergeCell ref="D13:E13"/>
    <mergeCell ref="F13:G13"/>
    <mergeCell ref="H13:I13"/>
    <mergeCell ref="B18:C18"/>
    <mergeCell ref="D18:E18"/>
    <mergeCell ref="F18:G18"/>
    <mergeCell ref="H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 - 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2022-09-02T14:05:29Z</dcterms:created>
  <dcterms:modified xsi:type="dcterms:W3CDTF">2022-09-09T02:47:46Z</dcterms:modified>
</cp:coreProperties>
</file>