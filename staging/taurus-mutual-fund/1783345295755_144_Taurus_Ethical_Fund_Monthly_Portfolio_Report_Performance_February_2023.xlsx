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0" windowHeight="11160"/>
  </bookViews>
  <sheets>
    <sheet name="TEF-Risk-O-Meter &amp; Performance" sheetId="1" r:id="rId1"/>
    <sheet name="TEF-Performance" sheetId="2" r:id="rId2"/>
  </sheets>
  <externalReferences>
    <externalReference r:id="rId3"/>
  </externalReferences>
  <definedNames>
    <definedName name="XDO_?CLASS_3?3?">'TEF-Risk-O-Meter &amp; Performance'!$C$8:$C$44</definedName>
    <definedName name="XDO_?FINAL_ISIN?5?">'TEF-Risk-O-Meter &amp; Performance'!$D$10:$D$44</definedName>
    <definedName name="XDO_?FINAL_ISIN?6?">'TEF-Risk-O-Meter &amp; Performance'!$D$10:$D$86</definedName>
    <definedName name="XDO_?FINAL_MV?5?">'TEF-Risk-O-Meter &amp; Performance'!$H$10:$H$44</definedName>
    <definedName name="XDO_?FINAL_MV?6?">'TEF-Risk-O-Meter &amp; Performance'!$H$10:$H$86</definedName>
    <definedName name="XDO_?FINAL_NAME?5?">'TEF-Risk-O-Meter &amp; Performance'!$C$10:$C$44</definedName>
    <definedName name="XDO_?FINAL_NAME?6?">'TEF-Risk-O-Meter &amp; Performance'!$C$10:$C$86</definedName>
    <definedName name="XDO_?FINAL_PER_NET?5?">'TEF-Risk-O-Meter &amp; Performance'!$I$10:$I$44</definedName>
    <definedName name="XDO_?FINAL_PER_NET?6?">'TEF-Risk-O-Meter &amp; Performance'!$I$10:$I$86</definedName>
    <definedName name="XDO_?FINAL_QUANTITE?5?">'TEF-Risk-O-Meter &amp; Performance'!$G$10:$G$44</definedName>
    <definedName name="XDO_?FINAL_QUANTITE?6?">'TEF-Risk-O-Meter &amp; Performance'!$G$10:$G$86</definedName>
    <definedName name="XDO_?IND_01?5?">'TEF-Risk-O-Meter &amp; Performance'!$F$10:$F$44</definedName>
    <definedName name="XDO_?IND_01?6?">'TEF-Risk-O-Meter &amp; Performance'!$F$10:$F$86</definedName>
    <definedName name="XDO_?NAMC?">[1]TBF!#REF!</definedName>
    <definedName name="XDO_?NAMC?1?">[1]TBFS!#REF!</definedName>
    <definedName name="XDO_?NAMC?2?">[1]TDF!#REF!</definedName>
    <definedName name="XDO_?NAMC?3?">'TEF-Risk-O-Meter &amp; Performance'!#REF!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'TEF-Risk-O-Meter &amp; Performance'!$C$2:$C$44</definedName>
    <definedName name="XDO_?NDATE?">[1]TBF!#REF!</definedName>
    <definedName name="XDO_?NDATE?1?">[1]TBFS!#REF!</definedName>
    <definedName name="XDO_?NDATE?2?">[1]TDF!#REF!</definedName>
    <definedName name="XDO_?NDATE?3?">'TEF-Risk-O-Meter &amp; Performance'!#REF!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'TEF-Risk-O-Meter &amp; Performance'!#REF!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'TEF-Risk-O-Meter &amp; Performance'!$B$10:$B$44</definedName>
    <definedName name="XDO_?NOVAL?6?">'TEF-Risk-O-Meter &amp; Performance'!$B$10:$B$86</definedName>
    <definedName name="XDO_?NPTF?3?">'TEF-Risk-O-Meter &amp; Performance'!$D$2:$D$44</definedName>
    <definedName name="XDO_?RATING?5?">'TEF-Risk-O-Meter &amp; Performance'!$E$10:$E$44</definedName>
    <definedName name="XDO_?RATING?6?">'TEF-Risk-O-Meter &amp; Performance'!$E$10:$E$86</definedName>
    <definedName name="XDO_?REMARKS?5?">'TEF-Risk-O-Meter &amp; Performance'!$J$10:$J$44</definedName>
    <definedName name="XDO_?REMARKS?6?">'TEF-Risk-O-Meter &amp; Performance'!$J$10:$J$86</definedName>
    <definedName name="XDO_?TITL?3?">'TEF-Risk-O-Meter &amp; Performance'!$A$8:$A$44</definedName>
    <definedName name="XDO_GROUP_?G_2?3?">'TEF-Risk-O-Meter &amp; Performance'!$2:$89</definedName>
    <definedName name="XDO_GROUP_?G_3?3?">'TEF-Risk-O-Meter &amp; Performance'!$8:$88</definedName>
    <definedName name="XDO_GROUP_?G_4?5?">'TEF-Risk-O-Meter &amp; Performance'!$B$10:$IV$44</definedName>
    <definedName name="XDO_GROUP_?G_4?6?">'TEF-Risk-O-Meter &amp; Performance'!$B$86:$IV$86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9" i="1"/>
</calcChain>
</file>

<file path=xl/sharedStrings.xml><?xml version="1.0" encoding="utf-8"?>
<sst xmlns="http://schemas.openxmlformats.org/spreadsheetml/2006/main" count="251" uniqueCount="185">
  <si>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</si>
  <si>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</si>
  <si>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</si>
  <si>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</si>
  <si>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</si>
  <si>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</si>
  <si>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</si>
  <si>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</si>
  <si>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</si>
  <si>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</si>
  <si>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</si>
  <si>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</si>
  <si>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</si>
  <si>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</si>
  <si>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</si>
  <si>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</si>
  <si>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</si>
  <si>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</si>
  <si>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</si>
  <si>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100147</t>
  </si>
  <si>
    <t>Tech Mahindra Ltd.</t>
  </si>
  <si>
    <t>INE669C01036</t>
  </si>
  <si>
    <t>IT - Software</t>
  </si>
  <si>
    <t>100176</t>
  </si>
  <si>
    <t>GAIL (India) Ltd.</t>
  </si>
  <si>
    <t>INE129A01019</t>
  </si>
  <si>
    <t>Gas</t>
  </si>
  <si>
    <t>100003</t>
  </si>
  <si>
    <t>Infosys Ltd.</t>
  </si>
  <si>
    <t>INE009A01021</t>
  </si>
  <si>
    <t>100037</t>
  </si>
  <si>
    <t>HCL Technologies Ltd.</t>
  </si>
  <si>
    <t>INE860A01027</t>
  </si>
  <si>
    <t>100474</t>
  </si>
  <si>
    <t>Narayana Hrudayalaya Ltd.</t>
  </si>
  <si>
    <t>INE410P01011</t>
  </si>
  <si>
    <t>Healthcare Services</t>
  </si>
  <si>
    <t>100944</t>
  </si>
  <si>
    <t>Mishra Dhatu Nigam Ltd.</t>
  </si>
  <si>
    <t>INE099Z01011</t>
  </si>
  <si>
    <t>Aerospace &amp; Defense</t>
  </si>
  <si>
    <t>100367</t>
  </si>
  <si>
    <t>Exide Industries Ltd.</t>
  </si>
  <si>
    <t>INE302A01020</t>
  </si>
  <si>
    <t>Auto Components</t>
  </si>
  <si>
    <t>100032</t>
  </si>
  <si>
    <t>Tata Consultancy Services Ltd.</t>
  </si>
  <si>
    <t>INE467B01029</t>
  </si>
  <si>
    <t>101670</t>
  </si>
  <si>
    <t>Patanjali Foods Ltd.</t>
  </si>
  <si>
    <t>INE619A01035</t>
  </si>
  <si>
    <t>Agricultural Food &amp; other Products</t>
  </si>
  <si>
    <t>100017</t>
  </si>
  <si>
    <t>National Aluminium Company Ltd.</t>
  </si>
  <si>
    <t>INE139A01034</t>
  </si>
  <si>
    <t>Non - Ferrous Metals</t>
  </si>
  <si>
    <t>100821</t>
  </si>
  <si>
    <t>TTK Prestige Ltd.</t>
  </si>
  <si>
    <t>INE690A01028</t>
  </si>
  <si>
    <t>Consumer Durables</t>
  </si>
  <si>
    <t>100153</t>
  </si>
  <si>
    <t>Cipla Ltd.</t>
  </si>
  <si>
    <t>INE059A01026</t>
  </si>
  <si>
    <t>Pharmaceuticals &amp; Biotechnology</t>
  </si>
  <si>
    <t>100008</t>
  </si>
  <si>
    <t>Sun Pharmaceutical Industries Ltd.</t>
  </si>
  <si>
    <t>INE044A01036</t>
  </si>
  <si>
    <t>100281</t>
  </si>
  <si>
    <t>Century Textiles &amp; Industries Ltd.</t>
  </si>
  <si>
    <t>INE055A01016</t>
  </si>
  <si>
    <t>Paper, Forest &amp; Jute Products</t>
  </si>
  <si>
    <t>100370</t>
  </si>
  <si>
    <t>Biocon Ltd.</t>
  </si>
  <si>
    <t>INE376G01013</t>
  </si>
  <si>
    <t>100089</t>
  </si>
  <si>
    <t>Bharat Electronics Ltd.</t>
  </si>
  <si>
    <t>INE263A01024</t>
  </si>
  <si>
    <t>101229</t>
  </si>
  <si>
    <t>Jubilant Ingrevia Ltd.</t>
  </si>
  <si>
    <t>INE0BY001018</t>
  </si>
  <si>
    <t>Chemicals &amp; Petrochemicals</t>
  </si>
  <si>
    <t>100099</t>
  </si>
  <si>
    <t>Hindustan Unilever Ltd.</t>
  </si>
  <si>
    <t>INE030A01027</t>
  </si>
  <si>
    <t>Diversified FMCG</t>
  </si>
  <si>
    <t>100945</t>
  </si>
  <si>
    <t>Indian Railway Catering &amp; Tourism Corporation Ltd.</t>
  </si>
  <si>
    <t>INE335Y01020</t>
  </si>
  <si>
    <t>Leisure Services</t>
  </si>
  <si>
    <t>100132</t>
  </si>
  <si>
    <t>Info Edge (India) Ltd.</t>
  </si>
  <si>
    <t>INE663F01024</t>
  </si>
  <si>
    <t>Retailing</t>
  </si>
  <si>
    <t>100161</t>
  </si>
  <si>
    <t>Cummins India Ltd.</t>
  </si>
  <si>
    <t>INE298A01020</t>
  </si>
  <si>
    <t>Industrial Products</t>
  </si>
  <si>
    <t>101101</t>
  </si>
  <si>
    <t>LA Opala RG Ltd.</t>
  </si>
  <si>
    <t>INE059D01020</t>
  </si>
  <si>
    <t>100570</t>
  </si>
  <si>
    <t>K.P.R. Mill Ltd.</t>
  </si>
  <si>
    <t>INE930H01031</t>
  </si>
  <si>
    <t>Textiles &amp; Apparels</t>
  </si>
  <si>
    <t>100284</t>
  </si>
  <si>
    <t>Dr. Lal Path labs Ltd.</t>
  </si>
  <si>
    <t>INE600L01024</t>
  </si>
  <si>
    <t>100029</t>
  </si>
  <si>
    <t>Mphasis Ltd.</t>
  </si>
  <si>
    <t>INE356A01018</t>
  </si>
  <si>
    <t>100155</t>
  </si>
  <si>
    <t>Divi's Laboratories Ltd.</t>
  </si>
  <si>
    <t>INE361B01024</t>
  </si>
  <si>
    <t>100689</t>
  </si>
  <si>
    <t>Godrej Agrovet Ltd.</t>
  </si>
  <si>
    <t>INE850D01014</t>
  </si>
  <si>
    <t>Food Products</t>
  </si>
  <si>
    <t>100447</t>
  </si>
  <si>
    <t>LTIMindtree Ltd.</t>
  </si>
  <si>
    <t>INE214T01019</t>
  </si>
  <si>
    <t>100090</t>
  </si>
  <si>
    <t>Bharat Forge Ltd.</t>
  </si>
  <si>
    <t>INE465A01025</t>
  </si>
  <si>
    <t>100039</t>
  </si>
  <si>
    <t>Bajaj Auto Ltd.</t>
  </si>
  <si>
    <t>INE917I01010</t>
  </si>
  <si>
    <t>Automobiles</t>
  </si>
  <si>
    <t>100544</t>
  </si>
  <si>
    <t>Quess Corp Ltd.</t>
  </si>
  <si>
    <t>INE615P01015</t>
  </si>
  <si>
    <t>Commercial Services &amp; Supplies</t>
  </si>
  <si>
    <t>100747</t>
  </si>
  <si>
    <t>Mahindra Logistics Ltd.</t>
  </si>
  <si>
    <t>INE766P01016</t>
  </si>
  <si>
    <t>Transport Services</t>
  </si>
  <si>
    <t>100045</t>
  </si>
  <si>
    <t>Gujarat Pipavav Port Ltd.</t>
  </si>
  <si>
    <t>INE517F01014</t>
  </si>
  <si>
    <t>Transport Infrastructure</t>
  </si>
  <si>
    <t>101178</t>
  </si>
  <si>
    <t>Computer Age Management Services Ltd.</t>
  </si>
  <si>
    <t>INE596I01012</t>
  </si>
  <si>
    <t>Capital Markets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</si>
  <si>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</si>
  <si>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</si>
  <si>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</si>
  <si>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</si>
  <si>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</si>
  <si>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</si>
  <si>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</si>
  <si>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</si>
  <si>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</si>
  <si>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</si>
  <si>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</si>
  <si>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</si>
  <si>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</si>
  <si>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</si>
  <si>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</si>
  <si>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</si>
  <si>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</si>
  <si>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</si>
  <si>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</si>
  <si>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</si>
  <si>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</si>
  <si>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</si>
  <si>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</si>
  <si>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</si>
  <si>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</si>
  <si>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</si>
  <si>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</si>
  <si>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</si>
  <si>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</si>
  <si>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</si>
  <si>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</si>
  <si>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</si>
  <si>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</si>
  <si>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</si>
  <si>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</si>
  <si>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</si>
  <si>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</si>
  <si>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Shariah TRI (Benchmark)</t>
  </si>
  <si>
    <t>Nifty 50 TRI (Additional Benchmark)</t>
  </si>
  <si>
    <t>NAV [Rs.] Per Unit (as on February 28, 2023 : 80.09)</t>
  </si>
  <si>
    <t>Taurus Ethical Fund - Direct Plan Growth Option</t>
  </si>
  <si>
    <t>NAV [Rs.] Per Unit  (as on February 28, 2023 : 87.49)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</si>
</sst>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40979</xdr:colOff>
      <xdr:row>0</xdr:row>
      <xdr:rowOff>1923288</xdr:rowOff>
    </xdr:to>
    <xdr:pic>
      <xdr:nvPicPr>
        <xdr:cNvPr id="2" name="Picture 1" descr="Ethical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793146" cy="19232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February%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95"/>
  <sheetViews>
    <sheetView showGridLines="0" tabSelected="1" zoomScale="90" zoomScaleNormal="90" workbookViewId="0">
      <selection activeCell="A2" sqref="A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3.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44985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24640</v>
      </c>
      <c r="H10" s="32">
        <v>572.13</v>
      </c>
      <c r="I10" s="32">
        <v>6.81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46900</v>
      </c>
      <c r="H11" s="32">
        <v>516.66999999999996</v>
      </c>
      <c r="I11" s="32">
        <v>6.15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447658</v>
      </c>
      <c r="H12" s="32">
        <v>459.97</v>
      </c>
      <c r="I12" s="32">
        <v>5.47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22</v>
      </c>
      <c r="G13" s="31">
        <v>30157</v>
      </c>
      <c r="H13" s="32">
        <v>448.53</v>
      </c>
      <c r="I13" s="32">
        <v>5.33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22</v>
      </c>
      <c r="G14" s="31">
        <v>41608</v>
      </c>
      <c r="H14" s="32">
        <v>448.35</v>
      </c>
      <c r="I14" s="32">
        <v>5.33</v>
      </c>
      <c r="J14" s="33"/>
    </row>
    <row r="15" spans="1:54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52560</v>
      </c>
      <c r="H15" s="32">
        <v>395.22</v>
      </c>
      <c r="I15" s="32">
        <v>4.7</v>
      </c>
      <c r="J15" s="33"/>
    </row>
    <row r="16" spans="1:54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200000</v>
      </c>
      <c r="H16" s="32">
        <v>393.5</v>
      </c>
      <c r="I16" s="32">
        <v>4.68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220000</v>
      </c>
      <c r="H17" s="32">
        <v>385.88</v>
      </c>
      <c r="I17" s="32">
        <v>4.59</v>
      </c>
      <c r="J17" s="33"/>
    </row>
    <row r="18" spans="2:10">
      <c r="B18" s="1" t="s">
        <v>45</v>
      </c>
      <c r="C18" s="20" t="s">
        <v>46</v>
      </c>
      <c r="D18" s="29" t="s">
        <v>47</v>
      </c>
      <c r="E18" s="30"/>
      <c r="F18" s="30" t="s">
        <v>22</v>
      </c>
      <c r="G18" s="31">
        <v>11350</v>
      </c>
      <c r="H18" s="32">
        <v>376.16</v>
      </c>
      <c r="I18" s="32">
        <v>4.47</v>
      </c>
      <c r="J18" s="33"/>
    </row>
    <row r="19" spans="2:10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39000</v>
      </c>
      <c r="H19" s="32">
        <v>360.75</v>
      </c>
      <c r="I19" s="32">
        <v>4.29</v>
      </c>
      <c r="J19" s="33"/>
    </row>
    <row r="20" spans="2:10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450000</v>
      </c>
      <c r="H20" s="32">
        <v>352.13</v>
      </c>
      <c r="I20" s="32">
        <v>4.1900000000000004</v>
      </c>
      <c r="J20" s="33"/>
    </row>
    <row r="21" spans="2:10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33400</v>
      </c>
      <c r="H21" s="32">
        <v>252.87</v>
      </c>
      <c r="I21" s="32">
        <v>3.01</v>
      </c>
      <c r="J21" s="33"/>
    </row>
    <row r="22" spans="2:10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27000</v>
      </c>
      <c r="H22" s="32">
        <v>244.63</v>
      </c>
      <c r="I22" s="32">
        <v>2.91</v>
      </c>
      <c r="J22" s="33"/>
    </row>
    <row r="23" spans="2:10">
      <c r="B23" s="1" t="s">
        <v>64</v>
      </c>
      <c r="C23" s="20" t="s">
        <v>65</v>
      </c>
      <c r="D23" s="29" t="s">
        <v>66</v>
      </c>
      <c r="E23" s="30"/>
      <c r="F23" s="30" t="s">
        <v>63</v>
      </c>
      <c r="G23" s="31">
        <v>25000</v>
      </c>
      <c r="H23" s="32">
        <v>239.25</v>
      </c>
      <c r="I23" s="32">
        <v>2.85</v>
      </c>
      <c r="J23" s="33"/>
    </row>
    <row r="24" spans="2:10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38500</v>
      </c>
      <c r="H24" s="32">
        <v>233.58</v>
      </c>
      <c r="I24" s="32">
        <v>2.78</v>
      </c>
      <c r="J24" s="33"/>
    </row>
    <row r="25" spans="2:10">
      <c r="B25" s="1" t="s">
        <v>71</v>
      </c>
      <c r="C25" s="20" t="s">
        <v>72</v>
      </c>
      <c r="D25" s="29" t="s">
        <v>73</v>
      </c>
      <c r="E25" s="30"/>
      <c r="F25" s="30" t="s">
        <v>63</v>
      </c>
      <c r="G25" s="31">
        <v>101850</v>
      </c>
      <c r="H25" s="32">
        <v>233.24</v>
      </c>
      <c r="I25" s="32">
        <v>2.77</v>
      </c>
      <c r="J25" s="33"/>
    </row>
    <row r="26" spans="2:10">
      <c r="B26" s="1" t="s">
        <v>74</v>
      </c>
      <c r="C26" s="20" t="s">
        <v>75</v>
      </c>
      <c r="D26" s="29" t="s">
        <v>76</v>
      </c>
      <c r="E26" s="30"/>
      <c r="F26" s="30" t="s">
        <v>40</v>
      </c>
      <c r="G26" s="31">
        <v>234668</v>
      </c>
      <c r="H26" s="32">
        <v>222.11</v>
      </c>
      <c r="I26" s="32">
        <v>2.64</v>
      </c>
      <c r="J26" s="33"/>
    </row>
    <row r="27" spans="2:10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43760</v>
      </c>
      <c r="H27" s="32">
        <v>194.69</v>
      </c>
      <c r="I27" s="32">
        <v>2.3199999999999998</v>
      </c>
      <c r="J27" s="33"/>
    </row>
    <row r="28" spans="2:10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7250</v>
      </c>
      <c r="H28" s="32">
        <v>178.18</v>
      </c>
      <c r="I28" s="32">
        <v>2.12</v>
      </c>
      <c r="J28" s="33"/>
    </row>
    <row r="29" spans="2:10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28000</v>
      </c>
      <c r="H29" s="32">
        <v>170.55</v>
      </c>
      <c r="I29" s="32">
        <v>2.0299999999999998</v>
      </c>
      <c r="J29" s="33"/>
    </row>
    <row r="30" spans="2:10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4830</v>
      </c>
      <c r="H30" s="32">
        <v>168.25</v>
      </c>
      <c r="I30" s="32">
        <v>2</v>
      </c>
      <c r="J30" s="33"/>
    </row>
    <row r="31" spans="2:10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10000</v>
      </c>
      <c r="H31" s="32">
        <v>157.16</v>
      </c>
      <c r="I31" s="32">
        <v>1.87</v>
      </c>
      <c r="J31" s="33"/>
    </row>
    <row r="32" spans="2:10">
      <c r="B32" s="1" t="s">
        <v>97</v>
      </c>
      <c r="C32" s="20" t="s">
        <v>98</v>
      </c>
      <c r="D32" s="29" t="s">
        <v>99</v>
      </c>
      <c r="E32" s="30"/>
      <c r="F32" s="30" t="s">
        <v>59</v>
      </c>
      <c r="G32" s="31">
        <v>41600</v>
      </c>
      <c r="H32" s="32">
        <v>148.51</v>
      </c>
      <c r="I32" s="32">
        <v>1.77</v>
      </c>
      <c r="J32" s="33"/>
    </row>
    <row r="33" spans="2:10">
      <c r="B33" s="1" t="s">
        <v>100</v>
      </c>
      <c r="C33" s="20" t="s">
        <v>101</v>
      </c>
      <c r="D33" s="29" t="s">
        <v>102</v>
      </c>
      <c r="E33" s="30"/>
      <c r="F33" s="30" t="s">
        <v>103</v>
      </c>
      <c r="G33" s="31">
        <v>23700</v>
      </c>
      <c r="H33" s="32">
        <v>136.22999999999999</v>
      </c>
      <c r="I33" s="32">
        <v>1.62</v>
      </c>
      <c r="J33" s="33"/>
    </row>
    <row r="34" spans="2:10">
      <c r="B34" s="1" t="s">
        <v>104</v>
      </c>
      <c r="C34" s="20" t="s">
        <v>105</v>
      </c>
      <c r="D34" s="29" t="s">
        <v>106</v>
      </c>
      <c r="E34" s="30"/>
      <c r="F34" s="30" t="s">
        <v>36</v>
      </c>
      <c r="G34" s="31">
        <v>5400</v>
      </c>
      <c r="H34" s="32">
        <v>107.36</v>
      </c>
      <c r="I34" s="32">
        <v>1.28</v>
      </c>
      <c r="J34" s="33"/>
    </row>
    <row r="35" spans="2:10">
      <c r="B35" s="1" t="s">
        <v>107</v>
      </c>
      <c r="C35" s="20" t="s">
        <v>108</v>
      </c>
      <c r="D35" s="29" t="s">
        <v>109</v>
      </c>
      <c r="E35" s="30"/>
      <c r="F35" s="30" t="s">
        <v>22</v>
      </c>
      <c r="G35" s="31">
        <v>5000</v>
      </c>
      <c r="H35" s="32">
        <v>101.79</v>
      </c>
      <c r="I35" s="32">
        <v>1.21</v>
      </c>
      <c r="J35" s="33"/>
    </row>
    <row r="36" spans="2:10">
      <c r="B36" s="1" t="s">
        <v>110</v>
      </c>
      <c r="C36" s="20" t="s">
        <v>111</v>
      </c>
      <c r="D36" s="29" t="s">
        <v>112</v>
      </c>
      <c r="E36" s="30"/>
      <c r="F36" s="30" t="s">
        <v>63</v>
      </c>
      <c r="G36" s="31">
        <v>3375</v>
      </c>
      <c r="H36" s="32">
        <v>95.37</v>
      </c>
      <c r="I36" s="32">
        <v>1.1299999999999999</v>
      </c>
      <c r="J36" s="33"/>
    </row>
    <row r="37" spans="2:10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20000</v>
      </c>
      <c r="H37" s="32">
        <v>87.74</v>
      </c>
      <c r="I37" s="32">
        <v>1.04</v>
      </c>
      <c r="J37" s="33"/>
    </row>
    <row r="38" spans="2:10">
      <c r="B38" s="1" t="s">
        <v>117</v>
      </c>
      <c r="C38" s="20" t="s">
        <v>118</v>
      </c>
      <c r="D38" s="29" t="s">
        <v>119</v>
      </c>
      <c r="E38" s="30"/>
      <c r="F38" s="30" t="s">
        <v>22</v>
      </c>
      <c r="G38" s="31">
        <v>1800</v>
      </c>
      <c r="H38" s="32">
        <v>85.19</v>
      </c>
      <c r="I38" s="32">
        <v>1.01</v>
      </c>
      <c r="J38" s="33"/>
    </row>
    <row r="39" spans="2:10">
      <c r="B39" s="1" t="s">
        <v>120</v>
      </c>
      <c r="C39" s="20" t="s">
        <v>121</v>
      </c>
      <c r="D39" s="29" t="s">
        <v>122</v>
      </c>
      <c r="E39" s="30"/>
      <c r="F39" s="30" t="s">
        <v>96</v>
      </c>
      <c r="G39" s="31">
        <v>10000</v>
      </c>
      <c r="H39" s="32">
        <v>81.61</v>
      </c>
      <c r="I39" s="32">
        <v>0.97</v>
      </c>
      <c r="J39" s="33"/>
    </row>
    <row r="40" spans="2:10">
      <c r="B40" s="1" t="s">
        <v>123</v>
      </c>
      <c r="C40" s="20" t="s">
        <v>124</v>
      </c>
      <c r="D40" s="29" t="s">
        <v>125</v>
      </c>
      <c r="E40" s="30"/>
      <c r="F40" s="30" t="s">
        <v>126</v>
      </c>
      <c r="G40" s="31">
        <v>2106</v>
      </c>
      <c r="H40" s="32">
        <v>77.099999999999994</v>
      </c>
      <c r="I40" s="32">
        <v>0.92</v>
      </c>
      <c r="J40" s="33"/>
    </row>
    <row r="41" spans="2:10">
      <c r="B41" s="1" t="s">
        <v>127</v>
      </c>
      <c r="C41" s="20" t="s">
        <v>128</v>
      </c>
      <c r="D41" s="29" t="s">
        <v>129</v>
      </c>
      <c r="E41" s="30"/>
      <c r="F41" s="30" t="s">
        <v>130</v>
      </c>
      <c r="G41" s="31">
        <v>21032</v>
      </c>
      <c r="H41" s="32">
        <v>74.41</v>
      </c>
      <c r="I41" s="32">
        <v>0.89</v>
      </c>
      <c r="J41" s="33"/>
    </row>
    <row r="42" spans="2:10">
      <c r="B42" s="1" t="s">
        <v>131</v>
      </c>
      <c r="C42" s="20" t="s">
        <v>132</v>
      </c>
      <c r="D42" s="29" t="s">
        <v>133</v>
      </c>
      <c r="E42" s="30"/>
      <c r="F42" s="30" t="s">
        <v>134</v>
      </c>
      <c r="G42" s="31">
        <v>19000</v>
      </c>
      <c r="H42" s="32">
        <v>70.3</v>
      </c>
      <c r="I42" s="32">
        <v>0.84</v>
      </c>
      <c r="J42" s="33"/>
    </row>
    <row r="43" spans="2:10">
      <c r="B43" s="1" t="s">
        <v>135</v>
      </c>
      <c r="C43" s="20" t="s">
        <v>136</v>
      </c>
      <c r="D43" s="29" t="s">
        <v>137</v>
      </c>
      <c r="E43" s="30"/>
      <c r="F43" s="30" t="s">
        <v>138</v>
      </c>
      <c r="G43" s="31">
        <v>54000</v>
      </c>
      <c r="H43" s="32">
        <v>56.46</v>
      </c>
      <c r="I43" s="32">
        <v>0.67</v>
      </c>
      <c r="J43" s="33"/>
    </row>
    <row r="44" spans="2:10">
      <c r="B44" s="1" t="s">
        <v>139</v>
      </c>
      <c r="C44" s="20" t="s">
        <v>140</v>
      </c>
      <c r="D44" s="29" t="s">
        <v>141</v>
      </c>
      <c r="E44" s="30"/>
      <c r="F44" s="30" t="s">
        <v>142</v>
      </c>
      <c r="G44" s="31">
        <v>1980</v>
      </c>
      <c r="H44" s="32">
        <v>44.73</v>
      </c>
      <c r="I44" s="32">
        <v>0.53</v>
      </c>
      <c r="J44" s="33"/>
    </row>
    <row r="45" spans="2:10">
      <c r="C45" s="28" t="s">
        <v>143</v>
      </c>
      <c r="D45" s="29"/>
      <c r="E45" s="30"/>
      <c r="F45" s="30"/>
      <c r="G45" s="31"/>
      <c r="H45" s="35">
        <v>8170.6</v>
      </c>
      <c r="I45" s="35">
        <v>97.19</v>
      </c>
      <c r="J45" s="33"/>
    </row>
    <row r="46" spans="2:10">
      <c r="C46" s="20"/>
      <c r="D46" s="29"/>
      <c r="E46" s="30"/>
      <c r="F46" s="30"/>
      <c r="G46" s="31"/>
      <c r="H46" s="32"/>
      <c r="I46" s="32"/>
      <c r="J46" s="33"/>
    </row>
    <row r="47" spans="2:10">
      <c r="C47" s="28" t="s">
        <v>144</v>
      </c>
      <c r="D47" s="29"/>
      <c r="E47" s="30"/>
      <c r="F47" s="30"/>
      <c r="G47" s="31"/>
      <c r="H47" s="32" t="s">
        <v>145</v>
      </c>
      <c r="I47" s="32" t="s">
        <v>145</v>
      </c>
      <c r="J47" s="33"/>
    </row>
    <row r="48" spans="2:10">
      <c r="C48" s="20"/>
      <c r="D48" s="29"/>
      <c r="E48" s="30"/>
      <c r="F48" s="30"/>
      <c r="G48" s="31"/>
      <c r="H48" s="32"/>
      <c r="I48" s="32"/>
      <c r="J48" s="33"/>
    </row>
    <row r="49" spans="3:10">
      <c r="C49" s="28" t="s">
        <v>146</v>
      </c>
      <c r="D49" s="29"/>
      <c r="E49" s="30"/>
      <c r="F49" s="30"/>
      <c r="G49" s="31"/>
      <c r="H49" s="32" t="s">
        <v>145</v>
      </c>
      <c r="I49" s="32" t="s">
        <v>145</v>
      </c>
      <c r="J49" s="33"/>
    </row>
    <row r="50" spans="3:10">
      <c r="C50" s="20"/>
      <c r="D50" s="29"/>
      <c r="E50" s="30"/>
      <c r="F50" s="30"/>
      <c r="G50" s="31"/>
      <c r="H50" s="32"/>
      <c r="I50" s="32"/>
      <c r="J50" s="33"/>
    </row>
    <row r="51" spans="3:10">
      <c r="C51" s="28" t="s">
        <v>147</v>
      </c>
      <c r="D51" s="29"/>
      <c r="E51" s="30"/>
      <c r="F51" s="30"/>
      <c r="G51" s="31"/>
      <c r="H51" s="32"/>
      <c r="I51" s="32"/>
      <c r="J51" s="33"/>
    </row>
    <row r="52" spans="3:10">
      <c r="C52" s="20"/>
      <c r="D52" s="29"/>
      <c r="E52" s="30"/>
      <c r="F52" s="30"/>
      <c r="G52" s="31"/>
      <c r="H52" s="32"/>
      <c r="I52" s="32"/>
      <c r="J52" s="33"/>
    </row>
    <row r="53" spans="3:10">
      <c r="C53" s="28" t="s">
        <v>148</v>
      </c>
      <c r="D53" s="29"/>
      <c r="E53" s="30"/>
      <c r="F53" s="30"/>
      <c r="G53" s="31"/>
      <c r="H53" s="32" t="s">
        <v>145</v>
      </c>
      <c r="I53" s="32" t="s">
        <v>145</v>
      </c>
      <c r="J53" s="33"/>
    </row>
    <row r="54" spans="3:10">
      <c r="C54" s="20"/>
      <c r="D54" s="29"/>
      <c r="E54" s="30"/>
      <c r="F54" s="30"/>
      <c r="G54" s="31"/>
      <c r="H54" s="32"/>
      <c r="I54" s="32"/>
      <c r="J54" s="33"/>
    </row>
    <row r="55" spans="3:10">
      <c r="C55" s="28" t="s">
        <v>149</v>
      </c>
      <c r="D55" s="29"/>
      <c r="E55" s="30"/>
      <c r="F55" s="30"/>
      <c r="G55" s="31"/>
      <c r="H55" s="32" t="s">
        <v>145</v>
      </c>
      <c r="I55" s="32" t="s">
        <v>145</v>
      </c>
      <c r="J55" s="33"/>
    </row>
    <row r="56" spans="3:10">
      <c r="C56" s="20"/>
      <c r="D56" s="29"/>
      <c r="E56" s="30"/>
      <c r="F56" s="30"/>
      <c r="G56" s="31"/>
      <c r="H56" s="32"/>
      <c r="I56" s="32"/>
      <c r="J56" s="33"/>
    </row>
    <row r="57" spans="3:10">
      <c r="C57" s="28" t="s">
        <v>150</v>
      </c>
      <c r="D57" s="29"/>
      <c r="E57" s="30"/>
      <c r="F57" s="30"/>
      <c r="G57" s="31"/>
      <c r="H57" s="32" t="s">
        <v>145</v>
      </c>
      <c r="I57" s="32" t="s">
        <v>145</v>
      </c>
      <c r="J57" s="33"/>
    </row>
    <row r="58" spans="3:10">
      <c r="C58" s="20"/>
      <c r="D58" s="29"/>
      <c r="E58" s="30"/>
      <c r="F58" s="30"/>
      <c r="G58" s="31"/>
      <c r="H58" s="32"/>
      <c r="I58" s="32"/>
      <c r="J58" s="33"/>
    </row>
    <row r="59" spans="3:10">
      <c r="C59" s="28" t="s">
        <v>151</v>
      </c>
      <c r="D59" s="29"/>
      <c r="E59" s="30"/>
      <c r="F59" s="30"/>
      <c r="G59" s="31"/>
      <c r="H59" s="32" t="s">
        <v>145</v>
      </c>
      <c r="I59" s="32" t="s">
        <v>145</v>
      </c>
      <c r="J59" s="33"/>
    </row>
    <row r="60" spans="3:10">
      <c r="C60" s="20"/>
      <c r="D60" s="29"/>
      <c r="E60" s="30"/>
      <c r="F60" s="30"/>
      <c r="G60" s="31"/>
      <c r="H60" s="32"/>
      <c r="I60" s="32"/>
      <c r="J60" s="33"/>
    </row>
    <row r="61" spans="3:10">
      <c r="C61" s="28" t="s">
        <v>152</v>
      </c>
      <c r="D61" s="29"/>
      <c r="E61" s="30"/>
      <c r="F61" s="30"/>
      <c r="G61" s="31"/>
      <c r="H61" s="32" t="s">
        <v>145</v>
      </c>
      <c r="I61" s="32" t="s">
        <v>145</v>
      </c>
      <c r="J61" s="33"/>
    </row>
    <row r="62" spans="3:10">
      <c r="C62" s="20"/>
      <c r="D62" s="29"/>
      <c r="E62" s="30"/>
      <c r="F62" s="30"/>
      <c r="G62" s="31"/>
      <c r="H62" s="32"/>
      <c r="I62" s="32"/>
      <c r="J62" s="33"/>
    </row>
    <row r="63" spans="3:10">
      <c r="C63" s="28" t="s">
        <v>153</v>
      </c>
      <c r="D63" s="29"/>
      <c r="E63" s="30"/>
      <c r="F63" s="30"/>
      <c r="G63" s="31"/>
      <c r="H63" s="32"/>
      <c r="I63" s="32"/>
      <c r="J63" s="33"/>
    </row>
    <row r="64" spans="3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154</v>
      </c>
      <c r="D65" s="29"/>
      <c r="E65" s="30"/>
      <c r="F65" s="30"/>
      <c r="G65" s="31"/>
      <c r="H65" s="32" t="s">
        <v>145</v>
      </c>
      <c r="I65" s="32" t="s">
        <v>145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155</v>
      </c>
      <c r="D67" s="29"/>
      <c r="E67" s="30"/>
      <c r="F67" s="30"/>
      <c r="G67" s="31"/>
      <c r="H67" s="32" t="s">
        <v>145</v>
      </c>
      <c r="I67" s="32" t="s">
        <v>145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156</v>
      </c>
      <c r="D69" s="29"/>
      <c r="E69" s="30"/>
      <c r="F69" s="30"/>
      <c r="G69" s="31"/>
      <c r="H69" s="32" t="s">
        <v>145</v>
      </c>
      <c r="I69" s="32" t="s">
        <v>145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157</v>
      </c>
      <c r="D71" s="29"/>
      <c r="E71" s="30"/>
      <c r="F71" s="30"/>
      <c r="G71" s="31"/>
      <c r="H71" s="32" t="s">
        <v>145</v>
      </c>
      <c r="I71" s="32" t="s">
        <v>145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158</v>
      </c>
      <c r="D73" s="29"/>
      <c r="E73" s="30"/>
      <c r="F73" s="30"/>
      <c r="G73" s="31"/>
      <c r="H73" s="32"/>
      <c r="I73" s="32"/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159</v>
      </c>
      <c r="D75" s="29"/>
      <c r="E75" s="30"/>
      <c r="F75" s="30"/>
      <c r="G75" s="31"/>
      <c r="H75" s="32" t="s">
        <v>145</v>
      </c>
      <c r="I75" s="32" t="s">
        <v>145</v>
      </c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160</v>
      </c>
      <c r="D77" s="29"/>
      <c r="E77" s="30"/>
      <c r="F77" s="30"/>
      <c r="G77" s="31"/>
      <c r="H77" s="32" t="s">
        <v>145</v>
      </c>
      <c r="I77" s="32" t="s">
        <v>145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161</v>
      </c>
      <c r="D79" s="29"/>
      <c r="E79" s="30"/>
      <c r="F79" s="30"/>
      <c r="G79" s="31"/>
      <c r="H79" s="32" t="s">
        <v>145</v>
      </c>
      <c r="I79" s="32" t="s">
        <v>145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1:10">
      <c r="C81" s="28" t="s">
        <v>162</v>
      </c>
      <c r="D81" s="29"/>
      <c r="E81" s="30"/>
      <c r="F81" s="30"/>
      <c r="G81" s="31"/>
      <c r="H81" s="32" t="s">
        <v>145</v>
      </c>
      <c r="I81" s="32" t="s">
        <v>145</v>
      </c>
      <c r="J81" s="33"/>
    </row>
    <row r="82" spans="1:10">
      <c r="C82" s="20"/>
      <c r="D82" s="29"/>
      <c r="E82" s="30"/>
      <c r="F82" s="30"/>
      <c r="G82" s="31"/>
      <c r="H82" s="32"/>
      <c r="I82" s="32"/>
      <c r="J82" s="33"/>
    </row>
    <row r="83" spans="1:10">
      <c r="C83" s="28" t="s">
        <v>163</v>
      </c>
      <c r="D83" s="29"/>
      <c r="E83" s="30"/>
      <c r="F83" s="30"/>
      <c r="G83" s="31"/>
      <c r="H83" s="32" t="s">
        <v>145</v>
      </c>
      <c r="I83" s="32" t="s">
        <v>145</v>
      </c>
      <c r="J83" s="33"/>
    </row>
    <row r="84" spans="1:10">
      <c r="C84" s="20"/>
      <c r="D84" s="29"/>
      <c r="E84" s="30"/>
      <c r="F84" s="30"/>
      <c r="G84" s="31"/>
      <c r="H84" s="32"/>
      <c r="I84" s="32"/>
      <c r="J84" s="33"/>
    </row>
    <row r="85" spans="1:10">
      <c r="A85" s="26"/>
      <c r="B85" s="27"/>
      <c r="C85" s="28" t="s">
        <v>164</v>
      </c>
      <c r="D85" s="29"/>
      <c r="E85" s="30"/>
      <c r="F85" s="30"/>
      <c r="G85" s="31"/>
      <c r="H85" s="32"/>
      <c r="I85" s="32"/>
      <c r="J85" s="33"/>
    </row>
    <row r="86" spans="1:10">
      <c r="B86" s="1"/>
      <c r="C86" s="20" t="s">
        <v>165</v>
      </c>
      <c r="D86" s="29"/>
      <c r="E86" s="30"/>
      <c r="F86" s="30"/>
      <c r="G86" s="31"/>
      <c r="H86" s="32">
        <v>236.74</v>
      </c>
      <c r="I86" s="32">
        <v>2.81</v>
      </c>
      <c r="J86" s="33"/>
    </row>
    <row r="87" spans="1:10">
      <c r="C87" s="28" t="s">
        <v>143</v>
      </c>
      <c r="D87" s="29"/>
      <c r="E87" s="30"/>
      <c r="F87" s="30"/>
      <c r="G87" s="31"/>
      <c r="H87" s="35">
        <v>236.74</v>
      </c>
      <c r="I87" s="35">
        <v>2.81</v>
      </c>
      <c r="J87" s="33"/>
    </row>
    <row r="88" spans="1:10">
      <c r="C88" s="20"/>
      <c r="D88" s="29"/>
      <c r="E88" s="30"/>
      <c r="F88" s="30"/>
      <c r="G88" s="31"/>
      <c r="H88" s="32"/>
      <c r="I88" s="32"/>
      <c r="J88" s="33"/>
    </row>
    <row r="89" spans="1:10" ht="13.5" thickBot="1">
      <c r="C89" s="36" t="s">
        <v>166</v>
      </c>
      <c r="D89" s="37"/>
      <c r="E89" s="38"/>
      <c r="F89" s="39"/>
      <c r="G89" s="40"/>
      <c r="H89" s="41">
        <v>8407.34</v>
      </c>
      <c r="I89" s="41">
        <f>SUMIFS(I:I,C:C,"Total")</f>
        <v>100</v>
      </c>
      <c r="J89" s="42"/>
    </row>
    <row r="92" spans="1:10">
      <c r="C92" s="11" t="s">
        <v>167</v>
      </c>
    </row>
    <row r="93" spans="1:10">
      <c r="C93" s="2" t="s">
        <v>168</v>
      </c>
    </row>
    <row r="94" spans="1:10">
      <c r="C94" s="2" t="s">
        <v>169</v>
      </c>
    </row>
    <row r="95" spans="1:10">
      <c r="C95" s="2" t="s">
        <v>170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A4" sqref="A4"/>
    </sheetView>
  </sheetViews>
  <sheetFormatPr defaultRowHeight="15"/>
  <cols>
    <col min="2" max="2" width="45.8554687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0.85546875" bestFit="1" customWidth="1"/>
  </cols>
  <sheetData>
    <row r="4" spans="2:10" ht="15.75">
      <c r="B4" s="43" t="s">
        <v>171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172</v>
      </c>
      <c r="C5" s="46" t="s">
        <v>173</v>
      </c>
      <c r="D5" s="46"/>
      <c r="E5" s="46" t="s">
        <v>174</v>
      </c>
      <c r="F5" s="46"/>
      <c r="G5" s="46" t="s">
        <v>175</v>
      </c>
      <c r="H5" s="46"/>
      <c r="I5" s="46" t="s">
        <v>176</v>
      </c>
      <c r="J5" s="46"/>
    </row>
    <row r="6" spans="2:10" ht="63.75">
      <c r="B6" s="47"/>
      <c r="C6" s="48" t="s">
        <v>177</v>
      </c>
      <c r="D6" s="48" t="s">
        <v>178</v>
      </c>
      <c r="E6" s="48" t="s">
        <v>177</v>
      </c>
      <c r="F6" s="48" t="s">
        <v>178</v>
      </c>
      <c r="G6" s="48" t="s">
        <v>177</v>
      </c>
      <c r="H6" s="48" t="s">
        <v>178</v>
      </c>
      <c r="I6" s="48" t="s">
        <v>177</v>
      </c>
      <c r="J6" s="48" t="s">
        <v>178</v>
      </c>
    </row>
    <row r="7" spans="2:10">
      <c r="B7" s="49" t="s">
        <v>179</v>
      </c>
      <c r="C7" s="50">
        <v>0.20017515325909674</v>
      </c>
      <c r="D7" s="50">
        <v>10020.01751532591</v>
      </c>
      <c r="E7" s="50">
        <v>14.481115545843682</v>
      </c>
      <c r="F7" s="50">
        <v>15009.370314842579</v>
      </c>
      <c r="G7" s="50">
        <v>9.9366907570735297</v>
      </c>
      <c r="H7" s="50">
        <v>16062.976333734458</v>
      </c>
      <c r="I7" s="50">
        <v>16.13438350146339</v>
      </c>
      <c r="J7" s="50">
        <v>80090</v>
      </c>
    </row>
    <row r="8" spans="2:10">
      <c r="B8" s="49" t="s">
        <v>180</v>
      </c>
      <c r="C8" s="50">
        <v>-5.4415425124634158</v>
      </c>
      <c r="D8" s="50">
        <v>9455.845748753658</v>
      </c>
      <c r="E8" s="50">
        <v>18.402247669298255</v>
      </c>
      <c r="F8" s="50">
        <v>16598.92033055241</v>
      </c>
      <c r="G8" s="50">
        <v>12.185462325996511</v>
      </c>
      <c r="H8" s="50">
        <v>17769.815156013807</v>
      </c>
      <c r="I8" s="50">
        <v>15.667700614159275</v>
      </c>
      <c r="J8" s="50">
        <v>75697.437927333041</v>
      </c>
    </row>
    <row r="9" spans="2:10">
      <c r="B9" s="49" t="s">
        <v>181</v>
      </c>
      <c r="C9" s="50">
        <v>4.2705236324582341</v>
      </c>
      <c r="D9" s="50">
        <v>10427.052363245823</v>
      </c>
      <c r="E9" s="50">
        <v>16.977100801067714</v>
      </c>
      <c r="F9" s="50">
        <v>16006.727826404724</v>
      </c>
      <c r="G9" s="50">
        <v>11.886258528558491</v>
      </c>
      <c r="H9" s="50">
        <v>17534.111201090232</v>
      </c>
      <c r="I9" s="50">
        <v>14.120603055445313</v>
      </c>
      <c r="J9" s="50">
        <v>62770.17077362218</v>
      </c>
    </row>
    <row r="10" spans="2:10">
      <c r="B10" s="49" t="s">
        <v>182</v>
      </c>
      <c r="C10" s="51">
        <v>79.930000000000007</v>
      </c>
      <c r="D10" s="52"/>
      <c r="E10" s="51">
        <v>53.36</v>
      </c>
      <c r="F10" s="52"/>
      <c r="G10" s="51">
        <v>49.86</v>
      </c>
      <c r="H10" s="52"/>
      <c r="I10" s="51">
        <v>10</v>
      </c>
      <c r="J10" s="52"/>
    </row>
    <row r="12" spans="2:10" ht="15.75">
      <c r="B12" s="43" t="s">
        <v>183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172</v>
      </c>
      <c r="C13" s="46" t="s">
        <v>173</v>
      </c>
      <c r="D13" s="46"/>
      <c r="E13" s="46" t="s">
        <v>174</v>
      </c>
      <c r="F13" s="46"/>
      <c r="G13" s="46" t="s">
        <v>175</v>
      </c>
      <c r="H13" s="46"/>
      <c r="I13" s="46" t="s">
        <v>176</v>
      </c>
      <c r="J13" s="46"/>
    </row>
    <row r="14" spans="2:10" ht="63.75">
      <c r="B14" s="47"/>
      <c r="C14" s="48" t="s">
        <v>177</v>
      </c>
      <c r="D14" s="48" t="s">
        <v>178</v>
      </c>
      <c r="E14" s="48" t="s">
        <v>177</v>
      </c>
      <c r="F14" s="48" t="s">
        <v>178</v>
      </c>
      <c r="G14" s="48" t="s">
        <v>177</v>
      </c>
      <c r="H14" s="48" t="s">
        <v>178</v>
      </c>
      <c r="I14" s="48" t="s">
        <v>177</v>
      </c>
      <c r="J14" s="48" t="s">
        <v>178</v>
      </c>
    </row>
    <row r="15" spans="2:10">
      <c r="B15" s="49" t="s">
        <v>179</v>
      </c>
      <c r="C15" s="50">
        <v>1.2381393196019275</v>
      </c>
      <c r="D15" s="50">
        <v>10123.813931960194</v>
      </c>
      <c r="E15" s="50">
        <v>15.717552189263229</v>
      </c>
      <c r="F15" s="50">
        <v>15501.417434443656</v>
      </c>
      <c r="G15" s="50">
        <v>11.032607036772779</v>
      </c>
      <c r="H15" s="50">
        <v>16880.185220914529</v>
      </c>
      <c r="I15" s="50">
        <v>13.825239088509056</v>
      </c>
      <c r="J15" s="50">
        <v>37293.265132139808</v>
      </c>
    </row>
    <row r="16" spans="2:10">
      <c r="B16" s="49" t="s">
        <v>180</v>
      </c>
      <c r="C16" s="50">
        <v>-5.4415425124634158</v>
      </c>
      <c r="D16" s="50">
        <v>9455.845748753658</v>
      </c>
      <c r="E16" s="50">
        <v>18.402247669298255</v>
      </c>
      <c r="F16" s="50">
        <v>16598.92033055241</v>
      </c>
      <c r="G16" s="50">
        <v>12.185462325996511</v>
      </c>
      <c r="H16" s="50">
        <v>17769.815156013807</v>
      </c>
      <c r="I16" s="50">
        <v>14.728378369743655</v>
      </c>
      <c r="J16" s="50">
        <v>40412.661998355499</v>
      </c>
    </row>
    <row r="17" spans="2:10">
      <c r="B17" s="49" t="s">
        <v>181</v>
      </c>
      <c r="C17" s="50">
        <v>4.2705236324582341</v>
      </c>
      <c r="D17" s="50">
        <v>10427.052363245823</v>
      </c>
      <c r="E17" s="50">
        <v>16.977100801067714</v>
      </c>
      <c r="F17" s="50">
        <v>16006.727826404724</v>
      </c>
      <c r="G17" s="50">
        <v>11.886258528558491</v>
      </c>
      <c r="H17" s="50">
        <v>17534.111201090232</v>
      </c>
      <c r="I17" s="50">
        <v>12.436075240682577</v>
      </c>
      <c r="J17" s="50">
        <v>32917.347421583596</v>
      </c>
    </row>
    <row r="18" spans="2:10">
      <c r="B18" s="49" t="s">
        <v>184</v>
      </c>
      <c r="C18" s="51">
        <v>86.42</v>
      </c>
      <c r="D18" s="52"/>
      <c r="E18" s="51">
        <v>56.44</v>
      </c>
      <c r="F18" s="52"/>
      <c r="G18" s="51">
        <v>51.83</v>
      </c>
      <c r="H18" s="52"/>
      <c r="I18" s="51">
        <v>23.46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TEF-Risk-O-Meter &amp; Performance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2023-03-01T10:10:53Z</dcterms:created>
  <dcterms:modified xsi:type="dcterms:W3CDTF">2023-03-09T10:48:36Z</dcterms:modified>
</cp:coreProperties>
</file>