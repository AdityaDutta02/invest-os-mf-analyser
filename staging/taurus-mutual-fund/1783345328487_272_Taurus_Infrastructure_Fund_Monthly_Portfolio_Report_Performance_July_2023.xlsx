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u HDD Data\Taurus\Monthly Portfolio\2023\July 2023\"/>
    </mc:Choice>
  </mc:AlternateContent>
  <xr:revisionPtr revIDLastSave="0" documentId="13_ncr:1_{7A7F4A01-FD09-4F73-8AE2-7DA2F4D76AEF}" xr6:coauthVersionLast="47" xr6:coauthVersionMax="47" xr10:uidLastSave="{00000000-0000-0000-0000-000000000000}"/>
  <bookViews>
    <workbookView xWindow="-120" yWindow="-120" windowWidth="20730" windowHeight="11160" xr2:uid="{2834A9FA-9D7D-4162-9F57-91DC5C8D949D}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Performance'!$C$8:$C$33</definedName>
    <definedName name="XDO_?FINAL_ISIN?7?">'TISF-Risk-O-Meter &amp; Performance'!$D$10:$D$33</definedName>
    <definedName name="XDO_?FINAL_ISIN?8?">'TISF-Risk-O-Meter &amp; Performance'!$D$10:$D$75</definedName>
    <definedName name="XDO_?FINAL_MV?7?">'TISF-Risk-O-Meter &amp; Performance'!$H$10:$H$33</definedName>
    <definedName name="XDO_?FINAL_MV?8?">'TISF-Risk-O-Meter &amp; Performance'!$H$10:$H$75</definedName>
    <definedName name="XDO_?FINAL_NAME?7?">'TISF-Risk-O-Meter &amp; Performance'!$C$10:$C$33</definedName>
    <definedName name="XDO_?FINAL_NAME?8?">'TISF-Risk-O-Meter &amp; Performance'!$C$10:$C$75</definedName>
    <definedName name="XDO_?FINAL_PER_NET?7?">'TISF-Risk-O-Meter &amp; Performance'!$I$10:$I$33</definedName>
    <definedName name="XDO_?FINAL_PER_NET?8?">'TISF-Risk-O-Meter &amp; Performance'!$I$10:$I$75</definedName>
    <definedName name="XDO_?FINAL_QUANTITE?7?">'TISF-Risk-O-Meter &amp; Performance'!$G$10:$G$33</definedName>
    <definedName name="XDO_?FINAL_QUANTITE?8?">'TISF-Risk-O-Meter &amp; Performance'!$G$10:$G$75</definedName>
    <definedName name="XDO_?IND_01?7?">'TISF-Risk-O-Meter &amp; Performance'!$F$10:$F$33</definedName>
    <definedName name="XDO_?IND_01?8?">'TISF-Risk-O-Meter &amp; Performance'!$F$10:$F$75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Performance'!$C$2:$C$33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Performance'!$B$10:$B$33</definedName>
    <definedName name="XDO_?NOVAL?8?">'TISF-Risk-O-Meter &amp; Performance'!$B$10:$B$75</definedName>
    <definedName name="XDO_?NPTF?4?">'TISF-Risk-O-Meter &amp; Performance'!$D$2:$D$33</definedName>
    <definedName name="XDO_?RATING?7?">'TISF-Risk-O-Meter &amp; Performance'!$E$10:$E$33</definedName>
    <definedName name="XDO_?RATING?8?">'TISF-Risk-O-Meter &amp; Performance'!$E$10:$E$75</definedName>
    <definedName name="XDO_?REMARKS?7?">'TISF-Risk-O-Meter &amp; Performance'!$J$10:$J$33</definedName>
    <definedName name="XDO_?REMARKS?8?">'TISF-Risk-O-Meter &amp; Performance'!$J$10:$J$75</definedName>
    <definedName name="XDO_?TITL?4?">'TISF-Risk-O-Meter &amp; Performance'!$A$8:$A$33</definedName>
    <definedName name="XDO_GROUP_?G_2?4?">'TISF-Risk-O-Meter &amp; Performance'!$2:$78</definedName>
    <definedName name="XDO_GROUP_?G_3?4?">'TISF-Risk-O-Meter &amp; Performance'!$8:$77</definedName>
    <definedName name="XDO_GROUP_?G_4?7?">'TISF-Risk-O-Meter &amp; Performance'!$B$10:$IV$33</definedName>
    <definedName name="XDO_GROUP_?G_4?8?">'TISF-Risk-O-Meter &amp; Performance'!$B$75:$IV$75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" i="1" l="1"/>
</calcChain>
</file>

<file path=xl/sharedStrings.xml><?xml version="1.0" encoding="utf-8"?>
<sst xmlns="http://schemas.openxmlformats.org/spreadsheetml/2006/main" count="209" uniqueCount="147">
  <si>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</si>
  <si>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</si>
  <si>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</si>
  <si>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</si>
  <si>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</si>
  <si>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</si>
  <si>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</si>
  <si>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</si>
  <si>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</si>
  <si>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</si>
  <si>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</si>
  <si>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</si>
  <si>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</si>
  <si>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</si>
  <si>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</si>
  <si>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</si>
  <si>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</si>
  <si>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</si>
  <si>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</si>
  <si>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</si>
  <si>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</si>
  <si>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</si>
  <si>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</si>
  <si>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</si>
  <si>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</si>
  <si>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</si>
  <si>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</si>
  <si>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100006</t>
  </si>
  <si>
    <t>HDFC Bank Ltd.</t>
  </si>
  <si>
    <t>INE040A01034</t>
  </si>
  <si>
    <t>Banks</t>
  </si>
  <si>
    <t>100281</t>
  </si>
  <si>
    <t>Century Textiles &amp; Industries Ltd.</t>
  </si>
  <si>
    <t>INE055A01016</t>
  </si>
  <si>
    <t>Paper, Forest &amp; Jute Products</t>
  </si>
  <si>
    <t>100719</t>
  </si>
  <si>
    <t>Mayur Uniquoters Ltd.</t>
  </si>
  <si>
    <t>INE040D01038</t>
  </si>
  <si>
    <t>Consumer Durables</t>
  </si>
  <si>
    <t>100258</t>
  </si>
  <si>
    <t>Arvind Ltd.</t>
  </si>
  <si>
    <t>INE034A01011</t>
  </si>
  <si>
    <t>Textiles &amp; Apparels</t>
  </si>
  <si>
    <t>100177</t>
  </si>
  <si>
    <t>Grasim Industries Ltd.</t>
  </si>
  <si>
    <t>INE047A01021</t>
  </si>
  <si>
    <t>Cement &amp; Cement Products</t>
  </si>
  <si>
    <t>101883</t>
  </si>
  <si>
    <t>Anant Raj Ltd.</t>
  </si>
  <si>
    <t>INE242C01024</t>
  </si>
  <si>
    <t>Realty</t>
  </si>
  <si>
    <t>100181</t>
  </si>
  <si>
    <t>NTPC Ltd.</t>
  </si>
  <si>
    <t>INE733E01010</t>
  </si>
  <si>
    <t>Power</t>
  </si>
  <si>
    <t>100752</t>
  </si>
  <si>
    <t>Praj Industries Ltd.</t>
  </si>
  <si>
    <t>INE074A01025</t>
  </si>
  <si>
    <t>Industrial Manufacturing</t>
  </si>
  <si>
    <t>100194</t>
  </si>
  <si>
    <t>Power Finance Corporation Ltd.</t>
  </si>
  <si>
    <t>INE134E01011</t>
  </si>
  <si>
    <t>Finance</t>
  </si>
  <si>
    <t>100302</t>
  </si>
  <si>
    <t>DLF Ltd.</t>
  </si>
  <si>
    <t>INE271C01023</t>
  </si>
  <si>
    <t>101718</t>
  </si>
  <si>
    <t>Faze Three Ltd.</t>
  </si>
  <si>
    <t>INE963C01033</t>
  </si>
  <si>
    <t>100082</t>
  </si>
  <si>
    <t>Ultratech Cement Ltd.</t>
  </si>
  <si>
    <t>INE481G01011</t>
  </si>
  <si>
    <t>101348</t>
  </si>
  <si>
    <t>Ami Organics Ltd.</t>
  </si>
  <si>
    <t>INE00FF01017</t>
  </si>
  <si>
    <t>Pharmaceuticals &amp; Biotechnology</t>
  </si>
  <si>
    <t>101800</t>
  </si>
  <si>
    <t>Hindware Home Innovation Ltd.</t>
  </si>
  <si>
    <t>INE05AN01011</t>
  </si>
  <si>
    <t>100180</t>
  </si>
  <si>
    <t>Hindalco Industries Ltd.</t>
  </si>
  <si>
    <t>INE038A01020</t>
  </si>
  <si>
    <t>Non - Ferrous Metals</t>
  </si>
  <si>
    <t>101306</t>
  </si>
  <si>
    <t>Apollo Pipes Ltd.</t>
  </si>
  <si>
    <t>INE126J01016</t>
  </si>
  <si>
    <t>Industrial Products</t>
  </si>
  <si>
    <t>100090</t>
  </si>
  <si>
    <t>Bharat Forge Ltd.</t>
  </si>
  <si>
    <t>INE465A01025</t>
  </si>
  <si>
    <t>100843</t>
  </si>
  <si>
    <t>Dalmia Bharat Ltd.</t>
  </si>
  <si>
    <t>INE00R701025</t>
  </si>
  <si>
    <t>100720</t>
  </si>
  <si>
    <t>Indian Metals &amp; Ferro Alloys Ltd.</t>
  </si>
  <si>
    <t>INE919H01018</t>
  </si>
  <si>
    <t>Ferrous Metals</t>
  </si>
  <si>
    <t>101889</t>
  </si>
  <si>
    <t>Jio Financial Services Ltd.</t>
  </si>
  <si>
    <t>INE758E01017</t>
  </si>
  <si>
    <t>A**</t>
  </si>
  <si>
    <t>101848</t>
  </si>
  <si>
    <t>Shipping Corporation of India Land and Assets Ltd.</t>
  </si>
  <si>
    <t>INE0PB301013</t>
  </si>
  <si>
    <t>Transport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</si>
  <si>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</si>
  <si>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</si>
  <si>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</si>
  <si>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</si>
  <si>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</si>
  <si>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</si>
  <si>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</si>
  <si>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</si>
  <si>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</si>
  <si>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</si>
  <si>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</si>
  <si>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</si>
  <si>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</si>
  <si>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</si>
  <si>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</si>
  <si>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</si>
  <si>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</si>
  <si>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</si>
  <si>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</si>
  <si>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</si>
  <si>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</si>
  <si>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</si>
  <si>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</si>
  <si>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</si>
  <si>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</si>
  <si>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</si>
  <si>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</si>
  <si>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</si>
  <si>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</si>
  <si>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</si>
  <si>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</si>
  <si>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</si>
  <si>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</si>
  <si>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</si>
  <si>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</si>
  <si>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</si>
  <si>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</si>
  <si>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</si>
  <si>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</si>
  <si>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July 31, 2023 : 46.80)</t>
  </si>
  <si>
    <t>Taurus Infrastructure Fund - Direct Plan Growth Option</t>
  </si>
  <si>
    <t>NAV [Rs.] Per Unit (as on July 31, 2023 : 49.77)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</si>
</sst>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DC1C0BD-46AB-44F8-9AAD-E5CE27F32B08}"/>
    <cellStyle name="Hyperlink" xfId="2" builtinId="8"/>
    <cellStyle name="Normal" xfId="0" builtinId="0"/>
    <cellStyle name="Normal 2" xfId="4" xr:uid="{75744A92-81FE-4925-A4D5-3ACF9009B37F}"/>
    <cellStyle name="Style 1" xfId="3" xr:uid="{74AD2CB3-75DE-40EE-8D6D-99CF11E92C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3F929E78-8953-4362-8EE8-6E6D9E941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uly%2023\Client%20Report\TMF_Monthly_Portfolio_Report_Jul%2023.xls" TargetMode="External"/><Relationship Id="rId1" Type="http://schemas.openxmlformats.org/officeDocument/2006/relationships/externalLinkPath" Target="TMF_Monthly_Portfolio_Report_Jul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ED7B-D805-47E6-93CB-C59E800CD9F9}">
  <dimension ref="A1:BB84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1750</v>
      </c>
      <c r="H10" s="32">
        <v>44.59</v>
      </c>
      <c r="I10" s="32">
        <v>7.07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4900</v>
      </c>
      <c r="H11" s="32">
        <v>43.62</v>
      </c>
      <c r="I11" s="32">
        <v>6.91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1600</v>
      </c>
      <c r="H12" s="32">
        <v>42.88</v>
      </c>
      <c r="I12" s="32">
        <v>6.79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2225</v>
      </c>
      <c r="H13" s="32">
        <v>36.74</v>
      </c>
      <c r="I13" s="32">
        <v>5.82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3350</v>
      </c>
      <c r="H14" s="32">
        <v>36.049999999999997</v>
      </c>
      <c r="I14" s="32">
        <v>5.71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6450</v>
      </c>
      <c r="H15" s="32">
        <v>33.53</v>
      </c>
      <c r="I15" s="32">
        <v>5.31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22500</v>
      </c>
      <c r="H16" s="32">
        <v>31.03</v>
      </c>
      <c r="I16" s="32">
        <v>4.92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1650</v>
      </c>
      <c r="H17" s="32">
        <v>30.52</v>
      </c>
      <c r="I17" s="32">
        <v>4.84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15000</v>
      </c>
      <c r="H18" s="32">
        <v>30.17</v>
      </c>
      <c r="I18" s="32">
        <v>4.78</v>
      </c>
      <c r="J18" s="33"/>
    </row>
    <row r="19" spans="2:10" x14ac:dyDescent="0.25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13800</v>
      </c>
      <c r="H19" s="32">
        <v>30.15</v>
      </c>
      <c r="I19" s="32">
        <v>4.78</v>
      </c>
      <c r="J19" s="33"/>
    </row>
    <row r="20" spans="2:10" x14ac:dyDescent="0.25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6986</v>
      </c>
      <c r="H20" s="32">
        <v>29.87</v>
      </c>
      <c r="I20" s="32">
        <v>4.7300000000000004</v>
      </c>
      <c r="J20" s="33"/>
    </row>
    <row r="21" spans="2:10" x14ac:dyDescent="0.25">
      <c r="B21" s="1" t="s">
        <v>59</v>
      </c>
      <c r="C21" s="20" t="s">
        <v>60</v>
      </c>
      <c r="D21" s="29" t="s">
        <v>61</v>
      </c>
      <c r="E21" s="30"/>
      <c r="F21" s="30" t="s">
        <v>62</v>
      </c>
      <c r="G21" s="31">
        <v>9725</v>
      </c>
      <c r="H21" s="32">
        <v>25.42</v>
      </c>
      <c r="I21" s="32">
        <v>4.03</v>
      </c>
      <c r="J21" s="33"/>
    </row>
    <row r="22" spans="2:10" x14ac:dyDescent="0.25">
      <c r="B22" s="1" t="s">
        <v>63</v>
      </c>
      <c r="C22" s="20" t="s">
        <v>64</v>
      </c>
      <c r="D22" s="29" t="s">
        <v>65</v>
      </c>
      <c r="E22" s="30"/>
      <c r="F22" s="30" t="s">
        <v>50</v>
      </c>
      <c r="G22" s="31">
        <v>4771</v>
      </c>
      <c r="H22" s="32">
        <v>24.74</v>
      </c>
      <c r="I22" s="32">
        <v>3.92</v>
      </c>
      <c r="J22" s="33"/>
    </row>
    <row r="23" spans="2:10" x14ac:dyDescent="0.25">
      <c r="B23" s="1" t="s">
        <v>66</v>
      </c>
      <c r="C23" s="20" t="s">
        <v>67</v>
      </c>
      <c r="D23" s="29" t="s">
        <v>68</v>
      </c>
      <c r="E23" s="30"/>
      <c r="F23" s="30" t="s">
        <v>42</v>
      </c>
      <c r="G23" s="31">
        <v>6500</v>
      </c>
      <c r="H23" s="32">
        <v>23.99</v>
      </c>
      <c r="I23" s="32">
        <v>3.8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46</v>
      </c>
      <c r="G24" s="31">
        <v>280</v>
      </c>
      <c r="H24" s="32">
        <v>23.28</v>
      </c>
      <c r="I24" s="32">
        <v>3.69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1950</v>
      </c>
      <c r="H25" s="32">
        <v>22.33</v>
      </c>
      <c r="I25" s="32">
        <v>3.54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38</v>
      </c>
      <c r="G26" s="31">
        <v>3418</v>
      </c>
      <c r="H26" s="32">
        <v>21.81</v>
      </c>
      <c r="I26" s="32">
        <v>3.46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4092</v>
      </c>
      <c r="H27" s="32">
        <v>18.920000000000002</v>
      </c>
      <c r="I27" s="32">
        <v>3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2500</v>
      </c>
      <c r="H28" s="32">
        <v>18.04</v>
      </c>
      <c r="I28" s="32">
        <v>2.86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86</v>
      </c>
      <c r="G29" s="31">
        <v>1937</v>
      </c>
      <c r="H29" s="32">
        <v>18.04</v>
      </c>
      <c r="I29" s="32">
        <v>2.86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46</v>
      </c>
      <c r="G30" s="31">
        <v>820</v>
      </c>
      <c r="H30" s="32">
        <v>16.03</v>
      </c>
      <c r="I30" s="32">
        <v>2.54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3800</v>
      </c>
      <c r="H31" s="32">
        <v>13.71</v>
      </c>
      <c r="I31" s="32">
        <v>2.17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62</v>
      </c>
      <c r="G32" s="31">
        <v>1750</v>
      </c>
      <c r="H32" s="32">
        <v>4.3899999999999997</v>
      </c>
      <c r="I32" s="32">
        <v>0.7</v>
      </c>
      <c r="J32" s="33" t="s">
        <v>100</v>
      </c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4000</v>
      </c>
      <c r="H33" s="32">
        <v>1.06</v>
      </c>
      <c r="I33" s="32">
        <v>0.17</v>
      </c>
      <c r="J33" s="33" t="s">
        <v>100</v>
      </c>
    </row>
    <row r="34" spans="2:10" x14ac:dyDescent="0.25">
      <c r="C34" s="28" t="s">
        <v>105</v>
      </c>
      <c r="D34" s="29"/>
      <c r="E34" s="30"/>
      <c r="F34" s="30"/>
      <c r="G34" s="31"/>
      <c r="H34" s="35">
        <v>620.91</v>
      </c>
      <c r="I34" s="35">
        <v>98.4</v>
      </c>
      <c r="J34" s="33"/>
    </row>
    <row r="35" spans="2:10" x14ac:dyDescent="0.25">
      <c r="C35" s="20"/>
      <c r="D35" s="29"/>
      <c r="E35" s="30"/>
      <c r="F35" s="30"/>
      <c r="G35" s="31"/>
      <c r="H35" s="32"/>
      <c r="I35" s="32"/>
      <c r="J35" s="33"/>
    </row>
    <row r="36" spans="2:10" x14ac:dyDescent="0.25">
      <c r="C36" s="28" t="s">
        <v>106</v>
      </c>
      <c r="D36" s="29"/>
      <c r="E36" s="30"/>
      <c r="F36" s="30"/>
      <c r="G36" s="31"/>
      <c r="H36" s="32" t="s">
        <v>107</v>
      </c>
      <c r="I36" s="32" t="s">
        <v>107</v>
      </c>
      <c r="J36" s="33"/>
    </row>
    <row r="37" spans="2:10" x14ac:dyDescent="0.25">
      <c r="C37" s="20"/>
      <c r="D37" s="29"/>
      <c r="E37" s="30"/>
      <c r="F37" s="30"/>
      <c r="G37" s="31"/>
      <c r="H37" s="32"/>
      <c r="I37" s="32"/>
      <c r="J37" s="33"/>
    </row>
    <row r="38" spans="2:10" x14ac:dyDescent="0.25">
      <c r="C38" s="28" t="s">
        <v>108</v>
      </c>
      <c r="D38" s="29"/>
      <c r="E38" s="30"/>
      <c r="F38" s="30"/>
      <c r="G38" s="31"/>
      <c r="H38" s="32" t="s">
        <v>107</v>
      </c>
      <c r="I38" s="32" t="s">
        <v>107</v>
      </c>
      <c r="J38" s="33"/>
    </row>
    <row r="39" spans="2:10" x14ac:dyDescent="0.25">
      <c r="C39" s="20"/>
      <c r="D39" s="29"/>
      <c r="E39" s="30"/>
      <c r="F39" s="30"/>
      <c r="G39" s="31"/>
      <c r="H39" s="32"/>
      <c r="I39" s="32"/>
      <c r="J39" s="33"/>
    </row>
    <row r="40" spans="2:10" x14ac:dyDescent="0.25">
      <c r="C40" s="28" t="s">
        <v>109</v>
      </c>
      <c r="D40" s="29"/>
      <c r="E40" s="30"/>
      <c r="F40" s="30"/>
      <c r="G40" s="31"/>
      <c r="H40" s="32"/>
      <c r="I40" s="32"/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110</v>
      </c>
      <c r="D42" s="29"/>
      <c r="E42" s="30"/>
      <c r="F42" s="30"/>
      <c r="G42" s="31"/>
      <c r="H42" s="32" t="s">
        <v>107</v>
      </c>
      <c r="I42" s="32" t="s">
        <v>107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111</v>
      </c>
      <c r="D44" s="29"/>
      <c r="E44" s="30"/>
      <c r="F44" s="30"/>
      <c r="G44" s="31"/>
      <c r="H44" s="32" t="s">
        <v>107</v>
      </c>
      <c r="I44" s="32" t="s">
        <v>107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112</v>
      </c>
      <c r="D46" s="29"/>
      <c r="E46" s="30"/>
      <c r="F46" s="30"/>
      <c r="G46" s="31"/>
      <c r="H46" s="32" t="s">
        <v>107</v>
      </c>
      <c r="I46" s="32" t="s">
        <v>107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113</v>
      </c>
      <c r="D48" s="29"/>
      <c r="E48" s="30"/>
      <c r="F48" s="30"/>
      <c r="G48" s="31"/>
      <c r="H48" s="32" t="s">
        <v>107</v>
      </c>
      <c r="I48" s="32" t="s">
        <v>107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114</v>
      </c>
      <c r="D50" s="29"/>
      <c r="E50" s="30"/>
      <c r="F50" s="30"/>
      <c r="G50" s="31"/>
      <c r="H50" s="32" t="s">
        <v>107</v>
      </c>
      <c r="I50" s="32" t="s">
        <v>107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115</v>
      </c>
      <c r="D52" s="29"/>
      <c r="E52" s="30"/>
      <c r="F52" s="30"/>
      <c r="G52" s="31"/>
      <c r="H52" s="32"/>
      <c r="I52" s="32"/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116</v>
      </c>
      <c r="D54" s="29"/>
      <c r="E54" s="30"/>
      <c r="F54" s="30"/>
      <c r="G54" s="31"/>
      <c r="H54" s="32" t="s">
        <v>107</v>
      </c>
      <c r="I54" s="32" t="s">
        <v>107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117</v>
      </c>
      <c r="D56" s="29"/>
      <c r="E56" s="30"/>
      <c r="F56" s="30"/>
      <c r="G56" s="31"/>
      <c r="H56" s="32" t="s">
        <v>107</v>
      </c>
      <c r="I56" s="32" t="s">
        <v>107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118</v>
      </c>
      <c r="D58" s="29"/>
      <c r="E58" s="30"/>
      <c r="F58" s="30"/>
      <c r="G58" s="31"/>
      <c r="H58" s="32" t="s">
        <v>107</v>
      </c>
      <c r="I58" s="32" t="s">
        <v>107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119</v>
      </c>
      <c r="D60" s="29"/>
      <c r="E60" s="30"/>
      <c r="F60" s="30"/>
      <c r="G60" s="31"/>
      <c r="H60" s="32" t="s">
        <v>107</v>
      </c>
      <c r="I60" s="32" t="s">
        <v>107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120</v>
      </c>
      <c r="D62" s="29"/>
      <c r="E62" s="30"/>
      <c r="F62" s="30"/>
      <c r="G62" s="31"/>
      <c r="H62" s="32"/>
      <c r="I62" s="32"/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121</v>
      </c>
      <c r="D64" s="29"/>
      <c r="E64" s="30"/>
      <c r="F64" s="30"/>
      <c r="G64" s="31"/>
      <c r="H64" s="32" t="s">
        <v>107</v>
      </c>
      <c r="I64" s="32" t="s">
        <v>107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122</v>
      </c>
      <c r="D66" s="29"/>
      <c r="E66" s="30"/>
      <c r="F66" s="30"/>
      <c r="G66" s="31"/>
      <c r="H66" s="32" t="s">
        <v>107</v>
      </c>
      <c r="I66" s="32" t="s">
        <v>107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123</v>
      </c>
      <c r="D68" s="29"/>
      <c r="E68" s="30"/>
      <c r="F68" s="30"/>
      <c r="G68" s="31"/>
      <c r="H68" s="32" t="s">
        <v>107</v>
      </c>
      <c r="I68" s="32" t="s">
        <v>107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C70" s="28" t="s">
        <v>124</v>
      </c>
      <c r="D70" s="29"/>
      <c r="E70" s="30"/>
      <c r="F70" s="30"/>
      <c r="G70" s="31"/>
      <c r="H70" s="32" t="s">
        <v>107</v>
      </c>
      <c r="I70" s="32" t="s">
        <v>107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x14ac:dyDescent="0.25">
      <c r="C72" s="28" t="s">
        <v>125</v>
      </c>
      <c r="D72" s="29"/>
      <c r="E72" s="30"/>
      <c r="F72" s="30"/>
      <c r="G72" s="31"/>
      <c r="H72" s="32" t="s">
        <v>107</v>
      </c>
      <c r="I72" s="32" t="s">
        <v>107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x14ac:dyDescent="0.25">
      <c r="A74" s="26"/>
      <c r="B74" s="27"/>
      <c r="C74" s="28" t="s">
        <v>126</v>
      </c>
      <c r="D74" s="29"/>
      <c r="E74" s="30"/>
      <c r="F74" s="30"/>
      <c r="G74" s="31"/>
      <c r="H74" s="32"/>
      <c r="I74" s="32"/>
      <c r="J74" s="33"/>
    </row>
    <row r="75" spans="1:10" x14ac:dyDescent="0.25">
      <c r="B75" s="1"/>
      <c r="C75" s="20" t="s">
        <v>127</v>
      </c>
      <c r="D75" s="29"/>
      <c r="E75" s="30"/>
      <c r="F75" s="30"/>
      <c r="G75" s="31"/>
      <c r="H75" s="32">
        <v>10.15</v>
      </c>
      <c r="I75" s="32">
        <v>1.6</v>
      </c>
      <c r="J75" s="33"/>
    </row>
    <row r="76" spans="1:10" x14ac:dyDescent="0.25">
      <c r="C76" s="28" t="s">
        <v>105</v>
      </c>
      <c r="D76" s="29"/>
      <c r="E76" s="30"/>
      <c r="F76" s="30"/>
      <c r="G76" s="31"/>
      <c r="H76" s="35">
        <v>10.15</v>
      </c>
      <c r="I76" s="35">
        <v>1.6</v>
      </c>
      <c r="J76" s="33"/>
    </row>
    <row r="77" spans="1:10" x14ac:dyDescent="0.25">
      <c r="C77" s="20"/>
      <c r="D77" s="29"/>
      <c r="E77" s="30"/>
      <c r="F77" s="30"/>
      <c r="G77" s="31"/>
      <c r="H77" s="32"/>
      <c r="I77" s="32"/>
      <c r="J77" s="33"/>
    </row>
    <row r="78" spans="1:10" ht="14.25" thickBot="1" x14ac:dyDescent="0.3">
      <c r="C78" s="36" t="s">
        <v>128</v>
      </c>
      <c r="D78" s="37"/>
      <c r="E78" s="38"/>
      <c r="F78" s="39"/>
      <c r="G78" s="40"/>
      <c r="H78" s="41">
        <v>631.05999999999995</v>
      </c>
      <c r="I78" s="41">
        <f>SUMIFS(I:I,C:C,"Total")</f>
        <v>100</v>
      </c>
      <c r="J78" s="42"/>
    </row>
    <row r="81" spans="3:3" x14ac:dyDescent="0.25">
      <c r="C81" s="11" t="s">
        <v>129</v>
      </c>
    </row>
    <row r="82" spans="3:3" x14ac:dyDescent="0.25">
      <c r="C82" s="2" t="s">
        <v>130</v>
      </c>
    </row>
    <row r="83" spans="3:3" x14ac:dyDescent="0.25">
      <c r="C83" s="2" t="s">
        <v>131</v>
      </c>
    </row>
    <row r="84" spans="3:3" x14ac:dyDescent="0.25">
      <c r="C84" s="2" t="s">
        <v>132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8B4F-5442-42FF-A91F-743925FCCEA7}">
  <dimension ref="B4:J18"/>
  <sheetViews>
    <sheetView workbookViewId="0">
      <selection activeCell="A4" sqref="A4"/>
    </sheetView>
  </sheetViews>
  <sheetFormatPr defaultRowHeight="15" x14ac:dyDescent="0.25"/>
  <cols>
    <col min="2" max="2" width="46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75" x14ac:dyDescent="0.25">
      <c r="B4" s="43" t="s">
        <v>133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134</v>
      </c>
      <c r="C5" s="46" t="s">
        <v>135</v>
      </c>
      <c r="D5" s="46"/>
      <c r="E5" s="46" t="s">
        <v>136</v>
      </c>
      <c r="F5" s="46"/>
      <c r="G5" s="46" t="s">
        <v>137</v>
      </c>
      <c r="H5" s="46"/>
      <c r="I5" s="46" t="s">
        <v>138</v>
      </c>
      <c r="J5" s="46"/>
    </row>
    <row r="6" spans="2:10" ht="63.75" x14ac:dyDescent="0.25">
      <c r="B6" s="47"/>
      <c r="C6" s="48" t="s">
        <v>139</v>
      </c>
      <c r="D6" s="48" t="s">
        <v>140</v>
      </c>
      <c r="E6" s="48" t="s">
        <v>139</v>
      </c>
      <c r="F6" s="48" t="s">
        <v>140</v>
      </c>
      <c r="G6" s="48" t="s">
        <v>139</v>
      </c>
      <c r="H6" s="48" t="s">
        <v>140</v>
      </c>
      <c r="I6" s="48" t="s">
        <v>139</v>
      </c>
      <c r="J6" s="48" t="s">
        <v>140</v>
      </c>
    </row>
    <row r="7" spans="2:10" x14ac:dyDescent="0.25">
      <c r="B7" s="49" t="s">
        <v>141</v>
      </c>
      <c r="C7" s="50">
        <v>22.028127724999248</v>
      </c>
      <c r="D7" s="50">
        <v>12216.131558339857</v>
      </c>
      <c r="E7" s="50">
        <v>26.73667060195708</v>
      </c>
      <c r="F7" s="50">
        <v>20356.676816006959</v>
      </c>
      <c r="G7" s="50">
        <v>12.20975312927024</v>
      </c>
      <c r="H7" s="50">
        <v>17794.676806083648</v>
      </c>
      <c r="I7" s="50">
        <v>9.8552745462228586</v>
      </c>
      <c r="J7" s="50">
        <v>46800</v>
      </c>
    </row>
    <row r="8" spans="2:10" x14ac:dyDescent="0.25">
      <c r="B8" s="49" t="s">
        <v>142</v>
      </c>
      <c r="C8" s="50">
        <v>25.728784536497695</v>
      </c>
      <c r="D8" s="50">
        <v>12572.87845364977</v>
      </c>
      <c r="E8" s="50">
        <v>26.328144396630737</v>
      </c>
      <c r="F8" s="50">
        <v>20160.455992225307</v>
      </c>
      <c r="G8" s="50">
        <v>15.9617496126498</v>
      </c>
      <c r="H8" s="50">
        <v>20968.810577381559</v>
      </c>
      <c r="I8" s="50">
        <v>6.1027969880138144</v>
      </c>
      <c r="J8" s="50">
        <v>26444.962802399696</v>
      </c>
    </row>
    <row r="9" spans="2:10" x14ac:dyDescent="0.25">
      <c r="B9" s="49" t="s">
        <v>143</v>
      </c>
      <c r="C9" s="50">
        <v>16.184790485396093</v>
      </c>
      <c r="D9" s="50">
        <v>11618.47904853961</v>
      </c>
      <c r="E9" s="50">
        <v>22.712795144557418</v>
      </c>
      <c r="F9" s="50">
        <v>18478.620471015642</v>
      </c>
      <c r="G9" s="50">
        <v>13.019737732339532</v>
      </c>
      <c r="H9" s="50">
        <v>18440.448341042771</v>
      </c>
      <c r="I9" s="50">
        <v>12.303468572505704</v>
      </c>
      <c r="J9" s="50">
        <v>67185.626033688488</v>
      </c>
    </row>
    <row r="10" spans="2:10" x14ac:dyDescent="0.25">
      <c r="B10" s="49" t="s">
        <v>144</v>
      </c>
      <c r="C10" s="51">
        <v>38.31</v>
      </c>
      <c r="D10" s="52"/>
      <c r="E10" s="51">
        <v>22.99</v>
      </c>
      <c r="F10" s="52"/>
      <c r="G10" s="51">
        <v>26.3</v>
      </c>
      <c r="H10" s="52"/>
      <c r="I10" s="51">
        <v>10</v>
      </c>
      <c r="J10" s="52"/>
    </row>
    <row r="12" spans="2:10" ht="15.75" x14ac:dyDescent="0.25">
      <c r="B12" s="43" t="s">
        <v>145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134</v>
      </c>
      <c r="C13" s="46" t="s">
        <v>135</v>
      </c>
      <c r="D13" s="46"/>
      <c r="E13" s="46" t="s">
        <v>136</v>
      </c>
      <c r="F13" s="46"/>
      <c r="G13" s="46" t="s">
        <v>137</v>
      </c>
      <c r="H13" s="46"/>
      <c r="I13" s="46" t="s">
        <v>138</v>
      </c>
      <c r="J13" s="46"/>
    </row>
    <row r="14" spans="2:10" ht="63.75" x14ac:dyDescent="0.25">
      <c r="B14" s="47"/>
      <c r="C14" s="48" t="s">
        <v>139</v>
      </c>
      <c r="D14" s="48" t="s">
        <v>140</v>
      </c>
      <c r="E14" s="48" t="s">
        <v>139</v>
      </c>
      <c r="F14" s="48" t="s">
        <v>140</v>
      </c>
      <c r="G14" s="48" t="s">
        <v>139</v>
      </c>
      <c r="H14" s="48" t="s">
        <v>140</v>
      </c>
      <c r="I14" s="48" t="s">
        <v>139</v>
      </c>
      <c r="J14" s="48" t="s">
        <v>140</v>
      </c>
    </row>
    <row r="15" spans="2:10" x14ac:dyDescent="0.25">
      <c r="B15" s="49" t="s">
        <v>141</v>
      </c>
      <c r="C15" s="50">
        <v>22.60040225064348</v>
      </c>
      <c r="D15" s="50">
        <v>12273.736128236746</v>
      </c>
      <c r="E15" s="50">
        <v>27.292682773249808</v>
      </c>
      <c r="F15" s="50">
        <v>20625.77704102777</v>
      </c>
      <c r="G15" s="50">
        <v>12.671745856133176</v>
      </c>
      <c r="H15" s="50">
        <v>18164.233576642338</v>
      </c>
      <c r="I15" s="50">
        <v>13.673665737323626</v>
      </c>
      <c r="J15" s="50">
        <v>38822.152886115444</v>
      </c>
    </row>
    <row r="16" spans="2:10" x14ac:dyDescent="0.25">
      <c r="B16" s="49" t="s">
        <v>142</v>
      </c>
      <c r="C16" s="50">
        <v>25.728784536497695</v>
      </c>
      <c r="D16" s="50">
        <v>12572.87845364977</v>
      </c>
      <c r="E16" s="50">
        <v>26.328144396630737</v>
      </c>
      <c r="F16" s="50">
        <v>20160.455992225307</v>
      </c>
      <c r="G16" s="50">
        <v>15.9617496126498</v>
      </c>
      <c r="H16" s="50">
        <v>20968.810577381559</v>
      </c>
      <c r="I16" s="50">
        <v>9.9539327655667762</v>
      </c>
      <c r="J16" s="50">
        <v>27299.626094040508</v>
      </c>
    </row>
    <row r="17" spans="2:10" x14ac:dyDescent="0.25">
      <c r="B17" s="49" t="s">
        <v>143</v>
      </c>
      <c r="C17" s="50">
        <v>16.184790485396093</v>
      </c>
      <c r="D17" s="50">
        <v>11618.47904853961</v>
      </c>
      <c r="E17" s="50">
        <v>22.712795144557418</v>
      </c>
      <c r="F17" s="50">
        <v>18478.620471015642</v>
      </c>
      <c r="G17" s="50">
        <v>13.019737732339532</v>
      </c>
      <c r="H17" s="50">
        <v>18440.448341042771</v>
      </c>
      <c r="I17" s="50">
        <v>13.383864389264488</v>
      </c>
      <c r="J17" s="50">
        <v>37787.361354730587</v>
      </c>
    </row>
    <row r="18" spans="2:10" x14ac:dyDescent="0.25">
      <c r="B18" s="49" t="s">
        <v>146</v>
      </c>
      <c r="C18" s="51">
        <v>40.549999999999997</v>
      </c>
      <c r="D18" s="52"/>
      <c r="E18" s="51">
        <v>24.13</v>
      </c>
      <c r="F18" s="52"/>
      <c r="G18" s="51">
        <v>27.4</v>
      </c>
      <c r="H18" s="52"/>
      <c r="I18" s="51">
        <v>12.82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2023-08-02T10:03:01Z</dcterms:created>
  <dcterms:modified xsi:type="dcterms:W3CDTF">2023-08-09T07:20:33Z</dcterms:modified>
</cp:coreProperties>
</file>