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3256" windowHeight="13176"/>
  </bookViews>
  <sheets>
    <sheet name="TDF-Risk-O-Meter &amp; Portfolio" sheetId="1" r:id="rId1"/>
    <sheet name="TDF-Performance" sheetId="2" r:id="rId2"/>
  </sheets>
  <externalReferences>
    <externalReference r:id="rId3"/>
  </externalReferences>
  <definedNames>
    <definedName name="XDO_?CLASS_3?2?">'TDF-Risk-O-Meter &amp; Portfolio'!$C$8:$C$47</definedName>
    <definedName name="XDO_?FINAL_ISIN?3?">'TDF-Risk-O-Meter &amp; Portfolio'!$D$10:$D$47</definedName>
    <definedName name="XDO_?FINAL_ISIN?4?">'TDF-Risk-O-Meter &amp; Portfolio'!$D$10:$D$89</definedName>
    <definedName name="XDO_?FINAL_MV?3?">'TDF-Risk-O-Meter &amp; Portfolio'!$H$10:$H$47</definedName>
    <definedName name="XDO_?FINAL_MV?4?">'TDF-Risk-O-Meter &amp; Portfolio'!$H$10:$H$89</definedName>
    <definedName name="XDO_?FINAL_NAME?3?">'TDF-Risk-O-Meter &amp; Portfolio'!$C$10:$C$47</definedName>
    <definedName name="XDO_?FINAL_NAME?4?">'TDF-Risk-O-Meter &amp; Portfolio'!$C$10:$C$89</definedName>
    <definedName name="XDO_?FINAL_PER_NET?3?">'TDF-Risk-O-Meter &amp; Portfolio'!$I$10:$I$47</definedName>
    <definedName name="XDO_?FINAL_PER_NET?4?">'TDF-Risk-O-Meter &amp; Portfolio'!$I$10:$I$89</definedName>
    <definedName name="XDO_?FINAL_QUANTITE?3?">'TDF-Risk-O-Meter &amp; Portfolio'!$G$10:$G$47</definedName>
    <definedName name="XDO_?FINAL_QUANTITE?4?">'TDF-Risk-O-Meter &amp; Portfolio'!$G$10:$G$89</definedName>
    <definedName name="XDO_?IND_01?3?">'TDF-Risk-O-Meter &amp; Portfolio'!$F$10:$F$47</definedName>
    <definedName name="XDO_?IND_01?4?">'TDF-Risk-O-Meter &amp; Portfolio'!$F$10:$F$89</definedName>
    <definedName name="XDO_?NAMC?">[1]TBF!#REF!</definedName>
    <definedName name="XDO_?NAMC?1?">[1]TBFS!#REF!</definedName>
    <definedName name="XDO_?NAMC?2?">'TDF-Risk-O-Meter &amp; Portfolio'!#REF!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'TDF-Risk-O-Meter &amp; Portfolio'!$C$2:$C$47</definedName>
    <definedName name="XDO_?NDATE?">[1]TBF!#REF!</definedName>
    <definedName name="XDO_?NDATE?1?">[1]TBFS!#REF!</definedName>
    <definedName name="XDO_?NDATE?2?">'TDF-Risk-O-Meter &amp; Portfolio'!#REF!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'TDF-Risk-O-Meter &amp; Portfolio'!#REF!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'TDF-Risk-O-Meter &amp; Portfolio'!$B$10:$B$47</definedName>
    <definedName name="XDO_?NOVAL?4?">'TDF-Risk-O-Meter &amp; Portfolio'!$B$10:$B$89</definedName>
    <definedName name="XDO_?NPTF?2?">'TDF-Risk-O-Meter &amp; Portfolio'!$D$2:$D$47</definedName>
    <definedName name="XDO_?RATING?3?">'TDF-Risk-O-Meter &amp; Portfolio'!$E$10:$E$47</definedName>
    <definedName name="XDO_?RATING?4?">'TDF-Risk-O-Meter &amp; Portfolio'!$E$10:$E$89</definedName>
    <definedName name="XDO_?REMARKS?3?">'TDF-Risk-O-Meter &amp; Portfolio'!$J$10:$J$47</definedName>
    <definedName name="XDO_?REMARKS?4?">'TDF-Risk-O-Meter &amp; Portfolio'!$J$10:$J$89</definedName>
    <definedName name="XDO_?TITL?2?">'TDF-Risk-O-Meter &amp; Portfolio'!$A$8:$A$47</definedName>
    <definedName name="XDO_GROUP_?G_2?2?">'TDF-Risk-O-Meter &amp; Portfolio'!$2:$92</definedName>
    <definedName name="XDO_GROUP_?G_3?2?">'TDF-Risk-O-Meter &amp; Portfolio'!$8:$91</definedName>
    <definedName name="XDO_GROUP_?G_4?3?">'TDF-Risk-O-Meter &amp; Portfolio'!$B$10:$IV$47</definedName>
    <definedName name="XDO_GROUP_?G_4?4?">'TDF-Risk-O-Meter &amp; Portfolio'!$B$89:$IV$89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2" i="1"/>
</calcChain>
</file>

<file path=xl/sharedStrings.xml><?xml version="1.0" encoding="utf-8"?>
<sst xmlns="http://schemas.openxmlformats.org/spreadsheetml/2006/main" count="264" uniqueCount="192">
  <si>
    <t>TAURUS MUTUAL FUND</t>
  </si>
  <si>
    <t>TDF</t>
  </si>
  <si>
    <t>SCHEME NAME :</t>
  </si>
  <si>
    <t>Taurus Discovery (Midcap)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</si>
  <si>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</si>
  <si>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</si>
  <si>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</si>
  <si>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</si>
  <si>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</si>
  <si>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</si>
  <si>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</si>
  <si>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</si>
  <si>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</si>
  <si>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</si>
  <si>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</si>
  <si>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101348</t>
  </si>
  <si>
    <t>Ami Organics Ltd.</t>
  </si>
  <si>
    <t>INE00FF01017</t>
  </si>
  <si>
    <t>Pharmaceuticals &amp; Biotechnology</t>
  </si>
  <si>
    <t>100398</t>
  </si>
  <si>
    <t>Aditya Birla Fashion and Retail Ltd.</t>
  </si>
  <si>
    <t>INE647O01011</t>
  </si>
  <si>
    <t>Retailing</t>
  </si>
  <si>
    <t>100281</t>
  </si>
  <si>
    <t>Century Textiles &amp; Industries Ltd.</t>
  </si>
  <si>
    <t>INE055A01016</t>
  </si>
  <si>
    <t>Paper, Forest &amp; Jute Products</t>
  </si>
  <si>
    <t>100476</t>
  </si>
  <si>
    <t>Caplin Point Laboratories Ltd.</t>
  </si>
  <si>
    <t>INE475E01026</t>
  </si>
  <si>
    <t>100325</t>
  </si>
  <si>
    <t>Bajaj Holdings &amp; Investment Ltd.</t>
  </si>
  <si>
    <t>INE118A01012</t>
  </si>
  <si>
    <t>Finance</t>
  </si>
  <si>
    <t>100371</t>
  </si>
  <si>
    <t>Sun TV Network Ltd.</t>
  </si>
  <si>
    <t>INE424H01027</t>
  </si>
  <si>
    <t>Entertainment</t>
  </si>
  <si>
    <t>100055</t>
  </si>
  <si>
    <t>The Federal Bank Ltd.</t>
  </si>
  <si>
    <t>INE171A01029</t>
  </si>
  <si>
    <t>Banks</t>
  </si>
  <si>
    <t>100740</t>
  </si>
  <si>
    <t>Sterlite Technologies Ltd.</t>
  </si>
  <si>
    <t>INE089C01029</t>
  </si>
  <si>
    <t>Telecom - Services</t>
  </si>
  <si>
    <t>100719</t>
  </si>
  <si>
    <t>Mayur Uniquoters Ltd.</t>
  </si>
  <si>
    <t>INE040D01038</t>
  </si>
  <si>
    <t>Consumer Durables</t>
  </si>
  <si>
    <t>101522</t>
  </si>
  <si>
    <t>Hariom Pipe Industries Ltd.</t>
  </si>
  <si>
    <t>INE00EV01017</t>
  </si>
  <si>
    <t>Industrial Products</t>
  </si>
  <si>
    <t>100843</t>
  </si>
  <si>
    <t>Dalmia Bharat Ltd.</t>
  </si>
  <si>
    <t>INE00R701025</t>
  </si>
  <si>
    <t>Cement &amp; Cement Products</t>
  </si>
  <si>
    <t>100435</t>
  </si>
  <si>
    <t>Crompton Greaves Consumer Electricals Ltd.</t>
  </si>
  <si>
    <t>INE299U01018</t>
  </si>
  <si>
    <t>100161</t>
  </si>
  <si>
    <t>Cummins India Ltd.</t>
  </si>
  <si>
    <t>INE298A01020</t>
  </si>
  <si>
    <t>100570</t>
  </si>
  <si>
    <t>K.P.R. Mill Ltd.</t>
  </si>
  <si>
    <t>INE930H01031</t>
  </si>
  <si>
    <t>Textiles &amp; Apparels</t>
  </si>
  <si>
    <t>101152</t>
  </si>
  <si>
    <t>Sumitomo Chemical India Ltd.</t>
  </si>
  <si>
    <t>INE258G01013</t>
  </si>
  <si>
    <t>Fertilizers &amp; Agrochemicals</t>
  </si>
  <si>
    <t>101412</t>
  </si>
  <si>
    <t>Punjab Chemicals &amp; Crop Protection Ltd.</t>
  </si>
  <si>
    <t>INE277B01014</t>
  </si>
  <si>
    <t>100090</t>
  </si>
  <si>
    <t>Bharat Forge Ltd.</t>
  </si>
  <si>
    <t>INE465A01025</t>
  </si>
  <si>
    <t>100122</t>
  </si>
  <si>
    <t>Union Bank of India</t>
  </si>
  <si>
    <t>INE692A01016</t>
  </si>
  <si>
    <t>100271</t>
  </si>
  <si>
    <t>Balkrishna Industries Ltd.</t>
  </si>
  <si>
    <t>INE787D01026</t>
  </si>
  <si>
    <t>Auto Components</t>
  </si>
  <si>
    <t>100116</t>
  </si>
  <si>
    <t>Sundaram Finance Ltd.</t>
  </si>
  <si>
    <t>INE660A01013</t>
  </si>
  <si>
    <t>100234</t>
  </si>
  <si>
    <t>Coforge Ltd.</t>
  </si>
  <si>
    <t>INE591G01017</t>
  </si>
  <si>
    <t>IT - Software</t>
  </si>
  <si>
    <t>100088</t>
  </si>
  <si>
    <t>Bharat Heavy Electricals Ltd.</t>
  </si>
  <si>
    <t>INE257A01026</t>
  </si>
  <si>
    <t>Electrical Equipment</t>
  </si>
  <si>
    <t>100068</t>
  </si>
  <si>
    <t>Kansai Nerolac Paints Ltd.</t>
  </si>
  <si>
    <t>INE531A01024</t>
  </si>
  <si>
    <t>100461</t>
  </si>
  <si>
    <t>Astral Limited</t>
  </si>
  <si>
    <t>INE006I01046</t>
  </si>
  <si>
    <t>101415</t>
  </si>
  <si>
    <t>HINDUSTAN OIL EXPLORATION CO.LTD.</t>
  </si>
  <si>
    <t>INE345A01011</t>
  </si>
  <si>
    <t>Oil</t>
  </si>
  <si>
    <t>100026</t>
  </si>
  <si>
    <t>Persistent Systems Ltd.</t>
  </si>
  <si>
    <t>INE262H01013</t>
  </si>
  <si>
    <t>100260</t>
  </si>
  <si>
    <t>Solar Industries India Ltd.</t>
  </si>
  <si>
    <t>INE343H01029</t>
  </si>
  <si>
    <t>Chemicals &amp; Petrochemicals</t>
  </si>
  <si>
    <t>100050</t>
  </si>
  <si>
    <t>Trent Ltd.</t>
  </si>
  <si>
    <t>INE849A01020</t>
  </si>
  <si>
    <t>100284</t>
  </si>
  <si>
    <t>Dr. Lal Path labs Ltd.</t>
  </si>
  <si>
    <t>INE600L01024</t>
  </si>
  <si>
    <t>Healthcare Services</t>
  </si>
  <si>
    <t>100114</t>
  </si>
  <si>
    <t>Shriram Transport Finance Company Ltd.</t>
  </si>
  <si>
    <t>INE721A01013</t>
  </si>
  <si>
    <t>100144</t>
  </si>
  <si>
    <t>Voltas Ltd.</t>
  </si>
  <si>
    <t>INE226A01021</t>
  </si>
  <si>
    <t>100235</t>
  </si>
  <si>
    <t>CRISIL Ltd.</t>
  </si>
  <si>
    <t>INE007A01025</t>
  </si>
  <si>
    <t>100143</t>
  </si>
  <si>
    <t>Thermax Ltd.</t>
  </si>
  <si>
    <t>INE152A01029</t>
  </si>
  <si>
    <t>100056</t>
  </si>
  <si>
    <t>Supreme Industries Ltd.</t>
  </si>
  <si>
    <t>INE195A01028</t>
  </si>
  <si>
    <t>100665</t>
  </si>
  <si>
    <t>Aditya Birla Capital Ltd.</t>
  </si>
  <si>
    <t>INE674K01013</t>
  </si>
  <si>
    <t>Insurance</t>
  </si>
  <si>
    <t>100222</t>
  </si>
  <si>
    <t>The Indian Hotels Company Ltd.</t>
  </si>
  <si>
    <t>INE053A01029</t>
  </si>
  <si>
    <t>Leisure Services</t>
  </si>
  <si>
    <t>101574</t>
  </si>
  <si>
    <t>Linde India Ltd.</t>
  </si>
  <si>
    <t>INE473A01011</t>
  </si>
  <si>
    <t>100471</t>
  </si>
  <si>
    <t>Endurance Technologies Ltd.</t>
  </si>
  <si>
    <t>INE913H01037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</si>
  <si>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</si>
  <si>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</si>
  <si>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</si>
  <si>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</si>
  <si>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</si>
  <si>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</si>
  <si>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</si>
  <si>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</si>
  <si>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</si>
  <si>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</si>
  <si>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</si>
  <si>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</si>
  <si>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</si>
  <si>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</si>
  <si>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</si>
  <si>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</si>
  <si>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</si>
  <si>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</si>
  <si>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</si>
  <si>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</si>
  <si>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</si>
  <si>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</si>
  <si>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</si>
  <si>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</si>
  <si>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</si>
  <si>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</si>
  <si>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</si>
  <si>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</si>
  <si>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Discovery (Midcap)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</si>
  <si>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</si>
  <si>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</si>
  <si>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</si>
  <si>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</si>
  <si>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</si>
  <si>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</si>
  <si>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</si>
  <si>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</si>
  <si>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</si>
  <si>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Nifty 50 TRI (Additional Benchmark)</t>
  </si>
  <si>
    <t>NAV [Rs.] Per Unit (as on September 30, 2022 : 73.66)</t>
  </si>
  <si>
    <t>Taurus Discovery (Midcap) Fund-Direct Plan-Growth Option</t>
  </si>
  <si>
    <t>NAV [Rs.] Per Unit (as on September 30, 2022 : 76.94)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</si>
  <si>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Nifty Midcap 150 TRI is not available for inception date of Taurus Discovery (Midcap) Fund 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</si>
</sst>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25400</xdr:colOff>
      <xdr:row>0</xdr:row>
      <xdr:rowOff>0</xdr:rowOff>
    </xdr:from>
    <xdr:to>
      <xdr:col>5</xdr:col>
      <xdr:colOff>115147</xdr:colOff>
      <xdr:row>0</xdr:row>
      <xdr:rowOff>2167128</xdr:rowOff>
    </xdr:to>
    <xdr:pic>
      <xdr:nvPicPr>
        <xdr:cNvPr id="2" name="Picture 1" descr="Taurus Discovery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3200" y="0"/>
          <a:ext cx="7040880" cy="21671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2184400</xdr:rowOff>
    </xdr:from>
    <xdr:to>
      <xdr:col>5</xdr:col>
      <xdr:colOff>89747</xdr:colOff>
      <xdr:row>0</xdr:row>
      <xdr:rowOff>4473448</xdr:rowOff>
    </xdr:to>
    <xdr:pic>
      <xdr:nvPicPr>
        <xdr:cNvPr id="3" name="Picture 2" descr="for half yearly - Taurus Discovery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2184400"/>
          <a:ext cx="7040880" cy="22890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September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98"/>
  <sheetViews>
    <sheetView showGridLines="0" tabSelected="1" zoomScale="90" zoomScaleNormal="90" workbookViewId="0">
      <selection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75.6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44834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40750</v>
      </c>
      <c r="H10" s="32">
        <v>371.9</v>
      </c>
      <c r="I10" s="32">
        <v>4.93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98000</v>
      </c>
      <c r="H11" s="32">
        <v>342.17</v>
      </c>
      <c r="I11" s="32">
        <v>4.54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41000</v>
      </c>
      <c r="H12" s="32">
        <v>333.15</v>
      </c>
      <c r="I12" s="32">
        <v>4.42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39000</v>
      </c>
      <c r="H13" s="32">
        <v>290.58999999999997</v>
      </c>
      <c r="I13" s="32">
        <v>3.86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4500</v>
      </c>
      <c r="H14" s="32">
        <v>287.60000000000002</v>
      </c>
      <c r="I14" s="32">
        <v>3.82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54000</v>
      </c>
      <c r="H15" s="32">
        <v>274.75</v>
      </c>
      <c r="I15" s="32">
        <v>3.65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225000</v>
      </c>
      <c r="H16" s="32">
        <v>266.85000000000002</v>
      </c>
      <c r="I16" s="32">
        <v>3.54</v>
      </c>
      <c r="J16" s="33"/>
    </row>
    <row r="17" spans="2:10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156000</v>
      </c>
      <c r="H17" s="32">
        <v>256.54000000000002</v>
      </c>
      <c r="I17" s="32">
        <v>3.4</v>
      </c>
      <c r="J17" s="33"/>
    </row>
    <row r="18" spans="2:10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51000</v>
      </c>
      <c r="H18" s="32">
        <v>248.75</v>
      </c>
      <c r="I18" s="32">
        <v>3.3</v>
      </c>
      <c r="J18" s="33"/>
    </row>
    <row r="19" spans="2:10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95000</v>
      </c>
      <c r="H19" s="32">
        <v>244.34</v>
      </c>
      <c r="I19" s="32">
        <v>3.24</v>
      </c>
      <c r="J19" s="33"/>
    </row>
    <row r="20" spans="2:10">
      <c r="B20" s="1" t="s">
        <v>54</v>
      </c>
      <c r="C20" s="20" t="s">
        <v>55</v>
      </c>
      <c r="D20" s="29" t="s">
        <v>56</v>
      </c>
      <c r="E20" s="30"/>
      <c r="F20" s="30" t="s">
        <v>57</v>
      </c>
      <c r="G20" s="31">
        <v>15000</v>
      </c>
      <c r="H20" s="32">
        <v>239.83</v>
      </c>
      <c r="I20" s="32">
        <v>3.18</v>
      </c>
      <c r="J20" s="33"/>
    </row>
    <row r="21" spans="2:10">
      <c r="B21" s="1" t="s">
        <v>58</v>
      </c>
      <c r="C21" s="20" t="s">
        <v>59</v>
      </c>
      <c r="D21" s="29" t="s">
        <v>60</v>
      </c>
      <c r="E21" s="30"/>
      <c r="F21" s="30" t="s">
        <v>49</v>
      </c>
      <c r="G21" s="31">
        <v>56500</v>
      </c>
      <c r="H21" s="32">
        <v>232.64</v>
      </c>
      <c r="I21" s="32">
        <v>3.09</v>
      </c>
      <c r="J21" s="33"/>
    </row>
    <row r="22" spans="2:10">
      <c r="B22" s="1" t="s">
        <v>61</v>
      </c>
      <c r="C22" s="20" t="s">
        <v>62</v>
      </c>
      <c r="D22" s="29" t="s">
        <v>63</v>
      </c>
      <c r="E22" s="30"/>
      <c r="F22" s="30" t="s">
        <v>53</v>
      </c>
      <c r="G22" s="31">
        <v>19000</v>
      </c>
      <c r="H22" s="32">
        <v>227.15</v>
      </c>
      <c r="I22" s="32">
        <v>3.01</v>
      </c>
      <c r="J22" s="33"/>
    </row>
    <row r="23" spans="2:10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40550</v>
      </c>
      <c r="H23" s="32">
        <v>217.27</v>
      </c>
      <c r="I23" s="32">
        <v>2.88</v>
      </c>
      <c r="J23" s="33"/>
    </row>
    <row r="24" spans="2:10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43000</v>
      </c>
      <c r="H24" s="32">
        <v>216.25</v>
      </c>
      <c r="I24" s="32">
        <v>2.87</v>
      </c>
      <c r="J24" s="33"/>
    </row>
    <row r="25" spans="2:10">
      <c r="B25" s="1" t="s">
        <v>72</v>
      </c>
      <c r="C25" s="20" t="s">
        <v>73</v>
      </c>
      <c r="D25" s="29" t="s">
        <v>74</v>
      </c>
      <c r="E25" s="30"/>
      <c r="F25" s="30" t="s">
        <v>71</v>
      </c>
      <c r="G25" s="31">
        <v>16500</v>
      </c>
      <c r="H25" s="32">
        <v>202.67</v>
      </c>
      <c r="I25" s="32">
        <v>2.69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53</v>
      </c>
      <c r="G26" s="31">
        <v>29000</v>
      </c>
      <c r="H26" s="32">
        <v>201.67</v>
      </c>
      <c r="I26" s="32">
        <v>2.68</v>
      </c>
      <c r="J26" s="33"/>
    </row>
    <row r="27" spans="2:10">
      <c r="B27" s="1" t="s">
        <v>78</v>
      </c>
      <c r="C27" s="20" t="s">
        <v>79</v>
      </c>
      <c r="D27" s="29" t="s">
        <v>80</v>
      </c>
      <c r="E27" s="30"/>
      <c r="F27" s="30" t="s">
        <v>41</v>
      </c>
      <c r="G27" s="31">
        <v>450000</v>
      </c>
      <c r="H27" s="32">
        <v>201.15</v>
      </c>
      <c r="I27" s="32">
        <v>2.67</v>
      </c>
      <c r="J27" s="33"/>
    </row>
    <row r="28" spans="2:10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10650</v>
      </c>
      <c r="H28" s="32">
        <v>200.68</v>
      </c>
      <c r="I28" s="32">
        <v>2.66</v>
      </c>
      <c r="J28" s="33"/>
    </row>
    <row r="29" spans="2:10">
      <c r="B29" s="1" t="s">
        <v>85</v>
      </c>
      <c r="C29" s="20" t="s">
        <v>86</v>
      </c>
      <c r="D29" s="29" t="s">
        <v>87</v>
      </c>
      <c r="E29" s="30"/>
      <c r="F29" s="30" t="s">
        <v>33</v>
      </c>
      <c r="G29" s="31">
        <v>8775</v>
      </c>
      <c r="H29" s="32">
        <v>198.17</v>
      </c>
      <c r="I29" s="32">
        <v>2.63</v>
      </c>
      <c r="J29" s="33"/>
    </row>
    <row r="30" spans="2:10">
      <c r="B30" s="1" t="s">
        <v>88</v>
      </c>
      <c r="C30" s="20" t="s">
        <v>89</v>
      </c>
      <c r="D30" s="29" t="s">
        <v>90</v>
      </c>
      <c r="E30" s="30"/>
      <c r="F30" s="30" t="s">
        <v>91</v>
      </c>
      <c r="G30" s="31">
        <v>5750</v>
      </c>
      <c r="H30" s="32">
        <v>193.27</v>
      </c>
      <c r="I30" s="32">
        <v>2.56</v>
      </c>
      <c r="J30" s="33"/>
    </row>
    <row r="31" spans="2:10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321096</v>
      </c>
      <c r="H31" s="32">
        <v>192.18</v>
      </c>
      <c r="I31" s="32">
        <v>2.5499999999999998</v>
      </c>
      <c r="J31" s="33"/>
    </row>
    <row r="32" spans="2:10">
      <c r="B32" s="1" t="s">
        <v>96</v>
      </c>
      <c r="C32" s="20" t="s">
        <v>97</v>
      </c>
      <c r="D32" s="29" t="s">
        <v>98</v>
      </c>
      <c r="E32" s="30"/>
      <c r="F32" s="30" t="s">
        <v>49</v>
      </c>
      <c r="G32" s="31">
        <v>39000</v>
      </c>
      <c r="H32" s="32">
        <v>191.47</v>
      </c>
      <c r="I32" s="32">
        <v>2.54</v>
      </c>
      <c r="J32" s="33"/>
    </row>
    <row r="33" spans="2:10">
      <c r="B33" s="1" t="s">
        <v>99</v>
      </c>
      <c r="C33" s="20" t="s">
        <v>100</v>
      </c>
      <c r="D33" s="29" t="s">
        <v>101</v>
      </c>
      <c r="E33" s="30"/>
      <c r="F33" s="30" t="s">
        <v>53</v>
      </c>
      <c r="G33" s="31">
        <v>8500</v>
      </c>
      <c r="H33" s="32">
        <v>189.68</v>
      </c>
      <c r="I33" s="32">
        <v>2.52</v>
      </c>
      <c r="J33" s="33"/>
    </row>
    <row r="34" spans="2:10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139000</v>
      </c>
      <c r="H34" s="32">
        <v>185.15</v>
      </c>
      <c r="I34" s="32">
        <v>2.46</v>
      </c>
      <c r="J34" s="33"/>
    </row>
    <row r="35" spans="2:10">
      <c r="B35" s="1" t="s">
        <v>106</v>
      </c>
      <c r="C35" s="20" t="s">
        <v>107</v>
      </c>
      <c r="D35" s="29" t="s">
        <v>108</v>
      </c>
      <c r="E35" s="30"/>
      <c r="F35" s="30" t="s">
        <v>91</v>
      </c>
      <c r="G35" s="31">
        <v>5600</v>
      </c>
      <c r="H35" s="32">
        <v>181.39</v>
      </c>
      <c r="I35" s="32">
        <v>2.41</v>
      </c>
      <c r="J35" s="33"/>
    </row>
    <row r="36" spans="2:10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4000</v>
      </c>
      <c r="H36" s="32">
        <v>156.84</v>
      </c>
      <c r="I36" s="32">
        <v>2.08</v>
      </c>
      <c r="J36" s="33"/>
    </row>
    <row r="37" spans="2:10">
      <c r="B37" s="1" t="s">
        <v>113</v>
      </c>
      <c r="C37" s="20" t="s">
        <v>114</v>
      </c>
      <c r="D37" s="29" t="s">
        <v>115</v>
      </c>
      <c r="E37" s="30"/>
      <c r="F37" s="30" t="s">
        <v>22</v>
      </c>
      <c r="G37" s="31">
        <v>11000</v>
      </c>
      <c r="H37" s="32">
        <v>155.97999999999999</v>
      </c>
      <c r="I37" s="32">
        <v>2.0699999999999998</v>
      </c>
      <c r="J37" s="33"/>
    </row>
    <row r="38" spans="2:10">
      <c r="B38" s="1" t="s">
        <v>116</v>
      </c>
      <c r="C38" s="20" t="s">
        <v>117</v>
      </c>
      <c r="D38" s="29" t="s">
        <v>118</v>
      </c>
      <c r="E38" s="30"/>
      <c r="F38" s="30" t="s">
        <v>119</v>
      </c>
      <c r="G38" s="31">
        <v>6150</v>
      </c>
      <c r="H38" s="32">
        <v>155.06</v>
      </c>
      <c r="I38" s="32">
        <v>2.06</v>
      </c>
      <c r="J38" s="33"/>
    </row>
    <row r="39" spans="2:10">
      <c r="B39" s="1" t="s">
        <v>120</v>
      </c>
      <c r="C39" s="20" t="s">
        <v>121</v>
      </c>
      <c r="D39" s="29" t="s">
        <v>122</v>
      </c>
      <c r="E39" s="30"/>
      <c r="F39" s="30" t="s">
        <v>33</v>
      </c>
      <c r="G39" s="31">
        <v>11450</v>
      </c>
      <c r="H39" s="32">
        <v>136.80000000000001</v>
      </c>
      <c r="I39" s="32">
        <v>1.82</v>
      </c>
      <c r="J39" s="33"/>
    </row>
    <row r="40" spans="2:10">
      <c r="B40" s="1" t="s">
        <v>123</v>
      </c>
      <c r="C40" s="20" t="s">
        <v>124</v>
      </c>
      <c r="D40" s="29" t="s">
        <v>125</v>
      </c>
      <c r="E40" s="30"/>
      <c r="F40" s="30" t="s">
        <v>49</v>
      </c>
      <c r="G40" s="31">
        <v>14100</v>
      </c>
      <c r="H40" s="32">
        <v>127.8</v>
      </c>
      <c r="I40" s="32">
        <v>1.7</v>
      </c>
      <c r="J40" s="33"/>
    </row>
    <row r="41" spans="2:10">
      <c r="B41" s="1" t="s">
        <v>126</v>
      </c>
      <c r="C41" s="20" t="s">
        <v>127</v>
      </c>
      <c r="D41" s="29" t="s">
        <v>128</v>
      </c>
      <c r="E41" s="30"/>
      <c r="F41" s="30" t="s">
        <v>33</v>
      </c>
      <c r="G41" s="31">
        <v>3700</v>
      </c>
      <c r="H41" s="32">
        <v>120.76</v>
      </c>
      <c r="I41" s="32">
        <v>1.6</v>
      </c>
      <c r="J41" s="33"/>
    </row>
    <row r="42" spans="2:10">
      <c r="B42" s="1" t="s">
        <v>129</v>
      </c>
      <c r="C42" s="20" t="s">
        <v>130</v>
      </c>
      <c r="D42" s="29" t="s">
        <v>131</v>
      </c>
      <c r="E42" s="30"/>
      <c r="F42" s="30" t="s">
        <v>95</v>
      </c>
      <c r="G42" s="31">
        <v>5000</v>
      </c>
      <c r="H42" s="32">
        <v>108.49</v>
      </c>
      <c r="I42" s="32">
        <v>1.44</v>
      </c>
      <c r="J42" s="33"/>
    </row>
    <row r="43" spans="2:10">
      <c r="B43" s="1" t="s">
        <v>132</v>
      </c>
      <c r="C43" s="20" t="s">
        <v>133</v>
      </c>
      <c r="D43" s="29" t="s">
        <v>134</v>
      </c>
      <c r="E43" s="30"/>
      <c r="F43" s="30" t="s">
        <v>53</v>
      </c>
      <c r="G43" s="31">
        <v>4750</v>
      </c>
      <c r="H43" s="32">
        <v>101.2</v>
      </c>
      <c r="I43" s="32">
        <v>1.34</v>
      </c>
      <c r="J43" s="33"/>
    </row>
    <row r="44" spans="2:10">
      <c r="B44" s="1" t="s">
        <v>135</v>
      </c>
      <c r="C44" s="20" t="s">
        <v>136</v>
      </c>
      <c r="D44" s="29" t="s">
        <v>137</v>
      </c>
      <c r="E44" s="30"/>
      <c r="F44" s="30" t="s">
        <v>138</v>
      </c>
      <c r="G44" s="31">
        <v>85000</v>
      </c>
      <c r="H44" s="32">
        <v>94.9</v>
      </c>
      <c r="I44" s="32">
        <v>1.26</v>
      </c>
      <c r="J44" s="33"/>
    </row>
    <row r="45" spans="2:10">
      <c r="B45" s="1" t="s">
        <v>139</v>
      </c>
      <c r="C45" s="20" t="s">
        <v>140</v>
      </c>
      <c r="D45" s="29" t="s">
        <v>141</v>
      </c>
      <c r="E45" s="30"/>
      <c r="F45" s="30" t="s">
        <v>142</v>
      </c>
      <c r="G45" s="31">
        <v>24000</v>
      </c>
      <c r="H45" s="32">
        <v>79.62</v>
      </c>
      <c r="I45" s="32">
        <v>1.06</v>
      </c>
      <c r="J45" s="33"/>
    </row>
    <row r="46" spans="2:10">
      <c r="B46" s="1" t="s">
        <v>143</v>
      </c>
      <c r="C46" s="20" t="s">
        <v>144</v>
      </c>
      <c r="D46" s="29" t="s">
        <v>145</v>
      </c>
      <c r="E46" s="30"/>
      <c r="F46" s="30" t="s">
        <v>112</v>
      </c>
      <c r="G46" s="31">
        <v>1575</v>
      </c>
      <c r="H46" s="32">
        <v>52.03</v>
      </c>
      <c r="I46" s="32">
        <v>0.69</v>
      </c>
      <c r="J46" s="33"/>
    </row>
    <row r="47" spans="2:10">
      <c r="B47" s="1" t="s">
        <v>146</v>
      </c>
      <c r="C47" s="20" t="s">
        <v>147</v>
      </c>
      <c r="D47" s="29" t="s">
        <v>148</v>
      </c>
      <c r="E47" s="30"/>
      <c r="F47" s="30" t="s">
        <v>84</v>
      </c>
      <c r="G47" s="31">
        <v>400</v>
      </c>
      <c r="H47" s="32">
        <v>5.67</v>
      </c>
      <c r="I47" s="32">
        <v>0.08</v>
      </c>
      <c r="J47" s="33"/>
    </row>
    <row r="48" spans="2:10">
      <c r="C48" s="28" t="s">
        <v>149</v>
      </c>
      <c r="D48" s="29"/>
      <c r="E48" s="30"/>
      <c r="F48" s="30"/>
      <c r="G48" s="31"/>
      <c r="H48" s="35">
        <v>7482.41</v>
      </c>
      <c r="I48" s="35">
        <v>99.3</v>
      </c>
      <c r="J48" s="33"/>
    </row>
    <row r="49" spans="3:10">
      <c r="C49" s="20"/>
      <c r="D49" s="29"/>
      <c r="E49" s="30"/>
      <c r="F49" s="30"/>
      <c r="G49" s="31"/>
      <c r="H49" s="32"/>
      <c r="I49" s="32"/>
      <c r="J49" s="33"/>
    </row>
    <row r="50" spans="3:10">
      <c r="C50" s="28" t="s">
        <v>150</v>
      </c>
      <c r="D50" s="29"/>
      <c r="E50" s="30"/>
      <c r="F50" s="30"/>
      <c r="G50" s="31"/>
      <c r="H50" s="32" t="s">
        <v>151</v>
      </c>
      <c r="I50" s="32" t="s">
        <v>151</v>
      </c>
      <c r="J50" s="33"/>
    </row>
    <row r="51" spans="3:10">
      <c r="C51" s="20"/>
      <c r="D51" s="29"/>
      <c r="E51" s="30"/>
      <c r="F51" s="30"/>
      <c r="G51" s="31"/>
      <c r="H51" s="32"/>
      <c r="I51" s="32"/>
      <c r="J51" s="33"/>
    </row>
    <row r="52" spans="3:10">
      <c r="C52" s="28" t="s">
        <v>152</v>
      </c>
      <c r="D52" s="29"/>
      <c r="E52" s="30"/>
      <c r="F52" s="30"/>
      <c r="G52" s="31"/>
      <c r="H52" s="32" t="s">
        <v>151</v>
      </c>
      <c r="I52" s="32" t="s">
        <v>151</v>
      </c>
      <c r="J52" s="33"/>
    </row>
    <row r="53" spans="3:10">
      <c r="C53" s="20"/>
      <c r="D53" s="29"/>
      <c r="E53" s="30"/>
      <c r="F53" s="30"/>
      <c r="G53" s="31"/>
      <c r="H53" s="32"/>
      <c r="I53" s="32"/>
      <c r="J53" s="33"/>
    </row>
    <row r="54" spans="3:10">
      <c r="C54" s="28" t="s">
        <v>153</v>
      </c>
      <c r="D54" s="29"/>
      <c r="E54" s="30"/>
      <c r="F54" s="30"/>
      <c r="G54" s="31"/>
      <c r="H54" s="32"/>
      <c r="I54" s="32"/>
      <c r="J54" s="33"/>
    </row>
    <row r="55" spans="3:10">
      <c r="C55" s="20"/>
      <c r="D55" s="29"/>
      <c r="E55" s="30"/>
      <c r="F55" s="30"/>
      <c r="G55" s="31"/>
      <c r="H55" s="32"/>
      <c r="I55" s="32"/>
      <c r="J55" s="33"/>
    </row>
    <row r="56" spans="3:10">
      <c r="C56" s="28" t="s">
        <v>154</v>
      </c>
      <c r="D56" s="29"/>
      <c r="E56" s="30"/>
      <c r="F56" s="30"/>
      <c r="G56" s="31"/>
      <c r="H56" s="32" t="s">
        <v>151</v>
      </c>
      <c r="I56" s="32" t="s">
        <v>151</v>
      </c>
      <c r="J56" s="33"/>
    </row>
    <row r="57" spans="3:10">
      <c r="C57" s="20"/>
      <c r="D57" s="29"/>
      <c r="E57" s="30"/>
      <c r="F57" s="30"/>
      <c r="G57" s="31"/>
      <c r="H57" s="32"/>
      <c r="I57" s="32"/>
      <c r="J57" s="33"/>
    </row>
    <row r="58" spans="3:10">
      <c r="C58" s="28" t="s">
        <v>155</v>
      </c>
      <c r="D58" s="29"/>
      <c r="E58" s="30"/>
      <c r="F58" s="30"/>
      <c r="G58" s="31"/>
      <c r="H58" s="32" t="s">
        <v>151</v>
      </c>
      <c r="I58" s="32" t="s">
        <v>151</v>
      </c>
      <c r="J58" s="33"/>
    </row>
    <row r="59" spans="3:10">
      <c r="C59" s="20"/>
      <c r="D59" s="29"/>
      <c r="E59" s="30"/>
      <c r="F59" s="30"/>
      <c r="G59" s="31"/>
      <c r="H59" s="32"/>
      <c r="I59" s="32"/>
      <c r="J59" s="33"/>
    </row>
    <row r="60" spans="3:10">
      <c r="C60" s="28" t="s">
        <v>156</v>
      </c>
      <c r="D60" s="29"/>
      <c r="E60" s="30"/>
      <c r="F60" s="30"/>
      <c r="G60" s="31"/>
      <c r="H60" s="32" t="s">
        <v>151</v>
      </c>
      <c r="I60" s="32" t="s">
        <v>151</v>
      </c>
      <c r="J60" s="33"/>
    </row>
    <row r="61" spans="3:10">
      <c r="C61" s="20"/>
      <c r="D61" s="29"/>
      <c r="E61" s="30"/>
      <c r="F61" s="30"/>
      <c r="G61" s="31"/>
      <c r="H61" s="32"/>
      <c r="I61" s="32"/>
      <c r="J61" s="33"/>
    </row>
    <row r="62" spans="3:10">
      <c r="C62" s="28" t="s">
        <v>157</v>
      </c>
      <c r="D62" s="29"/>
      <c r="E62" s="30"/>
      <c r="F62" s="30"/>
      <c r="G62" s="31"/>
      <c r="H62" s="32" t="s">
        <v>151</v>
      </c>
      <c r="I62" s="32" t="s">
        <v>151</v>
      </c>
      <c r="J62" s="33"/>
    </row>
    <row r="63" spans="3:10">
      <c r="C63" s="20"/>
      <c r="D63" s="29"/>
      <c r="E63" s="30"/>
      <c r="F63" s="30"/>
      <c r="G63" s="31"/>
      <c r="H63" s="32"/>
      <c r="I63" s="32"/>
      <c r="J63" s="33"/>
    </row>
    <row r="64" spans="3:10">
      <c r="C64" s="28" t="s">
        <v>158</v>
      </c>
      <c r="D64" s="29"/>
      <c r="E64" s="30"/>
      <c r="F64" s="30"/>
      <c r="G64" s="31"/>
      <c r="H64" s="32" t="s">
        <v>151</v>
      </c>
      <c r="I64" s="32" t="s">
        <v>151</v>
      </c>
      <c r="J64" s="33"/>
    </row>
    <row r="65" spans="3:10">
      <c r="C65" s="20"/>
      <c r="D65" s="29"/>
      <c r="E65" s="30"/>
      <c r="F65" s="30"/>
      <c r="G65" s="31"/>
      <c r="H65" s="32"/>
      <c r="I65" s="32"/>
      <c r="J65" s="33"/>
    </row>
    <row r="66" spans="3:10">
      <c r="C66" s="28" t="s">
        <v>159</v>
      </c>
      <c r="D66" s="29"/>
      <c r="E66" s="30"/>
      <c r="F66" s="30"/>
      <c r="G66" s="31"/>
      <c r="H66" s="32"/>
      <c r="I66" s="32"/>
      <c r="J66" s="33"/>
    </row>
    <row r="67" spans="3:10">
      <c r="C67" s="20"/>
      <c r="D67" s="29"/>
      <c r="E67" s="30"/>
      <c r="F67" s="30"/>
      <c r="G67" s="31"/>
      <c r="H67" s="32"/>
      <c r="I67" s="32"/>
      <c r="J67" s="33"/>
    </row>
    <row r="68" spans="3:10">
      <c r="C68" s="28" t="s">
        <v>160</v>
      </c>
      <c r="D68" s="29"/>
      <c r="E68" s="30"/>
      <c r="F68" s="30"/>
      <c r="G68" s="31"/>
      <c r="H68" s="32" t="s">
        <v>151</v>
      </c>
      <c r="I68" s="32" t="s">
        <v>151</v>
      </c>
      <c r="J68" s="33"/>
    </row>
    <row r="69" spans="3:10">
      <c r="C69" s="20"/>
      <c r="D69" s="29"/>
      <c r="E69" s="30"/>
      <c r="F69" s="30"/>
      <c r="G69" s="31"/>
      <c r="H69" s="32"/>
      <c r="I69" s="32"/>
      <c r="J69" s="33"/>
    </row>
    <row r="70" spans="3:10">
      <c r="C70" s="28" t="s">
        <v>161</v>
      </c>
      <c r="D70" s="29"/>
      <c r="E70" s="30"/>
      <c r="F70" s="30"/>
      <c r="G70" s="31"/>
      <c r="H70" s="32" t="s">
        <v>151</v>
      </c>
      <c r="I70" s="32" t="s">
        <v>151</v>
      </c>
      <c r="J70" s="33"/>
    </row>
    <row r="71" spans="3:10">
      <c r="C71" s="20"/>
      <c r="D71" s="29"/>
      <c r="E71" s="30"/>
      <c r="F71" s="30"/>
      <c r="G71" s="31"/>
      <c r="H71" s="32"/>
      <c r="I71" s="32"/>
      <c r="J71" s="33"/>
    </row>
    <row r="72" spans="3:10">
      <c r="C72" s="28" t="s">
        <v>162</v>
      </c>
      <c r="D72" s="29"/>
      <c r="E72" s="30"/>
      <c r="F72" s="30"/>
      <c r="G72" s="31"/>
      <c r="H72" s="32" t="s">
        <v>151</v>
      </c>
      <c r="I72" s="32" t="s">
        <v>151</v>
      </c>
      <c r="J72" s="33"/>
    </row>
    <row r="73" spans="3:10">
      <c r="C73" s="20"/>
      <c r="D73" s="29"/>
      <c r="E73" s="30"/>
      <c r="F73" s="30"/>
      <c r="G73" s="31"/>
      <c r="H73" s="32"/>
      <c r="I73" s="32"/>
      <c r="J73" s="33"/>
    </row>
    <row r="74" spans="3:10">
      <c r="C74" s="28" t="s">
        <v>163</v>
      </c>
      <c r="D74" s="29"/>
      <c r="E74" s="30"/>
      <c r="F74" s="30"/>
      <c r="G74" s="31"/>
      <c r="H74" s="32" t="s">
        <v>151</v>
      </c>
      <c r="I74" s="32" t="s">
        <v>151</v>
      </c>
      <c r="J74" s="33"/>
    </row>
    <row r="75" spans="3:10">
      <c r="C75" s="20"/>
      <c r="D75" s="29"/>
      <c r="E75" s="30"/>
      <c r="F75" s="30"/>
      <c r="G75" s="31"/>
      <c r="H75" s="32"/>
      <c r="I75" s="32"/>
      <c r="J75" s="33"/>
    </row>
    <row r="76" spans="3:10">
      <c r="C76" s="28" t="s">
        <v>164</v>
      </c>
      <c r="D76" s="29"/>
      <c r="E76" s="30"/>
      <c r="F76" s="30"/>
      <c r="G76" s="31"/>
      <c r="H76" s="32"/>
      <c r="I76" s="32"/>
      <c r="J76" s="33"/>
    </row>
    <row r="77" spans="3:10">
      <c r="C77" s="20"/>
      <c r="D77" s="29"/>
      <c r="E77" s="30"/>
      <c r="F77" s="30"/>
      <c r="G77" s="31"/>
      <c r="H77" s="32"/>
      <c r="I77" s="32"/>
      <c r="J77" s="33"/>
    </row>
    <row r="78" spans="3:10">
      <c r="C78" s="28" t="s">
        <v>165</v>
      </c>
      <c r="D78" s="29"/>
      <c r="E78" s="30"/>
      <c r="F78" s="30"/>
      <c r="G78" s="31"/>
      <c r="H78" s="32" t="s">
        <v>151</v>
      </c>
      <c r="I78" s="32" t="s">
        <v>151</v>
      </c>
      <c r="J78" s="33"/>
    </row>
    <row r="79" spans="3:10">
      <c r="C79" s="20"/>
      <c r="D79" s="29"/>
      <c r="E79" s="30"/>
      <c r="F79" s="30"/>
      <c r="G79" s="31"/>
      <c r="H79" s="32"/>
      <c r="I79" s="32"/>
      <c r="J79" s="33"/>
    </row>
    <row r="80" spans="3:10">
      <c r="C80" s="28" t="s">
        <v>166</v>
      </c>
      <c r="D80" s="29"/>
      <c r="E80" s="30"/>
      <c r="F80" s="30"/>
      <c r="G80" s="31"/>
      <c r="H80" s="32" t="s">
        <v>151</v>
      </c>
      <c r="I80" s="32" t="s">
        <v>151</v>
      </c>
      <c r="J80" s="33"/>
    </row>
    <row r="81" spans="1:10">
      <c r="C81" s="20"/>
      <c r="D81" s="29"/>
      <c r="E81" s="30"/>
      <c r="F81" s="30"/>
      <c r="G81" s="31"/>
      <c r="H81" s="32"/>
      <c r="I81" s="32"/>
      <c r="J81" s="33"/>
    </row>
    <row r="82" spans="1:10">
      <c r="C82" s="28" t="s">
        <v>167</v>
      </c>
      <c r="D82" s="29"/>
      <c r="E82" s="30"/>
      <c r="F82" s="30"/>
      <c r="G82" s="31"/>
      <c r="H82" s="32" t="s">
        <v>151</v>
      </c>
      <c r="I82" s="32" t="s">
        <v>151</v>
      </c>
      <c r="J82" s="33"/>
    </row>
    <row r="83" spans="1:10">
      <c r="C83" s="20"/>
      <c r="D83" s="29"/>
      <c r="E83" s="30"/>
      <c r="F83" s="30"/>
      <c r="G83" s="31"/>
      <c r="H83" s="32"/>
      <c r="I83" s="32"/>
      <c r="J83" s="33"/>
    </row>
    <row r="84" spans="1:10">
      <c r="C84" s="28" t="s">
        <v>168</v>
      </c>
      <c r="D84" s="29"/>
      <c r="E84" s="30"/>
      <c r="F84" s="30"/>
      <c r="G84" s="31"/>
      <c r="H84" s="32" t="s">
        <v>151</v>
      </c>
      <c r="I84" s="32" t="s">
        <v>151</v>
      </c>
      <c r="J84" s="33"/>
    </row>
    <row r="85" spans="1:10">
      <c r="C85" s="20"/>
      <c r="D85" s="29"/>
      <c r="E85" s="30"/>
      <c r="F85" s="30"/>
      <c r="G85" s="31"/>
      <c r="H85" s="32"/>
      <c r="I85" s="32"/>
      <c r="J85" s="33"/>
    </row>
    <row r="86" spans="1:10">
      <c r="C86" s="28" t="s">
        <v>169</v>
      </c>
      <c r="D86" s="29"/>
      <c r="E86" s="30"/>
      <c r="F86" s="30"/>
      <c r="G86" s="31"/>
      <c r="H86" s="32" t="s">
        <v>151</v>
      </c>
      <c r="I86" s="32" t="s">
        <v>151</v>
      </c>
      <c r="J86" s="33"/>
    </row>
    <row r="87" spans="1:10">
      <c r="C87" s="20"/>
      <c r="D87" s="29"/>
      <c r="E87" s="30"/>
      <c r="F87" s="30"/>
      <c r="G87" s="31"/>
      <c r="H87" s="32"/>
      <c r="I87" s="32"/>
      <c r="J87" s="33"/>
    </row>
    <row r="88" spans="1:10">
      <c r="A88" s="26"/>
      <c r="B88" s="27"/>
      <c r="C88" s="28" t="s">
        <v>170</v>
      </c>
      <c r="D88" s="29"/>
      <c r="E88" s="30"/>
      <c r="F88" s="30"/>
      <c r="G88" s="31"/>
      <c r="H88" s="32"/>
      <c r="I88" s="32"/>
      <c r="J88" s="33"/>
    </row>
    <row r="89" spans="1:10">
      <c r="B89" s="1"/>
      <c r="C89" s="20" t="s">
        <v>171</v>
      </c>
      <c r="D89" s="29"/>
      <c r="E89" s="30"/>
      <c r="F89" s="30"/>
      <c r="G89" s="31"/>
      <c r="H89" s="32">
        <v>53.92</v>
      </c>
      <c r="I89" s="32">
        <v>0.7</v>
      </c>
      <c r="J89" s="33"/>
    </row>
    <row r="90" spans="1:10">
      <c r="C90" s="28" t="s">
        <v>149</v>
      </c>
      <c r="D90" s="29"/>
      <c r="E90" s="30"/>
      <c r="F90" s="30"/>
      <c r="G90" s="31"/>
      <c r="H90" s="35">
        <v>53.92</v>
      </c>
      <c r="I90" s="35">
        <v>0.7</v>
      </c>
      <c r="J90" s="33"/>
    </row>
    <row r="91" spans="1:10">
      <c r="C91" s="20"/>
      <c r="D91" s="29"/>
      <c r="E91" s="30"/>
      <c r="F91" s="30"/>
      <c r="G91" s="31"/>
      <c r="H91" s="32"/>
      <c r="I91" s="32"/>
      <c r="J91" s="33"/>
    </row>
    <row r="92" spans="1:10" ht="13.8" thickBot="1">
      <c r="C92" s="36" t="s">
        <v>172</v>
      </c>
      <c r="D92" s="37"/>
      <c r="E92" s="38"/>
      <c r="F92" s="39"/>
      <c r="G92" s="40"/>
      <c r="H92" s="41">
        <v>7536.33</v>
      </c>
      <c r="I92" s="41">
        <f>SUMIFS(I:I,C:C,"Total")</f>
        <v>100</v>
      </c>
      <c r="J92" s="42"/>
    </row>
    <row r="95" spans="1:10">
      <c r="C95" s="11" t="s">
        <v>173</v>
      </c>
    </row>
    <row r="96" spans="1:10">
      <c r="C96" s="2" t="s">
        <v>174</v>
      </c>
    </row>
    <row r="97" spans="3:3">
      <c r="C97" s="2" t="s">
        <v>175</v>
      </c>
    </row>
    <row r="98" spans="3:3">
      <c r="C98" s="2" t="s">
        <v>176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20"/>
  <sheetViews>
    <sheetView workbookViewId="0">
      <selection activeCell="A20" sqref="A20"/>
    </sheetView>
  </sheetViews>
  <sheetFormatPr defaultRowHeight="14.4"/>
  <cols>
    <col min="1" max="1" width="48" customWidth="1"/>
    <col min="3" max="3" width="11" bestFit="1" customWidth="1"/>
    <col min="5" max="5" width="11" bestFit="1" customWidth="1"/>
    <col min="7" max="7" width="11" bestFit="1" customWidth="1"/>
    <col min="9" max="9" width="12" bestFit="1" customWidth="1"/>
  </cols>
  <sheetData>
    <row r="4" spans="1:9" ht="15.6">
      <c r="A4" s="43" t="s">
        <v>177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178</v>
      </c>
      <c r="B5" s="46" t="s">
        <v>179</v>
      </c>
      <c r="C5" s="46"/>
      <c r="D5" s="46" t="s">
        <v>180</v>
      </c>
      <c r="E5" s="46"/>
      <c r="F5" s="46" t="s">
        <v>181</v>
      </c>
      <c r="G5" s="46"/>
      <c r="H5" s="46" t="s">
        <v>182</v>
      </c>
      <c r="I5" s="46"/>
    </row>
    <row r="6" spans="1:9" ht="66">
      <c r="A6" s="47"/>
      <c r="B6" s="48" t="s">
        <v>183</v>
      </c>
      <c r="C6" s="48" t="s">
        <v>184</v>
      </c>
      <c r="D6" s="48" t="s">
        <v>183</v>
      </c>
      <c r="E6" s="48" t="s">
        <v>184</v>
      </c>
      <c r="F6" s="48" t="s">
        <v>183</v>
      </c>
      <c r="G6" s="48" t="s">
        <v>184</v>
      </c>
      <c r="H6" s="48" t="s">
        <v>183</v>
      </c>
      <c r="I6" s="48" t="s">
        <v>184</v>
      </c>
    </row>
    <row r="7" spans="1:9">
      <c r="A7" s="49" t="s">
        <v>185</v>
      </c>
      <c r="B7" s="50">
        <v>-0.74114000808516156</v>
      </c>
      <c r="C7" s="50">
        <v>9925.8859991914851</v>
      </c>
      <c r="D7" s="50">
        <v>21.075184492830836</v>
      </c>
      <c r="E7" s="50">
        <v>17757.955641272903</v>
      </c>
      <c r="F7" s="50">
        <v>12.215896806233562</v>
      </c>
      <c r="G7" s="50">
        <v>17805.17283055354</v>
      </c>
      <c r="H7" s="50">
        <v>7.3675081532407427</v>
      </c>
      <c r="I7" s="50">
        <v>73660</v>
      </c>
    </row>
    <row r="8" spans="1:9">
      <c r="A8" s="49" t="s">
        <v>186</v>
      </c>
      <c r="B8" s="50">
        <v>3.6484515851564092</v>
      </c>
      <c r="C8" s="50">
        <v>10364.845158515642</v>
      </c>
      <c r="D8" s="50">
        <v>26.534789398085223</v>
      </c>
      <c r="E8" s="50">
        <v>20259.552102883255</v>
      </c>
      <c r="F8" s="50">
        <v>14.360816607360549</v>
      </c>
      <c r="G8" s="50">
        <v>19560.78317763532</v>
      </c>
      <c r="H8" s="50">
        <v>0</v>
      </c>
      <c r="I8" s="50">
        <v>0</v>
      </c>
    </row>
    <row r="9" spans="1:9">
      <c r="A9" s="49" t="s">
        <v>187</v>
      </c>
      <c r="B9" s="50">
        <v>-1.6385854801567734</v>
      </c>
      <c r="C9" s="50">
        <v>9836.141451984322</v>
      </c>
      <c r="D9" s="50">
        <v>15.572634034109957</v>
      </c>
      <c r="E9" s="50">
        <v>15437.075719348602</v>
      </c>
      <c r="F9" s="50">
        <v>13.186851837775414</v>
      </c>
      <c r="G9" s="50">
        <v>18577.184889353928</v>
      </c>
      <c r="H9" s="50">
        <v>10.689206920077666</v>
      </c>
      <c r="I9" s="50">
        <v>173306.35389455513</v>
      </c>
    </row>
    <row r="10" spans="1:9">
      <c r="A10" s="49" t="s">
        <v>188</v>
      </c>
      <c r="B10" s="51">
        <v>74.209999999999994</v>
      </c>
      <c r="C10" s="52"/>
      <c r="D10" s="51">
        <v>41.48</v>
      </c>
      <c r="E10" s="52"/>
      <c r="F10" s="51">
        <v>41.37</v>
      </c>
      <c r="G10" s="52"/>
      <c r="H10" s="51">
        <v>10</v>
      </c>
      <c r="I10" s="52"/>
    </row>
    <row r="12" spans="1:9" ht="15.6">
      <c r="A12" s="43" t="s">
        <v>189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178</v>
      </c>
      <c r="B13" s="46" t="s">
        <v>179</v>
      </c>
      <c r="C13" s="46"/>
      <c r="D13" s="46" t="s">
        <v>180</v>
      </c>
      <c r="E13" s="46"/>
      <c r="F13" s="46" t="s">
        <v>181</v>
      </c>
      <c r="G13" s="46"/>
      <c r="H13" s="46" t="s">
        <v>182</v>
      </c>
      <c r="I13" s="46"/>
    </row>
    <row r="14" spans="1:9" ht="66">
      <c r="A14" s="47"/>
      <c r="B14" s="48" t="s">
        <v>183</v>
      </c>
      <c r="C14" s="48" t="s">
        <v>184</v>
      </c>
      <c r="D14" s="48" t="s">
        <v>183</v>
      </c>
      <c r="E14" s="48" t="s">
        <v>184</v>
      </c>
      <c r="F14" s="48" t="s">
        <v>183</v>
      </c>
      <c r="G14" s="48" t="s">
        <v>184</v>
      </c>
      <c r="H14" s="48" t="s">
        <v>183</v>
      </c>
      <c r="I14" s="48" t="s">
        <v>184</v>
      </c>
    </row>
    <row r="15" spans="1:9">
      <c r="A15" s="49" t="s">
        <v>185</v>
      </c>
      <c r="B15" s="50">
        <v>-0.41418586590733497</v>
      </c>
      <c r="C15" s="50">
        <v>9958.5814134092652</v>
      </c>
      <c r="D15" s="50">
        <v>21.53188404476991</v>
      </c>
      <c r="E15" s="50">
        <v>17959.850606909429</v>
      </c>
      <c r="F15" s="50">
        <v>12.67925512679775</v>
      </c>
      <c r="G15" s="50">
        <v>18176.23434916135</v>
      </c>
      <c r="H15" s="50">
        <v>16.258440575438328</v>
      </c>
      <c r="I15" s="50">
        <v>43444.381705251268</v>
      </c>
    </row>
    <row r="16" spans="1:9">
      <c r="A16" s="49" t="s">
        <v>186</v>
      </c>
      <c r="B16" s="50">
        <v>3.6484515851564092</v>
      </c>
      <c r="C16" s="50">
        <v>10364.845158515642</v>
      </c>
      <c r="D16" s="50">
        <v>26.534789398085223</v>
      </c>
      <c r="E16" s="50">
        <v>20259.552102883255</v>
      </c>
      <c r="F16" s="50">
        <v>14.360816607360549</v>
      </c>
      <c r="G16" s="50">
        <v>19560.78317763532</v>
      </c>
      <c r="H16" s="50">
        <v>17.481623874171181</v>
      </c>
      <c r="I16" s="50">
        <v>48112.159232132042</v>
      </c>
    </row>
    <row r="17" spans="1:9">
      <c r="A17" s="49" t="s">
        <v>187</v>
      </c>
      <c r="B17" s="50">
        <v>-1.6385854801567734</v>
      </c>
      <c r="C17" s="50">
        <v>9836.141451984322</v>
      </c>
      <c r="D17" s="50">
        <v>15.572634034109957</v>
      </c>
      <c r="E17" s="50">
        <v>15437.075719348602</v>
      </c>
      <c r="F17" s="50">
        <v>13.186851837775414</v>
      </c>
      <c r="G17" s="50">
        <v>18577.184889353928</v>
      </c>
      <c r="H17" s="50">
        <v>12.828322702927441</v>
      </c>
      <c r="I17" s="50">
        <v>32442.3787254177</v>
      </c>
    </row>
    <row r="18" spans="1:9">
      <c r="A18" s="49" t="s">
        <v>190</v>
      </c>
      <c r="B18" s="51">
        <v>77.260000000000005</v>
      </c>
      <c r="C18" s="52"/>
      <c r="D18" s="51">
        <v>42.84</v>
      </c>
      <c r="E18" s="52"/>
      <c r="F18" s="51">
        <v>42.33</v>
      </c>
      <c r="G18" s="52"/>
      <c r="H18" s="51">
        <v>17.71</v>
      </c>
      <c r="I18" s="52"/>
    </row>
    <row r="20" spans="1:9">
      <c r="A20" t="s">
        <v>191</v>
      </c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TDF-Risk-O-Meter &amp; Portfolio</vt:lpstr>
      <vt:lpstr>TDF-Performance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2022-10-07T09:45:49Z</dcterms:created>
  <dcterms:modified xsi:type="dcterms:W3CDTF">2022-10-08T09:37:29Z</dcterms:modified>
</cp:coreProperties>
</file>