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AUG 2023\Portfolio\Sahu\RE_ TMF_Monthly_Portfolio_Report_Jul 23\"/>
    </mc:Choice>
  </mc:AlternateContent>
  <xr:revisionPtr revIDLastSave="0" documentId="13_ncr:1_{48261648-A5B7-4578-B821-1A1AA666E8BF}" xr6:coauthVersionLast="47" xr6:coauthVersionMax="47" xr10:uidLastSave="{00000000-0000-0000-0000-000000000000}"/>
  <bookViews>
    <workbookView xWindow="-120" yWindow="-120" windowWidth="20730" windowHeight="11160" xr2:uid="{5647E98C-7F5C-4A38-946B-74D61557EB0C}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Portfolio'!$C$8:$C$50</definedName>
    <definedName name="XDO_?FINAL_ISIN?3?">'TDF-Risk-O-Meter &amp; Portfolio'!$D$10:$D$50</definedName>
    <definedName name="XDO_?FINAL_ISIN?4?">'TDF-Risk-O-Meter &amp; Portfolio'!$D$10:$D$92</definedName>
    <definedName name="XDO_?FINAL_MV?3?">'TDF-Risk-O-Meter &amp; Portfolio'!$H$10:$H$50</definedName>
    <definedName name="XDO_?FINAL_MV?4?">'TDF-Risk-O-Meter &amp; Portfolio'!$H$10:$H$92</definedName>
    <definedName name="XDO_?FINAL_NAME?3?">'TDF-Risk-O-Meter &amp; Portfolio'!$C$10:$C$50</definedName>
    <definedName name="XDO_?FINAL_NAME?4?">'TDF-Risk-O-Meter &amp; Portfolio'!$C$10:$C$92</definedName>
    <definedName name="XDO_?FINAL_PER_NET?3?">'TDF-Risk-O-Meter &amp; Portfolio'!$I$10:$I$50</definedName>
    <definedName name="XDO_?FINAL_PER_NET?4?">'TDF-Risk-O-Meter &amp; Portfolio'!$I$10:$I$92</definedName>
    <definedName name="XDO_?FINAL_QUANTITE?3?">'TDF-Risk-O-Meter &amp; Portfolio'!$G$10:$G$50</definedName>
    <definedName name="XDO_?FINAL_QUANTITE?4?">'TDF-Risk-O-Meter &amp; Portfolio'!$G$10:$G$92</definedName>
    <definedName name="XDO_?IND_01?3?">'TDF-Risk-O-Meter &amp; Portfolio'!$F$10:$F$50</definedName>
    <definedName name="XDO_?IND_01?4?">'TDF-Risk-O-Meter &amp; Portfolio'!$F$10:$F$92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Portfolio'!$C$2:$C$50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Portfolio'!$B$10:$B$50</definedName>
    <definedName name="XDO_?NOVAL?4?">'TDF-Risk-O-Meter &amp; Portfolio'!$B$10:$B$92</definedName>
    <definedName name="XDO_?NPTF?2?">'TDF-Risk-O-Meter &amp; Portfolio'!$D$2:$D$50</definedName>
    <definedName name="XDO_?RATING?3?">'TDF-Risk-O-Meter &amp; Portfolio'!$E$10:$E$50</definedName>
    <definedName name="XDO_?RATING?4?">'TDF-Risk-O-Meter &amp; Portfolio'!$E$10:$E$92</definedName>
    <definedName name="XDO_?REMARKS?3?">'TDF-Risk-O-Meter &amp; Portfolio'!$J$10:$J$50</definedName>
    <definedName name="XDO_?REMARKS?4?">'TDF-Risk-O-Meter &amp; Portfolio'!$J$10:$J$92</definedName>
    <definedName name="XDO_?TITL?2?">'TDF-Risk-O-Meter &amp; Portfolio'!$A$8:$A$50</definedName>
    <definedName name="XDO_GROUP_?G_2?2?">'TDF-Risk-O-Meter &amp; Portfolio'!$2:$95</definedName>
    <definedName name="XDO_GROUP_?G_3?2?">'TDF-Risk-O-Meter &amp; Portfolio'!$8:$94</definedName>
    <definedName name="XDO_GROUP_?G_4?3?">'TDF-Risk-O-Meter &amp; Portfolio'!$B$10:$IV$50</definedName>
    <definedName name="XDO_GROUP_?G_4?4?">'TDF-Risk-O-Meter &amp; Portfolio'!$B$92:$IV$92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5" i="1" l="1"/>
</calcChain>
</file>

<file path=xl/sharedStrings.xml><?xml version="1.0" encoding="utf-8"?>
<sst xmlns="http://schemas.openxmlformats.org/spreadsheetml/2006/main" count="276" uniqueCount="202">
  <si>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</si>
  <si>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</si>
  <si>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</si>
  <si>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</si>
  <si>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</si>
  <si>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</si>
  <si>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</si>
  <si>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</si>
  <si>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</si>
  <si>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</si>
  <si>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</si>
  <si>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</si>
  <si>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</si>
  <si>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</si>
  <si>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</si>
  <si>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</si>
  <si>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</si>
  <si>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</si>
  <si>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</si>
  <si>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100281</t>
  </si>
  <si>
    <t>Century Textiles &amp; Industries Ltd.</t>
  </si>
  <si>
    <t>INE055A01016</t>
  </si>
  <si>
    <t>Paper, Forest &amp; Jute Products</t>
  </si>
  <si>
    <t>101800</t>
  </si>
  <si>
    <t>Hindware Home Innovation Ltd.</t>
  </si>
  <si>
    <t>INE05AN01011</t>
  </si>
  <si>
    <t>Consumer Durables</t>
  </si>
  <si>
    <t>100195</t>
  </si>
  <si>
    <t>REC Ltd.</t>
  </si>
  <si>
    <t>INE020B01018</t>
  </si>
  <si>
    <t>Finance</t>
  </si>
  <si>
    <t>100719</t>
  </si>
  <si>
    <t>Mayur Uniquoters Ltd.</t>
  </si>
  <si>
    <t>INE040D01038</t>
  </si>
  <si>
    <t>100055</t>
  </si>
  <si>
    <t>The Federal Bank Ltd.</t>
  </si>
  <si>
    <t>INE171A01029</t>
  </si>
  <si>
    <t>Banks</t>
  </si>
  <si>
    <t>100814</t>
  </si>
  <si>
    <t>HDFC Asset Management Co. Ltd.</t>
  </si>
  <si>
    <t>INE127D01025</t>
  </si>
  <si>
    <t>Capital Markets</t>
  </si>
  <si>
    <t>100398</t>
  </si>
  <si>
    <t>Aditya Birla Fashion and Retail Ltd.</t>
  </si>
  <si>
    <t>INE647O01011</t>
  </si>
  <si>
    <t>Retailing</t>
  </si>
  <si>
    <t>101415</t>
  </si>
  <si>
    <t>Hindustan Oil Exploration Co. Ltd.</t>
  </si>
  <si>
    <t>INE345A01011</t>
  </si>
  <si>
    <t>Oil</t>
  </si>
  <si>
    <t>100570</t>
  </si>
  <si>
    <t>K.P.R. Mill Ltd.</t>
  </si>
  <si>
    <t>INE930H01031</t>
  </si>
  <si>
    <t>Textiles &amp; Apparels</t>
  </si>
  <si>
    <t>100088</t>
  </si>
  <si>
    <t>Bharat Heavy Electricals Ltd.</t>
  </si>
  <si>
    <t>INE257A01026</t>
  </si>
  <si>
    <t>Electrical Equipment</t>
  </si>
  <si>
    <t>101152</t>
  </si>
  <si>
    <t>Sumitomo Chemical India Ltd.</t>
  </si>
  <si>
    <t>INE258G01013</t>
  </si>
  <si>
    <t>Fertilizers &amp; Agrochemicals</t>
  </si>
  <si>
    <t>100234</t>
  </si>
  <si>
    <t>Coforge Ltd.</t>
  </si>
  <si>
    <t>INE591G01017</t>
  </si>
  <si>
    <t>IT - Software</t>
  </si>
  <si>
    <t>100843</t>
  </si>
  <si>
    <t>Dalmia Bharat Ltd.</t>
  </si>
  <si>
    <t>INE00R701025</t>
  </si>
  <si>
    <t>Cement &amp; Cement Products</t>
  </si>
  <si>
    <t>100042</t>
  </si>
  <si>
    <t>LIC Housing Finance Ltd.</t>
  </si>
  <si>
    <t>INE115A01026</t>
  </si>
  <si>
    <t>100029</t>
  </si>
  <si>
    <t>Mphasis Ltd.</t>
  </si>
  <si>
    <t>INE356A01018</t>
  </si>
  <si>
    <t>100271</t>
  </si>
  <si>
    <t>Balkrishna Industries Ltd.</t>
  </si>
  <si>
    <t>INE787D01026</t>
  </si>
  <si>
    <t>Auto Components</t>
  </si>
  <si>
    <t>100116</t>
  </si>
  <si>
    <t>Sundaram Finance Ltd.</t>
  </si>
  <si>
    <t>INE660A01013</t>
  </si>
  <si>
    <t>100471</t>
  </si>
  <si>
    <t>Endurance Technologies Ltd.</t>
  </si>
  <si>
    <t>INE913H01037</t>
  </si>
  <si>
    <t>100090</t>
  </si>
  <si>
    <t>Bharat Forge Ltd.</t>
  </si>
  <si>
    <t>INE465A01025</t>
  </si>
  <si>
    <t>Industrial Products</t>
  </si>
  <si>
    <t>100107</t>
  </si>
  <si>
    <t>Max Financial Services Ltd.</t>
  </si>
  <si>
    <t>INE180A01020</t>
  </si>
  <si>
    <t>Insurance</t>
  </si>
  <si>
    <t>100476</t>
  </si>
  <si>
    <t>Caplin Point Laboratories Ltd.</t>
  </si>
  <si>
    <t>INE475E01026</t>
  </si>
  <si>
    <t>100426</t>
  </si>
  <si>
    <t>Relaxo Footwears Ltd.</t>
  </si>
  <si>
    <t>INE131B01039</t>
  </si>
  <si>
    <t>100461</t>
  </si>
  <si>
    <t>Astral Ltd.</t>
  </si>
  <si>
    <t>INE006I01046</t>
  </si>
  <si>
    <t>101718</t>
  </si>
  <si>
    <t>Faze Three Ltd.</t>
  </si>
  <si>
    <t>INE963C01033</t>
  </si>
  <si>
    <t>101883</t>
  </si>
  <si>
    <t>Anant Raj Ltd.</t>
  </si>
  <si>
    <t>INE242C01024</t>
  </si>
  <si>
    <t>Realty</t>
  </si>
  <si>
    <t>100566</t>
  </si>
  <si>
    <t>Laurus Labs Ltd.</t>
  </si>
  <si>
    <t>INE947Q01028</t>
  </si>
  <si>
    <t>101574</t>
  </si>
  <si>
    <t>Linde India Ltd.</t>
  </si>
  <si>
    <t>INE473A01011</t>
  </si>
  <si>
    <t>Chemicals &amp; Petrochemicals</t>
  </si>
  <si>
    <t>100335</t>
  </si>
  <si>
    <t>Kajaria Ceramics Ltd.</t>
  </si>
  <si>
    <t>INE217B01036</t>
  </si>
  <si>
    <t>100168</t>
  </si>
  <si>
    <t>Escorts Kubota Ltd.</t>
  </si>
  <si>
    <t>INE042A01014</t>
  </si>
  <si>
    <t>Agricultural, Commercial &amp; Construction Vehicles</t>
  </si>
  <si>
    <t>100242</t>
  </si>
  <si>
    <t>Schaeffler India Ltd.</t>
  </si>
  <si>
    <t>INE513A01022</t>
  </si>
  <si>
    <t>100144</t>
  </si>
  <si>
    <t>Voltas Ltd.</t>
  </si>
  <si>
    <t>INE226A01021</t>
  </si>
  <si>
    <t>100161</t>
  </si>
  <si>
    <t>Cummins India Ltd.</t>
  </si>
  <si>
    <t>INE298A01020</t>
  </si>
  <si>
    <t>100054</t>
  </si>
  <si>
    <t>Oberoi Realty Ltd.</t>
  </si>
  <si>
    <t>INE093I01010</t>
  </si>
  <si>
    <t>100227</t>
  </si>
  <si>
    <t>Jubilant Foodworks Ltd.</t>
  </si>
  <si>
    <t>INE797F01020</t>
  </si>
  <si>
    <t>Leisure Services</t>
  </si>
  <si>
    <t>100222</t>
  </si>
  <si>
    <t>The Indian Hotels Company Ltd.</t>
  </si>
  <si>
    <t>INE053A01029</t>
  </si>
  <si>
    <t>100435</t>
  </si>
  <si>
    <t>Crompton Greaves Consumer Electricals Ltd.</t>
  </si>
  <si>
    <t>INE299U01018</t>
  </si>
  <si>
    <t>100740</t>
  </si>
  <si>
    <t>Sterlite Technologies Ltd.</t>
  </si>
  <si>
    <t>INE089C01029</t>
  </si>
  <si>
    <t>Telecom - Services</t>
  </si>
  <si>
    <t>100143</t>
  </si>
  <si>
    <t>Thermax Ltd.</t>
  </si>
  <si>
    <t>INE152A01029</t>
  </si>
  <si>
    <t>100665</t>
  </si>
  <si>
    <t>Aditya Birla Capital Ltd.</t>
  </si>
  <si>
    <t>INE674K01013</t>
  </si>
  <si>
    <t>100466</t>
  </si>
  <si>
    <t>Igarashi Motors India Ltd.</t>
  </si>
  <si>
    <t>INE188B01013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</si>
  <si>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</si>
  <si>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</si>
  <si>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</si>
  <si>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</si>
  <si>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</si>
  <si>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</si>
  <si>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</si>
  <si>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</si>
  <si>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</si>
  <si>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</si>
  <si>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</si>
  <si>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</si>
  <si>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</si>
  <si>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</si>
  <si>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</si>
  <si>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</si>
  <si>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</si>
  <si>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</si>
  <si>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</si>
  <si>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</si>
  <si>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</si>
  <si>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</si>
  <si>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</si>
  <si>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</si>
  <si>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</si>
  <si>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</si>
  <si>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</si>
  <si>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</si>
  <si>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</si>
  <si>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</si>
  <si>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</si>
  <si>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</si>
  <si>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</si>
  <si>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</si>
  <si>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</si>
  <si>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</si>
  <si>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</si>
  <si>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</si>
  <si>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</si>
  <si>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July 31, 2023 : 92.34)</t>
  </si>
  <si>
    <t>Taurus Discovery (Midcap) Fund-Direct Plan-Growth Option</t>
  </si>
  <si>
    <t>NAV [Rs.] Per Unit (as on July 31, 2023 : 96.73)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</si>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</sst>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C0ADD6C-E83C-4FC5-AAC3-9B6DFC954C8C}"/>
    <cellStyle name="Hyperlink" xfId="2" builtinId="8"/>
    <cellStyle name="Normal" xfId="0" builtinId="0"/>
    <cellStyle name="Normal 2" xfId="4" xr:uid="{CE414935-A474-4E22-ACA9-5081282E0818}"/>
    <cellStyle name="Style 1" xfId="3" xr:uid="{EA2D35C8-E526-4F2D-A820-0DBD0EC4A2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Discovery Prodcut label - 9th Dec 2022.jpg">
          <a:extLst>
            <a:ext uri="{FF2B5EF4-FFF2-40B4-BE49-F238E27FC236}">
              <a16:creationId xmlns:a16="http://schemas.microsoft.com/office/drawing/2014/main" id="{BC82C0A2-A680-4F0C-9994-6C671D4BE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uly%2023\Client%20Report\TMF_Monthly_Portfolio_Report_Jul%2023.xls" TargetMode="External"/><Relationship Id="rId1" Type="http://schemas.openxmlformats.org/officeDocument/2006/relationships/externalLinkPath" Target="file:///D:\Sahu%20HDD%20Data\Taurus\Monthly%20Portfolio\2023\July%202023\TMF_Monthly_Portfolio_Report_Jul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93E6-E819-4E4A-94EE-B50C7D469510}">
  <dimension ref="A1:BB101"/>
  <sheetViews>
    <sheetView showGridLines="0" tabSelected="1" zoomScale="90" zoomScaleNormal="90" workbookViewId="0">
      <selection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7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51750</v>
      </c>
      <c r="H10" s="32">
        <v>592.72</v>
      </c>
      <c r="I10" s="32">
        <v>6.31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50000</v>
      </c>
      <c r="H11" s="32">
        <v>538.08000000000004</v>
      </c>
      <c r="I11" s="32">
        <v>5.73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80000</v>
      </c>
      <c r="H12" s="32">
        <v>510.36</v>
      </c>
      <c r="I12" s="32">
        <v>5.44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185000</v>
      </c>
      <c r="H13" s="32">
        <v>375.46</v>
      </c>
      <c r="I13" s="32">
        <v>4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26</v>
      </c>
      <c r="G14" s="31">
        <v>71522</v>
      </c>
      <c r="H14" s="32">
        <v>371.84</v>
      </c>
      <c r="I14" s="32">
        <v>3.96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245000</v>
      </c>
      <c r="H15" s="32">
        <v>332.34</v>
      </c>
      <c r="I15" s="32">
        <v>3.54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12000</v>
      </c>
      <c r="H16" s="32">
        <v>304.02999999999997</v>
      </c>
      <c r="I16" s="32">
        <v>3.24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135000</v>
      </c>
      <c r="H17" s="32">
        <v>300.98</v>
      </c>
      <c r="I17" s="32">
        <v>3.21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125000</v>
      </c>
      <c r="H18" s="32">
        <v>285.31</v>
      </c>
      <c r="I18" s="32">
        <v>3.04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44500</v>
      </c>
      <c r="H19" s="32">
        <v>284.62</v>
      </c>
      <c r="I19" s="32">
        <v>3.03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265000</v>
      </c>
      <c r="H20" s="32">
        <v>275.79000000000002</v>
      </c>
      <c r="I20" s="32">
        <v>2.94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61500</v>
      </c>
      <c r="H21" s="32">
        <v>253.78</v>
      </c>
      <c r="I21" s="32">
        <v>2.7</v>
      </c>
      <c r="J21" s="33"/>
    </row>
    <row r="22" spans="2:10" x14ac:dyDescent="0.25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5200</v>
      </c>
      <c r="H22" s="32">
        <v>244.48</v>
      </c>
      <c r="I22" s="32">
        <v>2.6</v>
      </c>
      <c r="J22" s="33"/>
    </row>
    <row r="23" spans="2:10" x14ac:dyDescent="0.25">
      <c r="B23" s="1" t="s">
        <v>66</v>
      </c>
      <c r="C23" s="20" t="s">
        <v>67</v>
      </c>
      <c r="D23" s="29" t="s">
        <v>68</v>
      </c>
      <c r="E23" s="30"/>
      <c r="F23" s="30" t="s">
        <v>69</v>
      </c>
      <c r="G23" s="31">
        <v>12400</v>
      </c>
      <c r="H23" s="32">
        <v>242.34</v>
      </c>
      <c r="I23" s="32">
        <v>2.58</v>
      </c>
      <c r="J23" s="33"/>
    </row>
    <row r="24" spans="2:10" x14ac:dyDescent="0.25">
      <c r="B24" s="1" t="s">
        <v>70</v>
      </c>
      <c r="C24" s="20" t="s">
        <v>71</v>
      </c>
      <c r="D24" s="29" t="s">
        <v>72</v>
      </c>
      <c r="E24" s="30"/>
      <c r="F24" s="30" t="s">
        <v>30</v>
      </c>
      <c r="G24" s="31">
        <v>57000</v>
      </c>
      <c r="H24" s="32">
        <v>237.83</v>
      </c>
      <c r="I24" s="32">
        <v>2.5299999999999998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65</v>
      </c>
      <c r="G25" s="31">
        <v>10150</v>
      </c>
      <c r="H25" s="32">
        <v>232.84</v>
      </c>
      <c r="I25" s="32">
        <v>2.48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9000</v>
      </c>
      <c r="H26" s="32">
        <v>228.71</v>
      </c>
      <c r="I26" s="32">
        <v>2.44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30</v>
      </c>
      <c r="G27" s="31">
        <v>8500</v>
      </c>
      <c r="H27" s="32">
        <v>224.57</v>
      </c>
      <c r="I27" s="32">
        <v>2.39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79</v>
      </c>
      <c r="G28" s="31">
        <v>12875</v>
      </c>
      <c r="H28" s="32">
        <v>217.62</v>
      </c>
      <c r="I28" s="32">
        <v>2.3199999999999998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22750</v>
      </c>
      <c r="H29" s="32">
        <v>211.85</v>
      </c>
      <c r="I29" s="32">
        <v>2.2599999999999998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24500</v>
      </c>
      <c r="H30" s="32">
        <v>199.82</v>
      </c>
      <c r="I30" s="32">
        <v>2.13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18</v>
      </c>
      <c r="G31" s="31">
        <v>21958</v>
      </c>
      <c r="H31" s="32">
        <v>199.36</v>
      </c>
      <c r="I31" s="32">
        <v>2.12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26</v>
      </c>
      <c r="G32" s="31">
        <v>20000</v>
      </c>
      <c r="H32" s="32">
        <v>188.89</v>
      </c>
      <c r="I32" s="32">
        <v>2.0099999999999998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89</v>
      </c>
      <c r="G33" s="31">
        <v>9287</v>
      </c>
      <c r="H33" s="32">
        <v>182.84</v>
      </c>
      <c r="I33" s="32">
        <v>1.95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53</v>
      </c>
      <c r="G34" s="31">
        <v>43944</v>
      </c>
      <c r="H34" s="32">
        <v>162.18</v>
      </c>
      <c r="I34" s="32">
        <v>1.73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80000</v>
      </c>
      <c r="H35" s="32">
        <v>160.91999999999999</v>
      </c>
      <c r="I35" s="32">
        <v>1.71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18</v>
      </c>
      <c r="G36" s="31">
        <v>45000</v>
      </c>
      <c r="H36" s="32">
        <v>158.44999999999999</v>
      </c>
      <c r="I36" s="32">
        <v>1.69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3000</v>
      </c>
      <c r="H37" s="32">
        <v>149.55000000000001</v>
      </c>
      <c r="I37" s="32">
        <v>1.59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26</v>
      </c>
      <c r="G38" s="31">
        <v>10250</v>
      </c>
      <c r="H38" s="32">
        <v>147.13999999999999</v>
      </c>
      <c r="I38" s="32">
        <v>1.57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5700</v>
      </c>
      <c r="H39" s="32">
        <v>144.79</v>
      </c>
      <c r="I39" s="32">
        <v>1.54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79</v>
      </c>
      <c r="G40" s="31">
        <v>4500</v>
      </c>
      <c r="H40" s="32">
        <v>140.47</v>
      </c>
      <c r="I40" s="32">
        <v>1.5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26</v>
      </c>
      <c r="G41" s="31">
        <v>18000</v>
      </c>
      <c r="H41" s="32">
        <v>140.36000000000001</v>
      </c>
      <c r="I41" s="32">
        <v>1.5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89</v>
      </c>
      <c r="G42" s="31">
        <v>7000</v>
      </c>
      <c r="H42" s="32">
        <v>137.69999999999999</v>
      </c>
      <c r="I42" s="32">
        <v>1.47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109</v>
      </c>
      <c r="G43" s="31">
        <v>12300</v>
      </c>
      <c r="H43" s="32">
        <v>137.63999999999999</v>
      </c>
      <c r="I43" s="32">
        <v>1.47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27500</v>
      </c>
      <c r="H44" s="32">
        <v>131.57</v>
      </c>
      <c r="I44" s="32">
        <v>1.4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139</v>
      </c>
      <c r="G45" s="31">
        <v>30000</v>
      </c>
      <c r="H45" s="32">
        <v>118.52</v>
      </c>
      <c r="I45" s="32">
        <v>1.26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26</v>
      </c>
      <c r="G46" s="31">
        <v>40000</v>
      </c>
      <c r="H46" s="32">
        <v>117.5</v>
      </c>
      <c r="I46" s="32">
        <v>1.25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75000</v>
      </c>
      <c r="H47" s="32">
        <v>112.58</v>
      </c>
      <c r="I47" s="32">
        <v>1.2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57</v>
      </c>
      <c r="G48" s="31">
        <v>3800</v>
      </c>
      <c r="H48" s="32">
        <v>98.7</v>
      </c>
      <c r="I48" s="32">
        <v>1.05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30</v>
      </c>
      <c r="G49" s="31">
        <v>47026</v>
      </c>
      <c r="H49" s="32">
        <v>92.03</v>
      </c>
      <c r="I49" s="32">
        <v>0.98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79</v>
      </c>
      <c r="G50" s="31">
        <v>5000</v>
      </c>
      <c r="H50" s="32">
        <v>26.66</v>
      </c>
      <c r="I50" s="32">
        <v>0.28000000000000003</v>
      </c>
      <c r="J50" s="33"/>
    </row>
    <row r="51" spans="2:10" x14ac:dyDescent="0.25">
      <c r="C51" s="28" t="s">
        <v>159</v>
      </c>
      <c r="D51" s="29"/>
      <c r="E51" s="30"/>
      <c r="F51" s="30"/>
      <c r="G51" s="31"/>
      <c r="H51" s="35">
        <v>9213.2199999999993</v>
      </c>
      <c r="I51" s="35">
        <v>98.14</v>
      </c>
      <c r="J51" s="33"/>
    </row>
    <row r="52" spans="2:10" x14ac:dyDescent="0.25">
      <c r="C52" s="20"/>
      <c r="D52" s="29"/>
      <c r="E52" s="30"/>
      <c r="F52" s="30"/>
      <c r="G52" s="31"/>
      <c r="H52" s="32"/>
      <c r="I52" s="32"/>
      <c r="J52" s="33"/>
    </row>
    <row r="53" spans="2:10" x14ac:dyDescent="0.25">
      <c r="C53" s="28" t="s">
        <v>160</v>
      </c>
      <c r="D53" s="29"/>
      <c r="E53" s="30"/>
      <c r="F53" s="30"/>
      <c r="G53" s="31"/>
      <c r="H53" s="32" t="s">
        <v>161</v>
      </c>
      <c r="I53" s="32" t="s">
        <v>161</v>
      </c>
      <c r="J53" s="33"/>
    </row>
    <row r="54" spans="2:10" x14ac:dyDescent="0.25">
      <c r="C54" s="20"/>
      <c r="D54" s="29"/>
      <c r="E54" s="30"/>
      <c r="F54" s="30"/>
      <c r="G54" s="31"/>
      <c r="H54" s="32"/>
      <c r="I54" s="32"/>
      <c r="J54" s="33"/>
    </row>
    <row r="55" spans="2:10" x14ac:dyDescent="0.25">
      <c r="C55" s="28" t="s">
        <v>162</v>
      </c>
      <c r="D55" s="29"/>
      <c r="E55" s="30"/>
      <c r="F55" s="30"/>
      <c r="G55" s="31"/>
      <c r="H55" s="32" t="s">
        <v>161</v>
      </c>
      <c r="I55" s="32" t="s">
        <v>161</v>
      </c>
      <c r="J55" s="33"/>
    </row>
    <row r="56" spans="2:10" x14ac:dyDescent="0.25">
      <c r="C56" s="20"/>
      <c r="D56" s="29"/>
      <c r="E56" s="30"/>
      <c r="F56" s="30"/>
      <c r="G56" s="31"/>
      <c r="H56" s="32"/>
      <c r="I56" s="32"/>
      <c r="J56" s="33"/>
    </row>
    <row r="57" spans="2:10" x14ac:dyDescent="0.25">
      <c r="C57" s="28" t="s">
        <v>163</v>
      </c>
      <c r="D57" s="29"/>
      <c r="E57" s="30"/>
      <c r="F57" s="30"/>
      <c r="G57" s="31"/>
      <c r="H57" s="32"/>
      <c r="I57" s="32"/>
      <c r="J57" s="33"/>
    </row>
    <row r="58" spans="2:10" x14ac:dyDescent="0.25">
      <c r="C58" s="20"/>
      <c r="D58" s="29"/>
      <c r="E58" s="30"/>
      <c r="F58" s="30"/>
      <c r="G58" s="31"/>
      <c r="H58" s="32"/>
      <c r="I58" s="32"/>
      <c r="J58" s="33"/>
    </row>
    <row r="59" spans="2:10" x14ac:dyDescent="0.25">
      <c r="C59" s="28" t="s">
        <v>164</v>
      </c>
      <c r="D59" s="29"/>
      <c r="E59" s="30"/>
      <c r="F59" s="30"/>
      <c r="G59" s="31"/>
      <c r="H59" s="32" t="s">
        <v>161</v>
      </c>
      <c r="I59" s="32" t="s">
        <v>161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165</v>
      </c>
      <c r="D61" s="29"/>
      <c r="E61" s="30"/>
      <c r="F61" s="30"/>
      <c r="G61" s="31"/>
      <c r="H61" s="32" t="s">
        <v>161</v>
      </c>
      <c r="I61" s="32" t="s">
        <v>161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166</v>
      </c>
      <c r="D63" s="29"/>
      <c r="E63" s="30"/>
      <c r="F63" s="30"/>
      <c r="G63" s="31"/>
      <c r="H63" s="32" t="s">
        <v>161</v>
      </c>
      <c r="I63" s="32" t="s">
        <v>161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167</v>
      </c>
      <c r="D65" s="29"/>
      <c r="E65" s="30"/>
      <c r="F65" s="30"/>
      <c r="G65" s="31"/>
      <c r="H65" s="32" t="s">
        <v>161</v>
      </c>
      <c r="I65" s="32" t="s">
        <v>161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168</v>
      </c>
      <c r="D67" s="29"/>
      <c r="E67" s="30"/>
      <c r="F67" s="30"/>
      <c r="G67" s="31"/>
      <c r="H67" s="32" t="s">
        <v>161</v>
      </c>
      <c r="I67" s="32" t="s">
        <v>161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169</v>
      </c>
      <c r="D69" s="29"/>
      <c r="E69" s="30"/>
      <c r="F69" s="30"/>
      <c r="G69" s="31"/>
      <c r="H69" s="32"/>
      <c r="I69" s="32"/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170</v>
      </c>
      <c r="D71" s="29"/>
      <c r="E71" s="30"/>
      <c r="F71" s="30"/>
      <c r="G71" s="31"/>
      <c r="H71" s="32" t="s">
        <v>161</v>
      </c>
      <c r="I71" s="32" t="s">
        <v>161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171</v>
      </c>
      <c r="D73" s="29"/>
      <c r="E73" s="30"/>
      <c r="F73" s="30"/>
      <c r="G73" s="31"/>
      <c r="H73" s="32" t="s">
        <v>161</v>
      </c>
      <c r="I73" s="32" t="s">
        <v>161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172</v>
      </c>
      <c r="D75" s="29"/>
      <c r="E75" s="30"/>
      <c r="F75" s="30"/>
      <c r="G75" s="31"/>
      <c r="H75" s="32" t="s">
        <v>161</v>
      </c>
      <c r="I75" s="32" t="s">
        <v>161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173</v>
      </c>
      <c r="D77" s="29"/>
      <c r="E77" s="30"/>
      <c r="F77" s="30"/>
      <c r="G77" s="31"/>
      <c r="H77" s="32" t="s">
        <v>161</v>
      </c>
      <c r="I77" s="32" t="s">
        <v>161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174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175</v>
      </c>
      <c r="D81" s="29"/>
      <c r="E81" s="30"/>
      <c r="F81" s="30"/>
      <c r="G81" s="31"/>
      <c r="H81" s="32" t="s">
        <v>161</v>
      </c>
      <c r="I81" s="32" t="s">
        <v>161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176</v>
      </c>
      <c r="D83" s="29"/>
      <c r="E83" s="30"/>
      <c r="F83" s="30"/>
      <c r="G83" s="31"/>
      <c r="H83" s="32" t="s">
        <v>161</v>
      </c>
      <c r="I83" s="32" t="s">
        <v>161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177</v>
      </c>
      <c r="D85" s="29"/>
      <c r="E85" s="30"/>
      <c r="F85" s="30"/>
      <c r="G85" s="31"/>
      <c r="H85" s="32" t="s">
        <v>161</v>
      </c>
      <c r="I85" s="32" t="s">
        <v>161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178</v>
      </c>
      <c r="D87" s="29"/>
      <c r="E87" s="30"/>
      <c r="F87" s="30"/>
      <c r="G87" s="31"/>
      <c r="H87" s="32" t="s">
        <v>161</v>
      </c>
      <c r="I87" s="32" t="s">
        <v>161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C89" s="28" t="s">
        <v>179</v>
      </c>
      <c r="D89" s="29"/>
      <c r="E89" s="30"/>
      <c r="F89" s="30"/>
      <c r="G89" s="31"/>
      <c r="H89" s="32" t="s">
        <v>161</v>
      </c>
      <c r="I89" s="32" t="s">
        <v>161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x14ac:dyDescent="0.25">
      <c r="A91" s="26"/>
      <c r="B91" s="27"/>
      <c r="C91" s="28" t="s">
        <v>180</v>
      </c>
      <c r="D91" s="29"/>
      <c r="E91" s="30"/>
      <c r="F91" s="30"/>
      <c r="G91" s="31"/>
      <c r="H91" s="32"/>
      <c r="I91" s="32"/>
      <c r="J91" s="33"/>
    </row>
    <row r="92" spans="1:10" x14ac:dyDescent="0.25">
      <c r="B92" s="1"/>
      <c r="C92" s="20" t="s">
        <v>181</v>
      </c>
      <c r="D92" s="29"/>
      <c r="E92" s="30"/>
      <c r="F92" s="30"/>
      <c r="G92" s="31"/>
      <c r="H92" s="32">
        <v>172.94</v>
      </c>
      <c r="I92" s="32">
        <v>1.86</v>
      </c>
      <c r="J92" s="33"/>
    </row>
    <row r="93" spans="1:10" x14ac:dyDescent="0.25">
      <c r="C93" s="28" t="s">
        <v>159</v>
      </c>
      <c r="D93" s="29"/>
      <c r="E93" s="30"/>
      <c r="F93" s="30"/>
      <c r="G93" s="31"/>
      <c r="H93" s="35">
        <v>172.94</v>
      </c>
      <c r="I93" s="35">
        <v>1.86</v>
      </c>
      <c r="J93" s="33"/>
    </row>
    <row r="94" spans="1:10" x14ac:dyDescent="0.25">
      <c r="C94" s="20"/>
      <c r="D94" s="29"/>
      <c r="E94" s="30"/>
      <c r="F94" s="30"/>
      <c r="G94" s="31"/>
      <c r="H94" s="32"/>
      <c r="I94" s="32"/>
      <c r="J94" s="33"/>
    </row>
    <row r="95" spans="1:10" ht="14.25" thickBot="1" x14ac:dyDescent="0.3">
      <c r="C95" s="36" t="s">
        <v>182</v>
      </c>
      <c r="D95" s="37"/>
      <c r="E95" s="38"/>
      <c r="F95" s="39"/>
      <c r="G95" s="40"/>
      <c r="H95" s="41">
        <v>9386.16</v>
      </c>
      <c r="I95" s="41">
        <f>SUMIFS(I:I,C:C,"Total")</f>
        <v>100</v>
      </c>
      <c r="J95" s="42"/>
    </row>
    <row r="98" spans="3:3" x14ac:dyDescent="0.25">
      <c r="C98" s="11" t="s">
        <v>183</v>
      </c>
    </row>
    <row r="99" spans="3:3" x14ac:dyDescent="0.25">
      <c r="C99" s="2" t="s">
        <v>184</v>
      </c>
    </row>
    <row r="100" spans="3:3" x14ac:dyDescent="0.25">
      <c r="C100" s="2" t="s">
        <v>185</v>
      </c>
    </row>
    <row r="101" spans="3:3" x14ac:dyDescent="0.25">
      <c r="C101" s="2" t="s">
        <v>186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EAD6-8DBE-4ABF-B193-4CEFA3D59B18}">
  <dimension ref="B4:J20"/>
  <sheetViews>
    <sheetView workbookViewId="0"/>
  </sheetViews>
  <sheetFormatPr defaultRowHeight="15" x14ac:dyDescent="0.25"/>
  <cols>
    <col min="2" max="2" width="46" customWidth="1"/>
    <col min="4" max="4" width="11" bestFit="1" customWidth="1"/>
    <col min="6" max="6" width="11" bestFit="1" customWidth="1"/>
    <col min="8" max="8" width="11" bestFit="1" customWidth="1"/>
    <col min="10" max="10" width="12.5703125" bestFit="1" customWidth="1"/>
  </cols>
  <sheetData>
    <row r="4" spans="2:10" ht="15.75" x14ac:dyDescent="0.25">
      <c r="B4" s="43" t="s">
        <v>187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188</v>
      </c>
      <c r="C5" s="50" t="s">
        <v>189</v>
      </c>
      <c r="D5" s="50"/>
      <c r="E5" s="50" t="s">
        <v>190</v>
      </c>
      <c r="F5" s="50"/>
      <c r="G5" s="50" t="s">
        <v>191</v>
      </c>
      <c r="H5" s="50"/>
      <c r="I5" s="50" t="s">
        <v>192</v>
      </c>
      <c r="J5" s="50"/>
    </row>
    <row r="6" spans="2:10" ht="63.75" x14ac:dyDescent="0.25">
      <c r="B6" s="46"/>
      <c r="C6" s="47" t="s">
        <v>193</v>
      </c>
      <c r="D6" s="47" t="s">
        <v>194</v>
      </c>
      <c r="E6" s="47" t="s">
        <v>193</v>
      </c>
      <c r="F6" s="47" t="s">
        <v>194</v>
      </c>
      <c r="G6" s="47" t="s">
        <v>193</v>
      </c>
      <c r="H6" s="47" t="s">
        <v>194</v>
      </c>
      <c r="I6" s="47" t="s">
        <v>193</v>
      </c>
      <c r="J6" s="47" t="s">
        <v>194</v>
      </c>
    </row>
    <row r="7" spans="2:10" x14ac:dyDescent="0.25">
      <c r="B7" s="48" t="s">
        <v>195</v>
      </c>
      <c r="C7" s="49">
        <v>28.591341579215126</v>
      </c>
      <c r="D7" s="49">
        <v>12876.865151303864</v>
      </c>
      <c r="E7" s="49">
        <v>28.069012891205535</v>
      </c>
      <c r="F7" s="49">
        <v>21005.459508644224</v>
      </c>
      <c r="G7" s="49">
        <v>15.0309428461878</v>
      </c>
      <c r="H7" s="49">
        <v>20148.374427231072</v>
      </c>
      <c r="I7" s="49">
        <v>7.988522216258831</v>
      </c>
      <c r="J7" s="49">
        <v>92340</v>
      </c>
    </row>
    <row r="8" spans="2:10" x14ac:dyDescent="0.25">
      <c r="B8" s="48" t="s">
        <v>196</v>
      </c>
      <c r="C8" s="49">
        <v>26.984588055443083</v>
      </c>
      <c r="D8" s="49">
        <v>12698.458805544307</v>
      </c>
      <c r="E8" s="49">
        <v>35.199832124881695</v>
      </c>
      <c r="F8" s="49">
        <v>24713.170022234226</v>
      </c>
      <c r="G8" s="49">
        <v>17.237118964973707</v>
      </c>
      <c r="H8" s="49">
        <v>22147.549795111474</v>
      </c>
      <c r="I8" s="49">
        <v>0</v>
      </c>
      <c r="J8" s="49">
        <v>0</v>
      </c>
    </row>
    <row r="9" spans="2:10" x14ac:dyDescent="0.25">
      <c r="B9" s="48" t="s">
        <v>197</v>
      </c>
      <c r="C9" s="49">
        <v>16.184790485396093</v>
      </c>
      <c r="D9" s="49">
        <v>11618.47904853961</v>
      </c>
      <c r="E9" s="49">
        <v>22.712795144557418</v>
      </c>
      <c r="F9" s="49">
        <v>18478.620471015642</v>
      </c>
      <c r="G9" s="49">
        <v>13.019737732339532</v>
      </c>
      <c r="H9" s="49">
        <v>18440.448341042771</v>
      </c>
      <c r="I9" s="49">
        <v>10.949462343748184</v>
      </c>
      <c r="J9" s="49">
        <v>201857.81502988018</v>
      </c>
    </row>
    <row r="10" spans="2:10" x14ac:dyDescent="0.25">
      <c r="B10" s="48" t="s">
        <v>198</v>
      </c>
      <c r="C10" s="51">
        <v>71.709999999999994</v>
      </c>
      <c r="D10" s="52"/>
      <c r="E10" s="51">
        <v>43.96</v>
      </c>
      <c r="F10" s="52"/>
      <c r="G10" s="51">
        <v>45.83</v>
      </c>
      <c r="H10" s="52"/>
      <c r="I10" s="51">
        <v>10</v>
      </c>
      <c r="J10" s="52"/>
    </row>
    <row r="12" spans="2:10" ht="15.75" x14ac:dyDescent="0.25">
      <c r="B12" s="43" t="s">
        <v>199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188</v>
      </c>
      <c r="C13" s="50" t="s">
        <v>189</v>
      </c>
      <c r="D13" s="50"/>
      <c r="E13" s="50" t="s">
        <v>190</v>
      </c>
      <c r="F13" s="50"/>
      <c r="G13" s="50" t="s">
        <v>191</v>
      </c>
      <c r="H13" s="50"/>
      <c r="I13" s="50" t="s">
        <v>192</v>
      </c>
      <c r="J13" s="50"/>
    </row>
    <row r="14" spans="2:10" ht="63.75" x14ac:dyDescent="0.25">
      <c r="B14" s="46"/>
      <c r="C14" s="47" t="s">
        <v>193</v>
      </c>
      <c r="D14" s="47" t="s">
        <v>194</v>
      </c>
      <c r="E14" s="47" t="s">
        <v>193</v>
      </c>
      <c r="F14" s="47" t="s">
        <v>194</v>
      </c>
      <c r="G14" s="47" t="s">
        <v>193</v>
      </c>
      <c r="H14" s="47" t="s">
        <v>194</v>
      </c>
      <c r="I14" s="47" t="s">
        <v>193</v>
      </c>
      <c r="J14" s="47" t="s">
        <v>194</v>
      </c>
    </row>
    <row r="15" spans="2:10" x14ac:dyDescent="0.25">
      <c r="B15" s="48" t="s">
        <v>195</v>
      </c>
      <c r="C15" s="49">
        <v>29.034179194530751</v>
      </c>
      <c r="D15" s="49">
        <v>12921.453379642</v>
      </c>
      <c r="E15" s="49">
        <v>28.517041595326418</v>
      </c>
      <c r="F15" s="49">
        <v>21226.684222075928</v>
      </c>
      <c r="G15" s="49">
        <v>15.505572979755833</v>
      </c>
      <c r="H15" s="49">
        <v>20567.722730172231</v>
      </c>
      <c r="I15" s="49">
        <v>17.400153974163501</v>
      </c>
      <c r="J15" s="49">
        <v>54618.859401468093</v>
      </c>
    </row>
    <row r="16" spans="2:10" x14ac:dyDescent="0.25">
      <c r="B16" s="48" t="s">
        <v>196</v>
      </c>
      <c r="C16" s="49">
        <v>26.984588055443083</v>
      </c>
      <c r="D16" s="49">
        <v>12698.458805544307</v>
      </c>
      <c r="E16" s="49">
        <v>35.199832124881695</v>
      </c>
      <c r="F16" s="49">
        <v>24713.170022234226</v>
      </c>
      <c r="G16" s="49">
        <v>17.237118964973707</v>
      </c>
      <c r="H16" s="49">
        <v>22147.549795111474</v>
      </c>
      <c r="I16" s="49">
        <v>18.189395346877802</v>
      </c>
      <c r="J16" s="49">
        <v>58632.598693778251</v>
      </c>
    </row>
    <row r="17" spans="2:10" x14ac:dyDescent="0.25">
      <c r="B17" s="48" t="s">
        <v>197</v>
      </c>
      <c r="C17" s="49">
        <v>16.184790485396093</v>
      </c>
      <c r="D17" s="49">
        <v>11618.47904853961</v>
      </c>
      <c r="E17" s="49">
        <v>22.712795144557418</v>
      </c>
      <c r="F17" s="49">
        <v>18478.620471015642</v>
      </c>
      <c r="G17" s="49">
        <v>13.019737732339532</v>
      </c>
      <c r="H17" s="49">
        <v>18440.448341042771</v>
      </c>
      <c r="I17" s="49">
        <v>13.383864389264488</v>
      </c>
      <c r="J17" s="49">
        <v>37787.361354730587</v>
      </c>
    </row>
    <row r="18" spans="2:10" x14ac:dyDescent="0.25">
      <c r="B18" s="48" t="s">
        <v>200</v>
      </c>
      <c r="C18" s="51">
        <v>74.86</v>
      </c>
      <c r="D18" s="52"/>
      <c r="E18" s="51">
        <v>45.57</v>
      </c>
      <c r="F18" s="52"/>
      <c r="G18" s="51">
        <v>47.03</v>
      </c>
      <c r="H18" s="52"/>
      <c r="I18" s="51">
        <v>17.71</v>
      </c>
      <c r="J18" s="52"/>
    </row>
    <row r="20" spans="2:10" x14ac:dyDescent="0.25">
      <c r="B20" t="s">
        <v>201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2023-08-02T10:02:59Z</dcterms:created>
  <dcterms:modified xsi:type="dcterms:W3CDTF">2023-08-09T10:18:02Z</dcterms:modified>
</cp:coreProperties>
</file>