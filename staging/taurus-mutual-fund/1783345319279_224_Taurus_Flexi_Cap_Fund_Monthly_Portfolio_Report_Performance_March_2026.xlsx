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6-27\1. APR 2026\Monthly Portfolio\Ops\"/>
    </mc:Choice>
  </mc:AlternateContent>
  <xr:revisionPtr revIDLastSave="0" documentId="13_ncr:1_{291DBE06-8212-4474-9B4A-42449E32DA54}" xr6:coauthVersionLast="47" xr6:coauthVersionMax="47" xr10:uidLastSave="{00000000-0000-0000-0000-000000000000}"/>
  <bookViews>
    <workbookView xWindow="-120" yWindow="-120" windowWidth="20730" windowHeight="11040" activeTab="1" xr2:uid="{A655822F-DA4F-4218-ADC7-D74724FE98B6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TSS!$C$8:$C$51</definedName>
    <definedName name="XDO_?FINAL_ISIN?11?">TSS!$D$10:$D$51</definedName>
    <definedName name="XDO_?FINAL_ISIN?12?">TSS!$D$10:$D$55</definedName>
    <definedName name="XDO_?FINAL_ISIN?13?">TSS!$D$10:$D$97</definedName>
    <definedName name="XDO_?FINAL_MV?11?">TSS!$H$10:$H$51</definedName>
    <definedName name="XDO_?FINAL_MV?12?">TSS!$H$10:$H$55</definedName>
    <definedName name="XDO_?FINAL_MV?13?">TSS!$H$10:$H$97</definedName>
    <definedName name="XDO_?FINAL_NAME?11?">TSS!$C$10:$C$51</definedName>
    <definedName name="XDO_?FINAL_NAME?12?">TSS!$C$10:$C$55</definedName>
    <definedName name="XDO_?FINAL_NAME?13?">TSS!$C$10:$C$97</definedName>
    <definedName name="XDO_?FINAL_PER_NET?11?">TSS!$I$10:$I$51</definedName>
    <definedName name="XDO_?FINAL_PER_NET?12?">TSS!$I$10:$I$55</definedName>
    <definedName name="XDO_?FINAL_PER_NET?13?">TSS!$I$10:$I$97</definedName>
    <definedName name="XDO_?FINAL_QUANTITE?11?">TSS!$G$10:$G$51</definedName>
    <definedName name="XDO_?FINAL_QUANTITE?12?">TSS!$G$10:$G$55</definedName>
    <definedName name="XDO_?FINAL_QUANTITE?13?">TSS!$G$10:$G$97</definedName>
    <definedName name="XDO_?IND_01?11?">TSS!$F$10:$F$51</definedName>
    <definedName name="XDO_?IND_01?12?">TSS!$F$10:$F$55</definedName>
    <definedName name="XDO_?IND_01?13?">TSS!$F$10:$F$97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TSS!$C$2:$C$51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1?">TSS!$B$10:$B$51</definedName>
    <definedName name="XDO_?NOVAL?12?">TSS!$B$10:$B$55</definedName>
    <definedName name="XDO_?NOVAL?13?">TSS!$B$10:$B$97</definedName>
    <definedName name="XDO_?NPTF?6?">TSS!$D$2:$D$51</definedName>
    <definedName name="XDO_?RATING?11?">TSS!$E$10:$E$51</definedName>
    <definedName name="XDO_?RATING?12?">TSS!$E$10:$E$55</definedName>
    <definedName name="XDO_?RATING?13?">TSS!$E$10:$E$97</definedName>
    <definedName name="XDO_?REMARKS?11?">TSS!$J$10:$J$51</definedName>
    <definedName name="XDO_?REMARKS?12?">TSS!$J$10:$J$55</definedName>
    <definedName name="XDO_?REMARKS?13?">TSS!$J$10:$J$97</definedName>
    <definedName name="XDO_?TITL?6?">TSS!$A$8:$A$51</definedName>
    <definedName name="XDO_GROUP_?G_2?6?">TSS!$2:$100</definedName>
    <definedName name="XDO_GROUP_?G_3?6?">TSS!$8:$99</definedName>
    <definedName name="XDO_GROUP_?G_4?11?">TSS!$B$10:$IV$51</definedName>
    <definedName name="XDO_GROUP_?G_4?12?">TSS!$B$55:$IV$55</definedName>
    <definedName name="XDO_GROUP_?G_4?13?">TSS!$B$97:$IV$97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1" l="1"/>
</calcChain>
</file>

<file path=xl/sharedStrings.xml><?xml version="1.0" encoding="utf-8"?>
<sst xmlns="http://schemas.openxmlformats.org/spreadsheetml/2006/main" count="318" uniqueCount="237">
  <si>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</si>
  <si>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</si>
  <si>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</si>
  <si>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</si>
  <si>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</si>
  <si>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</si>
  <si>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</si>
  <si>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</si>
  <si>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</si>
  <si>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</si>
  <si>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</si>
  <si>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</si>
  <si>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</si>
  <si>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</si>
  <si>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</si>
  <si>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</si>
  <si>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</si>
  <si>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</si>
  <si>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</si>
  <si>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</si>
  <si>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</si>
  <si>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</si>
  <si>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</si>
  <si>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100155</t>
  </si>
  <si>
    <t>Divi's Laboratories Ltd.</t>
  </si>
  <si>
    <t>INE361B01024</t>
  </si>
  <si>
    <t>Pharmaceuticals &amp; Biotechnology</t>
  </si>
  <si>
    <t>100012</t>
  </si>
  <si>
    <t>ICICI Bank Ltd.</t>
  </si>
  <si>
    <t>INE090A01021</t>
  </si>
  <si>
    <t>102729</t>
  </si>
  <si>
    <t>Park Medi World Ltd.</t>
  </si>
  <si>
    <t>INE119201023</t>
  </si>
  <si>
    <t>Healthcare Services</t>
  </si>
  <si>
    <t>100095</t>
  </si>
  <si>
    <t>Bharti Airtel Ltd.</t>
  </si>
  <si>
    <t>INE397D01024</t>
  </si>
  <si>
    <t>Telecom - Services</t>
  </si>
  <si>
    <t>100024</t>
  </si>
  <si>
    <t>Axis Bank Ltd.</t>
  </si>
  <si>
    <t>INE238A01034</t>
  </si>
  <si>
    <t>100014</t>
  </si>
  <si>
    <t>Mahindra &amp; Mahindra Ltd.</t>
  </si>
  <si>
    <t>INE101A01026</t>
  </si>
  <si>
    <t>Automobiles</t>
  </si>
  <si>
    <t>101949</t>
  </si>
  <si>
    <t>Samhi Hotels Ltd.</t>
  </si>
  <si>
    <t>INE08U801020</t>
  </si>
  <si>
    <t>Leisure Services</t>
  </si>
  <si>
    <t>100474</t>
  </si>
  <si>
    <t>Narayana Hrudayalaya Ltd.</t>
  </si>
  <si>
    <t>INE410P01011</t>
  </si>
  <si>
    <t>100010</t>
  </si>
  <si>
    <t>State Bank of India</t>
  </si>
  <si>
    <t>INE062A01020</t>
  </si>
  <si>
    <t>100182</t>
  </si>
  <si>
    <t>Power Grid Corporation of India Ltd.</t>
  </si>
  <si>
    <t>INE752E01010</t>
  </si>
  <si>
    <t>Power</t>
  </si>
  <si>
    <t>101574</t>
  </si>
  <si>
    <t>Linde India Ltd.</t>
  </si>
  <si>
    <t>INE473A01011</t>
  </si>
  <si>
    <t>Chemicals &amp; Petrochemicals</t>
  </si>
  <si>
    <t>100104</t>
  </si>
  <si>
    <t>Kotak Mahindra Bank Ltd.</t>
  </si>
  <si>
    <t>INE237A01036</t>
  </si>
  <si>
    <t>102663</t>
  </si>
  <si>
    <t>Pace Digitek Ltd.</t>
  </si>
  <si>
    <t>INE0S3G01027</t>
  </si>
  <si>
    <t>100325</t>
  </si>
  <si>
    <t>Bajaj Holdings &amp; Investment Ltd.</t>
  </si>
  <si>
    <t>INE118A01012</t>
  </si>
  <si>
    <t>Finance</t>
  </si>
  <si>
    <t>100097</t>
  </si>
  <si>
    <t>Coal India Ltd.</t>
  </si>
  <si>
    <t>INE522F01014</t>
  </si>
  <si>
    <t>Consumable Fuels</t>
  </si>
  <si>
    <t>100002</t>
  </si>
  <si>
    <t>Reliance Industries Ltd.</t>
  </si>
  <si>
    <t>INE002A01018</t>
  </si>
  <si>
    <t>Petroleum Products</t>
  </si>
  <si>
    <t>101884</t>
  </si>
  <si>
    <t>Ambika Cotton Mills Ltd.</t>
  </si>
  <si>
    <t>INE540G01014</t>
  </si>
  <si>
    <t>Textiles &amp; Apparels</t>
  </si>
  <si>
    <t>100194</t>
  </si>
  <si>
    <t>Power Finance Corporation Ltd.</t>
  </si>
  <si>
    <t>INE134E01011</t>
  </si>
  <si>
    <t>100653</t>
  </si>
  <si>
    <t>Deepak Fertilizers and Petrochemicals Corporation Ltd.</t>
  </si>
  <si>
    <t>INE501A01019</t>
  </si>
  <si>
    <t>102642</t>
  </si>
  <si>
    <t>Regaal Resources Ltd.</t>
  </si>
  <si>
    <t>INE0MHO01029</t>
  </si>
  <si>
    <t>Agricultural Food &amp; other Products</t>
  </si>
  <si>
    <t>102634</t>
  </si>
  <si>
    <t>Fedbank Financial Services Ltd.</t>
  </si>
  <si>
    <t>INE007N01010</t>
  </si>
  <si>
    <t>100037</t>
  </si>
  <si>
    <t>HCL Technologies Ltd.</t>
  </si>
  <si>
    <t>INE860A01027</t>
  </si>
  <si>
    <t>IT - Software</t>
  </si>
  <si>
    <t>100826</t>
  </si>
  <si>
    <t>Garden Reach Shipbuilders &amp; Engineers Ltd.</t>
  </si>
  <si>
    <t>INE382Z01011</t>
  </si>
  <si>
    <t>Aerospace &amp; Defense</t>
  </si>
  <si>
    <t>101767</t>
  </si>
  <si>
    <t>Aarti Pharmalabs Ltd.</t>
  </si>
  <si>
    <t>INE0LRU01027</t>
  </si>
  <si>
    <t>100177</t>
  </si>
  <si>
    <t>Grasim Industries Ltd.</t>
  </si>
  <si>
    <t>INE047A01021</t>
  </si>
  <si>
    <t>Cement &amp; Cement Products</t>
  </si>
  <si>
    <t>102520</t>
  </si>
  <si>
    <t>Transrail Lighting Ltd.</t>
  </si>
  <si>
    <t>INE454P01035</t>
  </si>
  <si>
    <t>Electrical Equipment</t>
  </si>
  <si>
    <t>100106</t>
  </si>
  <si>
    <t>Maruti Suzuki India Ltd.</t>
  </si>
  <si>
    <t>INE585B01010</t>
  </si>
  <si>
    <t>100573</t>
  </si>
  <si>
    <t>Chennai Petroleum Corporation Ltd.</t>
  </si>
  <si>
    <t>INE178A01016</t>
  </si>
  <si>
    <t>100814</t>
  </si>
  <si>
    <t>HDFC Asset Management Co. Ltd.</t>
  </si>
  <si>
    <t>INE127D01025</t>
  </si>
  <si>
    <t>Capital Markets</t>
  </si>
  <si>
    <t>100174</t>
  </si>
  <si>
    <t>Vodafone Idea Ltd.</t>
  </si>
  <si>
    <t>INE669E01016</t>
  </si>
  <si>
    <t>100742</t>
  </si>
  <si>
    <t>Force Motors Ltd.</t>
  </si>
  <si>
    <t>INE451A01017</t>
  </si>
  <si>
    <t>100694</t>
  </si>
  <si>
    <t>Indian Energy Exchange Ltd.</t>
  </si>
  <si>
    <t>INE022Q01020</t>
  </si>
  <si>
    <t>102094</t>
  </si>
  <si>
    <t>HBL Engineering Ltd.</t>
  </si>
  <si>
    <t>INE292B01021</t>
  </si>
  <si>
    <t>Industrial Products</t>
  </si>
  <si>
    <t>101498</t>
  </si>
  <si>
    <t>S.J.S. Enterprises Ltd.</t>
  </si>
  <si>
    <t>INE284S01014</t>
  </si>
  <si>
    <t>Auto Components</t>
  </si>
  <si>
    <t>100388</t>
  </si>
  <si>
    <t>Balrampur Chini Mills Ltd.</t>
  </si>
  <si>
    <t>INE119A01028</t>
  </si>
  <si>
    <t>102220</t>
  </si>
  <si>
    <t>Interarch Building Solutions Ltd.</t>
  </si>
  <si>
    <t>INE00M901018</t>
  </si>
  <si>
    <t>Construction</t>
  </si>
  <si>
    <t>101469</t>
  </si>
  <si>
    <t>Equitas Small Finance Bank Ltd.</t>
  </si>
  <si>
    <t>INE063P01018</t>
  </si>
  <si>
    <t>100154</t>
  </si>
  <si>
    <t>Colgate Palmolive (India) Ltd.</t>
  </si>
  <si>
    <t>INE259A01022</t>
  </si>
  <si>
    <t>Personal Products</t>
  </si>
  <si>
    <t>102206</t>
  </si>
  <si>
    <t>Chemtech Industrial Valves Ltd.</t>
  </si>
  <si>
    <t>INE212P01011</t>
  </si>
  <si>
    <t>Industrial Manufacturing</t>
  </si>
  <si>
    <t>101380</t>
  </si>
  <si>
    <t>Godawari Power &amp; Ispat Ltd.</t>
  </si>
  <si>
    <t>INE177H01039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</si>
  <si>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</si>
  <si>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</si>
  <si>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</si>
  <si>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</si>
  <si>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</si>
  <si>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</si>
  <si>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</si>
  <si>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l**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</si>
  <si>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</si>
  <si>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</si>
  <si>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</si>
  <si>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</si>
  <si>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</si>
  <si>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</si>
  <si>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</si>
  <si>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</si>
  <si>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</si>
  <si>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</si>
  <si>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</si>
  <si>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</si>
  <si>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</si>
  <si>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</si>
  <si>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</si>
  <si>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</si>
  <si>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</si>
  <si>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</si>
  <si>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</si>
  <si>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</si>
  <si>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</si>
  <si>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</si>
  <si>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</si>
  <si>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</si>
  <si>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</si>
  <si>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</si>
  <si>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</si>
  <si>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</si>
  <si>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</si>
  <si>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</si>
  <si>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</si>
  <si>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</si>
  <si>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</si>
  <si>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February 28, 2026</t>
  </si>
  <si>
    <t>March 31,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</si>
  <si>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</si>
  <si>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</si>
  <si>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</si>
  <si>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</si>
  <si>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March 31, 2026.</t>
  </si>
  <si>
    <t>7. The Scheme did not declare any bonus during the month ended as on March 31, 2026.</t>
  </si>
  <si>
    <t>8. Total outstanding exposure in derivative instruments as on March 31, 2026 is Nil</t>
  </si>
  <si>
    <t>9. Total investments in Foreign Securities /ADRs/GDRs /Overseas ETFs as on March 31, 2026 and its percentage to NAV is Nil.</t>
  </si>
  <si>
    <t>10. During the period, the portfolio turnover ratio is 0.85 times.</t>
  </si>
  <si>
    <t>      Portfolio Turnover Ratio = Lower of sales or purchase of securities divided by average AUM for 12 months ended as on March 31, 2026</t>
  </si>
  <si>
    <t>11. The Scheme did not invest in repo transactions of corporate debt securities during the month ended as on March 31, 2026.</t>
  </si>
  <si>
    <t>12. The Scheme did not invest in credit default swaps during the month ended as on March 31, 2026.</t>
  </si>
  <si>
    <t>13. There are Nil instances of deviation from the valuation principles/guidelines during the month ended as on March 31st, 2026.</t>
  </si>
  <si>
    <t>Taurus Flexi 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</si>
  <si>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</si>
  <si>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</si>
  <si>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</si>
  <si>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</si>
  <si>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</si>
  <si>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</si>
  <si>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</si>
  <si>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</si>
  <si>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</si>
  <si>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</si>
  <si>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</si>
  <si>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</si>
  <si>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March 30,2026 :194.25)</t>
  </si>
  <si>
    <t>Taurus Flexi Cap Fund - Direct Plan Growth Option</t>
  </si>
  <si>
    <t>NAV [Rs.] Per Unit (as on March 30,2026 :202.18)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</si>
</sst>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4" fontId="3" fillId="0" borderId="0" xfId="1" applyNumberFormat="1" applyFont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4" fontId="3" fillId="0" borderId="0" xfId="0" applyNumberFormat="1" applyFont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</cellXfs>
  <cellStyles count="6">
    <cellStyle name="Comma" xfId="1" builtinId="3"/>
    <cellStyle name="Comma 2" xfId="5" xr:uid="{A8BC7B17-1AE1-492E-8F80-63E3809001DA}"/>
    <cellStyle name="Hyperlink" xfId="2" builtinId="8"/>
    <cellStyle name="Normal" xfId="0" builtinId="0"/>
    <cellStyle name="Normal 2" xfId="4" xr:uid="{6A70A16A-D86A-407C-85C4-0A950C8E62CF}"/>
    <cellStyle name="Style 1" xfId="3" xr:uid="{3A2F58AE-67C2-42AE-8C3D-6342A8A925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348064</xdr:colOff>
      <xdr:row>0</xdr:row>
      <xdr:rowOff>2074332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0AAF11-397B-4014-A883-E04EE0880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100231" cy="2074332"/>
        </a:xfrm>
        <a:prstGeom prst="rect">
          <a:avLst/>
        </a:prstGeom>
      </xdr:spPr>
    </xdr:pic>
    <xdr:clientData/>
  </xdr:twoCellAnchor>
  <xdr:twoCellAnchor editAs="oneCell">
    <xdr:from>
      <xdr:col>0</xdr:col>
      <xdr:colOff>169332</xdr:colOff>
      <xdr:row>0</xdr:row>
      <xdr:rowOff>0</xdr:rowOff>
    </xdr:from>
    <xdr:to>
      <xdr:col>5</xdr:col>
      <xdr:colOff>350539</xdr:colOff>
      <xdr:row>0</xdr:row>
      <xdr:rowOff>2032000</xdr:rowOff>
    </xdr:to>
    <xdr:pic>
      <xdr:nvPicPr>
        <xdr:cNvPr id="3" name="Picture 2" descr="Product Label - 9th Dec 2024 - Flexi.jpg">
          <a:extLst>
            <a:ext uri="{FF2B5EF4-FFF2-40B4-BE49-F238E27FC236}">
              <a16:creationId xmlns:a16="http://schemas.microsoft.com/office/drawing/2014/main" id="{D9A0A3D1-4398-454F-AB09-EC60CE9D2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9332" y="0"/>
          <a:ext cx="7102707" cy="2032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Mar_2026\Final\Monthly_Portfolio_Report_March%202026.xls" TargetMode="External"/><Relationship Id="rId1" Type="http://schemas.openxmlformats.org/officeDocument/2006/relationships/externalLinkPath" Target="file:///Q:\5.TMF\Reporting\Monthly%20Reports\Monthly%20Portfolio\2025-26\Mar_2026\Final\Monthly_Portfolio_Report_March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4B6DD-9B0E-4946-8EAE-19143BAEDAE8}">
  <dimension ref="A1:BB126"/>
  <sheetViews>
    <sheetView showGridLines="0" zoomScale="90" zoomScaleNormal="90" workbookViewId="0">
      <selection activeCell="G1" sqref="G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2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46112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363593</v>
      </c>
      <c r="H10" s="32">
        <v>2660.77</v>
      </c>
      <c r="I10" s="32">
        <v>8.6999999999999993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868506</v>
      </c>
      <c r="H11" s="32">
        <v>2498.69</v>
      </c>
      <c r="I11" s="32">
        <v>8.17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27474</v>
      </c>
      <c r="H12" s="32">
        <v>1633.76</v>
      </c>
      <c r="I12" s="32">
        <v>5.34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116272</v>
      </c>
      <c r="H13" s="32">
        <v>1401.31</v>
      </c>
      <c r="I13" s="32">
        <v>4.58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680053</v>
      </c>
      <c r="H14" s="32">
        <v>1289.72</v>
      </c>
      <c r="I14" s="32">
        <v>4.22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67614</v>
      </c>
      <c r="H15" s="32">
        <v>1206.44</v>
      </c>
      <c r="I15" s="32">
        <v>3.94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97722</v>
      </c>
      <c r="H16" s="32">
        <v>1135.48</v>
      </c>
      <c r="I16" s="32">
        <v>3.71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37582</v>
      </c>
      <c r="H17" s="32">
        <v>1110.98</v>
      </c>
      <c r="I17" s="32">
        <v>3.63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808185</v>
      </c>
      <c r="H18" s="32">
        <v>1034.8800000000001</v>
      </c>
      <c r="I18" s="32">
        <v>3.38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33</v>
      </c>
      <c r="G19" s="31">
        <v>63640</v>
      </c>
      <c r="H19" s="32">
        <v>1021.84</v>
      </c>
      <c r="I19" s="32">
        <v>3.34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18</v>
      </c>
      <c r="G20" s="31">
        <v>102156</v>
      </c>
      <c r="H20" s="32">
        <v>1000.92</v>
      </c>
      <c r="I20" s="32">
        <v>3.27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328277</v>
      </c>
      <c r="H21" s="32">
        <v>972.36</v>
      </c>
      <c r="I21" s="32">
        <v>3.18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13893</v>
      </c>
      <c r="H22" s="32">
        <v>945.9</v>
      </c>
      <c r="I22" s="32">
        <v>3.09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18</v>
      </c>
      <c r="G23" s="31">
        <v>247895</v>
      </c>
      <c r="H23" s="32">
        <v>875.57</v>
      </c>
      <c r="I23" s="32">
        <v>2.86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37</v>
      </c>
      <c r="G24" s="31">
        <v>589000</v>
      </c>
      <c r="H24" s="32">
        <v>829.61</v>
      </c>
      <c r="I24" s="32">
        <v>2.71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8669</v>
      </c>
      <c r="H25" s="32">
        <v>758.02</v>
      </c>
      <c r="I25" s="32">
        <v>2.48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164670</v>
      </c>
      <c r="H26" s="32">
        <v>741.43</v>
      </c>
      <c r="I26" s="32">
        <v>2.42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52556</v>
      </c>
      <c r="H27" s="32">
        <v>706.48</v>
      </c>
      <c r="I27" s="32">
        <v>2.31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61970</v>
      </c>
      <c r="H28" s="32">
        <v>699.39</v>
      </c>
      <c r="I28" s="32">
        <v>2.29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72</v>
      </c>
      <c r="G29" s="31">
        <v>181773</v>
      </c>
      <c r="H29" s="32">
        <v>690.1</v>
      </c>
      <c r="I29" s="32">
        <v>2.2599999999999998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62</v>
      </c>
      <c r="G30" s="31">
        <v>67905</v>
      </c>
      <c r="H30" s="32">
        <v>617.53</v>
      </c>
      <c r="I30" s="32">
        <v>2.02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913937</v>
      </c>
      <c r="H31" s="32">
        <v>561.42999999999995</v>
      </c>
      <c r="I31" s="32">
        <v>1.84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72</v>
      </c>
      <c r="G32" s="31">
        <v>376905</v>
      </c>
      <c r="H32" s="32">
        <v>467.55</v>
      </c>
      <c r="I32" s="32">
        <v>1.53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33973</v>
      </c>
      <c r="H33" s="32">
        <v>455.63</v>
      </c>
      <c r="I33" s="32">
        <v>1.49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21860</v>
      </c>
      <c r="H34" s="32">
        <v>430.82</v>
      </c>
      <c r="I34" s="32">
        <v>1.41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26</v>
      </c>
      <c r="G35" s="31">
        <v>72058</v>
      </c>
      <c r="H35" s="32">
        <v>424.6</v>
      </c>
      <c r="I35" s="32">
        <v>1.39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16535</v>
      </c>
      <c r="H36" s="32">
        <v>422.53</v>
      </c>
      <c r="I36" s="32">
        <v>1.38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90834</v>
      </c>
      <c r="H37" s="32">
        <v>410.43</v>
      </c>
      <c r="I37" s="32">
        <v>1.34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44</v>
      </c>
      <c r="G38" s="31">
        <v>2987</v>
      </c>
      <c r="H38" s="32">
        <v>367.37</v>
      </c>
      <c r="I38" s="32">
        <v>1.2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80</v>
      </c>
      <c r="G39" s="31">
        <v>37000</v>
      </c>
      <c r="H39" s="32">
        <v>357.92</v>
      </c>
      <c r="I39" s="32">
        <v>1.17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13517</v>
      </c>
      <c r="H40" s="32">
        <v>299.64</v>
      </c>
      <c r="I40" s="32">
        <v>0.98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37</v>
      </c>
      <c r="G41" s="31">
        <v>3308207</v>
      </c>
      <c r="H41" s="32">
        <v>282.19</v>
      </c>
      <c r="I41" s="32">
        <v>0.92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44</v>
      </c>
      <c r="G42" s="31">
        <v>1400</v>
      </c>
      <c r="H42" s="32">
        <v>271.64999999999998</v>
      </c>
      <c r="I42" s="32">
        <v>0.89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126</v>
      </c>
      <c r="G43" s="31">
        <v>225727</v>
      </c>
      <c r="H43" s="32">
        <v>258.91000000000003</v>
      </c>
      <c r="I43" s="32">
        <v>0.85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139</v>
      </c>
      <c r="G44" s="31">
        <v>36500</v>
      </c>
      <c r="H44" s="32">
        <v>224.38</v>
      </c>
      <c r="I44" s="32">
        <v>0.73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143</v>
      </c>
      <c r="G45" s="31">
        <v>14473</v>
      </c>
      <c r="H45" s="32">
        <v>224.25</v>
      </c>
      <c r="I45" s="32">
        <v>0.73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94</v>
      </c>
      <c r="G46" s="31">
        <v>32000</v>
      </c>
      <c r="H46" s="32">
        <v>159.19999999999999</v>
      </c>
      <c r="I46" s="32">
        <v>0.52</v>
      </c>
      <c r="J46" s="33"/>
    </row>
    <row r="47" spans="2:10" x14ac:dyDescent="0.25">
      <c r="B47" s="1" t="s">
        <v>147</v>
      </c>
      <c r="C47" s="20" t="s">
        <v>148</v>
      </c>
      <c r="D47" s="29" t="s">
        <v>149</v>
      </c>
      <c r="E47" s="30"/>
      <c r="F47" s="30" t="s">
        <v>150</v>
      </c>
      <c r="G47" s="31">
        <v>9203</v>
      </c>
      <c r="H47" s="32">
        <v>153.29</v>
      </c>
      <c r="I47" s="32">
        <v>0.5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18</v>
      </c>
      <c r="G48" s="31">
        <v>284054</v>
      </c>
      <c r="H48" s="32">
        <v>146.77000000000001</v>
      </c>
      <c r="I48" s="32">
        <v>0.48</v>
      </c>
      <c r="J48" s="33"/>
    </row>
    <row r="49" spans="2:10" x14ac:dyDescent="0.25">
      <c r="B49" s="1" t="s">
        <v>154</v>
      </c>
      <c r="C49" s="20" t="s">
        <v>155</v>
      </c>
      <c r="D49" s="29" t="s">
        <v>156</v>
      </c>
      <c r="E49" s="30"/>
      <c r="F49" s="30" t="s">
        <v>157</v>
      </c>
      <c r="G49" s="31">
        <v>5579</v>
      </c>
      <c r="H49" s="32">
        <v>99.81</v>
      </c>
      <c r="I49" s="32">
        <v>0.33</v>
      </c>
      <c r="J49" s="33"/>
    </row>
    <row r="50" spans="2:10" x14ac:dyDescent="0.25">
      <c r="B50" s="1" t="s">
        <v>158</v>
      </c>
      <c r="C50" s="20" t="s">
        <v>159</v>
      </c>
      <c r="D50" s="29" t="s">
        <v>160</v>
      </c>
      <c r="E50" s="30"/>
      <c r="F50" s="30" t="s">
        <v>161</v>
      </c>
      <c r="G50" s="31">
        <v>108000</v>
      </c>
      <c r="H50" s="32">
        <v>66.02</v>
      </c>
      <c r="I50" s="32">
        <v>0.22</v>
      </c>
      <c r="J50" s="33"/>
    </row>
    <row r="51" spans="2:10" x14ac:dyDescent="0.25">
      <c r="B51" s="1" t="s">
        <v>162</v>
      </c>
      <c r="C51" s="20" t="s">
        <v>163</v>
      </c>
      <c r="D51" s="29" t="s">
        <v>164</v>
      </c>
      <c r="E51" s="30"/>
      <c r="F51" s="30" t="s">
        <v>139</v>
      </c>
      <c r="G51" s="31">
        <v>10000</v>
      </c>
      <c r="H51" s="32">
        <v>26.91</v>
      </c>
      <c r="I51" s="32">
        <v>0.09</v>
      </c>
      <c r="J51" s="33"/>
    </row>
    <row r="52" spans="2:10" x14ac:dyDescent="0.25">
      <c r="C52" s="28" t="s">
        <v>165</v>
      </c>
      <c r="D52" s="29"/>
      <c r="E52" s="30"/>
      <c r="F52" s="30"/>
      <c r="G52" s="31"/>
      <c r="H52" s="35">
        <v>29942.48</v>
      </c>
      <c r="I52" s="35">
        <v>97.89</v>
      </c>
      <c r="J52" s="33"/>
    </row>
    <row r="53" spans="2:10" x14ac:dyDescent="0.25">
      <c r="C53" s="20"/>
      <c r="D53" s="29"/>
      <c r="E53" s="30"/>
      <c r="F53" s="30"/>
      <c r="G53" s="31"/>
      <c r="H53" s="32"/>
      <c r="I53" s="32"/>
      <c r="J53" s="33"/>
    </row>
    <row r="54" spans="2:10" x14ac:dyDescent="0.25">
      <c r="C54" s="34" t="s">
        <v>166</v>
      </c>
      <c r="D54" s="29"/>
      <c r="E54" s="30"/>
      <c r="F54" s="30"/>
      <c r="G54" s="31"/>
      <c r="H54" s="32"/>
      <c r="I54" s="32"/>
      <c r="J54" s="33"/>
    </row>
    <row r="55" spans="2:10" x14ac:dyDescent="0.25">
      <c r="B55" s="1" t="s">
        <v>167</v>
      </c>
      <c r="C55" s="20" t="s">
        <v>168</v>
      </c>
      <c r="D55" s="29" t="s">
        <v>169</v>
      </c>
      <c r="E55" s="30"/>
      <c r="F55" s="30" t="s">
        <v>170</v>
      </c>
      <c r="G55" s="31">
        <v>189983</v>
      </c>
      <c r="H55" s="36">
        <v>0</v>
      </c>
      <c r="I55" s="32" t="s">
        <v>171</v>
      </c>
      <c r="J55" s="33" t="s">
        <v>172</v>
      </c>
    </row>
    <row r="56" spans="2:10" x14ac:dyDescent="0.25">
      <c r="C56" s="28" t="s">
        <v>165</v>
      </c>
      <c r="D56" s="29"/>
      <c r="E56" s="30"/>
      <c r="F56" s="30"/>
      <c r="G56" s="31"/>
      <c r="H56" s="37">
        <v>0</v>
      </c>
      <c r="I56" s="35" t="s">
        <v>171</v>
      </c>
      <c r="J56" s="33"/>
    </row>
    <row r="57" spans="2:10" x14ac:dyDescent="0.25">
      <c r="C57" s="20"/>
      <c r="D57" s="29"/>
      <c r="E57" s="30"/>
      <c r="F57" s="30"/>
      <c r="G57" s="31"/>
      <c r="H57" s="32"/>
      <c r="I57" s="32"/>
      <c r="J57" s="33"/>
    </row>
    <row r="58" spans="2:10" x14ac:dyDescent="0.25">
      <c r="C58" s="28" t="s">
        <v>173</v>
      </c>
      <c r="D58" s="29"/>
      <c r="E58" s="30"/>
      <c r="F58" s="30"/>
      <c r="G58" s="31"/>
      <c r="H58" s="32" t="s">
        <v>174</v>
      </c>
      <c r="I58" s="32" t="s">
        <v>174</v>
      </c>
      <c r="J58" s="33"/>
    </row>
    <row r="59" spans="2:10" x14ac:dyDescent="0.25">
      <c r="C59" s="20"/>
      <c r="D59" s="29"/>
      <c r="E59" s="30"/>
      <c r="F59" s="30"/>
      <c r="G59" s="31"/>
      <c r="H59" s="32"/>
      <c r="I59" s="32"/>
      <c r="J59" s="33"/>
    </row>
    <row r="60" spans="2:10" x14ac:dyDescent="0.25">
      <c r="C60" s="28" t="s">
        <v>175</v>
      </c>
      <c r="D60" s="29"/>
      <c r="E60" s="30"/>
      <c r="F60" s="30"/>
      <c r="G60" s="31"/>
      <c r="H60" s="32"/>
      <c r="I60" s="32"/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176</v>
      </c>
      <c r="D62" s="29"/>
      <c r="E62" s="30"/>
      <c r="F62" s="30"/>
      <c r="G62" s="31"/>
      <c r="H62" s="32" t="s">
        <v>174</v>
      </c>
      <c r="I62" s="32" t="s">
        <v>174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177</v>
      </c>
      <c r="D64" s="29"/>
      <c r="E64" s="30"/>
      <c r="F64" s="30"/>
      <c r="G64" s="31"/>
      <c r="H64" s="32" t="s">
        <v>174</v>
      </c>
      <c r="I64" s="32" t="s">
        <v>174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178</v>
      </c>
      <c r="D66" s="29"/>
      <c r="E66" s="30"/>
      <c r="F66" s="30"/>
      <c r="G66" s="31"/>
      <c r="H66" s="32" t="s">
        <v>174</v>
      </c>
      <c r="I66" s="32" t="s">
        <v>174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179</v>
      </c>
      <c r="D68" s="29"/>
      <c r="E68" s="30"/>
      <c r="F68" s="30"/>
      <c r="G68" s="31"/>
      <c r="H68" s="32" t="s">
        <v>174</v>
      </c>
      <c r="I68" s="32" t="s">
        <v>174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180</v>
      </c>
      <c r="D70" s="29"/>
      <c r="E70" s="30"/>
      <c r="F70" s="30"/>
      <c r="G70" s="31"/>
      <c r="H70" s="32" t="s">
        <v>174</v>
      </c>
      <c r="I70" s="32" t="s">
        <v>174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181</v>
      </c>
      <c r="D72" s="29"/>
      <c r="E72" s="30"/>
      <c r="F72" s="30"/>
      <c r="G72" s="31"/>
      <c r="H72" s="32"/>
      <c r="I72" s="32"/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182</v>
      </c>
      <c r="D74" s="29"/>
      <c r="E74" s="30"/>
      <c r="F74" s="30"/>
      <c r="G74" s="31"/>
      <c r="H74" s="32" t="s">
        <v>174</v>
      </c>
      <c r="I74" s="32" t="s">
        <v>174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183</v>
      </c>
      <c r="D76" s="29"/>
      <c r="E76" s="30"/>
      <c r="F76" s="30"/>
      <c r="G76" s="31"/>
      <c r="H76" s="32" t="s">
        <v>174</v>
      </c>
      <c r="I76" s="32" t="s">
        <v>174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184</v>
      </c>
      <c r="D78" s="29"/>
      <c r="E78" s="30"/>
      <c r="F78" s="30"/>
      <c r="G78" s="31"/>
      <c r="H78" s="32" t="s">
        <v>174</v>
      </c>
      <c r="I78" s="32" t="s">
        <v>174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185</v>
      </c>
      <c r="D80" s="29"/>
      <c r="E80" s="30"/>
      <c r="F80" s="30"/>
      <c r="G80" s="31"/>
      <c r="H80" s="32" t="s">
        <v>174</v>
      </c>
      <c r="I80" s="32" t="s">
        <v>174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186</v>
      </c>
      <c r="D82" s="29"/>
      <c r="E82" s="30"/>
      <c r="F82" s="30"/>
      <c r="G82" s="31"/>
      <c r="H82" s="32"/>
      <c r="I82" s="32"/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187</v>
      </c>
      <c r="D84" s="29"/>
      <c r="E84" s="30"/>
      <c r="F84" s="30"/>
      <c r="G84" s="31"/>
      <c r="H84" s="32" t="s">
        <v>174</v>
      </c>
      <c r="I84" s="32" t="s">
        <v>174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188</v>
      </c>
      <c r="D86" s="29"/>
      <c r="E86" s="30"/>
      <c r="F86" s="30"/>
      <c r="G86" s="31"/>
      <c r="H86" s="32" t="s">
        <v>174</v>
      </c>
      <c r="I86" s="32" t="s">
        <v>174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C88" s="28" t="s">
        <v>189</v>
      </c>
      <c r="D88" s="29"/>
      <c r="E88" s="30"/>
      <c r="F88" s="30"/>
      <c r="G88" s="31"/>
      <c r="H88" s="32" t="s">
        <v>174</v>
      </c>
      <c r="I88" s="32" t="s">
        <v>174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x14ac:dyDescent="0.25">
      <c r="C90" s="28" t="s">
        <v>190</v>
      </c>
      <c r="D90" s="29"/>
      <c r="E90" s="30"/>
      <c r="F90" s="30"/>
      <c r="G90" s="31"/>
      <c r="H90" s="32" t="s">
        <v>174</v>
      </c>
      <c r="I90" s="32" t="s">
        <v>174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x14ac:dyDescent="0.25">
      <c r="C92" s="28" t="s">
        <v>191</v>
      </c>
      <c r="D92" s="29"/>
      <c r="E92" s="30"/>
      <c r="F92" s="30"/>
      <c r="G92" s="31"/>
      <c r="H92" s="32" t="s">
        <v>174</v>
      </c>
      <c r="I92" s="32" t="s">
        <v>174</v>
      </c>
      <c r="J92" s="33"/>
    </row>
    <row r="93" spans="1:10" x14ac:dyDescent="0.25">
      <c r="C93" s="20"/>
      <c r="D93" s="29"/>
      <c r="E93" s="30"/>
      <c r="F93" s="30"/>
      <c r="G93" s="31"/>
      <c r="H93" s="32"/>
      <c r="I93" s="32"/>
      <c r="J93" s="33"/>
    </row>
    <row r="94" spans="1:10" x14ac:dyDescent="0.25">
      <c r="C94" s="28" t="s">
        <v>192</v>
      </c>
      <c r="D94" s="29"/>
      <c r="E94" s="30"/>
      <c r="F94" s="30"/>
      <c r="G94" s="31"/>
      <c r="H94" s="32" t="s">
        <v>174</v>
      </c>
      <c r="I94" s="32" t="s">
        <v>174</v>
      </c>
      <c r="J94" s="33"/>
    </row>
    <row r="95" spans="1:10" x14ac:dyDescent="0.25">
      <c r="C95" s="20"/>
      <c r="D95" s="29"/>
      <c r="E95" s="30"/>
      <c r="F95" s="30"/>
      <c r="G95" s="31"/>
      <c r="H95" s="32"/>
      <c r="I95" s="32"/>
      <c r="J95" s="33"/>
    </row>
    <row r="96" spans="1:10" x14ac:dyDescent="0.25">
      <c r="A96" s="26"/>
      <c r="B96" s="27"/>
      <c r="C96" s="28" t="s">
        <v>193</v>
      </c>
      <c r="D96" s="29"/>
      <c r="E96" s="30"/>
      <c r="F96" s="30"/>
      <c r="G96" s="31"/>
      <c r="H96" s="32"/>
      <c r="I96" s="32"/>
      <c r="J96" s="33"/>
    </row>
    <row r="97" spans="2:10" x14ac:dyDescent="0.25">
      <c r="B97" s="1"/>
      <c r="C97" s="20" t="s">
        <v>194</v>
      </c>
      <c r="D97" s="29"/>
      <c r="E97" s="30"/>
      <c r="F97" s="30"/>
      <c r="G97" s="31"/>
      <c r="H97" s="32">
        <v>643.97</v>
      </c>
      <c r="I97" s="32">
        <v>2.11</v>
      </c>
      <c r="J97" s="33"/>
    </row>
    <row r="98" spans="2:10" x14ac:dyDescent="0.25">
      <c r="C98" s="28" t="s">
        <v>165</v>
      </c>
      <c r="D98" s="29"/>
      <c r="E98" s="30"/>
      <c r="F98" s="30"/>
      <c r="G98" s="31"/>
      <c r="H98" s="35">
        <v>643.97</v>
      </c>
      <c r="I98" s="35">
        <v>2.11</v>
      </c>
      <c r="J98" s="33"/>
    </row>
    <row r="99" spans="2:10" x14ac:dyDescent="0.25">
      <c r="C99" s="20"/>
      <c r="D99" s="29"/>
      <c r="E99" s="30"/>
      <c r="F99" s="30"/>
      <c r="G99" s="31"/>
      <c r="H99" s="32"/>
      <c r="I99" s="32"/>
      <c r="J99" s="33"/>
    </row>
    <row r="100" spans="2:10" ht="14.25" thickBot="1" x14ac:dyDescent="0.3">
      <c r="C100" s="38" t="s">
        <v>195</v>
      </c>
      <c r="D100" s="39"/>
      <c r="E100" s="40"/>
      <c r="F100" s="41"/>
      <c r="G100" s="42"/>
      <c r="H100" s="43">
        <v>30586.45</v>
      </c>
      <c r="I100" s="43">
        <f>SUMIFS(I:I,C:C,"Total")</f>
        <v>100</v>
      </c>
      <c r="J100" s="44"/>
    </row>
    <row r="101" spans="2:10" x14ac:dyDescent="0.25">
      <c r="H101" s="45"/>
    </row>
    <row r="103" spans="2:10" x14ac:dyDescent="0.25">
      <c r="C103" s="11" t="s">
        <v>196</v>
      </c>
    </row>
    <row r="104" spans="2:10" x14ac:dyDescent="0.25">
      <c r="C104" s="2" t="s">
        <v>197</v>
      </c>
    </row>
    <row r="105" spans="2:10" x14ac:dyDescent="0.25">
      <c r="C105" s="2" t="s">
        <v>198</v>
      </c>
    </row>
    <row r="106" spans="2:10" x14ac:dyDescent="0.25">
      <c r="C106" s="2" t="s">
        <v>199</v>
      </c>
    </row>
    <row r="107" spans="2:10" x14ac:dyDescent="0.25">
      <c r="C107" s="2" t="s">
        <v>200</v>
      </c>
    </row>
    <row r="108" spans="2:10" x14ac:dyDescent="0.25">
      <c r="C108" s="2" t="s">
        <v>201</v>
      </c>
    </row>
    <row r="109" spans="2:10" ht="14.25" thickBot="1" x14ac:dyDescent="0.3">
      <c r="C109" s="2" t="s">
        <v>202</v>
      </c>
    </row>
    <row r="110" spans="2:10" ht="14.25" thickBot="1" x14ac:dyDescent="0.3">
      <c r="C110" s="46"/>
      <c r="D110" s="62" t="s">
        <v>203</v>
      </c>
      <c r="E110" s="63"/>
    </row>
    <row r="111" spans="2:10" x14ac:dyDescent="0.25">
      <c r="C111" s="47" t="s">
        <v>204</v>
      </c>
      <c r="D111" s="48" t="s">
        <v>205</v>
      </c>
      <c r="E111" s="48" t="s">
        <v>205</v>
      </c>
    </row>
    <row r="112" spans="2:10" ht="14.25" thickBot="1" x14ac:dyDescent="0.3">
      <c r="C112" s="49"/>
      <c r="D112" s="50" t="s">
        <v>206</v>
      </c>
      <c r="E112" s="50" t="s">
        <v>207</v>
      </c>
    </row>
    <row r="113" spans="3:7" ht="14.25" thickBot="1" x14ac:dyDescent="0.3">
      <c r="C113" s="51" t="s">
        <v>208</v>
      </c>
      <c r="D113" s="52">
        <v>106.56</v>
      </c>
      <c r="E113" s="52">
        <v>94.26</v>
      </c>
      <c r="F113" s="53"/>
      <c r="G113" s="45"/>
    </row>
    <row r="114" spans="3:7" ht="14.25" thickBot="1" x14ac:dyDescent="0.3">
      <c r="C114" s="51" t="s">
        <v>209</v>
      </c>
      <c r="D114" s="52">
        <v>219.59</v>
      </c>
      <c r="E114" s="52">
        <v>194.23</v>
      </c>
      <c r="F114" s="53"/>
      <c r="G114" s="45"/>
    </row>
    <row r="115" spans="3:7" ht="14.25" thickBot="1" x14ac:dyDescent="0.3">
      <c r="C115" s="51" t="s">
        <v>210</v>
      </c>
      <c r="D115" s="52">
        <v>115.31</v>
      </c>
      <c r="E115" s="52">
        <v>102</v>
      </c>
      <c r="F115" s="53"/>
      <c r="G115" s="45"/>
    </row>
    <row r="116" spans="3:7" ht="14.25" thickBot="1" x14ac:dyDescent="0.3">
      <c r="C116" s="51" t="s">
        <v>211</v>
      </c>
      <c r="D116" s="52">
        <v>228.55</v>
      </c>
      <c r="E116" s="52">
        <v>202.17</v>
      </c>
      <c r="F116" s="53"/>
      <c r="G116" s="45"/>
    </row>
    <row r="118" spans="3:7" x14ac:dyDescent="0.25">
      <c r="C118" s="2" t="s">
        <v>212</v>
      </c>
    </row>
    <row r="119" spans="3:7" x14ac:dyDescent="0.25">
      <c r="C119" s="2" t="s">
        <v>213</v>
      </c>
    </row>
    <row r="120" spans="3:7" x14ac:dyDescent="0.25">
      <c r="C120" s="2" t="s">
        <v>214</v>
      </c>
    </row>
    <row r="121" spans="3:7" x14ac:dyDescent="0.25">
      <c r="C121" s="2" t="s">
        <v>215</v>
      </c>
    </row>
    <row r="122" spans="3:7" x14ac:dyDescent="0.25">
      <c r="C122" s="2" t="s">
        <v>216</v>
      </c>
    </row>
    <row r="123" spans="3:7" x14ac:dyDescent="0.25">
      <c r="C123" s="2" t="s">
        <v>217</v>
      </c>
    </row>
    <row r="124" spans="3:7" x14ac:dyDescent="0.25">
      <c r="C124" s="2" t="s">
        <v>218</v>
      </c>
    </row>
    <row r="125" spans="3:7" x14ac:dyDescent="0.25">
      <c r="C125" s="2" t="s">
        <v>219</v>
      </c>
    </row>
    <row r="126" spans="3:7" x14ac:dyDescent="0.25">
      <c r="C126" s="2" t="s">
        <v>220</v>
      </c>
    </row>
  </sheetData>
  <mergeCells count="1">
    <mergeCell ref="D110:E110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8B70-BA3E-4BBB-BED2-526C2FCB6432}">
  <dimension ref="C3:M17"/>
  <sheetViews>
    <sheetView tabSelected="1" topLeftCell="A8" workbookViewId="0">
      <selection activeCell="L15" sqref="L15"/>
    </sheetView>
  </sheetViews>
  <sheetFormatPr defaultRowHeight="15" x14ac:dyDescent="0.25"/>
  <cols>
    <col min="3" max="3" width="57.7109375" customWidth="1"/>
    <col min="4" max="4" width="7.140625" bestFit="1" customWidth="1"/>
    <col min="5" max="5" width="10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54" t="s">
        <v>221</v>
      </c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3:13" x14ac:dyDescent="0.25">
      <c r="C4" s="56" t="s">
        <v>222</v>
      </c>
      <c r="D4" s="66" t="s">
        <v>223</v>
      </c>
      <c r="E4" s="66"/>
      <c r="F4" s="66" t="s">
        <v>224</v>
      </c>
      <c r="G4" s="66"/>
      <c r="H4" s="66" t="s">
        <v>225</v>
      </c>
      <c r="I4" s="66"/>
      <c r="J4" s="67" t="s">
        <v>226</v>
      </c>
      <c r="K4" s="68"/>
      <c r="L4" s="69" t="s">
        <v>227</v>
      </c>
      <c r="M4" s="69"/>
    </row>
    <row r="5" spans="3:13" ht="63.75" x14ac:dyDescent="0.25">
      <c r="C5" s="57"/>
      <c r="D5" s="58" t="s">
        <v>228</v>
      </c>
      <c r="E5" s="58" t="s">
        <v>229</v>
      </c>
      <c r="F5" s="58" t="s">
        <v>228</v>
      </c>
      <c r="G5" s="58" t="s">
        <v>229</v>
      </c>
      <c r="H5" s="58" t="s">
        <v>228</v>
      </c>
      <c r="I5" s="58" t="s">
        <v>229</v>
      </c>
      <c r="J5" s="58" t="s">
        <v>228</v>
      </c>
      <c r="K5" s="58" t="s">
        <v>229</v>
      </c>
      <c r="L5" s="59" t="s">
        <v>228</v>
      </c>
      <c r="M5" s="59" t="s">
        <v>229</v>
      </c>
    </row>
    <row r="6" spans="3:13" x14ac:dyDescent="0.25">
      <c r="C6" s="60" t="s">
        <v>230</v>
      </c>
      <c r="D6" s="61">
        <v>-7.5351366999999998</v>
      </c>
      <c r="E6" s="61">
        <v>9242.5179616500936</v>
      </c>
      <c r="F6" s="61">
        <v>11.5154</v>
      </c>
      <c r="G6" s="61">
        <v>13875.991142224444</v>
      </c>
      <c r="H6" s="61">
        <v>9.0551999999999992</v>
      </c>
      <c r="I6" s="61">
        <v>15428.911834789515</v>
      </c>
      <c r="J6" s="61">
        <v>8.9291</v>
      </c>
      <c r="K6" s="61">
        <v>23531.193216232587</v>
      </c>
      <c r="L6" s="61">
        <v>9.6548999999999996</v>
      </c>
      <c r="M6" s="61">
        <v>194250</v>
      </c>
    </row>
    <row r="7" spans="3:13" x14ac:dyDescent="0.25">
      <c r="C7" s="60" t="s">
        <v>231</v>
      </c>
      <c r="D7" s="61">
        <v>-3.1080421999999999</v>
      </c>
      <c r="E7" s="61">
        <v>9687.5199999999986</v>
      </c>
      <c r="F7" s="61">
        <v>13.4222</v>
      </c>
      <c r="G7" s="61">
        <v>14591.307183711093</v>
      </c>
      <c r="H7" s="61">
        <v>11.612399999999999</v>
      </c>
      <c r="I7" s="61">
        <v>17320.572164375099</v>
      </c>
      <c r="J7" s="61">
        <v>13.588699999999999</v>
      </c>
      <c r="K7" s="61">
        <v>18909.308434713374</v>
      </c>
      <c r="L7" s="61" t="s">
        <v>232</v>
      </c>
      <c r="M7" s="61" t="s">
        <v>232</v>
      </c>
    </row>
    <row r="8" spans="3:13" x14ac:dyDescent="0.25">
      <c r="C8" s="60" t="s">
        <v>233</v>
      </c>
      <c r="D8" s="61">
        <v>-3.99</v>
      </c>
      <c r="E8" s="61">
        <v>9601</v>
      </c>
      <c r="F8" s="61">
        <v>10.604200000000001</v>
      </c>
      <c r="G8" s="61">
        <v>13530.531495890262</v>
      </c>
      <c r="H8" s="61">
        <v>9.7759999999999998</v>
      </c>
      <c r="I8" s="61">
        <v>15941.787283973832</v>
      </c>
      <c r="J8" s="61">
        <v>12.539300000000001</v>
      </c>
      <c r="K8" s="61">
        <v>18051.822206086035</v>
      </c>
      <c r="L8" s="61">
        <v>10.714499999999999</v>
      </c>
      <c r="M8" s="61">
        <v>264715.55239299574</v>
      </c>
    </row>
    <row r="9" spans="3:13" x14ac:dyDescent="0.25">
      <c r="C9" s="60" t="s">
        <v>234</v>
      </c>
      <c r="D9" s="64">
        <v>210.17</v>
      </c>
      <c r="E9" s="65"/>
      <c r="F9" s="64">
        <v>139.99</v>
      </c>
      <c r="G9" s="65"/>
      <c r="H9" s="64">
        <v>125.9</v>
      </c>
      <c r="I9" s="65"/>
      <c r="J9" s="64">
        <v>82.55</v>
      </c>
      <c r="K9" s="65"/>
      <c r="L9" s="64">
        <v>10</v>
      </c>
      <c r="M9" s="65"/>
    </row>
    <row r="11" spans="3:13" ht="15.75" x14ac:dyDescent="0.25">
      <c r="C11" s="54" t="s">
        <v>235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3:13" x14ac:dyDescent="0.25">
      <c r="C12" s="56" t="s">
        <v>222</v>
      </c>
      <c r="D12" s="66" t="s">
        <v>223</v>
      </c>
      <c r="E12" s="66"/>
      <c r="F12" s="66" t="s">
        <v>224</v>
      </c>
      <c r="G12" s="66"/>
      <c r="H12" s="66" t="s">
        <v>225</v>
      </c>
      <c r="I12" s="66"/>
      <c r="J12" s="67" t="s">
        <v>226</v>
      </c>
      <c r="K12" s="68"/>
      <c r="L12" s="69" t="s">
        <v>227</v>
      </c>
      <c r="M12" s="69"/>
    </row>
    <row r="13" spans="3:13" ht="63.75" x14ac:dyDescent="0.25">
      <c r="C13" s="57"/>
      <c r="D13" s="58" t="s">
        <v>228</v>
      </c>
      <c r="E13" s="58" t="s">
        <v>229</v>
      </c>
      <c r="F13" s="58" t="s">
        <v>228</v>
      </c>
      <c r="G13" s="58" t="s">
        <v>229</v>
      </c>
      <c r="H13" s="58" t="s">
        <v>228</v>
      </c>
      <c r="I13" s="58" t="s">
        <v>229</v>
      </c>
      <c r="J13" s="58" t="s">
        <v>228</v>
      </c>
      <c r="K13" s="58" t="s">
        <v>229</v>
      </c>
      <c r="L13" s="59" t="s">
        <v>228</v>
      </c>
      <c r="M13" s="59" t="s">
        <v>229</v>
      </c>
    </row>
    <row r="14" spans="3:13" x14ac:dyDescent="0.25">
      <c r="C14" s="60" t="s">
        <v>230</v>
      </c>
      <c r="D14" s="61">
        <v>-7.4720709999999997</v>
      </c>
      <c r="E14" s="61">
        <v>9248.8563586459295</v>
      </c>
      <c r="F14" s="61">
        <v>11.580399999999999</v>
      </c>
      <c r="G14" s="61">
        <v>13900.309384668271</v>
      </c>
      <c r="H14" s="61">
        <v>9.1135000000000002</v>
      </c>
      <c r="I14" s="61">
        <v>15470.196648557658</v>
      </c>
      <c r="J14" s="61">
        <v>9.1029999999999998</v>
      </c>
      <c r="K14" s="61">
        <v>23909.649952696309</v>
      </c>
      <c r="L14" s="61">
        <v>8.9975000000000005</v>
      </c>
      <c r="M14" s="61">
        <v>31580.756013745711</v>
      </c>
    </row>
    <row r="15" spans="3:13" x14ac:dyDescent="0.25">
      <c r="C15" s="60" t="s">
        <v>231</v>
      </c>
      <c r="D15" s="61">
        <v>-3.1080421999999999</v>
      </c>
      <c r="E15" s="61">
        <v>9687.5199999999986</v>
      </c>
      <c r="F15" s="61">
        <v>13.4222</v>
      </c>
      <c r="G15" s="61">
        <v>14591.307183711093</v>
      </c>
      <c r="H15" s="61">
        <v>11.612399999999999</v>
      </c>
      <c r="I15" s="61">
        <v>17320.572164375099</v>
      </c>
      <c r="J15" s="61">
        <v>13.588699999999999</v>
      </c>
      <c r="K15" s="61">
        <v>18909.308434713374</v>
      </c>
      <c r="L15" s="61">
        <v>12.826445</v>
      </c>
      <c r="M15" s="61">
        <v>58934.987908334268</v>
      </c>
    </row>
    <row r="16" spans="3:13" x14ac:dyDescent="0.25">
      <c r="C16" s="60" t="s">
        <v>233</v>
      </c>
      <c r="D16" s="61">
        <v>-3.99</v>
      </c>
      <c r="E16" s="61">
        <v>9601</v>
      </c>
      <c r="F16" s="61">
        <v>10.604200000000001</v>
      </c>
      <c r="G16" s="61">
        <v>13530.531495890262</v>
      </c>
      <c r="H16" s="61">
        <v>9.7759999999999998</v>
      </c>
      <c r="I16" s="61">
        <v>15941.787283973832</v>
      </c>
      <c r="J16" s="61">
        <v>12.539300000000001</v>
      </c>
      <c r="K16" s="61">
        <v>18051.822206086035</v>
      </c>
      <c r="L16" s="61">
        <v>11.7723</v>
      </c>
      <c r="M16" s="61">
        <v>43677.971391376326</v>
      </c>
    </row>
    <row r="17" spans="3:13" x14ac:dyDescent="0.25">
      <c r="C17" s="60" t="s">
        <v>236</v>
      </c>
      <c r="D17" s="64">
        <v>218.6</v>
      </c>
      <c r="E17" s="65"/>
      <c r="F17" s="64">
        <v>145.44999999999999</v>
      </c>
      <c r="G17" s="65"/>
      <c r="H17" s="64">
        <v>130.69</v>
      </c>
      <c r="I17" s="65"/>
      <c r="J17" s="64">
        <v>84.56</v>
      </c>
      <c r="K17" s="65"/>
      <c r="L17" s="64">
        <v>64.02</v>
      </c>
      <c r="M17" s="65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Chandrakant Gajane</cp:lastModifiedBy>
  <dcterms:created xsi:type="dcterms:W3CDTF">2026-04-04T07:23:24Z</dcterms:created>
  <dcterms:modified xsi:type="dcterms:W3CDTF">2026-04-07T06:51:42Z</dcterms:modified>
</cp:coreProperties>
</file>