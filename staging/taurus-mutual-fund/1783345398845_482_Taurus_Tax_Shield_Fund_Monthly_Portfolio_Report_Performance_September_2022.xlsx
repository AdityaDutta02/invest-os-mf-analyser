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3256" windowHeight="13176"/>
  </bookViews>
  <sheets>
    <sheet name="TTS-Risk-O-Meter &amp; Portfolio" sheetId="1" r:id="rId1"/>
    <sheet name="TTS - Performance" sheetId="2" r:id="rId2"/>
  </sheets>
  <externalReferences>
    <externalReference r:id="rId3"/>
  </externalReferences>
  <definedNames>
    <definedName name="XDO_?CLASS_3?7?">'TTS-Risk-O-Meter &amp; Portfolio'!$C$8:$C$35</definedName>
    <definedName name="XDO_?FINAL_ISIN?14?">'TTS-Risk-O-Meter &amp; Portfolio'!$D$10:$D$35</definedName>
    <definedName name="XDO_?FINAL_ISIN?15?">'TTS-Risk-O-Meter &amp; Portfolio'!$D$10:$D$77</definedName>
    <definedName name="XDO_?FINAL_MV?14?">'TTS-Risk-O-Meter &amp; Portfolio'!$H$10:$H$35</definedName>
    <definedName name="XDO_?FINAL_MV?15?">'TTS-Risk-O-Meter &amp; Portfolio'!$H$10:$H$77</definedName>
    <definedName name="XDO_?FINAL_NAME?14?">'TTS-Risk-O-Meter &amp; Portfolio'!$C$10:$C$35</definedName>
    <definedName name="XDO_?FINAL_NAME?15?">'TTS-Risk-O-Meter &amp; Portfolio'!$C$10:$C$77</definedName>
    <definedName name="XDO_?FINAL_PER_NET?14?">'TTS-Risk-O-Meter &amp; Portfolio'!$I$10:$I$35</definedName>
    <definedName name="XDO_?FINAL_PER_NET?15?">'TTS-Risk-O-Meter &amp; Portfolio'!$I$10:$I$77</definedName>
    <definedName name="XDO_?FINAL_QUANTITE?14?">'TTS-Risk-O-Meter &amp; Portfolio'!$G$10:$G$35</definedName>
    <definedName name="XDO_?FINAL_QUANTITE?15?">'TTS-Risk-O-Meter &amp; Portfolio'!$G$10:$G$77</definedName>
    <definedName name="XDO_?IND_01?14?">'TTS-Risk-O-Meter &amp; Portfolio'!$F$10:$F$35</definedName>
    <definedName name="XDO_?IND_01?15?">'TTS-Risk-O-Meter &amp; Portfolio'!$F$10:$F$77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Portfolio'!$B$10:$B$35</definedName>
    <definedName name="XDO_?NOVAL?15?">'TTS-Risk-O-Meter &amp; Portfolio'!$B$10:$B$77</definedName>
    <definedName name="XDO_?NPTF?7?">'TTS-Risk-O-Meter &amp; Portfolio'!$D$2:$D$35</definedName>
    <definedName name="XDO_?RATING?14?">'TTS-Risk-O-Meter &amp; Portfolio'!$E$10:$E$35</definedName>
    <definedName name="XDO_?RATING?15?">'TTS-Risk-O-Meter &amp; Portfolio'!$E$10:$E$77</definedName>
    <definedName name="XDO_?REMARKS?14?">'TTS-Risk-O-Meter &amp; Portfolio'!$J$10:$J$35</definedName>
    <definedName name="XDO_?REMARKS?15?">'TTS-Risk-O-Meter &amp; Portfolio'!$J$10:$J$77</definedName>
    <definedName name="XDO_?TITL?7?">'TTS-Risk-O-Meter &amp; Portfolio'!$A$8:$A$35</definedName>
    <definedName name="XDO_GROUP_?G_2?7?">'TTS-Risk-O-Meter &amp; Portfolio'!$2:$80</definedName>
    <definedName name="XDO_GROUP_?G_3?7?">'TTS-Risk-O-Meter &amp; Portfolio'!$8:$79</definedName>
    <definedName name="XDO_GROUP_?G_4?14?">'TTS-Risk-O-Meter &amp; Portfolio'!$B$10:$IV$35</definedName>
    <definedName name="XDO_GROUP_?G_4?15?">'TTS-Risk-O-Meter &amp; Portfolio'!$B$77:$IV$77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" i="1"/>
</calcChain>
</file>

<file path=xl/sharedStrings.xml><?xml version="1.0" encoding="utf-8"?>
<sst xmlns="http://schemas.openxmlformats.org/spreadsheetml/2006/main" count="216" uniqueCount="152">
  <si>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</si>
  <si>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</si>
  <si>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</si>
  <si>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</si>
  <si>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</si>
  <si>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</si>
  <si>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</si>
  <si>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</si>
  <si>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</si>
  <si>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</si>
  <si>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</si>
  <si>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</si>
  <si>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</si>
  <si>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</si>
  <si>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</si>
  <si>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</si>
  <si>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</si>
  <si>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</si>
  <si>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</si>
  <si>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</si>
  <si>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</si>
  <si>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</si>
  <si>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Banks</t>
  </si>
  <si>
    <t>100325</t>
  </si>
  <si>
    <t>Bajaj Holdings &amp; Investment Ltd.</t>
  </si>
  <si>
    <t>INE118A01012</t>
  </si>
  <si>
    <t>Finance</t>
  </si>
  <si>
    <t>100037</t>
  </si>
  <si>
    <t>HCL Technologies Ltd.</t>
  </si>
  <si>
    <t>INE860A01027</t>
  </si>
  <si>
    <t>IT - Software</t>
  </si>
  <si>
    <t>100001</t>
  </si>
  <si>
    <t>Housing Development Finance Corporation Ltd.</t>
  </si>
  <si>
    <t>INE001A01036</t>
  </si>
  <si>
    <t>100005</t>
  </si>
  <si>
    <t>Larsen &amp; Toubro Ltd.</t>
  </si>
  <si>
    <t>INE018A01030</t>
  </si>
  <si>
    <t>Construction</t>
  </si>
  <si>
    <t>100147</t>
  </si>
  <si>
    <t>Tech Mahindra Ltd.</t>
  </si>
  <si>
    <t>INE669C01036</t>
  </si>
  <si>
    <t>100024</t>
  </si>
  <si>
    <t>Axis Bank Ltd.</t>
  </si>
  <si>
    <t>INE238A01034</t>
  </si>
  <si>
    <t>100032</t>
  </si>
  <si>
    <t>Tata Consultancy Services Ltd.</t>
  </si>
  <si>
    <t>INE467B01029</t>
  </si>
  <si>
    <t>100474</t>
  </si>
  <si>
    <t>Narayana Hrudayalaya Ltd.</t>
  </si>
  <si>
    <t>INE410P01011</t>
  </si>
  <si>
    <t>Healthcare Services</t>
  </si>
  <si>
    <t>100045</t>
  </si>
  <si>
    <t>Gujarat Pipavav Port Ltd.</t>
  </si>
  <si>
    <t>INE517F01014</t>
  </si>
  <si>
    <t>Transport Infrastructure</t>
  </si>
  <si>
    <t>100006</t>
  </si>
  <si>
    <t>HDFC Bank Ltd.</t>
  </si>
  <si>
    <t>INE040A01034</t>
  </si>
  <si>
    <t>100011</t>
  </si>
  <si>
    <t>Wipro Ltd.</t>
  </si>
  <si>
    <t>INE075A01022</t>
  </si>
  <si>
    <t>100153</t>
  </si>
  <si>
    <t>Cipla Ltd.</t>
  </si>
  <si>
    <t>INE059A01026</t>
  </si>
  <si>
    <t>Pharmaceuticals &amp; Biotechnology</t>
  </si>
  <si>
    <t>100747</t>
  </si>
  <si>
    <t>Mahindra Logistics Ltd.</t>
  </si>
  <si>
    <t>INE766P01016</t>
  </si>
  <si>
    <t>Transport Services</t>
  </si>
  <si>
    <t>100148</t>
  </si>
  <si>
    <t>Motilal Oswal Financial Services Ltd.</t>
  </si>
  <si>
    <t>INE338I01027</t>
  </si>
  <si>
    <t>Capital Markets</t>
  </si>
  <si>
    <t>101469</t>
  </si>
  <si>
    <t>Equitas Small Finance Bank Ltd.</t>
  </si>
  <si>
    <t>INE063P01018</t>
  </si>
  <si>
    <t>100035</t>
  </si>
  <si>
    <t>NMDC Ltd.</t>
  </si>
  <si>
    <t>INE584A01023</t>
  </si>
  <si>
    <t>Minerals &amp; Mining</t>
  </si>
  <si>
    <t>100271</t>
  </si>
  <si>
    <t>Balkrishna Industries Ltd.</t>
  </si>
  <si>
    <t>INE787D01026</t>
  </si>
  <si>
    <t>Auto Components</t>
  </si>
  <si>
    <t>100061</t>
  </si>
  <si>
    <t>KEC International Ltd.</t>
  </si>
  <si>
    <t>INE389H01022</t>
  </si>
  <si>
    <t>Electrical Equipment</t>
  </si>
  <si>
    <t>100039</t>
  </si>
  <si>
    <t>Bajaj Auto Ltd.</t>
  </si>
  <si>
    <t>INE917I01010</t>
  </si>
  <si>
    <t>Automobiles</t>
  </si>
  <si>
    <t>100080</t>
  </si>
  <si>
    <t>Dr. Reddy's Laboratories Ltd.</t>
  </si>
  <si>
    <t>INE089A01023</t>
  </si>
  <si>
    <t>101103</t>
  </si>
  <si>
    <t>FDC Ltd.</t>
  </si>
  <si>
    <t>INE258B01022</t>
  </si>
  <si>
    <t>101213</t>
  </si>
  <si>
    <t>Mrs. Bectors Food Specialities Ltd.</t>
  </si>
  <si>
    <t>INE495P01012</t>
  </si>
  <si>
    <t>Food Products</t>
  </si>
  <si>
    <t>100544</t>
  </si>
  <si>
    <t>Quess Corp Ltd.</t>
  </si>
  <si>
    <t>INE615P01015</t>
  </si>
  <si>
    <t>Commercial Services &amp; Supplies</t>
  </si>
  <si>
    <t>101434</t>
  </si>
  <si>
    <t>CMS INFOSYSTEMS LTD.</t>
  </si>
  <si>
    <t>INE925R01014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</si>
  <si>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</si>
  <si>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</si>
  <si>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</si>
  <si>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</si>
  <si>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</si>
  <si>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</si>
  <si>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</si>
  <si>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</si>
  <si>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</si>
  <si>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</si>
  <si>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</si>
  <si>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</si>
  <si>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</si>
  <si>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</si>
  <si>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</si>
  <si>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</si>
  <si>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</si>
  <si>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</si>
  <si>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</si>
  <si>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</si>
  <si>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</si>
  <si>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</si>
  <si>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</si>
  <si>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</si>
  <si>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</si>
  <si>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</si>
  <si>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</si>
  <si>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</si>
  <si>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</si>
  <si>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</si>
  <si>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</si>
  <si>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</si>
  <si>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</si>
  <si>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</si>
  <si>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</si>
  <si>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</si>
  <si>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</si>
  <si>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</si>
  <si>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</si>
  <si>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September 30, 2022 : 112.04)</t>
  </si>
  <si>
    <t>Taurus Tax Shield - Direct Plan Growth Option</t>
  </si>
  <si>
    <t>NAV [Rs.] Per Unit (as on September 30, 2022 : 119.95)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</si>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</sst>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98214</xdr:colOff>
      <xdr:row>0</xdr:row>
      <xdr:rowOff>4744720</xdr:rowOff>
    </xdr:to>
    <xdr:pic>
      <xdr:nvPicPr>
        <xdr:cNvPr id="3" name="Picture 2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6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4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44834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140000</v>
      </c>
      <c r="H10" s="32">
        <v>464.8</v>
      </c>
      <c r="I10" s="32">
        <v>7.67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52000</v>
      </c>
      <c r="H11" s="32">
        <v>448.66</v>
      </c>
      <c r="I11" s="32">
        <v>7.4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6903</v>
      </c>
      <c r="H12" s="32">
        <v>441.17</v>
      </c>
      <c r="I12" s="32">
        <v>7.28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47000</v>
      </c>
      <c r="H13" s="32">
        <v>438.3</v>
      </c>
      <c r="I13" s="32">
        <v>7.23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18500</v>
      </c>
      <c r="H14" s="32">
        <v>423.56</v>
      </c>
      <c r="I14" s="32">
        <v>6.99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17526</v>
      </c>
      <c r="H15" s="32">
        <v>324</v>
      </c>
      <c r="I15" s="32">
        <v>5.35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30</v>
      </c>
      <c r="G16" s="31">
        <v>28500</v>
      </c>
      <c r="H16" s="32">
        <v>287.33999999999997</v>
      </c>
      <c r="I16" s="32">
        <v>4.74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39000</v>
      </c>
      <c r="H17" s="32">
        <v>286.07</v>
      </c>
      <c r="I17" s="32">
        <v>4.72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30</v>
      </c>
      <c r="G18" s="31">
        <v>8200</v>
      </c>
      <c r="H18" s="32">
        <v>246.38</v>
      </c>
      <c r="I18" s="32">
        <v>4.07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34022</v>
      </c>
      <c r="H19" s="32">
        <v>244.99</v>
      </c>
      <c r="I19" s="32">
        <v>4.04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279553</v>
      </c>
      <c r="H20" s="32">
        <v>243.77</v>
      </c>
      <c r="I20" s="32">
        <v>4.0199999999999996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22</v>
      </c>
      <c r="G21" s="31">
        <v>15533</v>
      </c>
      <c r="H21" s="32">
        <v>220.94</v>
      </c>
      <c r="I21" s="32">
        <v>3.65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30</v>
      </c>
      <c r="G22" s="31">
        <v>52000</v>
      </c>
      <c r="H22" s="32">
        <v>205.04</v>
      </c>
      <c r="I22" s="32">
        <v>3.38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15000</v>
      </c>
      <c r="H23" s="32">
        <v>167.28</v>
      </c>
      <c r="I23" s="32">
        <v>2.76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32000</v>
      </c>
      <c r="H24" s="32">
        <v>166.78</v>
      </c>
      <c r="I24" s="32">
        <v>2.75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21275</v>
      </c>
      <c r="H25" s="32">
        <v>154.27000000000001</v>
      </c>
      <c r="I25" s="32">
        <v>2.5499999999999998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22</v>
      </c>
      <c r="G26" s="31">
        <v>275000</v>
      </c>
      <c r="H26" s="32">
        <v>137.36000000000001</v>
      </c>
      <c r="I26" s="32">
        <v>2.27</v>
      </c>
      <c r="J26" s="33"/>
    </row>
    <row r="27" spans="2:10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100000</v>
      </c>
      <c r="H27" s="32">
        <v>127.7</v>
      </c>
      <c r="I27" s="32">
        <v>2.11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5862</v>
      </c>
      <c r="H28" s="32">
        <v>110.46</v>
      </c>
      <c r="I28" s="32">
        <v>1.82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22000</v>
      </c>
      <c r="H29" s="32">
        <v>98.97</v>
      </c>
      <c r="I29" s="32">
        <v>1.63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2500</v>
      </c>
      <c r="H30" s="32">
        <v>88.18</v>
      </c>
      <c r="I30" s="32">
        <v>1.45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64</v>
      </c>
      <c r="G31" s="31">
        <v>1500</v>
      </c>
      <c r="H31" s="32">
        <v>65.010000000000005</v>
      </c>
      <c r="I31" s="32">
        <v>1.07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64</v>
      </c>
      <c r="G32" s="31">
        <v>22000</v>
      </c>
      <c r="H32" s="32">
        <v>58.12</v>
      </c>
      <c r="I32" s="32">
        <v>0.96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15322</v>
      </c>
      <c r="H33" s="32">
        <v>55.41</v>
      </c>
      <c r="I33" s="32">
        <v>0.91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5000</v>
      </c>
      <c r="H34" s="32">
        <v>32.18</v>
      </c>
      <c r="I34" s="32">
        <v>0.53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105</v>
      </c>
      <c r="G35" s="31">
        <v>6083</v>
      </c>
      <c r="H35" s="32">
        <v>16.420000000000002</v>
      </c>
      <c r="I35" s="32">
        <v>0.27</v>
      </c>
      <c r="J35" s="33"/>
    </row>
    <row r="36" spans="2:10">
      <c r="C36" s="28" t="s">
        <v>109</v>
      </c>
      <c r="D36" s="29"/>
      <c r="E36" s="30"/>
      <c r="F36" s="30"/>
      <c r="G36" s="31"/>
      <c r="H36" s="35">
        <v>5553.16</v>
      </c>
      <c r="I36" s="35">
        <v>91.62</v>
      </c>
      <c r="J36" s="33"/>
    </row>
    <row r="37" spans="2:10">
      <c r="C37" s="20"/>
      <c r="D37" s="29"/>
      <c r="E37" s="30"/>
      <c r="F37" s="30"/>
      <c r="G37" s="31"/>
      <c r="H37" s="32"/>
      <c r="I37" s="32"/>
      <c r="J37" s="33"/>
    </row>
    <row r="38" spans="2:10">
      <c r="C38" s="28" t="s">
        <v>110</v>
      </c>
      <c r="D38" s="29"/>
      <c r="E38" s="30"/>
      <c r="F38" s="30"/>
      <c r="G38" s="31"/>
      <c r="H38" s="32" t="s">
        <v>111</v>
      </c>
      <c r="I38" s="32" t="s">
        <v>111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112</v>
      </c>
      <c r="D40" s="29"/>
      <c r="E40" s="30"/>
      <c r="F40" s="30"/>
      <c r="G40" s="31"/>
      <c r="H40" s="32" t="s">
        <v>111</v>
      </c>
      <c r="I40" s="32" t="s">
        <v>111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113</v>
      </c>
      <c r="D42" s="29"/>
      <c r="E42" s="30"/>
      <c r="F42" s="30"/>
      <c r="G42" s="31"/>
      <c r="H42" s="32"/>
      <c r="I42" s="32"/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114</v>
      </c>
      <c r="D44" s="29"/>
      <c r="E44" s="30"/>
      <c r="F44" s="30"/>
      <c r="G44" s="31"/>
      <c r="H44" s="32" t="s">
        <v>111</v>
      </c>
      <c r="I44" s="32" t="s">
        <v>111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115</v>
      </c>
      <c r="D46" s="29"/>
      <c r="E46" s="30"/>
      <c r="F46" s="30"/>
      <c r="G46" s="31"/>
      <c r="H46" s="32" t="s">
        <v>111</v>
      </c>
      <c r="I46" s="32" t="s">
        <v>111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116</v>
      </c>
      <c r="D48" s="29"/>
      <c r="E48" s="30"/>
      <c r="F48" s="30"/>
      <c r="G48" s="31"/>
      <c r="H48" s="32" t="s">
        <v>111</v>
      </c>
      <c r="I48" s="32" t="s">
        <v>111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117</v>
      </c>
      <c r="D50" s="29"/>
      <c r="E50" s="30"/>
      <c r="F50" s="30"/>
      <c r="G50" s="31"/>
      <c r="H50" s="32" t="s">
        <v>111</v>
      </c>
      <c r="I50" s="32" t="s">
        <v>111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118</v>
      </c>
      <c r="D52" s="29"/>
      <c r="E52" s="30"/>
      <c r="F52" s="30"/>
      <c r="G52" s="31"/>
      <c r="H52" s="32" t="s">
        <v>111</v>
      </c>
      <c r="I52" s="32" t="s">
        <v>111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119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120</v>
      </c>
      <c r="D56" s="29"/>
      <c r="E56" s="30"/>
      <c r="F56" s="30"/>
      <c r="G56" s="31"/>
      <c r="H56" s="32" t="s">
        <v>111</v>
      </c>
      <c r="I56" s="32" t="s">
        <v>111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121</v>
      </c>
      <c r="D58" s="29"/>
      <c r="E58" s="30"/>
      <c r="F58" s="30"/>
      <c r="G58" s="31"/>
      <c r="H58" s="32" t="s">
        <v>111</v>
      </c>
      <c r="I58" s="32" t="s">
        <v>111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122</v>
      </c>
      <c r="D60" s="29"/>
      <c r="E60" s="30"/>
      <c r="F60" s="30"/>
      <c r="G60" s="31"/>
      <c r="H60" s="32" t="s">
        <v>111</v>
      </c>
      <c r="I60" s="32" t="s">
        <v>111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123</v>
      </c>
      <c r="D62" s="29"/>
      <c r="E62" s="30"/>
      <c r="F62" s="30"/>
      <c r="G62" s="31"/>
      <c r="H62" s="32" t="s">
        <v>111</v>
      </c>
      <c r="I62" s="32" t="s">
        <v>111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124</v>
      </c>
      <c r="D64" s="29"/>
      <c r="E64" s="30"/>
      <c r="F64" s="30"/>
      <c r="G64" s="31"/>
      <c r="H64" s="32"/>
      <c r="I64" s="32"/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125</v>
      </c>
      <c r="D66" s="29"/>
      <c r="E66" s="30"/>
      <c r="F66" s="30"/>
      <c r="G66" s="31"/>
      <c r="H66" s="32" t="s">
        <v>111</v>
      </c>
      <c r="I66" s="32" t="s">
        <v>111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126</v>
      </c>
      <c r="D68" s="29"/>
      <c r="E68" s="30"/>
      <c r="F68" s="30"/>
      <c r="G68" s="31"/>
      <c r="H68" s="32" t="s">
        <v>111</v>
      </c>
      <c r="I68" s="32" t="s">
        <v>111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127</v>
      </c>
      <c r="D70" s="29"/>
      <c r="E70" s="30"/>
      <c r="F70" s="30"/>
      <c r="G70" s="31"/>
      <c r="H70" s="32" t="s">
        <v>111</v>
      </c>
      <c r="I70" s="32" t="s">
        <v>111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128</v>
      </c>
      <c r="D72" s="29"/>
      <c r="E72" s="30"/>
      <c r="F72" s="30"/>
      <c r="G72" s="31"/>
      <c r="H72" s="32" t="s">
        <v>111</v>
      </c>
      <c r="I72" s="32" t="s">
        <v>111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129</v>
      </c>
      <c r="D74" s="29"/>
      <c r="E74" s="30"/>
      <c r="F74" s="30"/>
      <c r="G74" s="31"/>
      <c r="H74" s="32" t="s">
        <v>111</v>
      </c>
      <c r="I74" s="32" t="s">
        <v>111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A76" s="26"/>
      <c r="B76" s="27"/>
      <c r="C76" s="28" t="s">
        <v>130</v>
      </c>
      <c r="D76" s="29"/>
      <c r="E76" s="30"/>
      <c r="F76" s="30"/>
      <c r="G76" s="31"/>
      <c r="H76" s="32"/>
      <c r="I76" s="32"/>
      <c r="J76" s="33"/>
    </row>
    <row r="77" spans="1:10">
      <c r="B77" s="1"/>
      <c r="C77" s="20" t="s">
        <v>131</v>
      </c>
      <c r="D77" s="29"/>
      <c r="E77" s="30"/>
      <c r="F77" s="30"/>
      <c r="G77" s="31"/>
      <c r="H77" s="32">
        <v>507.74</v>
      </c>
      <c r="I77" s="32">
        <v>8.3800000000000008</v>
      </c>
      <c r="J77" s="33"/>
    </row>
    <row r="78" spans="1:10">
      <c r="C78" s="28" t="s">
        <v>109</v>
      </c>
      <c r="D78" s="29"/>
      <c r="E78" s="30"/>
      <c r="F78" s="30"/>
      <c r="G78" s="31"/>
      <c r="H78" s="35">
        <v>507.74</v>
      </c>
      <c r="I78" s="35">
        <v>8.3800000000000008</v>
      </c>
      <c r="J78" s="33"/>
    </row>
    <row r="79" spans="1:10">
      <c r="C79" s="20"/>
      <c r="D79" s="29"/>
      <c r="E79" s="30"/>
      <c r="F79" s="30"/>
      <c r="G79" s="31"/>
      <c r="H79" s="32"/>
      <c r="I79" s="32"/>
      <c r="J79" s="33"/>
    </row>
    <row r="80" spans="1:10" ht="13.8" thickBot="1">
      <c r="C80" s="36" t="s">
        <v>132</v>
      </c>
      <c r="D80" s="37"/>
      <c r="E80" s="38"/>
      <c r="F80" s="39"/>
      <c r="G80" s="40"/>
      <c r="H80" s="41">
        <v>6060.9</v>
      </c>
      <c r="I80" s="41">
        <f>SUMIFS(I:I,C:C,"Total")</f>
        <v>100</v>
      </c>
      <c r="J80" s="42"/>
    </row>
    <row r="83" spans="3:3">
      <c r="C83" s="11" t="s">
        <v>133</v>
      </c>
    </row>
    <row r="84" spans="3:3">
      <c r="C84" s="2" t="s">
        <v>134</v>
      </c>
    </row>
    <row r="85" spans="3:3">
      <c r="C85" s="2" t="s">
        <v>135</v>
      </c>
    </row>
    <row r="86" spans="3:3">
      <c r="C86" s="2" t="s">
        <v>136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20" sqref="A20"/>
    </sheetView>
  </sheetViews>
  <sheetFormatPr defaultRowHeight="14.4"/>
  <cols>
    <col min="1" max="1" width="49.5546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137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138</v>
      </c>
      <c r="B5" s="46" t="s">
        <v>139</v>
      </c>
      <c r="C5" s="46"/>
      <c r="D5" s="46" t="s">
        <v>140</v>
      </c>
      <c r="E5" s="46"/>
      <c r="F5" s="46" t="s">
        <v>141</v>
      </c>
      <c r="G5" s="46"/>
      <c r="H5" s="46" t="s">
        <v>142</v>
      </c>
      <c r="I5" s="46"/>
    </row>
    <row r="6" spans="1:9" ht="66">
      <c r="A6" s="47"/>
      <c r="B6" s="48" t="s">
        <v>143</v>
      </c>
      <c r="C6" s="48" t="s">
        <v>144</v>
      </c>
      <c r="D6" s="48" t="s">
        <v>143</v>
      </c>
      <c r="E6" s="48" t="s">
        <v>144</v>
      </c>
      <c r="F6" s="48" t="s">
        <v>143</v>
      </c>
      <c r="G6" s="48" t="s">
        <v>144</v>
      </c>
      <c r="H6" s="48" t="s">
        <v>143</v>
      </c>
      <c r="I6" s="48" t="s">
        <v>144</v>
      </c>
    </row>
    <row r="7" spans="1:9">
      <c r="A7" s="49" t="s">
        <v>145</v>
      </c>
      <c r="B7" s="50">
        <v>-1.7192982456140316</v>
      </c>
      <c r="C7" s="50">
        <v>9828.0701754385973</v>
      </c>
      <c r="D7" s="50">
        <v>13.103620531369288</v>
      </c>
      <c r="E7" s="50">
        <v>14473.582224518797</v>
      </c>
      <c r="F7" s="50">
        <v>10.117857149204411</v>
      </c>
      <c r="G7" s="50">
        <v>16200.115673799884</v>
      </c>
      <c r="H7" s="50">
        <v>11.278165864918343</v>
      </c>
      <c r="I7" s="50">
        <v>112040</v>
      </c>
    </row>
    <row r="8" spans="1:9">
      <c r="A8" s="49" t="s">
        <v>146</v>
      </c>
      <c r="B8" s="50">
        <v>0.13645104963790899</v>
      </c>
      <c r="C8" s="50">
        <v>10013.645104963791</v>
      </c>
      <c r="D8" s="50">
        <v>18.340433003072576</v>
      </c>
      <c r="E8" s="50">
        <v>16572.93633557576</v>
      </c>
      <c r="F8" s="50">
        <v>13.062756014893218</v>
      </c>
      <c r="G8" s="50">
        <v>18475.569663507515</v>
      </c>
      <c r="H8" s="50">
        <v>0</v>
      </c>
      <c r="I8" s="50">
        <v>0</v>
      </c>
    </row>
    <row r="9" spans="1:9">
      <c r="A9" s="49" t="s">
        <v>147</v>
      </c>
      <c r="B9" s="50">
        <v>-1.6385854801567734</v>
      </c>
      <c r="C9" s="50">
        <v>9836.141451984322</v>
      </c>
      <c r="D9" s="50">
        <v>15.572634034109957</v>
      </c>
      <c r="E9" s="50">
        <v>15437.075719348602</v>
      </c>
      <c r="F9" s="50">
        <v>13.186851837775414</v>
      </c>
      <c r="G9" s="50">
        <v>18577.184889353928</v>
      </c>
      <c r="H9" s="50">
        <v>12.697918069477199</v>
      </c>
      <c r="I9" s="50">
        <v>238065.08093002695</v>
      </c>
    </row>
    <row r="10" spans="1:9">
      <c r="A10" s="49" t="s">
        <v>148</v>
      </c>
      <c r="B10" s="51">
        <v>114</v>
      </c>
      <c r="C10" s="52"/>
      <c r="D10" s="51">
        <v>77.41</v>
      </c>
      <c r="E10" s="52"/>
      <c r="F10" s="51">
        <v>69.16</v>
      </c>
      <c r="G10" s="52"/>
      <c r="H10" s="51">
        <v>10</v>
      </c>
      <c r="I10" s="52"/>
    </row>
    <row r="12" spans="1:9" ht="15.6">
      <c r="A12" s="43" t="s">
        <v>149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138</v>
      </c>
      <c r="B13" s="46" t="s">
        <v>139</v>
      </c>
      <c r="C13" s="46"/>
      <c r="D13" s="46" t="s">
        <v>140</v>
      </c>
      <c r="E13" s="46"/>
      <c r="F13" s="46" t="s">
        <v>141</v>
      </c>
      <c r="G13" s="46"/>
      <c r="H13" s="46" t="s">
        <v>142</v>
      </c>
      <c r="I13" s="46"/>
    </row>
    <row r="14" spans="1:9" ht="66">
      <c r="A14" s="47"/>
      <c r="B14" s="48" t="s">
        <v>143</v>
      </c>
      <c r="C14" s="48" t="s">
        <v>144</v>
      </c>
      <c r="D14" s="48" t="s">
        <v>143</v>
      </c>
      <c r="E14" s="48" t="s">
        <v>144</v>
      </c>
      <c r="F14" s="48" t="s">
        <v>143</v>
      </c>
      <c r="G14" s="48" t="s">
        <v>144</v>
      </c>
      <c r="H14" s="48" t="s">
        <v>143</v>
      </c>
      <c r="I14" s="48" t="s">
        <v>144</v>
      </c>
    </row>
    <row r="15" spans="1:9">
      <c r="A15" s="49" t="s">
        <v>145</v>
      </c>
      <c r="B15" s="50">
        <v>-1.0558442629712173</v>
      </c>
      <c r="C15" s="50">
        <v>9894.4155737028796</v>
      </c>
      <c r="D15" s="50">
        <v>13.917453884525543</v>
      </c>
      <c r="E15" s="50">
        <v>14788.558747380101</v>
      </c>
      <c r="F15" s="50">
        <v>10.876912079876799</v>
      </c>
      <c r="G15" s="50">
        <v>16766.843723790884</v>
      </c>
      <c r="H15" s="50">
        <v>12.304359637280449</v>
      </c>
      <c r="I15" s="50">
        <v>31002.843111915223</v>
      </c>
    </row>
    <row r="16" spans="1:9">
      <c r="A16" s="49" t="s">
        <v>146</v>
      </c>
      <c r="B16" s="50">
        <v>0.13645104963790899</v>
      </c>
      <c r="C16" s="50">
        <v>10013.645104963791</v>
      </c>
      <c r="D16" s="50">
        <v>18.340433003072576</v>
      </c>
      <c r="E16" s="50">
        <v>16572.93633557576</v>
      </c>
      <c r="F16" s="50">
        <v>13.062756014893218</v>
      </c>
      <c r="G16" s="50">
        <v>18475.569663507515</v>
      </c>
      <c r="H16" s="50">
        <v>13.768180108677463</v>
      </c>
      <c r="I16" s="50">
        <v>35175.580819021096</v>
      </c>
    </row>
    <row r="17" spans="1:9">
      <c r="A17" s="49" t="s">
        <v>147</v>
      </c>
      <c r="B17" s="50">
        <v>-1.6385854801567734</v>
      </c>
      <c r="C17" s="50">
        <v>9836.141451984322</v>
      </c>
      <c r="D17" s="50">
        <v>15.572634034109957</v>
      </c>
      <c r="E17" s="50">
        <v>15437.075719348602</v>
      </c>
      <c r="F17" s="50">
        <v>13.186851837775414</v>
      </c>
      <c r="G17" s="50">
        <v>18577.184889353928</v>
      </c>
      <c r="H17" s="50">
        <v>12.828322702927441</v>
      </c>
      <c r="I17" s="50">
        <v>32442.3787254177</v>
      </c>
    </row>
    <row r="18" spans="1:9">
      <c r="A18" s="49" t="s">
        <v>150</v>
      </c>
      <c r="B18" s="51">
        <v>121.23</v>
      </c>
      <c r="C18" s="52"/>
      <c r="D18" s="51">
        <v>81.11</v>
      </c>
      <c r="E18" s="52"/>
      <c r="F18" s="51">
        <v>71.540000000000006</v>
      </c>
      <c r="G18" s="52"/>
      <c r="H18" s="51">
        <v>38.69</v>
      </c>
      <c r="I18" s="52"/>
    </row>
    <row r="20" spans="1:9">
      <c r="A20" t="s">
        <v>151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 -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2022-10-07T09:45:54Z</dcterms:created>
  <dcterms:modified xsi:type="dcterms:W3CDTF">2022-10-09T14:08:53Z</dcterms:modified>
</cp:coreProperties>
</file>