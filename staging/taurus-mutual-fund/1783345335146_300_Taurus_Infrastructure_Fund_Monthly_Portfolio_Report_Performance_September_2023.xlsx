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OCT 2023\Portfolio\SAHU\RE_ TMF_Monthly_Portfolio_Report_SEPT 23\"/>
    </mc:Choice>
  </mc:AlternateContent>
  <xr:revisionPtr revIDLastSave="0" documentId="13_ncr:1_{4A0E812F-AD1F-48E7-B3A1-729E386EF4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Performance'!$C$8:$C$34</definedName>
    <definedName name="XDO_?FINAL_ISIN?7?">'TISF-Risk-O-Meter &amp; Performance'!$D$10:$D$34</definedName>
    <definedName name="XDO_?FINAL_ISIN?8?">'TISF-Risk-O-Meter &amp; Performance'!$D$10:$D$76</definedName>
    <definedName name="XDO_?FINAL_MV?7?">'TISF-Risk-O-Meter &amp; Performance'!$H$10:$H$34</definedName>
    <definedName name="XDO_?FINAL_MV?8?">'TISF-Risk-O-Meter &amp; Performance'!$H$10:$H$76</definedName>
    <definedName name="XDO_?FINAL_NAME?7?">'TISF-Risk-O-Meter &amp; Performance'!$C$10:$C$34</definedName>
    <definedName name="XDO_?FINAL_NAME?8?">'TISF-Risk-O-Meter &amp; Performance'!$C$10:$C$76</definedName>
    <definedName name="XDO_?FINAL_PER_NET?7?">'TISF-Risk-O-Meter &amp; Performance'!$I$10:$I$34</definedName>
    <definedName name="XDO_?FINAL_PER_NET?8?">'TISF-Risk-O-Meter &amp; Performance'!$I$10:$I$76</definedName>
    <definedName name="XDO_?FINAL_QUANTITE?7?">'TISF-Risk-O-Meter &amp; Performance'!$G$10:$G$34</definedName>
    <definedName name="XDO_?FINAL_QUANTITE?8?">'TISF-Risk-O-Meter &amp; Performance'!$G$10:$G$76</definedName>
    <definedName name="XDO_?IND_01?7?">'TISF-Risk-O-Meter &amp; Performance'!$F$10:$F$34</definedName>
    <definedName name="XDO_?IND_01?8?">'TISF-Risk-O-Meter &amp; Performance'!$F$10:$F$76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Performance'!$C$2:$C$34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Performance'!$B$10:$B$34</definedName>
    <definedName name="XDO_?NOVAL?8?">'TISF-Risk-O-Meter &amp; Performance'!$B$10:$B$76</definedName>
    <definedName name="XDO_?NPTF?4?">'TISF-Risk-O-Meter &amp; Performance'!$D$2:$D$34</definedName>
    <definedName name="XDO_?RATING?7?">'TISF-Risk-O-Meter &amp; Performance'!$E$10:$E$34</definedName>
    <definedName name="XDO_?RATING?8?">'TISF-Risk-O-Meter &amp; Performance'!$E$10:$E$76</definedName>
    <definedName name="XDO_?REMARKS?7?">'TISF-Risk-O-Meter &amp; Performance'!$J$10:$J$34</definedName>
    <definedName name="XDO_?REMARKS?8?">'TISF-Risk-O-Meter &amp; Performance'!$J$10:$J$76</definedName>
    <definedName name="XDO_?TITL?4?">'TISF-Risk-O-Meter &amp; Performance'!$A$8:$A$34</definedName>
    <definedName name="XDO_GROUP_?G_2?4?">'TISF-Risk-O-Meter &amp; Performance'!$2:$79</definedName>
    <definedName name="XDO_GROUP_?G_3?4?">'TISF-Risk-O-Meter &amp; Performance'!$8:$78</definedName>
    <definedName name="XDO_GROUP_?G_4?7?">'TISF-Risk-O-Meter &amp; Performance'!$B$10:$IV$34</definedName>
    <definedName name="XDO_GROUP_?G_4?8?">'TISF-Risk-O-Meter &amp; Performance'!$B$76:$IV$76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1" l="1"/>
</calcChain>
</file>

<file path=xl/sharedStrings.xml><?xml version="1.0" encoding="utf-8"?>
<sst xmlns="http://schemas.openxmlformats.org/spreadsheetml/2006/main" count="212" uniqueCount="152">
  <si>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</si>
  <si>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</si>
  <si>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</si>
  <si>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</si>
  <si>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</si>
  <si>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</si>
  <si>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</si>
  <si>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</si>
  <si>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</si>
  <si>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</si>
  <si>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</si>
  <si>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</si>
  <si>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</si>
  <si>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</si>
  <si>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</si>
  <si>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</si>
  <si>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</si>
  <si>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</si>
  <si>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</si>
  <si>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</si>
  <si>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</si>
  <si>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</si>
  <si>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</si>
  <si>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</si>
  <si>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</si>
  <si>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</si>
  <si>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</si>
  <si>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100752</t>
  </si>
  <si>
    <t>Praj Industries Ltd.</t>
  </si>
  <si>
    <t>INE074A01025</t>
  </si>
  <si>
    <t>Industrial Manufacturing</t>
  </si>
  <si>
    <t>100281</t>
  </si>
  <si>
    <t>Century Textiles &amp; Industries Ltd.</t>
  </si>
  <si>
    <t>INE055A01016</t>
  </si>
  <si>
    <t>Paper, Forest &amp; Jute Products</t>
  </si>
  <si>
    <t>100006</t>
  </si>
  <si>
    <t>HDFC Bank Ltd.</t>
  </si>
  <si>
    <t>INE040A01034</t>
  </si>
  <si>
    <t>Banks</t>
  </si>
  <si>
    <t>100181</t>
  </si>
  <si>
    <t>NTPC Ltd.</t>
  </si>
  <si>
    <t>INE733E01010</t>
  </si>
  <si>
    <t>Power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</si>
  <si>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</si>
  <si>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</si>
  <si>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</si>
  <si>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</si>
  <si>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</si>
  <si>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</si>
  <si>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</si>
  <si>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Cement &amp; Cement Products</t>
  </si>
  <si>
    <t>100258</t>
  </si>
  <si>
    <t>Arvind Ltd.</t>
  </si>
  <si>
    <t>INE034A01011</t>
  </si>
  <si>
    <t>Textiles &amp; Apparels</t>
  </si>
  <si>
    <t>101718</t>
  </si>
  <si>
    <t>Faze Three Ltd.</t>
  </si>
  <si>
    <t>INE963C01033</t>
  </si>
  <si>
    <t>101883</t>
  </si>
  <si>
    <t>Anant Raj Ltd.</t>
  </si>
  <si>
    <t>INE242C01024</t>
  </si>
  <si>
    <t>Realty</t>
  </si>
  <si>
    <t>101348</t>
  </si>
  <si>
    <t>Ami Organics Ltd.</t>
  </si>
  <si>
    <t>INE00FF01017</t>
  </si>
  <si>
    <t>Pharmaceuticals &amp; Biotechnology</t>
  </si>
  <si>
    <t>100302</t>
  </si>
  <si>
    <t>DLF Ltd.</t>
  </si>
  <si>
    <t>INE271C01023</t>
  </si>
  <si>
    <t>100035</t>
  </si>
  <si>
    <t>NMDC Ltd.</t>
  </si>
  <si>
    <t>INE584A01023</t>
  </si>
  <si>
    <t>Minerals &amp; Mining</t>
  </si>
  <si>
    <t>101800</t>
  </si>
  <si>
    <t>Hindware Home Innovation Ltd.</t>
  </si>
  <si>
    <t>INE05AN01011</t>
  </si>
  <si>
    <t>Consumer Durables</t>
  </si>
  <si>
    <t>100719</t>
  </si>
  <si>
    <t>Mayur Uniquoters Ltd.</t>
  </si>
  <si>
    <t>INE040D01038</t>
  </si>
  <si>
    <t>100082</t>
  </si>
  <si>
    <t>Ultratech Cement Ltd.</t>
  </si>
  <si>
    <t>INE481G01011</t>
  </si>
  <si>
    <t>100018</t>
  </si>
  <si>
    <t>Tata Communications Ltd.</t>
  </si>
  <si>
    <t>INE151A01013</t>
  </si>
  <si>
    <t>100090</t>
  </si>
  <si>
    <t>Bharat Forge Ltd.</t>
  </si>
  <si>
    <t>INE465A01025</t>
  </si>
  <si>
    <t>Industrial Products</t>
  </si>
  <si>
    <t>100843</t>
  </si>
  <si>
    <t>Dalmia Bharat Ltd.</t>
  </si>
  <si>
    <t>INE00R701025</t>
  </si>
  <si>
    <t>100184</t>
  </si>
  <si>
    <t>Tata Steel Ltd.</t>
  </si>
  <si>
    <t>INE081A01020</t>
  </si>
  <si>
    <t>Ferrous Metals</t>
  </si>
  <si>
    <t>100944</t>
  </si>
  <si>
    <t>Mishra Dhatu Nigam Ltd.</t>
  </si>
  <si>
    <t>INE099Z01011</t>
  </si>
  <si>
    <t>Aerospace &amp; Defense</t>
  </si>
  <si>
    <t>100194</t>
  </si>
  <si>
    <t>Power Finance Corporation Ltd.</t>
  </si>
  <si>
    <t>INE134E01011</t>
  </si>
  <si>
    <t>Finance</t>
  </si>
  <si>
    <t>101848</t>
  </si>
  <si>
    <t>Shipping Corporation of India Land and Assets Ltd.</t>
  </si>
  <si>
    <t>INE0PB301013</t>
  </si>
  <si>
    <t>Transport Services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</si>
  <si>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</si>
  <si>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</si>
  <si>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</si>
  <si>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</si>
  <si>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</si>
  <si>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</si>
  <si>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</si>
  <si>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</si>
  <si>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</si>
  <si>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</si>
  <si>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</si>
  <si>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</si>
  <si>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</si>
  <si>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</si>
  <si>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</si>
  <si>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</si>
  <si>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</si>
  <si>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</si>
  <si>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</si>
  <si>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</si>
  <si>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</si>
  <si>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</si>
  <si>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</si>
  <si>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</si>
  <si>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</si>
  <si>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</si>
  <si>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</si>
  <si>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</si>
  <si>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</si>
  <si>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</si>
  <si>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</si>
  <si>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</si>
  <si>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</si>
  <si>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</si>
  <si>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</si>
  <si>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</si>
  <si>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</si>
  <si>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</si>
  <si>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</si>
  <si>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</si>
  <si>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September 29, 2023 : 49.88)</t>
  </si>
  <si>
    <t>Taurus Infrastructure Fund - Direct Plan Growth Option</t>
  </si>
  <si>
    <t>NAV [Rs.] Per Unit (as on September 29, 2023 : 53.08)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</si>
</sst>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7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45199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45.39</v>
      </c>
      <c r="I10" s="32">
        <v>6.73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1400</v>
      </c>
      <c r="H11" s="32">
        <v>42.31</v>
      </c>
      <c r="I11" s="32">
        <v>6.27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1750</v>
      </c>
      <c r="H12" s="32">
        <v>41.06</v>
      </c>
      <c r="I12" s="32">
        <v>6.09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6986</v>
      </c>
      <c r="H13" s="32">
        <v>40.97</v>
      </c>
      <c r="I13" s="32">
        <v>6.07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3350</v>
      </c>
      <c r="H14" s="32">
        <v>37.380000000000003</v>
      </c>
      <c r="I14" s="32">
        <v>5.54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2225</v>
      </c>
      <c r="H15" s="32">
        <v>33.97</v>
      </c>
      <c r="I15" s="32">
        <v>5.04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13800</v>
      </c>
      <c r="H16" s="32">
        <v>33.9</v>
      </c>
      <c r="I16" s="32">
        <v>5.03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6001</v>
      </c>
      <c r="H17" s="32">
        <v>29.59</v>
      </c>
      <c r="I17" s="32">
        <v>4.3899999999999997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1500</v>
      </c>
      <c r="H18" s="32">
        <v>29.12</v>
      </c>
      <c r="I18" s="32">
        <v>4.32</v>
      </c>
      <c r="J18" s="33"/>
    </row>
    <row r="19" spans="2:10" x14ac:dyDescent="0.25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16500</v>
      </c>
      <c r="H19" s="32">
        <v>28.65</v>
      </c>
      <c r="I19" s="32">
        <v>4.25</v>
      </c>
      <c r="J19" s="33"/>
    </row>
    <row r="20" spans="2:10" x14ac:dyDescent="0.25">
      <c r="B20" s="1" t="s">
        <v>55</v>
      </c>
      <c r="C20" s="20" t="s">
        <v>56</v>
      </c>
      <c r="D20" s="29" t="s">
        <v>57</v>
      </c>
      <c r="E20" s="30"/>
      <c r="F20" s="30" t="s">
        <v>54</v>
      </c>
      <c r="G20" s="31">
        <v>7500</v>
      </c>
      <c r="H20" s="32">
        <v>27.48</v>
      </c>
      <c r="I20" s="32">
        <v>4.07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12000</v>
      </c>
      <c r="H21" s="32">
        <v>26.32</v>
      </c>
      <c r="I21" s="32">
        <v>3.9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2100</v>
      </c>
      <c r="H22" s="32">
        <v>25.86</v>
      </c>
      <c r="I22" s="32">
        <v>3.83</v>
      </c>
      <c r="J22" s="33"/>
    </row>
    <row r="23" spans="2:10" x14ac:dyDescent="0.25">
      <c r="B23" s="1" t="s">
        <v>66</v>
      </c>
      <c r="C23" s="20" t="s">
        <v>67</v>
      </c>
      <c r="D23" s="29" t="s">
        <v>68</v>
      </c>
      <c r="E23" s="30"/>
      <c r="F23" s="30" t="s">
        <v>61</v>
      </c>
      <c r="G23" s="31">
        <v>4771</v>
      </c>
      <c r="H23" s="32">
        <v>25.33</v>
      </c>
      <c r="I23" s="32">
        <v>3.75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16500</v>
      </c>
      <c r="H24" s="32">
        <v>24.4</v>
      </c>
      <c r="I24" s="32">
        <v>3.62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4418</v>
      </c>
      <c r="H25" s="32">
        <v>24.35</v>
      </c>
      <c r="I25" s="32">
        <v>3.61</v>
      </c>
      <c r="J25" s="33"/>
    </row>
    <row r="26" spans="2:10" x14ac:dyDescent="0.25">
      <c r="B26" s="1" t="s">
        <v>77</v>
      </c>
      <c r="C26" s="20" t="s">
        <v>78</v>
      </c>
      <c r="D26" s="29" t="s">
        <v>79</v>
      </c>
      <c r="E26" s="30"/>
      <c r="F26" s="30" t="s">
        <v>76</v>
      </c>
      <c r="G26" s="31">
        <v>4500</v>
      </c>
      <c r="H26" s="32">
        <v>23.28</v>
      </c>
      <c r="I26" s="32">
        <v>3.45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50</v>
      </c>
      <c r="G27" s="31">
        <v>280</v>
      </c>
      <c r="H27" s="32">
        <v>23.12</v>
      </c>
      <c r="I27" s="32">
        <v>3.43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18</v>
      </c>
      <c r="G28" s="31">
        <v>1125</v>
      </c>
      <c r="H28" s="32">
        <v>21.72</v>
      </c>
      <c r="I28" s="32">
        <v>3.22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1937</v>
      </c>
      <c r="H29" s="32">
        <v>21.16</v>
      </c>
      <c r="I29" s="32">
        <v>3.14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50</v>
      </c>
      <c r="G30" s="31">
        <v>820</v>
      </c>
      <c r="H30" s="32">
        <v>19.72</v>
      </c>
      <c r="I30" s="32">
        <v>2.92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14300</v>
      </c>
      <c r="H31" s="32">
        <v>18.45</v>
      </c>
      <c r="I31" s="32">
        <v>2.73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3000</v>
      </c>
      <c r="H32" s="32">
        <v>12.26</v>
      </c>
      <c r="I32" s="32">
        <v>1.82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1475</v>
      </c>
      <c r="H33" s="32">
        <v>3.72</v>
      </c>
      <c r="I33" s="32">
        <v>0.55000000000000004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108</v>
      </c>
      <c r="G34" s="31">
        <v>4000</v>
      </c>
      <c r="H34" s="32">
        <v>1.06</v>
      </c>
      <c r="I34" s="32">
        <v>0.16</v>
      </c>
      <c r="J34" s="33" t="s">
        <v>109</v>
      </c>
    </row>
    <row r="35" spans="2:10" x14ac:dyDescent="0.25">
      <c r="C35" s="28" t="s">
        <v>110</v>
      </c>
      <c r="D35" s="29"/>
      <c r="E35" s="30"/>
      <c r="F35" s="30"/>
      <c r="G35" s="31"/>
      <c r="H35" s="35">
        <v>660.57</v>
      </c>
      <c r="I35" s="35">
        <v>97.93</v>
      </c>
      <c r="J35" s="33"/>
    </row>
    <row r="36" spans="2:10" x14ac:dyDescent="0.25">
      <c r="C36" s="20"/>
      <c r="D36" s="29"/>
      <c r="E36" s="30"/>
      <c r="F36" s="30"/>
      <c r="G36" s="31"/>
      <c r="H36" s="32"/>
      <c r="I36" s="32"/>
      <c r="J36" s="33"/>
    </row>
    <row r="37" spans="2:10" x14ac:dyDescent="0.25">
      <c r="C37" s="28" t="s">
        <v>111</v>
      </c>
      <c r="D37" s="29"/>
      <c r="E37" s="30"/>
      <c r="F37" s="30"/>
      <c r="G37" s="31"/>
      <c r="H37" s="32" t="s">
        <v>112</v>
      </c>
      <c r="I37" s="32" t="s">
        <v>112</v>
      </c>
      <c r="J37" s="33"/>
    </row>
    <row r="38" spans="2:10" x14ac:dyDescent="0.25">
      <c r="C38" s="20"/>
      <c r="D38" s="29"/>
      <c r="E38" s="30"/>
      <c r="F38" s="30"/>
      <c r="G38" s="31"/>
      <c r="H38" s="32"/>
      <c r="I38" s="32"/>
      <c r="J38" s="33"/>
    </row>
    <row r="39" spans="2:10" x14ac:dyDescent="0.25">
      <c r="C39" s="28" t="s">
        <v>113</v>
      </c>
      <c r="D39" s="29"/>
      <c r="E39" s="30"/>
      <c r="F39" s="30"/>
      <c r="G39" s="31"/>
      <c r="H39" s="32" t="s">
        <v>112</v>
      </c>
      <c r="I39" s="32" t="s">
        <v>112</v>
      </c>
      <c r="J39" s="33"/>
    </row>
    <row r="40" spans="2:10" x14ac:dyDescent="0.25">
      <c r="C40" s="20"/>
      <c r="D40" s="29"/>
      <c r="E40" s="30"/>
      <c r="F40" s="30"/>
      <c r="G40" s="31"/>
      <c r="H40" s="32"/>
      <c r="I40" s="32"/>
      <c r="J40" s="33"/>
    </row>
    <row r="41" spans="2:10" x14ac:dyDescent="0.25">
      <c r="C41" s="28" t="s">
        <v>114</v>
      </c>
      <c r="D41" s="29"/>
      <c r="E41" s="30"/>
      <c r="F41" s="30"/>
      <c r="G41" s="31"/>
      <c r="H41" s="32"/>
      <c r="I41" s="32"/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115</v>
      </c>
      <c r="D43" s="29"/>
      <c r="E43" s="30"/>
      <c r="F43" s="30"/>
      <c r="G43" s="31"/>
      <c r="H43" s="32" t="s">
        <v>112</v>
      </c>
      <c r="I43" s="32" t="s">
        <v>112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116</v>
      </c>
      <c r="D45" s="29"/>
      <c r="E45" s="30"/>
      <c r="F45" s="30"/>
      <c r="G45" s="31"/>
      <c r="H45" s="32" t="s">
        <v>112</v>
      </c>
      <c r="I45" s="32" t="s">
        <v>112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117</v>
      </c>
      <c r="D47" s="29"/>
      <c r="E47" s="30"/>
      <c r="F47" s="30"/>
      <c r="G47" s="31"/>
      <c r="H47" s="32" t="s">
        <v>112</v>
      </c>
      <c r="I47" s="32" t="s">
        <v>112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118</v>
      </c>
      <c r="D49" s="29"/>
      <c r="E49" s="30"/>
      <c r="F49" s="30"/>
      <c r="G49" s="31"/>
      <c r="H49" s="32" t="s">
        <v>112</v>
      </c>
      <c r="I49" s="32" t="s">
        <v>112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119</v>
      </c>
      <c r="D51" s="29"/>
      <c r="E51" s="30"/>
      <c r="F51" s="30"/>
      <c r="G51" s="31"/>
      <c r="H51" s="32" t="s">
        <v>112</v>
      </c>
      <c r="I51" s="32" t="s">
        <v>112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120</v>
      </c>
      <c r="D53" s="29"/>
      <c r="E53" s="30"/>
      <c r="F53" s="30"/>
      <c r="G53" s="31"/>
      <c r="H53" s="32"/>
      <c r="I53" s="32"/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121</v>
      </c>
      <c r="D55" s="29"/>
      <c r="E55" s="30"/>
      <c r="F55" s="30"/>
      <c r="G55" s="31"/>
      <c r="H55" s="32" t="s">
        <v>112</v>
      </c>
      <c r="I55" s="32" t="s">
        <v>112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122</v>
      </c>
      <c r="D57" s="29"/>
      <c r="E57" s="30"/>
      <c r="F57" s="30"/>
      <c r="G57" s="31"/>
      <c r="H57" s="32" t="s">
        <v>112</v>
      </c>
      <c r="I57" s="32" t="s">
        <v>112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123</v>
      </c>
      <c r="D59" s="29"/>
      <c r="E59" s="30"/>
      <c r="F59" s="30"/>
      <c r="G59" s="31"/>
      <c r="H59" s="32" t="s">
        <v>112</v>
      </c>
      <c r="I59" s="32" t="s">
        <v>112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124</v>
      </c>
      <c r="D61" s="29"/>
      <c r="E61" s="30"/>
      <c r="F61" s="30"/>
      <c r="G61" s="31"/>
      <c r="H61" s="32" t="s">
        <v>112</v>
      </c>
      <c r="I61" s="32" t="s">
        <v>112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125</v>
      </c>
      <c r="D63" s="29"/>
      <c r="E63" s="30"/>
      <c r="F63" s="30"/>
      <c r="G63" s="31"/>
      <c r="H63" s="32"/>
      <c r="I63" s="32"/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126</v>
      </c>
      <c r="D65" s="29"/>
      <c r="E65" s="30"/>
      <c r="F65" s="30"/>
      <c r="G65" s="31"/>
      <c r="H65" s="32" t="s">
        <v>112</v>
      </c>
      <c r="I65" s="32" t="s">
        <v>112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127</v>
      </c>
      <c r="D67" s="29"/>
      <c r="E67" s="30"/>
      <c r="F67" s="30"/>
      <c r="G67" s="31"/>
      <c r="H67" s="32" t="s">
        <v>112</v>
      </c>
      <c r="I67" s="32" t="s">
        <v>112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128</v>
      </c>
      <c r="D69" s="29"/>
      <c r="E69" s="30"/>
      <c r="F69" s="30"/>
      <c r="G69" s="31"/>
      <c r="H69" s="32" t="s">
        <v>112</v>
      </c>
      <c r="I69" s="32" t="s">
        <v>112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C71" s="28" t="s">
        <v>129</v>
      </c>
      <c r="D71" s="29"/>
      <c r="E71" s="30"/>
      <c r="F71" s="30"/>
      <c r="G71" s="31"/>
      <c r="H71" s="32" t="s">
        <v>112</v>
      </c>
      <c r="I71" s="32" t="s">
        <v>112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x14ac:dyDescent="0.25">
      <c r="C73" s="28" t="s">
        <v>130</v>
      </c>
      <c r="D73" s="29"/>
      <c r="E73" s="30"/>
      <c r="F73" s="30"/>
      <c r="G73" s="31"/>
      <c r="H73" s="32" t="s">
        <v>112</v>
      </c>
      <c r="I73" s="32" t="s">
        <v>112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x14ac:dyDescent="0.25">
      <c r="A75" s="26"/>
      <c r="B75" s="27"/>
      <c r="C75" s="28" t="s">
        <v>131</v>
      </c>
      <c r="D75" s="29"/>
      <c r="E75" s="30"/>
      <c r="F75" s="30"/>
      <c r="G75" s="31"/>
      <c r="H75" s="32"/>
      <c r="I75" s="32"/>
      <c r="J75" s="33"/>
    </row>
    <row r="76" spans="1:10" x14ac:dyDescent="0.25">
      <c r="B76" s="1"/>
      <c r="C76" s="20" t="s">
        <v>132</v>
      </c>
      <c r="D76" s="29"/>
      <c r="E76" s="30"/>
      <c r="F76" s="30"/>
      <c r="G76" s="31"/>
      <c r="H76" s="32">
        <v>14.02</v>
      </c>
      <c r="I76" s="32">
        <v>2.0700000000000003</v>
      </c>
      <c r="J76" s="33"/>
    </row>
    <row r="77" spans="1:10" x14ac:dyDescent="0.25">
      <c r="C77" s="28" t="s">
        <v>110</v>
      </c>
      <c r="D77" s="29"/>
      <c r="E77" s="30"/>
      <c r="F77" s="30"/>
      <c r="G77" s="31"/>
      <c r="H77" s="35">
        <v>14.02</v>
      </c>
      <c r="I77" s="35">
        <v>2.0700000000000003</v>
      </c>
      <c r="J77" s="33"/>
    </row>
    <row r="78" spans="1:10" x14ac:dyDescent="0.25">
      <c r="C78" s="20"/>
      <c r="D78" s="29"/>
      <c r="E78" s="30"/>
      <c r="F78" s="30"/>
      <c r="G78" s="31"/>
      <c r="H78" s="32"/>
      <c r="I78" s="32"/>
      <c r="J78" s="33"/>
    </row>
    <row r="79" spans="1:10" ht="14.25" thickBot="1" x14ac:dyDescent="0.3">
      <c r="C79" s="36" t="s">
        <v>133</v>
      </c>
      <c r="D79" s="37"/>
      <c r="E79" s="38"/>
      <c r="F79" s="39"/>
      <c r="G79" s="40"/>
      <c r="H79" s="41">
        <v>674.59</v>
      </c>
      <c r="I79" s="41">
        <f>SUMIFS(I:I,C:C,"Total")</f>
        <v>100</v>
      </c>
      <c r="J79" s="42"/>
    </row>
    <row r="82" spans="3:3" x14ac:dyDescent="0.25">
      <c r="C82" s="11" t="s">
        <v>134</v>
      </c>
    </row>
    <row r="83" spans="3:3" x14ac:dyDescent="0.25">
      <c r="C83" s="2" t="s">
        <v>135</v>
      </c>
    </row>
    <row r="84" spans="3:3" x14ac:dyDescent="0.25">
      <c r="C84" s="2" t="s">
        <v>136</v>
      </c>
    </row>
    <row r="85" spans="3:3" x14ac:dyDescent="0.25">
      <c r="C85" s="2" t="s">
        <v>137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18"/>
  <sheetViews>
    <sheetView workbookViewId="0"/>
  </sheetViews>
  <sheetFormatPr defaultRowHeight="15" x14ac:dyDescent="0.25"/>
  <cols>
    <col min="2" max="2" width="49.42578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 x14ac:dyDescent="0.25">
      <c r="B4" s="43" t="s">
        <v>138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139</v>
      </c>
      <c r="C5" s="50" t="s">
        <v>140</v>
      </c>
      <c r="D5" s="50"/>
      <c r="E5" s="50" t="s">
        <v>141</v>
      </c>
      <c r="F5" s="50"/>
      <c r="G5" s="50" t="s">
        <v>142</v>
      </c>
      <c r="H5" s="50"/>
      <c r="I5" s="50" t="s">
        <v>143</v>
      </c>
      <c r="J5" s="50"/>
    </row>
    <row r="6" spans="2:10" ht="63.75" x14ac:dyDescent="0.25">
      <c r="B6" s="46"/>
      <c r="C6" s="47" t="s">
        <v>144</v>
      </c>
      <c r="D6" s="47" t="s">
        <v>145</v>
      </c>
      <c r="E6" s="47" t="s">
        <v>144</v>
      </c>
      <c r="F6" s="47" t="s">
        <v>145</v>
      </c>
      <c r="G6" s="47" t="s">
        <v>144</v>
      </c>
      <c r="H6" s="47" t="s">
        <v>145</v>
      </c>
      <c r="I6" s="47" t="s">
        <v>144</v>
      </c>
      <c r="J6" s="47" t="s">
        <v>145</v>
      </c>
    </row>
    <row r="7" spans="2:10" x14ac:dyDescent="0.25">
      <c r="B7" s="48" t="s">
        <v>146</v>
      </c>
      <c r="C7" s="49">
        <v>25.610677411231443</v>
      </c>
      <c r="D7" s="49">
        <v>12561.067741123143</v>
      </c>
      <c r="E7" s="49">
        <v>28.362207330790334</v>
      </c>
      <c r="F7" s="49">
        <v>21135.593220338982</v>
      </c>
      <c r="G7" s="49">
        <v>15.365220797884337</v>
      </c>
      <c r="H7" s="49">
        <v>20451.004510045103</v>
      </c>
      <c r="I7" s="49">
        <v>10.175603315847725</v>
      </c>
      <c r="J7" s="49">
        <v>49880</v>
      </c>
    </row>
    <row r="8" spans="2:10" x14ac:dyDescent="0.25">
      <c r="B8" s="48" t="s">
        <v>147</v>
      </c>
      <c r="C8" s="49">
        <v>26.667118268118941</v>
      </c>
      <c r="D8" s="49">
        <v>12666.711826811894</v>
      </c>
      <c r="E8" s="49">
        <v>28.224933072804738</v>
      </c>
      <c r="F8" s="49">
        <v>21082.273502116626</v>
      </c>
      <c r="G8" s="49">
        <v>17.778978307517711</v>
      </c>
      <c r="H8" s="49">
        <v>22664.122725898542</v>
      </c>
      <c r="I8" s="49">
        <v>6.2009300836285641</v>
      </c>
      <c r="J8" s="49">
        <v>27116.212239552973</v>
      </c>
    </row>
    <row r="9" spans="2:10" x14ac:dyDescent="0.25">
      <c r="B9" s="48" t="s">
        <v>148</v>
      </c>
      <c r="C9" s="49">
        <v>16.061710449343856</v>
      </c>
      <c r="D9" s="49">
        <v>11606.171044934386</v>
      </c>
      <c r="E9" s="49">
        <v>21.888816626902386</v>
      </c>
      <c r="F9" s="49">
        <v>18108.87963047763</v>
      </c>
      <c r="G9" s="49">
        <v>13.753365408579876</v>
      </c>
      <c r="H9" s="49">
        <v>19046.767079692381</v>
      </c>
      <c r="I9" s="49">
        <v>12.15031340248547</v>
      </c>
      <c r="J9" s="49">
        <v>66947.302360692585</v>
      </c>
    </row>
    <row r="10" spans="2:10" x14ac:dyDescent="0.25">
      <c r="B10" s="48" t="s">
        <v>149</v>
      </c>
      <c r="C10" s="51">
        <v>39.71</v>
      </c>
      <c r="D10" s="52"/>
      <c r="E10" s="51">
        <v>23.6</v>
      </c>
      <c r="F10" s="52"/>
      <c r="G10" s="51">
        <v>24.39</v>
      </c>
      <c r="H10" s="52"/>
      <c r="I10" s="51">
        <v>10</v>
      </c>
      <c r="J10" s="52"/>
    </row>
    <row r="12" spans="2:10" ht="15.75" x14ac:dyDescent="0.25">
      <c r="B12" s="43" t="s">
        <v>150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139</v>
      </c>
      <c r="C13" s="50" t="s">
        <v>140</v>
      </c>
      <c r="D13" s="50"/>
      <c r="E13" s="50" t="s">
        <v>141</v>
      </c>
      <c r="F13" s="50"/>
      <c r="G13" s="50" t="s">
        <v>142</v>
      </c>
      <c r="H13" s="50"/>
      <c r="I13" s="50" t="s">
        <v>143</v>
      </c>
      <c r="J13" s="50"/>
    </row>
    <row r="14" spans="2:10" ht="63.75" x14ac:dyDescent="0.25">
      <c r="B14" s="46"/>
      <c r="C14" s="47" t="s">
        <v>144</v>
      </c>
      <c r="D14" s="47" t="s">
        <v>145</v>
      </c>
      <c r="E14" s="47" t="s">
        <v>144</v>
      </c>
      <c r="F14" s="47" t="s">
        <v>145</v>
      </c>
      <c r="G14" s="47" t="s">
        <v>144</v>
      </c>
      <c r="H14" s="47" t="s">
        <v>145</v>
      </c>
      <c r="I14" s="47" t="s">
        <v>144</v>
      </c>
      <c r="J14" s="47" t="s">
        <v>145</v>
      </c>
    </row>
    <row r="15" spans="2:10" x14ac:dyDescent="0.25">
      <c r="B15" s="48" t="s">
        <v>146</v>
      </c>
      <c r="C15" s="49">
        <v>26.200665715644298</v>
      </c>
      <c r="D15" s="49">
        <v>12620.066571564432</v>
      </c>
      <c r="E15" s="49">
        <v>28.919578514527444</v>
      </c>
      <c r="F15" s="49">
        <v>21411.859620814845</v>
      </c>
      <c r="G15" s="49">
        <v>15.836904009130226</v>
      </c>
      <c r="H15" s="49">
        <v>20872.984663782932</v>
      </c>
      <c r="I15" s="49">
        <v>14.132758021150904</v>
      </c>
      <c r="J15" s="49">
        <v>41404.056162246488</v>
      </c>
    </row>
    <row r="16" spans="2:10" x14ac:dyDescent="0.25">
      <c r="B16" s="48" t="s">
        <v>147</v>
      </c>
      <c r="C16" s="49">
        <v>26.667118268118941</v>
      </c>
      <c r="D16" s="49">
        <v>12666.711826811894</v>
      </c>
      <c r="E16" s="49">
        <v>28.224933072804738</v>
      </c>
      <c r="F16" s="49">
        <v>21082.273502116626</v>
      </c>
      <c r="G16" s="49">
        <v>17.778978307517711</v>
      </c>
      <c r="H16" s="49">
        <v>22664.122725898542</v>
      </c>
      <c r="I16" s="49">
        <v>10.050856250436869</v>
      </c>
      <c r="J16" s="49">
        <v>27992.640249549142</v>
      </c>
    </row>
    <row r="17" spans="2:10" x14ac:dyDescent="0.25">
      <c r="B17" s="48" t="s">
        <v>148</v>
      </c>
      <c r="C17" s="49">
        <v>16.061710449343856</v>
      </c>
      <c r="D17" s="49">
        <v>11606.171044934386</v>
      </c>
      <c r="E17" s="49">
        <v>21.888816626902386</v>
      </c>
      <c r="F17" s="49">
        <v>18108.87963047763</v>
      </c>
      <c r="G17" s="49">
        <v>13.753365408579876</v>
      </c>
      <c r="H17" s="49">
        <v>19046.767079692381</v>
      </c>
      <c r="I17" s="49">
        <v>13.128801183328243</v>
      </c>
      <c r="J17" s="49">
        <v>37653.179659173802</v>
      </c>
    </row>
    <row r="18" spans="2:10" x14ac:dyDescent="0.25">
      <c r="B18" s="48" t="s">
        <v>151</v>
      </c>
      <c r="C18" s="51">
        <v>42.06</v>
      </c>
      <c r="D18" s="52"/>
      <c r="E18" s="51">
        <v>24.79</v>
      </c>
      <c r="F18" s="52"/>
      <c r="G18" s="51">
        <v>25.43</v>
      </c>
      <c r="H18" s="52"/>
      <c r="I18" s="51">
        <v>12.82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2023-10-03T07:24:35Z</dcterms:created>
  <dcterms:modified xsi:type="dcterms:W3CDTF">2023-10-09T12:39:32Z</dcterms:modified>
</cp:coreProperties>
</file>