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EF-Risk-O-Meter &amp; Performance" sheetId="1" r:id="rId1"/>
    <sheet name="TEF-Performance" sheetId="2" r:id="rId2"/>
  </sheets>
  <externalReferences>
    <externalReference r:id="rId3"/>
  </externalReferences>
  <definedNames>
    <definedName name="XDO_?CLASS_3?3?">'TEF-Risk-O-Meter &amp; Performance'!$C$8:$C$54</definedName>
    <definedName name="XDO_?FINAL_ISIN?5?">'TEF-Risk-O-Meter &amp; Performance'!$D$10:$D$54</definedName>
    <definedName name="XDO_?FINAL_ISIN?6?">'TEF-Risk-O-Meter &amp; Performance'!$D$10:$D$96</definedName>
    <definedName name="XDO_?FINAL_MV?5?">'TEF-Risk-O-Meter &amp; Performance'!$H$10:$H$54</definedName>
    <definedName name="XDO_?FINAL_MV?6?">'TEF-Risk-O-Meter &amp; Performance'!$H$10:$H$96</definedName>
    <definedName name="XDO_?FINAL_NAME?5?">'TEF-Risk-O-Meter &amp; Performance'!$C$10:$C$54</definedName>
    <definedName name="XDO_?FINAL_NAME?6?">'TEF-Risk-O-Meter &amp; Performance'!$C$10:$C$96</definedName>
    <definedName name="XDO_?FINAL_PER_NET?5?">'TEF-Risk-O-Meter &amp; Performance'!$I$10:$I$54</definedName>
    <definedName name="XDO_?FINAL_PER_NET?6?">'TEF-Risk-O-Meter &amp; Performance'!$I$10:$I$96</definedName>
    <definedName name="XDO_?FINAL_QUANTITE?5?">'TEF-Risk-O-Meter &amp; Performance'!$G$10:$G$54</definedName>
    <definedName name="XDO_?FINAL_QUANTITE?6?">'TEF-Risk-O-Meter &amp; Performance'!$G$10:$G$96</definedName>
    <definedName name="XDO_?IND_01?5?">'TEF-Risk-O-Meter &amp; Performance'!$F$10:$F$54</definedName>
    <definedName name="XDO_?IND_01?6?">'TEF-Risk-O-Meter &amp; Performance'!$F$10:$F$96</definedName>
    <definedName name="XDO_?NAMC?">[1]TBF!#REF!</definedName>
    <definedName name="XDO_?NAMC?1?">[1]TBFS!#REF!</definedName>
    <definedName name="XDO_?NAMC?2?">[1]TDF!#REF!</definedName>
    <definedName name="XDO_?NAMC?3?">'TEF-Risk-O-Meter &amp; Performance'!#REF!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'TEF-Risk-O-Meter &amp; Performance'!$C$2:$C$54</definedName>
    <definedName name="XDO_?NDATE?">[1]TBF!#REF!</definedName>
    <definedName name="XDO_?NDATE?1?">[1]TBFS!#REF!</definedName>
    <definedName name="XDO_?NDATE?2?">[1]TDF!#REF!</definedName>
    <definedName name="XDO_?NDATE?3?">'TEF-Risk-O-Meter &amp; Performance'!#REF!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'TEF-Risk-O-Meter &amp; Performance'!#REF!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'TEF-Risk-O-Meter &amp; Performance'!$B$10:$B$54</definedName>
    <definedName name="XDO_?NOVAL?6?">'TEF-Risk-O-Meter &amp; Performance'!$B$10:$B$96</definedName>
    <definedName name="XDO_?NPTF?3?">'TEF-Risk-O-Meter &amp; Performance'!$D$2:$D$54</definedName>
    <definedName name="XDO_?RATING?5?">'TEF-Risk-O-Meter &amp; Performance'!$E$10:$E$54</definedName>
    <definedName name="XDO_?RATING?6?">'TEF-Risk-O-Meter &amp; Performance'!$E$10:$E$96</definedName>
    <definedName name="XDO_?REMARKS?5?">'TEF-Risk-O-Meter &amp; Performance'!$J$10:$J$54</definedName>
    <definedName name="XDO_?REMARKS?6?">'TEF-Risk-O-Meter &amp; Performance'!$J$10:$J$96</definedName>
    <definedName name="XDO_?TITL?3?">'TEF-Risk-O-Meter &amp; Performance'!$A$8:$A$54</definedName>
    <definedName name="XDO_GROUP_?G_2?3?">'TEF-Risk-O-Meter &amp; Performance'!$2:$99</definedName>
    <definedName name="XDO_GROUP_?G_3?3?">'TEF-Risk-O-Meter &amp; Performance'!$8:$98</definedName>
    <definedName name="XDO_GROUP_?G_4?5?">'TEF-Risk-O-Meter &amp; Performance'!$B$10:$IV$54</definedName>
    <definedName name="XDO_GROUP_?G_4?6?">'TEF-Risk-O-Meter &amp; Performance'!$B$96:$IV$96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9" i="1"/>
</calcChain>
</file>

<file path=xl/sharedStrings.xml><?xml version="1.0" encoding="utf-8"?>
<sst xmlns="http://schemas.openxmlformats.org/spreadsheetml/2006/main" count="291" uniqueCount="213">
  <si>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</si>
  <si>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</si>
  <si>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</si>
  <si>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</si>
  <si>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</si>
  <si>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</si>
  <si>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</si>
  <si>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</si>
  <si>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</si>
  <si>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</si>
  <si>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</si>
  <si>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</si>
  <si>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</si>
  <si>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</si>
  <si>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</si>
  <si>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</si>
  <si>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</si>
  <si>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</si>
  <si>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</si>
  <si>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</si>
  <si>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</si>
  <si>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</si>
  <si>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Software</t>
  </si>
  <si>
    <t>100161</t>
  </si>
  <si>
    <t>Cummins India Ltd.</t>
  </si>
  <si>
    <t>INE298A01020</t>
  </si>
  <si>
    <t>Industrial Products</t>
  </si>
  <si>
    <t>100115</t>
  </si>
  <si>
    <t>Siemens Ltd.</t>
  </si>
  <si>
    <t>INE003A01024</t>
  </si>
  <si>
    <t>Industrial Capital Goods</t>
  </si>
  <si>
    <t>100032</t>
  </si>
  <si>
    <t>Tata Consultancy Services Ltd.</t>
  </si>
  <si>
    <t>INE467B01029</t>
  </si>
  <si>
    <t>100008</t>
  </si>
  <si>
    <t>Sun Pharmaceutical Industries Ltd.</t>
  </si>
  <si>
    <t>INE044A01036</t>
  </si>
  <si>
    <t>Pharmaceuticals</t>
  </si>
  <si>
    <t>100570</t>
  </si>
  <si>
    <t>K.P.R. Mill Ltd.</t>
  </si>
  <si>
    <t>INE930H01031</t>
  </si>
  <si>
    <t>Textile Products</t>
  </si>
  <si>
    <t>100143</t>
  </si>
  <si>
    <t>Thermax Ltd.</t>
  </si>
  <si>
    <t>INE152A01029</t>
  </si>
  <si>
    <t>100235</t>
  </si>
  <si>
    <t>CRISIL Ltd.</t>
  </si>
  <si>
    <t>INE007A01025</t>
  </si>
  <si>
    <t>Finance</t>
  </si>
  <si>
    <t>100035</t>
  </si>
  <si>
    <t>NMDC Ltd.</t>
  </si>
  <si>
    <t>INE584A01023</t>
  </si>
  <si>
    <t>Minerals/Mining</t>
  </si>
  <si>
    <t>100571</t>
  </si>
  <si>
    <t>KNR Constructions Ltd.</t>
  </si>
  <si>
    <t>INE634I01029</t>
  </si>
  <si>
    <t>Construction</t>
  </si>
  <si>
    <t>100707</t>
  </si>
  <si>
    <t>Cera Sanitaryware Ltd.</t>
  </si>
  <si>
    <t>INE739E01017</t>
  </si>
  <si>
    <t>Consumer Durables</t>
  </si>
  <si>
    <t>100273</t>
  </si>
  <si>
    <t>Havells India Ltd.</t>
  </si>
  <si>
    <t>INE176B01034</t>
  </si>
  <si>
    <t>101152</t>
  </si>
  <si>
    <t>Sumitomo Chemical India Ltd.</t>
  </si>
  <si>
    <t>INE258G01013</t>
  </si>
  <si>
    <t>Pesticides</t>
  </si>
  <si>
    <t>100271</t>
  </si>
  <si>
    <t>Balkrishna Industries Ltd.</t>
  </si>
  <si>
    <t>INE787D01026</t>
  </si>
  <si>
    <t>Auto Ancillaries</t>
  </si>
  <si>
    <t>100843</t>
  </si>
  <si>
    <t>Dalmia Bharat Ltd.</t>
  </si>
  <si>
    <t>INE00R701025</t>
  </si>
  <si>
    <t>Cement &amp; Cement Products</t>
  </si>
  <si>
    <t>100821</t>
  </si>
  <si>
    <t>TTK Prestige Ltd.</t>
  </si>
  <si>
    <t>INE690A01028</t>
  </si>
  <si>
    <t>100260</t>
  </si>
  <si>
    <t>Solar Industries India Ltd.</t>
  </si>
  <si>
    <t>INE343H01029</t>
  </si>
  <si>
    <t>Chemicals</t>
  </si>
  <si>
    <t>100382</t>
  </si>
  <si>
    <t>Fortis Healthcare Ltd.</t>
  </si>
  <si>
    <t>INE061F01013</t>
  </si>
  <si>
    <t>Healthcare Services</t>
  </si>
  <si>
    <t>100203</t>
  </si>
  <si>
    <t>Greaves Cotton Ltd.</t>
  </si>
  <si>
    <t>INE224A01026</t>
  </si>
  <si>
    <t>100082</t>
  </si>
  <si>
    <t>Ultratech Cement Ltd.</t>
  </si>
  <si>
    <t>INE481G01011</t>
  </si>
  <si>
    <t>100816</t>
  </si>
  <si>
    <t>APL Apollo Tubes Ltd.</t>
  </si>
  <si>
    <t>INE702C01027</t>
  </si>
  <si>
    <t>Ferrous Metals</t>
  </si>
  <si>
    <t>100200</t>
  </si>
  <si>
    <t>Page Industries Ltd.</t>
  </si>
  <si>
    <t>INE761H01022</t>
  </si>
  <si>
    <t>100089</t>
  </si>
  <si>
    <t>Bharat Electronics Ltd.</t>
  </si>
  <si>
    <t>INE263A01024</t>
  </si>
  <si>
    <t>Aerospace &amp; Defense</t>
  </si>
  <si>
    <t>100090</t>
  </si>
  <si>
    <t>Bharat Forge Ltd.</t>
  </si>
  <si>
    <t>INE465A01025</t>
  </si>
  <si>
    <t>100281</t>
  </si>
  <si>
    <t>Century Textiles &amp; Industries Ltd.</t>
  </si>
  <si>
    <t>INE055A01016</t>
  </si>
  <si>
    <t>Paper</t>
  </si>
  <si>
    <t>100282</t>
  </si>
  <si>
    <t>Blue Star Ltd.</t>
  </si>
  <si>
    <t>INE472A01039</t>
  </si>
  <si>
    <t>100406</t>
  </si>
  <si>
    <t>KSB Ltd.</t>
  </si>
  <si>
    <t>INE999A01015</t>
  </si>
  <si>
    <t>100140</t>
  </si>
  <si>
    <t>Shree Cement Ltd.</t>
  </si>
  <si>
    <t>INE070A01015</t>
  </si>
  <si>
    <t>100056</t>
  </si>
  <si>
    <t>Supreme Industries Ltd.</t>
  </si>
  <si>
    <t>INE195A01028</t>
  </si>
  <si>
    <t>100208</t>
  </si>
  <si>
    <t>Dhanuka Agritech Ltd.</t>
  </si>
  <si>
    <t>INE435G01025</t>
  </si>
  <si>
    <t>100398</t>
  </si>
  <si>
    <t>Aditya Birla Fashion and Retail Ltd.</t>
  </si>
  <si>
    <t>INE647O01011</t>
  </si>
  <si>
    <t>Retailing</t>
  </si>
  <si>
    <t>100476</t>
  </si>
  <si>
    <t>Caplin Point Laboratories Ltd.</t>
  </si>
  <si>
    <t>INE475E01026</t>
  </si>
  <si>
    <t>100011</t>
  </si>
  <si>
    <t>Wipro Ltd.</t>
  </si>
  <si>
    <t>INE075A01022</t>
  </si>
  <si>
    <t>100137</t>
  </si>
  <si>
    <t>The Ramco Cements Ltd.</t>
  </si>
  <si>
    <t>INE331A01037</t>
  </si>
  <si>
    <t>100144</t>
  </si>
  <si>
    <t>Voltas Ltd.</t>
  </si>
  <si>
    <t>INE226A01021</t>
  </si>
  <si>
    <t>100205</t>
  </si>
  <si>
    <t>MindTree Ltd.</t>
  </si>
  <si>
    <t>INE018I01017</t>
  </si>
  <si>
    <t>100426</t>
  </si>
  <si>
    <t>Relaxo Footwears Ltd.</t>
  </si>
  <si>
    <t>INE131B01039</t>
  </si>
  <si>
    <t>100145</t>
  </si>
  <si>
    <t>Atul Ltd.</t>
  </si>
  <si>
    <t>INE100A01010</t>
  </si>
  <si>
    <t>100086</t>
  </si>
  <si>
    <t>Bata India Ltd.</t>
  </si>
  <si>
    <t>INE176A01028</t>
  </si>
  <si>
    <t>100514</t>
  </si>
  <si>
    <t>Grindwell Norton Ltd.</t>
  </si>
  <si>
    <t>INE536A01023</t>
  </si>
  <si>
    <t>100461</t>
  </si>
  <si>
    <t>Astral Limited</t>
  </si>
  <si>
    <t>INE006I01046</t>
  </si>
  <si>
    <t>100442</t>
  </si>
  <si>
    <t>Coromandel International Ltd.</t>
  </si>
  <si>
    <t>INE169A01031</t>
  </si>
  <si>
    <t>Fertilisers</t>
  </si>
  <si>
    <t>100106</t>
  </si>
  <si>
    <t>Maruti Suzuki India Ltd.</t>
  </si>
  <si>
    <t>INE585B01010</t>
  </si>
  <si>
    <t>Auto</t>
  </si>
  <si>
    <t>101081</t>
  </si>
  <si>
    <t>Suven Pharmaceuticals Ltd.</t>
  </si>
  <si>
    <t>INE03QK01018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</si>
  <si>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</si>
  <si>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</si>
  <si>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</si>
  <si>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</si>
  <si>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</si>
  <si>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</si>
  <si>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</si>
  <si>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</si>
  <si>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</si>
  <si>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</si>
  <si>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</si>
  <si>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</si>
  <si>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</si>
  <si>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</si>
  <si>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</si>
  <si>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</si>
  <si>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</si>
  <si>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</si>
  <si>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</si>
  <si>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</si>
  <si>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</si>
  <si>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</si>
  <si>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</si>
  <si>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</si>
  <si>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</si>
  <si>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</si>
  <si>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</si>
  <si>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</si>
  <si>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</si>
  <si>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</si>
  <si>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</si>
  <si>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</si>
  <si>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</si>
  <si>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</si>
  <si>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</si>
  <si>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</si>
  <si>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</si>
  <si>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</si>
  <si>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</si>
  <si>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March 31, 2022 : 84.58)</t>
  </si>
  <si>
    <t>Taurus Ethical Fund - Direct Plan Growth Option</t>
  </si>
  <si>
    <t>NAV [Rs.] Per Unit  (as on March 31, 2022 : 91.50)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</si>
</sst>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2354580</xdr:rowOff>
    </xdr:from>
    <xdr:to>
      <xdr:col>5</xdr:col>
      <xdr:colOff>89747</xdr:colOff>
      <xdr:row>0</xdr:row>
      <xdr:rowOff>4686300</xdr:rowOff>
    </xdr:to>
    <xdr:pic>
      <xdr:nvPicPr>
        <xdr:cNvPr id="2" name="Picture 1" descr="for half yearly - Taurus Ethical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54580"/>
          <a:ext cx="7040880" cy="23317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Ethical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March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5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0.4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44651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21767</v>
      </c>
      <c r="H10" s="32">
        <v>573.33000000000004</v>
      </c>
      <c r="I10" s="32">
        <v>7.37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22296</v>
      </c>
      <c r="H11" s="32">
        <v>425.23</v>
      </c>
      <c r="I11" s="32">
        <v>5.47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29492</v>
      </c>
      <c r="H12" s="32">
        <v>331.45</v>
      </c>
      <c r="I12" s="32">
        <v>4.26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12834</v>
      </c>
      <c r="H13" s="32">
        <v>303.99</v>
      </c>
      <c r="I13" s="32">
        <v>3.91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22</v>
      </c>
      <c r="G14" s="31">
        <v>7479</v>
      </c>
      <c r="H14" s="32">
        <v>279.62</v>
      </c>
      <c r="I14" s="32">
        <v>3.6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29418</v>
      </c>
      <c r="H15" s="32">
        <v>269.12</v>
      </c>
      <c r="I15" s="32">
        <v>3.46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42016</v>
      </c>
      <c r="H16" s="32">
        <v>261.8</v>
      </c>
      <c r="I16" s="32">
        <v>3.37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30</v>
      </c>
      <c r="G17" s="31">
        <v>13051</v>
      </c>
      <c r="H17" s="32">
        <v>253.56</v>
      </c>
      <c r="I17" s="32">
        <v>3.26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7656</v>
      </c>
      <c r="H18" s="32">
        <v>251.2</v>
      </c>
      <c r="I18" s="32">
        <v>3.23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142597</v>
      </c>
      <c r="H19" s="32">
        <v>231.72</v>
      </c>
      <c r="I19" s="32">
        <v>2.98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65609</v>
      </c>
      <c r="H20" s="32">
        <v>186.46</v>
      </c>
      <c r="I20" s="32">
        <v>2.4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3731</v>
      </c>
      <c r="H21" s="32">
        <v>185.61</v>
      </c>
      <c r="I21" s="32">
        <v>2.39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60</v>
      </c>
      <c r="G22" s="31">
        <v>15952</v>
      </c>
      <c r="H22" s="32">
        <v>184.08</v>
      </c>
      <c r="I22" s="32">
        <v>2.37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40538</v>
      </c>
      <c r="H23" s="32">
        <v>182.24</v>
      </c>
      <c r="I23" s="32">
        <v>2.34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8315</v>
      </c>
      <c r="H24" s="32">
        <v>177.8</v>
      </c>
      <c r="I24" s="32">
        <v>2.29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11723</v>
      </c>
      <c r="H25" s="32">
        <v>175.22</v>
      </c>
      <c r="I25" s="32">
        <v>2.25</v>
      </c>
      <c r="J25" s="33"/>
    </row>
    <row r="26" spans="2:10">
      <c r="B26" s="1" t="s">
        <v>76</v>
      </c>
      <c r="C26" s="20" t="s">
        <v>77</v>
      </c>
      <c r="D26" s="29" t="s">
        <v>78</v>
      </c>
      <c r="E26" s="30"/>
      <c r="F26" s="30" t="s">
        <v>60</v>
      </c>
      <c r="G26" s="31">
        <v>20820</v>
      </c>
      <c r="H26" s="32">
        <v>172.12</v>
      </c>
      <c r="I26" s="32">
        <v>2.21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6124</v>
      </c>
      <c r="H27" s="32">
        <v>171.7</v>
      </c>
      <c r="I27" s="32">
        <v>2.21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55530</v>
      </c>
      <c r="H28" s="32">
        <v>161.26</v>
      </c>
      <c r="I28" s="32">
        <v>2.0699999999999998</v>
      </c>
      <c r="J28" s="33"/>
    </row>
    <row r="29" spans="2:10">
      <c r="B29" s="1" t="s">
        <v>87</v>
      </c>
      <c r="C29" s="20" t="s">
        <v>88</v>
      </c>
      <c r="D29" s="29" t="s">
        <v>89</v>
      </c>
      <c r="E29" s="30"/>
      <c r="F29" s="30" t="s">
        <v>26</v>
      </c>
      <c r="G29" s="31">
        <v>81492</v>
      </c>
      <c r="H29" s="32">
        <v>155.57</v>
      </c>
      <c r="I29" s="32">
        <v>2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75</v>
      </c>
      <c r="G30" s="31">
        <v>2313</v>
      </c>
      <c r="H30" s="32">
        <v>152.71</v>
      </c>
      <c r="I30" s="32">
        <v>1.96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16263</v>
      </c>
      <c r="H31" s="32">
        <v>148.66</v>
      </c>
      <c r="I31" s="32">
        <v>1.91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41</v>
      </c>
      <c r="G32" s="31">
        <v>340</v>
      </c>
      <c r="H32" s="32">
        <v>146.86000000000001</v>
      </c>
      <c r="I32" s="32">
        <v>1.89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68290</v>
      </c>
      <c r="H33" s="32">
        <v>143.99</v>
      </c>
      <c r="I33" s="32">
        <v>1.85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26</v>
      </c>
      <c r="G34" s="31">
        <v>20038</v>
      </c>
      <c r="H34" s="32">
        <v>140.65</v>
      </c>
      <c r="I34" s="32">
        <v>1.81</v>
      </c>
      <c r="J34" s="33"/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16453</v>
      </c>
      <c r="H35" s="32">
        <v>140.4</v>
      </c>
      <c r="I35" s="32">
        <v>1.81</v>
      </c>
      <c r="J35" s="33"/>
    </row>
    <row r="36" spans="2:10">
      <c r="B36" s="1" t="s">
        <v>111</v>
      </c>
      <c r="C36" s="20" t="s">
        <v>112</v>
      </c>
      <c r="D36" s="29" t="s">
        <v>113</v>
      </c>
      <c r="E36" s="30"/>
      <c r="F36" s="30" t="s">
        <v>60</v>
      </c>
      <c r="G36" s="31">
        <v>13239</v>
      </c>
      <c r="H36" s="32">
        <v>139.16</v>
      </c>
      <c r="I36" s="32">
        <v>1.79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26</v>
      </c>
      <c r="G37" s="31">
        <v>9845</v>
      </c>
      <c r="H37" s="32">
        <v>129.41999999999999</v>
      </c>
      <c r="I37" s="32">
        <v>1.66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75</v>
      </c>
      <c r="G38" s="31">
        <v>528</v>
      </c>
      <c r="H38" s="32">
        <v>126.68</v>
      </c>
      <c r="I38" s="32">
        <v>1.63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26</v>
      </c>
      <c r="G39" s="31">
        <v>6086</v>
      </c>
      <c r="H39" s="32">
        <v>124.35</v>
      </c>
      <c r="I39" s="32">
        <v>1.6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67</v>
      </c>
      <c r="G40" s="31">
        <v>16491</v>
      </c>
      <c r="H40" s="32">
        <v>118.22</v>
      </c>
      <c r="I40" s="32">
        <v>1.52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36558</v>
      </c>
      <c r="H41" s="32">
        <v>110.41</v>
      </c>
      <c r="I41" s="32">
        <v>1.42</v>
      </c>
      <c r="J41" s="33"/>
    </row>
    <row r="42" spans="2:10">
      <c r="B42" s="1" t="s">
        <v>130</v>
      </c>
      <c r="C42" s="20" t="s">
        <v>131</v>
      </c>
      <c r="D42" s="29" t="s">
        <v>132</v>
      </c>
      <c r="E42" s="30"/>
      <c r="F42" s="30" t="s">
        <v>37</v>
      </c>
      <c r="G42" s="31">
        <v>15825</v>
      </c>
      <c r="H42" s="32">
        <v>107.59</v>
      </c>
      <c r="I42" s="32">
        <v>1.38</v>
      </c>
      <c r="J42" s="33"/>
    </row>
    <row r="43" spans="2:10">
      <c r="B43" s="1" t="s">
        <v>133</v>
      </c>
      <c r="C43" s="20" t="s">
        <v>134</v>
      </c>
      <c r="D43" s="29" t="s">
        <v>135</v>
      </c>
      <c r="E43" s="30"/>
      <c r="F43" s="30" t="s">
        <v>22</v>
      </c>
      <c r="G43" s="31">
        <v>16646</v>
      </c>
      <c r="H43" s="32">
        <v>98.54</v>
      </c>
      <c r="I43" s="32">
        <v>1.27</v>
      </c>
      <c r="J43" s="33"/>
    </row>
    <row r="44" spans="2:10">
      <c r="B44" s="1" t="s">
        <v>136</v>
      </c>
      <c r="C44" s="20" t="s">
        <v>137</v>
      </c>
      <c r="D44" s="29" t="s">
        <v>138</v>
      </c>
      <c r="E44" s="30"/>
      <c r="F44" s="30" t="s">
        <v>75</v>
      </c>
      <c r="G44" s="31">
        <v>12598</v>
      </c>
      <c r="H44" s="32">
        <v>96.91</v>
      </c>
      <c r="I44" s="32">
        <v>1.25</v>
      </c>
      <c r="J44" s="33"/>
    </row>
    <row r="45" spans="2:10">
      <c r="B45" s="1" t="s">
        <v>139</v>
      </c>
      <c r="C45" s="20" t="s">
        <v>140</v>
      </c>
      <c r="D45" s="29" t="s">
        <v>141</v>
      </c>
      <c r="E45" s="30"/>
      <c r="F45" s="30" t="s">
        <v>60</v>
      </c>
      <c r="G45" s="31">
        <v>7782</v>
      </c>
      <c r="H45" s="32">
        <v>96.85</v>
      </c>
      <c r="I45" s="32">
        <v>1.25</v>
      </c>
      <c r="J45" s="33"/>
    </row>
    <row r="46" spans="2:10">
      <c r="B46" s="1" t="s">
        <v>142</v>
      </c>
      <c r="C46" s="20" t="s">
        <v>143</v>
      </c>
      <c r="D46" s="29" t="s">
        <v>144</v>
      </c>
      <c r="E46" s="30"/>
      <c r="F46" s="30" t="s">
        <v>22</v>
      </c>
      <c r="G46" s="31">
        <v>2005</v>
      </c>
      <c r="H46" s="32">
        <v>86.27</v>
      </c>
      <c r="I46" s="32">
        <v>1.1100000000000001</v>
      </c>
      <c r="J46" s="33"/>
    </row>
    <row r="47" spans="2:10">
      <c r="B47" s="1" t="s">
        <v>145</v>
      </c>
      <c r="C47" s="20" t="s">
        <v>146</v>
      </c>
      <c r="D47" s="29" t="s">
        <v>147</v>
      </c>
      <c r="E47" s="30"/>
      <c r="F47" s="30" t="s">
        <v>60</v>
      </c>
      <c r="G47" s="31">
        <v>8067</v>
      </c>
      <c r="H47" s="32">
        <v>85.93</v>
      </c>
      <c r="I47" s="32">
        <v>1.1100000000000001</v>
      </c>
      <c r="J47" s="33"/>
    </row>
    <row r="48" spans="2:10">
      <c r="B48" s="1" t="s">
        <v>148</v>
      </c>
      <c r="C48" s="20" t="s">
        <v>149</v>
      </c>
      <c r="D48" s="29" t="s">
        <v>150</v>
      </c>
      <c r="E48" s="30"/>
      <c r="F48" s="30" t="s">
        <v>82</v>
      </c>
      <c r="G48" s="31">
        <v>822</v>
      </c>
      <c r="H48" s="32">
        <v>84.57</v>
      </c>
      <c r="I48" s="32">
        <v>1.0900000000000001</v>
      </c>
      <c r="J48" s="33"/>
    </row>
    <row r="49" spans="2:10">
      <c r="B49" s="1" t="s">
        <v>151</v>
      </c>
      <c r="C49" s="20" t="s">
        <v>152</v>
      </c>
      <c r="D49" s="29" t="s">
        <v>153</v>
      </c>
      <c r="E49" s="30"/>
      <c r="F49" s="30" t="s">
        <v>60</v>
      </c>
      <c r="G49" s="31">
        <v>4249</v>
      </c>
      <c r="H49" s="32">
        <v>83.36</v>
      </c>
      <c r="I49" s="32">
        <v>1.07</v>
      </c>
      <c r="J49" s="33"/>
    </row>
    <row r="50" spans="2:10">
      <c r="B50" s="1" t="s">
        <v>154</v>
      </c>
      <c r="C50" s="20" t="s">
        <v>155</v>
      </c>
      <c r="D50" s="29" t="s">
        <v>156</v>
      </c>
      <c r="E50" s="30"/>
      <c r="F50" s="30" t="s">
        <v>26</v>
      </c>
      <c r="G50" s="31">
        <v>4464</v>
      </c>
      <c r="H50" s="32">
        <v>80.33</v>
      </c>
      <c r="I50" s="32">
        <v>1.03</v>
      </c>
      <c r="J50" s="33"/>
    </row>
    <row r="51" spans="2:10">
      <c r="B51" s="1" t="s">
        <v>157</v>
      </c>
      <c r="C51" s="20" t="s">
        <v>158</v>
      </c>
      <c r="D51" s="29" t="s">
        <v>159</v>
      </c>
      <c r="E51" s="30"/>
      <c r="F51" s="30" t="s">
        <v>26</v>
      </c>
      <c r="G51" s="31">
        <v>3932</v>
      </c>
      <c r="H51" s="32">
        <v>79.55</v>
      </c>
      <c r="I51" s="32">
        <v>1.02</v>
      </c>
      <c r="J51" s="33"/>
    </row>
    <row r="52" spans="2:10">
      <c r="B52" s="1" t="s">
        <v>160</v>
      </c>
      <c r="C52" s="20" t="s">
        <v>161</v>
      </c>
      <c r="D52" s="29" t="s">
        <v>162</v>
      </c>
      <c r="E52" s="30"/>
      <c r="F52" s="30" t="s">
        <v>163</v>
      </c>
      <c r="G52" s="31">
        <v>8984</v>
      </c>
      <c r="H52" s="32">
        <v>71.8</v>
      </c>
      <c r="I52" s="32">
        <v>0.92</v>
      </c>
      <c r="J52" s="33"/>
    </row>
    <row r="53" spans="2:10">
      <c r="B53" s="1" t="s">
        <v>164</v>
      </c>
      <c r="C53" s="20" t="s">
        <v>165</v>
      </c>
      <c r="D53" s="29" t="s">
        <v>166</v>
      </c>
      <c r="E53" s="30"/>
      <c r="F53" s="30" t="s">
        <v>167</v>
      </c>
      <c r="G53" s="31">
        <v>742</v>
      </c>
      <c r="H53" s="32">
        <v>56.09</v>
      </c>
      <c r="I53" s="32">
        <v>0.72</v>
      </c>
      <c r="J53" s="33"/>
    </row>
    <row r="54" spans="2:10">
      <c r="B54" s="1" t="s">
        <v>168</v>
      </c>
      <c r="C54" s="20" t="s">
        <v>169</v>
      </c>
      <c r="D54" s="29" t="s">
        <v>170</v>
      </c>
      <c r="E54" s="30"/>
      <c r="F54" s="30" t="s">
        <v>37</v>
      </c>
      <c r="G54" s="31">
        <v>8839</v>
      </c>
      <c r="H54" s="32">
        <v>54.62</v>
      </c>
      <c r="I54" s="32">
        <v>0.7</v>
      </c>
      <c r="J54" s="33"/>
    </row>
    <row r="55" spans="2:10">
      <c r="C55" s="28" t="s">
        <v>171</v>
      </c>
      <c r="D55" s="29"/>
      <c r="E55" s="30"/>
      <c r="F55" s="30"/>
      <c r="G55" s="31"/>
      <c r="H55" s="35">
        <v>7637</v>
      </c>
      <c r="I55" s="35">
        <v>98.21</v>
      </c>
      <c r="J55" s="33"/>
    </row>
    <row r="56" spans="2:10">
      <c r="C56" s="20"/>
      <c r="D56" s="29"/>
      <c r="E56" s="30"/>
      <c r="F56" s="30"/>
      <c r="G56" s="31"/>
      <c r="H56" s="32"/>
      <c r="I56" s="32"/>
      <c r="J56" s="33"/>
    </row>
    <row r="57" spans="2:10">
      <c r="C57" s="28" t="s">
        <v>172</v>
      </c>
      <c r="D57" s="29"/>
      <c r="E57" s="30"/>
      <c r="F57" s="30"/>
      <c r="G57" s="31"/>
      <c r="H57" s="32" t="s">
        <v>173</v>
      </c>
      <c r="I57" s="32" t="s">
        <v>173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28" t="s">
        <v>174</v>
      </c>
      <c r="D59" s="29"/>
      <c r="E59" s="30"/>
      <c r="F59" s="30"/>
      <c r="G59" s="31"/>
      <c r="H59" s="32" t="s">
        <v>173</v>
      </c>
      <c r="I59" s="32" t="s">
        <v>173</v>
      </c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175</v>
      </c>
      <c r="D61" s="29"/>
      <c r="E61" s="30"/>
      <c r="F61" s="30"/>
      <c r="G61" s="31"/>
      <c r="H61" s="32"/>
      <c r="I61" s="32"/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176</v>
      </c>
      <c r="D63" s="29"/>
      <c r="E63" s="30"/>
      <c r="F63" s="30"/>
      <c r="G63" s="31"/>
      <c r="H63" s="32" t="s">
        <v>173</v>
      </c>
      <c r="I63" s="32" t="s">
        <v>173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177</v>
      </c>
      <c r="D65" s="29"/>
      <c r="E65" s="30"/>
      <c r="F65" s="30"/>
      <c r="G65" s="31"/>
      <c r="H65" s="32" t="s">
        <v>173</v>
      </c>
      <c r="I65" s="32" t="s">
        <v>173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178</v>
      </c>
      <c r="D67" s="29"/>
      <c r="E67" s="30"/>
      <c r="F67" s="30"/>
      <c r="G67" s="31"/>
      <c r="H67" s="32" t="s">
        <v>173</v>
      </c>
      <c r="I67" s="32" t="s">
        <v>173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179</v>
      </c>
      <c r="D69" s="29"/>
      <c r="E69" s="30"/>
      <c r="F69" s="30"/>
      <c r="G69" s="31"/>
      <c r="H69" s="32" t="s">
        <v>173</v>
      </c>
      <c r="I69" s="32" t="s">
        <v>173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180</v>
      </c>
      <c r="D71" s="29"/>
      <c r="E71" s="30"/>
      <c r="F71" s="30"/>
      <c r="G71" s="31"/>
      <c r="H71" s="32" t="s">
        <v>173</v>
      </c>
      <c r="I71" s="32" t="s">
        <v>173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181</v>
      </c>
      <c r="D73" s="29"/>
      <c r="E73" s="30"/>
      <c r="F73" s="30"/>
      <c r="G73" s="31"/>
      <c r="H73" s="32"/>
      <c r="I73" s="32"/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182</v>
      </c>
      <c r="D75" s="29"/>
      <c r="E75" s="30"/>
      <c r="F75" s="30"/>
      <c r="G75" s="31"/>
      <c r="H75" s="32" t="s">
        <v>173</v>
      </c>
      <c r="I75" s="32" t="s">
        <v>173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183</v>
      </c>
      <c r="D77" s="29"/>
      <c r="E77" s="30"/>
      <c r="F77" s="30"/>
      <c r="G77" s="31"/>
      <c r="H77" s="32" t="s">
        <v>173</v>
      </c>
      <c r="I77" s="32" t="s">
        <v>173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184</v>
      </c>
      <c r="D79" s="29"/>
      <c r="E79" s="30"/>
      <c r="F79" s="30"/>
      <c r="G79" s="31"/>
      <c r="H79" s="32" t="s">
        <v>173</v>
      </c>
      <c r="I79" s="32" t="s">
        <v>173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185</v>
      </c>
      <c r="D81" s="29"/>
      <c r="E81" s="30"/>
      <c r="F81" s="30"/>
      <c r="G81" s="31"/>
      <c r="H81" s="32" t="s">
        <v>173</v>
      </c>
      <c r="I81" s="32" t="s">
        <v>173</v>
      </c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186</v>
      </c>
      <c r="D83" s="29"/>
      <c r="E83" s="30"/>
      <c r="F83" s="30"/>
      <c r="G83" s="31"/>
      <c r="H83" s="32"/>
      <c r="I83" s="32"/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187</v>
      </c>
      <c r="D85" s="29"/>
      <c r="E85" s="30"/>
      <c r="F85" s="30"/>
      <c r="G85" s="31"/>
      <c r="H85" s="32" t="s">
        <v>173</v>
      </c>
      <c r="I85" s="32" t="s">
        <v>173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C87" s="28" t="s">
        <v>188</v>
      </c>
      <c r="D87" s="29"/>
      <c r="E87" s="30"/>
      <c r="F87" s="30"/>
      <c r="G87" s="31"/>
      <c r="H87" s="32" t="s">
        <v>173</v>
      </c>
      <c r="I87" s="32" t="s">
        <v>173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>
      <c r="C89" s="28" t="s">
        <v>189</v>
      </c>
      <c r="D89" s="29"/>
      <c r="E89" s="30"/>
      <c r="F89" s="30"/>
      <c r="G89" s="31"/>
      <c r="H89" s="32" t="s">
        <v>173</v>
      </c>
      <c r="I89" s="32" t="s">
        <v>173</v>
      </c>
      <c r="J89" s="33"/>
    </row>
    <row r="90" spans="1:10">
      <c r="C90" s="20"/>
      <c r="D90" s="29"/>
      <c r="E90" s="30"/>
      <c r="F90" s="30"/>
      <c r="G90" s="31"/>
      <c r="H90" s="32"/>
      <c r="I90" s="32"/>
      <c r="J90" s="33"/>
    </row>
    <row r="91" spans="1:10">
      <c r="C91" s="28" t="s">
        <v>190</v>
      </c>
      <c r="D91" s="29"/>
      <c r="E91" s="30"/>
      <c r="F91" s="30"/>
      <c r="G91" s="31"/>
      <c r="H91" s="32" t="s">
        <v>173</v>
      </c>
      <c r="I91" s="32" t="s">
        <v>173</v>
      </c>
      <c r="J91" s="33"/>
    </row>
    <row r="92" spans="1:10">
      <c r="C92" s="20"/>
      <c r="D92" s="29"/>
      <c r="E92" s="30"/>
      <c r="F92" s="30"/>
      <c r="G92" s="31"/>
      <c r="H92" s="32"/>
      <c r="I92" s="32"/>
      <c r="J92" s="33"/>
    </row>
    <row r="93" spans="1:10">
      <c r="C93" s="28" t="s">
        <v>191</v>
      </c>
      <c r="D93" s="29"/>
      <c r="E93" s="30"/>
      <c r="F93" s="30"/>
      <c r="G93" s="31"/>
      <c r="H93" s="32" t="s">
        <v>173</v>
      </c>
      <c r="I93" s="32" t="s">
        <v>173</v>
      </c>
      <c r="J93" s="33"/>
    </row>
    <row r="94" spans="1:10">
      <c r="C94" s="20"/>
      <c r="D94" s="29"/>
      <c r="E94" s="30"/>
      <c r="F94" s="30"/>
      <c r="G94" s="31"/>
      <c r="H94" s="32"/>
      <c r="I94" s="32"/>
      <c r="J94" s="33"/>
    </row>
    <row r="95" spans="1:10">
      <c r="A95" s="26"/>
      <c r="B95" s="27"/>
      <c r="C95" s="28" t="s">
        <v>192</v>
      </c>
      <c r="D95" s="29"/>
      <c r="E95" s="30"/>
      <c r="F95" s="30"/>
      <c r="G95" s="31"/>
      <c r="H95" s="32"/>
      <c r="I95" s="32"/>
      <c r="J95" s="33"/>
    </row>
    <row r="96" spans="1:10">
      <c r="B96" s="1"/>
      <c r="C96" s="20" t="s">
        <v>193</v>
      </c>
      <c r="D96" s="29"/>
      <c r="E96" s="30"/>
      <c r="F96" s="30"/>
      <c r="G96" s="31"/>
      <c r="H96" s="32">
        <v>137.44999999999999</v>
      </c>
      <c r="I96" s="32">
        <v>1.79</v>
      </c>
      <c r="J96" s="33"/>
    </row>
    <row r="97" spans="3:10">
      <c r="C97" s="28" t="s">
        <v>171</v>
      </c>
      <c r="D97" s="29"/>
      <c r="E97" s="30"/>
      <c r="F97" s="30"/>
      <c r="G97" s="31"/>
      <c r="H97" s="35">
        <v>137.44999999999999</v>
      </c>
      <c r="I97" s="35">
        <v>1.79</v>
      </c>
      <c r="J97" s="33"/>
    </row>
    <row r="98" spans="3:10">
      <c r="C98" s="20"/>
      <c r="D98" s="29"/>
      <c r="E98" s="30"/>
      <c r="F98" s="30"/>
      <c r="G98" s="31"/>
      <c r="H98" s="32"/>
      <c r="I98" s="32"/>
      <c r="J98" s="33"/>
    </row>
    <row r="99" spans="3:10" ht="13.8" thickBot="1">
      <c r="C99" s="36" t="s">
        <v>194</v>
      </c>
      <c r="D99" s="37"/>
      <c r="E99" s="38"/>
      <c r="F99" s="39"/>
      <c r="G99" s="40"/>
      <c r="H99" s="41">
        <v>7774.45</v>
      </c>
      <c r="I99" s="41">
        <f>SUMIFS(I:I,C:C,"Total")</f>
        <v>100</v>
      </c>
      <c r="J99" s="42"/>
    </row>
    <row r="102" spans="3:10">
      <c r="C102" s="11" t="s">
        <v>195</v>
      </c>
    </row>
    <row r="103" spans="3:10">
      <c r="C103" s="2" t="s">
        <v>196</v>
      </c>
    </row>
    <row r="104" spans="3:10">
      <c r="C104" s="2" t="s">
        <v>197</v>
      </c>
    </row>
    <row r="105" spans="3:10">
      <c r="C105" s="2" t="s">
        <v>198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"/>
    </sheetView>
  </sheetViews>
  <sheetFormatPr defaultRowHeight="14.4"/>
  <cols>
    <col min="1" max="1" width="52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4" spans="1:9" ht="15.6">
      <c r="A4" s="43" t="s">
        <v>199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200</v>
      </c>
      <c r="B5" s="46" t="s">
        <v>201</v>
      </c>
      <c r="C5" s="46"/>
      <c r="D5" s="46" t="s">
        <v>202</v>
      </c>
      <c r="E5" s="46"/>
      <c r="F5" s="46" t="s">
        <v>203</v>
      </c>
      <c r="G5" s="46"/>
      <c r="H5" s="46" t="s">
        <v>204</v>
      </c>
      <c r="I5" s="46"/>
    </row>
    <row r="6" spans="1:9" ht="66">
      <c r="A6" s="47"/>
      <c r="B6" s="48" t="s">
        <v>205</v>
      </c>
      <c r="C6" s="48" t="s">
        <v>206</v>
      </c>
      <c r="D6" s="48" t="s">
        <v>205</v>
      </c>
      <c r="E6" s="48" t="s">
        <v>206</v>
      </c>
      <c r="F6" s="48" t="s">
        <v>205</v>
      </c>
      <c r="G6" s="48" t="s">
        <v>206</v>
      </c>
      <c r="H6" s="48" t="s">
        <v>205</v>
      </c>
      <c r="I6" s="48" t="s">
        <v>206</v>
      </c>
    </row>
    <row r="7" spans="1:9">
      <c r="A7" s="49" t="s">
        <v>207</v>
      </c>
      <c r="B7" s="50">
        <v>19.429539678057051</v>
      </c>
      <c r="C7" s="50">
        <v>11942.953967805706</v>
      </c>
      <c r="D7" s="50">
        <v>18.067235971739048</v>
      </c>
      <c r="E7" s="50">
        <v>16480.904130943101</v>
      </c>
      <c r="F7" s="50">
        <v>14.98092923415879</v>
      </c>
      <c r="G7" s="50">
        <v>20104.58759210839</v>
      </c>
      <c r="H7" s="50">
        <v>17.857808243197471</v>
      </c>
      <c r="I7" s="50">
        <v>84580</v>
      </c>
    </row>
    <row r="8" spans="1:9">
      <c r="A8" s="49" t="s">
        <v>208</v>
      </c>
      <c r="B8" s="50">
        <v>23.539137512023256</v>
      </c>
      <c r="C8" s="50">
        <v>12353.913751202326</v>
      </c>
      <c r="D8" s="50">
        <v>22.939483985709685</v>
      </c>
      <c r="E8" s="50">
        <v>18581.217107851509</v>
      </c>
      <c r="F8" s="50">
        <v>17.979359029985751</v>
      </c>
      <c r="G8" s="50">
        <v>22857.575440103366</v>
      </c>
      <c r="H8" s="50">
        <v>17.735825836128139</v>
      </c>
      <c r="I8" s="50">
        <v>83412.173300824317</v>
      </c>
    </row>
    <row r="9" spans="1:9">
      <c r="A9" s="49" t="s">
        <v>209</v>
      </c>
      <c r="B9" s="50">
        <v>20.260052895360261</v>
      </c>
      <c r="C9" s="50">
        <v>12026.005289536026</v>
      </c>
      <c r="D9" s="50">
        <v>15.823957466126238</v>
      </c>
      <c r="E9" s="50">
        <v>15538.002943957132</v>
      </c>
      <c r="F9" s="50">
        <v>15.141731736907404</v>
      </c>
      <c r="G9" s="50">
        <v>20237.822610221807</v>
      </c>
      <c r="H9" s="50">
        <v>15.163662966172931</v>
      </c>
      <c r="I9" s="50">
        <v>62603.288284060924</v>
      </c>
    </row>
    <row r="10" spans="1:9">
      <c r="A10" s="49" t="s">
        <v>210</v>
      </c>
      <c r="B10" s="51">
        <v>70.819999999999993</v>
      </c>
      <c r="C10" s="52"/>
      <c r="D10" s="51">
        <v>51.32</v>
      </c>
      <c r="E10" s="52"/>
      <c r="F10" s="51">
        <v>42.07</v>
      </c>
      <c r="G10" s="52"/>
      <c r="H10" s="51">
        <v>10</v>
      </c>
      <c r="I10" s="52"/>
    </row>
    <row r="12" spans="1:9" ht="15.6">
      <c r="A12" s="43" t="s">
        <v>211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200</v>
      </c>
      <c r="B13" s="46" t="s">
        <v>201</v>
      </c>
      <c r="C13" s="46"/>
      <c r="D13" s="46" t="s">
        <v>202</v>
      </c>
      <c r="E13" s="46"/>
      <c r="F13" s="46" t="s">
        <v>203</v>
      </c>
      <c r="G13" s="46"/>
      <c r="H13" s="46" t="s">
        <v>204</v>
      </c>
      <c r="I13" s="46"/>
    </row>
    <row r="14" spans="1:9" ht="66">
      <c r="A14" s="47"/>
      <c r="B14" s="48" t="s">
        <v>205</v>
      </c>
      <c r="C14" s="48" t="s">
        <v>206</v>
      </c>
      <c r="D14" s="48" t="s">
        <v>205</v>
      </c>
      <c r="E14" s="48" t="s">
        <v>206</v>
      </c>
      <c r="F14" s="48" t="s">
        <v>205</v>
      </c>
      <c r="G14" s="48" t="s">
        <v>206</v>
      </c>
      <c r="H14" s="48" t="s">
        <v>205</v>
      </c>
      <c r="I14" s="48" t="s">
        <v>206</v>
      </c>
    </row>
    <row r="15" spans="1:9">
      <c r="A15" s="49" t="s">
        <v>207</v>
      </c>
      <c r="B15" s="50">
        <v>20.664644599762628</v>
      </c>
      <c r="C15" s="50">
        <v>12066.464459976263</v>
      </c>
      <c r="D15" s="50">
        <v>19.249079812664593</v>
      </c>
      <c r="E15" s="50">
        <v>16982.182628062357</v>
      </c>
      <c r="F15" s="50">
        <v>16.062201980817935</v>
      </c>
      <c r="G15" s="50">
        <v>21068.385908358279</v>
      </c>
      <c r="H15" s="50">
        <v>15.852840763162357</v>
      </c>
      <c r="I15" s="50">
        <v>39002.55754475703</v>
      </c>
    </row>
    <row r="16" spans="1:9">
      <c r="A16" s="49" t="s">
        <v>208</v>
      </c>
      <c r="B16" s="50">
        <v>23.539137512023256</v>
      </c>
      <c r="C16" s="50">
        <v>12353.913751202326</v>
      </c>
      <c r="D16" s="50">
        <v>22.939483985709685</v>
      </c>
      <c r="E16" s="50">
        <v>18581.217107851509</v>
      </c>
      <c r="F16" s="50">
        <v>17.979359029985751</v>
      </c>
      <c r="G16" s="50">
        <v>22857.575440103366</v>
      </c>
      <c r="H16" s="50">
        <v>17.525875736844611</v>
      </c>
      <c r="I16" s="50">
        <v>44533.497180631755</v>
      </c>
    </row>
    <row r="17" spans="1:9">
      <c r="A17" s="49" t="s">
        <v>209</v>
      </c>
      <c r="B17" s="50">
        <v>20.260052895360261</v>
      </c>
      <c r="C17" s="50">
        <v>12026.005289536026</v>
      </c>
      <c r="D17" s="50">
        <v>15.823957466126238</v>
      </c>
      <c r="E17" s="50">
        <v>15538.002943957132</v>
      </c>
      <c r="F17" s="50">
        <v>15.141731736907404</v>
      </c>
      <c r="G17" s="50">
        <v>20237.822610221807</v>
      </c>
      <c r="H17" s="50">
        <v>13.715098611242006</v>
      </c>
      <c r="I17" s="50">
        <v>32830.650832198364</v>
      </c>
    </row>
    <row r="18" spans="1:9">
      <c r="A18" s="49" t="s">
        <v>212</v>
      </c>
      <c r="B18" s="51">
        <v>75.83</v>
      </c>
      <c r="C18" s="52"/>
      <c r="D18" s="51">
        <v>53.88</v>
      </c>
      <c r="E18" s="52"/>
      <c r="F18" s="51">
        <v>43.43</v>
      </c>
      <c r="G18" s="52"/>
      <c r="H18" s="51">
        <v>23.46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2022-04-01T09:27:23Z</dcterms:created>
  <dcterms:modified xsi:type="dcterms:W3CDTF">2022-04-05T06:04:39Z</dcterms:modified>
</cp:coreProperties>
</file>