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85F07AE0-DB65-48DE-B427-8EB6EA0F22FA}" xr6:coauthVersionLast="47" xr6:coauthVersionMax="47" xr10:uidLastSave="{00000000-0000-0000-0000-000000000000}"/>
  <bookViews>
    <workbookView xWindow="-120" yWindow="-120" windowWidth="20730" windowHeight="11040" xr2:uid="{14024002-0CB3-4FDB-A3C5-9BD0A168E673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TISF!$C$8:$C$41</definedName>
    <definedName name="XDO_?FINAL_ISIN?8?">TISF!$D$10:$D$41</definedName>
    <definedName name="XDO_?FINAL_ISIN?9?">TISF!$D$10:$D$85</definedName>
    <definedName name="XDO_?FINAL_MV?8?">TISF!$H$10:$H$41</definedName>
    <definedName name="XDO_?FINAL_MV?9?">TISF!$H$10:$H$85</definedName>
    <definedName name="XDO_?FINAL_NAME?8?">TISF!$C$10:$C$41</definedName>
    <definedName name="XDO_?FINAL_NAME?9?">TISF!$C$10:$C$85</definedName>
    <definedName name="XDO_?FINAL_PER_NET?8?">TISF!$I$10:$I$41</definedName>
    <definedName name="XDO_?FINAL_PER_NET?9?">TISF!$I$10:$I$85</definedName>
    <definedName name="XDO_?FINAL_QUANTITE?8?">TISF!$G$10:$G$41</definedName>
    <definedName name="XDO_?FINAL_QUANTITE?9?">TISF!$G$10:$G$85</definedName>
    <definedName name="XDO_?IND_01?8?">TISF!$F$10:$F$41</definedName>
    <definedName name="XDO_?IND_01?9?">TISF!$F$10:$F$85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TISF!$B$10:$B$41</definedName>
    <definedName name="XDO_?NOVAL?9?">TISF!$B$10:$B$85</definedName>
    <definedName name="XDO_?NPTF?4?">TISF!$D$2:$D$41</definedName>
    <definedName name="XDO_?RATING?8?">TISF!$E$10:$E$41</definedName>
    <definedName name="XDO_?RATING?9?">TISF!$E$10:$E$85</definedName>
    <definedName name="XDO_?REMARKS?8?">TISF!$J$10:$J$41</definedName>
    <definedName name="XDO_?REMARKS?9?">TISF!$J$10:$J$85</definedName>
    <definedName name="XDO_?TITL?4?">TISF!$A$8:$A$41</definedName>
    <definedName name="XDO_GROUP_?G_2?4?">TISF!$2:$88</definedName>
    <definedName name="XDO_GROUP_?G_3?4?">TISF!$8:$87</definedName>
    <definedName name="XDO_GROUP_?G_4?8?">TISF!$B$10:$IV$41</definedName>
    <definedName name="XDO_GROUP_?G_4?9?">TISF!$B$85:$IV$85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<sst xmlns="http://schemas.openxmlformats.org/spreadsheetml/2006/main" count="270" uniqueCount="193">
  <si>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</si>
  <si>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</si>
  <si>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</si>
  <si>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</si>
  <si>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</si>
  <si>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</si>
  <si>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</si>
  <si>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</si>
  <si>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</si>
  <si>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</si>
  <si>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</si>
  <si>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</si>
  <si>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</si>
  <si>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</si>
  <si>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</si>
  <si>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</si>
  <si>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</si>
  <si>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</si>
  <si>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</si>
  <si>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</si>
  <si>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</si>
  <si>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</si>
  <si>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</si>
  <si>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</si>
  <si>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</si>
  <si>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</si>
  <si>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</si>
  <si>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100182</t>
  </si>
  <si>
    <t>Power Grid Corporation of India Ltd.</t>
  </si>
  <si>
    <t>INE752E01010</t>
  </si>
  <si>
    <t>Power</t>
  </si>
  <si>
    <t>102447</t>
  </si>
  <si>
    <t>Afcons Infrastructure Ltd.</t>
  </si>
  <si>
    <t>INE101I01011</t>
  </si>
  <si>
    <t>102611</t>
  </si>
  <si>
    <t>Kalpataru Ltd.</t>
  </si>
  <si>
    <t>INE227J01012</t>
  </si>
  <si>
    <t>Realty</t>
  </si>
  <si>
    <t>100082</t>
  </si>
  <si>
    <t>Ultratech Cement Ltd.</t>
  </si>
  <si>
    <t>INE481G01011</t>
  </si>
  <si>
    <t>Cement &amp; Cement Products</t>
  </si>
  <si>
    <t>100302</t>
  </si>
  <si>
    <t>DLF Ltd.</t>
  </si>
  <si>
    <t>INE271C01023</t>
  </si>
  <si>
    <t>102644</t>
  </si>
  <si>
    <t>Vikram Solar Ltd.</t>
  </si>
  <si>
    <t>INE078V01014</t>
  </si>
  <si>
    <t>Electrical Equipment</t>
  </si>
  <si>
    <t>100843</t>
  </si>
  <si>
    <t>Dalmia Bharat Ltd.</t>
  </si>
  <si>
    <t>INE00R701025</t>
  </si>
  <si>
    <t>100094</t>
  </si>
  <si>
    <t>Bharat Petroleum Corporation Ltd.</t>
  </si>
  <si>
    <t>INE029A01011</t>
  </si>
  <si>
    <t>100181</t>
  </si>
  <si>
    <t>NTPC Ltd.</t>
  </si>
  <si>
    <t>INE733E01010</t>
  </si>
  <si>
    <t>100177</t>
  </si>
  <si>
    <t>Grasim Industries Ltd.</t>
  </si>
  <si>
    <t>INE047A01021</t>
  </si>
  <si>
    <t>100169</t>
  </si>
  <si>
    <t>Indian Oil Corporation Ltd.</t>
  </si>
  <si>
    <t>INE242A01010</t>
  </si>
  <si>
    <t>100362</t>
  </si>
  <si>
    <t>JSW Energy Ltd.</t>
  </si>
  <si>
    <t>INE121E01018</t>
  </si>
  <si>
    <t>100465</t>
  </si>
  <si>
    <t>Interglobe Aviation Ltd.</t>
  </si>
  <si>
    <t>INE646L01027</t>
  </si>
  <si>
    <t>Transport Services</t>
  </si>
  <si>
    <t>102206</t>
  </si>
  <si>
    <t>Chemtech Industrial Valves Ltd.</t>
  </si>
  <si>
    <t>INE212P01011</t>
  </si>
  <si>
    <t>Industrial Manufacturing</t>
  </si>
  <si>
    <t>100292</t>
  </si>
  <si>
    <t>Steel Authority of India Ltd.</t>
  </si>
  <si>
    <t>INE114A01011</t>
  </si>
  <si>
    <t>Ferrous Metals</t>
  </si>
  <si>
    <t>100263</t>
  </si>
  <si>
    <t>BEML Ltd.</t>
  </si>
  <si>
    <t>INE258A01016</t>
  </si>
  <si>
    <t>Agricultural, Commercial &amp; Construction Vehicles</t>
  </si>
  <si>
    <t>100430</t>
  </si>
  <si>
    <t>Salzer Electronics Ltd.</t>
  </si>
  <si>
    <t>INE457F01013</t>
  </si>
  <si>
    <t>100111</t>
  </si>
  <si>
    <t>Oil &amp; Natural Gas Corporation Ltd.</t>
  </si>
  <si>
    <t>INE213A01029</t>
  </si>
  <si>
    <t>Oil</t>
  </si>
  <si>
    <t>100498</t>
  </si>
  <si>
    <t>Ahluwalia Contracts (India) Ltd.</t>
  </si>
  <si>
    <t>INE758C01029</t>
  </si>
  <si>
    <t>100100</t>
  </si>
  <si>
    <t>Hindustan Petroleum Corporation Ltd.</t>
  </si>
  <si>
    <t>INE094A01015</t>
  </si>
  <si>
    <t>100014</t>
  </si>
  <si>
    <t>Mahindra &amp; Mahindra Ltd.</t>
  </si>
  <si>
    <t>INE101A01026</t>
  </si>
  <si>
    <t>Automobiles</t>
  </si>
  <si>
    <t>100174</t>
  </si>
  <si>
    <t>Vodafone Idea Ltd.</t>
  </si>
  <si>
    <t>INE669E01016</t>
  </si>
  <si>
    <t>100156</t>
  </si>
  <si>
    <t>Finolex Cables Ltd.</t>
  </si>
  <si>
    <t>INE235A01022</t>
  </si>
  <si>
    <t>Industrial Products</t>
  </si>
  <si>
    <t>101949</t>
  </si>
  <si>
    <t>Samhi Hotels Ltd.</t>
  </si>
  <si>
    <t>INE08U801020</t>
  </si>
  <si>
    <t>Leisure Services</t>
  </si>
  <si>
    <t>100083</t>
  </si>
  <si>
    <t>Samvardhana Motherson International Ltd.</t>
  </si>
  <si>
    <t>INE775A01035</t>
  </si>
  <si>
    <t>Auto Components</t>
  </si>
  <si>
    <t>100809</t>
  </si>
  <si>
    <t>Rites Ltd.</t>
  </si>
  <si>
    <t>INE320J01015</t>
  </si>
  <si>
    <t>102505</t>
  </si>
  <si>
    <t>Apeejay Surrendra Park Hotels Ltd.</t>
  </si>
  <si>
    <t>INE988S01028</t>
  </si>
  <si>
    <t>102135</t>
  </si>
  <si>
    <t>Le Travenues Technology Pvt. Ltd.</t>
  </si>
  <si>
    <t>INE0HV901016</t>
  </si>
  <si>
    <t>101800</t>
  </si>
  <si>
    <t>Hindware Home Innovation Ltd.</t>
  </si>
  <si>
    <t>INE05AN01011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</si>
  <si>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</si>
  <si>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</si>
  <si>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</si>
  <si>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</si>
  <si>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</si>
  <si>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</si>
  <si>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</si>
  <si>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</si>
  <si>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</si>
  <si>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</si>
  <si>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</si>
  <si>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</si>
  <si>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</si>
  <si>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</si>
  <si>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</si>
  <si>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</si>
  <si>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</si>
  <si>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</si>
  <si>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</si>
  <si>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</si>
  <si>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</si>
  <si>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</si>
  <si>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</si>
  <si>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</si>
  <si>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</si>
  <si>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</si>
  <si>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</si>
  <si>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</si>
  <si>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</si>
  <si>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</si>
  <si>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</si>
  <si>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</si>
  <si>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</si>
  <si>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</si>
  <si>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</si>
  <si>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</si>
  <si>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</si>
  <si>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</si>
  <si>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</si>
  <si>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</si>
  <si>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</si>
  <si>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</si>
  <si>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August 31, 2025.</t>
  </si>
  <si>
    <t>7. The Scheme did not declare any bonus during the month ended As on August 31, 2025.</t>
  </si>
  <si>
    <t>8. Total outstanding exposure in derivative instruments as on As on August 31, 2025 is Nil</t>
  </si>
  <si>
    <t>9. Total investments in Foreign Securities /ADRs/GDRs /Overseas ETFs as at As on August 31, 2025 and its percentage to NAV is Nil.</t>
  </si>
  <si>
    <t>10. During the period, the portfolio turnover ratio is 0.90 times.</t>
  </si>
  <si>
    <t>      Portfolio Turnover Ratio = Lower of sales or purchase of securities divided by average AUM for 12 months ended As on August 31, 2025</t>
  </si>
  <si>
    <t>11. The Scheme did not invest in repo transactions of corporate debt securities during the month ended As on August 31, 2025.</t>
  </si>
  <si>
    <t>12. The Scheme did not invest in credit default swaps during the month ended As on August 31, 2025.</t>
  </si>
  <si>
    <t>13. There are Nil instances of deviation from the valuation principles/guidelines during the month ended as on August 31st, 2025.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</si>
  <si>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</si>
  <si>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</si>
  <si>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</si>
  <si>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</si>
  <si>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</si>
  <si>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</si>
  <si>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</si>
  <si>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</si>
  <si>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</si>
  <si>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</si>
  <si>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</si>
  <si>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August 29,2025 :65.26)</t>
  </si>
  <si>
    <t>Taurus Infrastructure Fund - Direct Plan Growth Option</t>
  </si>
  <si>
    <t>NAV [Rs.] Per Unit (as on August 29,2025 :70.07)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</si>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</sst>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F6387D67-BFFD-4CE0-BD5C-8D21744621FA}"/>
    <cellStyle name="Hyperlink" xfId="2" builtinId="8"/>
    <cellStyle name="Normal" xfId="0" builtinId="0"/>
    <cellStyle name="Normal 2" xfId="4" xr:uid="{C664E2A1-D993-4C52-9CB5-9D8FD28B2AC5}"/>
    <cellStyle name="Style 1" xfId="3" xr:uid="{B03A47D8-C90B-42EC-AD38-A8F4DEAA7D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395ABE47-3279-4755-8EFF-642ACB6B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F4FB-E592-4482-8CE6-04D820EC6BC9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92.57</v>
      </c>
      <c r="I10" s="32">
        <v>10.039999999999999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65.17</v>
      </c>
      <c r="I11" s="32">
        <v>7.07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61.88</v>
      </c>
      <c r="I12" s="32">
        <v>6.71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46.49</v>
      </c>
      <c r="I13" s="32">
        <v>5.04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10800</v>
      </c>
      <c r="H14" s="32">
        <v>45.1</v>
      </c>
      <c r="I14" s="32">
        <v>4.8899999999999997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9684</v>
      </c>
      <c r="H15" s="32">
        <v>36.979999999999997</v>
      </c>
      <c r="I15" s="32">
        <v>4.01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280</v>
      </c>
      <c r="H16" s="32">
        <v>35.380000000000003</v>
      </c>
      <c r="I16" s="32">
        <v>3.84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37</v>
      </c>
      <c r="G17" s="31">
        <v>4454</v>
      </c>
      <c r="H17" s="32">
        <v>32.92</v>
      </c>
      <c r="I17" s="32">
        <v>3.57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9090</v>
      </c>
      <c r="H18" s="32">
        <v>30.58</v>
      </c>
      <c r="I18" s="32">
        <v>3.32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41</v>
      </c>
      <c r="G19" s="31">
        <v>1208</v>
      </c>
      <c r="H19" s="32">
        <v>29.02</v>
      </c>
      <c r="I19" s="32">
        <v>3.15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22</v>
      </c>
      <c r="G20" s="31">
        <v>9374</v>
      </c>
      <c r="H20" s="32">
        <v>28.89</v>
      </c>
      <c r="I20" s="32">
        <v>3.13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30</v>
      </c>
      <c r="G21" s="31">
        <v>8787</v>
      </c>
      <c r="H21" s="32">
        <v>28.78</v>
      </c>
      <c r="I21" s="32">
        <v>3.12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41</v>
      </c>
      <c r="G22" s="31">
        <v>1015</v>
      </c>
      <c r="H22" s="32">
        <v>28.14</v>
      </c>
      <c r="I22" s="32">
        <v>3.05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22</v>
      </c>
      <c r="G23" s="31">
        <v>19975</v>
      </c>
      <c r="H23" s="32">
        <v>27.3</v>
      </c>
      <c r="I23" s="32">
        <v>2.96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30</v>
      </c>
      <c r="G24" s="31">
        <v>5491</v>
      </c>
      <c r="H24" s="32">
        <v>26.79</v>
      </c>
      <c r="I24" s="32">
        <v>2.91</v>
      </c>
      <c r="J24" s="33"/>
    </row>
    <row r="25" spans="2:10" x14ac:dyDescent="0.25">
      <c r="B25" s="1" t="s">
        <v>67</v>
      </c>
      <c r="C25" s="20" t="s">
        <v>68</v>
      </c>
      <c r="D25" s="29" t="s">
        <v>69</v>
      </c>
      <c r="E25" s="30"/>
      <c r="F25" s="30" t="s">
        <v>70</v>
      </c>
      <c r="G25" s="31">
        <v>469</v>
      </c>
      <c r="H25" s="32">
        <v>26.4</v>
      </c>
      <c r="I25" s="32">
        <v>2.86</v>
      </c>
      <c r="J25" s="33"/>
    </row>
    <row r="26" spans="2:10" x14ac:dyDescent="0.25">
      <c r="B26" s="1" t="s">
        <v>71</v>
      </c>
      <c r="C26" s="20" t="s">
        <v>72</v>
      </c>
      <c r="D26" s="29" t="s">
        <v>73</v>
      </c>
      <c r="E26" s="30"/>
      <c r="F26" s="30" t="s">
        <v>74</v>
      </c>
      <c r="G26" s="31">
        <v>25000</v>
      </c>
      <c r="H26" s="32">
        <v>25.96</v>
      </c>
      <c r="I26" s="32">
        <v>2.82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20533</v>
      </c>
      <c r="H27" s="32">
        <v>24.36</v>
      </c>
      <c r="I27" s="32">
        <v>2.64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595</v>
      </c>
      <c r="H28" s="32">
        <v>22.88</v>
      </c>
      <c r="I28" s="32">
        <v>2.48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48</v>
      </c>
      <c r="G29" s="31">
        <v>2686</v>
      </c>
      <c r="H29" s="32">
        <v>21.54</v>
      </c>
      <c r="I29" s="32">
        <v>2.34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8818</v>
      </c>
      <c r="H30" s="32">
        <v>20.62</v>
      </c>
      <c r="I30" s="32">
        <v>2.2400000000000002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26</v>
      </c>
      <c r="G31" s="31">
        <v>2005</v>
      </c>
      <c r="H31" s="32">
        <v>18.48</v>
      </c>
      <c r="I31" s="32">
        <v>2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22</v>
      </c>
      <c r="G32" s="31">
        <v>4702</v>
      </c>
      <c r="H32" s="32">
        <v>17.670000000000002</v>
      </c>
      <c r="I32" s="32">
        <v>1.92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523</v>
      </c>
      <c r="H33" s="32">
        <v>16.73</v>
      </c>
      <c r="I33" s="32">
        <v>1.81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18</v>
      </c>
      <c r="G34" s="31">
        <v>255518</v>
      </c>
      <c r="H34" s="32">
        <v>16.579999999999998</v>
      </c>
      <c r="I34" s="32">
        <v>1.8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1903</v>
      </c>
      <c r="H35" s="32">
        <v>15.61</v>
      </c>
      <c r="I35" s="32">
        <v>1.69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7292</v>
      </c>
      <c r="H36" s="32">
        <v>15.43</v>
      </c>
      <c r="I36" s="32">
        <v>1.67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16500</v>
      </c>
      <c r="H37" s="32">
        <v>15.31</v>
      </c>
      <c r="I37" s="32">
        <v>1.66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26</v>
      </c>
      <c r="G38" s="31">
        <v>5803</v>
      </c>
      <c r="H38" s="32">
        <v>14.17</v>
      </c>
      <c r="I38" s="32">
        <v>1.54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110</v>
      </c>
      <c r="G39" s="31">
        <v>8378</v>
      </c>
      <c r="H39" s="32">
        <v>12.66</v>
      </c>
      <c r="I39" s="32">
        <v>1.37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110</v>
      </c>
      <c r="G40" s="31">
        <v>4050</v>
      </c>
      <c r="H40" s="32">
        <v>10.95</v>
      </c>
      <c r="I40" s="32">
        <v>1.19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272</v>
      </c>
      <c r="H41" s="32">
        <v>0.85</v>
      </c>
      <c r="I41" s="32">
        <v>0.09</v>
      </c>
      <c r="J41" s="33"/>
    </row>
    <row r="42" spans="2:10" x14ac:dyDescent="0.25">
      <c r="C42" s="28" t="s">
        <v>128</v>
      </c>
      <c r="D42" s="29"/>
      <c r="E42" s="30"/>
      <c r="F42" s="30"/>
      <c r="G42" s="31"/>
      <c r="H42" s="35">
        <v>912.19</v>
      </c>
      <c r="I42" s="35">
        <v>98.93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129</v>
      </c>
      <c r="D44" s="29"/>
      <c r="E44" s="30"/>
      <c r="F44" s="30"/>
      <c r="G44" s="31"/>
      <c r="H44" s="32" t="s">
        <v>130</v>
      </c>
      <c r="I44" s="32" t="s">
        <v>130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 t="s">
        <v>130</v>
      </c>
      <c r="I46" s="32" t="s">
        <v>130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130</v>
      </c>
      <c r="I50" s="32" t="s">
        <v>130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130</v>
      </c>
      <c r="I52" s="32" t="s">
        <v>130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130</v>
      </c>
      <c r="I54" s="32" t="s">
        <v>130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130</v>
      </c>
      <c r="I56" s="32" t="s">
        <v>130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 t="s">
        <v>130</v>
      </c>
      <c r="I58" s="32" t="s">
        <v>130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130</v>
      </c>
      <c r="I62" s="32" t="s">
        <v>130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130</v>
      </c>
      <c r="I64" s="32" t="s">
        <v>130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141</v>
      </c>
      <c r="D66" s="29"/>
      <c r="E66" s="30"/>
      <c r="F66" s="30"/>
      <c r="G66" s="31"/>
      <c r="H66" s="32" t="s">
        <v>130</v>
      </c>
      <c r="I66" s="32" t="s">
        <v>130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142</v>
      </c>
      <c r="D68" s="29"/>
      <c r="E68" s="30"/>
      <c r="F68" s="30"/>
      <c r="G68" s="31"/>
      <c r="H68" s="32" t="s">
        <v>130</v>
      </c>
      <c r="I68" s="32" t="s">
        <v>130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143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144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145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146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147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148</v>
      </c>
      <c r="D80" s="29"/>
      <c r="E80" s="30"/>
      <c r="F80" s="30"/>
      <c r="G80" s="31"/>
      <c r="H80" s="32" t="s">
        <v>130</v>
      </c>
      <c r="I80" s="32" t="s">
        <v>130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149</v>
      </c>
      <c r="D82" s="29"/>
      <c r="E82" s="30"/>
      <c r="F82" s="30"/>
      <c r="G82" s="31"/>
      <c r="H82" s="32" t="s">
        <v>130</v>
      </c>
      <c r="I82" s="32" t="s">
        <v>130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150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151</v>
      </c>
      <c r="D85" s="29"/>
      <c r="E85" s="30"/>
      <c r="F85" s="30"/>
      <c r="G85" s="31"/>
      <c r="H85" s="32">
        <v>9.98</v>
      </c>
      <c r="I85" s="32">
        <v>1.07</v>
      </c>
      <c r="J85" s="33"/>
    </row>
    <row r="86" spans="1:10" x14ac:dyDescent="0.25">
      <c r="C86" s="28" t="s">
        <v>128</v>
      </c>
      <c r="D86" s="29"/>
      <c r="E86" s="30"/>
      <c r="F86" s="30"/>
      <c r="G86" s="31"/>
      <c r="H86" s="35">
        <v>9.98</v>
      </c>
      <c r="I86" s="35">
        <v>1.07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152</v>
      </c>
      <c r="D88" s="37"/>
      <c r="E88" s="38"/>
      <c r="F88" s="39"/>
      <c r="G88" s="40"/>
      <c r="H88" s="41">
        <v>922.17</v>
      </c>
      <c r="I88" s="41">
        <f>SUMIFS(I:I,C:C,"Total")</f>
        <v>100</v>
      </c>
      <c r="J88" s="42"/>
    </row>
    <row r="91" spans="1:10" x14ac:dyDescent="0.25">
      <c r="C91" s="11" t="s">
        <v>153</v>
      </c>
    </row>
    <row r="92" spans="1:10" x14ac:dyDescent="0.25">
      <c r="C92" s="2" t="s">
        <v>154</v>
      </c>
    </row>
    <row r="93" spans="1:10" x14ac:dyDescent="0.25">
      <c r="C93" s="2" t="s">
        <v>155</v>
      </c>
    </row>
    <row r="94" spans="1:10" x14ac:dyDescent="0.25">
      <c r="C94" s="2" t="s">
        <v>156</v>
      </c>
    </row>
    <row r="95" spans="1:10" x14ac:dyDescent="0.25">
      <c r="C95" s="2" t="s">
        <v>157</v>
      </c>
    </row>
    <row r="96" spans="1:10" x14ac:dyDescent="0.25">
      <c r="C96" s="2" t="s">
        <v>158</v>
      </c>
    </row>
    <row r="97" spans="3:5" x14ac:dyDescent="0.25">
      <c r="C97" s="2" t="s">
        <v>159</v>
      </c>
    </row>
    <row r="98" spans="3:5" x14ac:dyDescent="0.25">
      <c r="D98" s="2" t="s">
        <v>160</v>
      </c>
    </row>
    <row r="99" spans="3:5" x14ac:dyDescent="0.25">
      <c r="C99" s="2" t="s">
        <v>161</v>
      </c>
      <c r="D99" s="2" t="s">
        <v>162</v>
      </c>
      <c r="E99" s="2" t="s">
        <v>162</v>
      </c>
    </row>
    <row r="100" spans="3:5" x14ac:dyDescent="0.25">
      <c r="D100" s="2" t="s">
        <v>163</v>
      </c>
      <c r="E100" s="2" t="s">
        <v>164</v>
      </c>
    </row>
    <row r="101" spans="3:5" x14ac:dyDescent="0.25">
      <c r="C101" s="2" t="s">
        <v>165</v>
      </c>
      <c r="D101" s="2">
        <v>62.71</v>
      </c>
      <c r="E101" s="2">
        <v>61.29</v>
      </c>
    </row>
    <row r="102" spans="3:5" x14ac:dyDescent="0.25">
      <c r="C102" s="2" t="s">
        <v>166</v>
      </c>
      <c r="D102" s="2">
        <v>66.760000000000005</v>
      </c>
      <c r="E102" s="2">
        <v>65.25</v>
      </c>
    </row>
    <row r="103" spans="3:5" x14ac:dyDescent="0.25">
      <c r="C103" s="2" t="s">
        <v>167</v>
      </c>
      <c r="D103" s="2">
        <v>66.73</v>
      </c>
      <c r="E103" s="2">
        <v>65.25</v>
      </c>
    </row>
    <row r="104" spans="3:5" x14ac:dyDescent="0.25">
      <c r="C104" s="2" t="s">
        <v>168</v>
      </c>
      <c r="D104" s="2">
        <v>71.650000000000006</v>
      </c>
      <c r="E104" s="2">
        <v>70.06</v>
      </c>
    </row>
    <row r="106" spans="3:5" x14ac:dyDescent="0.25">
      <c r="C106" s="2" t="s">
        <v>169</v>
      </c>
    </row>
    <row r="107" spans="3:5" x14ac:dyDescent="0.25">
      <c r="C107" s="2" t="s">
        <v>170</v>
      </c>
    </row>
    <row r="108" spans="3:5" x14ac:dyDescent="0.25">
      <c r="C108" s="2" t="s">
        <v>171</v>
      </c>
    </row>
    <row r="109" spans="3:5" x14ac:dyDescent="0.25">
      <c r="C109" s="2" t="s">
        <v>172</v>
      </c>
    </row>
    <row r="110" spans="3:5" x14ac:dyDescent="0.25">
      <c r="C110" s="2" t="s">
        <v>173</v>
      </c>
    </row>
    <row r="111" spans="3:5" x14ac:dyDescent="0.25">
      <c r="C111" s="2" t="s">
        <v>174</v>
      </c>
    </row>
    <row r="112" spans="3:5" x14ac:dyDescent="0.25">
      <c r="C112" s="2" t="s">
        <v>175</v>
      </c>
    </row>
    <row r="113" spans="3:3" x14ac:dyDescent="0.25">
      <c r="C113" s="2" t="s">
        <v>176</v>
      </c>
    </row>
    <row r="114" spans="3:3" x14ac:dyDescent="0.25">
      <c r="C114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ED33-AEC2-49D4-BB1C-52BA519078BA}">
  <dimension ref="C3:M17"/>
  <sheetViews>
    <sheetView workbookViewId="0"/>
  </sheetViews>
  <sheetFormatPr defaultRowHeight="15" x14ac:dyDescent="0.25"/>
  <cols>
    <col min="3" max="3" width="43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3" max="13" width="11" bestFit="1" customWidth="1"/>
  </cols>
  <sheetData>
    <row r="3" spans="3:13" ht="15.75" x14ac:dyDescent="0.25">
      <c r="C3" s="43" t="s">
        <v>178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3:13" x14ac:dyDescent="0.25">
      <c r="C4" s="45" t="s">
        <v>179</v>
      </c>
      <c r="D4" s="51" t="s">
        <v>180</v>
      </c>
      <c r="E4" s="51"/>
      <c r="F4" s="51" t="s">
        <v>181</v>
      </c>
      <c r="G4" s="51"/>
      <c r="H4" s="51" t="s">
        <v>182</v>
      </c>
      <c r="I4" s="51"/>
      <c r="J4" s="55" t="s">
        <v>192</v>
      </c>
      <c r="K4" s="56"/>
      <c r="L4" s="52" t="s">
        <v>183</v>
      </c>
      <c r="M4" s="52"/>
    </row>
    <row r="5" spans="3:13" ht="63.75" x14ac:dyDescent="0.25">
      <c r="C5" s="46"/>
      <c r="D5" s="47" t="s">
        <v>184</v>
      </c>
      <c r="E5" s="47" t="s">
        <v>185</v>
      </c>
      <c r="F5" s="47" t="s">
        <v>184</v>
      </c>
      <c r="G5" s="47" t="s">
        <v>185</v>
      </c>
      <c r="H5" s="47" t="s">
        <v>184</v>
      </c>
      <c r="I5" s="47" t="s">
        <v>185</v>
      </c>
      <c r="J5" s="47" t="s">
        <v>184</v>
      </c>
      <c r="K5" s="47" t="s">
        <v>185</v>
      </c>
      <c r="L5" s="48" t="s">
        <v>184</v>
      </c>
      <c r="M5" s="48" t="s">
        <v>185</v>
      </c>
    </row>
    <row r="6" spans="3:13" x14ac:dyDescent="0.25">
      <c r="C6" s="49" t="s">
        <v>186</v>
      </c>
      <c r="D6" s="50">
        <v>-9.0579999999999998</v>
      </c>
      <c r="E6" s="50">
        <v>9094.2028985507241</v>
      </c>
      <c r="F6" s="50">
        <v>18.1401</v>
      </c>
      <c r="G6" s="50">
        <v>16496.461071789687</v>
      </c>
      <c r="H6" s="50">
        <v>21.718900000000001</v>
      </c>
      <c r="I6" s="50">
        <v>26745.901639344265</v>
      </c>
      <c r="J6" s="50">
        <v>14.083399999999999</v>
      </c>
      <c r="K6" s="50">
        <v>37398.280802292269</v>
      </c>
      <c r="L6" s="50">
        <v>10.6721</v>
      </c>
      <c r="M6" s="50">
        <v>65260.000000000007</v>
      </c>
    </row>
    <row r="7" spans="3:13" x14ac:dyDescent="0.25">
      <c r="C7" s="49" t="s">
        <v>187</v>
      </c>
      <c r="D7" s="50">
        <v>-4.5083000000000002</v>
      </c>
      <c r="E7" s="50">
        <v>9549.17</v>
      </c>
      <c r="F7" s="50">
        <v>21.592300000000002</v>
      </c>
      <c r="G7" s="50">
        <v>17977.041480925356</v>
      </c>
      <c r="H7" s="50">
        <v>23.577200000000001</v>
      </c>
      <c r="I7" s="50">
        <v>28819.852511817877</v>
      </c>
      <c r="J7" s="50">
        <v>13.053000000000001</v>
      </c>
      <c r="K7" s="50">
        <v>18467.599893656294</v>
      </c>
      <c r="L7" s="50">
        <v>7.6620999999999997</v>
      </c>
      <c r="M7" s="50">
        <v>39184.89991909224</v>
      </c>
    </row>
    <row r="8" spans="3:13" x14ac:dyDescent="0.25">
      <c r="C8" s="49" t="s">
        <v>188</v>
      </c>
      <c r="D8" s="50">
        <v>-1.6821999999999999</v>
      </c>
      <c r="E8" s="50">
        <v>9831.7800000000007</v>
      </c>
      <c r="F8" s="50">
        <v>13.438800000000001</v>
      </c>
      <c r="G8" s="50">
        <v>14597.714689930986</v>
      </c>
      <c r="H8" s="50">
        <v>17.353899999999999</v>
      </c>
      <c r="I8" s="50">
        <v>22258.076719107466</v>
      </c>
      <c r="J8" s="50">
        <v>13.1793</v>
      </c>
      <c r="K8" s="50">
        <v>18570.988358352177</v>
      </c>
      <c r="L8" s="50">
        <v>12.288500000000001</v>
      </c>
      <c r="M8" s="50">
        <v>85336.285383070281</v>
      </c>
    </row>
    <row r="9" spans="3:13" x14ac:dyDescent="0.25">
      <c r="C9" s="49" t="s">
        <v>189</v>
      </c>
      <c r="D9" s="53">
        <v>71.760000000000005</v>
      </c>
      <c r="E9" s="54"/>
      <c r="F9" s="53">
        <v>39.56</v>
      </c>
      <c r="G9" s="54"/>
      <c r="H9" s="53">
        <v>24.4</v>
      </c>
      <c r="I9" s="54"/>
      <c r="J9" s="53">
        <v>17.45</v>
      </c>
      <c r="K9" s="54"/>
      <c r="L9" s="53">
        <v>10</v>
      </c>
      <c r="M9" s="54"/>
    </row>
    <row r="11" spans="3:13" ht="15.75" x14ac:dyDescent="0.25">
      <c r="C11" s="43" t="s">
        <v>190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3:13" x14ac:dyDescent="0.25">
      <c r="C12" s="45" t="s">
        <v>179</v>
      </c>
      <c r="D12" s="51" t="s">
        <v>180</v>
      </c>
      <c r="E12" s="51"/>
      <c r="F12" s="51" t="s">
        <v>181</v>
      </c>
      <c r="G12" s="51"/>
      <c r="H12" s="51" t="s">
        <v>182</v>
      </c>
      <c r="I12" s="51"/>
      <c r="J12" s="55" t="s">
        <v>192</v>
      </c>
      <c r="K12" s="56"/>
      <c r="L12" s="52" t="s">
        <v>183</v>
      </c>
      <c r="M12" s="52"/>
    </row>
    <row r="13" spans="3:13" ht="63.75" x14ac:dyDescent="0.25">
      <c r="C13" s="46"/>
      <c r="D13" s="47" t="s">
        <v>184</v>
      </c>
      <c r="E13" s="47" t="s">
        <v>185</v>
      </c>
      <c r="F13" s="47" t="s">
        <v>184</v>
      </c>
      <c r="G13" s="47" t="s">
        <v>185</v>
      </c>
      <c r="H13" s="47" t="s">
        <v>184</v>
      </c>
      <c r="I13" s="47" t="s">
        <v>185</v>
      </c>
      <c r="J13" s="47" t="s">
        <v>184</v>
      </c>
      <c r="K13" s="47" t="s">
        <v>185</v>
      </c>
      <c r="L13" s="48" t="s">
        <v>184</v>
      </c>
      <c r="M13" s="48" t="s">
        <v>185</v>
      </c>
    </row>
    <row r="14" spans="3:13" x14ac:dyDescent="0.25">
      <c r="C14" s="49" t="s">
        <v>186</v>
      </c>
      <c r="D14" s="50">
        <v>-8.6202000000000005</v>
      </c>
      <c r="E14" s="50">
        <v>9137.9760041731861</v>
      </c>
      <c r="F14" s="50">
        <v>18.697199999999999</v>
      </c>
      <c r="G14" s="50">
        <v>16731.136580706778</v>
      </c>
      <c r="H14" s="50">
        <v>22.263000000000002</v>
      </c>
      <c r="I14" s="50">
        <v>27349.726775956282</v>
      </c>
      <c r="J14" s="50">
        <v>14.733599999999999</v>
      </c>
      <c r="K14" s="50">
        <v>39587.570621468927</v>
      </c>
      <c r="L14" s="50">
        <v>14.291</v>
      </c>
      <c r="M14" s="50">
        <v>54656.786271450852</v>
      </c>
    </row>
    <row r="15" spans="3:13" x14ac:dyDescent="0.25">
      <c r="C15" s="49" t="s">
        <v>187</v>
      </c>
      <c r="D15" s="50">
        <v>-4.5083000000000002</v>
      </c>
      <c r="E15" s="50">
        <v>9549.17</v>
      </c>
      <c r="F15" s="50">
        <v>21.592300000000002</v>
      </c>
      <c r="G15" s="50">
        <v>17977.041480925356</v>
      </c>
      <c r="H15" s="50">
        <v>23.577200000000001</v>
      </c>
      <c r="I15" s="50">
        <v>28819.852511817877</v>
      </c>
      <c r="J15" s="50">
        <v>13.053000000000001</v>
      </c>
      <c r="K15" s="50">
        <v>18467.599893656294</v>
      </c>
      <c r="L15" s="50">
        <v>11.585699999999999</v>
      </c>
      <c r="M15" s="50">
        <v>40074.454736010375</v>
      </c>
    </row>
    <row r="16" spans="3:13" x14ac:dyDescent="0.25">
      <c r="C16" s="49" t="s">
        <v>188</v>
      </c>
      <c r="D16" s="50">
        <v>-1.6821999999999999</v>
      </c>
      <c r="E16" s="50">
        <v>9831.7800000000007</v>
      </c>
      <c r="F16" s="50">
        <v>13.438800000000001</v>
      </c>
      <c r="G16" s="50">
        <v>14597.714689930986</v>
      </c>
      <c r="H16" s="50">
        <v>17.353899999999999</v>
      </c>
      <c r="I16" s="50">
        <v>22258.076719107466</v>
      </c>
      <c r="J16" s="50">
        <v>13.1793</v>
      </c>
      <c r="K16" s="50">
        <v>18570.988358352177</v>
      </c>
      <c r="L16" s="50">
        <v>13.120200000000001</v>
      </c>
      <c r="M16" s="50">
        <v>47640.886470268299</v>
      </c>
    </row>
    <row r="17" spans="3:13" x14ac:dyDescent="0.25">
      <c r="C17" s="49" t="s">
        <v>191</v>
      </c>
      <c r="D17" s="53">
        <v>76.680000000000007</v>
      </c>
      <c r="E17" s="54"/>
      <c r="F17" s="53">
        <v>41.88</v>
      </c>
      <c r="G17" s="54"/>
      <c r="H17" s="53">
        <v>25.62</v>
      </c>
      <c r="I17" s="54"/>
      <c r="J17" s="53">
        <v>17.7</v>
      </c>
      <c r="K17" s="54"/>
      <c r="L17" s="53">
        <v>12.82</v>
      </c>
      <c r="M17" s="54"/>
    </row>
  </sheetData>
  <mergeCells count="20"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2025-09-05T12:01:29Z</dcterms:created>
  <dcterms:modified xsi:type="dcterms:W3CDTF">2025-09-09T10:30:41Z</dcterms:modified>
</cp:coreProperties>
</file>