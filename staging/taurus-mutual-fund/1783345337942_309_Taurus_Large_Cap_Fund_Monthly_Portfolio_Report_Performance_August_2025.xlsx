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6. Sep 2025\Monthly Portfolio Aug 2025\Ops\"/>
    </mc:Choice>
  </mc:AlternateContent>
  <xr:revisionPtr revIDLastSave="0" documentId="13_ncr:1_{AA4B0C4C-0AEC-45E7-BD24-EB63FA524D06}" xr6:coauthVersionLast="47" xr6:coauthVersionMax="47" xr10:uidLastSave="{00000000-0000-0000-0000-000000000000}"/>
  <bookViews>
    <workbookView xWindow="-120" yWindow="-120" windowWidth="20730" windowHeight="11040" xr2:uid="{F5B9EFE9-3380-4A11-A6EC-8E0D5DDC01A6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TBF!$C$8:$C$42</definedName>
    <definedName name="XDO_?CLASS_4?">TBF!$C$9</definedName>
    <definedName name="XDO_?CS_1?">TBF!$H$11</definedName>
    <definedName name="XDO_?CS_2?">TBF!$I$11</definedName>
    <definedName name="XDO_?FINAL_ISIN?">TBF!$D$10:$D$86</definedName>
    <definedName name="XDO_?FINAL_MV?">TBF!$H$10:$H$86</definedName>
    <definedName name="XDO_?FINAL_NAME?">TBF!$C$10:$C$86</definedName>
    <definedName name="XDO_?FINAL_PER_NET?">TBF!$I$10:$I$86</definedName>
    <definedName name="XDO_?FINAL_QUANTITE?">TBF!$G$10:$G$86</definedName>
    <definedName name="XDO_?IND_01?">TBF!$F$10:$F$86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TBF!$C$2:$C$42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TBF!$B$10:$B$86</definedName>
    <definedName name="XDO_?NPTF?">TBF!$D$2:$D$42</definedName>
    <definedName name="XDO_?RATING?">TBF!$E$10:$E$86</definedName>
    <definedName name="XDO_?REMARKS?">TBF!$J$10:$J$86</definedName>
    <definedName name="XDO_?TDATE?">TBF!$D$4</definedName>
    <definedName name="XDO_?TITL?">TBF!$A$8:$A$42</definedName>
    <definedName name="XDO_GROUP_?G_2?">TBF!$2:$89</definedName>
    <definedName name="XDO_GROUP_?G_3?">TBF!$8:$88</definedName>
    <definedName name="XDO_GROUP_?G_4?">TBF!$B$86:$IV$86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<sst xmlns="http://schemas.openxmlformats.org/spreadsheetml/2006/main" count="276" uniqueCount="201">
  <si>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</si>
  <si>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</si>
  <si>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</si>
  <si>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</si>
  <si>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</si>
  <si>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</si>
  <si>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</si>
  <si>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</si>
  <si>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</si>
  <si>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</si>
  <si>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</si>
  <si>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</si>
  <si>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</si>
  <si>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</si>
  <si>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</si>
  <si>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</si>
  <si>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</si>
  <si>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</si>
  <si>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</si>
  <si>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</si>
  <si>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</si>
  <si>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</si>
  <si>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</si>
  <si>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</si>
  <si>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</si>
  <si>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</si>
  <si>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100014</t>
  </si>
  <si>
    <t>Mahindra &amp; Mahindra Ltd.</t>
  </si>
  <si>
    <t>INE101A01026</t>
  </si>
  <si>
    <t>Automobiles</t>
  </si>
  <si>
    <t>100010</t>
  </si>
  <si>
    <t>State Bank of India</t>
  </si>
  <si>
    <t>INE062A01020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</si>
  <si>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</si>
  <si>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</si>
  <si>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</si>
  <si>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</si>
  <si>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</si>
  <si>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</si>
  <si>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</si>
  <si>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</si>
  <si>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100169</t>
  </si>
  <si>
    <t>Indian Oil Corporation Ltd.</t>
  </si>
  <si>
    <t>INE242A01010</t>
  </si>
  <si>
    <t>100182</t>
  </si>
  <si>
    <t>Power Grid Corporation of India Ltd.</t>
  </si>
  <si>
    <t>INE752E01010</t>
  </si>
  <si>
    <t>Power</t>
  </si>
  <si>
    <t>100024</t>
  </si>
  <si>
    <t>Axis Bank Ltd.</t>
  </si>
  <si>
    <t>INE238A01034</t>
  </si>
  <si>
    <t>100380</t>
  </si>
  <si>
    <t>Bajaj Finserv Ltd.</t>
  </si>
  <si>
    <t>INE918I01026</t>
  </si>
  <si>
    <t>Finance</t>
  </si>
  <si>
    <t>102644</t>
  </si>
  <si>
    <t>Vikram Solar Ltd.</t>
  </si>
  <si>
    <t>INE078V01014</t>
  </si>
  <si>
    <t>Electrical Equipment</t>
  </si>
  <si>
    <t>100153</t>
  </si>
  <si>
    <t>Cipla Ltd.</t>
  </si>
  <si>
    <t>INE059A01026</t>
  </si>
  <si>
    <t>Pharmaceuticals &amp; Biotechnology</t>
  </si>
  <si>
    <t>100155</t>
  </si>
  <si>
    <t>Divi's Laboratories Ltd.</t>
  </si>
  <si>
    <t>INE361B01024</t>
  </si>
  <si>
    <t>100302</t>
  </si>
  <si>
    <t>DLF Ltd.</t>
  </si>
  <si>
    <t>INE271C01023</t>
  </si>
  <si>
    <t>Realty</t>
  </si>
  <si>
    <t>100566</t>
  </si>
  <si>
    <t>Laurus Labs Ltd.</t>
  </si>
  <si>
    <t>INE947Q01028</t>
  </si>
  <si>
    <t>100097</t>
  </si>
  <si>
    <t>Coal India Ltd.</t>
  </si>
  <si>
    <t>INE522F01014</t>
  </si>
  <si>
    <t>Consumable Fuels</t>
  </si>
  <si>
    <t>100830</t>
  </si>
  <si>
    <t>Varun Beverages Ltd.</t>
  </si>
  <si>
    <t>INE200M01039</t>
  </si>
  <si>
    <t>Beverages</t>
  </si>
  <si>
    <t>100111</t>
  </si>
  <si>
    <t>Oil &amp; Natural Gas Corporation Ltd.</t>
  </si>
  <si>
    <t>INE213A01029</t>
  </si>
  <si>
    <t>Oil</t>
  </si>
  <si>
    <t>100092</t>
  </si>
  <si>
    <t>Bank of Baroda</t>
  </si>
  <si>
    <t>INE028A01039</t>
  </si>
  <si>
    <t>100177</t>
  </si>
  <si>
    <t>Grasim Industries Ltd.</t>
  </si>
  <si>
    <t>INE047A01021</t>
  </si>
  <si>
    <t>Cement &amp; Cement Products</t>
  </si>
  <si>
    <t>100003</t>
  </si>
  <si>
    <t>Infosys Ltd.</t>
  </si>
  <si>
    <t>INE009A01021</t>
  </si>
  <si>
    <t>IT - Software</t>
  </si>
  <si>
    <t>100194</t>
  </si>
  <si>
    <t>Power Finance Corporation Ltd.</t>
  </si>
  <si>
    <t>INE134E01011</t>
  </si>
  <si>
    <t>100008</t>
  </si>
  <si>
    <t>Sun Pharmaceutical Industries Ltd.</t>
  </si>
  <si>
    <t>INE044A01036</t>
  </si>
  <si>
    <t>100083</t>
  </si>
  <si>
    <t>Samvardhana Motherson International Ltd.</t>
  </si>
  <si>
    <t>INE775A01035</t>
  </si>
  <si>
    <t>Auto Components</t>
  </si>
  <si>
    <t>100037</t>
  </si>
  <si>
    <t>HCL Technologies Ltd.</t>
  </si>
  <si>
    <t>INE860A01027</t>
  </si>
  <si>
    <t>100005</t>
  </si>
  <si>
    <t>Larsen &amp; Toubro Ltd.</t>
  </si>
  <si>
    <t>INE018A01030</t>
  </si>
  <si>
    <t>Construction</t>
  </si>
  <si>
    <t>100106</t>
  </si>
  <si>
    <t>Maruti Suzuki India Ltd.</t>
  </si>
  <si>
    <t>INE585B01010</t>
  </si>
  <si>
    <t>102005</t>
  </si>
  <si>
    <t>Tata Technologies Ltd.</t>
  </si>
  <si>
    <t>INE142M01025</t>
  </si>
  <si>
    <t>IT - Services</t>
  </si>
  <si>
    <t>100156</t>
  </si>
  <si>
    <t>Finolex Cables Ltd.</t>
  </si>
  <si>
    <t>INE235A01022</t>
  </si>
  <si>
    <t>Industrial Products</t>
  </si>
  <si>
    <t>100081</t>
  </si>
  <si>
    <t>Titan Company Ltd.</t>
  </si>
  <si>
    <t>INE280A01028</t>
  </si>
  <si>
    <t>Consumer Durables</t>
  </si>
  <si>
    <t>100084</t>
  </si>
  <si>
    <t>ABB India Ltd.</t>
  </si>
  <si>
    <t>INE117A01022</t>
  </si>
  <si>
    <t>100733</t>
  </si>
  <si>
    <t>General Insurance Corporation of India</t>
  </si>
  <si>
    <t>INE481Y01014</t>
  </si>
  <si>
    <t>Insurance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</si>
  <si>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</si>
  <si>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</si>
  <si>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</si>
  <si>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</si>
  <si>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</si>
  <si>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</si>
  <si>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</si>
  <si>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</si>
  <si>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</si>
  <si>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</si>
  <si>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</si>
  <si>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</si>
  <si>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</si>
  <si>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</si>
  <si>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</si>
  <si>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</si>
  <si>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</si>
  <si>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</si>
  <si>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</si>
  <si>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</si>
  <si>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</si>
  <si>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</si>
  <si>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</si>
  <si>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</si>
  <si>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</si>
  <si>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</si>
  <si>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</si>
  <si>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</si>
  <si>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</si>
  <si>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</si>
  <si>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</si>
  <si>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</si>
  <si>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</si>
  <si>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</si>
  <si>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</si>
  <si>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July 31, 2025</t>
  </si>
  <si>
    <t>August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</si>
  <si>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</si>
  <si>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</si>
  <si>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</si>
  <si>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</si>
  <si>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 August 31, 2025.</t>
  </si>
  <si>
    <t>7. The Scheme did not declare any bonus during the month ended As on  August 31, 2025.</t>
  </si>
  <si>
    <t>8. Total outstanding exposure in derivative instruments as on As on  August 31, 2025 is Nil</t>
  </si>
  <si>
    <t>9. Total investments in Foreign Securities /ADRs/GDRs /Overseas ETFs as at As on  August 31, 2025 and its percentage to NAV is Nil.</t>
  </si>
  <si>
    <t>10. During the period, the portfolio turnover ratio is 0.89 times.</t>
  </si>
  <si>
    <t>      Portfolio Turnover Ratio = Lower of sales or purchase of securities divided by average AUM for 12 months ended As on  August 31, 2025</t>
  </si>
  <si>
    <t>11. The Scheme did not invest in repo transactions of corporate debt securities during the month ended As on August 31, 2025.</t>
  </si>
  <si>
    <t>12. The Scheme did not invest in credit default swaps during the month ended As on August 31, 2025.</t>
  </si>
  <si>
    <t>13. There are Nil instances of deviation from the valuation principles/guidelines during the month ended as on August 31st, 2025</t>
  </si>
  <si>
    <t>Taurus Largecap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</si>
  <si>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</si>
  <si>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</si>
  <si>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</si>
  <si>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</si>
  <si>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</si>
  <si>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</si>
  <si>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</si>
  <si>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</si>
  <si>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</si>
  <si>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-</t>
  </si>
  <si>
    <t>Nifty 50 TRI (Additional Benchmark)</t>
  </si>
  <si>
    <t>NAV [Rs.] Per Unit (as on August 29,2025 :152.81)</t>
  </si>
  <si>
    <t>Taurus Largecap Fund - Direct Plan Growth Option</t>
  </si>
  <si>
    <t>NAV [Rs.] Per Unit (as on August 29,2025 :161.7)</t>
  </si>
  <si>
    <t>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</si>
</sst>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4" fillId="0" borderId="13" xfId="0" applyFont="1" applyBorder="1"/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</cellXfs>
  <cellStyles count="6">
    <cellStyle name="Comma" xfId="1" builtinId="3"/>
    <cellStyle name="Comma 2" xfId="5" xr:uid="{7DF12040-9EEE-4E8D-ADF1-3D48CE033AB4}"/>
    <cellStyle name="Hyperlink" xfId="2" builtinId="8"/>
    <cellStyle name="Normal" xfId="0" builtinId="0"/>
    <cellStyle name="Normal 2" xfId="4" xr:uid="{06935FF4-7112-4F7C-92FD-0C82026074D6}"/>
    <cellStyle name="Style 1" xfId="3" xr:uid="{D8A9629A-5B3E-4A7F-A879-C3816CF8C6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348064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A0142B-55E9-49CA-8A37-E2A18FDFC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ug_2025\Final\TMF_Monthly_Portfolio_Report_Aug_25.xls" TargetMode="External"/><Relationship Id="rId1" Type="http://schemas.openxmlformats.org/officeDocument/2006/relationships/externalLinkPath" Target="file:///Q:\5.TMF\Reporting\Monthly%20Reports\Monthly%20Portfolio\2025-26\Aug_2025\Final\TMF_Monthly_Portfolio_Report_Aug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5EC5-5F81-4BAE-B67C-B12332D9D84F}">
  <sheetPr codeName="Sheet1"/>
  <dimension ref="A1:BB11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45900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103545</v>
      </c>
      <c r="H10" s="32">
        <v>424.28</v>
      </c>
      <c r="I10" s="32">
        <v>8.6300000000000008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43124</v>
      </c>
      <c r="H11" s="32">
        <v>410.3</v>
      </c>
      <c r="I11" s="32">
        <v>8.35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22452</v>
      </c>
      <c r="H12" s="32">
        <v>313.88</v>
      </c>
      <c r="I12" s="32">
        <v>6.38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9520</v>
      </c>
      <c r="H13" s="32">
        <v>304.45999999999998</v>
      </c>
      <c r="I13" s="32">
        <v>6.19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32804</v>
      </c>
      <c r="H14" s="32">
        <v>263.2</v>
      </c>
      <c r="I14" s="32">
        <v>5.35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16131</v>
      </c>
      <c r="H15" s="32">
        <v>218.91</v>
      </c>
      <c r="I15" s="32">
        <v>4.45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10564</v>
      </c>
      <c r="H16" s="32">
        <v>199.57</v>
      </c>
      <c r="I16" s="32">
        <v>4.0599999999999996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36</v>
      </c>
      <c r="G17" s="31">
        <v>132331</v>
      </c>
      <c r="H17" s="32">
        <v>180.83</v>
      </c>
      <c r="I17" s="32">
        <v>3.68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58197</v>
      </c>
      <c r="H18" s="32">
        <v>160.25</v>
      </c>
      <c r="I18" s="32">
        <v>3.26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14966</v>
      </c>
      <c r="H19" s="32">
        <v>156.47999999999999</v>
      </c>
      <c r="I19" s="32">
        <v>3.18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8025</v>
      </c>
      <c r="H20" s="32">
        <v>153.47</v>
      </c>
      <c r="I20" s="32">
        <v>3.12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45585</v>
      </c>
      <c r="H21" s="32">
        <v>153.37</v>
      </c>
      <c r="I21" s="32">
        <v>3.12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9475</v>
      </c>
      <c r="H22" s="32">
        <v>150.62</v>
      </c>
      <c r="I22" s="32">
        <v>3.06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62</v>
      </c>
      <c r="G23" s="31">
        <v>2313</v>
      </c>
      <c r="H23" s="32">
        <v>141.52000000000001</v>
      </c>
      <c r="I23" s="32">
        <v>2.88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18195</v>
      </c>
      <c r="H24" s="32">
        <v>134.49</v>
      </c>
      <c r="I24" s="32">
        <v>2.74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62</v>
      </c>
      <c r="G25" s="31">
        <v>15489</v>
      </c>
      <c r="H25" s="32">
        <v>132.63999999999999</v>
      </c>
      <c r="I25" s="32">
        <v>2.7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32167</v>
      </c>
      <c r="H26" s="32">
        <v>120.45</v>
      </c>
      <c r="I26" s="32">
        <v>2.4500000000000002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24495</v>
      </c>
      <c r="H27" s="32">
        <v>119.17</v>
      </c>
      <c r="I27" s="32">
        <v>2.42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42238</v>
      </c>
      <c r="H28" s="32">
        <v>98.75</v>
      </c>
      <c r="I28" s="32">
        <v>2.0099999999999998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22</v>
      </c>
      <c r="G29" s="31">
        <v>42068</v>
      </c>
      <c r="H29" s="32">
        <v>97.93</v>
      </c>
      <c r="I29" s="32">
        <v>1.99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3430</v>
      </c>
      <c r="H30" s="32">
        <v>95.09</v>
      </c>
      <c r="I30" s="32">
        <v>1.93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5821</v>
      </c>
      <c r="H31" s="32">
        <v>85.54</v>
      </c>
      <c r="I31" s="32">
        <v>1.74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54</v>
      </c>
      <c r="G32" s="31">
        <v>22408</v>
      </c>
      <c r="H32" s="32">
        <v>85.07</v>
      </c>
      <c r="I32" s="32">
        <v>1.73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62</v>
      </c>
      <c r="G33" s="31">
        <v>5074</v>
      </c>
      <c r="H33" s="32">
        <v>80.88</v>
      </c>
      <c r="I33" s="32">
        <v>1.65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86238</v>
      </c>
      <c r="H34" s="32">
        <v>80.02</v>
      </c>
      <c r="I34" s="32">
        <v>1.63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95</v>
      </c>
      <c r="G35" s="31">
        <v>4885</v>
      </c>
      <c r="H35" s="32">
        <v>71.099999999999994</v>
      </c>
      <c r="I35" s="32">
        <v>1.45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1868</v>
      </c>
      <c r="H36" s="32">
        <v>67.25</v>
      </c>
      <c r="I36" s="32">
        <v>1.37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29</v>
      </c>
      <c r="G37" s="31">
        <v>443</v>
      </c>
      <c r="H37" s="32">
        <v>65.52</v>
      </c>
      <c r="I37" s="32">
        <v>1.33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8814</v>
      </c>
      <c r="H38" s="32">
        <v>57.94</v>
      </c>
      <c r="I38" s="32">
        <v>1.18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6963</v>
      </c>
      <c r="H39" s="32">
        <v>57.12</v>
      </c>
      <c r="I39" s="32">
        <v>1.1599999999999999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1393</v>
      </c>
      <c r="H40" s="32">
        <v>50.55</v>
      </c>
      <c r="I40" s="32">
        <v>1.03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58</v>
      </c>
      <c r="G41" s="31">
        <v>928</v>
      </c>
      <c r="H41" s="32">
        <v>46.36</v>
      </c>
      <c r="I41" s="32">
        <v>0.94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11705</v>
      </c>
      <c r="H42" s="32">
        <v>42.57</v>
      </c>
      <c r="I42" s="32">
        <v>0.87</v>
      </c>
      <c r="J42" s="33"/>
    </row>
    <row r="43" spans="2:10" x14ac:dyDescent="0.25">
      <c r="C43" s="28" t="s">
        <v>135</v>
      </c>
      <c r="D43" s="29"/>
      <c r="E43" s="30"/>
      <c r="F43" s="30"/>
      <c r="G43" s="31"/>
      <c r="H43" s="35">
        <v>4819.58</v>
      </c>
      <c r="I43" s="35">
        <v>98.03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136</v>
      </c>
      <c r="D45" s="29"/>
      <c r="E45" s="30"/>
      <c r="F45" s="30"/>
      <c r="G45" s="31"/>
      <c r="H45" s="32" t="s">
        <v>137</v>
      </c>
      <c r="I45" s="32" t="s">
        <v>137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138</v>
      </c>
      <c r="D47" s="29"/>
      <c r="E47" s="30"/>
      <c r="F47" s="30"/>
      <c r="G47" s="31"/>
      <c r="H47" s="32" t="s">
        <v>137</v>
      </c>
      <c r="I47" s="32" t="s">
        <v>137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139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140</v>
      </c>
      <c r="D51" s="29"/>
      <c r="E51" s="30"/>
      <c r="F51" s="30"/>
      <c r="G51" s="31"/>
      <c r="H51" s="32" t="s">
        <v>137</v>
      </c>
      <c r="I51" s="32" t="s">
        <v>137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141</v>
      </c>
      <c r="D53" s="29"/>
      <c r="E53" s="30"/>
      <c r="F53" s="30"/>
      <c r="G53" s="31"/>
      <c r="H53" s="32" t="s">
        <v>137</v>
      </c>
      <c r="I53" s="32" t="s">
        <v>137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142</v>
      </c>
      <c r="D55" s="29"/>
      <c r="E55" s="30"/>
      <c r="F55" s="30"/>
      <c r="G55" s="31"/>
      <c r="H55" s="32" t="s">
        <v>137</v>
      </c>
      <c r="I55" s="32" t="s">
        <v>137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143</v>
      </c>
      <c r="D57" s="29"/>
      <c r="E57" s="30"/>
      <c r="F57" s="30"/>
      <c r="G57" s="31"/>
      <c r="H57" s="32" t="s">
        <v>137</v>
      </c>
      <c r="I57" s="32" t="s">
        <v>137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144</v>
      </c>
      <c r="D59" s="29"/>
      <c r="E59" s="30"/>
      <c r="F59" s="30"/>
      <c r="G59" s="31"/>
      <c r="H59" s="32" t="s">
        <v>137</v>
      </c>
      <c r="I59" s="32" t="s">
        <v>137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145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146</v>
      </c>
      <c r="D63" s="29"/>
      <c r="E63" s="30"/>
      <c r="F63" s="30"/>
      <c r="G63" s="31"/>
      <c r="H63" s="32" t="s">
        <v>137</v>
      </c>
      <c r="I63" s="32" t="s">
        <v>137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147</v>
      </c>
      <c r="D65" s="29"/>
      <c r="E65" s="30"/>
      <c r="F65" s="30"/>
      <c r="G65" s="31"/>
      <c r="H65" s="32" t="s">
        <v>137</v>
      </c>
      <c r="I65" s="32" t="s">
        <v>137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148</v>
      </c>
      <c r="D67" s="29"/>
      <c r="E67" s="30"/>
      <c r="F67" s="30"/>
      <c r="G67" s="31"/>
      <c r="H67" s="32" t="s">
        <v>137</v>
      </c>
      <c r="I67" s="32" t="s">
        <v>137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149</v>
      </c>
      <c r="D69" s="29"/>
      <c r="E69" s="30"/>
      <c r="F69" s="30"/>
      <c r="G69" s="31"/>
      <c r="H69" s="32" t="s">
        <v>137</v>
      </c>
      <c r="I69" s="32" t="s">
        <v>137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150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151</v>
      </c>
      <c r="D73" s="29"/>
      <c r="E73" s="30"/>
      <c r="F73" s="30"/>
      <c r="G73" s="31"/>
      <c r="H73" s="32" t="s">
        <v>137</v>
      </c>
      <c r="I73" s="32" t="s">
        <v>137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152</v>
      </c>
      <c r="D75" s="29"/>
      <c r="E75" s="30"/>
      <c r="F75" s="30"/>
      <c r="G75" s="31"/>
      <c r="H75" s="32" t="s">
        <v>137</v>
      </c>
      <c r="I75" s="32" t="s">
        <v>137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153</v>
      </c>
      <c r="D77" s="29"/>
      <c r="E77" s="30"/>
      <c r="F77" s="30"/>
      <c r="G77" s="31"/>
      <c r="H77" s="32" t="s">
        <v>137</v>
      </c>
      <c r="I77" s="32" t="s">
        <v>137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154</v>
      </c>
      <c r="D79" s="29"/>
      <c r="E79" s="30"/>
      <c r="F79" s="30"/>
      <c r="G79" s="31"/>
      <c r="H79" s="32" t="s">
        <v>137</v>
      </c>
      <c r="I79" s="32" t="s">
        <v>137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155</v>
      </c>
      <c r="D81" s="29"/>
      <c r="E81" s="30"/>
      <c r="F81" s="30"/>
      <c r="G81" s="31"/>
      <c r="H81" s="32" t="s">
        <v>137</v>
      </c>
      <c r="I81" s="32" t="s">
        <v>137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156</v>
      </c>
      <c r="D83" s="29"/>
      <c r="E83" s="30"/>
      <c r="F83" s="30"/>
      <c r="G83" s="31"/>
      <c r="H83" s="32" t="s">
        <v>137</v>
      </c>
      <c r="I83" s="32" t="s">
        <v>137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157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158</v>
      </c>
      <c r="D86" s="29"/>
      <c r="E86" s="30"/>
      <c r="F86" s="30"/>
      <c r="G86" s="31"/>
      <c r="H86" s="32">
        <v>96.6</v>
      </c>
      <c r="I86" s="32">
        <v>1.97</v>
      </c>
      <c r="J86" s="33"/>
    </row>
    <row r="87" spans="1:10" x14ac:dyDescent="0.25">
      <c r="C87" s="28" t="s">
        <v>135</v>
      </c>
      <c r="D87" s="29"/>
      <c r="E87" s="30"/>
      <c r="F87" s="30"/>
      <c r="G87" s="31"/>
      <c r="H87" s="35">
        <v>96.6</v>
      </c>
      <c r="I87" s="35">
        <v>1.97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159</v>
      </c>
      <c r="D89" s="37"/>
      <c r="E89" s="38"/>
      <c r="F89" s="39"/>
      <c r="G89" s="40"/>
      <c r="H89" s="41">
        <v>4916.18</v>
      </c>
      <c r="I89" s="41">
        <f>SUMIFS(I:I,C:C,"Total")</f>
        <v>100</v>
      </c>
      <c r="J89" s="42"/>
    </row>
    <row r="92" spans="1:10" x14ac:dyDescent="0.25">
      <c r="C92" s="11" t="s">
        <v>160</v>
      </c>
    </row>
    <row r="93" spans="1:10" x14ac:dyDescent="0.25">
      <c r="C93" s="2" t="s">
        <v>161</v>
      </c>
    </row>
    <row r="94" spans="1:10" x14ac:dyDescent="0.25">
      <c r="C94" s="2" t="s">
        <v>162</v>
      </c>
    </row>
    <row r="95" spans="1:10" x14ac:dyDescent="0.25">
      <c r="C95" s="2" t="s">
        <v>163</v>
      </c>
    </row>
    <row r="96" spans="1:10" x14ac:dyDescent="0.25">
      <c r="C96" s="2" t="s">
        <v>164</v>
      </c>
    </row>
    <row r="97" spans="3:5" x14ac:dyDescent="0.25">
      <c r="C97" s="2" t="s">
        <v>165</v>
      </c>
    </row>
    <row r="98" spans="3:5" x14ac:dyDescent="0.25">
      <c r="C98" s="2" t="s">
        <v>166</v>
      </c>
    </row>
    <row r="99" spans="3:5" x14ac:dyDescent="0.25">
      <c r="D99" s="2" t="s">
        <v>167</v>
      </c>
    </row>
    <row r="100" spans="3:5" x14ac:dyDescent="0.25">
      <c r="C100" s="2" t="s">
        <v>168</v>
      </c>
      <c r="D100" s="2" t="s">
        <v>169</v>
      </c>
      <c r="E100" s="2" t="s">
        <v>169</v>
      </c>
    </row>
    <row r="101" spans="3:5" x14ac:dyDescent="0.25">
      <c r="D101" s="2" t="s">
        <v>170</v>
      </c>
      <c r="E101" s="2" t="s">
        <v>171</v>
      </c>
    </row>
    <row r="102" spans="3:5" x14ac:dyDescent="0.25">
      <c r="C102" s="2" t="s">
        <v>172</v>
      </c>
      <c r="D102" s="2">
        <v>68.52</v>
      </c>
      <c r="E102" s="2">
        <v>66.930000000000007</v>
      </c>
    </row>
    <row r="103" spans="3:5" x14ac:dyDescent="0.25">
      <c r="C103" s="2" t="s">
        <v>173</v>
      </c>
      <c r="D103" s="2">
        <v>156.41999999999999</v>
      </c>
      <c r="E103" s="2">
        <v>152.79</v>
      </c>
    </row>
    <row r="104" spans="3:5" x14ac:dyDescent="0.25">
      <c r="C104" s="2" t="s">
        <v>174</v>
      </c>
      <c r="D104" s="2">
        <v>72.900000000000006</v>
      </c>
      <c r="E104" s="2">
        <v>71.22</v>
      </c>
    </row>
    <row r="105" spans="3:5" x14ac:dyDescent="0.25">
      <c r="C105" s="2" t="s">
        <v>175</v>
      </c>
      <c r="D105" s="2">
        <v>165.49</v>
      </c>
      <c r="E105" s="2">
        <v>161.68</v>
      </c>
    </row>
    <row r="107" spans="3:5" x14ac:dyDescent="0.25">
      <c r="C107" s="2" t="s">
        <v>176</v>
      </c>
    </row>
    <row r="108" spans="3:5" x14ac:dyDescent="0.25">
      <c r="C108" s="2" t="s">
        <v>177</v>
      </c>
    </row>
    <row r="109" spans="3:5" x14ac:dyDescent="0.25">
      <c r="C109" s="2" t="s">
        <v>178</v>
      </c>
    </row>
    <row r="110" spans="3:5" x14ac:dyDescent="0.25">
      <c r="C110" s="2" t="s">
        <v>179</v>
      </c>
    </row>
    <row r="111" spans="3:5" x14ac:dyDescent="0.25">
      <c r="C111" s="2" t="s">
        <v>180</v>
      </c>
    </row>
    <row r="112" spans="3:5" x14ac:dyDescent="0.25">
      <c r="C112" s="2" t="s">
        <v>181</v>
      </c>
    </row>
    <row r="113" spans="3:3" x14ac:dyDescent="0.25">
      <c r="C113" s="2" t="s">
        <v>182</v>
      </c>
    </row>
    <row r="114" spans="3:3" x14ac:dyDescent="0.25">
      <c r="C114" s="2" t="s">
        <v>183</v>
      </c>
    </row>
    <row r="115" spans="3:3" x14ac:dyDescent="0.25">
      <c r="C115" s="2" t="s">
        <v>184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138C-653E-499E-BC07-FB1FB9ED50BF}">
  <dimension ref="C3:M17"/>
  <sheetViews>
    <sheetView workbookViewId="0"/>
  </sheetViews>
  <sheetFormatPr defaultRowHeight="15" x14ac:dyDescent="0.25"/>
  <cols>
    <col min="3" max="3" width="44.7109375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  <col min="13" max="13" width="12" bestFit="1" customWidth="1"/>
  </cols>
  <sheetData>
    <row r="3" spans="3:13" ht="15.75" x14ac:dyDescent="0.25">
      <c r="C3" s="43" t="s">
        <v>185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3:13" x14ac:dyDescent="0.25">
      <c r="C4" s="45" t="s">
        <v>186</v>
      </c>
      <c r="D4" s="55" t="s">
        <v>187</v>
      </c>
      <c r="E4" s="55"/>
      <c r="F4" s="55" t="s">
        <v>188</v>
      </c>
      <c r="G4" s="55"/>
      <c r="H4" s="55" t="s">
        <v>189</v>
      </c>
      <c r="I4" s="55"/>
      <c r="J4" s="56" t="s">
        <v>200</v>
      </c>
      <c r="K4" s="57"/>
      <c r="L4" s="52" t="s">
        <v>190</v>
      </c>
      <c r="M4" s="52"/>
    </row>
    <row r="5" spans="3:13" ht="63.75" x14ac:dyDescent="0.25">
      <c r="C5" s="46"/>
      <c r="D5" s="47" t="s">
        <v>191</v>
      </c>
      <c r="E5" s="47" t="s">
        <v>192</v>
      </c>
      <c r="F5" s="47" t="s">
        <v>191</v>
      </c>
      <c r="G5" s="47" t="s">
        <v>192</v>
      </c>
      <c r="H5" s="47" t="s">
        <v>191</v>
      </c>
      <c r="I5" s="47" t="s">
        <v>192</v>
      </c>
      <c r="J5" s="47" t="s">
        <v>191</v>
      </c>
      <c r="K5" s="47" t="s">
        <v>192</v>
      </c>
      <c r="L5" s="48" t="s">
        <v>191</v>
      </c>
      <c r="M5" s="48" t="s">
        <v>192</v>
      </c>
    </row>
    <row r="6" spans="3:13" x14ac:dyDescent="0.25">
      <c r="C6" s="49" t="s">
        <v>193</v>
      </c>
      <c r="D6" s="50">
        <v>-5.8297999999999996</v>
      </c>
      <c r="E6" s="50">
        <v>9417.0210143587847</v>
      </c>
      <c r="F6" s="50">
        <v>12.4716</v>
      </c>
      <c r="G6" s="50">
        <v>14232.094626059421</v>
      </c>
      <c r="H6" s="50">
        <v>16.081700000000001</v>
      </c>
      <c r="I6" s="50">
        <v>21094.699061292104</v>
      </c>
      <c r="J6" s="50">
        <v>9.5266000000000002</v>
      </c>
      <c r="K6" s="50">
        <v>24867.371847030106</v>
      </c>
      <c r="L6" s="50">
        <v>10.683</v>
      </c>
      <c r="M6" s="50">
        <v>152810</v>
      </c>
    </row>
    <row r="7" spans="3:13" x14ac:dyDescent="0.25">
      <c r="C7" s="49" t="s">
        <v>194</v>
      </c>
      <c r="D7" s="50">
        <v>-2.7965912999999998</v>
      </c>
      <c r="E7" s="50">
        <v>9720.34087</v>
      </c>
      <c r="F7" s="50">
        <v>14.346406999999999</v>
      </c>
      <c r="G7" s="50">
        <v>14950.907969349815</v>
      </c>
      <c r="H7" s="50">
        <v>18.298238999999999</v>
      </c>
      <c r="I7" s="50">
        <v>23168.152255992172</v>
      </c>
      <c r="J7" s="50">
        <v>13.3269</v>
      </c>
      <c r="K7" s="50">
        <v>18692.399103519179</v>
      </c>
      <c r="L7" s="50" t="s">
        <v>195</v>
      </c>
      <c r="M7" s="50" t="s">
        <v>195</v>
      </c>
    </row>
    <row r="8" spans="3:13" x14ac:dyDescent="0.25">
      <c r="C8" s="49" t="s">
        <v>196</v>
      </c>
      <c r="D8" s="50">
        <v>-1.6821999999999999</v>
      </c>
      <c r="E8" s="50">
        <v>9831.7800000000007</v>
      </c>
      <c r="F8" s="50">
        <v>13.438800000000001</v>
      </c>
      <c r="G8" s="50">
        <v>14597.714689930986</v>
      </c>
      <c r="H8" s="50">
        <v>17.353899999999999</v>
      </c>
      <c r="I8" s="50">
        <v>22258.076719107466</v>
      </c>
      <c r="J8" s="50">
        <v>13.1793</v>
      </c>
      <c r="K8" s="50">
        <v>18570.988358352177</v>
      </c>
      <c r="L8" s="50">
        <v>12.4764</v>
      </c>
      <c r="M8" s="50">
        <v>361761.32656691188</v>
      </c>
    </row>
    <row r="9" spans="3:13" x14ac:dyDescent="0.25">
      <c r="C9" s="49" t="s">
        <v>197</v>
      </c>
      <c r="D9" s="53">
        <v>162.27000000000001</v>
      </c>
      <c r="E9" s="54"/>
      <c r="F9" s="53">
        <v>107.37</v>
      </c>
      <c r="G9" s="54"/>
      <c r="H9" s="53">
        <v>72.44</v>
      </c>
      <c r="I9" s="54"/>
      <c r="J9" s="53">
        <v>61.45</v>
      </c>
      <c r="K9" s="54"/>
      <c r="L9" s="53">
        <v>10</v>
      </c>
      <c r="M9" s="54"/>
    </row>
    <row r="11" spans="3:13" ht="15.75" x14ac:dyDescent="0.25">
      <c r="C11" s="43" t="s">
        <v>198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3:13" x14ac:dyDescent="0.25">
      <c r="C12" s="45" t="s">
        <v>186</v>
      </c>
      <c r="D12" s="55" t="s">
        <v>187</v>
      </c>
      <c r="E12" s="55"/>
      <c r="F12" s="55" t="s">
        <v>188</v>
      </c>
      <c r="G12" s="55"/>
      <c r="H12" s="55" t="s">
        <v>189</v>
      </c>
      <c r="I12" s="55"/>
      <c r="J12" s="56" t="s">
        <v>200</v>
      </c>
      <c r="K12" s="57"/>
      <c r="L12" s="52" t="s">
        <v>190</v>
      </c>
      <c r="M12" s="52"/>
    </row>
    <row r="13" spans="3:13" ht="63.75" x14ac:dyDescent="0.25">
      <c r="C13" s="46"/>
      <c r="D13" s="47" t="s">
        <v>191</v>
      </c>
      <c r="E13" s="47" t="s">
        <v>192</v>
      </c>
      <c r="F13" s="47" t="s">
        <v>191</v>
      </c>
      <c r="G13" s="47" t="s">
        <v>192</v>
      </c>
      <c r="H13" s="47" t="s">
        <v>191</v>
      </c>
      <c r="I13" s="47" t="s">
        <v>192</v>
      </c>
      <c r="J13" s="47" t="s">
        <v>191</v>
      </c>
      <c r="K13" s="47" t="s">
        <v>192</v>
      </c>
      <c r="L13" s="48" t="s">
        <v>191</v>
      </c>
      <c r="M13" s="48" t="s">
        <v>192</v>
      </c>
    </row>
    <row r="14" spans="3:13" x14ac:dyDescent="0.25">
      <c r="C14" s="49" t="s">
        <v>193</v>
      </c>
      <c r="D14" s="50">
        <v>-5.6757999999999997</v>
      </c>
      <c r="E14" s="50">
        <v>9432.421396488362</v>
      </c>
      <c r="F14" s="50">
        <v>12.602600000000001</v>
      </c>
      <c r="G14" s="50">
        <v>14281.92898781134</v>
      </c>
      <c r="H14" s="50">
        <v>16.2014</v>
      </c>
      <c r="I14" s="50">
        <v>21203.776553894568</v>
      </c>
      <c r="J14" s="50">
        <v>10.0154</v>
      </c>
      <c r="K14" s="50">
        <v>26000.964785335262</v>
      </c>
      <c r="L14" s="50">
        <v>10.681699999999999</v>
      </c>
      <c r="M14" s="50">
        <v>36320.75471698113</v>
      </c>
    </row>
    <row r="15" spans="3:13" x14ac:dyDescent="0.25">
      <c r="C15" s="49" t="s">
        <v>194</v>
      </c>
      <c r="D15" s="50">
        <v>-2.7965912999999998</v>
      </c>
      <c r="E15" s="50">
        <v>9720.34087</v>
      </c>
      <c r="F15" s="50">
        <v>14.346406999999999</v>
      </c>
      <c r="G15" s="50">
        <v>14950.907969349815</v>
      </c>
      <c r="H15" s="50">
        <v>18.298238999999999</v>
      </c>
      <c r="I15" s="50">
        <v>23168.152255992172</v>
      </c>
      <c r="J15" s="50">
        <v>13.3269</v>
      </c>
      <c r="K15" s="50">
        <v>18692.399103519179</v>
      </c>
      <c r="L15" s="50">
        <v>13.540848</v>
      </c>
      <c r="M15" s="50">
        <v>49916.15451189773</v>
      </c>
    </row>
    <row r="16" spans="3:13" x14ac:dyDescent="0.25">
      <c r="C16" s="49" t="s">
        <v>196</v>
      </c>
      <c r="D16" s="50">
        <v>-1.6821999999999999</v>
      </c>
      <c r="E16" s="50">
        <v>9831.7800000000007</v>
      </c>
      <c r="F16" s="50">
        <v>13.438800000000001</v>
      </c>
      <c r="G16" s="50">
        <v>14597.714689930986</v>
      </c>
      <c r="H16" s="50">
        <v>17.353899999999999</v>
      </c>
      <c r="I16" s="50">
        <v>22258.076719107466</v>
      </c>
      <c r="J16" s="50">
        <v>13.1793</v>
      </c>
      <c r="K16" s="50">
        <v>18570.988358352177</v>
      </c>
      <c r="L16" s="50">
        <v>13.0991</v>
      </c>
      <c r="M16" s="50">
        <v>47512.455135758362</v>
      </c>
    </row>
    <row r="17" spans="3:13" x14ac:dyDescent="0.25">
      <c r="C17" s="51" t="s">
        <v>199</v>
      </c>
      <c r="D17" s="53">
        <v>171.43</v>
      </c>
      <c r="E17" s="54"/>
      <c r="F17" s="53">
        <v>113.22</v>
      </c>
      <c r="G17" s="54"/>
      <c r="H17" s="53">
        <v>76.260000000000005</v>
      </c>
      <c r="I17" s="54"/>
      <c r="J17" s="53">
        <v>62.19</v>
      </c>
      <c r="K17" s="54"/>
      <c r="L17" s="53">
        <v>44.52</v>
      </c>
      <c r="M17" s="54"/>
    </row>
  </sheetData>
  <mergeCells count="20">
    <mergeCell ref="D17:E17"/>
    <mergeCell ref="F17:G17"/>
    <mergeCell ref="H17:I17"/>
    <mergeCell ref="J17:K17"/>
    <mergeCell ref="L4:M4"/>
    <mergeCell ref="L9:M9"/>
    <mergeCell ref="L12:M12"/>
    <mergeCell ref="L17:M17"/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2025-09-05T12:01:23Z</dcterms:created>
  <dcterms:modified xsi:type="dcterms:W3CDTF">2025-09-09T10:28:43Z</dcterms:modified>
</cp:coreProperties>
</file>