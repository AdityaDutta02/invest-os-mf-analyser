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Portfolio'!$C$8:$C$52</definedName>
    <definedName name="XDO_?FINAL_ISIN?11?">'TSS-Risk-O-Meter &amp; Portfolio'!$D$10:$D$52</definedName>
    <definedName name="XDO_?FINAL_ISIN?12?">'TSS-Risk-O-Meter &amp; Portfolio'!$D$10:$D$56</definedName>
    <definedName name="XDO_?FINAL_ISIN?13?">'TSS-Risk-O-Meter &amp; Portfolio'!$D$10:$D$96</definedName>
    <definedName name="XDO_?FINAL_MV?11?">'TSS-Risk-O-Meter &amp; Portfolio'!$H$10:$H$52</definedName>
    <definedName name="XDO_?FINAL_MV?12?">'TSS-Risk-O-Meter &amp; Portfolio'!$H$10:$H$56</definedName>
    <definedName name="XDO_?FINAL_MV?13?">'TSS-Risk-O-Meter &amp; Portfolio'!$H$10:$H$96</definedName>
    <definedName name="XDO_?FINAL_NAME?11?">'TSS-Risk-O-Meter &amp; Portfolio'!$C$10:$C$52</definedName>
    <definedName name="XDO_?FINAL_NAME?12?">'TSS-Risk-O-Meter &amp; Portfolio'!$C$10:$C$56</definedName>
    <definedName name="XDO_?FINAL_NAME?13?">'TSS-Risk-O-Meter &amp; Portfolio'!$C$10:$C$96</definedName>
    <definedName name="XDO_?FINAL_PER_NET?11?">'TSS-Risk-O-Meter &amp; Portfolio'!$I$10:$I$52</definedName>
    <definedName name="XDO_?FINAL_PER_NET?12?">'TSS-Risk-O-Meter &amp; Portfolio'!$I$10:$I$56</definedName>
    <definedName name="XDO_?FINAL_PER_NET?13?">'TSS-Risk-O-Meter &amp; Portfolio'!$I$10:$I$96</definedName>
    <definedName name="XDO_?FINAL_QUANTITE?11?">'TSS-Risk-O-Meter &amp; Portfolio'!$G$10:$G$52</definedName>
    <definedName name="XDO_?FINAL_QUANTITE?12?">'TSS-Risk-O-Meter &amp; Portfolio'!$G$10:$G$56</definedName>
    <definedName name="XDO_?FINAL_QUANTITE?13?">'TSS-Risk-O-Meter &amp; Portfolio'!$G$10:$G$96</definedName>
    <definedName name="XDO_?IND_01?11?">'TSS-Risk-O-Meter &amp; Portfolio'!$F$10:$F$52</definedName>
    <definedName name="XDO_?IND_01?12?">'TSS-Risk-O-Meter &amp; Portfolio'!$F$10:$F$56</definedName>
    <definedName name="XDO_?IND_01?13?">'TSS-Risk-O-Meter &amp; Portfolio'!$F$10:$F$96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Portfolio'!$B$10:$B$52</definedName>
    <definedName name="XDO_?NOVAL?12?">'TSS-Risk-O-Meter &amp; Portfolio'!$B$10:$B$56</definedName>
    <definedName name="XDO_?NOVAL?13?">'TSS-Risk-O-Meter &amp; Portfolio'!$B$10:$B$96</definedName>
    <definedName name="XDO_?NPTF?6?">'TSS-Risk-O-Meter &amp; Portfolio'!$D$2:$D$52</definedName>
    <definedName name="XDO_?RATING?11?">'TSS-Risk-O-Meter &amp; Portfolio'!$E$10:$E$52</definedName>
    <definedName name="XDO_?RATING?12?">'TSS-Risk-O-Meter &amp; Portfolio'!$E$10:$E$56</definedName>
    <definedName name="XDO_?RATING?13?">'TSS-Risk-O-Meter &amp; Portfolio'!$E$10:$E$96</definedName>
    <definedName name="XDO_?REMARKS?11?">'TSS-Risk-O-Meter &amp; Portfolio'!$J$10:$J$52</definedName>
    <definedName name="XDO_?REMARKS?12?">'TSS-Risk-O-Meter &amp; Portfolio'!$J$10:$J$56</definedName>
    <definedName name="XDO_?REMARKS?13?">'TSS-Risk-O-Meter &amp; Portfolio'!$J$10:$J$96</definedName>
    <definedName name="XDO_?TITL?6?">'TSS-Risk-O-Meter &amp; Portfolio'!$A$8:$A$52</definedName>
    <definedName name="XDO_GROUP_?G_2?6?">'TSS-Risk-O-Meter &amp; Portfolio'!$2:$99</definedName>
    <definedName name="XDO_GROUP_?G_3?6?">'TSS-Risk-O-Meter &amp; Portfolio'!$8:$98</definedName>
    <definedName name="XDO_GROUP_?G_4?11?">'TSS-Risk-O-Meter &amp; Portfolio'!$B$10:$IV$52</definedName>
    <definedName name="XDO_GROUP_?G_4?12?">'TSS-Risk-O-Meter &amp; Portfolio'!$B$56:$IV$56</definedName>
    <definedName name="XDO_GROUP_?G_4?13?">'TSS-Risk-O-Meter &amp; Portfolio'!$B$96:$IV$96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<sst xmlns="http://schemas.openxmlformats.org/spreadsheetml/2006/main" count="290" uniqueCount="214">
  <si>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</si>
  <si>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</si>
  <si>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</si>
  <si>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</si>
  <si>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</si>
  <si>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</si>
  <si>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</si>
  <si>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</si>
  <si>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</si>
  <si>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</si>
  <si>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</si>
  <si>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</si>
  <si>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</si>
  <si>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</si>
  <si>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</si>
  <si>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100314</t>
  </si>
  <si>
    <t>SRF Ltd.</t>
  </si>
  <si>
    <t>INE647A01010</t>
  </si>
  <si>
    <t>Chemicals &amp; Petrochemicals</t>
  </si>
  <si>
    <t>100003</t>
  </si>
  <si>
    <t>Infosys Ltd.</t>
  </si>
  <si>
    <t>INE009A01021</t>
  </si>
  <si>
    <t>IT - Software</t>
  </si>
  <si>
    <t>100014</t>
  </si>
  <si>
    <t>Mahindra &amp; Mahindra Ltd.</t>
  </si>
  <si>
    <t>INE101A01026</t>
  </si>
  <si>
    <t>Automobiles</t>
  </si>
  <si>
    <t>100172</t>
  </si>
  <si>
    <t>ACC Ltd.</t>
  </si>
  <si>
    <t>INE012A01025</t>
  </si>
  <si>
    <t>Cement &amp; Cement Products</t>
  </si>
  <si>
    <t>100302</t>
  </si>
  <si>
    <t>DLF Ltd.</t>
  </si>
  <si>
    <t>INE271C01023</t>
  </si>
  <si>
    <t>Realty</t>
  </si>
  <si>
    <t>100147</t>
  </si>
  <si>
    <t>Tech Mahindra Ltd.</t>
  </si>
  <si>
    <t>INE669C01036</t>
  </si>
  <si>
    <t>100372</t>
  </si>
  <si>
    <t>Apollo Tyres Ltd.</t>
  </si>
  <si>
    <t>INE438A01022</t>
  </si>
  <si>
    <t>Auto Components</t>
  </si>
  <si>
    <t>100282</t>
  </si>
  <si>
    <t>Blue Star Ltd.</t>
  </si>
  <si>
    <t>INE472A01039</t>
  </si>
  <si>
    <t>Consumer Durables</t>
  </si>
  <si>
    <t>100012</t>
  </si>
  <si>
    <t>ICICI Bank Ltd.</t>
  </si>
  <si>
    <t>INE090A01021</t>
  </si>
  <si>
    <t>Banks</t>
  </si>
  <si>
    <t>100108</t>
  </si>
  <si>
    <t>Adani Ports and Special Economic Zone Ltd.</t>
  </si>
  <si>
    <t>INE742F01042</t>
  </si>
  <si>
    <t>Transport Infrastructure</t>
  </si>
  <si>
    <t>100896</t>
  </si>
  <si>
    <t>Polycab India Ltd.</t>
  </si>
  <si>
    <t>INE455K01017</t>
  </si>
  <si>
    <t>Industrial Products</t>
  </si>
  <si>
    <t>101178</t>
  </si>
  <si>
    <t>Computer Age Management Services Ltd.</t>
  </si>
  <si>
    <t>INE596I01012</t>
  </si>
  <si>
    <t>Capital Markets</t>
  </si>
  <si>
    <t>100024</t>
  </si>
  <si>
    <t>Axis Bank Ltd.</t>
  </si>
  <si>
    <t>INE238A01034</t>
  </si>
  <si>
    <t>100180</t>
  </si>
  <si>
    <t>Hindalco Industries Ltd.</t>
  </si>
  <si>
    <t>INE038A01020</t>
  </si>
  <si>
    <t>Non - Ferrous Metals</t>
  </si>
  <si>
    <t>100013</t>
  </si>
  <si>
    <t>IndusInd Bank Ltd.</t>
  </si>
  <si>
    <t>INE095A01012</t>
  </si>
  <si>
    <t>100037</t>
  </si>
  <si>
    <t>HCL Technologies Ltd.</t>
  </si>
  <si>
    <t>INE860A01027</t>
  </si>
  <si>
    <t>100431</t>
  </si>
  <si>
    <t>Atul Auto Ltd.</t>
  </si>
  <si>
    <t>INE951D01028</t>
  </si>
  <si>
    <t>Agricultural, Commercial &amp; Construction Vehicles</t>
  </si>
  <si>
    <t>100273</t>
  </si>
  <si>
    <t>Havells India Ltd.</t>
  </si>
  <si>
    <t>INE176B01034</t>
  </si>
  <si>
    <t>100335</t>
  </si>
  <si>
    <t>Kajaria Ceramics Ltd.</t>
  </si>
  <si>
    <t>INE217B01036</t>
  </si>
  <si>
    <t>100654</t>
  </si>
  <si>
    <t>Automotive Axles Ltd.</t>
  </si>
  <si>
    <t>INE449A01011</t>
  </si>
  <si>
    <t>100128</t>
  </si>
  <si>
    <t>Eicher Motors Ltd.</t>
  </si>
  <si>
    <t>INE066A01021</t>
  </si>
  <si>
    <t>100255</t>
  </si>
  <si>
    <t>PNC Infratech Ltd.</t>
  </si>
  <si>
    <t>INE195J01029</t>
  </si>
  <si>
    <t>Construction</t>
  </si>
  <si>
    <t>100388</t>
  </si>
  <si>
    <t>Balrampur Chini Mills Ltd.</t>
  </si>
  <si>
    <t>INE119A01028</t>
  </si>
  <si>
    <t>Agricultural Food &amp; other Products</t>
  </si>
  <si>
    <t>100080</t>
  </si>
  <si>
    <t>Dr. Reddy's Laboratories Ltd.</t>
  </si>
  <si>
    <t>INE089A01023</t>
  </si>
  <si>
    <t>Pharmaceuticals &amp; Biotechnology</t>
  </si>
  <si>
    <t>100315</t>
  </si>
  <si>
    <t>Prestige Estates Projects Ltd.</t>
  </si>
  <si>
    <t>INE811K01011</t>
  </si>
  <si>
    <t>100029</t>
  </si>
  <si>
    <t>Mphasis Ltd.</t>
  </si>
  <si>
    <t>INE356A01018</t>
  </si>
  <si>
    <t>101229</t>
  </si>
  <si>
    <t>Jubilant Ingrevia Ltd.</t>
  </si>
  <si>
    <t>INE0BY001018</t>
  </si>
  <si>
    <t>100425</t>
  </si>
  <si>
    <t>Chambal Fertilisers and Chemicals Ltd.</t>
  </si>
  <si>
    <t>INE085A01013</t>
  </si>
  <si>
    <t>Fertilizers &amp; Agrochemicals</t>
  </si>
  <si>
    <t>101617</t>
  </si>
  <si>
    <t>Macrotech Developers Ltd.</t>
  </si>
  <si>
    <t>INE670K01029</t>
  </si>
  <si>
    <t>100461</t>
  </si>
  <si>
    <t>Astral Ltd.</t>
  </si>
  <si>
    <t>INE006I01046</t>
  </si>
  <si>
    <t>100690</t>
  </si>
  <si>
    <t>IG Petrochemicals Ltd.</t>
  </si>
  <si>
    <t>INE204A01010</t>
  </si>
  <si>
    <t>100097</t>
  </si>
  <si>
    <t>Coal India Ltd.</t>
  </si>
  <si>
    <t>INE522F01014</t>
  </si>
  <si>
    <t>Consumable Fuels</t>
  </si>
  <si>
    <t>100001</t>
  </si>
  <si>
    <t>Housing Development Finance Corporation Ltd.</t>
  </si>
  <si>
    <t>INE001A01036</t>
  </si>
  <si>
    <t>Finance</t>
  </si>
  <si>
    <t>101306</t>
  </si>
  <si>
    <t>Apollo Pipes Ltd.</t>
  </si>
  <si>
    <t>INE126J01016</t>
  </si>
  <si>
    <t>100571</t>
  </si>
  <si>
    <t>KNR Constructions Ltd.</t>
  </si>
  <si>
    <t>INE634I01029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</si>
  <si>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</si>
  <si>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</si>
  <si>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</si>
  <si>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</si>
  <si>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</si>
  <si>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</si>
  <si>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</si>
  <si>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100162</t>
  </si>
  <si>
    <t>Kirloskar Oil Engines Ltd.</t>
  </si>
  <si>
    <t>INE146L01010</t>
  </si>
  <si>
    <t>100235</t>
  </si>
  <si>
    <t>CRISIL Ltd.</t>
  </si>
  <si>
    <t>INE007A01025</t>
  </si>
  <si>
    <t>100179</t>
  </si>
  <si>
    <t>Hero MotoCorp Ltd.</t>
  </si>
  <si>
    <t>INE158A01026</t>
  </si>
  <si>
    <t>100059</t>
  </si>
  <si>
    <t>Godrej Industries Ltd.</t>
  </si>
  <si>
    <t>INE233A01035</t>
  </si>
  <si>
    <t>Diversified</t>
  </si>
  <si>
    <t>101412</t>
  </si>
  <si>
    <t>Punjab Chemicals &amp; Crop Protection Ltd.</t>
  </si>
  <si>
    <t>INE277B01014</t>
  </si>
  <si>
    <t>100178</t>
  </si>
  <si>
    <t>Ambuja Cements Ltd.</t>
  </si>
  <si>
    <t>INE079A01024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</si>
  <si>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</si>
  <si>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</si>
  <si>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</si>
  <si>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</si>
  <si>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</si>
  <si>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</si>
  <si>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</si>
  <si>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</si>
  <si>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</si>
  <si>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</si>
  <si>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</si>
  <si>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</si>
  <si>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</si>
  <si>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</si>
  <si>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</si>
  <si>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</si>
  <si>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</si>
  <si>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</si>
  <si>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</si>
  <si>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</si>
  <si>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</si>
  <si>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</si>
  <si>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</si>
  <si>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</si>
  <si>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</si>
  <si>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</si>
  <si>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</si>
  <si>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</si>
  <si>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</si>
  <si>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</si>
  <si>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</si>
  <si>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</si>
  <si>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</si>
  <si>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</si>
  <si>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</si>
  <si>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</si>
  <si>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</si>
  <si>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</si>
  <si>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</si>
  <si>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</si>
  <si>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</si>
  <si>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</si>
  <si>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</si>
  <si>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</si>
  <si>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</si>
  <si>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28, 2023 : 150.53)</t>
  </si>
  <si>
    <t>Taurus Flexi Cap Fund - Direct Plan Growth Option</t>
  </si>
  <si>
    <t>NAV [Rs.] Per Unit (as on April 28, 2023 : 156.41)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</si>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</sst>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6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44378</v>
      </c>
      <c r="H10" s="32">
        <v>1127.1099999999999</v>
      </c>
      <c r="I10" s="32">
        <v>4.53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89500</v>
      </c>
      <c r="H11" s="32">
        <v>1121.03</v>
      </c>
      <c r="I11" s="32">
        <v>4.5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85816</v>
      </c>
      <c r="H12" s="32">
        <v>1052.6199999999999</v>
      </c>
      <c r="I12" s="32">
        <v>4.2300000000000004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54800</v>
      </c>
      <c r="H13" s="32">
        <v>966.1</v>
      </c>
      <c r="I13" s="32">
        <v>3.88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227039</v>
      </c>
      <c r="H14" s="32">
        <v>965.03</v>
      </c>
      <c r="I14" s="32">
        <v>3.88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22</v>
      </c>
      <c r="G15" s="31">
        <v>83200</v>
      </c>
      <c r="H15" s="32">
        <v>851.76</v>
      </c>
      <c r="I15" s="32">
        <v>3.42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229326</v>
      </c>
      <c r="H16" s="32">
        <v>795.76</v>
      </c>
      <c r="I16" s="32">
        <v>3.2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52760</v>
      </c>
      <c r="H17" s="32">
        <v>779.21</v>
      </c>
      <c r="I17" s="32">
        <v>3.13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80669</v>
      </c>
      <c r="H18" s="32">
        <v>740.3</v>
      </c>
      <c r="I18" s="32">
        <v>2.97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98959</v>
      </c>
      <c r="H19" s="32">
        <v>674.11</v>
      </c>
      <c r="I19" s="32">
        <v>2.71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20300</v>
      </c>
      <c r="H20" s="32">
        <v>650.69000000000005</v>
      </c>
      <c r="I20" s="32">
        <v>2.61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30082</v>
      </c>
      <c r="H21" s="32">
        <v>620.29</v>
      </c>
      <c r="I21" s="32">
        <v>2.4900000000000002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49</v>
      </c>
      <c r="G22" s="31">
        <v>70000</v>
      </c>
      <c r="H22" s="32">
        <v>602</v>
      </c>
      <c r="I22" s="32">
        <v>2.42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137722</v>
      </c>
      <c r="H23" s="32">
        <v>600.4</v>
      </c>
      <c r="I23" s="32">
        <v>2.41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49</v>
      </c>
      <c r="G24" s="31">
        <v>48483</v>
      </c>
      <c r="H24" s="32">
        <v>558.54999999999995</v>
      </c>
      <c r="I24" s="32">
        <v>2.2400000000000002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22</v>
      </c>
      <c r="G25" s="31">
        <v>52000</v>
      </c>
      <c r="H25" s="32">
        <v>553.1</v>
      </c>
      <c r="I25" s="32">
        <v>2.2200000000000002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140013</v>
      </c>
      <c r="H26" s="32">
        <v>535.9</v>
      </c>
      <c r="I26" s="32">
        <v>2.15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45</v>
      </c>
      <c r="G27" s="31">
        <v>42679</v>
      </c>
      <c r="H27" s="32">
        <v>524.97</v>
      </c>
      <c r="I27" s="32">
        <v>2.11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45</v>
      </c>
      <c r="G28" s="31">
        <v>47973</v>
      </c>
      <c r="H28" s="32">
        <v>524.29999999999995</v>
      </c>
      <c r="I28" s="32">
        <v>2.11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41</v>
      </c>
      <c r="G29" s="31">
        <v>20769</v>
      </c>
      <c r="H29" s="32">
        <v>502.06</v>
      </c>
      <c r="I29" s="32">
        <v>2.02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26</v>
      </c>
      <c r="G30" s="31">
        <v>15100</v>
      </c>
      <c r="H30" s="32">
        <v>498.41</v>
      </c>
      <c r="I30" s="32">
        <v>2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172904</v>
      </c>
      <c r="H31" s="32">
        <v>490.18</v>
      </c>
      <c r="I31" s="32">
        <v>1.97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108600</v>
      </c>
      <c r="H32" s="32">
        <v>450.91</v>
      </c>
      <c r="I32" s="32">
        <v>1.81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8838</v>
      </c>
      <c r="H33" s="32">
        <v>435.4</v>
      </c>
      <c r="I33" s="32">
        <v>1.75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34</v>
      </c>
      <c r="G34" s="31">
        <v>86101</v>
      </c>
      <c r="H34" s="32">
        <v>421.89</v>
      </c>
      <c r="I34" s="32">
        <v>1.69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22</v>
      </c>
      <c r="G35" s="31">
        <v>21500</v>
      </c>
      <c r="H35" s="32">
        <v>390.23</v>
      </c>
      <c r="I35" s="32">
        <v>1.57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18</v>
      </c>
      <c r="G36" s="31">
        <v>92600</v>
      </c>
      <c r="H36" s="32">
        <v>390.12</v>
      </c>
      <c r="I36" s="32">
        <v>1.57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129773</v>
      </c>
      <c r="H37" s="32">
        <v>370.7</v>
      </c>
      <c r="I37" s="32">
        <v>1.49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34</v>
      </c>
      <c r="G38" s="31">
        <v>37371</v>
      </c>
      <c r="H38" s="32">
        <v>346.71</v>
      </c>
      <c r="I38" s="32">
        <v>1.39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57</v>
      </c>
      <c r="G39" s="31">
        <v>21669</v>
      </c>
      <c r="H39" s="32">
        <v>314.05</v>
      </c>
      <c r="I39" s="32">
        <v>1.26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18</v>
      </c>
      <c r="G40" s="31">
        <v>64823</v>
      </c>
      <c r="H40" s="32">
        <v>312.61</v>
      </c>
      <c r="I40" s="32">
        <v>1.26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130000</v>
      </c>
      <c r="H41" s="32">
        <v>303.02999999999997</v>
      </c>
      <c r="I41" s="32">
        <v>1.22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10500</v>
      </c>
      <c r="H42" s="32">
        <v>291.39999999999998</v>
      </c>
      <c r="I42" s="32">
        <v>1.17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57</v>
      </c>
      <c r="G43" s="31">
        <v>45598</v>
      </c>
      <c r="H43" s="32">
        <v>269.76</v>
      </c>
      <c r="I43" s="32">
        <v>1.08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94</v>
      </c>
      <c r="G44" s="31">
        <v>103891</v>
      </c>
      <c r="H44" s="32">
        <v>249.81</v>
      </c>
      <c r="I44" s="32">
        <v>1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40870</v>
      </c>
      <c r="H45" s="32">
        <v>244.67</v>
      </c>
      <c r="I45" s="32">
        <v>0.98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45</v>
      </c>
      <c r="G46" s="31">
        <v>23060</v>
      </c>
      <c r="H46" s="32">
        <v>168.44</v>
      </c>
      <c r="I46" s="32">
        <v>0.68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57</v>
      </c>
      <c r="G47" s="31">
        <v>37892</v>
      </c>
      <c r="H47" s="32">
        <v>149.26</v>
      </c>
      <c r="I47" s="32">
        <v>0.6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132</v>
      </c>
      <c r="G48" s="31">
        <v>3677</v>
      </c>
      <c r="H48" s="32">
        <v>132.41999999999999</v>
      </c>
      <c r="I48" s="32">
        <v>0.53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26</v>
      </c>
      <c r="G49" s="31">
        <v>3000</v>
      </c>
      <c r="H49" s="32">
        <v>76.66</v>
      </c>
      <c r="I49" s="32">
        <v>0.31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14732</v>
      </c>
      <c r="H50" s="32">
        <v>66.349999999999994</v>
      </c>
      <c r="I50" s="32">
        <v>0.27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115</v>
      </c>
      <c r="G51" s="31">
        <v>5234</v>
      </c>
      <c r="H51" s="32">
        <v>41.61</v>
      </c>
      <c r="I51" s="32">
        <v>0.17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30</v>
      </c>
      <c r="G52" s="31">
        <v>3240</v>
      </c>
      <c r="H52" s="32">
        <v>12.84</v>
      </c>
      <c r="I52" s="32">
        <v>0.05</v>
      </c>
      <c r="J52" s="33"/>
    </row>
    <row r="53" spans="2:10">
      <c r="C53" s="28" t="s">
        <v>165</v>
      </c>
      <c r="D53" s="29"/>
      <c r="E53" s="30"/>
      <c r="F53" s="30"/>
      <c r="G53" s="31"/>
      <c r="H53" s="35">
        <v>21172.75</v>
      </c>
      <c r="I53" s="35">
        <v>85.05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34" t="s">
        <v>166</v>
      </c>
      <c r="D55" s="29"/>
      <c r="E55" s="30"/>
      <c r="F55" s="30"/>
      <c r="G55" s="31"/>
      <c r="H55" s="32"/>
      <c r="I55" s="32"/>
      <c r="J55" s="33"/>
    </row>
    <row r="56" spans="2:10">
      <c r="B56" s="1" t="s">
        <v>167</v>
      </c>
      <c r="C56" s="20" t="s">
        <v>168</v>
      </c>
      <c r="D56" s="29" t="s">
        <v>169</v>
      </c>
      <c r="E56" s="30"/>
      <c r="F56" s="30" t="s">
        <v>170</v>
      </c>
      <c r="G56" s="31">
        <v>189983</v>
      </c>
      <c r="H56" s="36">
        <v>0</v>
      </c>
      <c r="I56" s="32" t="s">
        <v>171</v>
      </c>
      <c r="J56" s="33" t="s">
        <v>172</v>
      </c>
    </row>
    <row r="57" spans="2:10">
      <c r="C57" s="28" t="s">
        <v>165</v>
      </c>
      <c r="D57" s="29"/>
      <c r="E57" s="30"/>
      <c r="F57" s="30"/>
      <c r="G57" s="31"/>
      <c r="H57" s="37">
        <v>0</v>
      </c>
      <c r="I57" s="35" t="s">
        <v>171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173</v>
      </c>
      <c r="D59" s="29"/>
      <c r="E59" s="30"/>
      <c r="F59" s="30"/>
      <c r="G59" s="31"/>
      <c r="H59" s="32" t="s">
        <v>174</v>
      </c>
      <c r="I59" s="32" t="s">
        <v>174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175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176</v>
      </c>
      <c r="D63" s="29"/>
      <c r="E63" s="30"/>
      <c r="F63" s="30"/>
      <c r="G63" s="31"/>
      <c r="H63" s="32" t="s">
        <v>174</v>
      </c>
      <c r="I63" s="32" t="s">
        <v>174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177</v>
      </c>
      <c r="D65" s="29"/>
      <c r="E65" s="30"/>
      <c r="F65" s="30"/>
      <c r="G65" s="31"/>
      <c r="H65" s="32" t="s">
        <v>174</v>
      </c>
      <c r="I65" s="32" t="s">
        <v>174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178</v>
      </c>
      <c r="D67" s="29"/>
      <c r="E67" s="30"/>
      <c r="F67" s="30"/>
      <c r="G67" s="31"/>
      <c r="H67" s="32" t="s">
        <v>174</v>
      </c>
      <c r="I67" s="32" t="s">
        <v>174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179</v>
      </c>
      <c r="D69" s="29"/>
      <c r="E69" s="30"/>
      <c r="F69" s="30"/>
      <c r="G69" s="31"/>
      <c r="H69" s="32" t="s">
        <v>174</v>
      </c>
      <c r="I69" s="32" t="s">
        <v>174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180</v>
      </c>
      <c r="D71" s="29"/>
      <c r="E71" s="30"/>
      <c r="F71" s="30"/>
      <c r="G71" s="31"/>
      <c r="H71" s="32" t="s">
        <v>174</v>
      </c>
      <c r="I71" s="32" t="s">
        <v>174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181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182</v>
      </c>
      <c r="D75" s="29"/>
      <c r="E75" s="30"/>
      <c r="F75" s="30"/>
      <c r="G75" s="31"/>
      <c r="H75" s="32" t="s">
        <v>174</v>
      </c>
      <c r="I75" s="32" t="s">
        <v>174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183</v>
      </c>
      <c r="D77" s="29"/>
      <c r="E77" s="30"/>
      <c r="F77" s="30"/>
      <c r="G77" s="31"/>
      <c r="H77" s="32" t="s">
        <v>174</v>
      </c>
      <c r="I77" s="32" t="s">
        <v>174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184</v>
      </c>
      <c r="D79" s="29"/>
      <c r="E79" s="30"/>
      <c r="F79" s="30"/>
      <c r="G79" s="31"/>
      <c r="H79" s="32" t="s">
        <v>174</v>
      </c>
      <c r="I79" s="32" t="s">
        <v>174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185</v>
      </c>
      <c r="D81" s="29"/>
      <c r="E81" s="30"/>
      <c r="F81" s="30"/>
      <c r="G81" s="31"/>
      <c r="H81" s="32" t="s">
        <v>174</v>
      </c>
      <c r="I81" s="32" t="s">
        <v>174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186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187</v>
      </c>
      <c r="D85" s="29"/>
      <c r="E85" s="30"/>
      <c r="F85" s="30"/>
      <c r="G85" s="31"/>
      <c r="H85" s="32" t="s">
        <v>174</v>
      </c>
      <c r="I85" s="32" t="s">
        <v>174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188</v>
      </c>
      <c r="D87" s="29"/>
      <c r="E87" s="30"/>
      <c r="F87" s="30"/>
      <c r="G87" s="31"/>
      <c r="H87" s="32" t="s">
        <v>174</v>
      </c>
      <c r="I87" s="32" t="s">
        <v>174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189</v>
      </c>
      <c r="D89" s="29"/>
      <c r="E89" s="30"/>
      <c r="F89" s="30"/>
      <c r="G89" s="31"/>
      <c r="H89" s="32" t="s">
        <v>174</v>
      </c>
      <c r="I89" s="32" t="s">
        <v>174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190</v>
      </c>
      <c r="D91" s="29"/>
      <c r="E91" s="30"/>
      <c r="F91" s="30"/>
      <c r="G91" s="31"/>
      <c r="H91" s="32" t="s">
        <v>174</v>
      </c>
      <c r="I91" s="32" t="s">
        <v>174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191</v>
      </c>
      <c r="D93" s="29"/>
      <c r="E93" s="30"/>
      <c r="F93" s="30"/>
      <c r="G93" s="31"/>
      <c r="H93" s="32" t="s">
        <v>174</v>
      </c>
      <c r="I93" s="32" t="s">
        <v>174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192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193</v>
      </c>
      <c r="D96" s="29"/>
      <c r="E96" s="30"/>
      <c r="F96" s="30"/>
      <c r="G96" s="31"/>
      <c r="H96" s="32">
        <v>3727.82</v>
      </c>
      <c r="I96" s="32">
        <v>14.950000000000001</v>
      </c>
      <c r="J96" s="33"/>
    </row>
    <row r="97" spans="3:10">
      <c r="C97" s="28" t="s">
        <v>165</v>
      </c>
      <c r="D97" s="29"/>
      <c r="E97" s="30"/>
      <c r="F97" s="30"/>
      <c r="G97" s="31"/>
      <c r="H97" s="35">
        <v>3727.82</v>
      </c>
      <c r="I97" s="35">
        <v>14.950000000000001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5" thickBot="1">
      <c r="C99" s="38" t="s">
        <v>194</v>
      </c>
      <c r="D99" s="39"/>
      <c r="E99" s="40"/>
      <c r="F99" s="41"/>
      <c r="G99" s="42"/>
      <c r="H99" s="43">
        <v>24900.57</v>
      </c>
      <c r="I99" s="43">
        <f>SUMIFS(I:I,C:C,"Total")</f>
        <v>100</v>
      </c>
      <c r="J99" s="44"/>
    </row>
    <row r="102" spans="3:10">
      <c r="C102" s="11" t="s">
        <v>195</v>
      </c>
    </row>
    <row r="103" spans="3:10">
      <c r="C103" s="2" t="s">
        <v>196</v>
      </c>
    </row>
    <row r="104" spans="3:10">
      <c r="C104" s="2" t="s">
        <v>197</v>
      </c>
    </row>
    <row r="105" spans="3:10">
      <c r="C105" s="2" t="s">
        <v>198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5" t="s">
        <v>199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200</v>
      </c>
      <c r="C5" s="48" t="s">
        <v>201</v>
      </c>
      <c r="D5" s="48"/>
      <c r="E5" s="48" t="s">
        <v>202</v>
      </c>
      <c r="F5" s="48"/>
      <c r="G5" s="48" t="s">
        <v>203</v>
      </c>
      <c r="H5" s="48"/>
      <c r="I5" s="48" t="s">
        <v>204</v>
      </c>
      <c r="J5" s="48"/>
    </row>
    <row r="6" spans="2:10" ht="63.75">
      <c r="B6" s="49"/>
      <c r="C6" s="50" t="s">
        <v>205</v>
      </c>
      <c r="D6" s="50" t="s">
        <v>206</v>
      </c>
      <c r="E6" s="50" t="s">
        <v>205</v>
      </c>
      <c r="F6" s="50" t="s">
        <v>206</v>
      </c>
      <c r="G6" s="50" t="s">
        <v>205</v>
      </c>
      <c r="H6" s="50" t="s">
        <v>206</v>
      </c>
      <c r="I6" s="50" t="s">
        <v>205</v>
      </c>
      <c r="J6" s="50" t="s">
        <v>206</v>
      </c>
    </row>
    <row r="7" spans="2:10">
      <c r="B7" s="51" t="s">
        <v>207</v>
      </c>
      <c r="C7" s="52">
        <v>-0.51549798427070748</v>
      </c>
      <c r="D7" s="52">
        <v>9948.4502015729286</v>
      </c>
      <c r="E7" s="52">
        <v>18.656239975591006</v>
      </c>
      <c r="F7" s="52">
        <v>16690.320434637986</v>
      </c>
      <c r="G7" s="52">
        <v>5.43461484947525</v>
      </c>
      <c r="H7" s="52">
        <v>13027.260926006058</v>
      </c>
      <c r="I7" s="52">
        <v>9.7081636437029282</v>
      </c>
      <c r="J7" s="52">
        <v>150530</v>
      </c>
    </row>
    <row r="8" spans="2:10">
      <c r="B8" s="51" t="s">
        <v>208</v>
      </c>
      <c r="C8" s="52">
        <v>4.2251486842668884</v>
      </c>
      <c r="D8" s="52">
        <v>10422.51486842669</v>
      </c>
      <c r="E8" s="52">
        <v>25.502010248836005</v>
      </c>
      <c r="F8" s="52">
        <v>19767.513622866703</v>
      </c>
      <c r="G8" s="52">
        <v>11.376600678230231</v>
      </c>
      <c r="H8" s="52">
        <v>17138.381000798687</v>
      </c>
      <c r="I8" s="52">
        <v>0</v>
      </c>
      <c r="J8" s="52">
        <v>0</v>
      </c>
    </row>
    <row r="9" spans="2:10">
      <c r="B9" s="51" t="s">
        <v>209</v>
      </c>
      <c r="C9" s="52">
        <v>6.8929782767188641</v>
      </c>
      <c r="D9" s="52">
        <v>10689.297827671886</v>
      </c>
      <c r="E9" s="52">
        <v>23.783804099770322</v>
      </c>
      <c r="F9" s="52">
        <v>18966.686929372914</v>
      </c>
      <c r="G9" s="52">
        <v>12.312287809612998</v>
      </c>
      <c r="H9" s="52">
        <v>17870.48625225159</v>
      </c>
      <c r="I9" s="52">
        <v>10.693881843429299</v>
      </c>
      <c r="J9" s="52">
        <v>195519.47767008294</v>
      </c>
    </row>
    <row r="10" spans="2:10">
      <c r="B10" s="51" t="s">
        <v>210</v>
      </c>
      <c r="C10" s="53">
        <v>151.31</v>
      </c>
      <c r="D10" s="54"/>
      <c r="E10" s="53">
        <v>90.19</v>
      </c>
      <c r="F10" s="54"/>
      <c r="G10" s="53">
        <v>115.55</v>
      </c>
      <c r="H10" s="54"/>
      <c r="I10" s="53">
        <v>10</v>
      </c>
      <c r="J10" s="54"/>
    </row>
    <row r="12" spans="2:10" ht="15.75">
      <c r="B12" s="45" t="s">
        <v>211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200</v>
      </c>
      <c r="C13" s="48" t="s">
        <v>201</v>
      </c>
      <c r="D13" s="48"/>
      <c r="E13" s="48" t="s">
        <v>202</v>
      </c>
      <c r="F13" s="48"/>
      <c r="G13" s="48" t="s">
        <v>203</v>
      </c>
      <c r="H13" s="48"/>
      <c r="I13" s="48" t="s">
        <v>204</v>
      </c>
      <c r="J13" s="48"/>
    </row>
    <row r="14" spans="2:10" ht="63.75">
      <c r="B14" s="49"/>
      <c r="C14" s="50" t="s">
        <v>205</v>
      </c>
      <c r="D14" s="50" t="s">
        <v>206</v>
      </c>
      <c r="E14" s="50" t="s">
        <v>205</v>
      </c>
      <c r="F14" s="50" t="s">
        <v>206</v>
      </c>
      <c r="G14" s="50" t="s">
        <v>205</v>
      </c>
      <c r="H14" s="50" t="s">
        <v>206</v>
      </c>
      <c r="I14" s="50" t="s">
        <v>205</v>
      </c>
      <c r="J14" s="50" t="s">
        <v>206</v>
      </c>
    </row>
    <row r="15" spans="2:10">
      <c r="B15" s="51" t="s">
        <v>207</v>
      </c>
      <c r="C15" s="52">
        <v>-0.47088768692332694</v>
      </c>
      <c r="D15" s="52">
        <v>9952.9112313076675</v>
      </c>
      <c r="E15" s="52">
        <v>18.729479393992321</v>
      </c>
      <c r="F15" s="52">
        <v>16721.188796236904</v>
      </c>
      <c r="G15" s="52">
        <v>5.5268694468768365</v>
      </c>
      <c r="H15" s="52">
        <v>13084.323239083151</v>
      </c>
      <c r="I15" s="52">
        <v>9.0360222773099075</v>
      </c>
      <c r="J15" s="52">
        <v>24431.427678850363</v>
      </c>
    </row>
    <row r="16" spans="2:10">
      <c r="B16" s="51" t="s">
        <v>208</v>
      </c>
      <c r="C16" s="52">
        <v>4.2251486842668884</v>
      </c>
      <c r="D16" s="52">
        <v>10422.51486842669</v>
      </c>
      <c r="E16" s="52">
        <v>25.502010248836005</v>
      </c>
      <c r="F16" s="52">
        <v>19767.513622866703</v>
      </c>
      <c r="G16" s="52">
        <v>11.376600678230231</v>
      </c>
      <c r="H16" s="52">
        <v>17138.381000798687</v>
      </c>
      <c r="I16" s="52">
        <v>13.267595734009197</v>
      </c>
      <c r="J16" s="52">
        <v>36199.015196882632</v>
      </c>
    </row>
    <row r="17" spans="2:10">
      <c r="B17" s="51" t="s">
        <v>209</v>
      </c>
      <c r="C17" s="52">
        <v>6.8929782767188641</v>
      </c>
      <c r="D17" s="52">
        <v>10689.297827671886</v>
      </c>
      <c r="E17" s="52">
        <v>23.783804099770322</v>
      </c>
      <c r="F17" s="52">
        <v>18966.686929372914</v>
      </c>
      <c r="G17" s="52">
        <v>12.312287809612998</v>
      </c>
      <c r="H17" s="52">
        <v>17870.48625225159</v>
      </c>
      <c r="I17" s="52">
        <v>12.70322181245751</v>
      </c>
      <c r="J17" s="52">
        <v>34379.216868257223</v>
      </c>
    </row>
    <row r="18" spans="2:10">
      <c r="B18" s="51" t="s">
        <v>212</v>
      </c>
      <c r="C18" s="53">
        <v>157.15</v>
      </c>
      <c r="D18" s="54"/>
      <c r="E18" s="53">
        <v>93.54</v>
      </c>
      <c r="F18" s="54"/>
      <c r="G18" s="53">
        <v>119.54</v>
      </c>
      <c r="H18" s="54"/>
      <c r="I18" s="53">
        <v>64.02</v>
      </c>
      <c r="J18" s="54"/>
    </row>
    <row r="20" spans="2:10">
      <c r="B20" t="s">
        <v>213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2023-05-05T11:20:29Z</dcterms:created>
  <dcterms:modified xsi:type="dcterms:W3CDTF">2023-05-09T09:09:42Z</dcterms:modified>
</cp:coreProperties>
</file>