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2. March 2026\Monthly Portfolio\Ops\"/>
    </mc:Choice>
  </mc:AlternateContent>
  <xr:revisionPtr revIDLastSave="0" documentId="13_ncr:1_{16CBA1BF-CD15-4746-8588-1B0BDBD07FF7}" xr6:coauthVersionLast="47" xr6:coauthVersionMax="47" xr10:uidLastSave="{00000000-0000-0000-0000-000000000000}"/>
  <bookViews>
    <workbookView xWindow="-120" yWindow="-120" windowWidth="20730" windowHeight="11040" activeTab="1" xr2:uid="{40CD387E-5A50-41A0-BE32-79225FD0FFD9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TSS!$C$8:$C$48</definedName>
    <definedName name="XDO_?FINAL_ISIN?12?">TSS!$D$10:$D$48</definedName>
    <definedName name="XDO_?FINAL_ISIN?13?">TSS!$D$10:$D$52</definedName>
    <definedName name="XDO_?FINAL_ISIN?14?">TSS!$D$10:$D$81</definedName>
    <definedName name="XDO_?FINAL_ISIN?15?">TSS!$D$10:$D$97</definedName>
    <definedName name="XDO_?FINAL_MV?12?">TSS!$H$10:$H$48</definedName>
    <definedName name="XDO_?FINAL_MV?13?">TSS!$H$10:$H$52</definedName>
    <definedName name="XDO_?FINAL_MV?14?">TSS!$H$10:$H$81</definedName>
    <definedName name="XDO_?FINAL_MV?15?">TSS!$H$10:$H$97</definedName>
    <definedName name="XDO_?FINAL_NAME?12?">TSS!$C$10:$C$48</definedName>
    <definedName name="XDO_?FINAL_NAME?13?">TSS!$C$10:$C$52</definedName>
    <definedName name="XDO_?FINAL_NAME?14?">TSS!$C$10:$C$81</definedName>
    <definedName name="XDO_?FINAL_NAME?15?">TSS!$C$10:$C$97</definedName>
    <definedName name="XDO_?FINAL_PER_NET?12?">TSS!$I$10:$I$48</definedName>
    <definedName name="XDO_?FINAL_PER_NET?13?">TSS!$I$10:$I$52</definedName>
    <definedName name="XDO_?FINAL_PER_NET?14?">TSS!$I$10:$I$81</definedName>
    <definedName name="XDO_?FINAL_PER_NET?15?">TSS!$I$10:$I$97</definedName>
    <definedName name="XDO_?FINAL_QUANTITE?12?">TSS!$G$10:$G$48</definedName>
    <definedName name="XDO_?FINAL_QUANTITE?13?">TSS!$G$10:$G$52</definedName>
    <definedName name="XDO_?FINAL_QUANTITE?14?">TSS!$G$10:$G$81</definedName>
    <definedName name="XDO_?FINAL_QUANTITE?15?">TSS!$G$10:$G$97</definedName>
    <definedName name="XDO_?IND_01?12?">TSS!$F$10:$F$48</definedName>
    <definedName name="XDO_?IND_01?13?">TSS!$F$10:$F$52</definedName>
    <definedName name="XDO_?IND_01?14?">TSS!$F$10:$F$81</definedName>
    <definedName name="XDO_?IND_01?15?">TSS!$F$10:$F$97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TSS!$C$2:$C$48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TSS!$B$10:$B$48</definedName>
    <definedName name="XDO_?NOVAL?13?">TSS!$B$10:$B$52</definedName>
    <definedName name="XDO_?NOVAL?14?">TSS!$B$10:$B$81</definedName>
    <definedName name="XDO_?NOVAL?15?">TSS!$B$10:$B$97</definedName>
    <definedName name="XDO_?NPTF?6?">TSS!$D$2:$D$48</definedName>
    <definedName name="XDO_?RATING?12?">TSS!$E$10:$E$48</definedName>
    <definedName name="XDO_?RATING?13?">TSS!$E$10:$E$52</definedName>
    <definedName name="XDO_?RATING?14?">TSS!$E$10:$E$81</definedName>
    <definedName name="XDO_?RATING?15?">TSS!$E$10:$E$97</definedName>
    <definedName name="XDO_?REMARKS?12?">TSS!$J$10:$J$48</definedName>
    <definedName name="XDO_?REMARKS?13?">TSS!$J$10:$J$52</definedName>
    <definedName name="XDO_?REMARKS?14?">TSS!$J$10:$J$81</definedName>
    <definedName name="XDO_?REMARKS?15?">TSS!$J$10:$J$97</definedName>
    <definedName name="XDO_?TITL?6?">TSS!$A$8:$A$48</definedName>
    <definedName name="XDO_GROUP_?G_2?6?">TSS!$2:$100</definedName>
    <definedName name="XDO_GROUP_?G_3?6?">TSS!$8:$99</definedName>
    <definedName name="XDO_GROUP_?G_4?12?">TSS!$B$10:$IV$48</definedName>
    <definedName name="XDO_GROUP_?G_4?13?">TSS!$B$52:$IV$52</definedName>
    <definedName name="XDO_GROUP_?G_4?14?">TSS!$B$81:$IV$81</definedName>
    <definedName name="XDO_GROUP_?G_4?15?">TSS!$B$97:$IV$97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 l="1"/>
</calcChain>
</file>

<file path=xl/sharedStrings.xml><?xml version="1.0" encoding="utf-8"?>
<sst xmlns="http://schemas.openxmlformats.org/spreadsheetml/2006/main" count="310" uniqueCount="231">
  <si>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</si>
  <si>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</si>
  <si>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</si>
  <si>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</si>
  <si>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</si>
  <si>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</si>
  <si>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</si>
  <si>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</si>
  <si>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</si>
  <si>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</si>
  <si>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</si>
  <si>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</si>
  <si>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</si>
  <si>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</si>
  <si>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</si>
  <si>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</si>
  <si>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</si>
  <si>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</si>
  <si>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</si>
  <si>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</si>
  <si>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</si>
  <si>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</si>
  <si>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</si>
  <si>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100155</t>
  </si>
  <si>
    <t>Divi's Laboratories Ltd.</t>
  </si>
  <si>
    <t>INE361B01024</t>
  </si>
  <si>
    <t>Pharmaceuticals &amp; Biotechnology</t>
  </si>
  <si>
    <t>100012</t>
  </si>
  <si>
    <t>ICICI Bank Ltd.</t>
  </si>
  <si>
    <t>INE090A01021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</si>
  <si>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</si>
  <si>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</si>
  <si>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</si>
  <si>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</si>
  <si>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</si>
  <si>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</si>
  <si>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</si>
  <si>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100010</t>
  </si>
  <si>
    <t>State Bank of India</t>
  </si>
  <si>
    <t>INE062A01020</t>
  </si>
  <si>
    <t>102729</t>
  </si>
  <si>
    <t>Park Medi World Ltd.</t>
  </si>
  <si>
    <t>INE119201023</t>
  </si>
  <si>
    <t>Healthcare Services</t>
  </si>
  <si>
    <t>100095</t>
  </si>
  <si>
    <t>Bharti Airtel Ltd.</t>
  </si>
  <si>
    <t>INE397D01024</t>
  </si>
  <si>
    <t>Telecom - Services</t>
  </si>
  <si>
    <t>100474</t>
  </si>
  <si>
    <t>Narayana Hrudayalaya Ltd.</t>
  </si>
  <si>
    <t>INE410P01011</t>
  </si>
  <si>
    <t>100104</t>
  </si>
  <si>
    <t>Kotak Mahindra Bank Ltd.</t>
  </si>
  <si>
    <t>INE237A01036</t>
  </si>
  <si>
    <t>102663</t>
  </si>
  <si>
    <t>Pace Digitek Ltd.</t>
  </si>
  <si>
    <t>INE0S3G01027</t>
  </si>
  <si>
    <t>101949</t>
  </si>
  <si>
    <t>Samhi Hotels Ltd.</t>
  </si>
  <si>
    <t>INE08U801020</t>
  </si>
  <si>
    <t>Leisure Services</t>
  </si>
  <si>
    <t>100182</t>
  </si>
  <si>
    <t>Power Grid Corporation of India Ltd.</t>
  </si>
  <si>
    <t>INE752E01010</t>
  </si>
  <si>
    <t>Power</t>
  </si>
  <si>
    <t>100325</t>
  </si>
  <si>
    <t>Bajaj Holdings &amp; Investment Ltd.</t>
  </si>
  <si>
    <t>INE118A01012</t>
  </si>
  <si>
    <t>Finance</t>
  </si>
  <si>
    <t>101574</t>
  </si>
  <si>
    <t>Linde India Ltd.</t>
  </si>
  <si>
    <t>INE473A01011</t>
  </si>
  <si>
    <t>Chemicals &amp; Petrochemicals</t>
  </si>
  <si>
    <t>101884</t>
  </si>
  <si>
    <t>Ambika Cotton Mills Ltd.</t>
  </si>
  <si>
    <t>INE540G01014</t>
  </si>
  <si>
    <t>Textiles &amp; Apparels</t>
  </si>
  <si>
    <t>100194</t>
  </si>
  <si>
    <t>Power Finance Corporation Ltd.</t>
  </si>
  <si>
    <t>INE134E01011</t>
  </si>
  <si>
    <t>100002</t>
  </si>
  <si>
    <t>Reliance Industries Ltd.</t>
  </si>
  <si>
    <t>INE002A01018</t>
  </si>
  <si>
    <t>Petroleum Products</t>
  </si>
  <si>
    <t>102520</t>
  </si>
  <si>
    <t>Transrail Lighting Ltd.</t>
  </si>
  <si>
    <t>INE454P01035</t>
  </si>
  <si>
    <t>Electrical Equipment</t>
  </si>
  <si>
    <t>100097</t>
  </si>
  <si>
    <t>Coal India Ltd.</t>
  </si>
  <si>
    <t>INE522F01014</t>
  </si>
  <si>
    <t>Consumable Fuels</t>
  </si>
  <si>
    <t>100653</t>
  </si>
  <si>
    <t>Deepak Fertilizers and Petrochemicals Corporation Ltd.</t>
  </si>
  <si>
    <t>INE501A01019</t>
  </si>
  <si>
    <t>102642</t>
  </si>
  <si>
    <t>Regaal Resources Ltd.</t>
  </si>
  <si>
    <t>INE0MHO01029</t>
  </si>
  <si>
    <t>Agricultural Food &amp; other Products</t>
  </si>
  <si>
    <t>100826</t>
  </si>
  <si>
    <t>Garden Reach Shipbuilders &amp; Engineers Ltd.</t>
  </si>
  <si>
    <t>INE382Z01011</t>
  </si>
  <si>
    <t>Aerospace &amp; Defense</t>
  </si>
  <si>
    <t>101767</t>
  </si>
  <si>
    <t>Aarti Pharmalabs Ltd.</t>
  </si>
  <si>
    <t>INE0LRU01027</t>
  </si>
  <si>
    <t>102634</t>
  </si>
  <si>
    <t>Fedbank Financial Services Ltd.</t>
  </si>
  <si>
    <t>INE007N01010</t>
  </si>
  <si>
    <t>100037</t>
  </si>
  <si>
    <t>HCL Technologies Ltd.</t>
  </si>
  <si>
    <t>INE860A01027</t>
  </si>
  <si>
    <t>IT - Software</t>
  </si>
  <si>
    <t>100177</t>
  </si>
  <si>
    <t>Grasim Industries Ltd.</t>
  </si>
  <si>
    <t>INE047A01021</t>
  </si>
  <si>
    <t>Cement &amp; Cement Products</t>
  </si>
  <si>
    <t>100106</t>
  </si>
  <si>
    <t>Maruti Suzuki India Ltd.</t>
  </si>
  <si>
    <t>INE585B01010</t>
  </si>
  <si>
    <t>101380</t>
  </si>
  <si>
    <t>Godawari Power &amp; Ispat Ltd.</t>
  </si>
  <si>
    <t>INE177H01039</t>
  </si>
  <si>
    <t>Industrial Products</t>
  </si>
  <si>
    <t>101469</t>
  </si>
  <si>
    <t>Equitas Small Finance Bank Ltd.</t>
  </si>
  <si>
    <t>INE063P01018</t>
  </si>
  <si>
    <t>100174</t>
  </si>
  <si>
    <t>Vodafone Idea Ltd.</t>
  </si>
  <si>
    <t>INE669E01016</t>
  </si>
  <si>
    <t>100742</t>
  </si>
  <si>
    <t>Force Motors Ltd.</t>
  </si>
  <si>
    <t>INE451A01017</t>
  </si>
  <si>
    <t>100154</t>
  </si>
  <si>
    <t>Colgate Palmolive (India) Ltd.</t>
  </si>
  <si>
    <t>INE259A01022</t>
  </si>
  <si>
    <t>Personal Products</t>
  </si>
  <si>
    <t>100694</t>
  </si>
  <si>
    <t>Indian Energy Exchange Ltd.</t>
  </si>
  <si>
    <t>INE022Q01020</t>
  </si>
  <si>
    <t>Capital Markets</t>
  </si>
  <si>
    <t>101498</t>
  </si>
  <si>
    <t>S.J.S. Enterprises Ltd.</t>
  </si>
  <si>
    <t>INE284S01014</t>
  </si>
  <si>
    <t>Auto Components</t>
  </si>
  <si>
    <t>102094</t>
  </si>
  <si>
    <t>HBL Engineering Ltd.</t>
  </si>
  <si>
    <t>INE292B01021</t>
  </si>
  <si>
    <t>102220</t>
  </si>
  <si>
    <t>Interarch Building Solutions Ltd.</t>
  </si>
  <si>
    <t>INE00M901018</t>
  </si>
  <si>
    <t>Construction</t>
  </si>
  <si>
    <t>102206</t>
  </si>
  <si>
    <t>Chemtech Industrial Valves Ltd.</t>
  </si>
  <si>
    <t>INE212P01011</t>
  </si>
  <si>
    <t>Industrial Manufacturing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</si>
  <si>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</si>
  <si>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</si>
  <si>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</si>
  <si>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</si>
  <si>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</si>
  <si>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</si>
  <si>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</si>
  <si>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</si>
  <si>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</si>
  <si>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</si>
  <si>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</si>
  <si>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</si>
  <si>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</si>
  <si>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</si>
  <si>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</si>
  <si>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</si>
  <si>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</si>
  <si>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</si>
  <si>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</si>
  <si>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</si>
  <si>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</si>
  <si>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</si>
  <si>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e) TREPS / Reverse Repo Investments</t>
  </si>
  <si>
    <t>203260100</t>
  </si>
  <si>
    <t>TREPS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</si>
  <si>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</si>
  <si>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</si>
  <si>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</si>
  <si>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</si>
  <si>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</si>
  <si>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</si>
  <si>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</si>
  <si>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</si>
  <si>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</si>
  <si>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</si>
  <si>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</si>
  <si>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</si>
  <si>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</si>
  <si>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</si>
  <si>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</si>
  <si>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</si>
  <si>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</si>
  <si>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</si>
  <si>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</si>
  <si>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January 31, 2026</t>
  </si>
  <si>
    <t>February 28,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</si>
  <si>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</si>
  <si>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</si>
  <si>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</si>
  <si>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</si>
  <si>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February 28, 2026.</t>
  </si>
  <si>
    <t>7. The Scheme did not declare any bonus during the month ended as on February 28, 2026.</t>
  </si>
  <si>
    <t>8. Total outstanding exposure in derivative instruments as on February 28, 2026 is Nil</t>
  </si>
  <si>
    <t>9. Total investments in Foreign Securities /ADRs/GDRs /Overseas ETFs as on February 28, 2026 and its percentage to NAV is Nil.</t>
  </si>
  <si>
    <t>10. During the period, the portfolio turnover ratio is 0.84 times.</t>
  </si>
  <si>
    <t>      Portfolio Turnover Ratio = Lower of sales or purchase of securities divided by average AUM for 12 months ended as on February 28, 2026</t>
  </si>
  <si>
    <t>11. The Scheme did not invest in repo transactions of corporate debt securities during the month ended as on February 28, 2026.</t>
  </si>
  <si>
    <t>12. The Scheme did not invest in credit default swaps during the month ended as on February 28, 2026.</t>
  </si>
  <si>
    <t>13. There are Nil instances of deviation from the valuation principles/guidelines during the month ended as on February 28th,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</si>
  <si>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</si>
  <si>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</si>
  <si>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</si>
  <si>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</si>
  <si>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</si>
  <si>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</si>
  <si>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</si>
  <si>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</si>
  <si>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</si>
  <si>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</si>
  <si>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</si>
  <si>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</si>
  <si>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</si>
  <si>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February 27,2026 :219.61)</t>
  </si>
  <si>
    <t>Taurus Flexi Cap Fund - Direct Plan Growth Option</t>
  </si>
  <si>
    <t>NAV [Rs.] Per Unit (as on February 27,2026 :228.57)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</si>
</sst>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C6864519-32D6-4B79-9CC4-CFD4227C9712}"/>
    <cellStyle name="Hyperlink" xfId="2" builtinId="8"/>
    <cellStyle name="Normal" xfId="0" builtinId="0"/>
    <cellStyle name="Normal 2" xfId="4" xr:uid="{101CDEE1-6B2F-42C2-9C11-64B853AF88F1}"/>
    <cellStyle name="Style 1" xfId="3" xr:uid="{88010D66-796B-451C-81F3-86C67BB28E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48A250FE-6F35-4962-AFEC-865252F0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Feb_2026\Final\TMF_Monthly_Portfolio_Report_Feb_26.xlsx" TargetMode="External"/><Relationship Id="rId1" Type="http://schemas.openxmlformats.org/officeDocument/2006/relationships/externalLinkPath" Target="file:///Q:\5.TMF\Reporting\Monthly%20Reports\Monthly%20Portfolio\2025-26\Feb_2026\Final\TMF_Monthly_Portfolio_Report_Feb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DB8B-155B-4D4B-A07B-F151FA65D04D}">
  <dimension ref="A1:BB126"/>
  <sheetViews>
    <sheetView showGridLines="0" topLeftCell="A3" zoomScale="90" zoomScaleNormal="90" workbookViewId="0">
      <selection activeCell="H1" sqref="H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65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46081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337173</v>
      </c>
      <c r="H10" s="32">
        <v>2992.07</v>
      </c>
      <c r="I10" s="32">
        <v>8.64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806506</v>
      </c>
      <c r="H11" s="32">
        <v>2529.1999999999998</v>
      </c>
      <c r="I11" s="32">
        <v>7.3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27474</v>
      </c>
      <c r="H12" s="32">
        <v>1761.83</v>
      </c>
      <c r="I12" s="32">
        <v>5.09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1603.39</v>
      </c>
      <c r="I13" s="32">
        <v>4.63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112722</v>
      </c>
      <c r="H14" s="32">
        <v>1559.9</v>
      </c>
      <c r="I14" s="32">
        <v>4.5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43582</v>
      </c>
      <c r="H15" s="32">
        <v>1481.74</v>
      </c>
      <c r="I15" s="32">
        <v>4.28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18</v>
      </c>
      <c r="G16" s="31">
        <v>119156</v>
      </c>
      <c r="H16" s="32">
        <v>1432.26</v>
      </c>
      <c r="I16" s="32">
        <v>4.1399999999999997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680053</v>
      </c>
      <c r="H17" s="32">
        <v>1312.84</v>
      </c>
      <c r="I17" s="32">
        <v>3.79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67614</v>
      </c>
      <c r="H18" s="32">
        <v>1270.97</v>
      </c>
      <c r="I18" s="32">
        <v>3.67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43</v>
      </c>
      <c r="G19" s="31">
        <v>63640</v>
      </c>
      <c r="H19" s="32">
        <v>1166.81</v>
      </c>
      <c r="I19" s="32">
        <v>3.37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247895</v>
      </c>
      <c r="H20" s="32">
        <v>1029.51</v>
      </c>
      <c r="I20" s="32">
        <v>2.97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47</v>
      </c>
      <c r="G21" s="31">
        <v>589000</v>
      </c>
      <c r="H21" s="32">
        <v>1009.25</v>
      </c>
      <c r="I21" s="32">
        <v>2.91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615185</v>
      </c>
      <c r="H22" s="32">
        <v>999.68</v>
      </c>
      <c r="I22" s="32">
        <v>2.89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328277</v>
      </c>
      <c r="H23" s="32">
        <v>980.73</v>
      </c>
      <c r="I23" s="32">
        <v>2.83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8669</v>
      </c>
      <c r="H24" s="32">
        <v>936.51</v>
      </c>
      <c r="I24" s="32">
        <v>2.7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13893</v>
      </c>
      <c r="H25" s="32">
        <v>934.17</v>
      </c>
      <c r="I25" s="32">
        <v>2.7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61970</v>
      </c>
      <c r="H26" s="32">
        <v>838.36</v>
      </c>
      <c r="I26" s="32">
        <v>2.42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68</v>
      </c>
      <c r="G27" s="31">
        <v>181773</v>
      </c>
      <c r="H27" s="32">
        <v>750.27</v>
      </c>
      <c r="I27" s="32">
        <v>2.17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52556</v>
      </c>
      <c r="H28" s="32">
        <v>732.79</v>
      </c>
      <c r="I28" s="32">
        <v>2.12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128834</v>
      </c>
      <c r="H29" s="32">
        <v>727.72</v>
      </c>
      <c r="I29" s="32">
        <v>2.1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164670</v>
      </c>
      <c r="H30" s="32">
        <v>709.23</v>
      </c>
      <c r="I30" s="32">
        <v>2.0499999999999998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72</v>
      </c>
      <c r="G31" s="31">
        <v>67905</v>
      </c>
      <c r="H31" s="32">
        <v>675.52</v>
      </c>
      <c r="I31" s="32">
        <v>1.95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913937</v>
      </c>
      <c r="H32" s="32">
        <v>666.72</v>
      </c>
      <c r="I32" s="32">
        <v>1.93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21860</v>
      </c>
      <c r="H33" s="32">
        <v>531.80999999999995</v>
      </c>
      <c r="I33" s="32">
        <v>1.54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26</v>
      </c>
      <c r="G34" s="31">
        <v>72058</v>
      </c>
      <c r="H34" s="32">
        <v>521.27</v>
      </c>
      <c r="I34" s="32">
        <v>1.51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68</v>
      </c>
      <c r="G35" s="31">
        <v>376905</v>
      </c>
      <c r="H35" s="32">
        <v>492.99</v>
      </c>
      <c r="I35" s="32">
        <v>1.42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33973</v>
      </c>
      <c r="H36" s="32">
        <v>472.29</v>
      </c>
      <c r="I36" s="32">
        <v>1.36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16535</v>
      </c>
      <c r="H37" s="32">
        <v>463</v>
      </c>
      <c r="I37" s="32">
        <v>1.34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36</v>
      </c>
      <c r="G38" s="31">
        <v>2987</v>
      </c>
      <c r="H38" s="32">
        <v>444.15</v>
      </c>
      <c r="I38" s="32">
        <v>1.28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165000</v>
      </c>
      <c r="H39" s="32">
        <v>438.65</v>
      </c>
      <c r="I39" s="32">
        <v>1.27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18</v>
      </c>
      <c r="G40" s="31">
        <v>584054</v>
      </c>
      <c r="H40" s="32">
        <v>375.2</v>
      </c>
      <c r="I40" s="32">
        <v>1.08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47</v>
      </c>
      <c r="G41" s="31">
        <v>3308207</v>
      </c>
      <c r="H41" s="32">
        <v>351</v>
      </c>
      <c r="I41" s="32">
        <v>1.01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36</v>
      </c>
      <c r="G42" s="31">
        <v>1400</v>
      </c>
      <c r="H42" s="32">
        <v>340.55</v>
      </c>
      <c r="I42" s="32">
        <v>0.98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14579</v>
      </c>
      <c r="H43" s="32">
        <v>328.55</v>
      </c>
      <c r="I43" s="32">
        <v>0.95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225727</v>
      </c>
      <c r="H44" s="32">
        <v>282.5</v>
      </c>
      <c r="I44" s="32">
        <v>0.82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14473</v>
      </c>
      <c r="H45" s="32">
        <v>254.64</v>
      </c>
      <c r="I45" s="32">
        <v>0.74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123</v>
      </c>
      <c r="G46" s="31">
        <v>36500</v>
      </c>
      <c r="H46" s="32">
        <v>249.99</v>
      </c>
      <c r="I46" s="32">
        <v>0.72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9203</v>
      </c>
      <c r="H47" s="32">
        <v>172.74</v>
      </c>
      <c r="I47" s="32">
        <v>0.5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108000</v>
      </c>
      <c r="H48" s="32">
        <v>69.760000000000005</v>
      </c>
      <c r="I48" s="32">
        <v>0.2</v>
      </c>
      <c r="J48" s="33"/>
    </row>
    <row r="49" spans="2:10" x14ac:dyDescent="0.25">
      <c r="C49" s="28" t="s">
        <v>156</v>
      </c>
      <c r="D49" s="29"/>
      <c r="E49" s="30"/>
      <c r="F49" s="30"/>
      <c r="G49" s="31"/>
      <c r="H49" s="35">
        <v>33890.559999999998</v>
      </c>
      <c r="I49" s="35">
        <v>97.87</v>
      </c>
      <c r="J49" s="33"/>
    </row>
    <row r="50" spans="2:10" x14ac:dyDescent="0.25">
      <c r="C50" s="20"/>
      <c r="D50" s="29"/>
      <c r="E50" s="30"/>
      <c r="F50" s="30"/>
      <c r="G50" s="31"/>
      <c r="H50" s="32"/>
      <c r="I50" s="32"/>
      <c r="J50" s="33"/>
    </row>
    <row r="51" spans="2:10" x14ac:dyDescent="0.25">
      <c r="C51" s="34" t="s">
        <v>157</v>
      </c>
      <c r="D51" s="29"/>
      <c r="E51" s="30"/>
      <c r="F51" s="30"/>
      <c r="G51" s="31"/>
      <c r="H51" s="32"/>
      <c r="I51" s="32"/>
      <c r="J51" s="33"/>
    </row>
    <row r="52" spans="2:10" x14ac:dyDescent="0.25">
      <c r="B52" s="1" t="s">
        <v>158</v>
      </c>
      <c r="C52" s="20" t="s">
        <v>159</v>
      </c>
      <c r="D52" s="29" t="s">
        <v>160</v>
      </c>
      <c r="E52" s="30"/>
      <c r="F52" s="30" t="s">
        <v>161</v>
      </c>
      <c r="G52" s="31">
        <v>189983</v>
      </c>
      <c r="H52" s="36">
        <v>0</v>
      </c>
      <c r="I52" s="32" t="s">
        <v>162</v>
      </c>
      <c r="J52" s="33" t="s">
        <v>163</v>
      </c>
    </row>
    <row r="53" spans="2:10" x14ac:dyDescent="0.25">
      <c r="C53" s="28" t="s">
        <v>156</v>
      </c>
      <c r="D53" s="29"/>
      <c r="E53" s="30"/>
      <c r="F53" s="30"/>
      <c r="G53" s="31"/>
      <c r="H53" s="37">
        <v>0</v>
      </c>
      <c r="I53" s="35" t="s">
        <v>162</v>
      </c>
      <c r="J53" s="33"/>
    </row>
    <row r="54" spans="2:10" x14ac:dyDescent="0.25">
      <c r="C54" s="20"/>
      <c r="D54" s="29"/>
      <c r="E54" s="30"/>
      <c r="F54" s="30"/>
      <c r="G54" s="31"/>
      <c r="H54" s="32"/>
      <c r="I54" s="32"/>
      <c r="J54" s="33"/>
    </row>
    <row r="55" spans="2:10" x14ac:dyDescent="0.25">
      <c r="C55" s="28" t="s">
        <v>164</v>
      </c>
      <c r="D55" s="29"/>
      <c r="E55" s="30"/>
      <c r="F55" s="30"/>
      <c r="G55" s="31"/>
      <c r="H55" s="32" t="s">
        <v>165</v>
      </c>
      <c r="I55" s="32" t="s">
        <v>165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166</v>
      </c>
      <c r="D57" s="29"/>
      <c r="E57" s="30"/>
      <c r="F57" s="30"/>
      <c r="G57" s="31"/>
      <c r="H57" s="32"/>
      <c r="I57" s="32"/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167</v>
      </c>
      <c r="D59" s="29"/>
      <c r="E59" s="30"/>
      <c r="F59" s="30"/>
      <c r="G59" s="31"/>
      <c r="H59" s="32" t="s">
        <v>165</v>
      </c>
      <c r="I59" s="32" t="s">
        <v>165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168</v>
      </c>
      <c r="D61" s="29"/>
      <c r="E61" s="30"/>
      <c r="F61" s="30"/>
      <c r="G61" s="31"/>
      <c r="H61" s="32" t="s">
        <v>165</v>
      </c>
      <c r="I61" s="32" t="s">
        <v>165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169</v>
      </c>
      <c r="D63" s="29"/>
      <c r="E63" s="30"/>
      <c r="F63" s="30"/>
      <c r="G63" s="31"/>
      <c r="H63" s="32" t="s">
        <v>165</v>
      </c>
      <c r="I63" s="32" t="s">
        <v>165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1:10" x14ac:dyDescent="0.25">
      <c r="C65" s="28" t="s">
        <v>170</v>
      </c>
      <c r="D65" s="29"/>
      <c r="E65" s="30"/>
      <c r="F65" s="30"/>
      <c r="G65" s="31"/>
      <c r="H65" s="32" t="s">
        <v>165</v>
      </c>
      <c r="I65" s="32" t="s">
        <v>165</v>
      </c>
      <c r="J65" s="33"/>
    </row>
    <row r="66" spans="1:10" x14ac:dyDescent="0.25">
      <c r="C66" s="20"/>
      <c r="D66" s="29"/>
      <c r="E66" s="30"/>
      <c r="F66" s="30"/>
      <c r="G66" s="31"/>
      <c r="H66" s="32"/>
      <c r="I66" s="32"/>
      <c r="J66" s="33"/>
    </row>
    <row r="67" spans="1:10" x14ac:dyDescent="0.25">
      <c r="C67" s="28" t="s">
        <v>171</v>
      </c>
      <c r="D67" s="29"/>
      <c r="E67" s="30"/>
      <c r="F67" s="30"/>
      <c r="G67" s="31"/>
      <c r="H67" s="32" t="s">
        <v>165</v>
      </c>
      <c r="I67" s="32" t="s">
        <v>165</v>
      </c>
      <c r="J67" s="33"/>
    </row>
    <row r="68" spans="1:10" x14ac:dyDescent="0.25">
      <c r="C68" s="20"/>
      <c r="D68" s="29"/>
      <c r="E68" s="30"/>
      <c r="F68" s="30"/>
      <c r="G68" s="31"/>
      <c r="H68" s="32"/>
      <c r="I68" s="32"/>
      <c r="J68" s="33"/>
    </row>
    <row r="69" spans="1:10" x14ac:dyDescent="0.25">
      <c r="C69" s="28" t="s">
        <v>172</v>
      </c>
      <c r="D69" s="29"/>
      <c r="E69" s="30"/>
      <c r="F69" s="30"/>
      <c r="G69" s="31"/>
      <c r="H69" s="32"/>
      <c r="I69" s="32"/>
      <c r="J69" s="33"/>
    </row>
    <row r="70" spans="1:10" x14ac:dyDescent="0.25">
      <c r="C70" s="20"/>
      <c r="D70" s="29"/>
      <c r="E70" s="30"/>
      <c r="F70" s="30"/>
      <c r="G70" s="31"/>
      <c r="H70" s="32"/>
      <c r="I70" s="32"/>
      <c r="J70" s="33"/>
    </row>
    <row r="71" spans="1:10" x14ac:dyDescent="0.25">
      <c r="C71" s="28" t="s">
        <v>173</v>
      </c>
      <c r="D71" s="29"/>
      <c r="E71" s="30"/>
      <c r="F71" s="30"/>
      <c r="G71" s="31"/>
      <c r="H71" s="32" t="s">
        <v>165</v>
      </c>
      <c r="I71" s="32" t="s">
        <v>165</v>
      </c>
      <c r="J71" s="33"/>
    </row>
    <row r="72" spans="1:10" x14ac:dyDescent="0.25">
      <c r="C72" s="20"/>
      <c r="D72" s="29"/>
      <c r="E72" s="30"/>
      <c r="F72" s="30"/>
      <c r="G72" s="31"/>
      <c r="H72" s="32"/>
      <c r="I72" s="32"/>
      <c r="J72" s="33"/>
    </row>
    <row r="73" spans="1:10" x14ac:dyDescent="0.25">
      <c r="C73" s="28" t="s">
        <v>174</v>
      </c>
      <c r="D73" s="29"/>
      <c r="E73" s="30"/>
      <c r="F73" s="30"/>
      <c r="G73" s="31"/>
      <c r="H73" s="32" t="s">
        <v>165</v>
      </c>
      <c r="I73" s="32" t="s">
        <v>165</v>
      </c>
      <c r="J73" s="33"/>
    </row>
    <row r="74" spans="1:10" x14ac:dyDescent="0.25">
      <c r="C74" s="20"/>
      <c r="D74" s="29"/>
      <c r="E74" s="30"/>
      <c r="F74" s="30"/>
      <c r="G74" s="31"/>
      <c r="H74" s="32"/>
      <c r="I74" s="32"/>
      <c r="J74" s="33"/>
    </row>
    <row r="75" spans="1:10" x14ac:dyDescent="0.25">
      <c r="C75" s="28" t="s">
        <v>175</v>
      </c>
      <c r="D75" s="29"/>
      <c r="E75" s="30"/>
      <c r="F75" s="30"/>
      <c r="G75" s="31"/>
      <c r="H75" s="32" t="s">
        <v>165</v>
      </c>
      <c r="I75" s="32" t="s">
        <v>165</v>
      </c>
      <c r="J75" s="33"/>
    </row>
    <row r="76" spans="1:10" x14ac:dyDescent="0.25">
      <c r="C76" s="20"/>
      <c r="D76" s="29"/>
      <c r="E76" s="30"/>
      <c r="F76" s="30"/>
      <c r="G76" s="31"/>
      <c r="H76" s="32"/>
      <c r="I76" s="32"/>
      <c r="J76" s="33"/>
    </row>
    <row r="77" spans="1:10" x14ac:dyDescent="0.25">
      <c r="C77" s="28" t="s">
        <v>176</v>
      </c>
      <c r="D77" s="29"/>
      <c r="E77" s="30"/>
      <c r="F77" s="30"/>
      <c r="G77" s="31"/>
      <c r="H77" s="32" t="s">
        <v>165</v>
      </c>
      <c r="I77" s="32" t="s">
        <v>165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A79" s="26"/>
      <c r="B79" s="27"/>
      <c r="C79" s="28" t="s">
        <v>177</v>
      </c>
      <c r="D79" s="29"/>
      <c r="E79" s="30"/>
      <c r="F79" s="30"/>
      <c r="G79" s="31"/>
      <c r="H79" s="32"/>
      <c r="I79" s="32"/>
      <c r="J79" s="33"/>
    </row>
    <row r="80" spans="1:10" x14ac:dyDescent="0.25">
      <c r="C80" s="34" t="s">
        <v>178</v>
      </c>
      <c r="D80" s="29"/>
      <c r="E80" s="30"/>
      <c r="F80" s="30"/>
      <c r="G80" s="31"/>
      <c r="H80" s="32"/>
      <c r="I80" s="32"/>
      <c r="J80" s="33"/>
    </row>
    <row r="81" spans="1:10" x14ac:dyDescent="0.25">
      <c r="B81" s="1" t="s">
        <v>179</v>
      </c>
      <c r="C81" s="20" t="s">
        <v>180</v>
      </c>
      <c r="D81" s="29"/>
      <c r="E81" s="30"/>
      <c r="F81" s="30"/>
      <c r="G81" s="31"/>
      <c r="H81" s="32">
        <v>599.91999999999996</v>
      </c>
      <c r="I81" s="32">
        <v>1.73</v>
      </c>
      <c r="J81" s="33"/>
    </row>
    <row r="82" spans="1:10" x14ac:dyDescent="0.25">
      <c r="C82" s="28" t="s">
        <v>156</v>
      </c>
      <c r="D82" s="29"/>
      <c r="E82" s="30"/>
      <c r="F82" s="30"/>
      <c r="G82" s="31"/>
      <c r="H82" s="35">
        <v>599.91999999999996</v>
      </c>
      <c r="I82" s="35">
        <v>1.73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181</v>
      </c>
      <c r="D84" s="29"/>
      <c r="E84" s="30"/>
      <c r="F84" s="30"/>
      <c r="G84" s="31"/>
      <c r="H84" s="32" t="s">
        <v>165</v>
      </c>
      <c r="I84" s="32" t="s">
        <v>165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182</v>
      </c>
      <c r="D86" s="29"/>
      <c r="E86" s="30"/>
      <c r="F86" s="30"/>
      <c r="G86" s="31"/>
      <c r="H86" s="32" t="s">
        <v>165</v>
      </c>
      <c r="I86" s="32" t="s">
        <v>165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183</v>
      </c>
      <c r="D88" s="29"/>
      <c r="E88" s="30"/>
      <c r="F88" s="30"/>
      <c r="G88" s="31"/>
      <c r="H88" s="32" t="s">
        <v>165</v>
      </c>
      <c r="I88" s="32" t="s">
        <v>165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184</v>
      </c>
      <c r="D90" s="29"/>
      <c r="E90" s="30"/>
      <c r="F90" s="30"/>
      <c r="G90" s="31"/>
      <c r="H90" s="32" t="s">
        <v>165</v>
      </c>
      <c r="I90" s="32" t="s">
        <v>165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C92" s="28" t="s">
        <v>185</v>
      </c>
      <c r="D92" s="29"/>
      <c r="E92" s="30"/>
      <c r="F92" s="30"/>
      <c r="G92" s="31"/>
      <c r="H92" s="32" t="s">
        <v>165</v>
      </c>
      <c r="I92" s="32" t="s">
        <v>165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x14ac:dyDescent="0.25">
      <c r="C94" s="28" t="s">
        <v>186</v>
      </c>
      <c r="D94" s="29"/>
      <c r="E94" s="30"/>
      <c r="F94" s="30"/>
      <c r="G94" s="31"/>
      <c r="H94" s="32" t="s">
        <v>165</v>
      </c>
      <c r="I94" s="32" t="s">
        <v>165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x14ac:dyDescent="0.25">
      <c r="A96" s="26"/>
      <c r="B96" s="27"/>
      <c r="C96" s="28" t="s">
        <v>187</v>
      </c>
      <c r="D96" s="29"/>
      <c r="E96" s="30"/>
      <c r="F96" s="30"/>
      <c r="G96" s="31"/>
      <c r="H96" s="32"/>
      <c r="I96" s="32"/>
      <c r="J96" s="33"/>
    </row>
    <row r="97" spans="2:10" x14ac:dyDescent="0.25">
      <c r="B97" s="1"/>
      <c r="C97" s="20" t="s">
        <v>188</v>
      </c>
      <c r="D97" s="29"/>
      <c r="E97" s="30"/>
      <c r="F97" s="30"/>
      <c r="G97" s="31"/>
      <c r="H97" s="32">
        <v>140.72</v>
      </c>
      <c r="I97" s="32">
        <v>0.39999999999999997</v>
      </c>
      <c r="J97" s="33"/>
    </row>
    <row r="98" spans="2:10" x14ac:dyDescent="0.25">
      <c r="C98" s="28" t="s">
        <v>156</v>
      </c>
      <c r="D98" s="29"/>
      <c r="E98" s="30"/>
      <c r="F98" s="30"/>
      <c r="G98" s="31"/>
      <c r="H98" s="35">
        <v>140.72</v>
      </c>
      <c r="I98" s="35">
        <v>0.39999999999999997</v>
      </c>
      <c r="J98" s="33"/>
    </row>
    <row r="99" spans="2:10" x14ac:dyDescent="0.25">
      <c r="C99" s="20"/>
      <c r="D99" s="29"/>
      <c r="E99" s="30"/>
      <c r="F99" s="30"/>
      <c r="G99" s="31"/>
      <c r="H99" s="32"/>
      <c r="I99" s="32"/>
      <c r="J99" s="33"/>
    </row>
    <row r="100" spans="2:10" ht="14.25" thickBot="1" x14ac:dyDescent="0.3">
      <c r="C100" s="38" t="s">
        <v>189</v>
      </c>
      <c r="D100" s="39"/>
      <c r="E100" s="40"/>
      <c r="F100" s="41"/>
      <c r="G100" s="42"/>
      <c r="H100" s="43">
        <v>34631.199999999997</v>
      </c>
      <c r="I100" s="43">
        <f>SUMIFS(I:I,C:C,"Total")</f>
        <v>100.00000000000001</v>
      </c>
      <c r="J100" s="44"/>
    </row>
    <row r="103" spans="2:10" x14ac:dyDescent="0.25">
      <c r="C103" s="11" t="s">
        <v>190</v>
      </c>
    </row>
    <row r="104" spans="2:10" x14ac:dyDescent="0.25">
      <c r="C104" s="2" t="s">
        <v>191</v>
      </c>
    </row>
    <row r="105" spans="2:10" x14ac:dyDescent="0.25">
      <c r="C105" s="2" t="s">
        <v>192</v>
      </c>
    </row>
    <row r="106" spans="2:10" x14ac:dyDescent="0.25">
      <c r="C106" s="2" t="s">
        <v>193</v>
      </c>
    </row>
    <row r="107" spans="2:10" x14ac:dyDescent="0.25">
      <c r="C107" s="2" t="s">
        <v>194</v>
      </c>
    </row>
    <row r="108" spans="2:10" x14ac:dyDescent="0.25">
      <c r="C108" s="2" t="s">
        <v>195</v>
      </c>
    </row>
    <row r="109" spans="2:10" ht="14.25" thickBot="1" x14ac:dyDescent="0.3">
      <c r="C109" s="2" t="s">
        <v>196</v>
      </c>
    </row>
    <row r="110" spans="2:10" ht="14.25" thickBot="1" x14ac:dyDescent="0.3">
      <c r="C110" s="45"/>
      <c r="D110" s="62" t="s">
        <v>197</v>
      </c>
      <c r="E110" s="63"/>
    </row>
    <row r="111" spans="2:10" x14ac:dyDescent="0.25">
      <c r="C111" s="46" t="s">
        <v>198</v>
      </c>
      <c r="D111" s="47" t="s">
        <v>199</v>
      </c>
      <c r="E111" s="48" t="s">
        <v>199</v>
      </c>
    </row>
    <row r="112" spans="2:10" ht="14.25" thickBot="1" x14ac:dyDescent="0.3">
      <c r="C112" s="49"/>
      <c r="D112" s="50" t="s">
        <v>200</v>
      </c>
      <c r="E112" s="51" t="s">
        <v>201</v>
      </c>
    </row>
    <row r="113" spans="3:5" ht="14.25" thickBot="1" x14ac:dyDescent="0.3">
      <c r="C113" s="52" t="s">
        <v>202</v>
      </c>
      <c r="D113" s="53">
        <v>104.83</v>
      </c>
      <c r="E113" s="53">
        <v>106.56</v>
      </c>
    </row>
    <row r="114" spans="3:5" ht="14.25" thickBot="1" x14ac:dyDescent="0.3">
      <c r="C114" s="52" t="s">
        <v>203</v>
      </c>
      <c r="D114" s="53">
        <v>216.02</v>
      </c>
      <c r="E114" s="53">
        <v>219.59</v>
      </c>
    </row>
    <row r="115" spans="3:5" ht="14.25" thickBot="1" x14ac:dyDescent="0.3">
      <c r="C115" s="52" t="s">
        <v>204</v>
      </c>
      <c r="D115" s="53">
        <v>113.42</v>
      </c>
      <c r="E115" s="53">
        <v>115.31</v>
      </c>
    </row>
    <row r="116" spans="3:5" ht="14.25" thickBot="1" x14ac:dyDescent="0.3">
      <c r="C116" s="52" t="s">
        <v>205</v>
      </c>
      <c r="D116" s="53">
        <v>224.82</v>
      </c>
      <c r="E116" s="53">
        <v>228.55</v>
      </c>
    </row>
    <row r="118" spans="3:5" x14ac:dyDescent="0.25">
      <c r="C118" s="2" t="s">
        <v>206</v>
      </c>
    </row>
    <row r="119" spans="3:5" x14ac:dyDescent="0.25">
      <c r="C119" s="2" t="s">
        <v>207</v>
      </c>
    </row>
    <row r="120" spans="3:5" x14ac:dyDescent="0.25">
      <c r="C120" s="2" t="s">
        <v>208</v>
      </c>
    </row>
    <row r="121" spans="3:5" x14ac:dyDescent="0.25">
      <c r="C121" s="2" t="s">
        <v>209</v>
      </c>
    </row>
    <row r="122" spans="3:5" x14ac:dyDescent="0.25">
      <c r="C122" s="2" t="s">
        <v>210</v>
      </c>
    </row>
    <row r="123" spans="3:5" x14ac:dyDescent="0.25">
      <c r="C123" s="2" t="s">
        <v>211</v>
      </c>
    </row>
    <row r="124" spans="3:5" x14ac:dyDescent="0.25">
      <c r="C124" s="2" t="s">
        <v>212</v>
      </c>
    </row>
    <row r="125" spans="3:5" x14ac:dyDescent="0.25">
      <c r="C125" s="2" t="s">
        <v>213</v>
      </c>
    </row>
    <row r="126" spans="3:5" x14ac:dyDescent="0.25">
      <c r="C126" s="2" t="s">
        <v>214</v>
      </c>
    </row>
  </sheetData>
  <mergeCells count="1">
    <mergeCell ref="D110:E110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CACF-CCAF-48CD-873C-ECD028498001}">
  <dimension ref="C3:M17"/>
  <sheetViews>
    <sheetView tabSelected="1" workbookViewId="0">
      <selection activeCell="C4" sqref="C4"/>
    </sheetView>
  </sheetViews>
  <sheetFormatPr defaultColWidth="9.28515625" defaultRowHeight="15" x14ac:dyDescent="0.25"/>
  <cols>
    <col min="3" max="3" width="60" bestFit="1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.5703125" bestFit="1" customWidth="1"/>
  </cols>
  <sheetData>
    <row r="3" spans="3:13" ht="15.75" x14ac:dyDescent="0.25">
      <c r="C3" s="54" t="s">
        <v>215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216</v>
      </c>
      <c r="D4" s="64" t="s">
        <v>217</v>
      </c>
      <c r="E4" s="64"/>
      <c r="F4" s="64" t="s">
        <v>218</v>
      </c>
      <c r="G4" s="64"/>
      <c r="H4" s="64" t="s">
        <v>219</v>
      </c>
      <c r="I4" s="64"/>
      <c r="J4" s="65" t="s">
        <v>220</v>
      </c>
      <c r="K4" s="66"/>
      <c r="L4" s="67" t="s">
        <v>221</v>
      </c>
      <c r="M4" s="67"/>
    </row>
    <row r="5" spans="3:13" ht="63.75" x14ac:dyDescent="0.25">
      <c r="C5" s="57"/>
      <c r="D5" s="58" t="s">
        <v>222</v>
      </c>
      <c r="E5" s="58" t="s">
        <v>223</v>
      </c>
      <c r="F5" s="58" t="s">
        <v>222</v>
      </c>
      <c r="G5" s="58" t="s">
        <v>223</v>
      </c>
      <c r="H5" s="58" t="s">
        <v>222</v>
      </c>
      <c r="I5" s="58" t="s">
        <v>223</v>
      </c>
      <c r="J5" s="58" t="s">
        <v>222</v>
      </c>
      <c r="K5" s="58" t="s">
        <v>223</v>
      </c>
      <c r="L5" s="59" t="s">
        <v>222</v>
      </c>
      <c r="M5" s="59" t="s">
        <v>223</v>
      </c>
    </row>
    <row r="6" spans="3:13" x14ac:dyDescent="0.25">
      <c r="C6" s="60" t="s">
        <v>224</v>
      </c>
      <c r="D6" s="61">
        <v>8.0333000000000006</v>
      </c>
      <c r="E6" s="61">
        <v>10803.325462416371</v>
      </c>
      <c r="F6" s="61">
        <v>16.101199999999999</v>
      </c>
      <c r="G6" s="61">
        <v>15656.234405075924</v>
      </c>
      <c r="H6" s="61">
        <v>12.129</v>
      </c>
      <c r="I6" s="61">
        <v>17736.230011306736</v>
      </c>
      <c r="J6" s="61">
        <v>11.434799999999999</v>
      </c>
      <c r="K6" s="61">
        <v>29561.179162740609</v>
      </c>
      <c r="L6" s="61">
        <v>10.101800000000001</v>
      </c>
      <c r="M6" s="61">
        <v>219610</v>
      </c>
    </row>
    <row r="7" spans="3:13" x14ac:dyDescent="0.25">
      <c r="C7" s="60" t="s">
        <v>225</v>
      </c>
      <c r="D7" s="61">
        <v>14.8545</v>
      </c>
      <c r="E7" s="61">
        <v>11485.449999999999</v>
      </c>
      <c r="F7" s="61">
        <v>17.566099999999999</v>
      </c>
      <c r="G7" s="61">
        <v>16249.736948103302</v>
      </c>
      <c r="H7" s="61">
        <v>14.757400000000001</v>
      </c>
      <c r="I7" s="61">
        <v>19902.310637909763</v>
      </c>
      <c r="J7" s="61">
        <v>16.082899999999999</v>
      </c>
      <c r="K7" s="61">
        <v>21078.574925334098</v>
      </c>
      <c r="L7" s="61" t="s">
        <v>226</v>
      </c>
      <c r="M7" s="61" t="s">
        <v>226</v>
      </c>
    </row>
    <row r="8" spans="3:13" x14ac:dyDescent="0.25">
      <c r="C8" s="60" t="s">
        <v>227</v>
      </c>
      <c r="D8" s="61">
        <v>12.9283</v>
      </c>
      <c r="E8" s="61">
        <v>11292.83</v>
      </c>
      <c r="F8" s="61">
        <v>14.430300000000001</v>
      </c>
      <c r="G8" s="61">
        <v>14983.839401403065</v>
      </c>
      <c r="H8" s="61">
        <v>12.929500000000001</v>
      </c>
      <c r="I8" s="61">
        <v>18366.949269106684</v>
      </c>
      <c r="J8" s="61">
        <v>15.0045</v>
      </c>
      <c r="K8" s="61">
        <v>20117.507447051736</v>
      </c>
      <c r="L8" s="61">
        <v>11.158799999999999</v>
      </c>
      <c r="M8" s="61">
        <v>298442.39335883758</v>
      </c>
    </row>
    <row r="9" spans="3:13" x14ac:dyDescent="0.25">
      <c r="C9" s="60" t="s">
        <v>228</v>
      </c>
      <c r="D9" s="68">
        <v>203.28</v>
      </c>
      <c r="E9" s="69"/>
      <c r="F9" s="68">
        <v>140.27000000000001</v>
      </c>
      <c r="G9" s="69"/>
      <c r="H9" s="68">
        <v>123.82</v>
      </c>
      <c r="I9" s="69"/>
      <c r="J9" s="68">
        <v>74.290000000000006</v>
      </c>
      <c r="K9" s="69"/>
      <c r="L9" s="68">
        <v>10</v>
      </c>
      <c r="M9" s="69"/>
    </row>
    <row r="11" spans="3:13" ht="15.75" x14ac:dyDescent="0.25">
      <c r="C11" s="54" t="s">
        <v>229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216</v>
      </c>
      <c r="D12" s="64" t="s">
        <v>217</v>
      </c>
      <c r="E12" s="64"/>
      <c r="F12" s="64" t="s">
        <v>218</v>
      </c>
      <c r="G12" s="64"/>
      <c r="H12" s="64" t="s">
        <v>219</v>
      </c>
      <c r="I12" s="64"/>
      <c r="J12" s="65" t="s">
        <v>220</v>
      </c>
      <c r="K12" s="66"/>
      <c r="L12" s="67" t="s">
        <v>221</v>
      </c>
      <c r="M12" s="67"/>
    </row>
    <row r="13" spans="3:13" ht="63.75" x14ac:dyDescent="0.25">
      <c r="C13" s="57"/>
      <c r="D13" s="58" t="s">
        <v>222</v>
      </c>
      <c r="E13" s="58" t="s">
        <v>223</v>
      </c>
      <c r="F13" s="58" t="s">
        <v>222</v>
      </c>
      <c r="G13" s="58" t="s">
        <v>223</v>
      </c>
      <c r="H13" s="58" t="s">
        <v>222</v>
      </c>
      <c r="I13" s="58" t="s">
        <v>223</v>
      </c>
      <c r="J13" s="58" t="s">
        <v>222</v>
      </c>
      <c r="K13" s="58" t="s">
        <v>223</v>
      </c>
      <c r="L13" s="59" t="s">
        <v>222</v>
      </c>
      <c r="M13" s="59" t="s">
        <v>223</v>
      </c>
    </row>
    <row r="14" spans="3:13" x14ac:dyDescent="0.25">
      <c r="C14" s="60" t="s">
        <v>224</v>
      </c>
      <c r="D14" s="61">
        <v>8.1067</v>
      </c>
      <c r="E14" s="61">
        <v>10810.670198174335</v>
      </c>
      <c r="F14" s="61">
        <v>16.1709</v>
      </c>
      <c r="G14" s="61">
        <v>15684.485006518906</v>
      </c>
      <c r="H14" s="61">
        <v>12.188499999999999</v>
      </c>
      <c r="I14" s="61">
        <v>17783.396872325528</v>
      </c>
      <c r="J14" s="61">
        <v>11.6355</v>
      </c>
      <c r="K14" s="61">
        <v>30098.762180668946</v>
      </c>
      <c r="L14" s="61">
        <v>10.0794</v>
      </c>
      <c r="M14" s="61">
        <v>35702.905342080601</v>
      </c>
    </row>
    <row r="15" spans="3:13" x14ac:dyDescent="0.25">
      <c r="C15" s="60" t="s">
        <v>225</v>
      </c>
      <c r="D15" s="61">
        <v>14.8545</v>
      </c>
      <c r="E15" s="61">
        <v>11485.449999999999</v>
      </c>
      <c r="F15" s="61">
        <v>17.566099999999999</v>
      </c>
      <c r="G15" s="61">
        <v>16249.736948103302</v>
      </c>
      <c r="H15" s="61">
        <v>14.757400000000001</v>
      </c>
      <c r="I15" s="61">
        <v>19902.310637909763</v>
      </c>
      <c r="J15" s="61">
        <v>16.082899999999999</v>
      </c>
      <c r="K15" s="61">
        <v>21078.574925334098</v>
      </c>
      <c r="L15" s="61">
        <v>14.329000000000001</v>
      </c>
      <c r="M15" s="61">
        <v>58268.50663180081</v>
      </c>
    </row>
    <row r="16" spans="3:13" x14ac:dyDescent="0.25">
      <c r="C16" s="60" t="s">
        <v>227</v>
      </c>
      <c r="D16" s="61">
        <v>12.9283</v>
      </c>
      <c r="E16" s="61">
        <v>11292.83</v>
      </c>
      <c r="F16" s="61">
        <v>14.430300000000001</v>
      </c>
      <c r="G16" s="61">
        <v>14983.839401403065</v>
      </c>
      <c r="H16" s="61">
        <v>12.929500000000001</v>
      </c>
      <c r="I16" s="61">
        <v>18366.949269106684</v>
      </c>
      <c r="J16" s="61">
        <v>15.0045</v>
      </c>
      <c r="K16" s="61">
        <v>20117.507447051736</v>
      </c>
      <c r="L16" s="61">
        <v>12.8764</v>
      </c>
      <c r="M16" s="61">
        <v>49242.934250118211</v>
      </c>
    </row>
    <row r="17" spans="3:13" x14ac:dyDescent="0.25">
      <c r="C17" s="60" t="s">
        <v>230</v>
      </c>
      <c r="D17" s="68">
        <v>211.43</v>
      </c>
      <c r="E17" s="69"/>
      <c r="F17" s="68">
        <v>145.72999999999999</v>
      </c>
      <c r="G17" s="69"/>
      <c r="H17" s="68">
        <v>128.53</v>
      </c>
      <c r="I17" s="69"/>
      <c r="J17" s="68">
        <v>75.94</v>
      </c>
      <c r="K17" s="69"/>
      <c r="L17" s="68">
        <v>64.02</v>
      </c>
      <c r="M17" s="69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Gangaram Bharat Chavan</cp:lastModifiedBy>
  <dcterms:created xsi:type="dcterms:W3CDTF">2026-03-06T09:35:29Z</dcterms:created>
  <dcterms:modified xsi:type="dcterms:W3CDTF">2026-03-09T06:34:06Z</dcterms:modified>
</cp:coreProperties>
</file>