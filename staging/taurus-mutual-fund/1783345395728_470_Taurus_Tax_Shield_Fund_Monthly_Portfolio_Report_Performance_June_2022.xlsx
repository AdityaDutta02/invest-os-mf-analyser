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Sheet1" sheetId="2" r:id="rId2"/>
  </sheets>
  <externalReferences>
    <externalReference r:id="rId3"/>
  </externalReferences>
  <definedNames>
    <definedName name="XDO_?CLASS_3?7?">'TTS-Risk-O-Meter &amp; Portfolio'!$C$8:$C$32</definedName>
    <definedName name="XDO_?FINAL_ISIN?14?">'TTS-Risk-O-Meter &amp; Portfolio'!$D$10:$D$32</definedName>
    <definedName name="XDO_?FINAL_ISIN?15?">'TTS-Risk-O-Meter &amp; Portfolio'!$D$10:$D$74</definedName>
    <definedName name="XDO_?FINAL_MV?14?">'TTS-Risk-O-Meter &amp; Portfolio'!$H$10:$H$32</definedName>
    <definedName name="XDO_?FINAL_MV?15?">'TTS-Risk-O-Meter &amp; Portfolio'!$H$10:$H$74</definedName>
    <definedName name="XDO_?FINAL_NAME?14?">'TTS-Risk-O-Meter &amp; Portfolio'!$C$10:$C$32</definedName>
    <definedName name="XDO_?FINAL_NAME?15?">'TTS-Risk-O-Meter &amp; Portfolio'!$C$10:$C$74</definedName>
    <definedName name="XDO_?FINAL_PER_NET?14?">'TTS-Risk-O-Meter &amp; Portfolio'!$I$10:$I$32</definedName>
    <definedName name="XDO_?FINAL_PER_NET?15?">'TTS-Risk-O-Meter &amp; Portfolio'!$I$10:$I$74</definedName>
    <definedName name="XDO_?FINAL_QUANTITE?14?">'TTS-Risk-O-Meter &amp; Portfolio'!$G$10:$G$32</definedName>
    <definedName name="XDO_?FINAL_QUANTITE?15?">'TTS-Risk-O-Meter &amp; Portfolio'!$G$10:$G$74</definedName>
    <definedName name="XDO_?IND_01?14?">'TTS-Risk-O-Meter &amp; Portfolio'!$F$10:$F$32</definedName>
    <definedName name="XDO_?IND_01?15?">'TTS-Risk-O-Meter &amp; Portfolio'!$F$10:$F$74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Portfolio'!$B$10:$B$32</definedName>
    <definedName name="XDO_?NOVAL?15?">'TTS-Risk-O-Meter &amp; Portfolio'!$B$10:$B$74</definedName>
    <definedName name="XDO_?NPTF?7?">'TTS-Risk-O-Meter &amp; Portfolio'!$D$2:$D$32</definedName>
    <definedName name="XDO_?RATING?14?">'TTS-Risk-O-Meter &amp; Portfolio'!$E$10:$E$32</definedName>
    <definedName name="XDO_?RATING?15?">'TTS-Risk-O-Meter &amp; Portfolio'!$E$10:$E$74</definedName>
    <definedName name="XDO_?REMARKS?14?">'TTS-Risk-O-Meter &amp; Portfolio'!$J$10:$J$32</definedName>
    <definedName name="XDO_?REMARKS?15?">'TTS-Risk-O-Meter &amp; Portfolio'!$J$10:$J$74</definedName>
    <definedName name="XDO_?TITL?7?">'TTS-Risk-O-Meter &amp; Portfolio'!$A$8:$A$32</definedName>
    <definedName name="XDO_GROUP_?G_2?7?">'TTS-Risk-O-Meter &amp; Portfolio'!$2:$77</definedName>
    <definedName name="XDO_GROUP_?G_3?7?">'TTS-Risk-O-Meter &amp; Portfolio'!$8:$76</definedName>
    <definedName name="XDO_GROUP_?G_4?14?">'TTS-Risk-O-Meter &amp; Portfolio'!$B$10:$IV$32</definedName>
    <definedName name="XDO_GROUP_?G_4?15?">'TTS-Risk-O-Meter &amp; Portfolio'!$B$74:$IV$74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7" i="1"/>
</calcChain>
</file>

<file path=xl/sharedStrings.xml><?xml version="1.0" encoding="utf-8"?>
<sst xmlns="http://schemas.openxmlformats.org/spreadsheetml/2006/main" count="204" uniqueCount="139">
  <si>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</si>
  <si>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</si>
  <si>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</si>
  <si>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</si>
  <si>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</si>
  <si>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</si>
  <si>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</si>
  <si>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</si>
  <si>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</si>
  <si>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</si>
  <si>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</si>
  <si>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</si>
  <si>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</si>
  <si>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</si>
  <si>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</si>
  <si>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</si>
  <si>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</si>
  <si>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</si>
  <si>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</si>
  <si>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</si>
  <si>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</si>
  <si>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</si>
  <si>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Banks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</si>
  <si>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</si>
  <si>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</si>
  <si>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</si>
  <si>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</si>
  <si>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</si>
  <si>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</si>
  <si>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</si>
  <si>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100037</t>
  </si>
  <si>
    <t>HCL Technologies Ltd.</t>
  </si>
  <si>
    <t>INE860A01027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</si>
  <si>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</si>
  <si>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</si>
  <si>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</si>
  <si>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</si>
  <si>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</si>
  <si>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</si>
  <si>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</si>
  <si>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</si>
  <si>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</si>
  <si>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</si>
  <si>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</si>
  <si>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100011</t>
  </si>
  <si>
    <t>Wipro Ltd.</t>
  </si>
  <si>
    <t>INE075A01022</t>
  </si>
  <si>
    <t>100006</t>
  </si>
  <si>
    <t>HDFC Bank Ltd.</t>
  </si>
  <si>
    <t>INE040A01034</t>
  </si>
  <si>
    <t>100045</t>
  </si>
  <si>
    <t>Gujarat Pipavav Port Ltd.</t>
  </si>
  <si>
    <t>INE517F01014</t>
  </si>
  <si>
    <t>Transport Infrastructure</t>
  </si>
  <si>
    <t>100003</t>
  </si>
  <si>
    <t>Infosys Ltd.</t>
  </si>
  <si>
    <t>INE009A01021</t>
  </si>
  <si>
    <t>100165</t>
  </si>
  <si>
    <t>Rallis India Ltd.</t>
  </si>
  <si>
    <t>INE613A01020</t>
  </si>
  <si>
    <t>Fertilizers &amp; Agrochemicals</t>
  </si>
  <si>
    <t>100039</t>
  </si>
  <si>
    <t>Bajaj Auto Ltd.</t>
  </si>
  <si>
    <t>INE917I01010</t>
  </si>
  <si>
    <t>Automobiles</t>
  </si>
  <si>
    <t>100148</t>
  </si>
  <si>
    <t>Motilal Oswal Financial Services Ltd.</t>
  </si>
  <si>
    <t>INE338I01027</t>
  </si>
  <si>
    <t>Capital Markets</t>
  </si>
  <si>
    <t>100747</t>
  </si>
  <si>
    <t>Mahindra Logistics Ltd.</t>
  </si>
  <si>
    <t>INE766P01016</t>
  </si>
  <si>
    <t>Transport Services</t>
  </si>
  <si>
    <t>100271</t>
  </si>
  <si>
    <t>Balkrishna Industries Ltd.</t>
  </si>
  <si>
    <t>INE787D01026</t>
  </si>
  <si>
    <t>Auto Components</t>
  </si>
  <si>
    <t>100153</t>
  </si>
  <si>
    <t>Cipla Ltd.</t>
  </si>
  <si>
    <t>INE059A01026</t>
  </si>
  <si>
    <t>Pharmaceuticals &amp; Biotechnology</t>
  </si>
  <si>
    <t>100133</t>
  </si>
  <si>
    <t>Oracle Financial Services Software Ltd.</t>
  </si>
  <si>
    <t>INE881D01027</t>
  </si>
  <si>
    <t>100008</t>
  </si>
  <si>
    <t>Sun Pharmaceutical Industries Ltd.</t>
  </si>
  <si>
    <t>INE044A01036</t>
  </si>
  <si>
    <t>100104</t>
  </si>
  <si>
    <t>Kotak Mahindra Bank Ltd.</t>
  </si>
  <si>
    <t>INE237A01028</t>
  </si>
  <si>
    <t>100080</t>
  </si>
  <si>
    <t>Dr. Reddy's Laboratories Ltd.</t>
  </si>
  <si>
    <t>INE089A01023</t>
  </si>
  <si>
    <t>100235</t>
  </si>
  <si>
    <t>CRISIL Ltd.</t>
  </si>
  <si>
    <t>INE007A01025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</si>
  <si>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</si>
  <si>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</si>
  <si>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</si>
  <si>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</si>
  <si>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</si>
  <si>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</si>
  <si>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</si>
  <si>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</si>
  <si>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</si>
  <si>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</si>
  <si>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</si>
  <si>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</si>
  <si>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</si>
  <si>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</si>
  <si>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</si>
  <si>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</si>
  <si>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</si>
  <si>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</si>
  <si>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</si>
  <si>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</si>
  <si>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</si>
  <si>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</si>
  <si>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</si>
  <si>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</si>
  <si>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</si>
  <si>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</si>
  <si>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</si>
  <si>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</si>
  <si>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</si>
  <si>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</si>
  <si>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</si>
  <si>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</si>
  <si>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</si>
  <si>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</si>
  <si>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</si>
  <si>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</si>
  <si>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</si>
  <si>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</si>
  <si>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</si>
  <si>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June 30, 2022 : 103.11)</t>
  </si>
  <si>
    <t>Taurus Tax Shield - Direct Plan Growth Option</t>
  </si>
  <si>
    <t>NAV [Rs.] Per Unit (as on June 30, 2022 : 110.21)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</si>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</sst>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6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44742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22000</v>
      </c>
      <c r="H10" s="32">
        <v>475.98</v>
      </c>
      <c r="I10" s="32">
        <v>8.31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56299</v>
      </c>
      <c r="H11" s="32">
        <v>397.95</v>
      </c>
      <c r="I11" s="32">
        <v>6.94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140000</v>
      </c>
      <c r="H12" s="32">
        <v>382.83</v>
      </c>
      <c r="I12" s="32">
        <v>6.68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7414</v>
      </c>
      <c r="H13" s="32">
        <v>343.08</v>
      </c>
      <c r="I13" s="32">
        <v>5.99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34000</v>
      </c>
      <c r="H14" s="32">
        <v>330.84</v>
      </c>
      <c r="I14" s="32">
        <v>5.77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17526</v>
      </c>
      <c r="H15" s="32">
        <v>272.89</v>
      </c>
      <c r="I15" s="32">
        <v>4.76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8200</v>
      </c>
      <c r="H16" s="32">
        <v>267.75</v>
      </c>
      <c r="I16" s="32">
        <v>4.67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39000</v>
      </c>
      <c r="H17" s="32">
        <v>248.31</v>
      </c>
      <c r="I17" s="32">
        <v>4.33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33</v>
      </c>
      <c r="G18" s="31">
        <v>56000</v>
      </c>
      <c r="H18" s="32">
        <v>232.99</v>
      </c>
      <c r="I18" s="32">
        <v>4.07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22</v>
      </c>
      <c r="G19" s="31">
        <v>15533</v>
      </c>
      <c r="H19" s="32">
        <v>209.31</v>
      </c>
      <c r="I19" s="32">
        <v>3.65</v>
      </c>
      <c r="J19" s="33"/>
    </row>
    <row r="20" spans="2:10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254553</v>
      </c>
      <c r="H20" s="32">
        <v>195.5</v>
      </c>
      <c r="I20" s="32">
        <v>3.41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33</v>
      </c>
      <c r="G21" s="31">
        <v>11708</v>
      </c>
      <c r="H21" s="32">
        <v>171.08</v>
      </c>
      <c r="I21" s="32">
        <v>2.99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90000</v>
      </c>
      <c r="H22" s="32">
        <v>170.01</v>
      </c>
      <c r="I22" s="32">
        <v>2.97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4500</v>
      </c>
      <c r="H23" s="32">
        <v>166.75</v>
      </c>
      <c r="I23" s="32">
        <v>2.91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21500</v>
      </c>
      <c r="H24" s="32">
        <v>164.77</v>
      </c>
      <c r="I24" s="32">
        <v>2.88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32000</v>
      </c>
      <c r="H25" s="32">
        <v>150.75</v>
      </c>
      <c r="I25" s="32">
        <v>2.63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5862</v>
      </c>
      <c r="H26" s="32">
        <v>126.38</v>
      </c>
      <c r="I26" s="32">
        <v>2.21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12700</v>
      </c>
      <c r="H27" s="32">
        <v>116.23</v>
      </c>
      <c r="I27" s="32">
        <v>2.0299999999999998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33</v>
      </c>
      <c r="G28" s="31">
        <v>3259</v>
      </c>
      <c r="H28" s="32">
        <v>100.94</v>
      </c>
      <c r="I28" s="32">
        <v>1.76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80</v>
      </c>
      <c r="G29" s="31">
        <v>8000</v>
      </c>
      <c r="H29" s="32">
        <v>66.459999999999994</v>
      </c>
      <c r="I29" s="32">
        <v>1.1599999999999999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22</v>
      </c>
      <c r="G30" s="31">
        <v>4000</v>
      </c>
      <c r="H30" s="32">
        <v>66.430000000000007</v>
      </c>
      <c r="I30" s="32">
        <v>1.1599999999999999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80</v>
      </c>
      <c r="G31" s="31">
        <v>1500</v>
      </c>
      <c r="H31" s="32">
        <v>66</v>
      </c>
      <c r="I31" s="32">
        <v>1.1499999999999999</v>
      </c>
      <c r="J31" s="33"/>
    </row>
    <row r="32" spans="2:10">
      <c r="B32" s="1" t="s">
        <v>93</v>
      </c>
      <c r="C32" s="20" t="s">
        <v>94</v>
      </c>
      <c r="D32" s="29" t="s">
        <v>95</v>
      </c>
      <c r="E32" s="30"/>
      <c r="F32" s="30" t="s">
        <v>18</v>
      </c>
      <c r="G32" s="31">
        <v>2000</v>
      </c>
      <c r="H32" s="32">
        <v>65.77</v>
      </c>
      <c r="I32" s="32">
        <v>1.1499999999999999</v>
      </c>
      <c r="J32" s="33"/>
    </row>
    <row r="33" spans="3:10">
      <c r="C33" s="28" t="s">
        <v>96</v>
      </c>
      <c r="D33" s="29"/>
      <c r="E33" s="30"/>
      <c r="F33" s="30"/>
      <c r="G33" s="31"/>
      <c r="H33" s="35">
        <v>4789</v>
      </c>
      <c r="I33" s="35">
        <v>83.58</v>
      </c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97</v>
      </c>
      <c r="D35" s="29"/>
      <c r="E35" s="30"/>
      <c r="F35" s="30"/>
      <c r="G35" s="31"/>
      <c r="H35" s="32" t="s">
        <v>98</v>
      </c>
      <c r="I35" s="32" t="s">
        <v>98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99</v>
      </c>
      <c r="D37" s="29"/>
      <c r="E37" s="30"/>
      <c r="F37" s="30"/>
      <c r="G37" s="31"/>
      <c r="H37" s="32" t="s">
        <v>98</v>
      </c>
      <c r="I37" s="32" t="s">
        <v>98</v>
      </c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100</v>
      </c>
      <c r="D39" s="29"/>
      <c r="E39" s="30"/>
      <c r="F39" s="30"/>
      <c r="G39" s="31"/>
      <c r="H39" s="32"/>
      <c r="I39" s="32"/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101</v>
      </c>
      <c r="D41" s="29"/>
      <c r="E41" s="30"/>
      <c r="F41" s="30"/>
      <c r="G41" s="31"/>
      <c r="H41" s="32" t="s">
        <v>98</v>
      </c>
      <c r="I41" s="32" t="s">
        <v>98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102</v>
      </c>
      <c r="D43" s="29"/>
      <c r="E43" s="30"/>
      <c r="F43" s="30"/>
      <c r="G43" s="31"/>
      <c r="H43" s="32" t="s">
        <v>98</v>
      </c>
      <c r="I43" s="32" t="s">
        <v>98</v>
      </c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103</v>
      </c>
      <c r="D45" s="29"/>
      <c r="E45" s="30"/>
      <c r="F45" s="30"/>
      <c r="G45" s="31"/>
      <c r="H45" s="32" t="s">
        <v>98</v>
      </c>
      <c r="I45" s="32" t="s">
        <v>98</v>
      </c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104</v>
      </c>
      <c r="D47" s="29"/>
      <c r="E47" s="30"/>
      <c r="F47" s="30"/>
      <c r="G47" s="31"/>
      <c r="H47" s="32" t="s">
        <v>98</v>
      </c>
      <c r="I47" s="32" t="s">
        <v>98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105</v>
      </c>
      <c r="D49" s="29"/>
      <c r="E49" s="30"/>
      <c r="F49" s="30"/>
      <c r="G49" s="31"/>
      <c r="H49" s="32" t="s">
        <v>98</v>
      </c>
      <c r="I49" s="32" t="s">
        <v>98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106</v>
      </c>
      <c r="D51" s="29"/>
      <c r="E51" s="30"/>
      <c r="F51" s="30"/>
      <c r="G51" s="31"/>
      <c r="H51" s="32"/>
      <c r="I51" s="32"/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107</v>
      </c>
      <c r="D53" s="29"/>
      <c r="E53" s="30"/>
      <c r="F53" s="30"/>
      <c r="G53" s="31"/>
      <c r="H53" s="32" t="s">
        <v>98</v>
      </c>
      <c r="I53" s="32" t="s">
        <v>98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108</v>
      </c>
      <c r="D55" s="29"/>
      <c r="E55" s="30"/>
      <c r="F55" s="30"/>
      <c r="G55" s="31"/>
      <c r="H55" s="32" t="s">
        <v>98</v>
      </c>
      <c r="I55" s="32" t="s">
        <v>98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109</v>
      </c>
      <c r="D57" s="29"/>
      <c r="E57" s="30"/>
      <c r="F57" s="30"/>
      <c r="G57" s="31"/>
      <c r="H57" s="32" t="s">
        <v>98</v>
      </c>
      <c r="I57" s="32" t="s">
        <v>98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110</v>
      </c>
      <c r="D59" s="29"/>
      <c r="E59" s="30"/>
      <c r="F59" s="30"/>
      <c r="G59" s="31"/>
      <c r="H59" s="32" t="s">
        <v>98</v>
      </c>
      <c r="I59" s="32" t="s">
        <v>98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111</v>
      </c>
      <c r="D61" s="29"/>
      <c r="E61" s="30"/>
      <c r="F61" s="30"/>
      <c r="G61" s="31"/>
      <c r="H61" s="32"/>
      <c r="I61" s="32"/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112</v>
      </c>
      <c r="D63" s="29"/>
      <c r="E63" s="30"/>
      <c r="F63" s="30"/>
      <c r="G63" s="31"/>
      <c r="H63" s="32" t="s">
        <v>98</v>
      </c>
      <c r="I63" s="32" t="s">
        <v>98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113</v>
      </c>
      <c r="D65" s="29"/>
      <c r="E65" s="30"/>
      <c r="F65" s="30"/>
      <c r="G65" s="31"/>
      <c r="H65" s="32" t="s">
        <v>98</v>
      </c>
      <c r="I65" s="32" t="s">
        <v>98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114</v>
      </c>
      <c r="D67" s="29"/>
      <c r="E67" s="30"/>
      <c r="F67" s="30"/>
      <c r="G67" s="31"/>
      <c r="H67" s="32" t="s">
        <v>98</v>
      </c>
      <c r="I67" s="32" t="s">
        <v>98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115</v>
      </c>
      <c r="D69" s="29"/>
      <c r="E69" s="30"/>
      <c r="F69" s="30"/>
      <c r="G69" s="31"/>
      <c r="H69" s="32" t="s">
        <v>98</v>
      </c>
      <c r="I69" s="32" t="s">
        <v>98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116</v>
      </c>
      <c r="D71" s="29"/>
      <c r="E71" s="30"/>
      <c r="F71" s="30"/>
      <c r="G71" s="31"/>
      <c r="H71" s="32" t="s">
        <v>98</v>
      </c>
      <c r="I71" s="32" t="s">
        <v>98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A73" s="26"/>
      <c r="B73" s="27"/>
      <c r="C73" s="28" t="s">
        <v>117</v>
      </c>
      <c r="D73" s="29"/>
      <c r="E73" s="30"/>
      <c r="F73" s="30"/>
      <c r="G73" s="31"/>
      <c r="H73" s="32"/>
      <c r="I73" s="32"/>
      <c r="J73" s="33"/>
    </row>
    <row r="74" spans="1:10">
      <c r="B74" s="1"/>
      <c r="C74" s="20" t="s">
        <v>118</v>
      </c>
      <c r="D74" s="29"/>
      <c r="E74" s="30"/>
      <c r="F74" s="30"/>
      <c r="G74" s="31"/>
      <c r="H74" s="32">
        <v>941.47</v>
      </c>
      <c r="I74" s="32">
        <v>16.419999999999998</v>
      </c>
      <c r="J74" s="33"/>
    </row>
    <row r="75" spans="1:10">
      <c r="C75" s="28" t="s">
        <v>96</v>
      </c>
      <c r="D75" s="29"/>
      <c r="E75" s="30"/>
      <c r="F75" s="30"/>
      <c r="G75" s="31"/>
      <c r="H75" s="35">
        <v>941.47</v>
      </c>
      <c r="I75" s="35">
        <v>16.419999999999998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 ht="13.8" thickBot="1">
      <c r="C77" s="36" t="s">
        <v>119</v>
      </c>
      <c r="D77" s="37"/>
      <c r="E77" s="38"/>
      <c r="F77" s="39"/>
      <c r="G77" s="40"/>
      <c r="H77" s="41">
        <v>5730.47</v>
      </c>
      <c r="I77" s="41">
        <f>SUMIFS(I:I,C:C,"Total")</f>
        <v>100</v>
      </c>
      <c r="J77" s="42"/>
    </row>
    <row r="80" spans="1:10">
      <c r="C80" s="11" t="s">
        <v>120</v>
      </c>
    </row>
    <row r="81" spans="3:3">
      <c r="C81" s="2" t="s">
        <v>121</v>
      </c>
    </row>
    <row r="82" spans="3:3">
      <c r="C82" s="2" t="s">
        <v>122</v>
      </c>
    </row>
    <row r="83" spans="3:3">
      <c r="C83" s="2" t="s">
        <v>123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124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125</v>
      </c>
      <c r="B5" s="46" t="s">
        <v>126</v>
      </c>
      <c r="C5" s="46"/>
      <c r="D5" s="46" t="s">
        <v>127</v>
      </c>
      <c r="E5" s="46"/>
      <c r="F5" s="46" t="s">
        <v>128</v>
      </c>
      <c r="G5" s="46"/>
      <c r="H5" s="46" t="s">
        <v>129</v>
      </c>
      <c r="I5" s="46"/>
    </row>
    <row r="6" spans="1:9" ht="66">
      <c r="A6" s="47"/>
      <c r="B6" s="48" t="s">
        <v>130</v>
      </c>
      <c r="C6" s="48" t="s">
        <v>131</v>
      </c>
      <c r="D6" s="48" t="s">
        <v>130</v>
      </c>
      <c r="E6" s="48" t="s">
        <v>131</v>
      </c>
      <c r="F6" s="48" t="s">
        <v>130</v>
      </c>
      <c r="G6" s="48" t="s">
        <v>131</v>
      </c>
      <c r="H6" s="48" t="s">
        <v>130</v>
      </c>
      <c r="I6" s="48" t="s">
        <v>131</v>
      </c>
    </row>
    <row r="7" spans="1:9">
      <c r="A7" s="49" t="s">
        <v>132</v>
      </c>
      <c r="B7" s="50">
        <v>-1.865423051299131</v>
      </c>
      <c r="C7" s="50">
        <v>9813.4576948700869</v>
      </c>
      <c r="D7" s="50">
        <v>9.0471590685075043</v>
      </c>
      <c r="E7" s="50">
        <v>12976.340297004783</v>
      </c>
      <c r="F7" s="50">
        <v>9.0158132422240023</v>
      </c>
      <c r="G7" s="50">
        <v>15401.045556385361</v>
      </c>
      <c r="H7" s="50">
        <v>11.040666946921608</v>
      </c>
      <c r="I7" s="50">
        <v>103110</v>
      </c>
    </row>
    <row r="8" spans="1:9">
      <c r="A8" s="49" t="s">
        <v>133</v>
      </c>
      <c r="B8" s="50">
        <v>0.66226330261480726</v>
      </c>
      <c r="C8" s="50">
        <v>10066.226330261481</v>
      </c>
      <c r="D8" s="50">
        <v>13.136773913335652</v>
      </c>
      <c r="E8" s="50">
        <v>14481.427425648348</v>
      </c>
      <c r="F8" s="50">
        <v>11.483422574912328</v>
      </c>
      <c r="G8" s="50">
        <v>17220.726372083362</v>
      </c>
      <c r="H8" s="50">
        <v>0</v>
      </c>
      <c r="I8" s="50">
        <v>0</v>
      </c>
    </row>
    <row r="9" spans="1:9">
      <c r="A9" s="49" t="s">
        <v>134</v>
      </c>
      <c r="B9" s="50">
        <v>1.662072435951667</v>
      </c>
      <c r="C9" s="50">
        <v>10166.207243595167</v>
      </c>
      <c r="D9" s="50">
        <v>11.545504890981984</v>
      </c>
      <c r="E9" s="50">
        <v>13878.93752284471</v>
      </c>
      <c r="F9" s="50">
        <v>12.030099818677375</v>
      </c>
      <c r="G9" s="50">
        <v>17647.110887766743</v>
      </c>
      <c r="H9" s="50">
        <v>12.468479205937811</v>
      </c>
      <c r="I9" s="50">
        <v>218959.10301716047</v>
      </c>
    </row>
    <row r="10" spans="1:9">
      <c r="A10" s="49" t="s">
        <v>135</v>
      </c>
      <c r="B10" s="51">
        <v>105.07</v>
      </c>
      <c r="C10" s="52"/>
      <c r="D10" s="51">
        <v>79.459999999999994</v>
      </c>
      <c r="E10" s="52"/>
      <c r="F10" s="51">
        <v>66.95</v>
      </c>
      <c r="G10" s="52"/>
      <c r="H10" s="51">
        <v>10</v>
      </c>
      <c r="I10" s="52"/>
    </row>
    <row r="12" spans="1:9" ht="15.6">
      <c r="A12" s="43" t="s">
        <v>136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125</v>
      </c>
      <c r="B13" s="46" t="s">
        <v>126</v>
      </c>
      <c r="C13" s="46"/>
      <c r="D13" s="46" t="s">
        <v>127</v>
      </c>
      <c r="E13" s="46"/>
      <c r="F13" s="46" t="s">
        <v>128</v>
      </c>
      <c r="G13" s="46"/>
      <c r="H13" s="46" t="s">
        <v>129</v>
      </c>
      <c r="I13" s="46"/>
    </row>
    <row r="14" spans="1:9" ht="66">
      <c r="A14" s="47"/>
      <c r="B14" s="48" t="s">
        <v>130</v>
      </c>
      <c r="C14" s="48" t="s">
        <v>131</v>
      </c>
      <c r="D14" s="48" t="s">
        <v>130</v>
      </c>
      <c r="E14" s="48" t="s">
        <v>131</v>
      </c>
      <c r="F14" s="48" t="s">
        <v>130</v>
      </c>
      <c r="G14" s="48" t="s">
        <v>131</v>
      </c>
      <c r="H14" s="48" t="s">
        <v>130</v>
      </c>
      <c r="I14" s="48" t="s">
        <v>131</v>
      </c>
    </row>
    <row r="15" spans="1:9">
      <c r="A15" s="49" t="s">
        <v>132</v>
      </c>
      <c r="B15" s="50">
        <v>-1.1746771879483475</v>
      </c>
      <c r="C15" s="50">
        <v>9882.5322812051654</v>
      </c>
      <c r="D15" s="50">
        <v>9.82271483332946</v>
      </c>
      <c r="E15" s="50">
        <v>13255.953812845801</v>
      </c>
      <c r="F15" s="50">
        <v>9.7522393050619716</v>
      </c>
      <c r="G15" s="50">
        <v>15928.602399190635</v>
      </c>
      <c r="H15" s="50">
        <v>11.650809857332757</v>
      </c>
      <c r="I15" s="50">
        <v>28485.396743344532</v>
      </c>
    </row>
    <row r="16" spans="1:9">
      <c r="A16" s="49" t="s">
        <v>133</v>
      </c>
      <c r="B16" s="50">
        <v>0.66226330261480726</v>
      </c>
      <c r="C16" s="50">
        <v>10066.226330261481</v>
      </c>
      <c r="D16" s="50">
        <v>13.136773913335652</v>
      </c>
      <c r="E16" s="50">
        <v>14481.427425648348</v>
      </c>
      <c r="F16" s="50">
        <v>11.483422574912328</v>
      </c>
      <c r="G16" s="50">
        <v>17220.726372083362</v>
      </c>
      <c r="H16" s="50">
        <v>12.876237790297719</v>
      </c>
      <c r="I16" s="50">
        <v>31597.442824174392</v>
      </c>
    </row>
    <row r="17" spans="1:9">
      <c r="A17" s="49" t="s">
        <v>134</v>
      </c>
      <c r="B17" s="50">
        <v>1.662072435951667</v>
      </c>
      <c r="C17" s="50">
        <v>10166.207243595167</v>
      </c>
      <c r="D17" s="50">
        <v>11.545504890981984</v>
      </c>
      <c r="E17" s="50">
        <v>13878.93752284471</v>
      </c>
      <c r="F17" s="50">
        <v>12.030099818677375</v>
      </c>
      <c r="G17" s="50">
        <v>17647.110887766743</v>
      </c>
      <c r="H17" s="50">
        <v>12.197658615772887</v>
      </c>
      <c r="I17" s="50">
        <v>29838.540182620949</v>
      </c>
    </row>
    <row r="18" spans="1:9">
      <c r="A18" s="49" t="s">
        <v>137</v>
      </c>
      <c r="B18" s="51">
        <v>111.52</v>
      </c>
      <c r="C18" s="52"/>
      <c r="D18" s="51">
        <v>83.14</v>
      </c>
      <c r="E18" s="52"/>
      <c r="F18" s="51">
        <v>69.19</v>
      </c>
      <c r="G18" s="52"/>
      <c r="H18" s="51">
        <v>38.69</v>
      </c>
      <c r="I18" s="52"/>
    </row>
    <row r="20" spans="1:9">
      <c r="A20" t="s">
        <v>138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Sheet1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2022-07-03T09:32:49Z</dcterms:created>
  <dcterms:modified xsi:type="dcterms:W3CDTF">2022-07-06T11:04:48Z</dcterms:modified>
</cp:coreProperties>
</file>