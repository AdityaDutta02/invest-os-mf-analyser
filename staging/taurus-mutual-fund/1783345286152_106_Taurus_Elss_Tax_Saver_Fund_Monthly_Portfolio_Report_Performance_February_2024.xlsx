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03598F54-08EB-48A0-BBA2-5EEA6A37ABD9}" xr6:coauthVersionLast="47" xr6:coauthVersionMax="47" xr10:uidLastSave="{00000000-0000-0000-0000-000000000000}"/>
  <bookViews>
    <workbookView xWindow="-120" yWindow="-120" windowWidth="20730" windowHeight="11040" xr2:uid="{5C9DC0FA-626E-48DD-B9DC-8D6A60988683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5?">TTS!$D$10:$D$39</definedName>
    <definedName name="XDO_?FINAL_ISIN?16?">TTS!$D$10:$D$80</definedName>
    <definedName name="XDO_?FINAL_ISIN?17?">TTS!$D$10:$D$84</definedName>
    <definedName name="XDO_?FINAL_MV?15?">TTS!$H$10:$H$39</definedName>
    <definedName name="XDO_?FINAL_MV?16?">TTS!$H$10:$H$80</definedName>
    <definedName name="XDO_?FINAL_MV?17?">TTS!$H$10:$H$84</definedName>
    <definedName name="XDO_?FINAL_NAME?15?">TTS!$C$10:$C$39</definedName>
    <definedName name="XDO_?FINAL_NAME?16?">TTS!$C$10:$C$80</definedName>
    <definedName name="XDO_?FINAL_NAME?17?">TTS!$C$10:$C$84</definedName>
    <definedName name="XDO_?FINAL_PER_NET?15?">TTS!$I$10:$I$39</definedName>
    <definedName name="XDO_?FINAL_PER_NET?16?">TTS!$I$10:$I$80</definedName>
    <definedName name="XDO_?FINAL_PER_NET?17?">TTS!$I$10:$I$84</definedName>
    <definedName name="XDO_?FINAL_QUANTITE?15?">TTS!$G$10:$G$39</definedName>
    <definedName name="XDO_?FINAL_QUANTITE?16?">TTS!$G$10:$G$80</definedName>
    <definedName name="XDO_?FINAL_QUANTITE?17?">TTS!$G$10:$G$84</definedName>
    <definedName name="XDO_?IND_01?15?">TTS!$F$10:$F$39</definedName>
    <definedName name="XDO_?IND_01?16?">TTS!$F$10:$F$80</definedName>
    <definedName name="XDO_?IND_01?17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TTS!$B$10:$B$39</definedName>
    <definedName name="XDO_?NOVAL?16?">TTS!$B$10:$B$80</definedName>
    <definedName name="XDO_?NOVAL?17?">TTS!$B$10:$B$84</definedName>
    <definedName name="XDO_?NPTF?7?">TTS!$D$2:$D$39</definedName>
    <definedName name="XDO_?RATING?15?">TTS!$E$10:$E$39</definedName>
    <definedName name="XDO_?RATING?16?">TTS!$E$10:$E$80</definedName>
    <definedName name="XDO_?RATING?17?">TTS!$E$10:$E$84</definedName>
    <definedName name="XDO_?REMARKS?15?">TTS!$J$10:$J$39</definedName>
    <definedName name="XDO_?REMARKS?16?">TTS!$J$10:$J$80</definedName>
    <definedName name="XDO_?REMARKS?17?">TTS!$J$10:$J$84</definedName>
    <definedName name="XDO_?TITL?7?">TTS!$A$8:$A$39</definedName>
    <definedName name="XDO_GROUP_?G_2?7?">TTS!$2:$87</definedName>
    <definedName name="XDO_GROUP_?G_3?7?">TTS!$8:$86</definedName>
    <definedName name="XDO_GROUP_?G_4?15?">TTS!$B$10:$IV$39</definedName>
    <definedName name="XDO_GROUP_?G_4?16?">TTS!$B$80:$IV$80</definedName>
    <definedName name="XDO_GROUP_?G_4?17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<sst xmlns="http://schemas.openxmlformats.org/spreadsheetml/2006/main" count="235" uniqueCount="171">
  <si>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</si>
  <si>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</si>
  <si>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</si>
  <si>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</si>
  <si>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</si>
  <si>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</si>
  <si>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</si>
  <si>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</si>
  <si>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</si>
  <si>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</si>
  <si>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</si>
  <si>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</si>
  <si>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</si>
  <si>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</si>
  <si>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</si>
  <si>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</si>
  <si>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</si>
  <si>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</si>
  <si>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</si>
  <si>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</si>
  <si>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</si>
  <si>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</si>
  <si>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</si>
  <si>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100045</t>
  </si>
  <si>
    <t>Gujarat Pipavav Port Ltd.</t>
  </si>
  <si>
    <t>INE517F01014</t>
  </si>
  <si>
    <t>Transport Infrastructure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</si>
  <si>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</si>
  <si>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</si>
  <si>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</si>
  <si>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</si>
  <si>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</si>
  <si>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</si>
  <si>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</si>
  <si>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</si>
  <si>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</si>
  <si>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</si>
  <si>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</si>
  <si>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</si>
  <si>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</si>
  <si>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</si>
  <si>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100003</t>
  </si>
  <si>
    <t>Infosys Ltd.</t>
  </si>
  <si>
    <t>INE009A01021</t>
  </si>
  <si>
    <t>100474</t>
  </si>
  <si>
    <t>Narayana Hrudayalaya Ltd.</t>
  </si>
  <si>
    <t>INE410P01011</t>
  </si>
  <si>
    <t>Healthcare Services</t>
  </si>
  <si>
    <t>100147</t>
  </si>
  <si>
    <t>Tech Mahindra Ltd.</t>
  </si>
  <si>
    <t>INE669C01036</t>
  </si>
  <si>
    <t>100019</t>
  </si>
  <si>
    <t>ITC Ltd.</t>
  </si>
  <si>
    <t>INE154A01025</t>
  </si>
  <si>
    <t>Diversified FMCG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</si>
  <si>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</si>
  <si>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</si>
  <si>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</si>
  <si>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</si>
  <si>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</si>
  <si>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</si>
  <si>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</si>
  <si>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</si>
  <si>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</si>
  <si>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</si>
  <si>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</si>
  <si>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</si>
  <si>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100292</t>
  </si>
  <si>
    <t>Steel Authority of India Ltd.</t>
  </si>
  <si>
    <t>INE114A01011</t>
  </si>
  <si>
    <t>Ferrous Metals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</si>
  <si>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</si>
  <si>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</si>
  <si>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</si>
  <si>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</si>
  <si>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</si>
  <si>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</si>
  <si>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</si>
  <si>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100219</t>
  </si>
  <si>
    <t>Indraprastha Gas Ltd.</t>
  </si>
  <si>
    <t>INE203G01027</t>
  </si>
  <si>
    <t>Gas</t>
  </si>
  <si>
    <t>100080</t>
  </si>
  <si>
    <t>Dr. Reddy's Laboratories Ltd.</t>
  </si>
  <si>
    <t>INE089A01023</t>
  </si>
  <si>
    <t>100342</t>
  </si>
  <si>
    <t>Vardhman Textiles Ltd.</t>
  </si>
  <si>
    <t>INE825A01020</t>
  </si>
  <si>
    <t>Textiles &amp; Apparels</t>
  </si>
  <si>
    <t>101366</t>
  </si>
  <si>
    <t>Aditya Birla Sun Life Amc Ltd.</t>
  </si>
  <si>
    <t>INE404A01024</t>
  </si>
  <si>
    <t>100096</t>
  </si>
  <si>
    <t>Container Corporation of India Ltd.</t>
  </si>
  <si>
    <t>INE111A01025</t>
  </si>
  <si>
    <t>Transport Services</t>
  </si>
  <si>
    <t>100811</t>
  </si>
  <si>
    <t>NOCIL Ltd.</t>
  </si>
  <si>
    <t>INE163A01018</t>
  </si>
  <si>
    <t>Chemicals &amp; Petrochemicals</t>
  </si>
  <si>
    <t>100155</t>
  </si>
  <si>
    <t>Divi's Laboratories Ltd.</t>
  </si>
  <si>
    <t>INE361B01024</t>
  </si>
  <si>
    <t>102070</t>
  </si>
  <si>
    <t>Juniper Hotels Ltd.</t>
  </si>
  <si>
    <t>INE696F01016</t>
  </si>
  <si>
    <t>Leisure Services</t>
  </si>
  <si>
    <t>101967</t>
  </si>
  <si>
    <t>Globus Spirits Ltd.</t>
  </si>
  <si>
    <t>INE615I01010</t>
  </si>
  <si>
    <t>Beverages</t>
  </si>
  <si>
    <t>101434</t>
  </si>
  <si>
    <t>CMS Info Systems Ltd.</t>
  </si>
  <si>
    <t>INE925R01014</t>
  </si>
  <si>
    <t>Commercial Services &amp; Supplies</t>
  </si>
  <si>
    <t>100118</t>
  </si>
  <si>
    <t>Tata Chemicals Ltd.</t>
  </si>
  <si>
    <t>INE092A01019</t>
  </si>
  <si>
    <t>101214</t>
  </si>
  <si>
    <t>Antony Waste Handling Cell Ltd.</t>
  </si>
  <si>
    <t>INE01BK01022</t>
  </si>
  <si>
    <t>Other Utilities</t>
  </si>
  <si>
    <t>102041</t>
  </si>
  <si>
    <t>Happy Forgings Ltd.</t>
  </si>
  <si>
    <t>INE330T01021</t>
  </si>
  <si>
    <t>Industrial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</si>
  <si>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</si>
  <si>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</si>
  <si>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</si>
  <si>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</si>
  <si>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</si>
  <si>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</si>
  <si>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</si>
  <si>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</si>
  <si>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</si>
  <si>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</si>
  <si>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</si>
  <si>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</si>
  <si>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</si>
  <si>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</si>
  <si>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</si>
  <si>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</si>
  <si>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</si>
  <si>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</si>
  <si>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</si>
  <si>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</si>
  <si>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</si>
  <si>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</si>
  <si>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</si>
  <si>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</si>
  <si>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</si>
  <si>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</si>
  <si>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</si>
  <si>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</si>
  <si>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</si>
  <si>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</si>
  <si>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</si>
  <si>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</si>
  <si>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</si>
  <si>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</si>
  <si>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</si>
  <si>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</si>
  <si>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</si>
  <si>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</si>
  <si>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</si>
  <si>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</si>
  <si>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</si>
  <si>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</si>
  <si>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29, 2024 : 164.14)</t>
  </si>
  <si>
    <t>Taurus Elss Tax Saver Fund - Direct Plan Growth Option</t>
  </si>
  <si>
    <t>NAV [Rs.] Per Unit (as on February 29, 2024 : 177.39)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</si>
</sst>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8E65DAE-769F-4D8E-B8B4-75AEA9DF54F8}"/>
    <cellStyle name="Hyperlink" xfId="2" builtinId="8"/>
    <cellStyle name="Normal" xfId="0" builtinId="0"/>
    <cellStyle name="Normal 2" xfId="4" xr:uid="{2A0C976F-79F6-426A-80F7-812C09A083B1}"/>
    <cellStyle name="Style 1" xfId="3" xr:uid="{2F2709AC-0796-40AB-A68A-B02128391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239945</xdr:colOff>
      <xdr:row>0</xdr:row>
      <xdr:rowOff>1923288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C4155E38-A7FE-4E4D-898A-5791459E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file:///Q:\5.TMF\Reporting\Monthly%20Reports\Monthly%20Portfolio\2023-24\Feb%2024\Client%20Report\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81A8-2FE4-406F-9666-7905D19C203F}">
  <dimension ref="A1:IV93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4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45743</v>
      </c>
      <c r="H10" s="32">
        <v>762.6</v>
      </c>
      <c r="I10" s="32">
        <v>10.119999999999999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46969</v>
      </c>
      <c r="H11" s="32">
        <v>658.86</v>
      </c>
      <c r="I11" s="32">
        <v>8.74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240000</v>
      </c>
      <c r="H12" s="32">
        <v>504.48</v>
      </c>
      <c r="I12" s="32">
        <v>6.69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5200</v>
      </c>
      <c r="H13" s="32">
        <v>474.63</v>
      </c>
      <c r="I13" s="32">
        <v>6.3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36000</v>
      </c>
      <c r="H14" s="32">
        <v>379.24</v>
      </c>
      <c r="I14" s="32">
        <v>5.03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35000</v>
      </c>
      <c r="H15" s="32">
        <v>376.5</v>
      </c>
      <c r="I15" s="32">
        <v>4.99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350.16</v>
      </c>
      <c r="I16" s="32">
        <v>4.6500000000000004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20557</v>
      </c>
      <c r="H17" s="32">
        <v>344.34</v>
      </c>
      <c r="I17" s="32">
        <v>4.57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25000</v>
      </c>
      <c r="H18" s="32">
        <v>333.48</v>
      </c>
      <c r="I18" s="32">
        <v>4.42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25706</v>
      </c>
      <c r="H19" s="32">
        <v>328.07</v>
      </c>
      <c r="I19" s="32">
        <v>4.3499999999999996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80000</v>
      </c>
      <c r="H20" s="32">
        <v>325.2</v>
      </c>
      <c r="I20" s="32">
        <v>4.3099999999999996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8139</v>
      </c>
      <c r="H21" s="32">
        <v>214.32</v>
      </c>
      <c r="I21" s="32">
        <v>2.84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13798</v>
      </c>
      <c r="H22" s="32">
        <v>204.29</v>
      </c>
      <c r="I22" s="32">
        <v>2.71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85000</v>
      </c>
      <c r="H23" s="32">
        <v>192.06</v>
      </c>
      <c r="I23" s="32">
        <v>2.5499999999999998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149800</v>
      </c>
      <c r="H24" s="32">
        <v>181.71</v>
      </c>
      <c r="I24" s="32">
        <v>2.41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20200</v>
      </c>
      <c r="H25" s="32">
        <v>181.19</v>
      </c>
      <c r="I25" s="32">
        <v>2.4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5500</v>
      </c>
      <c r="H26" s="32">
        <v>168.7</v>
      </c>
      <c r="I26" s="32">
        <v>2.2400000000000002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31476</v>
      </c>
      <c r="H27" s="32">
        <v>134.25</v>
      </c>
      <c r="I27" s="32">
        <v>1.78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62</v>
      </c>
      <c r="G28" s="31">
        <v>2087</v>
      </c>
      <c r="H28" s="32">
        <v>133.99</v>
      </c>
      <c r="I28" s="32">
        <v>1.78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30000</v>
      </c>
      <c r="H29" s="32">
        <v>128.6</v>
      </c>
      <c r="I29" s="32">
        <v>1.71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74</v>
      </c>
      <c r="G30" s="31">
        <v>21800</v>
      </c>
      <c r="H30" s="32">
        <v>114.68</v>
      </c>
      <c r="I30" s="32">
        <v>1.52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11250</v>
      </c>
      <c r="H31" s="32">
        <v>110.12</v>
      </c>
      <c r="I31" s="32">
        <v>1.46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39865</v>
      </c>
      <c r="H32" s="32">
        <v>104.71</v>
      </c>
      <c r="I32" s="32">
        <v>1.39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62</v>
      </c>
      <c r="G33" s="31">
        <v>2780</v>
      </c>
      <c r="H33" s="32">
        <v>97</v>
      </c>
      <c r="I33" s="32">
        <v>1.29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17973</v>
      </c>
      <c r="H34" s="32">
        <v>78.36</v>
      </c>
      <c r="I34" s="32">
        <v>1.04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9499</v>
      </c>
      <c r="H35" s="32">
        <v>74.28</v>
      </c>
      <c r="I35" s="32">
        <v>0.99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17930</v>
      </c>
      <c r="H36" s="32">
        <v>68.760000000000005</v>
      </c>
      <c r="I36" s="32">
        <v>0.91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99</v>
      </c>
      <c r="G37" s="31">
        <v>6097</v>
      </c>
      <c r="H37" s="32">
        <v>57.28</v>
      </c>
      <c r="I37" s="32">
        <v>0.76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4330</v>
      </c>
      <c r="H38" s="32">
        <v>21.77</v>
      </c>
      <c r="I38" s="32">
        <v>0.28999999999999998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123</v>
      </c>
      <c r="H39" s="32">
        <v>1.1399999999999999</v>
      </c>
      <c r="I39" s="32">
        <v>0.02</v>
      </c>
      <c r="J39" s="33"/>
    </row>
    <row r="40" spans="2:10" x14ac:dyDescent="0.25">
      <c r="C40" s="28" t="s">
        <v>126</v>
      </c>
      <c r="D40" s="29"/>
      <c r="E40" s="30"/>
      <c r="F40" s="30"/>
      <c r="G40" s="31"/>
      <c r="H40" s="35">
        <v>7104.77</v>
      </c>
      <c r="I40" s="35">
        <v>94.26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127</v>
      </c>
      <c r="D42" s="29"/>
      <c r="E42" s="30"/>
      <c r="F42" s="30"/>
      <c r="G42" s="31"/>
      <c r="H42" s="32" t="s">
        <v>128</v>
      </c>
      <c r="I42" s="32" t="s">
        <v>128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128</v>
      </c>
      <c r="I44" s="32" t="s">
        <v>128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130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131</v>
      </c>
      <c r="D48" s="29"/>
      <c r="E48" s="30"/>
      <c r="F48" s="30"/>
      <c r="G48" s="31"/>
      <c r="H48" s="32" t="s">
        <v>128</v>
      </c>
      <c r="I48" s="32" t="s">
        <v>128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132</v>
      </c>
      <c r="D50" s="29"/>
      <c r="E50" s="30"/>
      <c r="F50" s="30"/>
      <c r="G50" s="31"/>
      <c r="H50" s="32" t="s">
        <v>128</v>
      </c>
      <c r="I50" s="32" t="s">
        <v>128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133</v>
      </c>
      <c r="D52" s="29"/>
      <c r="E52" s="30"/>
      <c r="F52" s="30"/>
      <c r="G52" s="31"/>
      <c r="H52" s="32" t="s">
        <v>128</v>
      </c>
      <c r="I52" s="32" t="s">
        <v>128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134</v>
      </c>
      <c r="D54" s="29"/>
      <c r="E54" s="30"/>
      <c r="F54" s="30"/>
      <c r="G54" s="31"/>
      <c r="H54" s="32" t="s">
        <v>128</v>
      </c>
      <c r="I54" s="32" t="s">
        <v>128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135</v>
      </c>
      <c r="D56" s="29"/>
      <c r="E56" s="30"/>
      <c r="F56" s="30"/>
      <c r="G56" s="31"/>
      <c r="H56" s="32" t="s">
        <v>128</v>
      </c>
      <c r="I56" s="32" t="s">
        <v>128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136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137</v>
      </c>
      <c r="D60" s="29"/>
      <c r="E60" s="30"/>
      <c r="F60" s="30"/>
      <c r="G60" s="31"/>
      <c r="H60" s="32" t="s">
        <v>128</v>
      </c>
      <c r="I60" s="32" t="s">
        <v>128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138</v>
      </c>
      <c r="D62" s="29"/>
      <c r="E62" s="30"/>
      <c r="F62" s="30"/>
      <c r="G62" s="31"/>
      <c r="H62" s="32" t="s">
        <v>128</v>
      </c>
      <c r="I62" s="32" t="s">
        <v>128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139</v>
      </c>
      <c r="D64" s="29"/>
      <c r="E64" s="30"/>
      <c r="F64" s="30"/>
      <c r="G64" s="31"/>
      <c r="H64" s="32" t="s">
        <v>128</v>
      </c>
      <c r="I64" s="32" t="s">
        <v>128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140</v>
      </c>
      <c r="D66" s="29"/>
      <c r="E66" s="30"/>
      <c r="F66" s="30"/>
      <c r="G66" s="31"/>
      <c r="H66" s="32" t="s">
        <v>128</v>
      </c>
      <c r="I66" s="32" t="s">
        <v>128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141</v>
      </c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142</v>
      </c>
      <c r="D69" s="29"/>
      <c r="E69" s="30"/>
      <c r="F69" s="30"/>
      <c r="G69" s="31"/>
      <c r="H69" s="32" t="s">
        <v>128</v>
      </c>
      <c r="I69" s="32" t="s">
        <v>128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143</v>
      </c>
      <c r="D71" s="29"/>
      <c r="E71" s="30"/>
      <c r="F71" s="30"/>
      <c r="G71" s="31"/>
      <c r="H71" s="32" t="s">
        <v>128</v>
      </c>
      <c r="I71" s="32" t="s">
        <v>128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144</v>
      </c>
      <c r="D73" s="29"/>
      <c r="E73" s="30"/>
      <c r="F73" s="30"/>
      <c r="G73" s="31"/>
      <c r="H73" s="32" t="s">
        <v>128</v>
      </c>
      <c r="I73" s="32" t="s">
        <v>128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145</v>
      </c>
      <c r="D75" s="29"/>
      <c r="E75" s="30"/>
      <c r="F75" s="30"/>
      <c r="G75" s="31"/>
      <c r="H75" s="32" t="s">
        <v>128</v>
      </c>
      <c r="I75" s="32" t="s">
        <v>128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146</v>
      </c>
      <c r="D77" s="29"/>
      <c r="E77" s="30"/>
      <c r="F77" s="30"/>
      <c r="G77" s="31"/>
      <c r="H77" s="32" t="s">
        <v>128</v>
      </c>
      <c r="I77" s="32" t="s">
        <v>128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C79" s="34" t="s">
        <v>147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 t="s">
        <v>148</v>
      </c>
      <c r="C80" s="20" t="s">
        <v>149</v>
      </c>
      <c r="D80" s="29"/>
      <c r="E80" s="30"/>
      <c r="F80" s="30"/>
      <c r="G80" s="31"/>
      <c r="H80" s="32">
        <v>390</v>
      </c>
      <c r="I80" s="32">
        <v>5.17</v>
      </c>
      <c r="J80" s="33"/>
    </row>
    <row r="81" spans="1:10" x14ac:dyDescent="0.25">
      <c r="C81" s="28" t="s">
        <v>126</v>
      </c>
      <c r="D81" s="29"/>
      <c r="E81" s="30"/>
      <c r="F81" s="30"/>
      <c r="G81" s="31"/>
      <c r="H81" s="35">
        <v>390</v>
      </c>
      <c r="I81" s="35">
        <v>5.17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150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151</v>
      </c>
      <c r="D84" s="29"/>
      <c r="E84" s="30"/>
      <c r="F84" s="30"/>
      <c r="G84" s="31"/>
      <c r="H84" s="32">
        <v>42.95</v>
      </c>
      <c r="I84" s="32">
        <v>0.56999999999999995</v>
      </c>
      <c r="J84" s="33"/>
    </row>
    <row r="85" spans="1:10" x14ac:dyDescent="0.25">
      <c r="C85" s="28" t="s">
        <v>126</v>
      </c>
      <c r="D85" s="29"/>
      <c r="E85" s="30"/>
      <c r="F85" s="30"/>
      <c r="G85" s="31"/>
      <c r="H85" s="35">
        <v>42.95</v>
      </c>
      <c r="I85" s="35">
        <v>0.56999999999999995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5.75" thickBot="1" x14ac:dyDescent="0.3">
      <c r="C87" s="36" t="s">
        <v>152</v>
      </c>
      <c r="D87" s="37"/>
      <c r="E87" s="38"/>
      <c r="F87" s="39"/>
      <c r="G87" s="40"/>
      <c r="H87" s="41">
        <v>7537.72</v>
      </c>
      <c r="I87" s="41">
        <f>SUMIFS(I:I,C:C,"Total")</f>
        <v>100</v>
      </c>
      <c r="J87" s="42"/>
    </row>
    <row r="90" spans="1:10" x14ac:dyDescent="0.25">
      <c r="C90" s="11" t="s">
        <v>153</v>
      </c>
    </row>
    <row r="91" spans="1:10" x14ac:dyDescent="0.25">
      <c r="C91" s="2" t="s">
        <v>154</v>
      </c>
    </row>
    <row r="92" spans="1:10" x14ac:dyDescent="0.25">
      <c r="C92" s="2" t="s">
        <v>155</v>
      </c>
    </row>
    <row r="93" spans="1:10" x14ac:dyDescent="0.25">
      <c r="C93" s="2" t="s">
        <v>156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AF29-65E3-4193-906E-3087D6CCD729}">
  <dimension ref="B3:J17"/>
  <sheetViews>
    <sheetView workbookViewId="0">
      <selection activeCell="B3" sqref="B3"/>
    </sheetView>
  </sheetViews>
  <sheetFormatPr defaultRowHeight="15" x14ac:dyDescent="0.25"/>
  <cols>
    <col min="2" max="2" width="66.1406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157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158</v>
      </c>
      <c r="C4" s="50" t="s">
        <v>159</v>
      </c>
      <c r="D4" s="50"/>
      <c r="E4" s="50" t="s">
        <v>160</v>
      </c>
      <c r="F4" s="50"/>
      <c r="G4" s="50" t="s">
        <v>161</v>
      </c>
      <c r="H4" s="50"/>
      <c r="I4" s="50" t="s">
        <v>162</v>
      </c>
      <c r="J4" s="50"/>
    </row>
    <row r="5" spans="2:10" ht="63.75" x14ac:dyDescent="0.25">
      <c r="B5" s="46"/>
      <c r="C5" s="47" t="s">
        <v>163</v>
      </c>
      <c r="D5" s="47" t="s">
        <v>164</v>
      </c>
      <c r="E5" s="47" t="s">
        <v>163</v>
      </c>
      <c r="F5" s="47" t="s">
        <v>164</v>
      </c>
      <c r="G5" s="47" t="s">
        <v>163</v>
      </c>
      <c r="H5" s="47" t="s">
        <v>164</v>
      </c>
      <c r="I5" s="47" t="s">
        <v>163</v>
      </c>
      <c r="J5" s="47" t="s">
        <v>164</v>
      </c>
    </row>
    <row r="6" spans="2:10" x14ac:dyDescent="0.25">
      <c r="B6" s="48" t="s">
        <v>165</v>
      </c>
      <c r="C6" s="49">
        <v>38.91333784698714</v>
      </c>
      <c r="D6" s="49">
        <v>13891.333784698712</v>
      </c>
      <c r="E6" s="49">
        <v>19.82228110239792</v>
      </c>
      <c r="F6" s="49">
        <v>17228.928309016479</v>
      </c>
      <c r="G6" s="49">
        <v>17.144812483045403</v>
      </c>
      <c r="H6" s="49">
        <v>22079.634113532415</v>
      </c>
      <c r="I6" s="49">
        <v>12.200084225467055</v>
      </c>
      <c r="J6" s="49">
        <v>164140</v>
      </c>
    </row>
    <row r="7" spans="2:10" x14ac:dyDescent="0.25">
      <c r="B7" s="48" t="s">
        <v>166</v>
      </c>
      <c r="C7" s="49">
        <v>39.470503044377821</v>
      </c>
      <c r="D7" s="49">
        <v>13947.050304437782</v>
      </c>
      <c r="E7" s="49">
        <v>19.407489936747769</v>
      </c>
      <c r="F7" s="49">
        <v>17025.297417990969</v>
      </c>
      <c r="G7" s="49">
        <v>18.978700634174373</v>
      </c>
      <c r="H7" s="49">
        <v>23842.188015855267</v>
      </c>
      <c r="I7" s="49">
        <v>0</v>
      </c>
      <c r="J7" s="49">
        <v>0</v>
      </c>
    </row>
    <row r="8" spans="2:10" x14ac:dyDescent="0.25">
      <c r="B8" s="48" t="s">
        <v>167</v>
      </c>
      <c r="C8" s="49">
        <v>28.492876760956243</v>
      </c>
      <c r="D8" s="49">
        <v>12849.287676095624</v>
      </c>
      <c r="E8" s="49">
        <v>16.115106388147172</v>
      </c>
      <c r="F8" s="49">
        <v>15655.47227021071</v>
      </c>
      <c r="G8" s="49">
        <v>16.635380178201984</v>
      </c>
      <c r="H8" s="49">
        <v>21584.974827531092</v>
      </c>
      <c r="I8" s="49">
        <v>13.08550617975046</v>
      </c>
      <c r="J8" s="49">
        <v>310372.19457430934</v>
      </c>
    </row>
    <row r="9" spans="2:10" x14ac:dyDescent="0.25">
      <c r="B9" s="48" t="s">
        <v>168</v>
      </c>
      <c r="C9" s="51">
        <v>118.16</v>
      </c>
      <c r="D9" s="52"/>
      <c r="E9" s="51">
        <v>95.27</v>
      </c>
      <c r="F9" s="52"/>
      <c r="G9" s="51">
        <v>74.34</v>
      </c>
      <c r="H9" s="52"/>
      <c r="I9" s="51">
        <v>10</v>
      </c>
      <c r="J9" s="52"/>
    </row>
    <row r="11" spans="2:10" ht="15.75" x14ac:dyDescent="0.25">
      <c r="B11" s="43" t="s">
        <v>169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158</v>
      </c>
      <c r="C12" s="50" t="s">
        <v>159</v>
      </c>
      <c r="D12" s="50"/>
      <c r="E12" s="50" t="s">
        <v>160</v>
      </c>
      <c r="F12" s="50"/>
      <c r="G12" s="50" t="s">
        <v>161</v>
      </c>
      <c r="H12" s="50"/>
      <c r="I12" s="50" t="s">
        <v>162</v>
      </c>
      <c r="J12" s="50"/>
    </row>
    <row r="13" spans="2:10" ht="63.75" x14ac:dyDescent="0.25">
      <c r="B13" s="46"/>
      <c r="C13" s="47" t="s">
        <v>163</v>
      </c>
      <c r="D13" s="47" t="s">
        <v>164</v>
      </c>
      <c r="E13" s="47" t="s">
        <v>163</v>
      </c>
      <c r="F13" s="47" t="s">
        <v>164</v>
      </c>
      <c r="G13" s="47" t="s">
        <v>163</v>
      </c>
      <c r="H13" s="47" t="s">
        <v>164</v>
      </c>
      <c r="I13" s="47" t="s">
        <v>163</v>
      </c>
      <c r="J13" s="47" t="s">
        <v>164</v>
      </c>
    </row>
    <row r="14" spans="2:10" x14ac:dyDescent="0.25">
      <c r="B14" s="48" t="s">
        <v>165</v>
      </c>
      <c r="C14" s="49">
        <v>39.820288484275238</v>
      </c>
      <c r="D14" s="49">
        <v>13982.028848427522</v>
      </c>
      <c r="E14" s="49">
        <v>20.642154864036911</v>
      </c>
      <c r="F14" s="49">
        <v>17586.001784475066</v>
      </c>
      <c r="G14" s="49">
        <v>17.963065648564669</v>
      </c>
      <c r="H14" s="49">
        <v>22862.482278644151</v>
      </c>
      <c r="I14" s="49">
        <v>14.609652735238999</v>
      </c>
      <c r="J14" s="49">
        <v>45849.056603773577</v>
      </c>
    </row>
    <row r="15" spans="2:10" x14ac:dyDescent="0.25">
      <c r="B15" s="48" t="s">
        <v>166</v>
      </c>
      <c r="C15" s="49">
        <v>39.470503044377821</v>
      </c>
      <c r="D15" s="49">
        <v>13947.050304437782</v>
      </c>
      <c r="E15" s="49">
        <v>19.407489936747769</v>
      </c>
      <c r="F15" s="49">
        <v>17025.297417990969</v>
      </c>
      <c r="G15" s="49">
        <v>18.978700634174373</v>
      </c>
      <c r="H15" s="49">
        <v>23842.188015855267</v>
      </c>
      <c r="I15" s="49">
        <v>15.102953961965081</v>
      </c>
      <c r="J15" s="49">
        <v>48101.66778076069</v>
      </c>
    </row>
    <row r="16" spans="2:10" x14ac:dyDescent="0.25">
      <c r="B16" s="48" t="s">
        <v>167</v>
      </c>
      <c r="C16" s="49">
        <v>28.492876760956243</v>
      </c>
      <c r="D16" s="49">
        <v>12849.287676095624</v>
      </c>
      <c r="E16" s="49">
        <v>16.115106388147172</v>
      </c>
      <c r="F16" s="49">
        <v>15655.47227021071</v>
      </c>
      <c r="G16" s="49">
        <v>16.635380178201984</v>
      </c>
      <c r="H16" s="49">
        <v>21584.974827531092</v>
      </c>
      <c r="I16" s="49">
        <v>13.784897223929903</v>
      </c>
      <c r="J16" s="49">
        <v>42296.446655391228</v>
      </c>
    </row>
    <row r="17" spans="2:10" x14ac:dyDescent="0.25">
      <c r="B17" s="48" t="s">
        <v>170</v>
      </c>
      <c r="C17" s="51">
        <v>126.87</v>
      </c>
      <c r="D17" s="52"/>
      <c r="E17" s="51">
        <v>100.87</v>
      </c>
      <c r="F17" s="52"/>
      <c r="G17" s="51">
        <v>77.59</v>
      </c>
      <c r="H17" s="52"/>
      <c r="I17" s="51">
        <v>38.69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2024-03-05T10:11:06Z</dcterms:created>
  <dcterms:modified xsi:type="dcterms:W3CDTF">2024-03-06T10:29:29Z</dcterms:modified>
</cp:coreProperties>
</file>