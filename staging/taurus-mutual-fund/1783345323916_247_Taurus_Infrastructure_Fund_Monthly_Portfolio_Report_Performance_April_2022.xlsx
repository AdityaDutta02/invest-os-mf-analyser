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Performance'!$C$8:$C$47</definedName>
    <definedName name="XDO_?FINAL_ISIN?7?">'TISF-Risk-O-Meter &amp; Performance'!$D$10:$D$47</definedName>
    <definedName name="XDO_?FINAL_ISIN?8?">'TISF-Risk-O-Meter &amp; Performance'!$D$10:$D$89</definedName>
    <definedName name="XDO_?FINAL_MV?7?">'TISF-Risk-O-Meter &amp; Performance'!$H$10:$H$47</definedName>
    <definedName name="XDO_?FINAL_MV?8?">'TISF-Risk-O-Meter &amp; Performance'!$H$10:$H$89</definedName>
    <definedName name="XDO_?FINAL_NAME?7?">'TISF-Risk-O-Meter &amp; Performance'!$C$10:$C$47</definedName>
    <definedName name="XDO_?FINAL_NAME?8?">'TISF-Risk-O-Meter &amp; Performance'!$C$10:$C$89</definedName>
    <definedName name="XDO_?FINAL_PER_NET?7?">'TISF-Risk-O-Meter &amp; Performance'!$I$10:$I$47</definedName>
    <definedName name="XDO_?FINAL_PER_NET?8?">'TISF-Risk-O-Meter &amp; Performance'!$I$10:$I$89</definedName>
    <definedName name="XDO_?FINAL_QUANTITE?7?">'TISF-Risk-O-Meter &amp; Performance'!$G$10:$G$47</definedName>
    <definedName name="XDO_?FINAL_QUANTITE?8?">'TISF-Risk-O-Meter &amp; Performance'!$G$10:$G$89</definedName>
    <definedName name="XDO_?IND_01?7?">'TISF-Risk-O-Meter &amp; Performance'!$F$10:$F$47</definedName>
    <definedName name="XDO_?IND_01?8?">'TISF-Risk-O-Meter &amp; Performance'!$F$10:$F$89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Performance'!$B$10:$B$47</definedName>
    <definedName name="XDO_?NOVAL?8?">'TISF-Risk-O-Meter &amp; Performance'!$B$10:$B$89</definedName>
    <definedName name="XDO_?NPTF?4?">'TISF-Risk-O-Meter &amp; Performance'!$D$2:$D$47</definedName>
    <definedName name="XDO_?RATING?7?">'TISF-Risk-O-Meter &amp; Performance'!$E$10:$E$47</definedName>
    <definedName name="XDO_?RATING?8?">'TISF-Risk-O-Meter &amp; Performance'!$E$10:$E$89</definedName>
    <definedName name="XDO_?REMARKS?7?">'TISF-Risk-O-Meter &amp; Performance'!$J$10:$J$47</definedName>
    <definedName name="XDO_?REMARKS?8?">'TISF-Risk-O-Meter &amp; Performance'!$J$10:$J$89</definedName>
    <definedName name="XDO_?TITL?4?">'TISF-Risk-O-Meter &amp; Performance'!$A$8:$A$47</definedName>
    <definedName name="XDO_GROUP_?G_2?4?">'TISF-Risk-O-Meter &amp; Performance'!$2:$92</definedName>
    <definedName name="XDO_GROUP_?G_3?4?">'TISF-Risk-O-Meter &amp; Performance'!$8:$91</definedName>
    <definedName name="XDO_GROUP_?G_4?7?">'TISF-Risk-O-Meter &amp; Performance'!$B$10:$IV$47</definedName>
    <definedName name="XDO_GROUP_?G_4?8?">'TISF-Risk-O-Meter &amp; Performance'!$B$89:$IV$89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<sst xmlns="http://schemas.openxmlformats.org/spreadsheetml/2006/main" count="263" uniqueCount="194">
  <si>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</si>
  <si>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</si>
  <si>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</si>
  <si>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</si>
  <si>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</si>
  <si>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</si>
  <si>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</si>
  <si>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</si>
  <si>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</si>
  <si>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</si>
  <si>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</si>
  <si>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</si>
  <si>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</si>
  <si>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</si>
  <si>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</si>
  <si>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</si>
  <si>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</si>
  <si>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</si>
  <si>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</si>
  <si>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</si>
  <si>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</si>
  <si>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</si>
  <si>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</si>
  <si>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</si>
  <si>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</si>
  <si>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</si>
  <si>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</si>
  <si>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</si>
  <si>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</si>
  <si>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</si>
  <si>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 Infrastructure</t>
  </si>
  <si>
    <t>100161</t>
  </si>
  <si>
    <t>Cummins India Ltd.</t>
  </si>
  <si>
    <t>INE298A01020</t>
  </si>
  <si>
    <t>Industrial Products</t>
  </si>
  <si>
    <t>100302</t>
  </si>
  <si>
    <t>DLF Ltd.</t>
  </si>
  <si>
    <t>INE271C01023</t>
  </si>
  <si>
    <t>Realty</t>
  </si>
  <si>
    <t>100095</t>
  </si>
  <si>
    <t>Bharti Airtel Ltd.</t>
  </si>
  <si>
    <t>INE397D01024</t>
  </si>
  <si>
    <t>Telecom - Services</t>
  </si>
  <si>
    <t>100816</t>
  </si>
  <si>
    <t>APL Apollo Tubes Ltd.</t>
  </si>
  <si>
    <t>INE702C01027</t>
  </si>
  <si>
    <t>100183</t>
  </si>
  <si>
    <t>Vedanta Ltd.</t>
  </si>
  <si>
    <t>INE205A01025</t>
  </si>
  <si>
    <t>Diversified Metals</t>
  </si>
  <si>
    <t>100553</t>
  </si>
  <si>
    <t>Kennametal India Ltd.</t>
  </si>
  <si>
    <t>INE717A01029</t>
  </si>
  <si>
    <t>Industrial Manufacturing</t>
  </si>
  <si>
    <t>100571</t>
  </si>
  <si>
    <t>KNR Constructions Ltd.</t>
  </si>
  <si>
    <t>INE634I01029</t>
  </si>
  <si>
    <t>100654</t>
  </si>
  <si>
    <t>Automotive Axles Ltd.</t>
  </si>
  <si>
    <t>INE449A01011</t>
  </si>
  <si>
    <t>Auto Components</t>
  </si>
  <si>
    <t>100193</t>
  </si>
  <si>
    <t>JSW Steel Ltd.</t>
  </si>
  <si>
    <t>INE019A01038</t>
  </si>
  <si>
    <t>Ferrous Metals</t>
  </si>
  <si>
    <t>100143</t>
  </si>
  <si>
    <t>Thermax Ltd.</t>
  </si>
  <si>
    <t>INE152A01029</t>
  </si>
  <si>
    <t>Electrical Equipment</t>
  </si>
  <si>
    <t>100035</t>
  </si>
  <si>
    <t>NMDC Ltd.</t>
  </si>
  <si>
    <t>INE584A01023</t>
  </si>
  <si>
    <t>Minerals &amp; Mining</t>
  </si>
  <si>
    <t>100423</t>
  </si>
  <si>
    <t>Maharashtra Seamless Ltd.</t>
  </si>
  <si>
    <t>INE271B01025</t>
  </si>
  <si>
    <t>100374</t>
  </si>
  <si>
    <t>CESC Ltd.</t>
  </si>
  <si>
    <t>INE486A01021</t>
  </si>
  <si>
    <t>Power</t>
  </si>
  <si>
    <t>100315</t>
  </si>
  <si>
    <t>Prestige Estates Projects Ltd.</t>
  </si>
  <si>
    <t>INE811K01011</t>
  </si>
  <si>
    <t>100115</t>
  </si>
  <si>
    <t>Siemens Ltd.</t>
  </si>
  <si>
    <t>INE003A01024</t>
  </si>
  <si>
    <t>101412</t>
  </si>
  <si>
    <t>Punjab Chemicals &amp; Crop Protection Ltd.</t>
  </si>
  <si>
    <t>INE277B01014</t>
  </si>
  <si>
    <t>Fertilizers &amp; Agrochemicals</t>
  </si>
  <si>
    <t>100446</t>
  </si>
  <si>
    <t>V.S.T Tillers Tractors Ltd.</t>
  </si>
  <si>
    <t>INE764D01017</t>
  </si>
  <si>
    <t>Agricultural, Commercial &amp; Construction Vehicles</t>
  </si>
  <si>
    <t>101348</t>
  </si>
  <si>
    <t>Ami Organics Ltd.</t>
  </si>
  <si>
    <t>INE00FF01017</t>
  </si>
  <si>
    <t>Pharmaceuticals &amp; Biotechnology</t>
  </si>
  <si>
    <t>100282</t>
  </si>
  <si>
    <t>Blue Star Ltd.</t>
  </si>
  <si>
    <t>INE472A01039</t>
  </si>
  <si>
    <t>Consumer Durables</t>
  </si>
  <si>
    <t>100281</t>
  </si>
  <si>
    <t>Century Textiles &amp; Industries Ltd.</t>
  </si>
  <si>
    <t>INE055A01016</t>
  </si>
  <si>
    <t>Paper, Forest &amp; Jute Products</t>
  </si>
  <si>
    <t>100843</t>
  </si>
  <si>
    <t>Dalmia Bharat Ltd.</t>
  </si>
  <si>
    <t>INE00R701025</t>
  </si>
  <si>
    <t>101415</t>
  </si>
  <si>
    <t>HINDUSTAN OIL EXPLORATION CO.LTD.</t>
  </si>
  <si>
    <t>INE345A01011</t>
  </si>
  <si>
    <t>Oil</t>
  </si>
  <si>
    <t>100406</t>
  </si>
  <si>
    <t>KSB Ltd.</t>
  </si>
  <si>
    <t>INE999A01015</t>
  </si>
  <si>
    <t>100182</t>
  </si>
  <si>
    <t>Power Grid Corporation of India Ltd.</t>
  </si>
  <si>
    <t>INE752E01010</t>
  </si>
  <si>
    <t>100378</t>
  </si>
  <si>
    <t>Jindal Steel &amp; Power Ltd.</t>
  </si>
  <si>
    <t>INE749A01030</t>
  </si>
  <si>
    <t>100399</t>
  </si>
  <si>
    <t>Cholamandalam Investment &amp; Finance Co. Ltd.</t>
  </si>
  <si>
    <t>INE121A01024</t>
  </si>
  <si>
    <t>Finance</t>
  </si>
  <si>
    <t>100461</t>
  </si>
  <si>
    <t>Astral Limited</t>
  </si>
  <si>
    <t>INE006I01046</t>
  </si>
  <si>
    <t>100665</t>
  </si>
  <si>
    <t>Aditya Birla Capital Ltd.</t>
  </si>
  <si>
    <t>INE674K01013</t>
  </si>
  <si>
    <t>Insurance</t>
  </si>
  <si>
    <t>100218</t>
  </si>
  <si>
    <t>Godrej Properties Ltd.</t>
  </si>
  <si>
    <t>INE484J01027</t>
  </si>
  <si>
    <t>100090</t>
  </si>
  <si>
    <t>Bharat Forge Ltd.</t>
  </si>
  <si>
    <t>INE465A01025</t>
  </si>
  <si>
    <t>100232</t>
  </si>
  <si>
    <t>Bharat Bijlee Ltd.</t>
  </si>
  <si>
    <t>INE464A01028</t>
  </si>
  <si>
    <t>100271</t>
  </si>
  <si>
    <t>Balkrishna Industries Ltd.</t>
  </si>
  <si>
    <t>INE787D01026</t>
  </si>
  <si>
    <t>100718</t>
  </si>
  <si>
    <t>Network18 Media &amp; Investments Ltd.</t>
  </si>
  <si>
    <t>INE870H01013</t>
  </si>
  <si>
    <t>Entertainment</t>
  </si>
  <si>
    <t>100229</t>
  </si>
  <si>
    <t>NCC Ltd.</t>
  </si>
  <si>
    <t>INE868B01028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</si>
  <si>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</si>
  <si>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</si>
  <si>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</si>
  <si>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</si>
  <si>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</si>
  <si>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</si>
  <si>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</si>
  <si>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</si>
  <si>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</si>
  <si>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</si>
  <si>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</si>
  <si>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</si>
  <si>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</si>
  <si>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</si>
  <si>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</si>
  <si>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</si>
  <si>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</si>
  <si>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</si>
  <si>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</si>
  <si>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</si>
  <si>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</si>
  <si>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</si>
  <si>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</si>
  <si>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</si>
  <si>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</si>
  <si>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</si>
  <si>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</si>
  <si>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</si>
  <si>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</si>
  <si>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</si>
  <si>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</si>
  <si>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</si>
  <si>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</si>
  <si>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</si>
  <si>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</si>
  <si>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</si>
  <si>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</si>
  <si>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</si>
  <si>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</si>
  <si>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April 29, 2022 : 39.67)</t>
  </si>
  <si>
    <t>Taurus Infrastructure Fund - Direct Plan Growth Option</t>
  </si>
  <si>
    <t>NAV [Rs.] Per Unit (as on April 29, 2022 : 41.95)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</si>
</sst>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1652</v>
      </c>
      <c r="H10" s="32">
        <v>46.1</v>
      </c>
      <c r="I10" s="32">
        <v>8.6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1906</v>
      </c>
      <c r="H11" s="32">
        <v>32.32</v>
      </c>
      <c r="I11" s="32">
        <v>6.03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443</v>
      </c>
      <c r="H12" s="32">
        <v>29.37</v>
      </c>
      <c r="I12" s="32">
        <v>5.48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3302</v>
      </c>
      <c r="H13" s="32">
        <v>28.28</v>
      </c>
      <c r="I13" s="32">
        <v>5.28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2041</v>
      </c>
      <c r="H14" s="32">
        <v>21.02</v>
      </c>
      <c r="I14" s="32">
        <v>3.92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5525</v>
      </c>
      <c r="H15" s="32">
        <v>20.57</v>
      </c>
      <c r="I15" s="32">
        <v>3.84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2753</v>
      </c>
      <c r="H16" s="32">
        <v>20.36</v>
      </c>
      <c r="I16" s="32">
        <v>3.8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34</v>
      </c>
      <c r="G17" s="31">
        <v>1871</v>
      </c>
      <c r="H17" s="32">
        <v>19.170000000000002</v>
      </c>
      <c r="I17" s="32">
        <v>3.58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4140</v>
      </c>
      <c r="H18" s="32">
        <v>16.91</v>
      </c>
      <c r="I18" s="32">
        <v>3.15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884</v>
      </c>
      <c r="H19" s="32">
        <v>16.850000000000001</v>
      </c>
      <c r="I19" s="32">
        <v>3.14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22</v>
      </c>
      <c r="G20" s="31">
        <v>5897</v>
      </c>
      <c r="H20" s="32">
        <v>15.97</v>
      </c>
      <c r="I20" s="32">
        <v>2.98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968</v>
      </c>
      <c r="H21" s="32">
        <v>15.63</v>
      </c>
      <c r="I21" s="32">
        <v>2.92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2122</v>
      </c>
      <c r="H22" s="32">
        <v>15.42</v>
      </c>
      <c r="I22" s="32">
        <v>2.88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707</v>
      </c>
      <c r="H23" s="32">
        <v>15</v>
      </c>
      <c r="I23" s="32">
        <v>2.8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8679</v>
      </c>
      <c r="H24" s="32">
        <v>13.95</v>
      </c>
      <c r="I24" s="32">
        <v>2.6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34</v>
      </c>
      <c r="G25" s="31">
        <v>2355</v>
      </c>
      <c r="H25" s="32">
        <v>13.9</v>
      </c>
      <c r="I25" s="32">
        <v>2.59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15886</v>
      </c>
      <c r="H26" s="32">
        <v>13.61</v>
      </c>
      <c r="I26" s="32">
        <v>2.54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38</v>
      </c>
      <c r="G27" s="31">
        <v>2732</v>
      </c>
      <c r="H27" s="32">
        <v>12.96</v>
      </c>
      <c r="I27" s="32">
        <v>2.42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68</v>
      </c>
      <c r="G28" s="31">
        <v>562</v>
      </c>
      <c r="H28" s="32">
        <v>12.76</v>
      </c>
      <c r="I28" s="32">
        <v>2.38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774</v>
      </c>
      <c r="H29" s="32">
        <v>10.98</v>
      </c>
      <c r="I29" s="32">
        <v>2.0499999999999998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350</v>
      </c>
      <c r="H30" s="32">
        <v>9.77</v>
      </c>
      <c r="I30" s="32">
        <v>1.82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821</v>
      </c>
      <c r="H31" s="32">
        <v>9.32</v>
      </c>
      <c r="I31" s="32">
        <v>1.74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814</v>
      </c>
      <c r="H32" s="32">
        <v>9.27</v>
      </c>
      <c r="I32" s="32">
        <v>1.73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1069</v>
      </c>
      <c r="H33" s="32">
        <v>8.94</v>
      </c>
      <c r="I33" s="32">
        <v>1.67</v>
      </c>
      <c r="J33" s="33"/>
    </row>
    <row r="34" spans="2:10">
      <c r="B34" s="1" t="s">
        <v>106</v>
      </c>
      <c r="C34" s="20" t="s">
        <v>107</v>
      </c>
      <c r="D34" s="29" t="s">
        <v>108</v>
      </c>
      <c r="E34" s="30"/>
      <c r="F34" s="30" t="s">
        <v>26</v>
      </c>
      <c r="G34" s="31">
        <v>578</v>
      </c>
      <c r="H34" s="32">
        <v>8.7799999999999994</v>
      </c>
      <c r="I34" s="32">
        <v>1.64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112</v>
      </c>
      <c r="G35" s="31">
        <v>4217</v>
      </c>
      <c r="H35" s="32">
        <v>8.5299999999999994</v>
      </c>
      <c r="I35" s="32">
        <v>1.59</v>
      </c>
      <c r="J35" s="33"/>
    </row>
    <row r="36" spans="2:10">
      <c r="B36" s="1" t="s">
        <v>113</v>
      </c>
      <c r="C36" s="20" t="s">
        <v>114</v>
      </c>
      <c r="D36" s="29" t="s">
        <v>115</v>
      </c>
      <c r="E36" s="30"/>
      <c r="F36" s="30" t="s">
        <v>34</v>
      </c>
      <c r="G36" s="31">
        <v>642</v>
      </c>
      <c r="H36" s="32">
        <v>8.5</v>
      </c>
      <c r="I36" s="32">
        <v>1.59</v>
      </c>
      <c r="J36" s="33"/>
    </row>
    <row r="37" spans="2:10">
      <c r="B37" s="1" t="s">
        <v>116</v>
      </c>
      <c r="C37" s="20" t="s">
        <v>117</v>
      </c>
      <c r="D37" s="29" t="s">
        <v>118</v>
      </c>
      <c r="E37" s="30"/>
      <c r="F37" s="30" t="s">
        <v>79</v>
      </c>
      <c r="G37" s="31">
        <v>3644</v>
      </c>
      <c r="H37" s="32">
        <v>8.2899999999999991</v>
      </c>
      <c r="I37" s="32">
        <v>1.55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64</v>
      </c>
      <c r="G38" s="31">
        <v>1525</v>
      </c>
      <c r="H38" s="32">
        <v>8.24</v>
      </c>
      <c r="I38" s="32">
        <v>1.54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1084</v>
      </c>
      <c r="H39" s="32">
        <v>8.02</v>
      </c>
      <c r="I39" s="32">
        <v>1.5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34</v>
      </c>
      <c r="G40" s="31">
        <v>357</v>
      </c>
      <c r="H40" s="32">
        <v>7.69</v>
      </c>
      <c r="I40" s="32">
        <v>1.43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6209</v>
      </c>
      <c r="H41" s="32">
        <v>7.5</v>
      </c>
      <c r="I41" s="32">
        <v>1.4</v>
      </c>
      <c r="J41" s="33"/>
    </row>
    <row r="42" spans="2:10">
      <c r="B42" s="1" t="s">
        <v>133</v>
      </c>
      <c r="C42" s="20" t="s">
        <v>134</v>
      </c>
      <c r="D42" s="29" t="s">
        <v>135</v>
      </c>
      <c r="E42" s="30"/>
      <c r="F42" s="30" t="s">
        <v>38</v>
      </c>
      <c r="G42" s="31">
        <v>448</v>
      </c>
      <c r="H42" s="32">
        <v>7.05</v>
      </c>
      <c r="I42" s="32">
        <v>1.31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34</v>
      </c>
      <c r="G43" s="31">
        <v>959</v>
      </c>
      <c r="H43" s="32">
        <v>6.72</v>
      </c>
      <c r="I43" s="32">
        <v>1.25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68</v>
      </c>
      <c r="G44" s="31">
        <v>388</v>
      </c>
      <c r="H44" s="32">
        <v>6.64</v>
      </c>
      <c r="I44" s="32">
        <v>1.24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60</v>
      </c>
      <c r="G45" s="31">
        <v>297</v>
      </c>
      <c r="H45" s="32">
        <v>6.37</v>
      </c>
      <c r="I45" s="32">
        <v>1.19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4739</v>
      </c>
      <c r="H46" s="32">
        <v>4.09</v>
      </c>
      <c r="I46" s="32">
        <v>0.76</v>
      </c>
      <c r="J46" s="33"/>
    </row>
    <row r="47" spans="2:10">
      <c r="B47" s="1" t="s">
        <v>149</v>
      </c>
      <c r="C47" s="20" t="s">
        <v>150</v>
      </c>
      <c r="D47" s="29" t="s">
        <v>151</v>
      </c>
      <c r="E47" s="30"/>
      <c r="F47" s="30" t="s">
        <v>22</v>
      </c>
      <c r="G47" s="31">
        <v>5500</v>
      </c>
      <c r="H47" s="32">
        <v>3.75</v>
      </c>
      <c r="I47" s="32">
        <v>0.7</v>
      </c>
      <c r="J47" s="33"/>
    </row>
    <row r="48" spans="2:10">
      <c r="C48" s="28" t="s">
        <v>152</v>
      </c>
      <c r="D48" s="29"/>
      <c r="E48" s="30"/>
      <c r="F48" s="30"/>
      <c r="G48" s="31"/>
      <c r="H48" s="35">
        <v>528.6</v>
      </c>
      <c r="I48" s="35">
        <v>98.63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153</v>
      </c>
      <c r="D50" s="29"/>
      <c r="E50" s="30"/>
      <c r="F50" s="30"/>
      <c r="G50" s="31"/>
      <c r="H50" s="32" t="s">
        <v>154</v>
      </c>
      <c r="I50" s="32" t="s">
        <v>154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155</v>
      </c>
      <c r="D52" s="29"/>
      <c r="E52" s="30"/>
      <c r="F52" s="30"/>
      <c r="G52" s="31"/>
      <c r="H52" s="32" t="s">
        <v>154</v>
      </c>
      <c r="I52" s="32" t="s">
        <v>154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156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157</v>
      </c>
      <c r="D56" s="29"/>
      <c r="E56" s="30"/>
      <c r="F56" s="30"/>
      <c r="G56" s="31"/>
      <c r="H56" s="32" t="s">
        <v>154</v>
      </c>
      <c r="I56" s="32" t="s">
        <v>154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158</v>
      </c>
      <c r="D58" s="29"/>
      <c r="E58" s="30"/>
      <c r="F58" s="30"/>
      <c r="G58" s="31"/>
      <c r="H58" s="32" t="s">
        <v>154</v>
      </c>
      <c r="I58" s="32" t="s">
        <v>154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159</v>
      </c>
      <c r="D60" s="29"/>
      <c r="E60" s="30"/>
      <c r="F60" s="30"/>
      <c r="G60" s="31"/>
      <c r="H60" s="32" t="s">
        <v>154</v>
      </c>
      <c r="I60" s="32" t="s">
        <v>154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160</v>
      </c>
      <c r="D62" s="29"/>
      <c r="E62" s="30"/>
      <c r="F62" s="30"/>
      <c r="G62" s="31"/>
      <c r="H62" s="32" t="s">
        <v>154</v>
      </c>
      <c r="I62" s="32" t="s">
        <v>154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161</v>
      </c>
      <c r="D64" s="29"/>
      <c r="E64" s="30"/>
      <c r="F64" s="30"/>
      <c r="G64" s="31"/>
      <c r="H64" s="32" t="s">
        <v>154</v>
      </c>
      <c r="I64" s="32" t="s">
        <v>154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162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163</v>
      </c>
      <c r="D68" s="29"/>
      <c r="E68" s="30"/>
      <c r="F68" s="30"/>
      <c r="G68" s="31"/>
      <c r="H68" s="32" t="s">
        <v>154</v>
      </c>
      <c r="I68" s="32" t="s">
        <v>154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164</v>
      </c>
      <c r="D70" s="29"/>
      <c r="E70" s="30"/>
      <c r="F70" s="30"/>
      <c r="G70" s="31"/>
      <c r="H70" s="32" t="s">
        <v>154</v>
      </c>
      <c r="I70" s="32" t="s">
        <v>154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165</v>
      </c>
      <c r="D72" s="29"/>
      <c r="E72" s="30"/>
      <c r="F72" s="30"/>
      <c r="G72" s="31"/>
      <c r="H72" s="32" t="s">
        <v>154</v>
      </c>
      <c r="I72" s="32" t="s">
        <v>154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166</v>
      </c>
      <c r="D74" s="29"/>
      <c r="E74" s="30"/>
      <c r="F74" s="30"/>
      <c r="G74" s="31"/>
      <c r="H74" s="32" t="s">
        <v>154</v>
      </c>
      <c r="I74" s="32" t="s">
        <v>154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167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168</v>
      </c>
      <c r="D78" s="29"/>
      <c r="E78" s="30"/>
      <c r="F78" s="30"/>
      <c r="G78" s="31"/>
      <c r="H78" s="32" t="s">
        <v>154</v>
      </c>
      <c r="I78" s="32" t="s">
        <v>154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169</v>
      </c>
      <c r="D80" s="29"/>
      <c r="E80" s="30"/>
      <c r="F80" s="30"/>
      <c r="G80" s="31"/>
      <c r="H80" s="32" t="s">
        <v>154</v>
      </c>
      <c r="I80" s="32" t="s">
        <v>154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170</v>
      </c>
      <c r="D82" s="29"/>
      <c r="E82" s="30"/>
      <c r="F82" s="30"/>
      <c r="G82" s="31"/>
      <c r="H82" s="32" t="s">
        <v>154</v>
      </c>
      <c r="I82" s="32" t="s">
        <v>154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171</v>
      </c>
      <c r="D84" s="29"/>
      <c r="E84" s="30"/>
      <c r="F84" s="30"/>
      <c r="G84" s="31"/>
      <c r="H84" s="32" t="s">
        <v>154</v>
      </c>
      <c r="I84" s="32" t="s">
        <v>154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172</v>
      </c>
      <c r="D86" s="29"/>
      <c r="E86" s="30"/>
      <c r="F86" s="30"/>
      <c r="G86" s="31"/>
      <c r="H86" s="32" t="s">
        <v>154</v>
      </c>
      <c r="I86" s="32" t="s">
        <v>154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173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174</v>
      </c>
      <c r="D89" s="29"/>
      <c r="E89" s="30"/>
      <c r="F89" s="30"/>
      <c r="G89" s="31"/>
      <c r="H89" s="32">
        <v>7.31</v>
      </c>
      <c r="I89" s="32">
        <v>1.37</v>
      </c>
      <c r="J89" s="33"/>
    </row>
    <row r="90" spans="1:10">
      <c r="C90" s="28" t="s">
        <v>152</v>
      </c>
      <c r="D90" s="29"/>
      <c r="E90" s="30"/>
      <c r="F90" s="30"/>
      <c r="G90" s="31"/>
      <c r="H90" s="35">
        <v>7.31</v>
      </c>
      <c r="I90" s="35">
        <v>1.37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8" thickBot="1">
      <c r="C92" s="36" t="s">
        <v>175</v>
      </c>
      <c r="D92" s="37"/>
      <c r="E92" s="38"/>
      <c r="F92" s="39"/>
      <c r="G92" s="40"/>
      <c r="H92" s="41">
        <v>535.91</v>
      </c>
      <c r="I92" s="41">
        <f>SUMIFS(I:I,C:C,"Total")</f>
        <v>100</v>
      </c>
      <c r="J92" s="42"/>
    </row>
    <row r="95" spans="1:10">
      <c r="C95" s="11" t="s">
        <v>176</v>
      </c>
    </row>
    <row r="96" spans="1:10">
      <c r="C96" s="2" t="s">
        <v>177</v>
      </c>
    </row>
    <row r="97" spans="3:3">
      <c r="C97" s="2" t="s">
        <v>178</v>
      </c>
    </row>
    <row r="98" spans="3:3">
      <c r="C98" s="2" t="s">
        <v>179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66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180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181</v>
      </c>
      <c r="B5" s="46" t="s">
        <v>182</v>
      </c>
      <c r="C5" s="46"/>
      <c r="D5" s="46" t="s">
        <v>183</v>
      </c>
      <c r="E5" s="46"/>
      <c r="F5" s="46" t="s">
        <v>184</v>
      </c>
      <c r="G5" s="46"/>
      <c r="H5" s="46" t="s">
        <v>185</v>
      </c>
      <c r="I5" s="46"/>
    </row>
    <row r="6" spans="1:9" ht="66">
      <c r="A6" s="47"/>
      <c r="B6" s="48" t="s">
        <v>186</v>
      </c>
      <c r="C6" s="48" t="s">
        <v>187</v>
      </c>
      <c r="D6" s="48" t="s">
        <v>186</v>
      </c>
      <c r="E6" s="48" t="s">
        <v>187</v>
      </c>
      <c r="F6" s="48" t="s">
        <v>186</v>
      </c>
      <c r="G6" s="48" t="s">
        <v>187</v>
      </c>
      <c r="H6" s="48" t="s">
        <v>186</v>
      </c>
      <c r="I6" s="48" t="s">
        <v>187</v>
      </c>
    </row>
    <row r="7" spans="1:9">
      <c r="A7" s="49" t="s">
        <v>188</v>
      </c>
      <c r="B7" s="50">
        <v>20.394537177541714</v>
      </c>
      <c r="C7" s="50">
        <v>12039.453717754173</v>
      </c>
      <c r="D7" s="50">
        <v>17.187626699585046</v>
      </c>
      <c r="E7" s="50">
        <v>16093.306288032456</v>
      </c>
      <c r="F7" s="50">
        <v>11.995872240626792</v>
      </c>
      <c r="G7" s="50">
        <v>17631.111111111113</v>
      </c>
      <c r="H7" s="50">
        <v>9.5128262174475999</v>
      </c>
      <c r="I7" s="50">
        <v>39670</v>
      </c>
    </row>
    <row r="8" spans="1:9">
      <c r="A8" s="49" t="s">
        <v>189</v>
      </c>
      <c r="B8" s="50">
        <v>28.539857059981944</v>
      </c>
      <c r="C8" s="50">
        <v>12853.985705998195</v>
      </c>
      <c r="D8" s="50">
        <v>20.27643685832561</v>
      </c>
      <c r="E8" s="50">
        <v>17399.696036454254</v>
      </c>
      <c r="F8" s="50">
        <v>11.443853608992228</v>
      </c>
      <c r="G8" s="50">
        <v>17190.187176843912</v>
      </c>
      <c r="H8" s="50">
        <v>5.3282218419395067</v>
      </c>
      <c r="I8" s="50">
        <v>21969.263970928816</v>
      </c>
    </row>
    <row r="9" spans="1:9">
      <c r="A9" s="49" t="s">
        <v>190</v>
      </c>
      <c r="B9" s="50">
        <v>18.238557925494668</v>
      </c>
      <c r="C9" s="50">
        <v>11823.855792549466</v>
      </c>
      <c r="D9" s="50">
        <v>14.671835507293384</v>
      </c>
      <c r="E9" s="50">
        <v>15078.921921285202</v>
      </c>
      <c r="F9" s="50">
        <v>14.338153723198266</v>
      </c>
      <c r="G9" s="50">
        <v>19541.409054914937</v>
      </c>
      <c r="H9" s="50">
        <v>12.188139880318371</v>
      </c>
      <c r="I9" s="50">
        <v>57184.433879292512</v>
      </c>
    </row>
    <row r="10" spans="1:9">
      <c r="A10" s="49" t="s">
        <v>191</v>
      </c>
      <c r="B10" s="51">
        <v>32.950000000000003</v>
      </c>
      <c r="C10" s="52"/>
      <c r="D10" s="51">
        <v>24.65</v>
      </c>
      <c r="E10" s="52"/>
      <c r="F10" s="51">
        <v>22.5</v>
      </c>
      <c r="G10" s="52"/>
      <c r="H10" s="51">
        <v>10</v>
      </c>
      <c r="I10" s="52"/>
    </row>
    <row r="12" spans="1:9" ht="15.6">
      <c r="A12" s="43" t="s">
        <v>192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181</v>
      </c>
      <c r="B13" s="46" t="s">
        <v>182</v>
      </c>
      <c r="C13" s="46"/>
      <c r="D13" s="46" t="s">
        <v>183</v>
      </c>
      <c r="E13" s="46"/>
      <c r="F13" s="46" t="s">
        <v>184</v>
      </c>
      <c r="G13" s="46"/>
      <c r="H13" s="46" t="s">
        <v>185</v>
      </c>
      <c r="I13" s="46"/>
    </row>
    <row r="14" spans="1:9" ht="66">
      <c r="A14" s="47"/>
      <c r="B14" s="48" t="s">
        <v>186</v>
      </c>
      <c r="C14" s="48" t="s">
        <v>187</v>
      </c>
      <c r="D14" s="48" t="s">
        <v>186</v>
      </c>
      <c r="E14" s="48" t="s">
        <v>187</v>
      </c>
      <c r="F14" s="48" t="s">
        <v>186</v>
      </c>
      <c r="G14" s="48" t="s">
        <v>187</v>
      </c>
      <c r="H14" s="48" t="s">
        <v>186</v>
      </c>
      <c r="I14" s="48" t="s">
        <v>187</v>
      </c>
    </row>
    <row r="15" spans="1:9">
      <c r="A15" s="49" t="s">
        <v>188</v>
      </c>
      <c r="B15" s="50">
        <v>20.893371757925074</v>
      </c>
      <c r="C15" s="50">
        <v>12089.337175792507</v>
      </c>
      <c r="D15" s="50">
        <v>17.681394901863733</v>
      </c>
      <c r="E15" s="50">
        <v>16297.5912975913</v>
      </c>
      <c r="F15" s="50">
        <v>12.504106797929637</v>
      </c>
      <c r="G15" s="50">
        <v>18035.253654342221</v>
      </c>
      <c r="H15" s="50">
        <v>13.550447767713969</v>
      </c>
      <c r="I15" s="50">
        <v>32722.308892355697</v>
      </c>
    </row>
    <row r="16" spans="1:9">
      <c r="A16" s="49" t="s">
        <v>189</v>
      </c>
      <c r="B16" s="50">
        <v>28.539857059981944</v>
      </c>
      <c r="C16" s="50">
        <v>12853.985705998195</v>
      </c>
      <c r="D16" s="50">
        <v>20.27643685832561</v>
      </c>
      <c r="E16" s="50">
        <v>17399.696036454254</v>
      </c>
      <c r="F16" s="50">
        <v>11.443853608992228</v>
      </c>
      <c r="G16" s="50">
        <v>17190.187176843912</v>
      </c>
      <c r="H16" s="50">
        <v>9.1744089707164189</v>
      </c>
      <c r="I16" s="50">
        <v>22678.823832501261</v>
      </c>
    </row>
    <row r="17" spans="1:9">
      <c r="A17" s="49" t="s">
        <v>190</v>
      </c>
      <c r="B17" s="50">
        <v>18.238557925494668</v>
      </c>
      <c r="C17" s="50">
        <v>11823.855792549466</v>
      </c>
      <c r="D17" s="50">
        <v>14.671835507293384</v>
      </c>
      <c r="E17" s="50">
        <v>15078.921921285202</v>
      </c>
      <c r="F17" s="50">
        <v>14.338153723198266</v>
      </c>
      <c r="G17" s="50">
        <v>19541.409054914937</v>
      </c>
      <c r="H17" s="50">
        <v>13.340517997956191</v>
      </c>
      <c r="I17" s="50">
        <v>32162.278030328758</v>
      </c>
    </row>
    <row r="18" spans="1:9">
      <c r="A18" s="49" t="s">
        <v>193</v>
      </c>
      <c r="B18" s="51">
        <v>34.700000000000003</v>
      </c>
      <c r="C18" s="52"/>
      <c r="D18" s="51">
        <v>25.74</v>
      </c>
      <c r="E18" s="52"/>
      <c r="F18" s="51">
        <v>23.26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2022-05-01T15:11:47Z</dcterms:created>
  <dcterms:modified xsi:type="dcterms:W3CDTF">2022-05-06T05:16:16Z</dcterms:modified>
</cp:coreProperties>
</file>