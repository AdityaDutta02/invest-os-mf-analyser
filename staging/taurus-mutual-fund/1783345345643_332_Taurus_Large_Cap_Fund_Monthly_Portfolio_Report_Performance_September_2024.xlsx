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7. Oct 2024\Portfolio\Ops\"/>
    </mc:Choice>
  </mc:AlternateContent>
  <xr:revisionPtr revIDLastSave="0" documentId="13_ncr:1_{A0AAB436-3C40-46B7-8EAC-D631520335D9}" xr6:coauthVersionLast="47" xr6:coauthVersionMax="47" xr10:uidLastSave="{00000000-0000-0000-0000-000000000000}"/>
  <bookViews>
    <workbookView xWindow="-120" yWindow="-120" windowWidth="20730" windowHeight="11040" xr2:uid="{908811A5-B7B4-4210-B030-8F52011C5795}"/>
  </bookViews>
  <sheets>
    <sheet name="TBF" sheetId="1" r:id="rId1"/>
    <sheet name="TBF-Performance" sheetId="2" r:id="rId2"/>
  </sheets>
  <externalReferences>
    <externalReference r:id="rId3"/>
  </externalReferences>
  <definedNames>
    <definedName name="XDO_?AUM?">TBF!$H$13</definedName>
    <definedName name="XDO_?CLASS_3?">TBF!$C$8:$C$45</definedName>
    <definedName name="XDO_?CLASS_4?">TBF!$C$9</definedName>
    <definedName name="XDO_?CS_1?">TBF!$H$11</definedName>
    <definedName name="XDO_?CS_2?">TBF!$I$11</definedName>
    <definedName name="XDO_?FINAL_ISIN?">TBF!$D$10:$D$89</definedName>
    <definedName name="XDO_?FINAL_MV?">TBF!$H$10:$H$89</definedName>
    <definedName name="XDO_?FINAL_NAME?">TBF!$C$10:$C$89</definedName>
    <definedName name="XDO_?FINAL_PER_NET?">TBF!$I$10:$I$89</definedName>
    <definedName name="XDO_?FINAL_QUANTITE?">TBF!$G$10:$G$89</definedName>
    <definedName name="XDO_?IND_01?">TBF!$F$10:$F$89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TBF!$C$2:$C$45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TBF!$B$10:$B$89</definedName>
    <definedName name="XDO_?NPTF?">TBF!$D$2:$D$45</definedName>
    <definedName name="XDO_?RATING?">TBF!$E$10:$E$89</definedName>
    <definedName name="XDO_?REMARKS?">TBF!$J$10:$J$89</definedName>
    <definedName name="XDO_?TDATE?">TBF!$D$4</definedName>
    <definedName name="XDO_?TITL?">TBF!$A$8:$A$45</definedName>
    <definedName name="XDO_GROUP_?G_2?">TBF!$2:$92</definedName>
    <definedName name="XDO_GROUP_?G_3?">TBF!$8:$91</definedName>
    <definedName name="XDO_GROUP_?G_4?">TBF!$B$89:$IV$89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</calcChain>
</file>

<file path=xl/sharedStrings.xml><?xml version="1.0" encoding="utf-8"?>
<sst xmlns="http://schemas.openxmlformats.org/spreadsheetml/2006/main" count="280" uniqueCount="208">
  <si>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</si>
  <si>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</si>
  <si>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</si>
  <si>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</si>
  <si>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</si>
  <si>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</si>
  <si>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</si>
  <si>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</si>
  <si>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</si>
  <si>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</si>
  <si>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</si>
  <si>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</si>
  <si>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</si>
  <si>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</si>
  <si>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</si>
  <si>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</si>
  <si>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</si>
  <si>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</si>
  <si>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</si>
  <si>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</si>
  <si>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</si>
  <si>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</si>
  <si>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</si>
  <si>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100037</t>
  </si>
  <si>
    <t>HCL Technologies Ltd.</t>
  </si>
  <si>
    <t>INE860A01027</t>
  </si>
  <si>
    <t>IT - Software</t>
  </si>
  <si>
    <t>100010</t>
  </si>
  <si>
    <t>State Bank of India</t>
  </si>
  <si>
    <t>INE062A01020</t>
  </si>
  <si>
    <t>100014</t>
  </si>
  <si>
    <t>Mahindra &amp; Mahindra Ltd.</t>
  </si>
  <si>
    <t>INE101A01026</t>
  </si>
  <si>
    <t>Automobiles</t>
  </si>
  <si>
    <t>100097</t>
  </si>
  <si>
    <t>Coal India Ltd.</t>
  </si>
  <si>
    <t>INE522F01014</t>
  </si>
  <si>
    <t>Consumable Fuels</t>
  </si>
  <si>
    <t>100012</t>
  </si>
  <si>
    <t>ICICI Bank Ltd.</t>
  </si>
  <si>
    <t>INE090A01021</t>
  </si>
  <si>
    <t>100024</t>
  </si>
  <si>
    <t>Axis Bank Ltd.</t>
  </si>
  <si>
    <t>INE238A01034</t>
  </si>
  <si>
    <t>100106</t>
  </si>
  <si>
    <t>Maruti Suzuki India Ltd.</t>
  </si>
  <si>
    <t>INE585B01010</t>
  </si>
  <si>
    <t>100005</t>
  </si>
  <si>
    <t>Larsen &amp; Toubro Ltd.</t>
  </si>
  <si>
    <t>INE018A01030</t>
  </si>
  <si>
    <t>Construction</t>
  </si>
  <si>
    <t>101178</t>
  </si>
  <si>
    <t>Computer Age Management Services Ltd.</t>
  </si>
  <si>
    <t>INE596I01012</t>
  </si>
  <si>
    <t>Capital Markets</t>
  </si>
  <si>
    <t>100003</t>
  </si>
  <si>
    <t>Infosys Ltd.</t>
  </si>
  <si>
    <t>INE009A01021</t>
  </si>
  <si>
    <t>100181</t>
  </si>
  <si>
    <t>NTPC Ltd.</t>
  </si>
  <si>
    <t>INE733E01010</t>
  </si>
  <si>
    <t>Power</t>
  </si>
  <si>
    <t>100830</t>
  </si>
  <si>
    <t>Varun Beverages Ltd.</t>
  </si>
  <si>
    <t>INE200M01039</t>
  </si>
  <si>
    <t>Beverages</t>
  </si>
  <si>
    <t>100111</t>
  </si>
  <si>
    <t>Oil &amp; Natural Gas Corporation Ltd.</t>
  </si>
  <si>
    <t>INE213A01029</t>
  </si>
  <si>
    <t>Oil</t>
  </si>
  <si>
    <t>102135</t>
  </si>
  <si>
    <t>Le Travenues Technology Pvt. Ltd.</t>
  </si>
  <si>
    <t>INE0HV901016</t>
  </si>
  <si>
    <t>Leisure Services</t>
  </si>
  <si>
    <t>100169</t>
  </si>
  <si>
    <t>Indian Oil Corporation Ltd.</t>
  </si>
  <si>
    <t>INE242A01010</t>
  </si>
  <si>
    <t>Petroleum Products</t>
  </si>
  <si>
    <t>100182</t>
  </si>
  <si>
    <t>Power Grid Corporation of India Ltd.</t>
  </si>
  <si>
    <t>INE752E01010</t>
  </si>
  <si>
    <t>100184</t>
  </si>
  <si>
    <t>Tata Steel Ltd.</t>
  </si>
  <si>
    <t>INE081A01020</t>
  </si>
  <si>
    <t>Ferrous Metals</t>
  </si>
  <si>
    <t>100008</t>
  </si>
  <si>
    <t>Sun Pharmaceutical Industries Ltd.</t>
  </si>
  <si>
    <t>INE044A01036</t>
  </si>
  <si>
    <t>Pharmaceuticals &amp; Biotechnology</t>
  </si>
  <si>
    <t>100002</t>
  </si>
  <si>
    <t>Reliance Industries Ltd.</t>
  </si>
  <si>
    <t>INE002A01018</t>
  </si>
  <si>
    <t>100153</t>
  </si>
  <si>
    <t>Cipla Ltd.</t>
  </si>
  <si>
    <t>INE059A01026</t>
  </si>
  <si>
    <t>100150</t>
  </si>
  <si>
    <t>Apollo Hospitals Enterprise Ltd.</t>
  </si>
  <si>
    <t>INE437A01024</t>
  </si>
  <si>
    <t>Healthcare Services</t>
  </si>
  <si>
    <t>100302</t>
  </si>
  <si>
    <t>DLF Ltd.</t>
  </si>
  <si>
    <t>INE271C01023</t>
  </si>
  <si>
    <t>Realty</t>
  </si>
  <si>
    <t>100147</t>
  </si>
  <si>
    <t>Tech Mahindra Ltd.</t>
  </si>
  <si>
    <t>INE669C01036</t>
  </si>
  <si>
    <t>101698</t>
  </si>
  <si>
    <t>Swan Energy Ltd.</t>
  </si>
  <si>
    <t>INE665A01038</t>
  </si>
  <si>
    <t>Diversified</t>
  </si>
  <si>
    <t>100399</t>
  </si>
  <si>
    <t>Cholamandalam Investment &amp; Finance Co. Ltd.</t>
  </si>
  <si>
    <t>INE121A01024</t>
  </si>
  <si>
    <t>Finance</t>
  </si>
  <si>
    <t>100100</t>
  </si>
  <si>
    <t>Hindustan Petroleum Corporation Ltd.</t>
  </si>
  <si>
    <t>INE094A01015</t>
  </si>
  <si>
    <t>100292</t>
  </si>
  <si>
    <t>Steel Authority of India Ltd.</t>
  </si>
  <si>
    <t>INE114A01011</t>
  </si>
  <si>
    <t>101949</t>
  </si>
  <si>
    <t>Samhi Hotels Ltd.</t>
  </si>
  <si>
    <t>INE08U801020</t>
  </si>
  <si>
    <t>100080</t>
  </si>
  <si>
    <t>Dr. Reddy's Laboratories Ltd.</t>
  </si>
  <si>
    <t>INE089A01023</t>
  </si>
  <si>
    <t>100081</t>
  </si>
  <si>
    <t>Titan Company Ltd.</t>
  </si>
  <si>
    <t>INE280A01028</t>
  </si>
  <si>
    <t>Consumer Durables</t>
  </si>
  <si>
    <t>101433</t>
  </si>
  <si>
    <t>Metro Brands Ltd.</t>
  </si>
  <si>
    <t>INE317I01021</t>
  </si>
  <si>
    <t>100119</t>
  </si>
  <si>
    <t>Tata Motors Ltd.</t>
  </si>
  <si>
    <t>INE155A01022</t>
  </si>
  <si>
    <t>100083</t>
  </si>
  <si>
    <t>Samvardhana Motherson International Ltd.</t>
  </si>
  <si>
    <t>INE775A01035</t>
  </si>
  <si>
    <t>Auto Components</t>
  </si>
  <si>
    <t>100132</t>
  </si>
  <si>
    <t>Info Edge (India) Ltd.</t>
  </si>
  <si>
    <t>INE663F01024</t>
  </si>
  <si>
    <t>Retailing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</si>
  <si>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</si>
  <si>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</si>
  <si>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</si>
  <si>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</si>
  <si>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</si>
  <si>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</si>
  <si>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</si>
  <si>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</si>
  <si>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</si>
  <si>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</si>
  <si>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</si>
  <si>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</si>
  <si>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</si>
  <si>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</si>
  <si>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</si>
  <si>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</si>
  <si>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</si>
  <si>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</si>
  <si>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</si>
  <si>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</si>
  <si>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</si>
  <si>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</si>
  <si>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</si>
  <si>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</si>
  <si>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</si>
  <si>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</si>
  <si>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</si>
  <si>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(1). Non Convertible Debentures and  Bonds are considered as Traded based on information provided by external agencies.</t>
  </si>
  <si>
    <t>(2).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</si>
  <si>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</si>
  <si>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</si>
  <si>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</si>
  <si>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</si>
  <si>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</si>
  <si>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</si>
  <si>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August 30, 2024</t>
  </si>
  <si>
    <t>September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</si>
  <si>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</si>
  <si>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</si>
  <si>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</si>
  <si>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</si>
  <si>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September 30, 2024.</t>
  </si>
  <si>
    <t>(7) The Scheme did not declare any bonus during the month ended As on  September 30, 2024.</t>
  </si>
  <si>
    <t>(8) Total outstanding exposure in derivative instruments as on As on  September 30, 2024 is Nil</t>
  </si>
  <si>
    <t>(9) Total investments in Foreign Securities /ADRs/GDRs /Overseas ETFs as at As on  September 30, 2024 and its percentage to NAV is Nil.</t>
  </si>
  <si>
    <t>(10) During the period, the portfolio turnover ratio is 0.71 times.</t>
  </si>
  <si>
    <t>      Portfolio Turnover Ratio = Lower of sales or purchase of securities divided by average AUM for 12 months ended As on  September 30, 2024</t>
  </si>
  <si>
    <t>(11) The Scheme did not invest in repo transactions of corporate debt securities during the month ended As on  September 30, 2024.</t>
  </si>
  <si>
    <t>(12) The Scheme did not invest in credit default swaps during the month ended As on  September 30, 2024.</t>
  </si>
  <si>
    <t>(13) There are Nil instances of deviation from the valuation principles/guidelines during the month ended as on September 30th, 2024.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</si>
  <si>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</si>
  <si>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</si>
  <si>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</si>
  <si>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</si>
  <si>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</si>
  <si>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</si>
  <si>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</si>
  <si>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</si>
  <si>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</si>
  <si>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</si>
  <si>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</si>
  <si>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September 30, 2024 : 164.83)</t>
  </si>
  <si>
    <t>Taurus Largecap Equity Fund - Direct Plan Growth Option</t>
  </si>
  <si>
    <t>NAV [Rs.] Per Unit (as on September 30, 2024 : 174.15)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</si>
</sst>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9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167" fontId="3" fillId="0" borderId="0" xfId="0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EC0F40C8-3D11-4DAF-A803-19A866CEEE13}"/>
    <cellStyle name="Hyperlink" xfId="2" builtinId="8"/>
    <cellStyle name="Normal" xfId="0" builtinId="0"/>
    <cellStyle name="Normal 2" xfId="4" xr:uid="{3518D8A9-BD9A-46EC-8D3D-AA88377F96C1}"/>
    <cellStyle name="Style 1" xfId="3" xr:uid="{FFD193D7-C43B-48B1-9B7B-F150037FF1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5</xdr:col>
      <xdr:colOff>726036</xdr:colOff>
      <xdr:row>0</xdr:row>
      <xdr:rowOff>2053166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EAEAF-D04E-4022-8B4B-08E752C05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2" y="0"/>
          <a:ext cx="7628859" cy="2053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Sep_2024\Client%20Report\TMF_Monthly_Portfolio_Report_September%2024.xls" TargetMode="External"/><Relationship Id="rId1" Type="http://schemas.openxmlformats.org/officeDocument/2006/relationships/externalLinkPath" Target="file:///Q:\5.TMF\Reporting\Monthly%20Reports\Monthly%20Portfolio\2024-25\Sep_2024\Client%20Report\TMF_Monthly_Portfolio_Report_Sept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E625-C310-44CE-912F-C37E068EF540}">
  <sheetPr codeName="Sheet1"/>
  <dimension ref="A1:BB119"/>
  <sheetViews>
    <sheetView showGridLines="0" tabSelected="1" zoomScale="85" zoomScaleNormal="85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45565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26985</v>
      </c>
      <c r="H10" s="32">
        <v>467.38</v>
      </c>
      <c r="I10" s="32">
        <v>8.84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54880</v>
      </c>
      <c r="H11" s="32">
        <v>284.33</v>
      </c>
      <c r="I11" s="32">
        <v>5.37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15577</v>
      </c>
      <c r="H12" s="32">
        <v>279.52999999999997</v>
      </c>
      <c r="I12" s="32">
        <v>5.28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34404</v>
      </c>
      <c r="H13" s="32">
        <v>270.97000000000003</v>
      </c>
      <c r="I13" s="32">
        <v>5.12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8410</v>
      </c>
      <c r="H14" s="32">
        <v>260.39</v>
      </c>
      <c r="I14" s="32">
        <v>4.92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48149</v>
      </c>
      <c r="H15" s="32">
        <v>245.61</v>
      </c>
      <c r="I15" s="32">
        <v>4.6399999999999997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19245</v>
      </c>
      <c r="H16" s="32">
        <v>244.96</v>
      </c>
      <c r="I16" s="32">
        <v>4.63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19761</v>
      </c>
      <c r="H17" s="32">
        <v>243.54</v>
      </c>
      <c r="I17" s="32">
        <v>4.5999999999999996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33</v>
      </c>
      <c r="G18" s="31">
        <v>1553</v>
      </c>
      <c r="H18" s="32">
        <v>205.43</v>
      </c>
      <c r="I18" s="32">
        <v>3.88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5056</v>
      </c>
      <c r="H19" s="32">
        <v>185.83</v>
      </c>
      <c r="I19" s="32">
        <v>3.51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3807</v>
      </c>
      <c r="H20" s="32">
        <v>167.82</v>
      </c>
      <c r="I20" s="32">
        <v>3.17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26</v>
      </c>
      <c r="G21" s="31">
        <v>8147</v>
      </c>
      <c r="H21" s="32">
        <v>152.84</v>
      </c>
      <c r="I21" s="32">
        <v>2.89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31179</v>
      </c>
      <c r="H22" s="32">
        <v>138.15</v>
      </c>
      <c r="I22" s="32">
        <v>2.61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22715</v>
      </c>
      <c r="H23" s="32">
        <v>137.69999999999999</v>
      </c>
      <c r="I23" s="32">
        <v>2.6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42238</v>
      </c>
      <c r="H24" s="32">
        <v>125.87</v>
      </c>
      <c r="I24" s="32">
        <v>2.38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81978</v>
      </c>
      <c r="H25" s="32">
        <v>124.85</v>
      </c>
      <c r="I25" s="32">
        <v>2.36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68770</v>
      </c>
      <c r="H26" s="32">
        <v>123.82</v>
      </c>
      <c r="I26" s="32">
        <v>2.34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61</v>
      </c>
      <c r="G27" s="31">
        <v>33010</v>
      </c>
      <c r="H27" s="32">
        <v>116.49</v>
      </c>
      <c r="I27" s="32">
        <v>2.2000000000000002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67885</v>
      </c>
      <c r="H28" s="32">
        <v>114.35</v>
      </c>
      <c r="I28" s="32">
        <v>2.16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5849</v>
      </c>
      <c r="H29" s="32">
        <v>112.67</v>
      </c>
      <c r="I29" s="32">
        <v>2.13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77</v>
      </c>
      <c r="G30" s="31">
        <v>3795</v>
      </c>
      <c r="H30" s="32">
        <v>112.1</v>
      </c>
      <c r="I30" s="32">
        <v>2.12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88</v>
      </c>
      <c r="G31" s="31">
        <v>6725</v>
      </c>
      <c r="H31" s="32">
        <v>111.23</v>
      </c>
      <c r="I31" s="32">
        <v>2.1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1517</v>
      </c>
      <c r="H32" s="32">
        <v>109.16</v>
      </c>
      <c r="I32" s="32">
        <v>2.06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10345</v>
      </c>
      <c r="H33" s="32">
        <v>92.61</v>
      </c>
      <c r="I33" s="32">
        <v>1.75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26</v>
      </c>
      <c r="G34" s="31">
        <v>5523</v>
      </c>
      <c r="H34" s="32">
        <v>87.05</v>
      </c>
      <c r="I34" s="32">
        <v>1.65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14538</v>
      </c>
      <c r="H35" s="32">
        <v>83.8</v>
      </c>
      <c r="I35" s="32">
        <v>1.58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4850</v>
      </c>
      <c r="H36" s="32">
        <v>78.03</v>
      </c>
      <c r="I36" s="32">
        <v>1.48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77</v>
      </c>
      <c r="G37" s="31">
        <v>16902</v>
      </c>
      <c r="H37" s="32">
        <v>74.459999999999994</v>
      </c>
      <c r="I37" s="32">
        <v>1.41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84</v>
      </c>
      <c r="G38" s="31">
        <v>46227</v>
      </c>
      <c r="H38" s="32">
        <v>65.34</v>
      </c>
      <c r="I38" s="32">
        <v>1.24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73</v>
      </c>
      <c r="G39" s="31">
        <v>31683</v>
      </c>
      <c r="H39" s="32">
        <v>63.59</v>
      </c>
      <c r="I39" s="32">
        <v>1.2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88</v>
      </c>
      <c r="G40" s="31">
        <v>855</v>
      </c>
      <c r="H40" s="32">
        <v>57.78</v>
      </c>
      <c r="I40" s="32">
        <v>1.0900000000000001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1393</v>
      </c>
      <c r="H41" s="32">
        <v>53.23</v>
      </c>
      <c r="I41" s="32">
        <v>1.01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129</v>
      </c>
      <c r="G42" s="31">
        <v>3825</v>
      </c>
      <c r="H42" s="32">
        <v>48.81</v>
      </c>
      <c r="I42" s="32">
        <v>0.92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33</v>
      </c>
      <c r="G43" s="31">
        <v>3560</v>
      </c>
      <c r="H43" s="32">
        <v>34.700000000000003</v>
      </c>
      <c r="I43" s="32">
        <v>0.66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15341</v>
      </c>
      <c r="H44" s="32">
        <v>32.450000000000003</v>
      </c>
      <c r="I44" s="32">
        <v>0.61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376</v>
      </c>
      <c r="H45" s="32">
        <v>30.37</v>
      </c>
      <c r="I45" s="32">
        <v>0.56999999999999995</v>
      </c>
      <c r="J45" s="33"/>
    </row>
    <row r="46" spans="2:10" x14ac:dyDescent="0.25">
      <c r="C46" s="28" t="s">
        <v>144</v>
      </c>
      <c r="D46" s="29"/>
      <c r="E46" s="30"/>
      <c r="F46" s="30"/>
      <c r="G46" s="31"/>
      <c r="H46" s="35">
        <v>5137.24</v>
      </c>
      <c r="I46" s="35">
        <v>97.08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145</v>
      </c>
      <c r="D48" s="29"/>
      <c r="E48" s="30"/>
      <c r="F48" s="30"/>
      <c r="G48" s="31"/>
      <c r="H48" s="32" t="s">
        <v>146</v>
      </c>
      <c r="I48" s="32" t="s">
        <v>146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147</v>
      </c>
      <c r="D50" s="29"/>
      <c r="E50" s="30"/>
      <c r="F50" s="30"/>
      <c r="G50" s="31"/>
      <c r="H50" s="32" t="s">
        <v>146</v>
      </c>
      <c r="I50" s="32" t="s">
        <v>146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148</v>
      </c>
      <c r="D52" s="29"/>
      <c r="E52" s="30"/>
      <c r="F52" s="30"/>
      <c r="G52" s="31"/>
      <c r="H52" s="32"/>
      <c r="I52" s="32"/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149</v>
      </c>
      <c r="D54" s="29"/>
      <c r="E54" s="30"/>
      <c r="F54" s="30"/>
      <c r="G54" s="31"/>
      <c r="H54" s="32" t="s">
        <v>146</v>
      </c>
      <c r="I54" s="32" t="s">
        <v>146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150</v>
      </c>
      <c r="D56" s="29"/>
      <c r="E56" s="30"/>
      <c r="F56" s="30"/>
      <c r="G56" s="31"/>
      <c r="H56" s="32" t="s">
        <v>146</v>
      </c>
      <c r="I56" s="32" t="s">
        <v>146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151</v>
      </c>
      <c r="D58" s="29"/>
      <c r="E58" s="30"/>
      <c r="F58" s="30"/>
      <c r="G58" s="31"/>
      <c r="H58" s="32" t="s">
        <v>146</v>
      </c>
      <c r="I58" s="32" t="s">
        <v>146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152</v>
      </c>
      <c r="D60" s="29"/>
      <c r="E60" s="30"/>
      <c r="F60" s="30"/>
      <c r="G60" s="31"/>
      <c r="H60" s="32" t="s">
        <v>146</v>
      </c>
      <c r="I60" s="32" t="s">
        <v>146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153</v>
      </c>
      <c r="D62" s="29"/>
      <c r="E62" s="30"/>
      <c r="F62" s="30"/>
      <c r="G62" s="31"/>
      <c r="H62" s="32" t="s">
        <v>146</v>
      </c>
      <c r="I62" s="32" t="s">
        <v>146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154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155</v>
      </c>
      <c r="D66" s="29"/>
      <c r="E66" s="30"/>
      <c r="F66" s="30"/>
      <c r="G66" s="31"/>
      <c r="H66" s="32" t="s">
        <v>146</v>
      </c>
      <c r="I66" s="32" t="s">
        <v>146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156</v>
      </c>
      <c r="D68" s="29"/>
      <c r="E68" s="30"/>
      <c r="F68" s="30"/>
      <c r="G68" s="31"/>
      <c r="H68" s="32" t="s">
        <v>146</v>
      </c>
      <c r="I68" s="32" t="s">
        <v>146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157</v>
      </c>
      <c r="D70" s="29"/>
      <c r="E70" s="30"/>
      <c r="F70" s="30"/>
      <c r="G70" s="31"/>
      <c r="H70" s="32" t="s">
        <v>146</v>
      </c>
      <c r="I70" s="32" t="s">
        <v>146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158</v>
      </c>
      <c r="D72" s="29"/>
      <c r="E72" s="30"/>
      <c r="F72" s="30"/>
      <c r="G72" s="31"/>
      <c r="H72" s="32" t="s">
        <v>146</v>
      </c>
      <c r="I72" s="32" t="s">
        <v>146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159</v>
      </c>
      <c r="D74" s="29"/>
      <c r="E74" s="30"/>
      <c r="F74" s="30"/>
      <c r="G74" s="31"/>
      <c r="H74" s="32"/>
      <c r="I74" s="32"/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160</v>
      </c>
      <c r="D76" s="29"/>
      <c r="E76" s="30"/>
      <c r="F76" s="30"/>
      <c r="G76" s="31"/>
      <c r="H76" s="32" t="s">
        <v>146</v>
      </c>
      <c r="I76" s="32" t="s">
        <v>146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161</v>
      </c>
      <c r="D78" s="29"/>
      <c r="E78" s="30"/>
      <c r="F78" s="30"/>
      <c r="G78" s="31"/>
      <c r="H78" s="32" t="s">
        <v>146</v>
      </c>
      <c r="I78" s="32" t="s">
        <v>146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162</v>
      </c>
      <c r="D80" s="29"/>
      <c r="E80" s="30"/>
      <c r="F80" s="30"/>
      <c r="G80" s="31"/>
      <c r="H80" s="32" t="s">
        <v>146</v>
      </c>
      <c r="I80" s="32" t="s">
        <v>146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163</v>
      </c>
      <c r="D82" s="29"/>
      <c r="E82" s="30"/>
      <c r="F82" s="30"/>
      <c r="G82" s="31"/>
      <c r="H82" s="32" t="s">
        <v>146</v>
      </c>
      <c r="I82" s="32" t="s">
        <v>146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164</v>
      </c>
      <c r="D84" s="29"/>
      <c r="E84" s="30"/>
      <c r="F84" s="30"/>
      <c r="G84" s="31"/>
      <c r="H84" s="32" t="s">
        <v>146</v>
      </c>
      <c r="I84" s="32" t="s">
        <v>146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165</v>
      </c>
      <c r="D86" s="29"/>
      <c r="E86" s="30"/>
      <c r="F86" s="30"/>
      <c r="G86" s="31"/>
      <c r="H86" s="32" t="s">
        <v>146</v>
      </c>
      <c r="I86" s="32" t="s">
        <v>146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A88" s="26"/>
      <c r="B88" s="27"/>
      <c r="C88" s="28" t="s">
        <v>166</v>
      </c>
      <c r="D88" s="29"/>
      <c r="E88" s="30"/>
      <c r="F88" s="30"/>
      <c r="G88" s="31"/>
      <c r="H88" s="32"/>
      <c r="I88" s="32"/>
      <c r="J88" s="33"/>
    </row>
    <row r="89" spans="1:10" x14ac:dyDescent="0.25">
      <c r="B89" s="1"/>
      <c r="C89" s="20" t="s">
        <v>167</v>
      </c>
      <c r="D89" s="29"/>
      <c r="E89" s="30"/>
      <c r="F89" s="30"/>
      <c r="G89" s="31"/>
      <c r="H89" s="32">
        <v>152.74</v>
      </c>
      <c r="I89" s="32">
        <v>2.92</v>
      </c>
      <c r="J89" s="33"/>
    </row>
    <row r="90" spans="1:10" x14ac:dyDescent="0.25">
      <c r="C90" s="28" t="s">
        <v>144</v>
      </c>
      <c r="D90" s="29"/>
      <c r="E90" s="30"/>
      <c r="F90" s="30"/>
      <c r="G90" s="31"/>
      <c r="H90" s="35">
        <v>152.74</v>
      </c>
      <c r="I90" s="35">
        <v>2.92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ht="14.25" thickBot="1" x14ac:dyDescent="0.3">
      <c r="C92" s="36" t="s">
        <v>168</v>
      </c>
      <c r="D92" s="37"/>
      <c r="E92" s="38"/>
      <c r="F92" s="39"/>
      <c r="G92" s="40"/>
      <c r="H92" s="41">
        <v>5289.98</v>
      </c>
      <c r="I92" s="41">
        <f>SUMIFS(I:I,C:C,"Total")</f>
        <v>100</v>
      </c>
      <c r="J92" s="42"/>
    </row>
    <row r="95" spans="1:10" x14ac:dyDescent="0.25">
      <c r="C95" s="11" t="s">
        <v>169</v>
      </c>
    </row>
    <row r="96" spans="1:10" x14ac:dyDescent="0.25">
      <c r="C96" s="2" t="s">
        <v>170</v>
      </c>
    </row>
    <row r="97" spans="3:5" x14ac:dyDescent="0.25">
      <c r="C97" s="2" t="s">
        <v>171</v>
      </c>
    </row>
    <row r="98" spans="3:5" x14ac:dyDescent="0.25">
      <c r="C98" s="2" t="s">
        <v>172</v>
      </c>
    </row>
    <row r="100" spans="3:5" x14ac:dyDescent="0.25">
      <c r="C100" s="2" t="s">
        <v>173</v>
      </c>
    </row>
    <row r="101" spans="3:5" x14ac:dyDescent="0.25">
      <c r="C101" s="2" t="s">
        <v>174</v>
      </c>
    </row>
    <row r="102" spans="3:5" x14ac:dyDescent="0.25">
      <c r="C102" s="2" t="s">
        <v>175</v>
      </c>
    </row>
    <row r="103" spans="3:5" x14ac:dyDescent="0.25">
      <c r="D103" s="2" t="s">
        <v>176</v>
      </c>
    </row>
    <row r="104" spans="3:5" x14ac:dyDescent="0.25">
      <c r="C104" s="2" t="s">
        <v>177</v>
      </c>
      <c r="D104" s="2" t="s">
        <v>178</v>
      </c>
      <c r="E104" s="2" t="s">
        <v>178</v>
      </c>
    </row>
    <row r="105" spans="3:5" x14ac:dyDescent="0.25">
      <c r="D105" s="2" t="s">
        <v>179</v>
      </c>
      <c r="E105" s="2" t="s">
        <v>180</v>
      </c>
    </row>
    <row r="106" spans="3:5" x14ac:dyDescent="0.25">
      <c r="C106" s="2" t="s">
        <v>181</v>
      </c>
      <c r="D106" s="43">
        <v>71.22</v>
      </c>
      <c r="E106" s="43">
        <v>72.209999999999994</v>
      </c>
    </row>
    <row r="107" spans="3:5" x14ac:dyDescent="0.25">
      <c r="C107" s="2" t="s">
        <v>182</v>
      </c>
      <c r="D107" s="43">
        <v>162.57</v>
      </c>
      <c r="E107" s="43">
        <v>164.83</v>
      </c>
    </row>
    <row r="108" spans="3:5" x14ac:dyDescent="0.25">
      <c r="C108" s="2" t="s">
        <v>183</v>
      </c>
      <c r="D108" s="43">
        <v>75.650000000000006</v>
      </c>
      <c r="E108" s="43">
        <v>76.709999999999994</v>
      </c>
    </row>
    <row r="109" spans="3:5" x14ac:dyDescent="0.25">
      <c r="C109" s="2" t="s">
        <v>184</v>
      </c>
      <c r="D109" s="43">
        <v>171.74</v>
      </c>
      <c r="E109" s="43">
        <v>174.15</v>
      </c>
    </row>
    <row r="111" spans="3:5" x14ac:dyDescent="0.25">
      <c r="C111" s="2" t="s">
        <v>185</v>
      </c>
    </row>
    <row r="112" spans="3:5" x14ac:dyDescent="0.25">
      <c r="C112" s="2" t="s">
        <v>186</v>
      </c>
    </row>
    <row r="113" spans="3:3" x14ac:dyDescent="0.25">
      <c r="C113" s="2" t="s">
        <v>187</v>
      </c>
    </row>
    <row r="114" spans="3:3" x14ac:dyDescent="0.25">
      <c r="C114" s="2" t="s">
        <v>188</v>
      </c>
    </row>
    <row r="115" spans="3:3" x14ac:dyDescent="0.25">
      <c r="C115" s="2" t="s">
        <v>189</v>
      </c>
    </row>
    <row r="116" spans="3:3" x14ac:dyDescent="0.25">
      <c r="C116" s="2" t="s">
        <v>190</v>
      </c>
    </row>
    <row r="117" spans="3:3" x14ac:dyDescent="0.25">
      <c r="C117" s="2" t="s">
        <v>191</v>
      </c>
    </row>
    <row r="118" spans="3:3" x14ac:dyDescent="0.25">
      <c r="C118" s="2" t="s">
        <v>192</v>
      </c>
    </row>
    <row r="119" spans="3:3" x14ac:dyDescent="0.25">
      <c r="C119" s="2" t="s">
        <v>193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1E8A-A5B9-406B-AF2D-22529C51A1C0}">
  <dimension ref="C3:K17"/>
  <sheetViews>
    <sheetView workbookViewId="0"/>
  </sheetViews>
  <sheetFormatPr defaultRowHeight="15" x14ac:dyDescent="0.25"/>
  <cols>
    <col min="3" max="3" width="51.855468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4" t="s">
        <v>194</v>
      </c>
      <c r="D3" s="45"/>
      <c r="E3" s="45"/>
      <c r="F3" s="45"/>
      <c r="G3" s="45"/>
      <c r="H3" s="45"/>
      <c r="I3" s="45"/>
      <c r="J3" s="45"/>
      <c r="K3" s="45"/>
    </row>
    <row r="4" spans="3:11" x14ac:dyDescent="0.25">
      <c r="C4" s="46" t="s">
        <v>195</v>
      </c>
      <c r="D4" s="47" t="s">
        <v>196</v>
      </c>
      <c r="E4" s="47"/>
      <c r="F4" s="47" t="s">
        <v>197</v>
      </c>
      <c r="G4" s="47"/>
      <c r="H4" s="47" t="s">
        <v>198</v>
      </c>
      <c r="I4" s="47"/>
      <c r="J4" s="47" t="s">
        <v>199</v>
      </c>
      <c r="K4" s="47"/>
    </row>
    <row r="5" spans="3:11" ht="63.75" x14ac:dyDescent="0.25">
      <c r="C5" s="48"/>
      <c r="D5" s="49" t="s">
        <v>200</v>
      </c>
      <c r="E5" s="49" t="s">
        <v>201</v>
      </c>
      <c r="F5" s="49" t="s">
        <v>200</v>
      </c>
      <c r="G5" s="49" t="s">
        <v>201</v>
      </c>
      <c r="H5" s="49" t="s">
        <v>200</v>
      </c>
      <c r="I5" s="49" t="s">
        <v>201</v>
      </c>
      <c r="J5" s="49" t="s">
        <v>200</v>
      </c>
      <c r="K5" s="49" t="s">
        <v>201</v>
      </c>
    </row>
    <row r="6" spans="3:11" x14ac:dyDescent="0.25">
      <c r="C6" s="50" t="s">
        <v>202</v>
      </c>
      <c r="D6" s="51">
        <v>40.82094901543212</v>
      </c>
      <c r="E6" s="51">
        <v>14108.533767011899</v>
      </c>
      <c r="F6" s="51">
        <v>16.803978573491875</v>
      </c>
      <c r="G6" s="51">
        <v>15942.547635167812</v>
      </c>
      <c r="H6" s="51">
        <v>17.280874687511961</v>
      </c>
      <c r="I6" s="51">
        <v>22208.299649690111</v>
      </c>
      <c r="J6" s="51">
        <v>11.312926054035465</v>
      </c>
      <c r="K6" s="51">
        <v>164830</v>
      </c>
    </row>
    <row r="7" spans="3:11" x14ac:dyDescent="0.25">
      <c r="C7" s="50" t="s">
        <v>203</v>
      </c>
      <c r="D7" s="51">
        <v>37.359493221677575</v>
      </c>
      <c r="E7" s="51">
        <v>13735.949322167757</v>
      </c>
      <c r="F7" s="51">
        <v>16.76386483578689</v>
      </c>
      <c r="G7" s="51">
        <v>15919.35195739745</v>
      </c>
      <c r="H7" s="51">
        <v>20.285947499777567</v>
      </c>
      <c r="I7" s="51">
        <v>25181.086654621391</v>
      </c>
      <c r="J7" s="51">
        <v>12.897004747001994</v>
      </c>
      <c r="K7" s="51">
        <v>362938.16120344057</v>
      </c>
    </row>
    <row r="8" spans="3:11" x14ac:dyDescent="0.25">
      <c r="C8" s="50" t="s">
        <v>204</v>
      </c>
      <c r="D8" s="51">
        <v>32.796483310772587</v>
      </c>
      <c r="E8" s="51">
        <v>13279.648331077258</v>
      </c>
      <c r="F8" s="51">
        <v>14.92202528918618</v>
      </c>
      <c r="G8" s="51">
        <v>15177.834504935277</v>
      </c>
      <c r="H8" s="51">
        <v>18.952877574845761</v>
      </c>
      <c r="I8" s="51">
        <v>23816.325780111703</v>
      </c>
      <c r="J8" s="51">
        <v>12.832354973727188</v>
      </c>
      <c r="K8" s="51">
        <v>356834.69825806166</v>
      </c>
    </row>
    <row r="9" spans="3:11" x14ac:dyDescent="0.25">
      <c r="C9" s="50" t="s">
        <v>205</v>
      </c>
      <c r="D9" s="52">
        <v>116.83</v>
      </c>
      <c r="E9" s="53"/>
      <c r="F9" s="52">
        <v>103.39</v>
      </c>
      <c r="G9" s="53"/>
      <c r="H9" s="52">
        <v>74.22</v>
      </c>
      <c r="I9" s="53"/>
      <c r="J9" s="52">
        <v>10</v>
      </c>
      <c r="K9" s="53"/>
    </row>
    <row r="11" spans="3:11" ht="15.75" x14ac:dyDescent="0.25">
      <c r="C11" s="44" t="s">
        <v>206</v>
      </c>
      <c r="D11" s="45"/>
      <c r="E11" s="45"/>
      <c r="F11" s="45"/>
      <c r="G11" s="45"/>
      <c r="H11" s="45"/>
      <c r="I11" s="45"/>
      <c r="J11" s="45"/>
      <c r="K11" s="45"/>
    </row>
    <row r="12" spans="3:11" x14ac:dyDescent="0.25">
      <c r="C12" s="46" t="s">
        <v>195</v>
      </c>
      <c r="D12" s="47" t="s">
        <v>196</v>
      </c>
      <c r="E12" s="47"/>
      <c r="F12" s="47" t="s">
        <v>197</v>
      </c>
      <c r="G12" s="47"/>
      <c r="H12" s="47" t="s">
        <v>198</v>
      </c>
      <c r="I12" s="47"/>
      <c r="J12" s="47" t="s">
        <v>199</v>
      </c>
      <c r="K12" s="47"/>
    </row>
    <row r="13" spans="3:11" ht="63.75" x14ac:dyDescent="0.25">
      <c r="C13" s="48"/>
      <c r="D13" s="49" t="s">
        <v>200</v>
      </c>
      <c r="E13" s="49" t="s">
        <v>201</v>
      </c>
      <c r="F13" s="49" t="s">
        <v>200</v>
      </c>
      <c r="G13" s="49" t="s">
        <v>201</v>
      </c>
      <c r="H13" s="49" t="s">
        <v>200</v>
      </c>
      <c r="I13" s="49" t="s">
        <v>201</v>
      </c>
      <c r="J13" s="49" t="s">
        <v>200</v>
      </c>
      <c r="K13" s="49" t="s">
        <v>201</v>
      </c>
    </row>
    <row r="14" spans="3:11" x14ac:dyDescent="0.25">
      <c r="C14" s="50" t="s">
        <v>202</v>
      </c>
      <c r="D14" s="51">
        <v>40.963978993601998</v>
      </c>
      <c r="E14" s="51">
        <v>14122.942178249939</v>
      </c>
      <c r="F14" s="51">
        <v>16.91314663300636</v>
      </c>
      <c r="G14" s="51">
        <v>15987.331313687688</v>
      </c>
      <c r="H14" s="51">
        <v>17.414783158932636</v>
      </c>
      <c r="I14" s="51">
        <v>22335.513659099655</v>
      </c>
      <c r="J14" s="51">
        <v>12.308179329645675</v>
      </c>
      <c r="K14" s="51">
        <v>39117.250673854447</v>
      </c>
    </row>
    <row r="15" spans="3:11" x14ac:dyDescent="0.25">
      <c r="C15" s="50" t="s">
        <v>203</v>
      </c>
      <c r="D15" s="51">
        <v>37.359493221677575</v>
      </c>
      <c r="E15" s="51">
        <v>13735.949322167757</v>
      </c>
      <c r="F15" s="51">
        <v>16.76386483578689</v>
      </c>
      <c r="G15" s="51">
        <v>15919.35195739745</v>
      </c>
      <c r="H15" s="51">
        <v>20.285947499777567</v>
      </c>
      <c r="I15" s="51">
        <v>25181.086654621391</v>
      </c>
      <c r="J15" s="51">
        <v>15.226354199827652</v>
      </c>
      <c r="K15" s="51">
        <v>52878.125849677068</v>
      </c>
    </row>
    <row r="16" spans="3:11" x14ac:dyDescent="0.25">
      <c r="C16" s="50" t="s">
        <v>204</v>
      </c>
      <c r="D16" s="51">
        <v>32.796483310772587</v>
      </c>
      <c r="E16" s="51">
        <v>13279.648331077258</v>
      </c>
      <c r="F16" s="51">
        <v>14.92202528918618</v>
      </c>
      <c r="G16" s="51">
        <v>15177.834504935277</v>
      </c>
      <c r="H16" s="51">
        <v>18.952877574845761</v>
      </c>
      <c r="I16" s="51">
        <v>23816.325780111703</v>
      </c>
      <c r="J16" s="51">
        <v>14.625119647446372</v>
      </c>
      <c r="K16" s="51">
        <v>49725.398943073415</v>
      </c>
    </row>
    <row r="17" spans="3:11" x14ac:dyDescent="0.25">
      <c r="C17" s="50" t="s">
        <v>207</v>
      </c>
      <c r="D17" s="52">
        <v>123.31</v>
      </c>
      <c r="E17" s="53"/>
      <c r="F17" s="52">
        <v>108.93</v>
      </c>
      <c r="G17" s="53"/>
      <c r="H17" s="52">
        <v>77.97</v>
      </c>
      <c r="I17" s="53"/>
      <c r="J17" s="52">
        <v>44.52</v>
      </c>
      <c r="K17" s="53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2024-10-01T13:01:18Z</dcterms:created>
  <dcterms:modified xsi:type="dcterms:W3CDTF">2024-10-07T05:15:45Z</dcterms:modified>
</cp:coreProperties>
</file>