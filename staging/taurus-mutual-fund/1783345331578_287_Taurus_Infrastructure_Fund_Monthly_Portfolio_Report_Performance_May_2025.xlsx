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3. June 2025\Monthly Portfolio May 2025\Ops\"/>
    </mc:Choice>
  </mc:AlternateContent>
  <xr:revisionPtr revIDLastSave="0" documentId="13_ncr:1_{7749ABCC-A3DA-42CF-BAA3-04299CAB467C}" xr6:coauthVersionLast="47" xr6:coauthVersionMax="47" xr10:uidLastSave="{00000000-0000-0000-0000-000000000000}"/>
  <bookViews>
    <workbookView xWindow="-120" yWindow="-120" windowWidth="20730" windowHeight="11040" xr2:uid="{DCEF62A2-12A1-4C30-A456-743B40996DCE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TISF!$C$8:$C$42</definedName>
    <definedName name="XDO_?FINAL_ISIN?8?">TISF!$D$10:$D$42</definedName>
    <definedName name="XDO_?FINAL_ISIN?9?">TISF!$D$10:$D$86</definedName>
    <definedName name="XDO_?FINAL_MV?8?">TISF!$H$10:$H$42</definedName>
    <definedName name="XDO_?FINAL_MV?9?">TISF!$H$10:$H$86</definedName>
    <definedName name="XDO_?FINAL_NAME?8?">TISF!$C$10:$C$42</definedName>
    <definedName name="XDO_?FINAL_NAME?9?">TISF!$C$10:$C$86</definedName>
    <definedName name="XDO_?FINAL_PER_NET?8?">TISF!$I$10:$I$42</definedName>
    <definedName name="XDO_?FINAL_PER_NET?9?">TISF!$I$10:$I$86</definedName>
    <definedName name="XDO_?FINAL_QUANTITE?8?">TISF!$G$10:$G$42</definedName>
    <definedName name="XDO_?FINAL_QUANTITE?9?">TISF!$G$10:$G$86</definedName>
    <definedName name="XDO_?IND_01?8?">TISF!$F$10:$F$42</definedName>
    <definedName name="XDO_?IND_01?9?">TISF!$F$10:$F$86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8?">TISF!$B$10:$B$42</definedName>
    <definedName name="XDO_?NOVAL?9?">TISF!$B$10:$B$86</definedName>
    <definedName name="XDO_?NPTF?4?">TISF!$D$2:$D$42</definedName>
    <definedName name="XDO_?RATING?8?">TISF!$E$10:$E$42</definedName>
    <definedName name="XDO_?RATING?9?">TISF!$E$10:$E$86</definedName>
    <definedName name="XDO_?REMARKS?8?">TISF!$J$10:$J$42</definedName>
    <definedName name="XDO_?REMARKS?9?">TISF!$J$10:$J$86</definedName>
    <definedName name="XDO_?TITL?4?">TISF!$A$8:$A$42</definedName>
    <definedName name="XDO_GROUP_?G_2?4?">TISF!$2:$89</definedName>
    <definedName name="XDO_GROUP_?G_3?4?">TISF!$8:$88</definedName>
    <definedName name="XDO_GROUP_?G_4?8?">TISF!$B$10:$IV$42</definedName>
    <definedName name="XDO_GROUP_?G_4?9?">TISF!$B$86:$IV$86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 l="1"/>
</calcChain>
</file>

<file path=xl/sharedStrings.xml><?xml version="1.0" encoding="utf-8"?>
<sst xmlns="http://schemas.openxmlformats.org/spreadsheetml/2006/main" count="268" uniqueCount="195">
  <si>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</si>
  <si>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</si>
  <si>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</si>
  <si>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</si>
  <si>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</si>
  <si>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</si>
  <si>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</si>
  <si>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</si>
  <si>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</si>
  <si>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</si>
  <si>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</si>
  <si>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</si>
  <si>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</si>
  <si>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</si>
  <si>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</si>
  <si>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</si>
  <si>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</si>
  <si>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</si>
  <si>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</si>
  <si>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</si>
  <si>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</si>
  <si>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</si>
  <si>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</si>
  <si>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</si>
  <si>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</si>
  <si>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</si>
  <si>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</si>
  <si>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102447</t>
  </si>
  <si>
    <t>Afcons Infrastructure Ltd.</t>
  </si>
  <si>
    <t>INE101I01011</t>
  </si>
  <si>
    <t>100302</t>
  </si>
  <si>
    <t>DLF Ltd.</t>
  </si>
  <si>
    <t>INE271C01023</t>
  </si>
  <si>
    <t>Realty</t>
  </si>
  <si>
    <t>102206</t>
  </si>
  <si>
    <t>Chemtech Industrial Valves Ltd.</t>
  </si>
  <si>
    <t>INE212P01011</t>
  </si>
  <si>
    <t>Industrial Manufacturing</t>
  </si>
  <si>
    <t>100082</t>
  </si>
  <si>
    <t>Ultratech Cement Ltd.</t>
  </si>
  <si>
    <t>INE481G01011</t>
  </si>
  <si>
    <t>Cement &amp; Cement Products</t>
  </si>
  <si>
    <t>102060</t>
  </si>
  <si>
    <t>Tarc Ltd.</t>
  </si>
  <si>
    <t>INE0EK901012</t>
  </si>
  <si>
    <t>100094</t>
  </si>
  <si>
    <t>Bharat Petroleum Corporation Ltd.</t>
  </si>
  <si>
    <t>INE029A01011</t>
  </si>
  <si>
    <t>100169</t>
  </si>
  <si>
    <t>Indian Oil Corporation Ltd.</t>
  </si>
  <si>
    <t>INE242A01010</t>
  </si>
  <si>
    <t>100292</t>
  </si>
  <si>
    <t>Steel Authority of India Ltd.</t>
  </si>
  <si>
    <t>INE114A01011</t>
  </si>
  <si>
    <t>Ferrous Metals</t>
  </si>
  <si>
    <t>100177</t>
  </si>
  <si>
    <t>Grasim Industries Ltd.</t>
  </si>
  <si>
    <t>INE047A01021</t>
  </si>
  <si>
    <t>100181</t>
  </si>
  <si>
    <t>NTPC Ltd.</t>
  </si>
  <si>
    <t>INE733E01010</t>
  </si>
  <si>
    <t>Power</t>
  </si>
  <si>
    <t>100182</t>
  </si>
  <si>
    <t>Power Grid Corporation of India Ltd.</t>
  </si>
  <si>
    <t>INE752E01010</t>
  </si>
  <si>
    <t>100843</t>
  </si>
  <si>
    <t>Dalmia Bharat Ltd.</t>
  </si>
  <si>
    <t>INE00R701025</t>
  </si>
  <si>
    <t>101800</t>
  </si>
  <si>
    <t>Hindware Home Innovation Ltd.</t>
  </si>
  <si>
    <t>INE05AN01011</t>
  </si>
  <si>
    <t>Consumer Durables</t>
  </si>
  <si>
    <t>100111</t>
  </si>
  <si>
    <t>Oil &amp; Natural Gas Corporation Ltd.</t>
  </si>
  <si>
    <t>INE213A01029</t>
  </si>
  <si>
    <t>Oil</t>
  </si>
  <si>
    <t>100752</t>
  </si>
  <si>
    <t>Praj Industries Ltd.</t>
  </si>
  <si>
    <t>INE074A01025</t>
  </si>
  <si>
    <t>100365</t>
  </si>
  <si>
    <t>Ashok Leyland Ltd.</t>
  </si>
  <si>
    <t>INE208A01029</t>
  </si>
  <si>
    <t>Agricultural, Commercial &amp; Construction Vehicles</t>
  </si>
  <si>
    <t>100498</t>
  </si>
  <si>
    <t>Ahluwalia Contracts (India) Ltd.</t>
  </si>
  <si>
    <t>INE758C01029</t>
  </si>
  <si>
    <t>101797</t>
  </si>
  <si>
    <t>Bajaj Hindusthan Sugar Ltd.</t>
  </si>
  <si>
    <t>INE306A01021</t>
  </si>
  <si>
    <t>Agricultural Food &amp; other Products</t>
  </si>
  <si>
    <t>102220</t>
  </si>
  <si>
    <t>Interarch Building Solutions Ltd.</t>
  </si>
  <si>
    <t>INE00M901018</t>
  </si>
  <si>
    <t>100174</t>
  </si>
  <si>
    <t>Vodafone Idea Ltd.</t>
  </si>
  <si>
    <t>INE669E01016</t>
  </si>
  <si>
    <t>102520</t>
  </si>
  <si>
    <t>Transrail Lighting Ltd.</t>
  </si>
  <si>
    <t>INE454P01035</t>
  </si>
  <si>
    <t>Electrical Equipment</t>
  </si>
  <si>
    <t>100083</t>
  </si>
  <si>
    <t>Samvardhana Motherson International Ltd.</t>
  </si>
  <si>
    <t>INE775A01035</t>
  </si>
  <si>
    <t>Auto Components</t>
  </si>
  <si>
    <t>100809</t>
  </si>
  <si>
    <t>Rites Ltd.</t>
  </si>
  <si>
    <t>INE320J01015</t>
  </si>
  <si>
    <t>100014</t>
  </si>
  <si>
    <t>Mahindra &amp; Mahindra Ltd.</t>
  </si>
  <si>
    <t>INE101A01026</t>
  </si>
  <si>
    <t>Automobiles</t>
  </si>
  <si>
    <t>101489</t>
  </si>
  <si>
    <t>Data Patterns (India) Ltd.</t>
  </si>
  <si>
    <t>INE0IX101010</t>
  </si>
  <si>
    <t>Aerospace &amp; Defense</t>
  </si>
  <si>
    <t>100362</t>
  </si>
  <si>
    <t>JSW Energy Ltd.</t>
  </si>
  <si>
    <t>INE121E01018</t>
  </si>
  <si>
    <t>100100</t>
  </si>
  <si>
    <t>Hindustan Petroleum Corporation Ltd.</t>
  </si>
  <si>
    <t>INE094A01015</t>
  </si>
  <si>
    <t>100006</t>
  </si>
  <si>
    <t>HDFC Bank Ltd.</t>
  </si>
  <si>
    <t>INE040A01034</t>
  </si>
  <si>
    <t>Banks</t>
  </si>
  <si>
    <t>100430</t>
  </si>
  <si>
    <t>Salzer Electronics Ltd.</t>
  </si>
  <si>
    <t>INE457F01013</t>
  </si>
  <si>
    <t>100078</t>
  </si>
  <si>
    <t>Sanghi Industries Ltd.</t>
  </si>
  <si>
    <t>INE999B01013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</si>
  <si>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</si>
  <si>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</si>
  <si>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</si>
  <si>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</si>
  <si>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</si>
  <si>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</si>
  <si>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</si>
  <si>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</si>
  <si>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</si>
  <si>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</si>
  <si>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</si>
  <si>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</si>
  <si>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</si>
  <si>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</si>
  <si>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</si>
  <si>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</si>
  <si>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</si>
  <si>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</si>
  <si>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</si>
  <si>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</si>
  <si>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</si>
  <si>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</si>
  <si>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</si>
  <si>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</si>
  <si>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</si>
  <si>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</si>
  <si>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</si>
  <si>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</si>
  <si>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</si>
  <si>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</si>
  <si>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</si>
  <si>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</si>
  <si>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</si>
  <si>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</si>
  <si>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</si>
  <si>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April 30, 2025</t>
  </si>
  <si>
    <t>May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</si>
  <si>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</si>
  <si>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</si>
  <si>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</si>
  <si>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</si>
  <si>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May 31, 2025.</t>
  </si>
  <si>
    <t>7. The Scheme did not declare any bonus during the month ended As on  May 31, 2025.</t>
  </si>
  <si>
    <t>8. Total outstanding exposure in derivative instruments as on As on  May 31, 2025 is Nil</t>
  </si>
  <si>
    <t>9. Total investments in Foreign Securities /ADRs/GDRs /Overseas ETFs as at As on  May 31, 2025 and its percentage to NAV is Nil.</t>
  </si>
  <si>
    <t>10. During the period, the portfolio turnover ratio is 0.75 times.</t>
  </si>
  <si>
    <t>      Portfolio Turnover Ratio = Lower of sales or purchase of securities divided by average AUM for 12 months ended As on  May 31, 2025</t>
  </si>
  <si>
    <t>11. The Scheme did not invest in repo transactions of corporate debt securities during the month ended As on  May 31, 2025.</t>
  </si>
  <si>
    <t>12. The Scheme did not invest in credit default swaps during the month ended As on  May 31, 2025.</t>
  </si>
  <si>
    <t>13. There are Nil instances of deviation from the valuation principles/guidelines during the month ended as on May 31st, 2025.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</si>
  <si>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</si>
  <si>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</si>
  <si>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</si>
  <si>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</si>
  <si>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</si>
  <si>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</si>
  <si>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</si>
  <si>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</si>
  <si>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</si>
  <si>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</si>
  <si>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</si>
  <si>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May 30,2025 :66.56)</t>
  </si>
  <si>
    <t>Taurus Infrastructure Fund - Direct Plan Growth Option</t>
  </si>
  <si>
    <t>NAV [Rs.] Per Unit (as on May 30,2025 :71.36)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</si>
</sst>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E0827774-6FF2-447D-AD4F-37900247581F}"/>
    <cellStyle name="Hyperlink" xfId="2" builtinId="8"/>
    <cellStyle name="Normal" xfId="0" builtinId="0"/>
    <cellStyle name="Normal 2" xfId="4" xr:uid="{6EDF9951-B00F-4132-BD18-55BAFF4D1F46}"/>
    <cellStyle name="Style 1" xfId="3" xr:uid="{9928F76E-3ECC-469E-AC32-CD10AFD824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2002536</xdr:rowOff>
    </xdr:to>
    <xdr:pic>
      <xdr:nvPicPr>
        <xdr:cNvPr id="2" name="Picture 1" descr="Product Label - 9th Dec 2024 - Infra.jpg">
          <a:extLst>
            <a:ext uri="{FF2B5EF4-FFF2-40B4-BE49-F238E27FC236}">
              <a16:creationId xmlns:a16="http://schemas.microsoft.com/office/drawing/2014/main" id="{41E96037-9F25-4987-B9CE-288D1D9C5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20025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May_2025\Final\TMF_Monthly_Portfolio_Report_May%2025.xls" TargetMode="External"/><Relationship Id="rId1" Type="http://schemas.openxmlformats.org/officeDocument/2006/relationships/externalLinkPath" Target="file:///Q:\5.TMF\Reporting\Monthly%20Reports\Monthly%20Portfolio\2025-26\May_2025\Final\TMF_Monthly_Portfolio_Report_May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8595-076A-4A09-805D-4E8992E7B575}">
  <dimension ref="A1:BB115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45808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90.98</v>
      </c>
      <c r="I10" s="32">
        <v>9.77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4802</v>
      </c>
      <c r="H11" s="32">
        <v>68.23</v>
      </c>
      <c r="I11" s="32">
        <v>7.33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1719</v>
      </c>
      <c r="H12" s="32">
        <v>63.19</v>
      </c>
      <c r="I12" s="32">
        <v>6.78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26</v>
      </c>
      <c r="G13" s="31">
        <v>10800</v>
      </c>
      <c r="H13" s="32">
        <v>45.72</v>
      </c>
      <c r="I13" s="32">
        <v>4.91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4454</v>
      </c>
      <c r="H14" s="32">
        <v>35.51</v>
      </c>
      <c r="I14" s="32">
        <v>3.81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25000</v>
      </c>
      <c r="H15" s="32">
        <v>35.04</v>
      </c>
      <c r="I15" s="32">
        <v>3.76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280</v>
      </c>
      <c r="H16" s="32">
        <v>31.35</v>
      </c>
      <c r="I16" s="32">
        <v>3.37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33</v>
      </c>
      <c r="G17" s="31">
        <v>18003</v>
      </c>
      <c r="H17" s="32">
        <v>30.85</v>
      </c>
      <c r="I17" s="32">
        <v>3.31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22</v>
      </c>
      <c r="G18" s="31">
        <v>9374</v>
      </c>
      <c r="H18" s="32">
        <v>29.82</v>
      </c>
      <c r="I18" s="32">
        <v>3.2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22</v>
      </c>
      <c r="G19" s="31">
        <v>19975</v>
      </c>
      <c r="H19" s="32">
        <v>28.35</v>
      </c>
      <c r="I19" s="32">
        <v>3.04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20533</v>
      </c>
      <c r="H20" s="32">
        <v>26.52</v>
      </c>
      <c r="I20" s="32">
        <v>2.85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41</v>
      </c>
      <c r="G21" s="31">
        <v>1015</v>
      </c>
      <c r="H21" s="32">
        <v>25.84</v>
      </c>
      <c r="I21" s="32">
        <v>2.77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7687</v>
      </c>
      <c r="H22" s="32">
        <v>25.69</v>
      </c>
      <c r="I22" s="32">
        <v>2.76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61</v>
      </c>
      <c r="G23" s="31">
        <v>8677</v>
      </c>
      <c r="H23" s="32">
        <v>25.15</v>
      </c>
      <c r="I23" s="32">
        <v>2.7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41</v>
      </c>
      <c r="G24" s="31">
        <v>1208</v>
      </c>
      <c r="H24" s="32">
        <v>24.35</v>
      </c>
      <c r="I24" s="32">
        <v>2.61</v>
      </c>
      <c r="J24" s="33"/>
    </row>
    <row r="25" spans="2:10" x14ac:dyDescent="0.25">
      <c r="B25" s="1" t="s">
        <v>68</v>
      </c>
      <c r="C25" s="20" t="s">
        <v>69</v>
      </c>
      <c r="D25" s="29" t="s">
        <v>70</v>
      </c>
      <c r="E25" s="30"/>
      <c r="F25" s="30" t="s">
        <v>71</v>
      </c>
      <c r="G25" s="31">
        <v>8872</v>
      </c>
      <c r="H25" s="32">
        <v>24.07</v>
      </c>
      <c r="I25" s="32">
        <v>2.58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8818</v>
      </c>
      <c r="H26" s="32">
        <v>21.11</v>
      </c>
      <c r="I26" s="32">
        <v>2.27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37</v>
      </c>
      <c r="G27" s="31">
        <v>4394</v>
      </c>
      <c r="H27" s="32">
        <v>21.09</v>
      </c>
      <c r="I27" s="32">
        <v>2.2599999999999998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82</v>
      </c>
      <c r="G28" s="31">
        <v>8546</v>
      </c>
      <c r="H28" s="32">
        <v>20.170000000000002</v>
      </c>
      <c r="I28" s="32">
        <v>2.17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26</v>
      </c>
      <c r="G29" s="31">
        <v>2005</v>
      </c>
      <c r="H29" s="32">
        <v>19.5</v>
      </c>
      <c r="I29" s="32">
        <v>2.09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89</v>
      </c>
      <c r="G30" s="31">
        <v>80000</v>
      </c>
      <c r="H30" s="32">
        <v>19.34</v>
      </c>
      <c r="I30" s="32">
        <v>2.08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26</v>
      </c>
      <c r="G31" s="31">
        <v>796</v>
      </c>
      <c r="H31" s="32">
        <v>18.02</v>
      </c>
      <c r="I31" s="32">
        <v>1.94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18</v>
      </c>
      <c r="G32" s="31">
        <v>255518</v>
      </c>
      <c r="H32" s="32">
        <v>17.68</v>
      </c>
      <c r="I32" s="32">
        <v>1.9</v>
      </c>
      <c r="J32" s="33"/>
    </row>
    <row r="33" spans="2:10" x14ac:dyDescent="0.25">
      <c r="B33" s="1" t="s">
        <v>96</v>
      </c>
      <c r="C33" s="20" t="s">
        <v>97</v>
      </c>
      <c r="D33" s="29" t="s">
        <v>98</v>
      </c>
      <c r="E33" s="30"/>
      <c r="F33" s="30" t="s">
        <v>99</v>
      </c>
      <c r="G33" s="31">
        <v>2896</v>
      </c>
      <c r="H33" s="32">
        <v>17.63</v>
      </c>
      <c r="I33" s="32">
        <v>1.89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103</v>
      </c>
      <c r="G34" s="31">
        <v>11000</v>
      </c>
      <c r="H34" s="32">
        <v>16.829999999999998</v>
      </c>
      <c r="I34" s="32">
        <v>1.81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26</v>
      </c>
      <c r="G35" s="31">
        <v>5803</v>
      </c>
      <c r="H35" s="32">
        <v>16.100000000000001</v>
      </c>
      <c r="I35" s="32">
        <v>1.73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110</v>
      </c>
      <c r="G36" s="31">
        <v>523</v>
      </c>
      <c r="H36" s="32">
        <v>15.58</v>
      </c>
      <c r="I36" s="32">
        <v>1.67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546</v>
      </c>
      <c r="H37" s="32">
        <v>15.54</v>
      </c>
      <c r="I37" s="32">
        <v>1.67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61</v>
      </c>
      <c r="G38" s="31">
        <v>3031</v>
      </c>
      <c r="H38" s="32">
        <v>14.8</v>
      </c>
      <c r="I38" s="32">
        <v>1.59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22</v>
      </c>
      <c r="G39" s="31">
        <v>3502</v>
      </c>
      <c r="H39" s="32">
        <v>14.4</v>
      </c>
      <c r="I39" s="32">
        <v>1.55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124</v>
      </c>
      <c r="G40" s="31">
        <v>465</v>
      </c>
      <c r="H40" s="32">
        <v>9.0399999999999991</v>
      </c>
      <c r="I40" s="32">
        <v>0.97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99</v>
      </c>
      <c r="G41" s="31">
        <v>786</v>
      </c>
      <c r="H41" s="32">
        <v>7.3</v>
      </c>
      <c r="I41" s="32">
        <v>0.78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41</v>
      </c>
      <c r="G42" s="31">
        <v>10000</v>
      </c>
      <c r="H42" s="32">
        <v>6.17</v>
      </c>
      <c r="I42" s="32">
        <v>0.66</v>
      </c>
      <c r="J42" s="33"/>
    </row>
    <row r="43" spans="2:10" x14ac:dyDescent="0.25">
      <c r="C43" s="28" t="s">
        <v>131</v>
      </c>
      <c r="D43" s="29"/>
      <c r="E43" s="30"/>
      <c r="F43" s="30"/>
      <c r="G43" s="31"/>
      <c r="H43" s="35">
        <v>880.96</v>
      </c>
      <c r="I43" s="35">
        <v>94.58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132</v>
      </c>
      <c r="D45" s="29"/>
      <c r="E45" s="30"/>
      <c r="F45" s="30"/>
      <c r="G45" s="31"/>
      <c r="H45" s="32" t="s">
        <v>133</v>
      </c>
      <c r="I45" s="32" t="s">
        <v>133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134</v>
      </c>
      <c r="D47" s="29"/>
      <c r="E47" s="30"/>
      <c r="F47" s="30"/>
      <c r="G47" s="31"/>
      <c r="H47" s="32" t="s">
        <v>133</v>
      </c>
      <c r="I47" s="32" t="s">
        <v>133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135</v>
      </c>
      <c r="D49" s="29"/>
      <c r="E49" s="30"/>
      <c r="F49" s="30"/>
      <c r="G49" s="31"/>
      <c r="H49" s="32"/>
      <c r="I49" s="32"/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136</v>
      </c>
      <c r="D51" s="29"/>
      <c r="E51" s="30"/>
      <c r="F51" s="30"/>
      <c r="G51" s="31"/>
      <c r="H51" s="32" t="s">
        <v>133</v>
      </c>
      <c r="I51" s="32" t="s">
        <v>133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137</v>
      </c>
      <c r="D53" s="29"/>
      <c r="E53" s="30"/>
      <c r="F53" s="30"/>
      <c r="G53" s="31"/>
      <c r="H53" s="32" t="s">
        <v>133</v>
      </c>
      <c r="I53" s="32" t="s">
        <v>133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138</v>
      </c>
      <c r="D55" s="29"/>
      <c r="E55" s="30"/>
      <c r="F55" s="30"/>
      <c r="G55" s="31"/>
      <c r="H55" s="32" t="s">
        <v>133</v>
      </c>
      <c r="I55" s="32" t="s">
        <v>133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139</v>
      </c>
      <c r="D57" s="29"/>
      <c r="E57" s="30"/>
      <c r="F57" s="30"/>
      <c r="G57" s="31"/>
      <c r="H57" s="32" t="s">
        <v>133</v>
      </c>
      <c r="I57" s="32" t="s">
        <v>133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140</v>
      </c>
      <c r="D59" s="29"/>
      <c r="E59" s="30"/>
      <c r="F59" s="30"/>
      <c r="G59" s="31"/>
      <c r="H59" s="32" t="s">
        <v>133</v>
      </c>
      <c r="I59" s="32" t="s">
        <v>133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141</v>
      </c>
      <c r="D61" s="29"/>
      <c r="E61" s="30"/>
      <c r="F61" s="30"/>
      <c r="G61" s="31"/>
      <c r="H61" s="32"/>
      <c r="I61" s="32"/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142</v>
      </c>
      <c r="D63" s="29"/>
      <c r="E63" s="30"/>
      <c r="F63" s="30"/>
      <c r="G63" s="31"/>
      <c r="H63" s="32" t="s">
        <v>133</v>
      </c>
      <c r="I63" s="32" t="s">
        <v>133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143</v>
      </c>
      <c r="D65" s="29"/>
      <c r="E65" s="30"/>
      <c r="F65" s="30"/>
      <c r="G65" s="31"/>
      <c r="H65" s="32" t="s">
        <v>133</v>
      </c>
      <c r="I65" s="32" t="s">
        <v>133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144</v>
      </c>
      <c r="D67" s="29"/>
      <c r="E67" s="30"/>
      <c r="F67" s="30"/>
      <c r="G67" s="31"/>
      <c r="H67" s="32" t="s">
        <v>133</v>
      </c>
      <c r="I67" s="32" t="s">
        <v>133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145</v>
      </c>
      <c r="D69" s="29"/>
      <c r="E69" s="30"/>
      <c r="F69" s="30"/>
      <c r="G69" s="31"/>
      <c r="H69" s="32" t="s">
        <v>133</v>
      </c>
      <c r="I69" s="32" t="s">
        <v>133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146</v>
      </c>
      <c r="D71" s="29"/>
      <c r="E71" s="30"/>
      <c r="F71" s="30"/>
      <c r="G71" s="31"/>
      <c r="H71" s="32"/>
      <c r="I71" s="32"/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147</v>
      </c>
      <c r="D73" s="29"/>
      <c r="E73" s="30"/>
      <c r="F73" s="30"/>
      <c r="G73" s="31"/>
      <c r="H73" s="32" t="s">
        <v>133</v>
      </c>
      <c r="I73" s="32" t="s">
        <v>133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148</v>
      </c>
      <c r="D75" s="29"/>
      <c r="E75" s="30"/>
      <c r="F75" s="30"/>
      <c r="G75" s="31"/>
      <c r="H75" s="32" t="s">
        <v>133</v>
      </c>
      <c r="I75" s="32" t="s">
        <v>133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149</v>
      </c>
      <c r="D77" s="29"/>
      <c r="E77" s="30"/>
      <c r="F77" s="30"/>
      <c r="G77" s="31"/>
      <c r="H77" s="32" t="s">
        <v>133</v>
      </c>
      <c r="I77" s="32" t="s">
        <v>133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150</v>
      </c>
      <c r="D79" s="29"/>
      <c r="E79" s="30"/>
      <c r="F79" s="30"/>
      <c r="G79" s="31"/>
      <c r="H79" s="32" t="s">
        <v>133</v>
      </c>
      <c r="I79" s="32" t="s">
        <v>133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151</v>
      </c>
      <c r="D81" s="29"/>
      <c r="E81" s="30"/>
      <c r="F81" s="30"/>
      <c r="G81" s="31"/>
      <c r="H81" s="32" t="s">
        <v>133</v>
      </c>
      <c r="I81" s="32" t="s">
        <v>133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152</v>
      </c>
      <c r="D83" s="29"/>
      <c r="E83" s="30"/>
      <c r="F83" s="30"/>
      <c r="G83" s="31"/>
      <c r="H83" s="32" t="s">
        <v>133</v>
      </c>
      <c r="I83" s="32" t="s">
        <v>133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A85" s="26"/>
      <c r="B85" s="27"/>
      <c r="C85" s="28" t="s">
        <v>153</v>
      </c>
      <c r="D85" s="29"/>
      <c r="E85" s="30"/>
      <c r="F85" s="30"/>
      <c r="G85" s="31"/>
      <c r="H85" s="32"/>
      <c r="I85" s="32"/>
      <c r="J85" s="33"/>
    </row>
    <row r="86" spans="1:10" x14ac:dyDescent="0.25">
      <c r="B86" s="1"/>
      <c r="C86" s="20" t="s">
        <v>154</v>
      </c>
      <c r="D86" s="29"/>
      <c r="E86" s="30"/>
      <c r="F86" s="30"/>
      <c r="G86" s="31"/>
      <c r="H86" s="32">
        <v>50.45</v>
      </c>
      <c r="I86" s="32">
        <v>5.42</v>
      </c>
      <c r="J86" s="33"/>
    </row>
    <row r="87" spans="1:10" x14ac:dyDescent="0.25">
      <c r="C87" s="28" t="s">
        <v>131</v>
      </c>
      <c r="D87" s="29"/>
      <c r="E87" s="30"/>
      <c r="F87" s="30"/>
      <c r="G87" s="31"/>
      <c r="H87" s="35">
        <v>50.45</v>
      </c>
      <c r="I87" s="35">
        <v>5.42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ht="14.25" thickBot="1" x14ac:dyDescent="0.3">
      <c r="C89" s="36" t="s">
        <v>155</v>
      </c>
      <c r="D89" s="37"/>
      <c r="E89" s="38"/>
      <c r="F89" s="39"/>
      <c r="G89" s="40"/>
      <c r="H89" s="41">
        <v>931.41</v>
      </c>
      <c r="I89" s="41">
        <f>SUMIFS(I:I,C:C,"Total")</f>
        <v>100</v>
      </c>
      <c r="J89" s="42"/>
    </row>
    <row r="92" spans="1:10" x14ac:dyDescent="0.25">
      <c r="C92" s="11" t="s">
        <v>156</v>
      </c>
    </row>
    <row r="93" spans="1:10" x14ac:dyDescent="0.25">
      <c r="C93" s="2" t="s">
        <v>157</v>
      </c>
    </row>
    <row r="94" spans="1:10" x14ac:dyDescent="0.25">
      <c r="C94" s="2" t="s">
        <v>158</v>
      </c>
    </row>
    <row r="95" spans="1:10" x14ac:dyDescent="0.25">
      <c r="C95" s="2" t="s">
        <v>159</v>
      </c>
    </row>
    <row r="96" spans="1:10" x14ac:dyDescent="0.25">
      <c r="C96" s="2" t="s">
        <v>160</v>
      </c>
    </row>
    <row r="97" spans="3:5" x14ac:dyDescent="0.25">
      <c r="C97" s="2" t="s">
        <v>161</v>
      </c>
    </row>
    <row r="98" spans="3:5" x14ac:dyDescent="0.25">
      <c r="C98" s="2" t="s">
        <v>162</v>
      </c>
    </row>
    <row r="99" spans="3:5" x14ac:dyDescent="0.25">
      <c r="D99" s="2" t="s">
        <v>163</v>
      </c>
    </row>
    <row r="100" spans="3:5" x14ac:dyDescent="0.25">
      <c r="C100" s="2" t="s">
        <v>164</v>
      </c>
      <c r="D100" s="2" t="s">
        <v>165</v>
      </c>
      <c r="E100" s="2" t="s">
        <v>165</v>
      </c>
    </row>
    <row r="101" spans="3:5" x14ac:dyDescent="0.25">
      <c r="D101" s="2" t="s">
        <v>166</v>
      </c>
      <c r="E101" s="2" t="s">
        <v>167</v>
      </c>
    </row>
    <row r="102" spans="3:5" x14ac:dyDescent="0.25">
      <c r="C102" s="2" t="s">
        <v>168</v>
      </c>
      <c r="D102" s="2">
        <v>58.66</v>
      </c>
      <c r="E102" s="2">
        <v>62.51</v>
      </c>
    </row>
    <row r="103" spans="3:5" x14ac:dyDescent="0.25">
      <c r="C103" s="2" t="s">
        <v>169</v>
      </c>
      <c r="D103" s="2">
        <v>62.46</v>
      </c>
      <c r="E103" s="2">
        <v>66.55</v>
      </c>
    </row>
    <row r="104" spans="3:5" x14ac:dyDescent="0.25">
      <c r="C104" s="2" t="s">
        <v>170</v>
      </c>
      <c r="D104" s="2">
        <v>62.34</v>
      </c>
      <c r="E104" s="2">
        <v>66.459999999999994</v>
      </c>
    </row>
    <row r="105" spans="3:5" x14ac:dyDescent="0.25">
      <c r="C105" s="2" t="s">
        <v>171</v>
      </c>
      <c r="D105" s="2">
        <v>66.94</v>
      </c>
      <c r="E105" s="2">
        <v>71.36</v>
      </c>
    </row>
    <row r="107" spans="3:5" x14ac:dyDescent="0.25">
      <c r="C107" s="2" t="s">
        <v>172</v>
      </c>
    </row>
    <row r="108" spans="3:5" x14ac:dyDescent="0.25">
      <c r="C108" s="2" t="s">
        <v>173</v>
      </c>
    </row>
    <row r="109" spans="3:5" x14ac:dyDescent="0.25">
      <c r="C109" s="2" t="s">
        <v>174</v>
      </c>
    </row>
    <row r="110" spans="3:5" x14ac:dyDescent="0.25">
      <c r="C110" s="2" t="s">
        <v>175</v>
      </c>
    </row>
    <row r="111" spans="3:5" x14ac:dyDescent="0.25">
      <c r="C111" s="2" t="s">
        <v>176</v>
      </c>
    </row>
    <row r="112" spans="3:5" x14ac:dyDescent="0.25">
      <c r="C112" s="2" t="s">
        <v>177</v>
      </c>
    </row>
    <row r="113" spans="3:3" x14ac:dyDescent="0.25">
      <c r="C113" s="2" t="s">
        <v>178</v>
      </c>
    </row>
    <row r="114" spans="3:3" x14ac:dyDescent="0.25">
      <c r="C114" s="2" t="s">
        <v>179</v>
      </c>
    </row>
    <row r="115" spans="3:3" x14ac:dyDescent="0.25">
      <c r="C115" s="2" t="s">
        <v>180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FF5D-9BC5-4615-9E9F-5D446EB190E6}">
  <dimension ref="C3:K17"/>
  <sheetViews>
    <sheetView workbookViewId="0"/>
  </sheetViews>
  <sheetFormatPr defaultRowHeight="15" x14ac:dyDescent="0.25"/>
  <cols>
    <col min="3" max="3" width="45.140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181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182</v>
      </c>
      <c r="D4" s="46" t="s">
        <v>183</v>
      </c>
      <c r="E4" s="46"/>
      <c r="F4" s="46" t="s">
        <v>184</v>
      </c>
      <c r="G4" s="46"/>
      <c r="H4" s="46" t="s">
        <v>185</v>
      </c>
      <c r="I4" s="46"/>
      <c r="J4" s="47" t="s">
        <v>186</v>
      </c>
      <c r="K4" s="47"/>
    </row>
    <row r="5" spans="3:11" ht="63.75" x14ac:dyDescent="0.25">
      <c r="C5" s="48"/>
      <c r="D5" s="49" t="s">
        <v>187</v>
      </c>
      <c r="E5" s="49" t="s">
        <v>188</v>
      </c>
      <c r="F5" s="49" t="s">
        <v>187</v>
      </c>
      <c r="G5" s="49" t="s">
        <v>188</v>
      </c>
      <c r="H5" s="49" t="s">
        <v>187</v>
      </c>
      <c r="I5" s="49" t="s">
        <v>188</v>
      </c>
      <c r="J5" s="50" t="s">
        <v>187</v>
      </c>
      <c r="K5" s="50" t="s">
        <v>188</v>
      </c>
    </row>
    <row r="6" spans="3:11" x14ac:dyDescent="0.25">
      <c r="C6" s="51" t="s">
        <v>189</v>
      </c>
      <c r="D6" s="52">
        <v>1.5872999999999999</v>
      </c>
      <c r="E6" s="52">
        <v>10158.730158730159</v>
      </c>
      <c r="F6" s="52">
        <v>22.712599999999998</v>
      </c>
      <c r="G6" s="52">
        <v>18488.888888888891</v>
      </c>
      <c r="H6" s="52">
        <v>25.8825</v>
      </c>
      <c r="I6" s="52">
        <v>31650.023775558726</v>
      </c>
      <c r="J6" s="52">
        <v>10.975754</v>
      </c>
      <c r="K6" s="52">
        <v>66560</v>
      </c>
    </row>
    <row r="7" spans="3:11" x14ac:dyDescent="0.25">
      <c r="C7" s="51" t="s">
        <v>190</v>
      </c>
      <c r="D7" s="52">
        <v>4.8807999999999998</v>
      </c>
      <c r="E7" s="52">
        <v>10488.08</v>
      </c>
      <c r="F7" s="52">
        <v>23.651299999999999</v>
      </c>
      <c r="G7" s="52">
        <v>18905.843561096575</v>
      </c>
      <c r="H7" s="52">
        <v>27.231400000000001</v>
      </c>
      <c r="I7" s="52">
        <v>33340.455583269541</v>
      </c>
      <c r="J7" s="52">
        <v>7.5555409999999998</v>
      </c>
      <c r="K7" s="52">
        <v>39420.838868374922</v>
      </c>
    </row>
    <row r="8" spans="3:11" x14ac:dyDescent="0.25">
      <c r="C8" s="51" t="s">
        <v>191</v>
      </c>
      <c r="D8" s="52">
        <v>11.395300000000001</v>
      </c>
      <c r="E8" s="52">
        <v>11139.529999999999</v>
      </c>
      <c r="F8" s="52">
        <v>15.4278</v>
      </c>
      <c r="G8" s="52">
        <v>15379.111827226925</v>
      </c>
      <c r="H8" s="52">
        <v>22.29</v>
      </c>
      <c r="I8" s="52">
        <v>27349.835905743235</v>
      </c>
      <c r="J8" s="52">
        <v>12.5105</v>
      </c>
      <c r="K8" s="52">
        <v>85948.476851218045</v>
      </c>
    </row>
    <row r="9" spans="3:11" x14ac:dyDescent="0.25">
      <c r="C9" s="51" t="s">
        <v>192</v>
      </c>
      <c r="D9" s="53">
        <v>65.52</v>
      </c>
      <c r="E9" s="54"/>
      <c r="F9" s="53">
        <v>36</v>
      </c>
      <c r="G9" s="54"/>
      <c r="H9" s="53">
        <v>21.03</v>
      </c>
      <c r="I9" s="54"/>
      <c r="J9" s="53">
        <v>10</v>
      </c>
      <c r="K9" s="54"/>
    </row>
    <row r="11" spans="3:11" ht="15.75" x14ac:dyDescent="0.25">
      <c r="C11" s="43" t="s">
        <v>193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182</v>
      </c>
      <c r="D12" s="46" t="s">
        <v>183</v>
      </c>
      <c r="E12" s="46"/>
      <c r="F12" s="46" t="s">
        <v>184</v>
      </c>
      <c r="G12" s="46"/>
      <c r="H12" s="46" t="s">
        <v>185</v>
      </c>
      <c r="I12" s="46"/>
      <c r="J12" s="47" t="s">
        <v>186</v>
      </c>
      <c r="K12" s="47"/>
    </row>
    <row r="13" spans="3:11" ht="63.75" x14ac:dyDescent="0.25">
      <c r="C13" s="48"/>
      <c r="D13" s="49" t="s">
        <v>187</v>
      </c>
      <c r="E13" s="49" t="s">
        <v>188</v>
      </c>
      <c r="F13" s="49" t="s">
        <v>187</v>
      </c>
      <c r="G13" s="49" t="s">
        <v>188</v>
      </c>
      <c r="H13" s="49" t="s">
        <v>187</v>
      </c>
      <c r="I13" s="49" t="s">
        <v>188</v>
      </c>
      <c r="J13" s="50" t="s">
        <v>187</v>
      </c>
      <c r="K13" s="50" t="s">
        <v>188</v>
      </c>
    </row>
    <row r="14" spans="3:11" x14ac:dyDescent="0.25">
      <c r="C14" s="51" t="s">
        <v>189</v>
      </c>
      <c r="D14" s="52">
        <v>2.0156999999999998</v>
      </c>
      <c r="E14" s="52">
        <v>10201.57255182273</v>
      </c>
      <c r="F14" s="52">
        <v>23.263999999999999</v>
      </c>
      <c r="G14" s="52">
        <v>18739.495798319331</v>
      </c>
      <c r="H14" s="52">
        <v>26.432400000000001</v>
      </c>
      <c r="I14" s="52">
        <v>32348.141432456938</v>
      </c>
      <c r="J14" s="52">
        <v>14.766500000000001</v>
      </c>
      <c r="K14" s="52">
        <v>55663.026521060841</v>
      </c>
    </row>
    <row r="15" spans="3:11" x14ac:dyDescent="0.25">
      <c r="C15" s="51" t="s">
        <v>190</v>
      </c>
      <c r="D15" s="52">
        <v>4.8807999999999998</v>
      </c>
      <c r="E15" s="52">
        <v>10488.08</v>
      </c>
      <c r="F15" s="52">
        <v>23.651299999999999</v>
      </c>
      <c r="G15" s="52">
        <v>18905.843561096575</v>
      </c>
      <c r="H15" s="52">
        <v>27.231400000000001</v>
      </c>
      <c r="I15" s="52">
        <v>33340.455583269541</v>
      </c>
      <c r="J15" s="52">
        <v>11.885899999999999</v>
      </c>
      <c r="K15" s="52">
        <v>40316.480747221845</v>
      </c>
    </row>
    <row r="16" spans="3:11" x14ac:dyDescent="0.25">
      <c r="C16" s="51" t="s">
        <v>191</v>
      </c>
      <c r="D16" s="52">
        <v>11.395300000000001</v>
      </c>
      <c r="E16" s="52">
        <v>11139.529999999999</v>
      </c>
      <c r="F16" s="52">
        <v>15.4278</v>
      </c>
      <c r="G16" s="52">
        <v>15379.111827226925</v>
      </c>
      <c r="H16" s="52">
        <v>22.29</v>
      </c>
      <c r="I16" s="52">
        <v>27349.835905743235</v>
      </c>
      <c r="J16" s="52">
        <v>13.465999999999999</v>
      </c>
      <c r="K16" s="52">
        <v>47982.936605820149</v>
      </c>
    </row>
    <row r="17" spans="3:11" x14ac:dyDescent="0.25">
      <c r="C17" s="51" t="s">
        <v>194</v>
      </c>
      <c r="D17" s="53">
        <v>69.95</v>
      </c>
      <c r="E17" s="54"/>
      <c r="F17" s="53">
        <v>38.08</v>
      </c>
      <c r="G17" s="54"/>
      <c r="H17" s="53">
        <v>22.06</v>
      </c>
      <c r="I17" s="54"/>
      <c r="J17" s="53">
        <v>12.82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XDO_?FINAL_ISIN?8?</vt:lpstr>
      <vt:lpstr>XDO_?FINAL_ISIN?9?</vt:lpstr>
      <vt:lpstr>XDO_?FINAL_MV?8?</vt:lpstr>
      <vt:lpstr>XDO_?FINAL_MV?9?</vt:lpstr>
      <vt:lpstr>XDO_?FINAL_NAME?8?</vt:lpstr>
      <vt:lpstr>XDO_?FINAL_NAME?9?</vt:lpstr>
      <vt:lpstr>XDO_?FINAL_PER_NET?8?</vt:lpstr>
      <vt:lpstr>XDO_?FINAL_PER_NET?9?</vt:lpstr>
      <vt:lpstr>XDO_?FINAL_QUANTITE?8?</vt:lpstr>
      <vt:lpstr>XDO_?FINAL_QUANTITE?9?</vt:lpstr>
      <vt:lpstr>XDO_?IND_01?8?</vt:lpstr>
      <vt:lpstr>XDO_?IND_01?9?</vt:lpstr>
      <vt:lpstr>XDO_?NAMCNAME?4?</vt:lpstr>
      <vt:lpstr>XDO_?NOVAL?8?</vt:lpstr>
      <vt:lpstr>XDO_?NOVAL?9?</vt:lpstr>
      <vt:lpstr>XDO_?NPTF?4?</vt:lpstr>
      <vt:lpstr>XDO_?RATING?8?</vt:lpstr>
      <vt:lpstr>XDO_?RATING?9?</vt:lpstr>
      <vt:lpstr>XDO_?REMARKS?8?</vt:lpstr>
      <vt:lpstr>XDO_?REMARKS?9?</vt:lpstr>
      <vt:lpstr>XDO_?TITL?4?</vt:lpstr>
      <vt:lpstr>XDO_GROUP_?G_2?4?</vt:lpstr>
      <vt:lpstr>XDO_GROUP_?G_3?4?</vt:lpstr>
      <vt:lpstr>XDO_GROUP_?G_4?8?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2025-06-05T08:07:15Z</dcterms:created>
  <dcterms:modified xsi:type="dcterms:W3CDTF">2025-06-06T06:04:36Z</dcterms:modified>
</cp:coreProperties>
</file>