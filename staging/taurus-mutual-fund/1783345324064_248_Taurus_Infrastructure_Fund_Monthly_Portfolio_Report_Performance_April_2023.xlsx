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760"/>
  </bookViews>
  <sheets>
    <sheet name="TISF-Risk-O-Meter &amp; Performance" sheetId="1" r:id="rId1"/>
    <sheet name="TISF-Performance" sheetId="2" r:id="rId2"/>
  </sheets>
  <externalReferences>
    <externalReference r:id="rId3"/>
  </externalReferences>
  <definedNames>
    <definedName name="XDO_?CLASS_3?4?">'TISF-Risk-O-Meter &amp; Performance'!$C$8:$C$46</definedName>
    <definedName name="XDO_?FINAL_ISIN?7?">'TISF-Risk-O-Meter &amp; Performance'!$D$10:$D$46</definedName>
    <definedName name="XDO_?FINAL_ISIN?8?">'TISF-Risk-O-Meter &amp; Performance'!$D$10:$D$88</definedName>
    <definedName name="XDO_?FINAL_MV?7?">'TISF-Risk-O-Meter &amp; Performance'!$H$10:$H$46</definedName>
    <definedName name="XDO_?FINAL_MV?8?">'TISF-Risk-O-Meter &amp; Performance'!$H$10:$H$88</definedName>
    <definedName name="XDO_?FINAL_NAME?7?">'TISF-Risk-O-Meter &amp; Performance'!$C$10:$C$46</definedName>
    <definedName name="XDO_?FINAL_NAME?8?">'TISF-Risk-O-Meter &amp; Performance'!$C$10:$C$88</definedName>
    <definedName name="XDO_?FINAL_PER_NET?7?">'TISF-Risk-O-Meter &amp; Performance'!$I$10:$I$46</definedName>
    <definedName name="XDO_?FINAL_PER_NET?8?">'TISF-Risk-O-Meter &amp; Performance'!$I$10:$I$88</definedName>
    <definedName name="XDO_?FINAL_QUANTITE?7?">'TISF-Risk-O-Meter &amp; Performance'!$G$10:$G$46</definedName>
    <definedName name="XDO_?FINAL_QUANTITE?8?">'TISF-Risk-O-Meter &amp; Performance'!$G$10:$G$88</definedName>
    <definedName name="XDO_?IND_01?7?">'TISF-Risk-O-Meter &amp; Performance'!$F$10:$F$46</definedName>
    <definedName name="XDO_?IND_01?8?">'TISF-Risk-O-Meter &amp; Performance'!$F$10:$F$88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'TISF-Risk-O-Meter &amp; Performance'!#REF!</definedName>
    <definedName name="XDO_?NAMC?5?">[1]TNI!#REF!</definedName>
    <definedName name="XDO_?NAMC?6?">[1]TSS!#REF!</definedName>
    <definedName name="XDO_?NAMC?7?">[1]TTS!#REF!</definedName>
    <definedName name="XDO_?NAMCNAME?4?">'TISF-Risk-O-Meter &amp; Performance'!$C$2:$C$46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'TISF-Risk-O-Meter &amp; Performance'!#REF!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'TISF-Risk-O-Meter &amp; Performance'!#REF!</definedName>
    <definedName name="XDO_?NNPTF?5?">[1]TNI!#REF!</definedName>
    <definedName name="XDO_?NNPTF?6?">[1]TSS!#REF!</definedName>
    <definedName name="XDO_?NNPTF?7?">[1]TTS!#REF!</definedName>
    <definedName name="XDO_?NOVAL?7?">'TISF-Risk-O-Meter &amp; Performance'!$B$10:$B$46</definedName>
    <definedName name="XDO_?NOVAL?8?">'TISF-Risk-O-Meter &amp; Performance'!$B$10:$B$88</definedName>
    <definedName name="XDO_?NPTF?4?">'TISF-Risk-O-Meter &amp; Performance'!$D$2:$D$46</definedName>
    <definedName name="XDO_?RATING?7?">'TISF-Risk-O-Meter &amp; Performance'!$E$10:$E$46</definedName>
    <definedName name="XDO_?RATING?8?">'TISF-Risk-O-Meter &amp; Performance'!$E$10:$E$88</definedName>
    <definedName name="XDO_?REMARKS?7?">'TISF-Risk-O-Meter &amp; Performance'!$J$10:$J$46</definedName>
    <definedName name="XDO_?REMARKS?8?">'TISF-Risk-O-Meter &amp; Performance'!$J$10:$J$88</definedName>
    <definedName name="XDO_?TITL?4?">'TISF-Risk-O-Meter &amp; Performance'!$A$8:$A$46</definedName>
    <definedName name="XDO_GROUP_?G_2?4?">'TISF-Risk-O-Meter &amp; Performance'!$2:$91</definedName>
    <definedName name="XDO_GROUP_?G_3?4?">'TISF-Risk-O-Meter &amp; Performance'!$8:$90</definedName>
    <definedName name="XDO_GROUP_?G_4?7?">'TISF-Risk-O-Meter &amp; Performance'!$B$10:$IV$46</definedName>
    <definedName name="XDO_GROUP_?G_4?8?">'TISF-Risk-O-Meter &amp; Performance'!$B$88:$IV$88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1" i="1"/>
</calcChain>
</file>

<file path=xl/sharedStrings.xml><?xml version="1.0" encoding="utf-8"?>
<sst xmlns="http://schemas.openxmlformats.org/spreadsheetml/2006/main" count="260" uniqueCount="188">
  <si>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</si>
  <si>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</si>
  <si>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</si>
  <si>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</si>
  <si>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</si>
  <si>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</si>
  <si>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</si>
  <si>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</si>
  <si>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</si>
  <si>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</si>
  <si>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</si>
  <si>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</si>
  <si>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</si>
  <si>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</si>
  <si>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</si>
  <si>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100005</t>
  </si>
  <si>
    <t>Larsen &amp; Toubro Ltd.</t>
  </si>
  <si>
    <t>INE018A01030</t>
  </si>
  <si>
    <t>Construction</t>
  </si>
  <si>
    <t>100002</t>
  </si>
  <si>
    <t>Reliance Industries Ltd.</t>
  </si>
  <si>
    <t>INE002A01018</t>
  </si>
  <si>
    <t>Petroleum Products</t>
  </si>
  <si>
    <t>100024</t>
  </si>
  <si>
    <t>Axis Bank Ltd.</t>
  </si>
  <si>
    <t>INE238A01034</t>
  </si>
  <si>
    <t>Banks</t>
  </si>
  <si>
    <t>100181</t>
  </si>
  <si>
    <t>NTPC Ltd.</t>
  </si>
  <si>
    <t>INE733E01010</t>
  </si>
  <si>
    <t>Power</t>
  </si>
  <si>
    <t>100302</t>
  </si>
  <si>
    <t>DLF Ltd.</t>
  </si>
  <si>
    <t>INE271C01023</t>
  </si>
  <si>
    <t>Realty</t>
  </si>
  <si>
    <t>100431</t>
  </si>
  <si>
    <t>Atul Auto Ltd.</t>
  </si>
  <si>
    <t>INE951D01028</t>
  </si>
  <si>
    <t>Agricultural, Commercial &amp; Construction Vehicles</t>
  </si>
  <si>
    <t>100128</t>
  </si>
  <si>
    <t>Eicher Motors Ltd.</t>
  </si>
  <si>
    <t>INE066A01021</t>
  </si>
  <si>
    <t>Automobiles</t>
  </si>
  <si>
    <t>100055</t>
  </si>
  <si>
    <t>The Federal Bank Ltd.</t>
  </si>
  <si>
    <t>INE171A01029</t>
  </si>
  <si>
    <t>100221</t>
  </si>
  <si>
    <t>Sundram Fasteners Ltd.</t>
  </si>
  <si>
    <t>INE387A01021</t>
  </si>
  <si>
    <t>Auto Components</t>
  </si>
  <si>
    <t>100180</t>
  </si>
  <si>
    <t>Hindalco Industries Ltd.</t>
  </si>
  <si>
    <t>INE038A01020</t>
  </si>
  <si>
    <t>Non - Ferrous Metals</t>
  </si>
  <si>
    <t>100896</t>
  </si>
  <si>
    <t>Polycab India Ltd.</t>
  </si>
  <si>
    <t>INE455K01017</t>
  </si>
  <si>
    <t>Industrial Products</t>
  </si>
  <si>
    <t>101306</t>
  </si>
  <si>
    <t>Apollo Pipes Ltd.</t>
  </si>
  <si>
    <t>INE126J01016</t>
  </si>
  <si>
    <t>100194</t>
  </si>
  <si>
    <t>Power Finance Corporation Ltd.</t>
  </si>
  <si>
    <t>INE134E01011</t>
  </si>
  <si>
    <t>Finance</t>
  </si>
  <si>
    <t>100843</t>
  </si>
  <si>
    <t>Dalmia Bharat Ltd.</t>
  </si>
  <si>
    <t>INE00R701025</t>
  </si>
  <si>
    <t>Cement &amp; Cement Products</t>
  </si>
  <si>
    <t>100090</t>
  </si>
  <si>
    <t>Bharat Forge Ltd.</t>
  </si>
  <si>
    <t>INE465A01025</t>
  </si>
  <si>
    <t>100314</t>
  </si>
  <si>
    <t>SRF Ltd.</t>
  </si>
  <si>
    <t>INE647A01010</t>
  </si>
  <si>
    <t>Chemicals &amp; Petrochemicals</t>
  </si>
  <si>
    <t>100014</t>
  </si>
  <si>
    <t>Mahindra &amp; Mahindra Ltd.</t>
  </si>
  <si>
    <t>INE101A01026</t>
  </si>
  <si>
    <t>100210</t>
  </si>
  <si>
    <t>IRB Infrastructure Developers Ltd.</t>
  </si>
  <si>
    <t>INE821I01022</t>
  </si>
  <si>
    <t>100082</t>
  </si>
  <si>
    <t>Ultratech Cement Ltd.</t>
  </si>
  <si>
    <t>INE481G01011</t>
  </si>
  <si>
    <t>100752</t>
  </si>
  <si>
    <t>Praj Industries Ltd.</t>
  </si>
  <si>
    <t>INE074A01025</t>
  </si>
  <si>
    <t>Industrial Manufacturing</t>
  </si>
  <si>
    <t>100372</t>
  </si>
  <si>
    <t>Apollo Tyres Ltd.</t>
  </si>
  <si>
    <t>INE438A01022</t>
  </si>
  <si>
    <t>100172</t>
  </si>
  <si>
    <t>ACC Ltd.</t>
  </si>
  <si>
    <t>INE012A01025</t>
  </si>
  <si>
    <t>101800</t>
  </si>
  <si>
    <t>Hindware Home Innovation Ltd.</t>
  </si>
  <si>
    <t>INE05AN01011</t>
  </si>
  <si>
    <t>Consumer Durables</t>
  </si>
  <si>
    <t>100097</t>
  </si>
  <si>
    <t>Coal India Ltd.</t>
  </si>
  <si>
    <t>INE522F01014</t>
  </si>
  <si>
    <t>Consumable Fuels</t>
  </si>
  <si>
    <t>100106</t>
  </si>
  <si>
    <t>Maruti Suzuki India Ltd.</t>
  </si>
  <si>
    <t>INE585B01010</t>
  </si>
  <si>
    <t>100095</t>
  </si>
  <si>
    <t>Bharti Airtel Ltd.</t>
  </si>
  <si>
    <t>INE397D01024</t>
  </si>
  <si>
    <t>Telecom - Services</t>
  </si>
  <si>
    <t>100707</t>
  </si>
  <si>
    <t>Cera Sanitaryware Ltd.</t>
  </si>
  <si>
    <t>INE739E01017</t>
  </si>
  <si>
    <t>100115</t>
  </si>
  <si>
    <t>Siemens Ltd.</t>
  </si>
  <si>
    <t>INE003A01024</t>
  </si>
  <si>
    <t>Electrical Equipment</t>
  </si>
  <si>
    <t>100740</t>
  </si>
  <si>
    <t>Sterlite Technologies Ltd.</t>
  </si>
  <si>
    <t>INE089C01029</t>
  </si>
  <si>
    <t>100229</t>
  </si>
  <si>
    <t>NCC Ltd.</t>
  </si>
  <si>
    <t>INE868B01028</t>
  </si>
  <si>
    <t>100001</t>
  </si>
  <si>
    <t>Housing Development Finance Corporation Ltd.</t>
  </si>
  <si>
    <t>INE001A01036</t>
  </si>
  <si>
    <t>100178</t>
  </si>
  <si>
    <t>Ambuja Cements Ltd.</t>
  </si>
  <si>
    <t>INE079A01024</t>
  </si>
  <si>
    <t>100315</t>
  </si>
  <si>
    <t>Prestige Estates Projects Ltd.</t>
  </si>
  <si>
    <t>INE811K01011</t>
  </si>
  <si>
    <t>100013</t>
  </si>
  <si>
    <t>IndusInd Bank Ltd.</t>
  </si>
  <si>
    <t>INE095A01012</t>
  </si>
  <si>
    <t>100113</t>
  </si>
  <si>
    <t>Shipping Corporation of India Ltd.</t>
  </si>
  <si>
    <t>INE109A01011</t>
  </si>
  <si>
    <t>Transport Services</t>
  </si>
  <si>
    <t>100282</t>
  </si>
  <si>
    <t>Blue Star Ltd.</t>
  </si>
  <si>
    <t>INE472A01039</t>
  </si>
  <si>
    <t>101848</t>
  </si>
  <si>
    <t>Shipping Corporation of India Land and Assets Ltd.</t>
  </si>
  <si>
    <t>INE0PB301013</t>
  </si>
  <si>
    <t>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</si>
  <si>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</si>
  <si>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</si>
  <si>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</si>
  <si>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</si>
  <si>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</si>
  <si>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</si>
  <si>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</si>
  <si>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</si>
  <si>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</si>
  <si>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</si>
  <si>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</si>
  <si>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</si>
  <si>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</si>
  <si>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</si>
  <si>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</si>
  <si>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</si>
  <si>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</si>
  <si>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</si>
  <si>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</si>
  <si>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</si>
  <si>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</si>
  <si>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</si>
  <si>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</si>
  <si>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</si>
  <si>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</si>
  <si>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</si>
  <si>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</si>
  <si>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</si>
  <si>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</si>
  <si>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</si>
  <si>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</si>
  <si>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</si>
  <si>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</si>
  <si>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</si>
  <si>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</si>
  <si>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</si>
  <si>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</si>
  <si>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</si>
  <si>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</si>
  <si>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April 28, 2023 : 40.18)</t>
  </si>
  <si>
    <t>Taurus Infrastructure Fund - Direct Plan Growth Option</t>
  </si>
  <si>
    <t>NAV [Rs.] Per Unit (as on April 28, 2023 : 42.68)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</si>
</sst>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Infra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pril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97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45046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1725</v>
      </c>
      <c r="H10" s="32">
        <v>40.79</v>
      </c>
      <c r="I10" s="32">
        <v>7.48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1150</v>
      </c>
      <c r="H11" s="32">
        <v>27.83</v>
      </c>
      <c r="I11" s="32">
        <v>5.1100000000000003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2912</v>
      </c>
      <c r="H12" s="32">
        <v>25.04</v>
      </c>
      <c r="I12" s="32">
        <v>4.59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13800</v>
      </c>
      <c r="H13" s="32">
        <v>23.67</v>
      </c>
      <c r="I13" s="32">
        <v>4.34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4771</v>
      </c>
      <c r="H14" s="32">
        <v>20.28</v>
      </c>
      <c r="I14" s="32">
        <v>3.72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5255</v>
      </c>
      <c r="H15" s="32">
        <v>20.11</v>
      </c>
      <c r="I15" s="32">
        <v>3.69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595</v>
      </c>
      <c r="H16" s="32">
        <v>19.64</v>
      </c>
      <c r="I16" s="32">
        <v>3.6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26</v>
      </c>
      <c r="G17" s="31">
        <v>13366</v>
      </c>
      <c r="H17" s="32">
        <v>18.04</v>
      </c>
      <c r="I17" s="32">
        <v>3.31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1725</v>
      </c>
      <c r="H18" s="32">
        <v>18.02</v>
      </c>
      <c r="I18" s="32">
        <v>3.31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4092</v>
      </c>
      <c r="H19" s="32">
        <v>17.84</v>
      </c>
      <c r="I19" s="32">
        <v>3.27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538</v>
      </c>
      <c r="H20" s="32">
        <v>17.239999999999998</v>
      </c>
      <c r="I20" s="32">
        <v>3.16</v>
      </c>
      <c r="J20" s="33"/>
    </row>
    <row r="21" spans="2:10">
      <c r="B21" s="1" t="s">
        <v>58</v>
      </c>
      <c r="C21" s="20" t="s">
        <v>59</v>
      </c>
      <c r="D21" s="29" t="s">
        <v>60</v>
      </c>
      <c r="E21" s="30"/>
      <c r="F21" s="30" t="s">
        <v>57</v>
      </c>
      <c r="G21" s="31">
        <v>2800</v>
      </c>
      <c r="H21" s="32">
        <v>16.559999999999999</v>
      </c>
      <c r="I21" s="32">
        <v>3.04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9725</v>
      </c>
      <c r="H22" s="32">
        <v>16.52</v>
      </c>
      <c r="I22" s="32">
        <v>3.03</v>
      </c>
      <c r="J22" s="33"/>
    </row>
    <row r="23" spans="2:10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820</v>
      </c>
      <c r="H23" s="32">
        <v>16.36</v>
      </c>
      <c r="I23" s="32">
        <v>3</v>
      </c>
      <c r="J23" s="33"/>
    </row>
    <row r="24" spans="2:10">
      <c r="B24" s="1" t="s">
        <v>69</v>
      </c>
      <c r="C24" s="20" t="s">
        <v>70</v>
      </c>
      <c r="D24" s="29" t="s">
        <v>71</v>
      </c>
      <c r="E24" s="30"/>
      <c r="F24" s="30" t="s">
        <v>57</v>
      </c>
      <c r="G24" s="31">
        <v>1937</v>
      </c>
      <c r="H24" s="32">
        <v>15.51</v>
      </c>
      <c r="I24" s="32">
        <v>2.85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570</v>
      </c>
      <c r="H25" s="32">
        <v>14.48</v>
      </c>
      <c r="I25" s="32">
        <v>2.66</v>
      </c>
      <c r="J25" s="33"/>
    </row>
    <row r="26" spans="2:10">
      <c r="B26" s="1" t="s">
        <v>76</v>
      </c>
      <c r="C26" s="20" t="s">
        <v>77</v>
      </c>
      <c r="D26" s="29" t="s">
        <v>78</v>
      </c>
      <c r="E26" s="30"/>
      <c r="F26" s="30" t="s">
        <v>42</v>
      </c>
      <c r="G26" s="31">
        <v>1158</v>
      </c>
      <c r="H26" s="32">
        <v>14.2</v>
      </c>
      <c r="I26" s="32">
        <v>2.61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18</v>
      </c>
      <c r="G27" s="31">
        <v>47730</v>
      </c>
      <c r="H27" s="32">
        <v>13.07</v>
      </c>
      <c r="I27" s="32">
        <v>2.4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68</v>
      </c>
      <c r="G28" s="31">
        <v>160</v>
      </c>
      <c r="H28" s="32">
        <v>12.09</v>
      </c>
      <c r="I28" s="32">
        <v>2.2200000000000002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3086</v>
      </c>
      <c r="H29" s="32">
        <v>10.96</v>
      </c>
      <c r="I29" s="32">
        <v>2.0099999999999998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49</v>
      </c>
      <c r="G30" s="31">
        <v>2980</v>
      </c>
      <c r="H30" s="32">
        <v>10.34</v>
      </c>
      <c r="I30" s="32">
        <v>1.9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68</v>
      </c>
      <c r="G31" s="31">
        <v>540</v>
      </c>
      <c r="H31" s="32">
        <v>9.52</v>
      </c>
      <c r="I31" s="32">
        <v>1.75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2418</v>
      </c>
      <c r="H32" s="32">
        <v>9.35</v>
      </c>
      <c r="I32" s="32">
        <v>1.72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4000</v>
      </c>
      <c r="H33" s="32">
        <v>9.32</v>
      </c>
      <c r="I33" s="32">
        <v>1.71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42</v>
      </c>
      <c r="G34" s="31">
        <v>102</v>
      </c>
      <c r="H34" s="32">
        <v>8.76</v>
      </c>
      <c r="I34" s="32">
        <v>1.61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1040</v>
      </c>
      <c r="H35" s="32">
        <v>8.31</v>
      </c>
      <c r="I35" s="32">
        <v>1.52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98</v>
      </c>
      <c r="G36" s="31">
        <v>130</v>
      </c>
      <c r="H36" s="32">
        <v>8.11</v>
      </c>
      <c r="I36" s="32">
        <v>1.49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231</v>
      </c>
      <c r="H37" s="32">
        <v>7.97</v>
      </c>
      <c r="I37" s="32">
        <v>1.46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109</v>
      </c>
      <c r="G38" s="31">
        <v>3850</v>
      </c>
      <c r="H38" s="32">
        <v>6.16</v>
      </c>
      <c r="I38" s="32">
        <v>1.1299999999999999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18</v>
      </c>
      <c r="G39" s="31">
        <v>4650</v>
      </c>
      <c r="H39" s="32">
        <v>5.56</v>
      </c>
      <c r="I39" s="32">
        <v>1.02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64</v>
      </c>
      <c r="G40" s="31">
        <v>175</v>
      </c>
      <c r="H40" s="32">
        <v>4.8600000000000003</v>
      </c>
      <c r="I40" s="32">
        <v>0.89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68</v>
      </c>
      <c r="G41" s="31">
        <v>1105</v>
      </c>
      <c r="H41" s="32">
        <v>4.38</v>
      </c>
      <c r="I41" s="32">
        <v>0.8</v>
      </c>
      <c r="J41" s="33"/>
    </row>
    <row r="42" spans="2:10">
      <c r="B42" s="1" t="s">
        <v>129</v>
      </c>
      <c r="C42" s="20" t="s">
        <v>130</v>
      </c>
      <c r="D42" s="29" t="s">
        <v>131</v>
      </c>
      <c r="E42" s="30"/>
      <c r="F42" s="30" t="s">
        <v>34</v>
      </c>
      <c r="G42" s="31">
        <v>864</v>
      </c>
      <c r="H42" s="32">
        <v>4.2300000000000004</v>
      </c>
      <c r="I42" s="32">
        <v>0.78</v>
      </c>
      <c r="J42" s="33"/>
    </row>
    <row r="43" spans="2:10">
      <c r="B43" s="1" t="s">
        <v>132</v>
      </c>
      <c r="C43" s="20" t="s">
        <v>133</v>
      </c>
      <c r="D43" s="29" t="s">
        <v>134</v>
      </c>
      <c r="E43" s="30"/>
      <c r="F43" s="30" t="s">
        <v>26</v>
      </c>
      <c r="G43" s="31">
        <v>351</v>
      </c>
      <c r="H43" s="32">
        <v>4.04</v>
      </c>
      <c r="I43" s="32">
        <v>0.74</v>
      </c>
      <c r="J43" s="33"/>
    </row>
    <row r="44" spans="2:10">
      <c r="B44" s="1" t="s">
        <v>135</v>
      </c>
      <c r="C44" s="20" t="s">
        <v>136</v>
      </c>
      <c r="D44" s="29" t="s">
        <v>137</v>
      </c>
      <c r="E44" s="30"/>
      <c r="F44" s="30" t="s">
        <v>138</v>
      </c>
      <c r="G44" s="31">
        <v>4000</v>
      </c>
      <c r="H44" s="32">
        <v>3.65</v>
      </c>
      <c r="I44" s="32">
        <v>0.67</v>
      </c>
      <c r="J44" s="33"/>
    </row>
    <row r="45" spans="2:10">
      <c r="B45" s="1" t="s">
        <v>139</v>
      </c>
      <c r="C45" s="20" t="s">
        <v>140</v>
      </c>
      <c r="D45" s="29" t="s">
        <v>141</v>
      </c>
      <c r="E45" s="30"/>
      <c r="F45" s="30" t="s">
        <v>98</v>
      </c>
      <c r="G45" s="31">
        <v>110</v>
      </c>
      <c r="H45" s="32">
        <v>1.62</v>
      </c>
      <c r="I45" s="32">
        <v>0.3</v>
      </c>
      <c r="J45" s="33"/>
    </row>
    <row r="46" spans="2:10">
      <c r="B46" s="1" t="s">
        <v>142</v>
      </c>
      <c r="C46" s="20" t="s">
        <v>143</v>
      </c>
      <c r="D46" s="29" t="s">
        <v>144</v>
      </c>
      <c r="E46" s="30"/>
      <c r="F46" s="30" t="s">
        <v>138</v>
      </c>
      <c r="G46" s="31">
        <v>4000</v>
      </c>
      <c r="H46" s="32">
        <v>1.06</v>
      </c>
      <c r="I46" s="32">
        <v>0.19</v>
      </c>
      <c r="J46" s="33" t="s">
        <v>145</v>
      </c>
    </row>
    <row r="47" spans="2:10">
      <c r="C47" s="28" t="s">
        <v>146</v>
      </c>
      <c r="D47" s="29"/>
      <c r="E47" s="30"/>
      <c r="F47" s="30"/>
      <c r="G47" s="31"/>
      <c r="H47" s="35">
        <v>485.49</v>
      </c>
      <c r="I47" s="35">
        <v>89.08</v>
      </c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147</v>
      </c>
      <c r="D49" s="29"/>
      <c r="E49" s="30"/>
      <c r="F49" s="30"/>
      <c r="G49" s="31"/>
      <c r="H49" s="32" t="s">
        <v>148</v>
      </c>
      <c r="I49" s="32" t="s">
        <v>148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149</v>
      </c>
      <c r="D51" s="29"/>
      <c r="E51" s="30"/>
      <c r="F51" s="30"/>
      <c r="G51" s="31"/>
      <c r="H51" s="32" t="s">
        <v>148</v>
      </c>
      <c r="I51" s="32" t="s">
        <v>148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150</v>
      </c>
      <c r="D53" s="29"/>
      <c r="E53" s="30"/>
      <c r="F53" s="30"/>
      <c r="G53" s="31"/>
      <c r="H53" s="32"/>
      <c r="I53" s="32"/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151</v>
      </c>
      <c r="D55" s="29"/>
      <c r="E55" s="30"/>
      <c r="F55" s="30"/>
      <c r="G55" s="31"/>
      <c r="H55" s="32" t="s">
        <v>148</v>
      </c>
      <c r="I55" s="32" t="s">
        <v>148</v>
      </c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152</v>
      </c>
      <c r="D57" s="29"/>
      <c r="E57" s="30"/>
      <c r="F57" s="30"/>
      <c r="G57" s="31"/>
      <c r="H57" s="32" t="s">
        <v>148</v>
      </c>
      <c r="I57" s="32" t="s">
        <v>148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153</v>
      </c>
      <c r="D59" s="29"/>
      <c r="E59" s="30"/>
      <c r="F59" s="30"/>
      <c r="G59" s="31"/>
      <c r="H59" s="32" t="s">
        <v>148</v>
      </c>
      <c r="I59" s="32" t="s">
        <v>148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154</v>
      </c>
      <c r="D61" s="29"/>
      <c r="E61" s="30"/>
      <c r="F61" s="30"/>
      <c r="G61" s="31"/>
      <c r="H61" s="32" t="s">
        <v>148</v>
      </c>
      <c r="I61" s="32" t="s">
        <v>148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155</v>
      </c>
      <c r="D63" s="29"/>
      <c r="E63" s="30"/>
      <c r="F63" s="30"/>
      <c r="G63" s="31"/>
      <c r="H63" s="32" t="s">
        <v>148</v>
      </c>
      <c r="I63" s="32" t="s">
        <v>148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156</v>
      </c>
      <c r="D65" s="29"/>
      <c r="E65" s="30"/>
      <c r="F65" s="30"/>
      <c r="G65" s="31"/>
      <c r="H65" s="32"/>
      <c r="I65" s="32"/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157</v>
      </c>
      <c r="D67" s="29"/>
      <c r="E67" s="30"/>
      <c r="F67" s="30"/>
      <c r="G67" s="31"/>
      <c r="H67" s="32" t="s">
        <v>148</v>
      </c>
      <c r="I67" s="32" t="s">
        <v>148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158</v>
      </c>
      <c r="D69" s="29"/>
      <c r="E69" s="30"/>
      <c r="F69" s="30"/>
      <c r="G69" s="31"/>
      <c r="H69" s="32" t="s">
        <v>148</v>
      </c>
      <c r="I69" s="32" t="s">
        <v>148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159</v>
      </c>
      <c r="D71" s="29"/>
      <c r="E71" s="30"/>
      <c r="F71" s="30"/>
      <c r="G71" s="31"/>
      <c r="H71" s="32" t="s">
        <v>148</v>
      </c>
      <c r="I71" s="32" t="s">
        <v>148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160</v>
      </c>
      <c r="D73" s="29"/>
      <c r="E73" s="30"/>
      <c r="F73" s="30"/>
      <c r="G73" s="31"/>
      <c r="H73" s="32" t="s">
        <v>148</v>
      </c>
      <c r="I73" s="32" t="s">
        <v>148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161</v>
      </c>
      <c r="D75" s="29"/>
      <c r="E75" s="30"/>
      <c r="F75" s="30"/>
      <c r="G75" s="31"/>
      <c r="H75" s="32"/>
      <c r="I75" s="32"/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162</v>
      </c>
      <c r="D77" s="29"/>
      <c r="E77" s="30"/>
      <c r="F77" s="30"/>
      <c r="G77" s="31"/>
      <c r="H77" s="32" t="s">
        <v>148</v>
      </c>
      <c r="I77" s="32" t="s">
        <v>148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163</v>
      </c>
      <c r="D79" s="29"/>
      <c r="E79" s="30"/>
      <c r="F79" s="30"/>
      <c r="G79" s="31"/>
      <c r="H79" s="32" t="s">
        <v>148</v>
      </c>
      <c r="I79" s="32" t="s">
        <v>148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164</v>
      </c>
      <c r="D81" s="29"/>
      <c r="E81" s="30"/>
      <c r="F81" s="30"/>
      <c r="G81" s="31"/>
      <c r="H81" s="32" t="s">
        <v>148</v>
      </c>
      <c r="I81" s="32" t="s">
        <v>148</v>
      </c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165</v>
      </c>
      <c r="D83" s="29"/>
      <c r="E83" s="30"/>
      <c r="F83" s="30"/>
      <c r="G83" s="31"/>
      <c r="H83" s="32" t="s">
        <v>148</v>
      </c>
      <c r="I83" s="32" t="s">
        <v>148</v>
      </c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166</v>
      </c>
      <c r="D85" s="29"/>
      <c r="E85" s="30"/>
      <c r="F85" s="30"/>
      <c r="G85" s="31"/>
      <c r="H85" s="32" t="s">
        <v>148</v>
      </c>
      <c r="I85" s="32" t="s">
        <v>148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A87" s="26"/>
      <c r="B87" s="27"/>
      <c r="C87" s="28" t="s">
        <v>167</v>
      </c>
      <c r="D87" s="29"/>
      <c r="E87" s="30"/>
      <c r="F87" s="30"/>
      <c r="G87" s="31"/>
      <c r="H87" s="32"/>
      <c r="I87" s="32"/>
      <c r="J87" s="33"/>
    </row>
    <row r="88" spans="1:10">
      <c r="B88" s="1"/>
      <c r="C88" s="20" t="s">
        <v>168</v>
      </c>
      <c r="D88" s="29"/>
      <c r="E88" s="30"/>
      <c r="F88" s="30"/>
      <c r="G88" s="31"/>
      <c r="H88" s="32">
        <v>59.56</v>
      </c>
      <c r="I88" s="32">
        <v>10.92</v>
      </c>
      <c r="J88" s="33"/>
    </row>
    <row r="89" spans="1:10">
      <c r="C89" s="28" t="s">
        <v>146</v>
      </c>
      <c r="D89" s="29"/>
      <c r="E89" s="30"/>
      <c r="F89" s="30"/>
      <c r="G89" s="31"/>
      <c r="H89" s="35">
        <v>59.56</v>
      </c>
      <c r="I89" s="35">
        <v>10.92</v>
      </c>
      <c r="J89" s="33"/>
    </row>
    <row r="90" spans="1:10">
      <c r="C90" s="20"/>
      <c r="D90" s="29"/>
      <c r="E90" s="30"/>
      <c r="F90" s="30"/>
      <c r="G90" s="31"/>
      <c r="H90" s="32"/>
      <c r="I90" s="32"/>
      <c r="J90" s="33"/>
    </row>
    <row r="91" spans="1:10" ht="13.5" thickBot="1">
      <c r="C91" s="36" t="s">
        <v>169</v>
      </c>
      <c r="D91" s="37"/>
      <c r="E91" s="38"/>
      <c r="F91" s="39"/>
      <c r="G91" s="40"/>
      <c r="H91" s="41">
        <v>545.04999999999995</v>
      </c>
      <c r="I91" s="41">
        <f>SUMIFS(I:I,C:C,"Total")</f>
        <v>100</v>
      </c>
      <c r="J91" s="42"/>
    </row>
    <row r="94" spans="1:10">
      <c r="C94" s="11" t="s">
        <v>170</v>
      </c>
    </row>
    <row r="95" spans="1:10">
      <c r="C95" s="2" t="s">
        <v>171</v>
      </c>
    </row>
    <row r="96" spans="1:10">
      <c r="C96" s="2" t="s">
        <v>172</v>
      </c>
    </row>
    <row r="97" spans="3:3">
      <c r="C97" s="2" t="s">
        <v>173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5.855468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3" t="s">
        <v>174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175</v>
      </c>
      <c r="C5" s="46" t="s">
        <v>176</v>
      </c>
      <c r="D5" s="46"/>
      <c r="E5" s="46" t="s">
        <v>177</v>
      </c>
      <c r="F5" s="46"/>
      <c r="G5" s="46" t="s">
        <v>178</v>
      </c>
      <c r="H5" s="46"/>
      <c r="I5" s="46" t="s">
        <v>179</v>
      </c>
      <c r="J5" s="46"/>
    </row>
    <row r="6" spans="2:10" ht="63.75">
      <c r="B6" s="47"/>
      <c r="C6" s="48" t="s">
        <v>180</v>
      </c>
      <c r="D6" s="48" t="s">
        <v>181</v>
      </c>
      <c r="E6" s="48" t="s">
        <v>180</v>
      </c>
      <c r="F6" s="48" t="s">
        <v>181</v>
      </c>
      <c r="G6" s="48" t="s">
        <v>180</v>
      </c>
      <c r="H6" s="48" t="s">
        <v>181</v>
      </c>
      <c r="I6" s="48" t="s">
        <v>180</v>
      </c>
      <c r="J6" s="48" t="s">
        <v>181</v>
      </c>
    </row>
    <row r="7" spans="2:10">
      <c r="B7" s="49" t="s">
        <v>182</v>
      </c>
      <c r="C7" s="50">
        <v>1.2856062515754996</v>
      </c>
      <c r="D7" s="50">
        <v>10128.56062515755</v>
      </c>
      <c r="E7" s="50">
        <v>23.997551617388769</v>
      </c>
      <c r="F7" s="50">
        <v>19042.654028436016</v>
      </c>
      <c r="G7" s="50">
        <v>8.3926821370254423</v>
      </c>
      <c r="H7" s="50">
        <v>14959.046909903202</v>
      </c>
      <c r="I7" s="50">
        <v>8.9865865102084506</v>
      </c>
      <c r="J7" s="50">
        <v>40180</v>
      </c>
    </row>
    <row r="8" spans="2:10">
      <c r="B8" s="49" t="s">
        <v>183</v>
      </c>
      <c r="C8" s="50">
        <v>5.3099219860551106</v>
      </c>
      <c r="D8" s="50">
        <v>10530.992198605511</v>
      </c>
      <c r="E8" s="50">
        <v>26.58712439223163</v>
      </c>
      <c r="F8" s="50">
        <v>20284.700652334621</v>
      </c>
      <c r="G8" s="50">
        <v>10.67619379710929</v>
      </c>
      <c r="H8" s="50">
        <v>16606.231033729622</v>
      </c>
      <c r="I8" s="50">
        <v>5.3280163306683503</v>
      </c>
      <c r="J8" s="50">
        <v>23135.814872370989</v>
      </c>
    </row>
    <row r="9" spans="2:10">
      <c r="B9" s="49" t="s">
        <v>184</v>
      </c>
      <c r="C9" s="50">
        <v>6.8929782767188641</v>
      </c>
      <c r="D9" s="50">
        <v>10689.297827671886</v>
      </c>
      <c r="E9" s="50">
        <v>23.783804099770322</v>
      </c>
      <c r="F9" s="50">
        <v>18966.686929372914</v>
      </c>
      <c r="G9" s="50">
        <v>12.312287809612998</v>
      </c>
      <c r="H9" s="50">
        <v>17870.48625225159</v>
      </c>
      <c r="I9" s="50">
        <v>11.85520022973925</v>
      </c>
      <c r="J9" s="50">
        <v>61126.642221001995</v>
      </c>
    </row>
    <row r="10" spans="2:10">
      <c r="B10" s="49" t="s">
        <v>185</v>
      </c>
      <c r="C10" s="51">
        <v>39.67</v>
      </c>
      <c r="D10" s="52"/>
      <c r="E10" s="51">
        <v>21.1</v>
      </c>
      <c r="F10" s="52"/>
      <c r="G10" s="51">
        <v>26.86</v>
      </c>
      <c r="H10" s="52"/>
      <c r="I10" s="51">
        <v>10</v>
      </c>
      <c r="J10" s="52"/>
    </row>
    <row r="12" spans="2:10" ht="15.75">
      <c r="B12" s="43" t="s">
        <v>186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175</v>
      </c>
      <c r="C13" s="46" t="s">
        <v>176</v>
      </c>
      <c r="D13" s="46"/>
      <c r="E13" s="46" t="s">
        <v>177</v>
      </c>
      <c r="F13" s="46"/>
      <c r="G13" s="46" t="s">
        <v>178</v>
      </c>
      <c r="H13" s="46"/>
      <c r="I13" s="46" t="s">
        <v>179</v>
      </c>
      <c r="J13" s="46"/>
    </row>
    <row r="14" spans="2:10" ht="63.75">
      <c r="B14" s="47"/>
      <c r="C14" s="48" t="s">
        <v>180</v>
      </c>
      <c r="D14" s="48" t="s">
        <v>181</v>
      </c>
      <c r="E14" s="48" t="s">
        <v>180</v>
      </c>
      <c r="F14" s="48" t="s">
        <v>181</v>
      </c>
      <c r="G14" s="48" t="s">
        <v>180</v>
      </c>
      <c r="H14" s="48" t="s">
        <v>181</v>
      </c>
      <c r="I14" s="48" t="s">
        <v>180</v>
      </c>
      <c r="J14" s="48" t="s">
        <v>181</v>
      </c>
    </row>
    <row r="15" spans="2:10">
      <c r="B15" s="49" t="s">
        <v>182</v>
      </c>
      <c r="C15" s="50">
        <v>1.7401668653158398</v>
      </c>
      <c r="D15" s="50">
        <v>10174.016686531584</v>
      </c>
      <c r="E15" s="50">
        <v>24.505764721744438</v>
      </c>
      <c r="F15" s="50">
        <v>19277.326106594399</v>
      </c>
      <c r="G15" s="50">
        <v>8.855627909907815</v>
      </c>
      <c r="H15" s="50">
        <v>15281.059792337988</v>
      </c>
      <c r="I15" s="50">
        <v>12.352941468253299</v>
      </c>
      <c r="J15" s="50">
        <v>33291.731669266766</v>
      </c>
    </row>
    <row r="16" spans="2:10">
      <c r="B16" s="49" t="s">
        <v>183</v>
      </c>
      <c r="C16" s="50">
        <v>5.3099219860551106</v>
      </c>
      <c r="D16" s="50">
        <v>10530.992198605511</v>
      </c>
      <c r="E16" s="50">
        <v>26.58712439223163</v>
      </c>
      <c r="F16" s="50">
        <v>20284.700652334621</v>
      </c>
      <c r="G16" s="50">
        <v>10.67619379710929</v>
      </c>
      <c r="H16" s="50">
        <v>16606.231033729622</v>
      </c>
      <c r="I16" s="50">
        <v>8.79657538586358</v>
      </c>
      <c r="J16" s="50">
        <v>23883.051685361992</v>
      </c>
    </row>
    <row r="17" spans="2:10">
      <c r="B17" s="49" t="s">
        <v>184</v>
      </c>
      <c r="C17" s="50">
        <v>6.8929782767188641</v>
      </c>
      <c r="D17" s="50">
        <v>10689.297827671886</v>
      </c>
      <c r="E17" s="50">
        <v>23.783804099770322</v>
      </c>
      <c r="F17" s="50">
        <v>18966.686929372914</v>
      </c>
      <c r="G17" s="50">
        <v>12.312287809612998</v>
      </c>
      <c r="H17" s="50">
        <v>17870.48625225159</v>
      </c>
      <c r="I17" s="50">
        <v>12.70322181245751</v>
      </c>
      <c r="J17" s="50">
        <v>34379.216868257223</v>
      </c>
    </row>
    <row r="18" spans="2:10">
      <c r="B18" s="49" t="s">
        <v>187</v>
      </c>
      <c r="C18" s="51">
        <v>41.95</v>
      </c>
      <c r="D18" s="52"/>
      <c r="E18" s="51">
        <v>22.14</v>
      </c>
      <c r="F18" s="52"/>
      <c r="G18" s="51">
        <v>27.93</v>
      </c>
      <c r="H18" s="52"/>
      <c r="I18" s="51">
        <v>12.82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TISF-Risk-O-Meter &amp; Performance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Anwer Rizvi</dc:creator>
  <cp:lastModifiedBy>Acer</cp:lastModifiedBy>
  <dcterms:created xsi:type="dcterms:W3CDTF">2023-05-05T11:20:27Z</dcterms:created>
  <dcterms:modified xsi:type="dcterms:W3CDTF">2023-05-09T09:04:06Z</dcterms:modified>
</cp:coreProperties>
</file>