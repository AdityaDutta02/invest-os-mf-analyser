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 - Performance" sheetId="2" r:id="rId2"/>
  </sheets>
  <externalReferences>
    <externalReference r:id="rId3"/>
  </externalReferences>
  <definedNames>
    <definedName name="XDO_?CLASS_3?7?">'TTS-Risk-O-Meter &amp; Portfolio'!$C$8:$C$31</definedName>
    <definedName name="XDO_?FINAL_ISIN?14?">'TTS-Risk-O-Meter &amp; Portfolio'!$D$10:$D$31</definedName>
    <definedName name="XDO_?FINAL_ISIN?15?">'TTS-Risk-O-Meter &amp; Portfolio'!$D$10:$D$73</definedName>
    <definedName name="XDO_?FINAL_MV?14?">'TTS-Risk-O-Meter &amp; Portfolio'!$H$10:$H$31</definedName>
    <definedName name="XDO_?FINAL_MV?15?">'TTS-Risk-O-Meter &amp; Portfolio'!$H$10:$H$73</definedName>
    <definedName name="XDO_?FINAL_NAME?14?">'TTS-Risk-O-Meter &amp; Portfolio'!$C$10:$C$31</definedName>
    <definedName name="XDO_?FINAL_NAME?15?">'TTS-Risk-O-Meter &amp; Portfolio'!$C$10:$C$73</definedName>
    <definedName name="XDO_?FINAL_PER_NET?14?">'TTS-Risk-O-Meter &amp; Portfolio'!$I$10:$I$31</definedName>
    <definedName name="XDO_?FINAL_PER_NET?15?">'TTS-Risk-O-Meter &amp; Portfolio'!$I$10:$I$73</definedName>
    <definedName name="XDO_?FINAL_QUANTITE?14?">'TTS-Risk-O-Meter &amp; Portfolio'!$G$10:$G$31</definedName>
    <definedName name="XDO_?FINAL_QUANTITE?15?">'TTS-Risk-O-Meter &amp; Portfolio'!$G$10:$G$73</definedName>
    <definedName name="XDO_?IND_01?14?">'TTS-Risk-O-Meter &amp; Portfolio'!$F$10:$F$31</definedName>
    <definedName name="XDO_?IND_01?15?">'TTS-Risk-O-Meter &amp; Portfolio'!$F$10:$F$73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Portfolio'!$B$10:$B$31</definedName>
    <definedName name="XDO_?NOVAL?15?">'TTS-Risk-O-Meter &amp; Portfolio'!$B$10:$B$73</definedName>
    <definedName name="XDO_?NPTF?7?">'TTS-Risk-O-Meter &amp; Portfolio'!$D$2:$D$31</definedName>
    <definedName name="XDO_?RATING?14?">'TTS-Risk-O-Meter &amp; Portfolio'!$E$10:$E$31</definedName>
    <definedName name="XDO_?RATING?15?">'TTS-Risk-O-Meter &amp; Portfolio'!$E$10:$E$73</definedName>
    <definedName name="XDO_?REMARKS?14?">'TTS-Risk-O-Meter &amp; Portfolio'!$J$10:$J$31</definedName>
    <definedName name="XDO_?REMARKS?15?">'TTS-Risk-O-Meter &amp; Portfolio'!$J$10:$J$73</definedName>
    <definedName name="XDO_?TITL?7?">'TTS-Risk-O-Meter &amp; Portfolio'!$A$8:$A$31</definedName>
    <definedName name="XDO_GROUP_?G_2?7?">'TTS-Risk-O-Meter &amp; Portfolio'!$2:$76</definedName>
    <definedName name="XDO_GROUP_?G_3?7?">'TTS-Risk-O-Meter &amp; Portfolio'!$8:$75</definedName>
    <definedName name="XDO_GROUP_?G_4?14?">'TTS-Risk-O-Meter &amp; Portfolio'!$B$10:$IV$31</definedName>
    <definedName name="XDO_GROUP_?G_4?15?">'TTS-Risk-O-Meter &amp; Portfolio'!$B$73:$IV$73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6" i="1"/>
</calcChain>
</file>

<file path=xl/sharedStrings.xml><?xml version="1.0" encoding="utf-8"?>
<sst xmlns="http://schemas.openxmlformats.org/spreadsheetml/2006/main" count="200" uniqueCount="136">
  <si>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</si>
  <si>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</si>
  <si>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</si>
  <si>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</si>
  <si>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</si>
  <si>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</si>
  <si>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</si>
  <si>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</si>
  <si>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</si>
  <si>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</si>
  <si>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</si>
  <si>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</si>
  <si>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</si>
  <si>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</si>
  <si>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</si>
  <si>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</si>
  <si>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</si>
  <si>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</si>
  <si>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</si>
  <si>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</si>
  <si>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</si>
  <si>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</si>
  <si>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</si>
  <si>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</si>
  <si>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</si>
  <si>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</si>
  <si>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</si>
  <si>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</si>
  <si>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</si>
  <si>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</si>
  <si>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100037</t>
  </si>
  <si>
    <t>HCL Technologies Ltd.</t>
  </si>
  <si>
    <t>INE860A01027</t>
  </si>
  <si>
    <t>IT - Software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</si>
  <si>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</si>
  <si>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</si>
  <si>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</si>
  <si>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</si>
  <si>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</si>
  <si>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</si>
  <si>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</si>
  <si>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100024</t>
  </si>
  <si>
    <t>Axis Bank Ltd.</t>
  </si>
  <si>
    <t>INE238A01034</t>
  </si>
  <si>
    <t>100032</t>
  </si>
  <si>
    <t>Tata Consultancy Services Ltd.</t>
  </si>
  <si>
    <t>INE467B01029</t>
  </si>
  <si>
    <t>100011</t>
  </si>
  <si>
    <t>Wipro Ltd.</t>
  </si>
  <si>
    <t>INE075A01022</t>
  </si>
  <si>
    <t>100006</t>
  </si>
  <si>
    <t>HDFC Bank Ltd.</t>
  </si>
  <si>
    <t>INE040A01034</t>
  </si>
  <si>
    <t>100045</t>
  </si>
  <si>
    <t>Gujarat Pipavav Port Ltd.</t>
  </si>
  <si>
    <t>INE517F01014</t>
  </si>
  <si>
    <t>Transport Infrastructure</t>
  </si>
  <si>
    <t>100039</t>
  </si>
  <si>
    <t>Bajaj Auto Ltd.</t>
  </si>
  <si>
    <t>INE917I01010</t>
  </si>
  <si>
    <t>Automobiles</t>
  </si>
  <si>
    <t>100474</t>
  </si>
  <si>
    <t>Narayana Hrudayalaya Ltd.</t>
  </si>
  <si>
    <t>INE410P01011</t>
  </si>
  <si>
    <t>Healthcare Services</t>
  </si>
  <si>
    <t>100148</t>
  </si>
  <si>
    <t>Motilal Oswal Financial Services Ltd.</t>
  </si>
  <si>
    <t>INE338I01027</t>
  </si>
  <si>
    <t>Capital Markets</t>
  </si>
  <si>
    <t>100747</t>
  </si>
  <si>
    <t>Mahindra Logistics Ltd.</t>
  </si>
  <si>
    <t>INE766P01016</t>
  </si>
  <si>
    <t>Transport Services</t>
  </si>
  <si>
    <t>100271</t>
  </si>
  <si>
    <t>Balkrishna Industries Ltd.</t>
  </si>
  <si>
    <t>INE787D01026</t>
  </si>
  <si>
    <t>Auto Components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</si>
  <si>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</si>
  <si>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</si>
  <si>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</si>
  <si>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</si>
  <si>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</si>
  <si>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</si>
  <si>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</si>
  <si>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100235</t>
  </si>
  <si>
    <t>CRISIL Ltd.</t>
  </si>
  <si>
    <t>INE007A01025</t>
  </si>
  <si>
    <t>100080</t>
  </si>
  <si>
    <t>Dr. Reddy's Laboratories Ltd.</t>
  </si>
  <si>
    <t>INE089A01023</t>
  </si>
  <si>
    <t>101103</t>
  </si>
  <si>
    <t>FDC Ltd.</t>
  </si>
  <si>
    <t>INE258B01022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</si>
  <si>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</si>
  <si>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</si>
  <si>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</si>
  <si>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</si>
  <si>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</si>
  <si>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</si>
  <si>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</si>
  <si>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</si>
  <si>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</si>
  <si>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</si>
  <si>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</si>
  <si>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</si>
  <si>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</si>
  <si>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</si>
  <si>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</si>
  <si>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</si>
  <si>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</si>
  <si>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</si>
  <si>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</si>
  <si>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</si>
  <si>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</si>
  <si>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</si>
  <si>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</si>
  <si>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</si>
  <si>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</si>
  <si>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</si>
  <si>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</si>
  <si>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</si>
  <si>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</si>
  <si>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</si>
  <si>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</si>
  <si>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</si>
  <si>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</si>
  <si>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</si>
  <si>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</si>
  <si>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</si>
  <si>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</si>
  <si>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</si>
  <si>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</si>
  <si>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July 29, 2022 : 109.64)</t>
  </si>
  <si>
    <t>Taurus Tax Shield - Direct Plan Growth Option</t>
  </si>
  <si>
    <t>NAV [Rs.] Per Unit (as on July 29, 2022 : 117.25)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</si>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</sst>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22000</v>
      </c>
      <c r="H10" s="32">
        <v>523.4</v>
      </c>
      <c r="I10" s="32">
        <v>8.64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56299</v>
      </c>
      <c r="H11" s="32">
        <v>460.81</v>
      </c>
      <c r="I11" s="32">
        <v>7.61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424.13</v>
      </c>
      <c r="I12" s="32">
        <v>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7414</v>
      </c>
      <c r="H13" s="32">
        <v>386.51</v>
      </c>
      <c r="I13" s="32">
        <v>6.38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34000</v>
      </c>
      <c r="H14" s="32">
        <v>322.58</v>
      </c>
      <c r="I14" s="32">
        <v>5.32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17526</v>
      </c>
      <c r="H15" s="32">
        <v>316.81</v>
      </c>
      <c r="I15" s="32">
        <v>5.23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28500</v>
      </c>
      <c r="H16" s="32">
        <v>298.94</v>
      </c>
      <c r="I16" s="32">
        <v>4.93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39000</v>
      </c>
      <c r="H17" s="32">
        <v>282.67</v>
      </c>
      <c r="I17" s="32">
        <v>4.67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33</v>
      </c>
      <c r="G18" s="31">
        <v>8200</v>
      </c>
      <c r="H18" s="32">
        <v>270.67</v>
      </c>
      <c r="I18" s="32">
        <v>4.47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33</v>
      </c>
      <c r="G19" s="31">
        <v>56000</v>
      </c>
      <c r="H19" s="32">
        <v>237.27</v>
      </c>
      <c r="I19" s="32">
        <v>3.92</v>
      </c>
      <c r="J19" s="33"/>
    </row>
    <row r="20" spans="2:10">
      <c r="B20" s="1" t="s">
        <v>50</v>
      </c>
      <c r="C20" s="20" t="s">
        <v>51</v>
      </c>
      <c r="D20" s="29" t="s">
        <v>52</v>
      </c>
      <c r="E20" s="30"/>
      <c r="F20" s="30" t="s">
        <v>22</v>
      </c>
      <c r="G20" s="31">
        <v>15533</v>
      </c>
      <c r="H20" s="32">
        <v>222.81</v>
      </c>
      <c r="I20" s="32">
        <v>3.68</v>
      </c>
      <c r="J20" s="33"/>
    </row>
    <row r="21" spans="2:10">
      <c r="B21" s="1" t="s">
        <v>53</v>
      </c>
      <c r="C21" s="20" t="s">
        <v>54</v>
      </c>
      <c r="D21" s="29" t="s">
        <v>55</v>
      </c>
      <c r="E21" s="30"/>
      <c r="F21" s="30" t="s">
        <v>56</v>
      </c>
      <c r="G21" s="31">
        <v>254553</v>
      </c>
      <c r="H21" s="32">
        <v>198.81</v>
      </c>
      <c r="I21" s="32">
        <v>3.28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4500</v>
      </c>
      <c r="H22" s="32">
        <v>176.1</v>
      </c>
      <c r="I22" s="32">
        <v>2.91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25000</v>
      </c>
      <c r="H23" s="32">
        <v>164.83</v>
      </c>
      <c r="I23" s="32">
        <v>2.72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21275</v>
      </c>
      <c r="H24" s="32">
        <v>162.04</v>
      </c>
      <c r="I24" s="32">
        <v>2.67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32000</v>
      </c>
      <c r="H25" s="32">
        <v>148.9</v>
      </c>
      <c r="I25" s="32">
        <v>2.46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5862</v>
      </c>
      <c r="H26" s="32">
        <v>135.36000000000001</v>
      </c>
      <c r="I26" s="32">
        <v>2.23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12700</v>
      </c>
      <c r="H27" s="32">
        <v>124.23</v>
      </c>
      <c r="I27" s="32">
        <v>2.0499999999999998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80</v>
      </c>
      <c r="G28" s="31">
        <v>8000</v>
      </c>
      <c r="H28" s="32">
        <v>75.48</v>
      </c>
      <c r="I28" s="32">
        <v>1.25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2000</v>
      </c>
      <c r="H29" s="32">
        <v>62.57</v>
      </c>
      <c r="I29" s="32">
        <v>1.03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80</v>
      </c>
      <c r="G30" s="31">
        <v>1500</v>
      </c>
      <c r="H30" s="32">
        <v>61.36</v>
      </c>
      <c r="I30" s="32">
        <v>1.01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80</v>
      </c>
      <c r="G31" s="31">
        <v>22000</v>
      </c>
      <c r="H31" s="32">
        <v>55.72</v>
      </c>
      <c r="I31" s="32">
        <v>0.92</v>
      </c>
      <c r="J31" s="33"/>
    </row>
    <row r="32" spans="2:10">
      <c r="C32" s="28" t="s">
        <v>93</v>
      </c>
      <c r="D32" s="29"/>
      <c r="E32" s="30"/>
      <c r="F32" s="30"/>
      <c r="G32" s="31"/>
      <c r="H32" s="35">
        <v>5112</v>
      </c>
      <c r="I32" s="35">
        <v>84.38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94</v>
      </c>
      <c r="D34" s="29"/>
      <c r="E34" s="30"/>
      <c r="F34" s="30"/>
      <c r="G34" s="31"/>
      <c r="H34" s="32" t="s">
        <v>95</v>
      </c>
      <c r="I34" s="32" t="s">
        <v>95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96</v>
      </c>
      <c r="D36" s="29"/>
      <c r="E36" s="30"/>
      <c r="F36" s="30"/>
      <c r="G36" s="31"/>
      <c r="H36" s="32" t="s">
        <v>95</v>
      </c>
      <c r="I36" s="32" t="s">
        <v>95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97</v>
      </c>
      <c r="D38" s="29"/>
      <c r="E38" s="30"/>
      <c r="F38" s="30"/>
      <c r="G38" s="31"/>
      <c r="H38" s="32"/>
      <c r="I38" s="32"/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98</v>
      </c>
      <c r="D40" s="29"/>
      <c r="E40" s="30"/>
      <c r="F40" s="30"/>
      <c r="G40" s="31"/>
      <c r="H40" s="32" t="s">
        <v>95</v>
      </c>
      <c r="I40" s="32" t="s">
        <v>95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99</v>
      </c>
      <c r="D42" s="29"/>
      <c r="E42" s="30"/>
      <c r="F42" s="30"/>
      <c r="G42" s="31"/>
      <c r="H42" s="32" t="s">
        <v>95</v>
      </c>
      <c r="I42" s="32" t="s">
        <v>95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100</v>
      </c>
      <c r="D44" s="29"/>
      <c r="E44" s="30"/>
      <c r="F44" s="30"/>
      <c r="G44" s="31"/>
      <c r="H44" s="32" t="s">
        <v>95</v>
      </c>
      <c r="I44" s="32" t="s">
        <v>95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101</v>
      </c>
      <c r="D46" s="29"/>
      <c r="E46" s="30"/>
      <c r="F46" s="30"/>
      <c r="G46" s="31"/>
      <c r="H46" s="32" t="s">
        <v>95</v>
      </c>
      <c r="I46" s="32" t="s">
        <v>95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102</v>
      </c>
      <c r="D48" s="29"/>
      <c r="E48" s="30"/>
      <c r="F48" s="30"/>
      <c r="G48" s="31"/>
      <c r="H48" s="32" t="s">
        <v>95</v>
      </c>
      <c r="I48" s="32" t="s">
        <v>95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103</v>
      </c>
      <c r="D50" s="29"/>
      <c r="E50" s="30"/>
      <c r="F50" s="30"/>
      <c r="G50" s="31"/>
      <c r="H50" s="32"/>
      <c r="I50" s="32"/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104</v>
      </c>
      <c r="D52" s="29"/>
      <c r="E52" s="30"/>
      <c r="F52" s="30"/>
      <c r="G52" s="31"/>
      <c r="H52" s="32" t="s">
        <v>95</v>
      </c>
      <c r="I52" s="32" t="s">
        <v>95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105</v>
      </c>
      <c r="D54" s="29"/>
      <c r="E54" s="30"/>
      <c r="F54" s="30"/>
      <c r="G54" s="31"/>
      <c r="H54" s="32" t="s">
        <v>95</v>
      </c>
      <c r="I54" s="32" t="s">
        <v>95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106</v>
      </c>
      <c r="D56" s="29"/>
      <c r="E56" s="30"/>
      <c r="F56" s="30"/>
      <c r="G56" s="31"/>
      <c r="H56" s="32" t="s">
        <v>95</v>
      </c>
      <c r="I56" s="32" t="s">
        <v>95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107</v>
      </c>
      <c r="D58" s="29"/>
      <c r="E58" s="30"/>
      <c r="F58" s="30"/>
      <c r="G58" s="31"/>
      <c r="H58" s="32" t="s">
        <v>95</v>
      </c>
      <c r="I58" s="32" t="s">
        <v>95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108</v>
      </c>
      <c r="D60" s="29"/>
      <c r="E60" s="30"/>
      <c r="F60" s="30"/>
      <c r="G60" s="31"/>
      <c r="H60" s="32"/>
      <c r="I60" s="32"/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109</v>
      </c>
      <c r="D62" s="29"/>
      <c r="E62" s="30"/>
      <c r="F62" s="30"/>
      <c r="G62" s="31"/>
      <c r="H62" s="32" t="s">
        <v>95</v>
      </c>
      <c r="I62" s="32" t="s">
        <v>95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110</v>
      </c>
      <c r="D64" s="29"/>
      <c r="E64" s="30"/>
      <c r="F64" s="30"/>
      <c r="G64" s="31"/>
      <c r="H64" s="32" t="s">
        <v>95</v>
      </c>
      <c r="I64" s="32" t="s">
        <v>95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111</v>
      </c>
      <c r="D66" s="29"/>
      <c r="E66" s="30"/>
      <c r="F66" s="30"/>
      <c r="G66" s="31"/>
      <c r="H66" s="32" t="s">
        <v>95</v>
      </c>
      <c r="I66" s="32" t="s">
        <v>95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112</v>
      </c>
      <c r="D68" s="29"/>
      <c r="E68" s="30"/>
      <c r="F68" s="30"/>
      <c r="G68" s="31"/>
      <c r="H68" s="32" t="s">
        <v>95</v>
      </c>
      <c r="I68" s="32" t="s">
        <v>95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113</v>
      </c>
      <c r="D70" s="29"/>
      <c r="E70" s="30"/>
      <c r="F70" s="30"/>
      <c r="G70" s="31"/>
      <c r="H70" s="32" t="s">
        <v>95</v>
      </c>
      <c r="I70" s="32" t="s">
        <v>95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A72" s="26"/>
      <c r="B72" s="27"/>
      <c r="C72" s="28" t="s">
        <v>114</v>
      </c>
      <c r="D72" s="29"/>
      <c r="E72" s="30"/>
      <c r="F72" s="30"/>
      <c r="G72" s="31"/>
      <c r="H72" s="32"/>
      <c r="I72" s="32"/>
      <c r="J72" s="33"/>
    </row>
    <row r="73" spans="1:10">
      <c r="B73" s="1"/>
      <c r="C73" s="20" t="s">
        <v>115</v>
      </c>
      <c r="D73" s="29"/>
      <c r="E73" s="30"/>
      <c r="F73" s="30"/>
      <c r="G73" s="31"/>
      <c r="H73" s="32">
        <v>946.21</v>
      </c>
      <c r="I73" s="32">
        <v>15.62</v>
      </c>
      <c r="J73" s="33"/>
    </row>
    <row r="74" spans="1:10">
      <c r="C74" s="28" t="s">
        <v>93</v>
      </c>
      <c r="D74" s="29"/>
      <c r="E74" s="30"/>
      <c r="F74" s="30"/>
      <c r="G74" s="31"/>
      <c r="H74" s="35">
        <v>946.21</v>
      </c>
      <c r="I74" s="35">
        <v>15.62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 ht="13.8" thickBot="1">
      <c r="C76" s="36" t="s">
        <v>116</v>
      </c>
      <c r="D76" s="37"/>
      <c r="E76" s="38"/>
      <c r="F76" s="39"/>
      <c r="G76" s="40"/>
      <c r="H76" s="41">
        <v>6058.21</v>
      </c>
      <c r="I76" s="41">
        <f>SUMIFS(I:I,C:C,"Total")</f>
        <v>100</v>
      </c>
      <c r="J76" s="42"/>
    </row>
    <row r="79" spans="1:10">
      <c r="C79" s="11" t="s">
        <v>117</v>
      </c>
    </row>
    <row r="80" spans="1:10">
      <c r="C80" s="2" t="s">
        <v>118</v>
      </c>
    </row>
    <row r="81" spans="3:3">
      <c r="C81" s="2" t="s">
        <v>119</v>
      </c>
    </row>
    <row r="82" spans="3:3">
      <c r="C82" s="2" t="s">
        <v>120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121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122</v>
      </c>
      <c r="B5" s="46" t="s">
        <v>123</v>
      </c>
      <c r="C5" s="46"/>
      <c r="D5" s="46" t="s">
        <v>124</v>
      </c>
      <c r="E5" s="46"/>
      <c r="F5" s="46" t="s">
        <v>125</v>
      </c>
      <c r="G5" s="46"/>
      <c r="H5" s="46" t="s">
        <v>126</v>
      </c>
      <c r="I5" s="46"/>
    </row>
    <row r="6" spans="1:9" ht="66">
      <c r="A6" s="47"/>
      <c r="B6" s="48" t="s">
        <v>127</v>
      </c>
      <c r="C6" s="48" t="s">
        <v>128</v>
      </c>
      <c r="D6" s="48" t="s">
        <v>127</v>
      </c>
      <c r="E6" s="48" t="s">
        <v>128</v>
      </c>
      <c r="F6" s="48" t="s">
        <v>127</v>
      </c>
      <c r="G6" s="48" t="s">
        <v>128</v>
      </c>
      <c r="H6" s="48" t="s">
        <v>127</v>
      </c>
      <c r="I6" s="48" t="s">
        <v>128</v>
      </c>
    </row>
    <row r="7" spans="1:9">
      <c r="A7" s="49" t="s">
        <v>129</v>
      </c>
      <c r="B7" s="50">
        <v>2.7650201518417905</v>
      </c>
      <c r="C7" s="50">
        <v>10276.502015184178</v>
      </c>
      <c r="D7" s="50">
        <v>13.938643561570174</v>
      </c>
      <c r="E7" s="50">
        <v>14786.244099797706</v>
      </c>
      <c r="F7" s="50">
        <v>9.2016524590165396</v>
      </c>
      <c r="G7" s="50">
        <v>15525.346927216084</v>
      </c>
      <c r="H7" s="50">
        <v>11.26461438854367</v>
      </c>
      <c r="I7" s="50">
        <v>109640</v>
      </c>
    </row>
    <row r="8" spans="1:9">
      <c r="A8" s="49" t="s">
        <v>130</v>
      </c>
      <c r="B8" s="50">
        <v>8.824903942870721</v>
      </c>
      <c r="C8" s="50">
        <v>10882.490394287071</v>
      </c>
      <c r="D8" s="50">
        <v>19.222610907066027</v>
      </c>
      <c r="E8" s="50">
        <v>16946.338815513991</v>
      </c>
      <c r="F8" s="50">
        <v>12.337239900336128</v>
      </c>
      <c r="G8" s="50">
        <v>17890.346241670519</v>
      </c>
      <c r="H8" s="50">
        <v>0</v>
      </c>
      <c r="I8" s="50">
        <v>0</v>
      </c>
    </row>
    <row r="9" spans="1:9">
      <c r="A9" s="49" t="s">
        <v>131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12.793378323680905</v>
      </c>
      <c r="I9" s="50">
        <v>238463.71542040355</v>
      </c>
    </row>
    <row r="10" spans="1:9">
      <c r="A10" s="49" t="s">
        <v>132</v>
      </c>
      <c r="B10" s="51">
        <v>106.69</v>
      </c>
      <c r="C10" s="52"/>
      <c r="D10" s="51">
        <v>74.150000000000006</v>
      </c>
      <c r="E10" s="52"/>
      <c r="F10" s="51">
        <v>70.62</v>
      </c>
      <c r="G10" s="52"/>
      <c r="H10" s="51">
        <v>10</v>
      </c>
      <c r="I10" s="52"/>
    </row>
    <row r="12" spans="1:9" ht="15.6">
      <c r="A12" s="43" t="s">
        <v>133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122</v>
      </c>
      <c r="B13" s="46" t="s">
        <v>123</v>
      </c>
      <c r="C13" s="46"/>
      <c r="D13" s="46" t="s">
        <v>124</v>
      </c>
      <c r="E13" s="46"/>
      <c r="F13" s="46" t="s">
        <v>125</v>
      </c>
      <c r="G13" s="46"/>
      <c r="H13" s="46" t="s">
        <v>126</v>
      </c>
      <c r="I13" s="46"/>
    </row>
    <row r="14" spans="1:9" ht="66">
      <c r="A14" s="47"/>
      <c r="B14" s="48" t="s">
        <v>127</v>
      </c>
      <c r="C14" s="48" t="s">
        <v>128</v>
      </c>
      <c r="D14" s="48" t="s">
        <v>127</v>
      </c>
      <c r="E14" s="48" t="s">
        <v>128</v>
      </c>
      <c r="F14" s="48" t="s">
        <v>127</v>
      </c>
      <c r="G14" s="48" t="s">
        <v>128</v>
      </c>
      <c r="H14" s="48" t="s">
        <v>127</v>
      </c>
      <c r="I14" s="48" t="s">
        <v>128</v>
      </c>
    </row>
    <row r="15" spans="1:9">
      <c r="A15" s="49" t="s">
        <v>129</v>
      </c>
      <c r="B15" s="50">
        <v>3.4771864795693164</v>
      </c>
      <c r="C15" s="50">
        <v>10347.718647956934</v>
      </c>
      <c r="D15" s="50">
        <v>14.749020486181985</v>
      </c>
      <c r="E15" s="50">
        <v>15103.69702434626</v>
      </c>
      <c r="F15" s="50">
        <v>9.9432722491334289</v>
      </c>
      <c r="G15" s="50">
        <v>16059.443911792903</v>
      </c>
      <c r="H15" s="50">
        <v>12.272268654042161</v>
      </c>
      <c r="I15" s="50">
        <v>30304.98836908762</v>
      </c>
    </row>
    <row r="16" spans="1:9">
      <c r="A16" s="49" t="s">
        <v>130</v>
      </c>
      <c r="B16" s="50">
        <v>8.824903942870721</v>
      </c>
      <c r="C16" s="50">
        <v>10882.490394287071</v>
      </c>
      <c r="D16" s="50">
        <v>19.222610907066027</v>
      </c>
      <c r="E16" s="50">
        <v>16946.338815513991</v>
      </c>
      <c r="F16" s="50">
        <v>12.337239900336128</v>
      </c>
      <c r="G16" s="50">
        <v>17890.346241670519</v>
      </c>
      <c r="H16" s="50">
        <v>13.864289187698176</v>
      </c>
      <c r="I16" s="50">
        <v>34680.431028378778</v>
      </c>
    </row>
    <row r="17" spans="1:9">
      <c r="A17" s="49" t="s">
        <v>131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13.093776000526969</v>
      </c>
      <c r="I17" s="50">
        <v>32496.778123129268</v>
      </c>
    </row>
    <row r="18" spans="1:9">
      <c r="A18" s="49" t="s">
        <v>134</v>
      </c>
      <c r="B18" s="51">
        <v>113.31</v>
      </c>
      <c r="C18" s="52"/>
      <c r="D18" s="51">
        <v>77.63</v>
      </c>
      <c r="E18" s="52"/>
      <c r="F18" s="51">
        <v>73.010000000000005</v>
      </c>
      <c r="G18" s="52"/>
      <c r="H18" s="51">
        <v>38.69</v>
      </c>
      <c r="I18" s="52"/>
    </row>
    <row r="20" spans="1:9">
      <c r="A20" t="s">
        <v>135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2022-08-01T06:49:25Z</dcterms:created>
  <dcterms:modified xsi:type="dcterms:W3CDTF">2022-08-05T06:47:27Z</dcterms:modified>
</cp:coreProperties>
</file>