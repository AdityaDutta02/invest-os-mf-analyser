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2. Mar 2025\Monthly Portfolio Feb 2025\Ops\"/>
    </mc:Choice>
  </mc:AlternateContent>
  <xr:revisionPtr revIDLastSave="0" documentId="13_ncr:1_{B3D14ADE-091C-4481-95EE-D81D900F8FC2}" xr6:coauthVersionLast="47" xr6:coauthVersionMax="47" xr10:uidLastSave="{00000000-0000-0000-0000-000000000000}"/>
  <bookViews>
    <workbookView xWindow="-120" yWindow="-120" windowWidth="20730" windowHeight="11040" xr2:uid="{ACF59B86-2B93-4A69-BABB-50F08FC2DE25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TBFS!$C$8:$C$26</definedName>
    <definedName name="XDO_?FINAL_ISIN?1?">TBFS!$D$10:$D$26</definedName>
    <definedName name="XDO_?FINAL_ISIN?2?">TBFS!$D$10:$D$70</definedName>
    <definedName name="XDO_?FINAL_MV?1?">TBFS!$H$10:$H$26</definedName>
    <definedName name="XDO_?FINAL_MV?2?">TBFS!$H$10:$H$70</definedName>
    <definedName name="XDO_?FINAL_NAME?1?">TBFS!$C$10:$C$26</definedName>
    <definedName name="XDO_?FINAL_NAME?2?">TBFS!$C$10:$C$70</definedName>
    <definedName name="XDO_?FINAL_PER_NET?1?">TBFS!$I$10:$I$26</definedName>
    <definedName name="XDO_?FINAL_PER_NET?2?">TBFS!$I$10:$I$70</definedName>
    <definedName name="XDO_?FINAL_QUANTITE?1?">TBFS!$G$10:$G$26</definedName>
    <definedName name="XDO_?FINAL_QUANTITE?2?">TBFS!$G$10:$G$70</definedName>
    <definedName name="XDO_?IND_01?1?">TBFS!$F$10:$F$26</definedName>
    <definedName name="XDO_?IND_01?2?">TBFS!$F$10:$F$70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TBFS!$C$2:$C$26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TBFS!$B$10:$B$26</definedName>
    <definedName name="XDO_?NOVAL?2?">TBFS!$B$10:$B$70</definedName>
    <definedName name="XDO_?NPTF?1?">TBFS!$D$2:$D$26</definedName>
    <definedName name="XDO_?RATING?1?">TBFS!$E$10:$E$26</definedName>
    <definedName name="XDO_?RATING?2?">TBFS!$E$10:$E$70</definedName>
    <definedName name="XDO_?REMARKS?1?">TBFS!$J$10:$J$26</definedName>
    <definedName name="XDO_?REMARKS?2?">TBFS!$J$10:$J$70</definedName>
    <definedName name="XDO_?TITL?1?">TBFS!$A$8:$A$26</definedName>
    <definedName name="XDO_GROUP_?G_2?1?">TBFS!$2:$73</definedName>
    <definedName name="XDO_GROUP_?G_3?1?">TBFS!$8:$72</definedName>
    <definedName name="XDO_GROUP_?G_4?1?">TBFS!$B$10:$IV$26</definedName>
    <definedName name="XDO_GROUP_?G_4?2?">TBFS!$B$70:$IV$70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1" l="1"/>
</calcChain>
</file>

<file path=xl/sharedStrings.xml><?xml version="1.0" encoding="utf-8"?>
<sst xmlns="http://schemas.openxmlformats.org/spreadsheetml/2006/main" count="204" uniqueCount="134">
  <si>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</si>
  <si>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</si>
  <si>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</si>
  <si>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</si>
  <si>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</si>
  <si>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</si>
  <si>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</si>
  <si>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</si>
  <si>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</si>
  <si>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</si>
  <si>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</si>
  <si>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</si>
  <si>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</si>
  <si>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</si>
  <si>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</si>
  <si>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</si>
  <si>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</si>
  <si>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</si>
  <si>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</si>
  <si>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</si>
  <si>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</si>
  <si>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</si>
  <si>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</si>
  <si>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</si>
  <si>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</si>
  <si>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</si>
  <si>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</si>
  <si>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</si>
  <si>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</si>
  <si>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</si>
  <si>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</si>
  <si>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</si>
  <si>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</si>
  <si>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</si>
  <si>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</si>
  <si>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</si>
  <si>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</si>
  <si>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</si>
  <si>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100122</t>
  </si>
  <si>
    <t>Union Bank of India</t>
  </si>
  <si>
    <t>INE692A01016</t>
  </si>
  <si>
    <t>100013</t>
  </si>
  <si>
    <t>IndusInd Bank Ltd.</t>
  </si>
  <si>
    <t>INE095A01012</t>
  </si>
  <si>
    <t>100759</t>
  </si>
  <si>
    <t>The New India Assurance Co. Ltd.</t>
  </si>
  <si>
    <t>INE470Y01017</t>
  </si>
  <si>
    <t>Insurance</t>
  </si>
  <si>
    <t>101889</t>
  </si>
  <si>
    <t>Jio Financial Services Ltd.</t>
  </si>
  <si>
    <t>INE758E01017</t>
  </si>
  <si>
    <t>100055</t>
  </si>
  <si>
    <t>The Federal Bank Ltd.</t>
  </si>
  <si>
    <t>INE171A01029</t>
  </si>
  <si>
    <t>100665</t>
  </si>
  <si>
    <t>Aditya Birla Capital Ltd.</t>
  </si>
  <si>
    <t>INE674K01013</t>
  </si>
  <si>
    <t>100191</t>
  </si>
  <si>
    <t>Canara Bank</t>
  </si>
  <si>
    <t>INE476A01022</t>
  </si>
  <si>
    <t>100706</t>
  </si>
  <si>
    <t>HDFC Life Insurance Company Ltd.</t>
  </si>
  <si>
    <t>INE795G01014</t>
  </si>
  <si>
    <t>101178</t>
  </si>
  <si>
    <t>Computer Age Management Services Ltd.</t>
  </si>
  <si>
    <t>INE596I01012</t>
  </si>
  <si>
    <t>Capital Markets</t>
  </si>
  <si>
    <t>100112</t>
  </si>
  <si>
    <t>Punjab National Bank</t>
  </si>
  <si>
    <t>INE160A01022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</si>
  <si>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</si>
  <si>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</si>
  <si>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</si>
  <si>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</si>
  <si>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</si>
  <si>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</si>
  <si>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</si>
  <si>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</si>
  <si>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</si>
  <si>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</si>
  <si>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</si>
  <si>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</si>
  <si>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</si>
  <si>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</si>
  <si>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</si>
  <si>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</si>
  <si>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</si>
  <si>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</si>
  <si>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</si>
  <si>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</si>
  <si>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</si>
  <si>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</si>
  <si>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</si>
  <si>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</si>
  <si>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</si>
  <si>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</si>
  <si>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</si>
  <si>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</si>
  <si>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</si>
  <si>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</si>
  <si>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</si>
  <si>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</si>
  <si>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</si>
  <si>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</si>
  <si>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</si>
  <si>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 31, 2025</t>
  </si>
  <si>
    <t>February 28,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</si>
  <si>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</si>
  <si>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</si>
  <si>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</si>
  <si>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</si>
  <si>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February 28, 2025.</t>
  </si>
  <si>
    <t>7. The Scheme did not declare any bonus during the month ended As on  February 28, 2025.</t>
  </si>
  <si>
    <t>8. Total outstanding exposure in derivative instruments as on As on  February 28, 2025 is Nil</t>
  </si>
  <si>
    <t>9. Total investments in Foreign Securities /ADRs/GDRs /Overseas ETFs as at As on  February 28, 2025 and its percentage to NAV is Nil.</t>
  </si>
  <si>
    <t>10. During the period, the portfolio turnover ratio is 0.29 times.</t>
  </si>
  <si>
    <t>      Portfolio Turnover Ratio = Lower of sales or purchase of securities divided by average AUM for 12 months ended As on  February 28, 2025</t>
  </si>
  <si>
    <t>11. The Scheme did not invest in repo transactions of corporate debt securities during the month ended As on  February 28, 2025.</t>
  </si>
  <si>
    <t>12. The Scheme did not invest in credit default swaps during the month ended As on  February 28, 2025.</t>
  </si>
  <si>
    <t>13. There are Nil instances of deviation from the valuation principles/guidelines during the month ended as on February 28, 2025.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</si>
  <si>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</si>
  <si>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</si>
  <si>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</si>
  <si>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</si>
  <si>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</si>
  <si>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</si>
  <si>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</si>
  <si>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</si>
  <si>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</si>
  <si>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</si>
  <si>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</si>
  <si>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February 28,2025 :46.23)</t>
  </si>
  <si>
    <t>Taurus Banking &amp; Financial Services Fund - Direct Plan Growth Option</t>
  </si>
  <si>
    <t>NAV [Rs.] Per Unit (as on February 28,2025 :51.5)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</si>
</sst>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2D72351-A23E-4048-A9AF-AD90D5C97520}"/>
    <cellStyle name="Hyperlink" xfId="2" builtinId="8"/>
    <cellStyle name="Normal" xfId="0" builtinId="0"/>
    <cellStyle name="Normal 2" xfId="4" xr:uid="{6DC588F5-1FF9-40EB-A080-ECDE666C0FBD}"/>
    <cellStyle name="Style 1" xfId="3" xr:uid="{6FE4B714-A7D9-42EF-B163-8B6BCD7FD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15B65C5B-9418-4807-9B32-B5D57D258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Feb_2025\Final\TMF_Monthly_Portfolio_Report_February%2025.xls" TargetMode="External"/><Relationship Id="rId1" Type="http://schemas.openxmlformats.org/officeDocument/2006/relationships/externalLinkPath" Target="file:///Q:\5.TMF\Reporting\Monthly%20Reports\Monthly%20Portfolio\2024-25\Feb_2025\Final\TMF_Monthly_Portfolio_Report_Februar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D5E2-14FE-47E2-930D-974EC5D6E1BB}">
  <dimension ref="A1:BB9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45716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12948</v>
      </c>
      <c r="H10" s="32">
        <v>224.14</v>
      </c>
      <c r="I10" s="32">
        <v>21.88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17739</v>
      </c>
      <c r="H11" s="32">
        <v>213.42</v>
      </c>
      <c r="I11" s="32">
        <v>20.83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11341</v>
      </c>
      <c r="H12" s="32">
        <v>115.21</v>
      </c>
      <c r="I12" s="32">
        <v>11.25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15279</v>
      </c>
      <c r="H13" s="32">
        <v>105.16</v>
      </c>
      <c r="I13" s="32">
        <v>10.27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4719</v>
      </c>
      <c r="H14" s="32">
        <v>89.7</v>
      </c>
      <c r="I14" s="32">
        <v>8.76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300</v>
      </c>
      <c r="H15" s="32">
        <v>34.770000000000003</v>
      </c>
      <c r="I15" s="32">
        <v>3.39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3356</v>
      </c>
      <c r="H16" s="32">
        <v>30.89</v>
      </c>
      <c r="I16" s="32">
        <v>3.02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23397</v>
      </c>
      <c r="H17" s="32">
        <v>26.29</v>
      </c>
      <c r="I17" s="32">
        <v>2.57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2636</v>
      </c>
      <c r="H18" s="32">
        <v>26.07</v>
      </c>
      <c r="I18" s="32">
        <v>2.54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13837</v>
      </c>
      <c r="H19" s="32">
        <v>19.66</v>
      </c>
      <c r="I19" s="32">
        <v>1.92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34</v>
      </c>
      <c r="G20" s="31">
        <v>8798</v>
      </c>
      <c r="H20" s="32">
        <v>18.27</v>
      </c>
      <c r="I20" s="32">
        <v>1.78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9133</v>
      </c>
      <c r="H21" s="32">
        <v>16.22</v>
      </c>
      <c r="I21" s="32">
        <v>1.58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34</v>
      </c>
      <c r="G22" s="31">
        <v>10162</v>
      </c>
      <c r="H22" s="32">
        <v>15.88</v>
      </c>
      <c r="I22" s="32">
        <v>1.55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18875</v>
      </c>
      <c r="H23" s="32">
        <v>15.27</v>
      </c>
      <c r="I23" s="32">
        <v>1.49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47</v>
      </c>
      <c r="G24" s="31">
        <v>2453</v>
      </c>
      <c r="H24" s="32">
        <v>14.94</v>
      </c>
      <c r="I24" s="32">
        <v>1.46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66</v>
      </c>
      <c r="G25" s="31">
        <v>436</v>
      </c>
      <c r="H25" s="32">
        <v>13.71</v>
      </c>
      <c r="I25" s="32">
        <v>1.34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10000</v>
      </c>
      <c r="H26" s="32">
        <v>8.74</v>
      </c>
      <c r="I26" s="32">
        <v>0.85</v>
      </c>
      <c r="J26" s="33"/>
    </row>
    <row r="27" spans="2:10" x14ac:dyDescent="0.25">
      <c r="C27" s="28" t="s">
        <v>70</v>
      </c>
      <c r="D27" s="29"/>
      <c r="E27" s="30"/>
      <c r="F27" s="30"/>
      <c r="G27" s="31"/>
      <c r="H27" s="35">
        <v>988.34</v>
      </c>
      <c r="I27" s="35">
        <v>96.48</v>
      </c>
      <c r="J27" s="33"/>
    </row>
    <row r="28" spans="2:10" x14ac:dyDescent="0.25">
      <c r="C28" s="20"/>
      <c r="D28" s="29"/>
      <c r="E28" s="30"/>
      <c r="F28" s="30"/>
      <c r="G28" s="31"/>
      <c r="H28" s="32"/>
      <c r="I28" s="32"/>
      <c r="J28" s="33"/>
    </row>
    <row r="29" spans="2:10" x14ac:dyDescent="0.25">
      <c r="C29" s="28" t="s">
        <v>71</v>
      </c>
      <c r="D29" s="29"/>
      <c r="E29" s="30"/>
      <c r="F29" s="30"/>
      <c r="G29" s="31"/>
      <c r="H29" s="32" t="s">
        <v>72</v>
      </c>
      <c r="I29" s="32" t="s">
        <v>72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73</v>
      </c>
      <c r="D31" s="29"/>
      <c r="E31" s="30"/>
      <c r="F31" s="30"/>
      <c r="G31" s="31"/>
      <c r="H31" s="32" t="s">
        <v>72</v>
      </c>
      <c r="I31" s="32" t="s">
        <v>72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74</v>
      </c>
      <c r="D33" s="29"/>
      <c r="E33" s="30"/>
      <c r="F33" s="30"/>
      <c r="G33" s="31"/>
      <c r="H33" s="32"/>
      <c r="I33" s="32"/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75</v>
      </c>
      <c r="D35" s="29"/>
      <c r="E35" s="30"/>
      <c r="F35" s="30"/>
      <c r="G35" s="31"/>
      <c r="H35" s="32" t="s">
        <v>72</v>
      </c>
      <c r="I35" s="32" t="s">
        <v>72</v>
      </c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76</v>
      </c>
      <c r="D37" s="29"/>
      <c r="E37" s="30"/>
      <c r="F37" s="30"/>
      <c r="G37" s="31"/>
      <c r="H37" s="32" t="s">
        <v>72</v>
      </c>
      <c r="I37" s="32" t="s">
        <v>72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77</v>
      </c>
      <c r="D39" s="29"/>
      <c r="E39" s="30"/>
      <c r="F39" s="30"/>
      <c r="G39" s="31"/>
      <c r="H39" s="32" t="s">
        <v>72</v>
      </c>
      <c r="I39" s="32" t="s">
        <v>72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78</v>
      </c>
      <c r="D41" s="29"/>
      <c r="E41" s="30"/>
      <c r="F41" s="30"/>
      <c r="G41" s="31"/>
      <c r="H41" s="32" t="s">
        <v>72</v>
      </c>
      <c r="I41" s="32" t="s">
        <v>72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79</v>
      </c>
      <c r="D43" s="29"/>
      <c r="E43" s="30"/>
      <c r="F43" s="30"/>
      <c r="G43" s="31"/>
      <c r="H43" s="32" t="s">
        <v>72</v>
      </c>
      <c r="I43" s="32" t="s">
        <v>72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80</v>
      </c>
      <c r="D45" s="29"/>
      <c r="E45" s="30"/>
      <c r="F45" s="30"/>
      <c r="G45" s="31"/>
      <c r="H45" s="32"/>
      <c r="I45" s="32"/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81</v>
      </c>
      <c r="D47" s="29"/>
      <c r="E47" s="30"/>
      <c r="F47" s="30"/>
      <c r="G47" s="31"/>
      <c r="H47" s="32" t="s">
        <v>72</v>
      </c>
      <c r="I47" s="32" t="s">
        <v>72</v>
      </c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82</v>
      </c>
      <c r="D49" s="29"/>
      <c r="E49" s="30"/>
      <c r="F49" s="30"/>
      <c r="G49" s="31"/>
      <c r="H49" s="32" t="s">
        <v>72</v>
      </c>
      <c r="I49" s="32" t="s">
        <v>72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83</v>
      </c>
      <c r="D51" s="29"/>
      <c r="E51" s="30"/>
      <c r="F51" s="30"/>
      <c r="G51" s="31"/>
      <c r="H51" s="32" t="s">
        <v>72</v>
      </c>
      <c r="I51" s="32" t="s">
        <v>72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84</v>
      </c>
      <c r="D53" s="29"/>
      <c r="E53" s="30"/>
      <c r="F53" s="30"/>
      <c r="G53" s="31"/>
      <c r="H53" s="32" t="s">
        <v>72</v>
      </c>
      <c r="I53" s="32" t="s">
        <v>72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85</v>
      </c>
      <c r="D55" s="29"/>
      <c r="E55" s="30"/>
      <c r="F55" s="30"/>
      <c r="G55" s="31"/>
      <c r="H55" s="32"/>
      <c r="I55" s="32"/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86</v>
      </c>
      <c r="D57" s="29"/>
      <c r="E57" s="30"/>
      <c r="F57" s="30"/>
      <c r="G57" s="31"/>
      <c r="H57" s="32" t="s">
        <v>72</v>
      </c>
      <c r="I57" s="32" t="s">
        <v>72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87</v>
      </c>
      <c r="D59" s="29"/>
      <c r="E59" s="30"/>
      <c r="F59" s="30"/>
      <c r="G59" s="31"/>
      <c r="H59" s="32" t="s">
        <v>72</v>
      </c>
      <c r="I59" s="32" t="s">
        <v>72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88</v>
      </c>
      <c r="D61" s="29"/>
      <c r="E61" s="30"/>
      <c r="F61" s="30"/>
      <c r="G61" s="31"/>
      <c r="H61" s="32" t="s">
        <v>72</v>
      </c>
      <c r="I61" s="32" t="s">
        <v>72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89</v>
      </c>
      <c r="D63" s="29"/>
      <c r="E63" s="30"/>
      <c r="F63" s="30"/>
      <c r="G63" s="31"/>
      <c r="H63" s="32" t="s">
        <v>72</v>
      </c>
      <c r="I63" s="32" t="s">
        <v>72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90</v>
      </c>
      <c r="D65" s="29"/>
      <c r="E65" s="30"/>
      <c r="F65" s="30"/>
      <c r="G65" s="31"/>
      <c r="H65" s="32" t="s">
        <v>72</v>
      </c>
      <c r="I65" s="32" t="s">
        <v>72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91</v>
      </c>
      <c r="D67" s="29"/>
      <c r="E67" s="30"/>
      <c r="F67" s="30"/>
      <c r="G67" s="31"/>
      <c r="H67" s="32" t="s">
        <v>72</v>
      </c>
      <c r="I67" s="32" t="s">
        <v>72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92</v>
      </c>
      <c r="D69" s="29"/>
      <c r="E69" s="30"/>
      <c r="F69" s="30"/>
      <c r="G69" s="31"/>
      <c r="H69" s="32"/>
      <c r="I69" s="32"/>
      <c r="J69" s="33"/>
    </row>
    <row r="70" spans="1:10" x14ac:dyDescent="0.25">
      <c r="B70" s="1"/>
      <c r="C70" s="20" t="s">
        <v>93</v>
      </c>
      <c r="D70" s="29"/>
      <c r="E70" s="30"/>
      <c r="F70" s="30"/>
      <c r="G70" s="31"/>
      <c r="H70" s="32">
        <v>36.020000000000003</v>
      </c>
      <c r="I70" s="32">
        <v>3.52</v>
      </c>
      <c r="J70" s="33"/>
    </row>
    <row r="71" spans="1:10" x14ac:dyDescent="0.25">
      <c r="C71" s="28" t="s">
        <v>70</v>
      </c>
      <c r="D71" s="29"/>
      <c r="E71" s="30"/>
      <c r="F71" s="30"/>
      <c r="G71" s="31"/>
      <c r="H71" s="35">
        <v>36.020000000000003</v>
      </c>
      <c r="I71" s="35">
        <v>3.52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ht="14.25" thickBot="1" x14ac:dyDescent="0.3">
      <c r="C73" s="36" t="s">
        <v>94</v>
      </c>
      <c r="D73" s="37"/>
      <c r="E73" s="38"/>
      <c r="F73" s="39"/>
      <c r="G73" s="40"/>
      <c r="H73" s="41">
        <v>1024.3599999999999</v>
      </c>
      <c r="I73" s="41">
        <f>SUMIFS(I:I,C:C,"Total")</f>
        <v>100</v>
      </c>
      <c r="J73" s="42"/>
    </row>
    <row r="76" spans="1:10" x14ac:dyDescent="0.25">
      <c r="C76" s="11" t="s">
        <v>95</v>
      </c>
    </row>
    <row r="77" spans="1:10" x14ac:dyDescent="0.25">
      <c r="C77" s="2" t="s">
        <v>96</v>
      </c>
    </row>
    <row r="78" spans="1:10" x14ac:dyDescent="0.25">
      <c r="C78" s="2" t="s">
        <v>97</v>
      </c>
    </row>
    <row r="79" spans="1:10" x14ac:dyDescent="0.25">
      <c r="C79" s="2" t="s">
        <v>98</v>
      </c>
    </row>
    <row r="80" spans="1:10" x14ac:dyDescent="0.25">
      <c r="C80" s="2" t="s">
        <v>99</v>
      </c>
    </row>
    <row r="81" spans="3:5" x14ac:dyDescent="0.25">
      <c r="C81" s="2" t="s">
        <v>100</v>
      </c>
    </row>
    <row r="82" spans="3:5" x14ac:dyDescent="0.25">
      <c r="C82" s="2" t="s">
        <v>101</v>
      </c>
    </row>
    <row r="83" spans="3:5" x14ac:dyDescent="0.25">
      <c r="D83" s="2" t="s">
        <v>102</v>
      </c>
    </row>
    <row r="84" spans="3:5" x14ac:dyDescent="0.25">
      <c r="C84" s="2" t="s">
        <v>103</v>
      </c>
      <c r="D84" s="2" t="s">
        <v>104</v>
      </c>
      <c r="E84" s="2" t="s">
        <v>104</v>
      </c>
    </row>
    <row r="85" spans="3:5" x14ac:dyDescent="0.25">
      <c r="D85" s="2" t="s">
        <v>105</v>
      </c>
      <c r="E85" s="2" t="s">
        <v>106</v>
      </c>
    </row>
    <row r="86" spans="3:5" x14ac:dyDescent="0.25">
      <c r="C86" s="2" t="s">
        <v>107</v>
      </c>
      <c r="D86" s="2">
        <v>42.99</v>
      </c>
      <c r="E86" s="2">
        <v>41.38</v>
      </c>
    </row>
    <row r="87" spans="3:5" x14ac:dyDescent="0.25">
      <c r="C87" s="2" t="s">
        <v>108</v>
      </c>
      <c r="D87" s="2">
        <v>48.03</v>
      </c>
      <c r="E87" s="2">
        <v>46.23</v>
      </c>
    </row>
    <row r="88" spans="3:5" x14ac:dyDescent="0.25">
      <c r="C88" s="2" t="s">
        <v>109</v>
      </c>
      <c r="D88" s="2">
        <v>52.85</v>
      </c>
      <c r="E88" s="2">
        <v>50.91</v>
      </c>
    </row>
    <row r="89" spans="3:5" x14ac:dyDescent="0.25">
      <c r="C89" s="2" t="s">
        <v>110</v>
      </c>
      <c r="D89" s="2">
        <v>53.46</v>
      </c>
      <c r="E89" s="2">
        <v>51.5</v>
      </c>
    </row>
    <row r="91" spans="3:5" x14ac:dyDescent="0.25">
      <c r="C91" s="2" t="s">
        <v>111</v>
      </c>
    </row>
    <row r="92" spans="3:5" x14ac:dyDescent="0.25">
      <c r="C92" s="2" t="s">
        <v>112</v>
      </c>
    </row>
    <row r="93" spans="3:5" x14ac:dyDescent="0.25">
      <c r="C93" s="2" t="s">
        <v>113</v>
      </c>
    </row>
    <row r="94" spans="3:5" x14ac:dyDescent="0.25">
      <c r="C94" s="2" t="s">
        <v>114</v>
      </c>
    </row>
    <row r="95" spans="3:5" x14ac:dyDescent="0.25">
      <c r="C95" s="2" t="s">
        <v>115</v>
      </c>
    </row>
    <row r="96" spans="3:5" x14ac:dyDescent="0.25">
      <c r="C96" s="2" t="s">
        <v>116</v>
      </c>
    </row>
    <row r="97" spans="3:3" x14ac:dyDescent="0.25">
      <c r="C97" s="2" t="s">
        <v>117</v>
      </c>
    </row>
    <row r="98" spans="3:3" x14ac:dyDescent="0.25">
      <c r="C98" s="2" t="s">
        <v>118</v>
      </c>
    </row>
    <row r="99" spans="3:3" x14ac:dyDescent="0.25">
      <c r="C99" s="2" t="s">
        <v>119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B7B7-BA10-4B70-B6E4-7410C5103263}">
  <dimension ref="C4:K18"/>
  <sheetViews>
    <sheetView workbookViewId="0"/>
  </sheetViews>
  <sheetFormatPr defaultRowHeight="15" x14ac:dyDescent="0.25"/>
  <cols>
    <col min="3" max="3" width="47.57031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120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121</v>
      </c>
      <c r="D5" s="46" t="s">
        <v>122</v>
      </c>
      <c r="E5" s="46"/>
      <c r="F5" s="46" t="s">
        <v>123</v>
      </c>
      <c r="G5" s="46"/>
      <c r="H5" s="46" t="s">
        <v>124</v>
      </c>
      <c r="I5" s="46"/>
      <c r="J5" s="47" t="s">
        <v>125</v>
      </c>
      <c r="K5" s="47"/>
    </row>
    <row r="6" spans="3:11" ht="63.75" x14ac:dyDescent="0.25">
      <c r="C6" s="48"/>
      <c r="D6" s="49" t="s">
        <v>126</v>
      </c>
      <c r="E6" s="49" t="s">
        <v>127</v>
      </c>
      <c r="F6" s="49" t="s">
        <v>126</v>
      </c>
      <c r="G6" s="49" t="s">
        <v>127</v>
      </c>
      <c r="H6" s="49" t="s">
        <v>126</v>
      </c>
      <c r="I6" s="49" t="s">
        <v>127</v>
      </c>
      <c r="J6" s="50" t="s">
        <v>126</v>
      </c>
      <c r="K6" s="50" t="s">
        <v>127</v>
      </c>
    </row>
    <row r="7" spans="3:11" x14ac:dyDescent="0.25">
      <c r="C7" s="51" t="s">
        <v>128</v>
      </c>
      <c r="D7" s="52">
        <v>1.0933999999999999</v>
      </c>
      <c r="E7" s="52">
        <v>10164.907651715041</v>
      </c>
      <c r="F7" s="52">
        <v>11.533799999999999</v>
      </c>
      <c r="G7" s="52">
        <v>13878.715100570398</v>
      </c>
      <c r="H7" s="52">
        <v>10.8306</v>
      </c>
      <c r="I7" s="52">
        <v>16731.813246471225</v>
      </c>
      <c r="J7" s="52">
        <v>12.7263</v>
      </c>
      <c r="K7" s="52">
        <v>46230</v>
      </c>
    </row>
    <row r="8" spans="3:11" x14ac:dyDescent="0.25">
      <c r="C8" s="51" t="s">
        <v>129</v>
      </c>
      <c r="D8" s="52">
        <v>5.5190999999999999</v>
      </c>
      <c r="E8" s="52">
        <v>10551.91</v>
      </c>
      <c r="F8" s="52">
        <v>10.521699999999999</v>
      </c>
      <c r="G8" s="52">
        <v>13500.276683852529</v>
      </c>
      <c r="H8" s="52">
        <v>11.031499999999999</v>
      </c>
      <c r="I8" s="52">
        <v>16874.504734127677</v>
      </c>
      <c r="J8" s="52">
        <v>14.579700000000001</v>
      </c>
      <c r="K8" s="52">
        <v>56943.576730165783</v>
      </c>
    </row>
    <row r="9" spans="3:11" x14ac:dyDescent="0.25">
      <c r="C9" s="51" t="s">
        <v>130</v>
      </c>
      <c r="D9" s="52">
        <v>1.8946000000000001</v>
      </c>
      <c r="E9" s="52">
        <v>10189.459999999999</v>
      </c>
      <c r="F9" s="52">
        <v>10.923299999999999</v>
      </c>
      <c r="G9" s="52">
        <v>13647.97896451152</v>
      </c>
      <c r="H9" s="52">
        <v>15.940099999999999</v>
      </c>
      <c r="I9" s="52">
        <v>20949.243903360148</v>
      </c>
      <c r="J9" s="52">
        <v>14.0036</v>
      </c>
      <c r="K9" s="52">
        <v>53390.75371345249</v>
      </c>
    </row>
    <row r="10" spans="3:11" x14ac:dyDescent="0.25">
      <c r="C10" s="51" t="s">
        <v>131</v>
      </c>
      <c r="D10" s="53">
        <v>45.48</v>
      </c>
      <c r="E10" s="54"/>
      <c r="F10" s="53">
        <v>33.31</v>
      </c>
      <c r="G10" s="54"/>
      <c r="H10" s="53">
        <v>27.63</v>
      </c>
      <c r="I10" s="54"/>
      <c r="J10" s="53">
        <v>10</v>
      </c>
      <c r="K10" s="54"/>
    </row>
    <row r="12" spans="3:11" ht="15.75" x14ac:dyDescent="0.25">
      <c r="C12" s="43" t="s">
        <v>132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121</v>
      </c>
      <c r="D13" s="46" t="s">
        <v>122</v>
      </c>
      <c r="E13" s="46"/>
      <c r="F13" s="46" t="s">
        <v>123</v>
      </c>
      <c r="G13" s="46"/>
      <c r="H13" s="46" t="s">
        <v>124</v>
      </c>
      <c r="I13" s="46"/>
      <c r="J13" s="47" t="s">
        <v>125</v>
      </c>
      <c r="K13" s="47"/>
    </row>
    <row r="14" spans="3:11" ht="63.75" x14ac:dyDescent="0.25">
      <c r="C14" s="48"/>
      <c r="D14" s="49" t="s">
        <v>126</v>
      </c>
      <c r="E14" s="49" t="s">
        <v>127</v>
      </c>
      <c r="F14" s="49" t="s">
        <v>126</v>
      </c>
      <c r="G14" s="49" t="s">
        <v>127</v>
      </c>
      <c r="H14" s="49" t="s">
        <v>126</v>
      </c>
      <c r="I14" s="49" t="s">
        <v>127</v>
      </c>
      <c r="J14" s="50" t="s">
        <v>126</v>
      </c>
      <c r="K14" s="50" t="s">
        <v>127</v>
      </c>
    </row>
    <row r="15" spans="3:11" x14ac:dyDescent="0.25">
      <c r="C15" s="51" t="s">
        <v>128</v>
      </c>
      <c r="D15" s="52">
        <v>1.839</v>
      </c>
      <c r="E15" s="52">
        <v>10240.604493935176</v>
      </c>
      <c r="F15" s="52">
        <v>12.384600000000001</v>
      </c>
      <c r="G15" s="52">
        <v>14199.06258615936</v>
      </c>
      <c r="H15" s="52">
        <v>11.6541</v>
      </c>
      <c r="I15" s="52">
        <v>17363.452461227243</v>
      </c>
      <c r="J15" s="52">
        <v>11.3901</v>
      </c>
      <c r="K15" s="52">
        <v>37728.93772893773</v>
      </c>
    </row>
    <row r="16" spans="3:11" x14ac:dyDescent="0.25">
      <c r="C16" s="51" t="s">
        <v>129</v>
      </c>
      <c r="D16" s="52">
        <v>5.5190999999999999</v>
      </c>
      <c r="E16" s="52">
        <v>10551.91</v>
      </c>
      <c r="F16" s="52">
        <v>10.521699999999999</v>
      </c>
      <c r="G16" s="52">
        <v>13500.276683852529</v>
      </c>
      <c r="H16" s="52">
        <v>11.031499999999999</v>
      </c>
      <c r="I16" s="52">
        <v>16874.504734127677</v>
      </c>
      <c r="J16" s="52">
        <v>12.254799999999999</v>
      </c>
      <c r="K16" s="52">
        <v>40791.940102173816</v>
      </c>
    </row>
    <row r="17" spans="3:11" x14ac:dyDescent="0.25">
      <c r="C17" s="51" t="s">
        <v>130</v>
      </c>
      <c r="D17" s="52">
        <v>1.8946000000000001</v>
      </c>
      <c r="E17" s="52">
        <v>10189.459999999999</v>
      </c>
      <c r="F17" s="52">
        <v>10.923299999999999</v>
      </c>
      <c r="G17" s="52">
        <v>13647.97896451152</v>
      </c>
      <c r="H17" s="52">
        <v>15.940099999999999</v>
      </c>
      <c r="I17" s="52">
        <v>20949.243903360148</v>
      </c>
      <c r="J17" s="52">
        <v>12.672599999999999</v>
      </c>
      <c r="K17" s="52">
        <v>42677.198648306716</v>
      </c>
    </row>
    <row r="18" spans="3:11" x14ac:dyDescent="0.25">
      <c r="C18" s="51" t="s">
        <v>133</v>
      </c>
      <c r="D18" s="53">
        <v>50.29</v>
      </c>
      <c r="E18" s="54"/>
      <c r="F18" s="53">
        <v>36.270000000000003</v>
      </c>
      <c r="G18" s="54"/>
      <c r="H18" s="53">
        <v>29.66</v>
      </c>
      <c r="I18" s="54"/>
      <c r="J18" s="53">
        <v>13.65</v>
      </c>
      <c r="K18" s="54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2025-03-06T12:10:48Z</dcterms:created>
  <dcterms:modified xsi:type="dcterms:W3CDTF">2025-03-06T14:58:56Z</dcterms:modified>
</cp:coreProperties>
</file>