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3. June 2025\Monthly Portfolio May 2025\Ops\"/>
    </mc:Choice>
  </mc:AlternateContent>
  <xr:revisionPtr revIDLastSave="0" documentId="13_ncr:1_{25F6D6F0-7F1B-4407-882D-2E1924393DDF}" xr6:coauthVersionLast="47" xr6:coauthVersionMax="47" xr10:uidLastSave="{00000000-0000-0000-0000-000000000000}"/>
  <bookViews>
    <workbookView xWindow="-120" yWindow="-120" windowWidth="20730" windowHeight="11040" xr2:uid="{FF146625-97A2-42E2-947B-7FF4916FCF23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TBFS!$C$8:$C$26</definedName>
    <definedName name="XDO_?FINAL_ISIN?1?">TBFS!$D$10:$D$26</definedName>
    <definedName name="XDO_?FINAL_ISIN?2?">TBFS!$D$10:$D$70</definedName>
    <definedName name="XDO_?FINAL_MV?1?">TBFS!$H$10:$H$26</definedName>
    <definedName name="XDO_?FINAL_MV?2?">TBFS!$H$10:$H$70</definedName>
    <definedName name="XDO_?FINAL_NAME?1?">TBFS!$C$10:$C$26</definedName>
    <definedName name="XDO_?FINAL_NAME?2?">TBFS!$C$10:$C$70</definedName>
    <definedName name="XDO_?FINAL_PER_NET?1?">TBFS!$I$10:$I$26</definedName>
    <definedName name="XDO_?FINAL_PER_NET?2?">TBFS!$I$10:$I$70</definedName>
    <definedName name="XDO_?FINAL_QUANTITE?1?">TBFS!$G$10:$G$26</definedName>
    <definedName name="XDO_?FINAL_QUANTITE?2?">TBFS!$G$10:$G$70</definedName>
    <definedName name="XDO_?IND_01?1?">TBFS!$F$10:$F$26</definedName>
    <definedName name="XDO_?IND_01?2?">TBFS!$F$10:$F$70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TBFS!$C$2:$C$26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TBFS!$B$10:$B$26</definedName>
    <definedName name="XDO_?NOVAL?2?">TBFS!$B$10:$B$70</definedName>
    <definedName name="XDO_?NPTF?1?">TBFS!$D$2:$D$26</definedName>
    <definedName name="XDO_?RATING?1?">TBFS!$E$10:$E$26</definedName>
    <definedName name="XDO_?RATING?2?">TBFS!$E$10:$E$70</definedName>
    <definedName name="XDO_?REMARKS?1?">TBFS!$J$10:$J$26</definedName>
    <definedName name="XDO_?REMARKS?2?">TBFS!$J$10:$J$70</definedName>
    <definedName name="XDO_?TITL?1?">TBFS!$A$8:$A$26</definedName>
    <definedName name="XDO_GROUP_?G_2?1?">TBFS!$2:$73</definedName>
    <definedName name="XDO_GROUP_?G_3?1?">TBFS!$8:$72</definedName>
    <definedName name="XDO_GROUP_?G_4?1?">TBFS!$B$10:$IV$26</definedName>
    <definedName name="XDO_GROUP_?G_4?2?">TBFS!$B$70:$IV$70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" i="1" l="1"/>
</calcChain>
</file>

<file path=xl/sharedStrings.xml><?xml version="1.0" encoding="utf-8"?>
<sst xmlns="http://schemas.openxmlformats.org/spreadsheetml/2006/main" count="204" uniqueCount="134">
  <si>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</si>
  <si>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</si>
  <si>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</si>
  <si>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</si>
  <si>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</si>
  <si>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</si>
  <si>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</si>
  <si>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</si>
  <si>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</si>
  <si>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</si>
  <si>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</si>
  <si>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</si>
  <si>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</si>
  <si>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</si>
  <si>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</si>
  <si>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</si>
  <si>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</si>
  <si>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</si>
  <si>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</si>
  <si>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</si>
  <si>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</si>
  <si>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</si>
  <si>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</si>
  <si>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</si>
  <si>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</si>
  <si>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</si>
  <si>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</si>
  <si>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</si>
  <si>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</si>
  <si>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</si>
  <si>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</si>
  <si>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100325</t>
  </si>
  <si>
    <t>Bajaj Holdings &amp; Investment Ltd.</t>
  </si>
  <si>
    <t>INE118A01012</t>
  </si>
  <si>
    <t>Finance</t>
  </si>
  <si>
    <t>101210</t>
  </si>
  <si>
    <t>Credit Access Grameen Ltd.</t>
  </si>
  <si>
    <t>INE741K01010</t>
  </si>
  <si>
    <t>100759</t>
  </si>
  <si>
    <t>The New India Assurance Co. Ltd.</t>
  </si>
  <si>
    <t>INE470Y01017</t>
  </si>
  <si>
    <t>Insurance</t>
  </si>
  <si>
    <t>100122</t>
  </si>
  <si>
    <t>Union Bank of India</t>
  </si>
  <si>
    <t>INE692A01016</t>
  </si>
  <si>
    <t>101550</t>
  </si>
  <si>
    <t>Life Insurance Corporation of India</t>
  </si>
  <si>
    <t>INE0J1Y01017</t>
  </si>
  <si>
    <t>100665</t>
  </si>
  <si>
    <t>Aditya Birla Capital Ltd.</t>
  </si>
  <si>
    <t>INE674K01013</t>
  </si>
  <si>
    <t>100114</t>
  </si>
  <si>
    <t>Shriram Finance Ltd.</t>
  </si>
  <si>
    <t>INE721A01047</t>
  </si>
  <si>
    <t>100191</t>
  </si>
  <si>
    <t>Canara Bank</t>
  </si>
  <si>
    <t>INE476A01022</t>
  </si>
  <si>
    <t>100013</t>
  </si>
  <si>
    <t>IndusInd Bank Ltd.</t>
  </si>
  <si>
    <t>INE095A01012</t>
  </si>
  <si>
    <t>100055</t>
  </si>
  <si>
    <t>The Federal Bank Ltd.</t>
  </si>
  <si>
    <t>INE171A01029</t>
  </si>
  <si>
    <t>101178</t>
  </si>
  <si>
    <t>Computer Age Management Services Ltd.</t>
  </si>
  <si>
    <t>INE596I01012</t>
  </si>
  <si>
    <t>Capital Markets</t>
  </si>
  <si>
    <t>101889</t>
  </si>
  <si>
    <t>Jio Financial Services Ltd.</t>
  </si>
  <si>
    <t>INE758E01017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</si>
  <si>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</si>
  <si>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</si>
  <si>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</si>
  <si>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</si>
  <si>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</si>
  <si>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</si>
  <si>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</si>
  <si>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</si>
  <si>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</si>
  <si>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</si>
  <si>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</si>
  <si>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</si>
  <si>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</si>
  <si>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</si>
  <si>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</si>
  <si>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</si>
  <si>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</si>
  <si>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</si>
  <si>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</si>
  <si>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</si>
  <si>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</si>
  <si>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</si>
  <si>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</si>
  <si>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</si>
  <si>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</si>
  <si>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</si>
  <si>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</si>
  <si>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</si>
  <si>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</si>
  <si>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</si>
  <si>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</si>
  <si>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</si>
  <si>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</si>
  <si>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</si>
  <si>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</si>
  <si>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April 30, 2025</t>
  </si>
  <si>
    <t>May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</si>
  <si>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</si>
  <si>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</si>
  <si>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</si>
  <si>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</si>
  <si>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May 31, 2025.</t>
  </si>
  <si>
    <t>7. The Scheme did not declare any bonus during the month ended As on  May 31, 2025.</t>
  </si>
  <si>
    <t>8. Total outstanding exposure in derivative instruments as on As on  May 31, 2025 is Nil</t>
  </si>
  <si>
    <t>9. Total investments in Foreign Securities /ADRs/GDRs /Overseas ETFs as at As on  May 31, 2025 and its percentage to NAV is Nil.</t>
  </si>
  <si>
    <t>10. During the period, the portfolio turnover ratio is 0.31 times.</t>
  </si>
  <si>
    <t>      Portfolio Turnover Ratio = Lower of sales or purchase of securities divided by average AUM for 12 months ended As on  May 31, 2025</t>
  </si>
  <si>
    <t>11. The Scheme did not invest in repo transactions of corporate debt securities during the month ended As on  May 31, 2025.</t>
  </si>
  <si>
    <t>12. The Scheme did not invest in credit default swaps during the month ended As on  May 31, 2025.</t>
  </si>
  <si>
    <t>13. There are Nil instances of deviation from the valuation principles/guidelines during the month ended as on May 31st, 2025.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</si>
  <si>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</si>
  <si>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</si>
  <si>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</si>
  <si>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</si>
  <si>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</si>
  <si>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</si>
  <si>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</si>
  <si>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</si>
  <si>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</si>
  <si>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</si>
  <si>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</si>
  <si>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May 30,2025 :53.97)</t>
  </si>
  <si>
    <t>Taurus Banking &amp; Financial Services Fund - Direct Plan Growth Option</t>
  </si>
  <si>
    <t>NAV [Rs.] Per Unit (as on May 30,2025 :60.24)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</si>
</sst>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2198C3E6-997B-4373-BA92-4DF481AE7BCA}"/>
    <cellStyle name="Hyperlink" xfId="2" builtinId="8"/>
    <cellStyle name="Normal" xfId="0" builtinId="0"/>
    <cellStyle name="Normal 2" xfId="4" xr:uid="{5108A477-C574-4372-801D-E0C5EFF93CA0}"/>
    <cellStyle name="Style 1" xfId="3" xr:uid="{9E7EC68A-F674-45EB-81BE-833A66FBE3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850730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48432096-7352-4493-A3FA-8FEE74E63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y_2025\Final\TMF_Monthly_Portfolio_Report_May%2025.xls" TargetMode="External"/><Relationship Id="rId1" Type="http://schemas.openxmlformats.org/officeDocument/2006/relationships/externalLinkPath" Target="file:///Q:\5.TMF\Reporting\Monthly%20Reports\Monthly%20Portfolio\2025-26\May_2025\Final\TMF_Monthly_Portfolio_Report_Ma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79AA-094C-4078-8FE1-902414C087B9}">
  <dimension ref="A1:BB9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62.5703125" style="2" customWidth="1"/>
    <col min="4" max="4" width="17" style="2" customWidth="1"/>
    <col min="5" max="5" width="12.5703125" style="2" bestFit="1" customWidth="1"/>
    <col min="6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114.5703125" style="2" bestFit="1" customWidth="1"/>
    <col min="260" max="260" width="17" style="2" customWidth="1"/>
    <col min="261" max="261" width="12.5703125" style="2" bestFit="1" customWidth="1"/>
    <col min="262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114.5703125" style="2" bestFit="1" customWidth="1"/>
    <col min="516" max="516" width="17" style="2" customWidth="1"/>
    <col min="517" max="517" width="12.5703125" style="2" bestFit="1" customWidth="1"/>
    <col min="518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114.5703125" style="2" bestFit="1" customWidth="1"/>
    <col min="772" max="772" width="17" style="2" customWidth="1"/>
    <col min="773" max="773" width="12.5703125" style="2" bestFit="1" customWidth="1"/>
    <col min="774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114.5703125" style="2" bestFit="1" customWidth="1"/>
    <col min="1028" max="1028" width="17" style="2" customWidth="1"/>
    <col min="1029" max="1029" width="12.5703125" style="2" bestFit="1" customWidth="1"/>
    <col min="1030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114.5703125" style="2" bestFit="1" customWidth="1"/>
    <col min="1284" max="1284" width="17" style="2" customWidth="1"/>
    <col min="1285" max="1285" width="12.5703125" style="2" bestFit="1" customWidth="1"/>
    <col min="1286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114.5703125" style="2" bestFit="1" customWidth="1"/>
    <col min="1540" max="1540" width="17" style="2" customWidth="1"/>
    <col min="1541" max="1541" width="12.5703125" style="2" bestFit="1" customWidth="1"/>
    <col min="1542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114.5703125" style="2" bestFit="1" customWidth="1"/>
    <col min="1796" max="1796" width="17" style="2" customWidth="1"/>
    <col min="1797" max="1797" width="12.5703125" style="2" bestFit="1" customWidth="1"/>
    <col min="1798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114.5703125" style="2" bestFit="1" customWidth="1"/>
    <col min="2052" max="2052" width="17" style="2" customWidth="1"/>
    <col min="2053" max="2053" width="12.5703125" style="2" bestFit="1" customWidth="1"/>
    <col min="2054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114.5703125" style="2" bestFit="1" customWidth="1"/>
    <col min="2308" max="2308" width="17" style="2" customWidth="1"/>
    <col min="2309" max="2309" width="12.5703125" style="2" bestFit="1" customWidth="1"/>
    <col min="2310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114.5703125" style="2" bestFit="1" customWidth="1"/>
    <col min="2564" max="2564" width="17" style="2" customWidth="1"/>
    <col min="2565" max="2565" width="12.5703125" style="2" bestFit="1" customWidth="1"/>
    <col min="2566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114.5703125" style="2" bestFit="1" customWidth="1"/>
    <col min="2820" max="2820" width="17" style="2" customWidth="1"/>
    <col min="2821" max="2821" width="12.5703125" style="2" bestFit="1" customWidth="1"/>
    <col min="2822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114.5703125" style="2" bestFit="1" customWidth="1"/>
    <col min="3076" max="3076" width="17" style="2" customWidth="1"/>
    <col min="3077" max="3077" width="12.5703125" style="2" bestFit="1" customWidth="1"/>
    <col min="3078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114.5703125" style="2" bestFit="1" customWidth="1"/>
    <col min="3332" max="3332" width="17" style="2" customWidth="1"/>
    <col min="3333" max="3333" width="12.5703125" style="2" bestFit="1" customWidth="1"/>
    <col min="3334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114.5703125" style="2" bestFit="1" customWidth="1"/>
    <col min="3588" max="3588" width="17" style="2" customWidth="1"/>
    <col min="3589" max="3589" width="12.5703125" style="2" bestFit="1" customWidth="1"/>
    <col min="3590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114.5703125" style="2" bestFit="1" customWidth="1"/>
    <col min="3844" max="3844" width="17" style="2" customWidth="1"/>
    <col min="3845" max="3845" width="12.5703125" style="2" bestFit="1" customWidth="1"/>
    <col min="3846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114.5703125" style="2" bestFit="1" customWidth="1"/>
    <col min="4100" max="4100" width="17" style="2" customWidth="1"/>
    <col min="4101" max="4101" width="12.5703125" style="2" bestFit="1" customWidth="1"/>
    <col min="4102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114.5703125" style="2" bestFit="1" customWidth="1"/>
    <col min="4356" max="4356" width="17" style="2" customWidth="1"/>
    <col min="4357" max="4357" width="12.5703125" style="2" bestFit="1" customWidth="1"/>
    <col min="4358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114.5703125" style="2" bestFit="1" customWidth="1"/>
    <col min="4612" max="4612" width="17" style="2" customWidth="1"/>
    <col min="4613" max="4613" width="12.5703125" style="2" bestFit="1" customWidth="1"/>
    <col min="4614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114.5703125" style="2" bestFit="1" customWidth="1"/>
    <col min="4868" max="4868" width="17" style="2" customWidth="1"/>
    <col min="4869" max="4869" width="12.5703125" style="2" bestFit="1" customWidth="1"/>
    <col min="4870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114.5703125" style="2" bestFit="1" customWidth="1"/>
    <col min="5124" max="5124" width="17" style="2" customWidth="1"/>
    <col min="5125" max="5125" width="12.5703125" style="2" bestFit="1" customWidth="1"/>
    <col min="5126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114.5703125" style="2" bestFit="1" customWidth="1"/>
    <col min="5380" max="5380" width="17" style="2" customWidth="1"/>
    <col min="5381" max="5381" width="12.5703125" style="2" bestFit="1" customWidth="1"/>
    <col min="5382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114.5703125" style="2" bestFit="1" customWidth="1"/>
    <col min="5636" max="5636" width="17" style="2" customWidth="1"/>
    <col min="5637" max="5637" width="12.5703125" style="2" bestFit="1" customWidth="1"/>
    <col min="5638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114.5703125" style="2" bestFit="1" customWidth="1"/>
    <col min="5892" max="5892" width="17" style="2" customWidth="1"/>
    <col min="5893" max="5893" width="12.5703125" style="2" bestFit="1" customWidth="1"/>
    <col min="5894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114.5703125" style="2" bestFit="1" customWidth="1"/>
    <col min="6148" max="6148" width="17" style="2" customWidth="1"/>
    <col min="6149" max="6149" width="12.5703125" style="2" bestFit="1" customWidth="1"/>
    <col min="6150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114.5703125" style="2" bestFit="1" customWidth="1"/>
    <col min="6404" max="6404" width="17" style="2" customWidth="1"/>
    <col min="6405" max="6405" width="12.5703125" style="2" bestFit="1" customWidth="1"/>
    <col min="6406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114.5703125" style="2" bestFit="1" customWidth="1"/>
    <col min="6660" max="6660" width="17" style="2" customWidth="1"/>
    <col min="6661" max="6661" width="12.5703125" style="2" bestFit="1" customWidth="1"/>
    <col min="6662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114.5703125" style="2" bestFit="1" customWidth="1"/>
    <col min="6916" max="6916" width="17" style="2" customWidth="1"/>
    <col min="6917" max="6917" width="12.5703125" style="2" bestFit="1" customWidth="1"/>
    <col min="6918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114.5703125" style="2" bestFit="1" customWidth="1"/>
    <col min="7172" max="7172" width="17" style="2" customWidth="1"/>
    <col min="7173" max="7173" width="12.5703125" style="2" bestFit="1" customWidth="1"/>
    <col min="7174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114.5703125" style="2" bestFit="1" customWidth="1"/>
    <col min="7428" max="7428" width="17" style="2" customWidth="1"/>
    <col min="7429" max="7429" width="12.5703125" style="2" bestFit="1" customWidth="1"/>
    <col min="7430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114.5703125" style="2" bestFit="1" customWidth="1"/>
    <col min="7684" max="7684" width="17" style="2" customWidth="1"/>
    <col min="7685" max="7685" width="12.5703125" style="2" bestFit="1" customWidth="1"/>
    <col min="7686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114.5703125" style="2" bestFit="1" customWidth="1"/>
    <col min="7940" max="7940" width="17" style="2" customWidth="1"/>
    <col min="7941" max="7941" width="12.5703125" style="2" bestFit="1" customWidth="1"/>
    <col min="7942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114.5703125" style="2" bestFit="1" customWidth="1"/>
    <col min="8196" max="8196" width="17" style="2" customWidth="1"/>
    <col min="8197" max="8197" width="12.5703125" style="2" bestFit="1" customWidth="1"/>
    <col min="8198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114.5703125" style="2" bestFit="1" customWidth="1"/>
    <col min="8452" max="8452" width="17" style="2" customWidth="1"/>
    <col min="8453" max="8453" width="12.5703125" style="2" bestFit="1" customWidth="1"/>
    <col min="8454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114.5703125" style="2" bestFit="1" customWidth="1"/>
    <col min="8708" max="8708" width="17" style="2" customWidth="1"/>
    <col min="8709" max="8709" width="12.5703125" style="2" bestFit="1" customWidth="1"/>
    <col min="8710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114.5703125" style="2" bestFit="1" customWidth="1"/>
    <col min="8964" max="8964" width="17" style="2" customWidth="1"/>
    <col min="8965" max="8965" width="12.5703125" style="2" bestFit="1" customWidth="1"/>
    <col min="8966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114.5703125" style="2" bestFit="1" customWidth="1"/>
    <col min="9220" max="9220" width="17" style="2" customWidth="1"/>
    <col min="9221" max="9221" width="12.5703125" style="2" bestFit="1" customWidth="1"/>
    <col min="9222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114.5703125" style="2" bestFit="1" customWidth="1"/>
    <col min="9476" max="9476" width="17" style="2" customWidth="1"/>
    <col min="9477" max="9477" width="12.5703125" style="2" bestFit="1" customWidth="1"/>
    <col min="9478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114.5703125" style="2" bestFit="1" customWidth="1"/>
    <col min="9732" max="9732" width="17" style="2" customWidth="1"/>
    <col min="9733" max="9733" width="12.5703125" style="2" bestFit="1" customWidth="1"/>
    <col min="9734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114.5703125" style="2" bestFit="1" customWidth="1"/>
    <col min="9988" max="9988" width="17" style="2" customWidth="1"/>
    <col min="9989" max="9989" width="12.5703125" style="2" bestFit="1" customWidth="1"/>
    <col min="9990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114.5703125" style="2" bestFit="1" customWidth="1"/>
    <col min="10244" max="10244" width="17" style="2" customWidth="1"/>
    <col min="10245" max="10245" width="12.5703125" style="2" bestFit="1" customWidth="1"/>
    <col min="10246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114.5703125" style="2" bestFit="1" customWidth="1"/>
    <col min="10500" max="10500" width="17" style="2" customWidth="1"/>
    <col min="10501" max="10501" width="12.5703125" style="2" bestFit="1" customWidth="1"/>
    <col min="10502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114.5703125" style="2" bestFit="1" customWidth="1"/>
    <col min="10756" max="10756" width="17" style="2" customWidth="1"/>
    <col min="10757" max="10757" width="12.5703125" style="2" bestFit="1" customWidth="1"/>
    <col min="10758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114.5703125" style="2" bestFit="1" customWidth="1"/>
    <col min="11012" max="11012" width="17" style="2" customWidth="1"/>
    <col min="11013" max="11013" width="12.5703125" style="2" bestFit="1" customWidth="1"/>
    <col min="11014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114.5703125" style="2" bestFit="1" customWidth="1"/>
    <col min="11268" max="11268" width="17" style="2" customWidth="1"/>
    <col min="11269" max="11269" width="12.5703125" style="2" bestFit="1" customWidth="1"/>
    <col min="11270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114.5703125" style="2" bestFit="1" customWidth="1"/>
    <col min="11524" max="11524" width="17" style="2" customWidth="1"/>
    <col min="11525" max="11525" width="12.5703125" style="2" bestFit="1" customWidth="1"/>
    <col min="11526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114.5703125" style="2" bestFit="1" customWidth="1"/>
    <col min="11780" max="11780" width="17" style="2" customWidth="1"/>
    <col min="11781" max="11781" width="12.5703125" style="2" bestFit="1" customWidth="1"/>
    <col min="11782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114.5703125" style="2" bestFit="1" customWidth="1"/>
    <col min="12036" max="12036" width="17" style="2" customWidth="1"/>
    <col min="12037" max="12037" width="12.5703125" style="2" bestFit="1" customWidth="1"/>
    <col min="12038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114.5703125" style="2" bestFit="1" customWidth="1"/>
    <col min="12292" max="12292" width="17" style="2" customWidth="1"/>
    <col min="12293" max="12293" width="12.5703125" style="2" bestFit="1" customWidth="1"/>
    <col min="12294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114.5703125" style="2" bestFit="1" customWidth="1"/>
    <col min="12548" max="12548" width="17" style="2" customWidth="1"/>
    <col min="12549" max="12549" width="12.5703125" style="2" bestFit="1" customWidth="1"/>
    <col min="12550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114.5703125" style="2" bestFit="1" customWidth="1"/>
    <col min="12804" max="12804" width="17" style="2" customWidth="1"/>
    <col min="12805" max="12805" width="12.5703125" style="2" bestFit="1" customWidth="1"/>
    <col min="12806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114.5703125" style="2" bestFit="1" customWidth="1"/>
    <col min="13060" max="13060" width="17" style="2" customWidth="1"/>
    <col min="13061" max="13061" width="12.5703125" style="2" bestFit="1" customWidth="1"/>
    <col min="13062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114.5703125" style="2" bestFit="1" customWidth="1"/>
    <col min="13316" max="13316" width="17" style="2" customWidth="1"/>
    <col min="13317" max="13317" width="12.5703125" style="2" bestFit="1" customWidth="1"/>
    <col min="13318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114.5703125" style="2" bestFit="1" customWidth="1"/>
    <col min="13572" max="13572" width="17" style="2" customWidth="1"/>
    <col min="13573" max="13573" width="12.5703125" style="2" bestFit="1" customWidth="1"/>
    <col min="13574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114.5703125" style="2" bestFit="1" customWidth="1"/>
    <col min="13828" max="13828" width="17" style="2" customWidth="1"/>
    <col min="13829" max="13829" width="12.5703125" style="2" bestFit="1" customWidth="1"/>
    <col min="13830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114.5703125" style="2" bestFit="1" customWidth="1"/>
    <col min="14084" max="14084" width="17" style="2" customWidth="1"/>
    <col min="14085" max="14085" width="12.5703125" style="2" bestFit="1" customWidth="1"/>
    <col min="14086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114.5703125" style="2" bestFit="1" customWidth="1"/>
    <col min="14340" max="14340" width="17" style="2" customWidth="1"/>
    <col min="14341" max="14341" width="12.5703125" style="2" bestFit="1" customWidth="1"/>
    <col min="14342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114.5703125" style="2" bestFit="1" customWidth="1"/>
    <col min="14596" max="14596" width="17" style="2" customWidth="1"/>
    <col min="14597" max="14597" width="12.5703125" style="2" bestFit="1" customWidth="1"/>
    <col min="14598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114.5703125" style="2" bestFit="1" customWidth="1"/>
    <col min="14852" max="14852" width="17" style="2" customWidth="1"/>
    <col min="14853" max="14853" width="12.5703125" style="2" bestFit="1" customWidth="1"/>
    <col min="14854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114.5703125" style="2" bestFit="1" customWidth="1"/>
    <col min="15108" max="15108" width="17" style="2" customWidth="1"/>
    <col min="15109" max="15109" width="12.5703125" style="2" bestFit="1" customWidth="1"/>
    <col min="15110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114.5703125" style="2" bestFit="1" customWidth="1"/>
    <col min="15364" max="15364" width="17" style="2" customWidth="1"/>
    <col min="15365" max="15365" width="12.5703125" style="2" bestFit="1" customWidth="1"/>
    <col min="15366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114.5703125" style="2" bestFit="1" customWidth="1"/>
    <col min="15620" max="15620" width="17" style="2" customWidth="1"/>
    <col min="15621" max="15621" width="12.5703125" style="2" bestFit="1" customWidth="1"/>
    <col min="15622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114.5703125" style="2" bestFit="1" customWidth="1"/>
    <col min="15876" max="15876" width="17" style="2" customWidth="1"/>
    <col min="15877" max="15877" width="12.5703125" style="2" bestFit="1" customWidth="1"/>
    <col min="15878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114.5703125" style="2" bestFit="1" customWidth="1"/>
    <col min="16132" max="16132" width="17" style="2" customWidth="1"/>
    <col min="16133" max="16133" width="12.5703125" style="2" bestFit="1" customWidth="1"/>
    <col min="16134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45808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17739</v>
      </c>
      <c r="H10" s="32">
        <v>256.5</v>
      </c>
      <c r="I10" s="32">
        <v>21.21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12948</v>
      </c>
      <c r="H11" s="32">
        <v>251.79</v>
      </c>
      <c r="I11" s="32">
        <v>20.82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11341</v>
      </c>
      <c r="H12" s="32">
        <v>135.19</v>
      </c>
      <c r="I12" s="32">
        <v>11.18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15279</v>
      </c>
      <c r="H13" s="32">
        <v>124.13</v>
      </c>
      <c r="I13" s="32">
        <v>10.26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4719</v>
      </c>
      <c r="H14" s="32">
        <v>97.95</v>
      </c>
      <c r="I14" s="32">
        <v>8.1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300</v>
      </c>
      <c r="H15" s="32">
        <v>40.26</v>
      </c>
      <c r="I15" s="32">
        <v>3.33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3356</v>
      </c>
      <c r="H16" s="32">
        <v>38.42</v>
      </c>
      <c r="I16" s="32">
        <v>3.18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41</v>
      </c>
      <c r="G17" s="31">
        <v>18837</v>
      </c>
      <c r="H17" s="32">
        <v>35.07</v>
      </c>
      <c r="I17" s="32">
        <v>2.9</v>
      </c>
      <c r="J17" s="33"/>
    </row>
    <row r="18" spans="2:10" x14ac:dyDescent="0.25">
      <c r="B18" s="1" t="s">
        <v>42</v>
      </c>
      <c r="C18" s="20" t="s">
        <v>43</v>
      </c>
      <c r="D18" s="29" t="s">
        <v>44</v>
      </c>
      <c r="E18" s="30"/>
      <c r="F18" s="30" t="s">
        <v>18</v>
      </c>
      <c r="G18" s="31">
        <v>23397</v>
      </c>
      <c r="H18" s="32">
        <v>34.35</v>
      </c>
      <c r="I18" s="32">
        <v>2.84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41</v>
      </c>
      <c r="G19" s="31">
        <v>2590</v>
      </c>
      <c r="H19" s="32">
        <v>24.7</v>
      </c>
      <c r="I19" s="32">
        <v>2.04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34</v>
      </c>
      <c r="G20" s="31">
        <v>10162</v>
      </c>
      <c r="H20" s="32">
        <v>22.6</v>
      </c>
      <c r="I20" s="32">
        <v>1.87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34</v>
      </c>
      <c r="G21" s="31">
        <v>3442</v>
      </c>
      <c r="H21" s="32">
        <v>22.01</v>
      </c>
      <c r="I21" s="32">
        <v>1.82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18</v>
      </c>
      <c r="G22" s="31">
        <v>18875</v>
      </c>
      <c r="H22" s="32">
        <v>21.67</v>
      </c>
      <c r="I22" s="32">
        <v>1.79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18</v>
      </c>
      <c r="G23" s="31">
        <v>2636</v>
      </c>
      <c r="H23" s="32">
        <v>21.54</v>
      </c>
      <c r="I23" s="32">
        <v>1.78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18</v>
      </c>
      <c r="G24" s="31">
        <v>9133</v>
      </c>
      <c r="H24" s="32">
        <v>18.45</v>
      </c>
      <c r="I24" s="32">
        <v>1.53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66</v>
      </c>
      <c r="G25" s="31">
        <v>436</v>
      </c>
      <c r="H25" s="32">
        <v>17.28</v>
      </c>
      <c r="I25" s="32">
        <v>1.43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34</v>
      </c>
      <c r="G26" s="31">
        <v>4798</v>
      </c>
      <c r="H26" s="32">
        <v>13.75</v>
      </c>
      <c r="I26" s="32">
        <v>1.1399999999999999</v>
      </c>
      <c r="J26" s="33"/>
    </row>
    <row r="27" spans="2:10" x14ac:dyDescent="0.25">
      <c r="C27" s="28" t="s">
        <v>70</v>
      </c>
      <c r="D27" s="29"/>
      <c r="E27" s="30"/>
      <c r="F27" s="30"/>
      <c r="G27" s="31"/>
      <c r="H27" s="35">
        <v>1175.6600000000001</v>
      </c>
      <c r="I27" s="35">
        <v>97.22</v>
      </c>
      <c r="J27" s="33"/>
    </row>
    <row r="28" spans="2:10" x14ac:dyDescent="0.25">
      <c r="C28" s="20"/>
      <c r="D28" s="29"/>
      <c r="E28" s="30"/>
      <c r="F28" s="30"/>
      <c r="G28" s="31"/>
      <c r="H28" s="32"/>
      <c r="I28" s="32"/>
      <c r="J28" s="33"/>
    </row>
    <row r="29" spans="2:10" x14ac:dyDescent="0.25">
      <c r="C29" s="28" t="s">
        <v>71</v>
      </c>
      <c r="D29" s="29"/>
      <c r="E29" s="30"/>
      <c r="F29" s="30"/>
      <c r="G29" s="31"/>
      <c r="H29" s="32" t="s">
        <v>72</v>
      </c>
      <c r="I29" s="32" t="s">
        <v>72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73</v>
      </c>
      <c r="D31" s="29"/>
      <c r="E31" s="30"/>
      <c r="F31" s="30"/>
      <c r="G31" s="31"/>
      <c r="H31" s="32" t="s">
        <v>72</v>
      </c>
      <c r="I31" s="32" t="s">
        <v>72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74</v>
      </c>
      <c r="D33" s="29"/>
      <c r="E33" s="30"/>
      <c r="F33" s="30"/>
      <c r="G33" s="31"/>
      <c r="H33" s="32"/>
      <c r="I33" s="32"/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75</v>
      </c>
      <c r="D35" s="29"/>
      <c r="E35" s="30"/>
      <c r="F35" s="30"/>
      <c r="G35" s="31"/>
      <c r="H35" s="32" t="s">
        <v>72</v>
      </c>
      <c r="I35" s="32" t="s">
        <v>72</v>
      </c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76</v>
      </c>
      <c r="D37" s="29"/>
      <c r="E37" s="30"/>
      <c r="F37" s="30"/>
      <c r="G37" s="31"/>
      <c r="H37" s="32" t="s">
        <v>72</v>
      </c>
      <c r="I37" s="32" t="s">
        <v>72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77</v>
      </c>
      <c r="D39" s="29"/>
      <c r="E39" s="30"/>
      <c r="F39" s="30"/>
      <c r="G39" s="31"/>
      <c r="H39" s="32" t="s">
        <v>72</v>
      </c>
      <c r="I39" s="32" t="s">
        <v>72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78</v>
      </c>
      <c r="D41" s="29"/>
      <c r="E41" s="30"/>
      <c r="F41" s="30"/>
      <c r="G41" s="31"/>
      <c r="H41" s="32" t="s">
        <v>72</v>
      </c>
      <c r="I41" s="32" t="s">
        <v>72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79</v>
      </c>
      <c r="D43" s="29"/>
      <c r="E43" s="30"/>
      <c r="F43" s="30"/>
      <c r="G43" s="31"/>
      <c r="H43" s="32" t="s">
        <v>72</v>
      </c>
      <c r="I43" s="32" t="s">
        <v>72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80</v>
      </c>
      <c r="D45" s="29"/>
      <c r="E45" s="30"/>
      <c r="F45" s="30"/>
      <c r="G45" s="31"/>
      <c r="H45" s="32"/>
      <c r="I45" s="32"/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81</v>
      </c>
      <c r="D47" s="29"/>
      <c r="E47" s="30"/>
      <c r="F47" s="30"/>
      <c r="G47" s="31"/>
      <c r="H47" s="32" t="s">
        <v>72</v>
      </c>
      <c r="I47" s="32" t="s">
        <v>72</v>
      </c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82</v>
      </c>
      <c r="D49" s="29"/>
      <c r="E49" s="30"/>
      <c r="F49" s="30"/>
      <c r="G49" s="31"/>
      <c r="H49" s="32" t="s">
        <v>72</v>
      </c>
      <c r="I49" s="32" t="s">
        <v>72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83</v>
      </c>
      <c r="D51" s="29"/>
      <c r="E51" s="30"/>
      <c r="F51" s="30"/>
      <c r="G51" s="31"/>
      <c r="H51" s="32" t="s">
        <v>72</v>
      </c>
      <c r="I51" s="32" t="s">
        <v>72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84</v>
      </c>
      <c r="D53" s="29"/>
      <c r="E53" s="30"/>
      <c r="F53" s="30"/>
      <c r="G53" s="31"/>
      <c r="H53" s="32" t="s">
        <v>72</v>
      </c>
      <c r="I53" s="32" t="s">
        <v>72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85</v>
      </c>
      <c r="D55" s="29"/>
      <c r="E55" s="30"/>
      <c r="F55" s="30"/>
      <c r="G55" s="31"/>
      <c r="H55" s="32"/>
      <c r="I55" s="32"/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86</v>
      </c>
      <c r="D57" s="29"/>
      <c r="E57" s="30"/>
      <c r="F57" s="30"/>
      <c r="G57" s="31"/>
      <c r="H57" s="32" t="s">
        <v>72</v>
      </c>
      <c r="I57" s="32" t="s">
        <v>72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87</v>
      </c>
      <c r="D59" s="29"/>
      <c r="E59" s="30"/>
      <c r="F59" s="30"/>
      <c r="G59" s="31"/>
      <c r="H59" s="32" t="s">
        <v>72</v>
      </c>
      <c r="I59" s="32" t="s">
        <v>72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88</v>
      </c>
      <c r="D61" s="29"/>
      <c r="E61" s="30"/>
      <c r="F61" s="30"/>
      <c r="G61" s="31"/>
      <c r="H61" s="32" t="s">
        <v>72</v>
      </c>
      <c r="I61" s="32" t="s">
        <v>72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89</v>
      </c>
      <c r="D63" s="29"/>
      <c r="E63" s="30"/>
      <c r="F63" s="30"/>
      <c r="G63" s="31"/>
      <c r="H63" s="32" t="s">
        <v>72</v>
      </c>
      <c r="I63" s="32" t="s">
        <v>72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90</v>
      </c>
      <c r="D65" s="29"/>
      <c r="E65" s="30"/>
      <c r="F65" s="30"/>
      <c r="G65" s="31"/>
      <c r="H65" s="32" t="s">
        <v>72</v>
      </c>
      <c r="I65" s="32" t="s">
        <v>72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91</v>
      </c>
      <c r="D67" s="29"/>
      <c r="E67" s="30"/>
      <c r="F67" s="30"/>
      <c r="G67" s="31"/>
      <c r="H67" s="32" t="s">
        <v>72</v>
      </c>
      <c r="I67" s="32" t="s">
        <v>72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92</v>
      </c>
      <c r="D69" s="29"/>
      <c r="E69" s="30"/>
      <c r="F69" s="30"/>
      <c r="G69" s="31"/>
      <c r="H69" s="32"/>
      <c r="I69" s="32"/>
      <c r="J69" s="33"/>
    </row>
    <row r="70" spans="1:10" x14ac:dyDescent="0.25">
      <c r="B70" s="1"/>
      <c r="C70" s="20" t="s">
        <v>93</v>
      </c>
      <c r="D70" s="29"/>
      <c r="E70" s="30"/>
      <c r="F70" s="30"/>
      <c r="G70" s="31"/>
      <c r="H70" s="32">
        <v>33.86</v>
      </c>
      <c r="I70" s="32">
        <v>2.78</v>
      </c>
      <c r="J70" s="33"/>
    </row>
    <row r="71" spans="1:10" x14ac:dyDescent="0.25">
      <c r="C71" s="28" t="s">
        <v>70</v>
      </c>
      <c r="D71" s="29"/>
      <c r="E71" s="30"/>
      <c r="F71" s="30"/>
      <c r="G71" s="31"/>
      <c r="H71" s="35">
        <v>33.86</v>
      </c>
      <c r="I71" s="35">
        <v>2.78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ht="14.25" thickBot="1" x14ac:dyDescent="0.3">
      <c r="C73" s="36" t="s">
        <v>94</v>
      </c>
      <c r="D73" s="37"/>
      <c r="E73" s="38"/>
      <c r="F73" s="39"/>
      <c r="G73" s="40"/>
      <c r="H73" s="41">
        <v>1209.52</v>
      </c>
      <c r="I73" s="41">
        <f>SUMIFS(I:I,C:C,"Total")</f>
        <v>100</v>
      </c>
      <c r="J73" s="42"/>
    </row>
    <row r="76" spans="1:10" x14ac:dyDescent="0.25">
      <c r="C76" s="11" t="s">
        <v>95</v>
      </c>
    </row>
    <row r="77" spans="1:10" x14ac:dyDescent="0.25">
      <c r="C77" s="2" t="s">
        <v>96</v>
      </c>
    </row>
    <row r="78" spans="1:10" x14ac:dyDescent="0.25">
      <c r="C78" s="2" t="s">
        <v>97</v>
      </c>
    </row>
    <row r="79" spans="1:10" x14ac:dyDescent="0.25">
      <c r="C79" s="2" t="s">
        <v>98</v>
      </c>
    </row>
    <row r="80" spans="1:10" x14ac:dyDescent="0.25">
      <c r="C80" s="2" t="s">
        <v>99</v>
      </c>
    </row>
    <row r="81" spans="3:5" x14ac:dyDescent="0.25">
      <c r="C81" s="2" t="s">
        <v>100</v>
      </c>
    </row>
    <row r="82" spans="3:5" x14ac:dyDescent="0.25">
      <c r="C82" s="2" t="s">
        <v>101</v>
      </c>
    </row>
    <row r="83" spans="3:5" x14ac:dyDescent="0.25">
      <c r="D83" s="2" t="s">
        <v>102</v>
      </c>
    </row>
    <row r="84" spans="3:5" x14ac:dyDescent="0.25">
      <c r="C84" s="2" t="s">
        <v>103</v>
      </c>
      <c r="D84" s="2" t="s">
        <v>104</v>
      </c>
      <c r="E84" s="2" t="s">
        <v>104</v>
      </c>
    </row>
    <row r="85" spans="3:5" x14ac:dyDescent="0.25">
      <c r="D85" s="2" t="s">
        <v>105</v>
      </c>
      <c r="E85" s="2" t="s">
        <v>106</v>
      </c>
    </row>
    <row r="86" spans="3:5" x14ac:dyDescent="0.25">
      <c r="C86" s="2" t="s">
        <v>107</v>
      </c>
      <c r="D86" s="2">
        <v>47.11</v>
      </c>
      <c r="E86" s="2">
        <v>48.31</v>
      </c>
    </row>
    <row r="87" spans="3:5" x14ac:dyDescent="0.25">
      <c r="C87" s="2" t="s">
        <v>108</v>
      </c>
      <c r="D87" s="2">
        <v>52.63</v>
      </c>
      <c r="E87" s="2">
        <v>53.96</v>
      </c>
    </row>
    <row r="88" spans="3:5" x14ac:dyDescent="0.25">
      <c r="C88" s="2" t="s">
        <v>109</v>
      </c>
      <c r="D88" s="2">
        <v>58.03</v>
      </c>
      <c r="E88" s="2">
        <v>59.54</v>
      </c>
    </row>
    <row r="89" spans="3:5" x14ac:dyDescent="0.25">
      <c r="C89" s="2" t="s">
        <v>110</v>
      </c>
      <c r="D89" s="2">
        <v>58.71</v>
      </c>
      <c r="E89" s="2">
        <v>60.24</v>
      </c>
    </row>
    <row r="91" spans="3:5" x14ac:dyDescent="0.25">
      <c r="C91" s="2" t="s">
        <v>111</v>
      </c>
    </row>
    <row r="92" spans="3:5" x14ac:dyDescent="0.25">
      <c r="C92" s="2" t="s">
        <v>112</v>
      </c>
    </row>
    <row r="93" spans="3:5" x14ac:dyDescent="0.25">
      <c r="C93" s="2" t="s">
        <v>113</v>
      </c>
    </row>
    <row r="94" spans="3:5" x14ac:dyDescent="0.25">
      <c r="C94" s="2" t="s">
        <v>114</v>
      </c>
    </row>
    <row r="95" spans="3:5" x14ac:dyDescent="0.25">
      <c r="C95" s="2" t="s">
        <v>115</v>
      </c>
    </row>
    <row r="96" spans="3:5" x14ac:dyDescent="0.25">
      <c r="C96" s="2" t="s">
        <v>116</v>
      </c>
    </row>
    <row r="97" spans="3:3" x14ac:dyDescent="0.25">
      <c r="C97" s="2" t="s">
        <v>117</v>
      </c>
    </row>
    <row r="98" spans="3:3" x14ac:dyDescent="0.25">
      <c r="C98" s="2" t="s">
        <v>118</v>
      </c>
    </row>
    <row r="99" spans="3:3" x14ac:dyDescent="0.25">
      <c r="C99" s="2" t="s">
        <v>119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4106-8BC7-475D-9494-C3116E409814}">
  <dimension ref="C3:K17"/>
  <sheetViews>
    <sheetView workbookViewId="0"/>
  </sheetViews>
  <sheetFormatPr defaultRowHeight="15" x14ac:dyDescent="0.25"/>
  <cols>
    <col min="3" max="3" width="43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120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121</v>
      </c>
      <c r="D4" s="46" t="s">
        <v>122</v>
      </c>
      <c r="E4" s="46"/>
      <c r="F4" s="46" t="s">
        <v>123</v>
      </c>
      <c r="G4" s="46"/>
      <c r="H4" s="46" t="s">
        <v>124</v>
      </c>
      <c r="I4" s="46"/>
      <c r="J4" s="47" t="s">
        <v>125</v>
      </c>
      <c r="K4" s="47"/>
    </row>
    <row r="5" spans="3:11" ht="63.75" x14ac:dyDescent="0.25">
      <c r="C5" s="48"/>
      <c r="D5" s="49" t="s">
        <v>126</v>
      </c>
      <c r="E5" s="49" t="s">
        <v>127</v>
      </c>
      <c r="F5" s="49" t="s">
        <v>126</v>
      </c>
      <c r="G5" s="49" t="s">
        <v>127</v>
      </c>
      <c r="H5" s="49" t="s">
        <v>126</v>
      </c>
      <c r="I5" s="49" t="s">
        <v>127</v>
      </c>
      <c r="J5" s="50" t="s">
        <v>126</v>
      </c>
      <c r="K5" s="50" t="s">
        <v>127</v>
      </c>
    </row>
    <row r="6" spans="3:11" x14ac:dyDescent="0.25">
      <c r="C6" s="51" t="s">
        <v>128</v>
      </c>
      <c r="D6" s="52">
        <v>13.239599999999999</v>
      </c>
      <c r="E6" s="52">
        <v>11323.961393201847</v>
      </c>
      <c r="F6" s="52">
        <v>18.2559</v>
      </c>
      <c r="G6" s="52">
        <v>16545.064377682404</v>
      </c>
      <c r="H6" s="52">
        <v>22.566400000000002</v>
      </c>
      <c r="I6" s="52">
        <v>27691.123653155464</v>
      </c>
      <c r="J6" s="52">
        <v>13.8123</v>
      </c>
      <c r="K6" s="52">
        <v>53970</v>
      </c>
    </row>
    <row r="7" spans="3:11" x14ac:dyDescent="0.25">
      <c r="C7" s="51" t="s">
        <v>129</v>
      </c>
      <c r="D7" s="52">
        <v>14.301644</v>
      </c>
      <c r="E7" s="52">
        <v>11741.779999999999</v>
      </c>
      <c r="F7" s="52">
        <v>16.037624000000001</v>
      </c>
      <c r="G7" s="52">
        <v>15574.108019611072</v>
      </c>
      <c r="H7" s="52">
        <v>24.064112000000002</v>
      </c>
      <c r="I7" s="52">
        <v>27959.15405806026</v>
      </c>
      <c r="J7" s="52">
        <v>15.550083000000001</v>
      </c>
      <c r="K7" s="52">
        <v>66589.830749624816</v>
      </c>
    </row>
    <row r="8" spans="3:11" x14ac:dyDescent="0.25">
      <c r="C8" s="51" t="s">
        <v>130</v>
      </c>
      <c r="D8" s="52">
        <v>11.395300000000001</v>
      </c>
      <c r="E8" s="52">
        <v>11139.529999999999</v>
      </c>
      <c r="F8" s="52">
        <v>15.4278</v>
      </c>
      <c r="G8" s="52">
        <v>15379.111827226925</v>
      </c>
      <c r="H8" s="52">
        <v>22.29</v>
      </c>
      <c r="I8" s="52">
        <v>27349.835905743235</v>
      </c>
      <c r="J8" s="52">
        <v>14.7216</v>
      </c>
      <c r="K8" s="52">
        <v>59866.665130860514</v>
      </c>
    </row>
    <row r="9" spans="3:11" x14ac:dyDescent="0.25">
      <c r="C9" s="51" t="s">
        <v>131</v>
      </c>
      <c r="D9" s="53">
        <v>47.66</v>
      </c>
      <c r="E9" s="54"/>
      <c r="F9" s="53">
        <v>32.619999999999997</v>
      </c>
      <c r="G9" s="54"/>
      <c r="H9" s="53">
        <v>19.489999999999998</v>
      </c>
      <c r="I9" s="54"/>
      <c r="J9" s="53">
        <v>10</v>
      </c>
      <c r="K9" s="54"/>
    </row>
    <row r="11" spans="3:11" ht="15.75" x14ac:dyDescent="0.25">
      <c r="C11" s="43" t="s">
        <v>132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121</v>
      </c>
      <c r="D12" s="46" t="s">
        <v>122</v>
      </c>
      <c r="E12" s="46"/>
      <c r="F12" s="46" t="s">
        <v>123</v>
      </c>
      <c r="G12" s="46"/>
      <c r="H12" s="46" t="s">
        <v>124</v>
      </c>
      <c r="I12" s="46"/>
      <c r="J12" s="47" t="s">
        <v>125</v>
      </c>
      <c r="K12" s="47"/>
    </row>
    <row r="13" spans="3:11" ht="63.75" x14ac:dyDescent="0.25">
      <c r="C13" s="48"/>
      <c r="D13" s="49" t="s">
        <v>126</v>
      </c>
      <c r="E13" s="49" t="s">
        <v>127</v>
      </c>
      <c r="F13" s="49" t="s">
        <v>126</v>
      </c>
      <c r="G13" s="49" t="s">
        <v>127</v>
      </c>
      <c r="H13" s="49" t="s">
        <v>126</v>
      </c>
      <c r="I13" s="49" t="s">
        <v>127</v>
      </c>
      <c r="J13" s="50" t="s">
        <v>126</v>
      </c>
      <c r="K13" s="50" t="s">
        <v>127</v>
      </c>
    </row>
    <row r="14" spans="3:11" x14ac:dyDescent="0.25">
      <c r="C14" s="51" t="s">
        <v>128</v>
      </c>
      <c r="D14" s="52">
        <v>14.0693</v>
      </c>
      <c r="E14" s="52">
        <v>11406.930505586064</v>
      </c>
      <c r="F14" s="52">
        <v>19.156099999999999</v>
      </c>
      <c r="G14" s="52">
        <v>16926.102837875809</v>
      </c>
      <c r="H14" s="52">
        <v>23.515799999999999</v>
      </c>
      <c r="I14" s="52">
        <v>28781.653129479218</v>
      </c>
      <c r="J14" s="52">
        <v>12.5617</v>
      </c>
      <c r="K14" s="52">
        <v>44131.868131868134</v>
      </c>
    </row>
    <row r="15" spans="3:11" x14ac:dyDescent="0.25">
      <c r="C15" s="51" t="s">
        <v>129</v>
      </c>
      <c r="D15" s="52">
        <v>14.301644</v>
      </c>
      <c r="E15" s="52">
        <v>11741.779999999999</v>
      </c>
      <c r="F15" s="52">
        <v>16.037624000000001</v>
      </c>
      <c r="G15" s="52">
        <v>15574.108019611072</v>
      </c>
      <c r="H15" s="52">
        <v>24.064112000000002</v>
      </c>
      <c r="I15" s="52">
        <v>27959.15405806026</v>
      </c>
      <c r="J15" s="52">
        <v>13.299737</v>
      </c>
      <c r="K15" s="52">
        <v>47606.092287816296</v>
      </c>
    </row>
    <row r="16" spans="3:11" x14ac:dyDescent="0.25">
      <c r="C16" s="51" t="s">
        <v>130</v>
      </c>
      <c r="D16" s="52">
        <v>11.395300000000001</v>
      </c>
      <c r="E16" s="52">
        <v>11139.529999999999</v>
      </c>
      <c r="F16" s="52">
        <v>15.4278</v>
      </c>
      <c r="G16" s="52">
        <v>15379.111827226925</v>
      </c>
      <c r="H16" s="52">
        <v>22.29</v>
      </c>
      <c r="I16" s="52">
        <v>27349.835905743235</v>
      </c>
      <c r="J16" s="52">
        <v>13.4444</v>
      </c>
      <c r="K16" s="52">
        <v>47853.128653986911</v>
      </c>
    </row>
    <row r="17" spans="3:11" x14ac:dyDescent="0.25">
      <c r="C17" s="51" t="s">
        <v>133</v>
      </c>
      <c r="D17" s="53">
        <v>52.81</v>
      </c>
      <c r="E17" s="54"/>
      <c r="F17" s="53">
        <v>35.590000000000003</v>
      </c>
      <c r="G17" s="54"/>
      <c r="H17" s="53">
        <v>20.93</v>
      </c>
      <c r="I17" s="54"/>
      <c r="J17" s="53">
        <v>13.65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2025-06-05T08:07:12Z</dcterms:created>
  <dcterms:modified xsi:type="dcterms:W3CDTF">2025-06-06T05:57:37Z</dcterms:modified>
</cp:coreProperties>
</file>