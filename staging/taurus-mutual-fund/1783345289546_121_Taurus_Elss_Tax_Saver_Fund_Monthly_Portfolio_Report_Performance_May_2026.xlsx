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monthlyportfoliolinksmay2026\"/>
    </mc:Choice>
  </mc:AlternateContent>
  <xr:revisionPtr revIDLastSave="0" documentId="13_ncr:1_{3F47394F-EDF9-4715-BE1C-2CF00B370F82}" xr6:coauthVersionLast="47" xr6:coauthVersionMax="47" xr10:uidLastSave="{00000000-0000-0000-0000-000000000000}"/>
  <bookViews>
    <workbookView xWindow="-108" yWindow="-108" windowWidth="23256" windowHeight="12456" xr2:uid="{76FC94CC-45B6-40FE-BDF6-5C2FE7F5185D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TTS!$C$8:$C$37</definedName>
    <definedName name="XDO_?FINAL_ISIN?16?">TTS!$D$10:$D$37</definedName>
    <definedName name="XDO_?FINAL_ISIN?17?">TTS!$D$10:$D$81</definedName>
    <definedName name="XDO_?FINAL_MV?16?">TTS!$H$10:$H$37</definedName>
    <definedName name="XDO_?FINAL_MV?17?">TTS!$H$10:$H$81</definedName>
    <definedName name="XDO_?FINAL_NAME?16?">TTS!$C$10:$C$37</definedName>
    <definedName name="XDO_?FINAL_NAME?17?">TTS!$C$10:$C$81</definedName>
    <definedName name="XDO_?FINAL_PER_NET?16?">TTS!$I$10:$I$37</definedName>
    <definedName name="XDO_?FINAL_PER_NET?17?">TTS!$I$10:$I$81</definedName>
    <definedName name="XDO_?FINAL_QUANTITE?16?">TTS!$G$10:$G$37</definedName>
    <definedName name="XDO_?FINAL_QUANTITE?17?">TTS!$G$10:$G$81</definedName>
    <definedName name="XDO_?IND_01?16?">TTS!$F$10:$F$37</definedName>
    <definedName name="XDO_?IND_01?17?">TTS!$F$10:$F$81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TTS!$B$10:$B$37</definedName>
    <definedName name="XDO_?NOVAL?17?">TTS!$B$10:$B$81</definedName>
    <definedName name="XDO_?NPTF?7?">TTS!$D$2:$D$37</definedName>
    <definedName name="XDO_?RATING?16?">TTS!$E$10:$E$37</definedName>
    <definedName name="XDO_?RATING?17?">TTS!$E$10:$E$81</definedName>
    <definedName name="XDO_?REMARKS?16?">TTS!$J$10:$J$37</definedName>
    <definedName name="XDO_?REMARKS?17?">TTS!$J$10:$J$81</definedName>
    <definedName name="XDO_?TITL?7?">TTS!$A$8:$A$37</definedName>
    <definedName name="XDO_GROUP_?G_2?7?">TTS!$2:$84</definedName>
    <definedName name="XDO_GROUP_?G_3?7?">TTS!$8:$83</definedName>
    <definedName name="XDO_GROUP_?G_4?16?">TTS!$B$10:$IV$37</definedName>
    <definedName name="XDO_GROUP_?G_4?17?">TTS!$B$81:$IV$81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4" i="1" l="1"/>
</calcChain>
</file>

<file path=xl/sharedStrings.xml><?xml version="1.0" encoding="utf-8"?>
<sst xmlns="http://schemas.openxmlformats.org/spreadsheetml/2006/main" count="254" uniqueCount="183">
  <si>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</si>
  <si>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</si>
  <si>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</si>
  <si>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</si>
  <si>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</si>
  <si>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</si>
  <si>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</si>
  <si>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</si>
  <si>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</si>
  <si>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</si>
  <si>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</si>
  <si>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</si>
  <si>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</si>
  <si>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</si>
  <si>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</si>
  <si>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</si>
  <si>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</si>
  <si>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</si>
  <si>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</si>
  <si>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</si>
  <si>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</si>
  <si>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</si>
  <si>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</si>
  <si>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</si>
  <si>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</si>
  <si>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</si>
  <si>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</si>
  <si>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</si>
  <si>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</si>
  <si>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</si>
  <si>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102663</t>
  </si>
  <si>
    <t>Pace Digitek Ltd.</t>
  </si>
  <si>
    <t>INE0S3G01027</t>
  </si>
  <si>
    <t>Telecom - Services</t>
  </si>
  <si>
    <t>100182</t>
  </si>
  <si>
    <t>Power Grid Corporation of India Ltd.</t>
  </si>
  <si>
    <t>INE752E01010</t>
  </si>
  <si>
    <t>Power</t>
  </si>
  <si>
    <t>100155</t>
  </si>
  <si>
    <t>Divi's Laboratories Ltd.</t>
  </si>
  <si>
    <t>INE361B01024</t>
  </si>
  <si>
    <t>Pharmaceuticals &amp; Biotechnology</t>
  </si>
  <si>
    <t>100694</t>
  </si>
  <si>
    <t>Indian Energy Exchange Ltd.</t>
  </si>
  <si>
    <t>INE022Q01020</t>
  </si>
  <si>
    <t>Capital Markets</t>
  </si>
  <si>
    <t>100097</t>
  </si>
  <si>
    <t>Coal India Ltd.</t>
  </si>
  <si>
    <t>INE522F01014</t>
  </si>
  <si>
    <t>Consumable Fuels</t>
  </si>
  <si>
    <t>100002</t>
  </si>
  <si>
    <t>Reliance Industries Ltd.</t>
  </si>
  <si>
    <t>INE002A01018</t>
  </si>
  <si>
    <t>Petroleum Products</t>
  </si>
  <si>
    <t>102729</t>
  </si>
  <si>
    <t>Park Medi World Ltd.</t>
  </si>
  <si>
    <t>INE119201023</t>
  </si>
  <si>
    <t>Healthcare Services</t>
  </si>
  <si>
    <t>100474</t>
  </si>
  <si>
    <t>Narayana Hrudayalaya Ltd.</t>
  </si>
  <si>
    <t>INE410P01011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</si>
  <si>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</si>
  <si>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</si>
  <si>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</si>
  <si>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</si>
  <si>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</si>
  <si>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</si>
  <si>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</si>
  <si>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</si>
  <si>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</si>
  <si>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</si>
  <si>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IT - Software</t>
  </si>
  <si>
    <t>101184</t>
  </si>
  <si>
    <t>Mazagon Dock Shipbuilders Ltd.</t>
  </si>
  <si>
    <t>INE249Z01020</t>
  </si>
  <si>
    <t>Industrial Manufacturing</t>
  </si>
  <si>
    <t>100095</t>
  </si>
  <si>
    <t>Bharti Airtel Ltd.</t>
  </si>
  <si>
    <t>INE397D01024</t>
  </si>
  <si>
    <t>102823</t>
  </si>
  <si>
    <t>Insolation Energy Ltd.</t>
  </si>
  <si>
    <t>INE0LGX01024</t>
  </si>
  <si>
    <t>Electrical Equipment</t>
  </si>
  <si>
    <t>100037</t>
  </si>
  <si>
    <t>HCL Technologies Ltd.</t>
  </si>
  <si>
    <t>INE860A01027</t>
  </si>
  <si>
    <t>100177</t>
  </si>
  <si>
    <t>Grasim Industries Ltd.</t>
  </si>
  <si>
    <t>INE047A01021</t>
  </si>
  <si>
    <t>Cement &amp; Cement Products</t>
  </si>
  <si>
    <t>101313</t>
  </si>
  <si>
    <t>Eternal Ltd.</t>
  </si>
  <si>
    <t>INE758T01015</t>
  </si>
  <si>
    <t>Retailing</t>
  </si>
  <si>
    <t>101550</t>
  </si>
  <si>
    <t>Life Insurance Corporation of India</t>
  </si>
  <si>
    <t>INE0J1Y01017</t>
  </si>
  <si>
    <t>Insurance</t>
  </si>
  <si>
    <t>102677</t>
  </si>
  <si>
    <t>LG Electronics India Ltd.</t>
  </si>
  <si>
    <t>INE324D01010</t>
  </si>
  <si>
    <t>Consumer Durables</t>
  </si>
  <si>
    <t>102206</t>
  </si>
  <si>
    <t>Chemtech Industrial Valves Ltd.</t>
  </si>
  <si>
    <t>INE212P01011</t>
  </si>
  <si>
    <t>100133</t>
  </si>
  <si>
    <t>Oracle Financial Services Software Ltd.</t>
  </si>
  <si>
    <t>INE881D01027</t>
  </si>
  <si>
    <t>100916</t>
  </si>
  <si>
    <t>Indiamart Intermesh Ltd.</t>
  </si>
  <si>
    <t>INE933S01016</t>
  </si>
  <si>
    <t>100253</t>
  </si>
  <si>
    <t>Amara Raja Energy &amp; Mobility Ltd.</t>
  </si>
  <si>
    <t>INE885A01032</t>
  </si>
  <si>
    <t>Auto Components</t>
  </si>
  <si>
    <t>102094</t>
  </si>
  <si>
    <t>HBL Engineering Ltd.</t>
  </si>
  <si>
    <t>INE292B01021</t>
  </si>
  <si>
    <t>Industrial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</si>
  <si>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</si>
  <si>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</si>
  <si>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</si>
  <si>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</si>
  <si>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</si>
  <si>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</si>
  <si>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</si>
  <si>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</si>
  <si>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</si>
  <si>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</si>
  <si>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</si>
  <si>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</si>
  <si>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</si>
  <si>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</si>
  <si>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</si>
  <si>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</si>
  <si>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</si>
  <si>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</si>
  <si>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</si>
  <si>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</si>
  <si>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</si>
  <si>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</si>
  <si>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</si>
  <si>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</si>
  <si>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</si>
  <si>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</si>
  <si>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</si>
  <si>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</si>
  <si>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</si>
  <si>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</si>
  <si>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</si>
  <si>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</si>
  <si>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</si>
  <si>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</si>
  <si>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</si>
  <si>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</si>
  <si>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</si>
  <si>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</si>
  <si>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</si>
  <si>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</si>
  <si>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 May 31, 2026.</t>
  </si>
  <si>
    <t>8. Total outstanding exposure in derivative instruments as on May 31, 2026 is Nil</t>
  </si>
  <si>
    <t>9. Total investments in Foreign Securities /ADRs/GDRs /Overseas ETFs as on May 31, 2026 and its percentage to NAV is Nil.</t>
  </si>
  <si>
    <t>10. During the period, the portfolio turnover ratio is 0.72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</si>
  <si>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</si>
  <si>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</si>
  <si>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 May 31, 2026.</t>
  </si>
  <si>
    <t>13. There are Nil instances of deviation from the valuation principles/guidelines during the month ended as on May 31st, 2026.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</si>
  <si>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</si>
  <si>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</si>
  <si>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</si>
  <si>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</si>
  <si>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</si>
  <si>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</si>
  <si>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</si>
  <si>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</si>
  <si>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</si>
  <si>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</si>
  <si>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</si>
  <si>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</si>
  <si>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</si>
  <si>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May 29,2026 :174.29)</t>
  </si>
  <si>
    <t>Taurus Elss Tax Saver Fund - Direct Plan Growth Option</t>
  </si>
  <si>
    <t>NAV [Rs.] Per Unit (as on May 29,2026 :191.02)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</si>
</sst>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AF185926-192F-4289-82DD-03AA42DA2399}"/>
    <cellStyle name="Hyperlink" xfId="2" builtinId="8"/>
    <cellStyle name="Normal" xfId="0" builtinId="0"/>
    <cellStyle name="Normal 2" xfId="4" xr:uid="{F3DC489A-E9A0-41AF-B1E5-497F65506079}"/>
    <cellStyle name="Style 1" xfId="3" xr:uid="{E569CAB8-9B00-47E4-8EF3-62C5FCFCCF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1068916</xdr:colOff>
      <xdr:row>0</xdr:row>
      <xdr:rowOff>1979083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E90818-0121-45E6-B1D3-B43BEA72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821083" cy="1979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https://taurusasset.sharepoint.com/sites/GURGAON-FILESERVER/Shared%20Documents/Fund%20Ops/Audit/All%20Audit/Operations/MIS%20Reports/FY2026-27/3.%20JUNE%202026/MONTHLY%20PORTFOLIO%20FINAL/Ops/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6ED1-4C4B-491F-A688-A73C252C8736}">
  <dimension ref="A1:BB110"/>
  <sheetViews>
    <sheetView showGridLines="0" tabSelected="1" zoomScale="90" zoomScaleNormal="90" workbookViewId="0">
      <selection activeCell="D4" sqref="D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8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46173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190569</v>
      </c>
      <c r="H10" s="32">
        <v>546.92999999999995</v>
      </c>
      <c r="I10" s="32">
        <v>7.81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69220</v>
      </c>
      <c r="H11" s="32">
        <v>515.52</v>
      </c>
      <c r="I11" s="32">
        <v>7.36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4555</v>
      </c>
      <c r="H12" s="32">
        <v>471.29</v>
      </c>
      <c r="I12" s="32">
        <v>6.73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36470</v>
      </c>
      <c r="H13" s="32">
        <v>458.06</v>
      </c>
      <c r="I13" s="32">
        <v>6.54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222716</v>
      </c>
      <c r="H14" s="32">
        <v>423.05</v>
      </c>
      <c r="I14" s="32">
        <v>6.04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144894</v>
      </c>
      <c r="H15" s="32">
        <v>419.83</v>
      </c>
      <c r="I15" s="32">
        <v>5.99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6224</v>
      </c>
      <c r="H16" s="32">
        <v>414.53</v>
      </c>
      <c r="I16" s="32">
        <v>5.92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319635</v>
      </c>
      <c r="H17" s="32">
        <v>409.61</v>
      </c>
      <c r="I17" s="32">
        <v>5.85</v>
      </c>
      <c r="J17" s="33"/>
    </row>
    <row r="18" spans="2:10" x14ac:dyDescent="0.3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70025</v>
      </c>
      <c r="H18" s="32">
        <v>320.43</v>
      </c>
      <c r="I18" s="32">
        <v>4.57</v>
      </c>
      <c r="J18" s="33"/>
    </row>
    <row r="19" spans="2:10" x14ac:dyDescent="0.3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22574</v>
      </c>
      <c r="H19" s="32">
        <v>298.10000000000002</v>
      </c>
      <c r="I19" s="32">
        <v>4.25</v>
      </c>
      <c r="J19" s="33"/>
    </row>
    <row r="20" spans="2:10" x14ac:dyDescent="0.3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85144</v>
      </c>
      <c r="H20" s="32">
        <v>245.51</v>
      </c>
      <c r="I20" s="32">
        <v>3.5</v>
      </c>
      <c r="J20" s="33"/>
    </row>
    <row r="21" spans="2:10" x14ac:dyDescent="0.3">
      <c r="B21" s="1" t="s">
        <v>58</v>
      </c>
      <c r="C21" s="20" t="s">
        <v>59</v>
      </c>
      <c r="D21" s="29" t="s">
        <v>60</v>
      </c>
      <c r="E21" s="30"/>
      <c r="F21" s="30" t="s">
        <v>57</v>
      </c>
      <c r="G21" s="31">
        <v>12165</v>
      </c>
      <c r="H21" s="32">
        <v>231.01</v>
      </c>
      <c r="I21" s="32">
        <v>3.3</v>
      </c>
      <c r="J21" s="33"/>
    </row>
    <row r="22" spans="2:10" x14ac:dyDescent="0.3">
      <c r="B22" s="1" t="s">
        <v>61</v>
      </c>
      <c r="C22" s="20" t="s">
        <v>62</v>
      </c>
      <c r="D22" s="29" t="s">
        <v>63</v>
      </c>
      <c r="E22" s="30"/>
      <c r="F22" s="30" t="s">
        <v>22</v>
      </c>
      <c r="G22" s="31">
        <v>17408</v>
      </c>
      <c r="H22" s="32">
        <v>224.2</v>
      </c>
      <c r="I22" s="32">
        <v>3.2</v>
      </c>
      <c r="J22" s="33"/>
    </row>
    <row r="23" spans="2:10" x14ac:dyDescent="0.3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7337</v>
      </c>
      <c r="H23" s="32">
        <v>222.66</v>
      </c>
      <c r="I23" s="32">
        <v>3.18</v>
      </c>
      <c r="J23" s="33"/>
    </row>
    <row r="24" spans="2:10" x14ac:dyDescent="0.3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15941</v>
      </c>
      <c r="H24" s="32">
        <v>184.88</v>
      </c>
      <c r="I24" s="32">
        <v>2.64</v>
      </c>
      <c r="J24" s="33"/>
    </row>
    <row r="25" spans="2:10" x14ac:dyDescent="0.3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6727</v>
      </c>
      <c r="H25" s="32">
        <v>165.3</v>
      </c>
      <c r="I25" s="32">
        <v>2.36</v>
      </c>
      <c r="J25" s="33"/>
    </row>
    <row r="26" spans="2:10" x14ac:dyDescent="0.3">
      <c r="B26" s="1" t="s">
        <v>76</v>
      </c>
      <c r="C26" s="20" t="s">
        <v>77</v>
      </c>
      <c r="D26" s="29" t="s">
        <v>78</v>
      </c>
      <c r="E26" s="30"/>
      <c r="F26" s="30" t="s">
        <v>33</v>
      </c>
      <c r="G26" s="31">
        <v>8882</v>
      </c>
      <c r="H26" s="32">
        <v>162.51</v>
      </c>
      <c r="I26" s="32">
        <v>2.3199999999999998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115118</v>
      </c>
      <c r="H27" s="32">
        <v>145.16</v>
      </c>
      <c r="I27" s="32">
        <v>2.0699999999999998</v>
      </c>
      <c r="J27" s="33"/>
    </row>
    <row r="28" spans="2:10" x14ac:dyDescent="0.3">
      <c r="B28" s="1" t="s">
        <v>83</v>
      </c>
      <c r="C28" s="20" t="s">
        <v>84</v>
      </c>
      <c r="D28" s="29" t="s">
        <v>85</v>
      </c>
      <c r="E28" s="30"/>
      <c r="F28" s="30" t="s">
        <v>71</v>
      </c>
      <c r="G28" s="31">
        <v>11775</v>
      </c>
      <c r="H28" s="32">
        <v>139.46</v>
      </c>
      <c r="I28" s="32">
        <v>1.99</v>
      </c>
      <c r="J28" s="33"/>
    </row>
    <row r="29" spans="2:10" x14ac:dyDescent="0.3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3981</v>
      </c>
      <c r="H29" s="32">
        <v>124.22</v>
      </c>
      <c r="I29" s="32">
        <v>1.77</v>
      </c>
      <c r="J29" s="33"/>
    </row>
    <row r="30" spans="2:10" x14ac:dyDescent="0.3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36000</v>
      </c>
      <c r="H30" s="32">
        <v>90.32</v>
      </c>
      <c r="I30" s="32">
        <v>1.29</v>
      </c>
      <c r="J30" s="33"/>
    </row>
    <row r="31" spans="2:10" x14ac:dyDescent="0.3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16000</v>
      </c>
      <c r="H31" s="32">
        <v>65.83</v>
      </c>
      <c r="I31" s="32">
        <v>0.94</v>
      </c>
      <c r="J31" s="33"/>
    </row>
    <row r="32" spans="2:10" x14ac:dyDescent="0.3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2950</v>
      </c>
      <c r="H32" s="32">
        <v>44.96</v>
      </c>
      <c r="I32" s="32">
        <v>0.64</v>
      </c>
      <c r="J32" s="33"/>
    </row>
    <row r="33" spans="2:10" x14ac:dyDescent="0.3">
      <c r="B33" s="1" t="s">
        <v>102</v>
      </c>
      <c r="C33" s="20" t="s">
        <v>103</v>
      </c>
      <c r="D33" s="29" t="s">
        <v>104</v>
      </c>
      <c r="E33" s="30"/>
      <c r="F33" s="30" t="s">
        <v>75</v>
      </c>
      <c r="G33" s="31">
        <v>50000</v>
      </c>
      <c r="H33" s="32">
        <v>41.98</v>
      </c>
      <c r="I33" s="32">
        <v>0.6</v>
      </c>
      <c r="J33" s="33"/>
    </row>
    <row r="34" spans="2:10" x14ac:dyDescent="0.3">
      <c r="B34" s="1" t="s">
        <v>105</v>
      </c>
      <c r="C34" s="20" t="s">
        <v>106</v>
      </c>
      <c r="D34" s="29" t="s">
        <v>107</v>
      </c>
      <c r="E34" s="30"/>
      <c r="F34" s="30" t="s">
        <v>71</v>
      </c>
      <c r="G34" s="31">
        <v>345</v>
      </c>
      <c r="H34" s="32">
        <v>34.369999999999997</v>
      </c>
      <c r="I34" s="32">
        <v>0.49</v>
      </c>
      <c r="J34" s="33"/>
    </row>
    <row r="35" spans="2:10" x14ac:dyDescent="0.3">
      <c r="B35" s="1" t="s">
        <v>108</v>
      </c>
      <c r="C35" s="20" t="s">
        <v>109</v>
      </c>
      <c r="D35" s="29" t="s">
        <v>110</v>
      </c>
      <c r="E35" s="30"/>
      <c r="F35" s="30" t="s">
        <v>93</v>
      </c>
      <c r="G35" s="31">
        <v>1682</v>
      </c>
      <c r="H35" s="32">
        <v>33.68</v>
      </c>
      <c r="I35" s="32">
        <v>0.48</v>
      </c>
      <c r="J35" s="33"/>
    </row>
    <row r="36" spans="2:10" x14ac:dyDescent="0.3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2500</v>
      </c>
      <c r="H36" s="32">
        <v>22.16</v>
      </c>
      <c r="I36" s="32">
        <v>0.32</v>
      </c>
      <c r="J36" s="33"/>
    </row>
    <row r="37" spans="2:10" x14ac:dyDescent="0.3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503</v>
      </c>
      <c r="H37" s="32">
        <v>4.1399999999999997</v>
      </c>
      <c r="I37" s="32">
        <v>0.06</v>
      </c>
      <c r="J37" s="33"/>
    </row>
    <row r="38" spans="2:10" x14ac:dyDescent="0.3">
      <c r="C38" s="28" t="s">
        <v>119</v>
      </c>
      <c r="D38" s="29"/>
      <c r="E38" s="30"/>
      <c r="F38" s="30"/>
      <c r="G38" s="31"/>
      <c r="H38" s="35">
        <v>6459.7</v>
      </c>
      <c r="I38" s="35">
        <v>92.21</v>
      </c>
      <c r="J38" s="33"/>
    </row>
    <row r="39" spans="2:10" x14ac:dyDescent="0.3">
      <c r="C39" s="20"/>
      <c r="D39" s="29"/>
      <c r="E39" s="30"/>
      <c r="F39" s="30"/>
      <c r="G39" s="31"/>
      <c r="H39" s="32"/>
      <c r="I39" s="32"/>
      <c r="J39" s="33"/>
    </row>
    <row r="40" spans="2:10" x14ac:dyDescent="0.3">
      <c r="C40" s="28" t="s">
        <v>120</v>
      </c>
      <c r="D40" s="29"/>
      <c r="E40" s="30"/>
      <c r="F40" s="30"/>
      <c r="G40" s="31"/>
      <c r="H40" s="32" t="s">
        <v>121</v>
      </c>
      <c r="I40" s="32" t="s">
        <v>121</v>
      </c>
      <c r="J40" s="33"/>
    </row>
    <row r="41" spans="2:10" x14ac:dyDescent="0.3">
      <c r="C41" s="20"/>
      <c r="D41" s="29"/>
      <c r="E41" s="30"/>
      <c r="F41" s="30"/>
      <c r="G41" s="31"/>
      <c r="H41" s="32"/>
      <c r="I41" s="32"/>
      <c r="J41" s="33"/>
    </row>
    <row r="42" spans="2:10" x14ac:dyDescent="0.3">
      <c r="C42" s="28" t="s">
        <v>122</v>
      </c>
      <c r="D42" s="29"/>
      <c r="E42" s="30"/>
      <c r="F42" s="30"/>
      <c r="G42" s="31"/>
      <c r="H42" s="32" t="s">
        <v>121</v>
      </c>
      <c r="I42" s="32" t="s">
        <v>121</v>
      </c>
      <c r="J42" s="33"/>
    </row>
    <row r="43" spans="2:10" x14ac:dyDescent="0.3">
      <c r="C43" s="20"/>
      <c r="D43" s="29"/>
      <c r="E43" s="30"/>
      <c r="F43" s="30"/>
      <c r="G43" s="31"/>
      <c r="H43" s="32"/>
      <c r="I43" s="32"/>
      <c r="J43" s="33"/>
    </row>
    <row r="44" spans="2:10" x14ac:dyDescent="0.3">
      <c r="C44" s="28" t="s">
        <v>123</v>
      </c>
      <c r="D44" s="29"/>
      <c r="E44" s="30"/>
      <c r="F44" s="30"/>
      <c r="G44" s="31"/>
      <c r="H44" s="32"/>
      <c r="I44" s="32"/>
      <c r="J44" s="33"/>
    </row>
    <row r="45" spans="2:10" x14ac:dyDescent="0.3">
      <c r="C45" s="20"/>
      <c r="D45" s="29"/>
      <c r="E45" s="30"/>
      <c r="F45" s="30"/>
      <c r="G45" s="31"/>
      <c r="H45" s="32"/>
      <c r="I45" s="32"/>
      <c r="J45" s="33"/>
    </row>
    <row r="46" spans="2:10" x14ac:dyDescent="0.3">
      <c r="C46" s="28" t="s">
        <v>124</v>
      </c>
      <c r="D46" s="29"/>
      <c r="E46" s="30"/>
      <c r="F46" s="30"/>
      <c r="G46" s="31"/>
      <c r="H46" s="32" t="s">
        <v>121</v>
      </c>
      <c r="I46" s="32" t="s">
        <v>121</v>
      </c>
      <c r="J46" s="33"/>
    </row>
    <row r="47" spans="2:10" x14ac:dyDescent="0.3">
      <c r="C47" s="20"/>
      <c r="D47" s="29"/>
      <c r="E47" s="30"/>
      <c r="F47" s="30"/>
      <c r="G47" s="31"/>
      <c r="H47" s="32"/>
      <c r="I47" s="32"/>
      <c r="J47" s="33"/>
    </row>
    <row r="48" spans="2:10" x14ac:dyDescent="0.3">
      <c r="C48" s="28" t="s">
        <v>125</v>
      </c>
      <c r="D48" s="29"/>
      <c r="E48" s="30"/>
      <c r="F48" s="30"/>
      <c r="G48" s="31"/>
      <c r="H48" s="32" t="s">
        <v>121</v>
      </c>
      <c r="I48" s="32" t="s">
        <v>121</v>
      </c>
      <c r="J48" s="33"/>
    </row>
    <row r="49" spans="3:10" x14ac:dyDescent="0.3">
      <c r="C49" s="20"/>
      <c r="D49" s="29"/>
      <c r="E49" s="30"/>
      <c r="F49" s="30"/>
      <c r="G49" s="31"/>
      <c r="H49" s="32"/>
      <c r="I49" s="32"/>
      <c r="J49" s="33"/>
    </row>
    <row r="50" spans="3:10" x14ac:dyDescent="0.3">
      <c r="C50" s="28" t="s">
        <v>126</v>
      </c>
      <c r="D50" s="29"/>
      <c r="E50" s="30"/>
      <c r="F50" s="30"/>
      <c r="G50" s="31"/>
      <c r="H50" s="32" t="s">
        <v>121</v>
      </c>
      <c r="I50" s="32" t="s">
        <v>121</v>
      </c>
      <c r="J50" s="33"/>
    </row>
    <row r="51" spans="3:10" x14ac:dyDescent="0.3">
      <c r="C51" s="20"/>
      <c r="D51" s="29"/>
      <c r="E51" s="30"/>
      <c r="F51" s="30"/>
      <c r="G51" s="31"/>
      <c r="H51" s="32"/>
      <c r="I51" s="32"/>
      <c r="J51" s="33"/>
    </row>
    <row r="52" spans="3:10" x14ac:dyDescent="0.3">
      <c r="C52" s="28" t="s">
        <v>127</v>
      </c>
      <c r="D52" s="29"/>
      <c r="E52" s="30"/>
      <c r="F52" s="30"/>
      <c r="G52" s="31"/>
      <c r="H52" s="32" t="s">
        <v>121</v>
      </c>
      <c r="I52" s="32" t="s">
        <v>121</v>
      </c>
      <c r="J52" s="33"/>
    </row>
    <row r="53" spans="3:10" x14ac:dyDescent="0.3">
      <c r="C53" s="20"/>
      <c r="D53" s="29"/>
      <c r="E53" s="30"/>
      <c r="F53" s="30"/>
      <c r="G53" s="31"/>
      <c r="H53" s="32"/>
      <c r="I53" s="32"/>
      <c r="J53" s="33"/>
    </row>
    <row r="54" spans="3:10" x14ac:dyDescent="0.3">
      <c r="C54" s="28" t="s">
        <v>128</v>
      </c>
      <c r="D54" s="29"/>
      <c r="E54" s="30"/>
      <c r="F54" s="30"/>
      <c r="G54" s="31"/>
      <c r="H54" s="32" t="s">
        <v>121</v>
      </c>
      <c r="I54" s="32" t="s">
        <v>121</v>
      </c>
      <c r="J54" s="33"/>
    </row>
    <row r="55" spans="3:10" x14ac:dyDescent="0.3">
      <c r="C55" s="20"/>
      <c r="D55" s="29"/>
      <c r="E55" s="30"/>
      <c r="F55" s="30"/>
      <c r="G55" s="31"/>
      <c r="H55" s="32"/>
      <c r="I55" s="32"/>
      <c r="J55" s="33"/>
    </row>
    <row r="56" spans="3:10" x14ac:dyDescent="0.3">
      <c r="C56" s="28" t="s">
        <v>129</v>
      </c>
      <c r="D56" s="29"/>
      <c r="E56" s="30"/>
      <c r="F56" s="30"/>
      <c r="G56" s="31"/>
      <c r="H56" s="32"/>
      <c r="I56" s="32"/>
      <c r="J56" s="33"/>
    </row>
    <row r="57" spans="3:10" x14ac:dyDescent="0.3">
      <c r="C57" s="20"/>
      <c r="D57" s="29"/>
      <c r="E57" s="30"/>
      <c r="F57" s="30"/>
      <c r="G57" s="31"/>
      <c r="H57" s="32"/>
      <c r="I57" s="32"/>
      <c r="J57" s="33"/>
    </row>
    <row r="58" spans="3:10" x14ac:dyDescent="0.3">
      <c r="C58" s="28" t="s">
        <v>130</v>
      </c>
      <c r="D58" s="29"/>
      <c r="E58" s="30"/>
      <c r="F58" s="30"/>
      <c r="G58" s="31"/>
      <c r="H58" s="32" t="s">
        <v>121</v>
      </c>
      <c r="I58" s="32" t="s">
        <v>121</v>
      </c>
      <c r="J58" s="33"/>
    </row>
    <row r="59" spans="3:10" x14ac:dyDescent="0.3">
      <c r="C59" s="20"/>
      <c r="D59" s="29"/>
      <c r="E59" s="30"/>
      <c r="F59" s="30"/>
      <c r="G59" s="31"/>
      <c r="H59" s="32"/>
      <c r="I59" s="32"/>
      <c r="J59" s="33"/>
    </row>
    <row r="60" spans="3:10" x14ac:dyDescent="0.3">
      <c r="C60" s="28" t="s">
        <v>131</v>
      </c>
      <c r="D60" s="29"/>
      <c r="E60" s="30"/>
      <c r="F60" s="30"/>
      <c r="G60" s="31"/>
      <c r="H60" s="32" t="s">
        <v>121</v>
      </c>
      <c r="I60" s="32" t="s">
        <v>121</v>
      </c>
      <c r="J60" s="33"/>
    </row>
    <row r="61" spans="3:10" x14ac:dyDescent="0.3">
      <c r="C61" s="20"/>
      <c r="D61" s="29"/>
      <c r="E61" s="30"/>
      <c r="F61" s="30"/>
      <c r="G61" s="31"/>
      <c r="H61" s="32"/>
      <c r="I61" s="32"/>
      <c r="J61" s="33"/>
    </row>
    <row r="62" spans="3:10" x14ac:dyDescent="0.3">
      <c r="C62" s="28" t="s">
        <v>132</v>
      </c>
      <c r="D62" s="29"/>
      <c r="E62" s="30"/>
      <c r="F62" s="30"/>
      <c r="G62" s="31"/>
      <c r="H62" s="32" t="s">
        <v>121</v>
      </c>
      <c r="I62" s="32" t="s">
        <v>121</v>
      </c>
      <c r="J62" s="33"/>
    </row>
    <row r="63" spans="3:10" x14ac:dyDescent="0.3">
      <c r="C63" s="20"/>
      <c r="D63" s="29"/>
      <c r="E63" s="30"/>
      <c r="F63" s="30"/>
      <c r="G63" s="31"/>
      <c r="H63" s="32"/>
      <c r="I63" s="32"/>
      <c r="J63" s="33"/>
    </row>
    <row r="64" spans="3:10" x14ac:dyDescent="0.3">
      <c r="C64" s="28" t="s">
        <v>133</v>
      </c>
      <c r="D64" s="29"/>
      <c r="E64" s="30"/>
      <c r="F64" s="30"/>
      <c r="G64" s="31"/>
      <c r="H64" s="32" t="s">
        <v>121</v>
      </c>
      <c r="I64" s="32" t="s">
        <v>121</v>
      </c>
      <c r="J64" s="33"/>
    </row>
    <row r="65" spans="1:10" x14ac:dyDescent="0.3">
      <c r="C65" s="20"/>
      <c r="D65" s="29"/>
      <c r="E65" s="30"/>
      <c r="F65" s="30"/>
      <c r="G65" s="31"/>
      <c r="H65" s="32"/>
      <c r="I65" s="32"/>
      <c r="J65" s="33"/>
    </row>
    <row r="66" spans="1:10" x14ac:dyDescent="0.3">
      <c r="C66" s="28" t="s">
        <v>134</v>
      </c>
      <c r="D66" s="29"/>
      <c r="E66" s="30"/>
      <c r="F66" s="30"/>
      <c r="G66" s="31"/>
      <c r="H66" s="32"/>
      <c r="I66" s="32"/>
      <c r="J66" s="33"/>
    </row>
    <row r="67" spans="1:10" x14ac:dyDescent="0.3">
      <c r="C67" s="20"/>
      <c r="D67" s="29"/>
      <c r="E67" s="30"/>
      <c r="F67" s="30"/>
      <c r="G67" s="31"/>
      <c r="H67" s="32"/>
      <c r="I67" s="32"/>
      <c r="J67" s="33"/>
    </row>
    <row r="68" spans="1:10" x14ac:dyDescent="0.3">
      <c r="C68" s="28" t="s">
        <v>135</v>
      </c>
      <c r="D68" s="29"/>
      <c r="E68" s="30"/>
      <c r="F68" s="30"/>
      <c r="G68" s="31"/>
      <c r="H68" s="32" t="s">
        <v>121</v>
      </c>
      <c r="I68" s="32" t="s">
        <v>121</v>
      </c>
      <c r="J68" s="33"/>
    </row>
    <row r="69" spans="1:10" x14ac:dyDescent="0.3">
      <c r="C69" s="20"/>
      <c r="D69" s="29"/>
      <c r="E69" s="30"/>
      <c r="F69" s="30"/>
      <c r="G69" s="31"/>
      <c r="H69" s="32"/>
      <c r="I69" s="32"/>
      <c r="J69" s="33"/>
    </row>
    <row r="70" spans="1:10" x14ac:dyDescent="0.3">
      <c r="C70" s="28" t="s">
        <v>136</v>
      </c>
      <c r="D70" s="29"/>
      <c r="E70" s="30"/>
      <c r="F70" s="30"/>
      <c r="G70" s="31"/>
      <c r="H70" s="32" t="s">
        <v>121</v>
      </c>
      <c r="I70" s="32" t="s">
        <v>121</v>
      </c>
      <c r="J70" s="33"/>
    </row>
    <row r="71" spans="1:10" x14ac:dyDescent="0.3">
      <c r="C71" s="20"/>
      <c r="D71" s="29"/>
      <c r="E71" s="30"/>
      <c r="F71" s="30"/>
      <c r="G71" s="31"/>
      <c r="H71" s="32"/>
      <c r="I71" s="32"/>
      <c r="J71" s="33"/>
    </row>
    <row r="72" spans="1:10" x14ac:dyDescent="0.3">
      <c r="C72" s="28" t="s">
        <v>137</v>
      </c>
      <c r="D72" s="29"/>
      <c r="E72" s="30"/>
      <c r="F72" s="30"/>
      <c r="G72" s="31"/>
      <c r="H72" s="32" t="s">
        <v>121</v>
      </c>
      <c r="I72" s="32" t="s">
        <v>121</v>
      </c>
      <c r="J72" s="33"/>
    </row>
    <row r="73" spans="1:10" x14ac:dyDescent="0.3">
      <c r="C73" s="20"/>
      <c r="D73" s="29"/>
      <c r="E73" s="30"/>
      <c r="F73" s="30"/>
      <c r="G73" s="31"/>
      <c r="H73" s="32"/>
      <c r="I73" s="32"/>
      <c r="J73" s="33"/>
    </row>
    <row r="74" spans="1:10" x14ac:dyDescent="0.3">
      <c r="C74" s="28" t="s">
        <v>138</v>
      </c>
      <c r="D74" s="29"/>
      <c r="E74" s="30"/>
      <c r="F74" s="30"/>
      <c r="G74" s="31"/>
      <c r="H74" s="32" t="s">
        <v>121</v>
      </c>
      <c r="I74" s="32" t="s">
        <v>121</v>
      </c>
      <c r="J74" s="33"/>
    </row>
    <row r="75" spans="1:10" x14ac:dyDescent="0.3">
      <c r="C75" s="20"/>
      <c r="D75" s="29"/>
      <c r="E75" s="30"/>
      <c r="F75" s="30"/>
      <c r="G75" s="31"/>
      <c r="H75" s="32"/>
      <c r="I75" s="32"/>
      <c r="J75" s="33"/>
    </row>
    <row r="76" spans="1:10" x14ac:dyDescent="0.3">
      <c r="C76" s="28" t="s">
        <v>139</v>
      </c>
      <c r="D76" s="29"/>
      <c r="E76" s="30"/>
      <c r="F76" s="30"/>
      <c r="G76" s="31"/>
      <c r="H76" s="32" t="s">
        <v>121</v>
      </c>
      <c r="I76" s="32" t="s">
        <v>121</v>
      </c>
      <c r="J76" s="33"/>
    </row>
    <row r="77" spans="1:10" x14ac:dyDescent="0.3">
      <c r="C77" s="20"/>
      <c r="D77" s="29"/>
      <c r="E77" s="30"/>
      <c r="F77" s="30"/>
      <c r="G77" s="31"/>
      <c r="H77" s="32"/>
      <c r="I77" s="32"/>
      <c r="J77" s="33"/>
    </row>
    <row r="78" spans="1:10" x14ac:dyDescent="0.3">
      <c r="C78" s="28" t="s">
        <v>140</v>
      </c>
      <c r="D78" s="29"/>
      <c r="E78" s="30"/>
      <c r="F78" s="30"/>
      <c r="G78" s="31"/>
      <c r="H78" s="32" t="s">
        <v>121</v>
      </c>
      <c r="I78" s="32" t="s">
        <v>121</v>
      </c>
      <c r="J78" s="33"/>
    </row>
    <row r="79" spans="1:10" x14ac:dyDescent="0.3">
      <c r="C79" s="20"/>
      <c r="D79" s="29"/>
      <c r="E79" s="30"/>
      <c r="F79" s="30"/>
      <c r="G79" s="31"/>
      <c r="H79" s="32"/>
      <c r="I79" s="32"/>
      <c r="J79" s="33"/>
    </row>
    <row r="80" spans="1:10" x14ac:dyDescent="0.3">
      <c r="A80" s="26"/>
      <c r="B80" s="27"/>
      <c r="C80" s="28" t="s">
        <v>141</v>
      </c>
      <c r="D80" s="29"/>
      <c r="E80" s="30"/>
      <c r="F80" s="30"/>
      <c r="G80" s="31"/>
      <c r="H80" s="32"/>
      <c r="I80" s="32"/>
      <c r="J80" s="33"/>
    </row>
    <row r="81" spans="2:10" x14ac:dyDescent="0.3">
      <c r="B81" s="1"/>
      <c r="C81" s="20" t="s">
        <v>142</v>
      </c>
      <c r="D81" s="29"/>
      <c r="E81" s="30"/>
      <c r="F81" s="30"/>
      <c r="G81" s="31"/>
      <c r="H81" s="32">
        <v>546.44000000000005</v>
      </c>
      <c r="I81" s="32">
        <v>7.79</v>
      </c>
      <c r="J81" s="33"/>
    </row>
    <row r="82" spans="2:10" x14ac:dyDescent="0.3">
      <c r="C82" s="28" t="s">
        <v>119</v>
      </c>
      <c r="D82" s="29"/>
      <c r="E82" s="30"/>
      <c r="F82" s="30"/>
      <c r="G82" s="31"/>
      <c r="H82" s="35">
        <v>546.44000000000005</v>
      </c>
      <c r="I82" s="35">
        <v>7.79</v>
      </c>
      <c r="J82" s="33"/>
    </row>
    <row r="83" spans="2:10" x14ac:dyDescent="0.3">
      <c r="C83" s="20"/>
      <c r="D83" s="29"/>
      <c r="E83" s="30"/>
      <c r="F83" s="30"/>
      <c r="G83" s="31"/>
      <c r="H83" s="32"/>
      <c r="I83" s="32"/>
      <c r="J83" s="33"/>
    </row>
    <row r="84" spans="2:10" ht="14.4" thickBot="1" x14ac:dyDescent="0.35">
      <c r="C84" s="36" t="s">
        <v>143</v>
      </c>
      <c r="D84" s="37"/>
      <c r="E84" s="38"/>
      <c r="F84" s="39"/>
      <c r="G84" s="40"/>
      <c r="H84" s="41">
        <v>7006.14</v>
      </c>
      <c r="I84" s="41">
        <f>SUMIFS(I:I,C:C,"Total")</f>
        <v>100</v>
      </c>
      <c r="J84" s="42"/>
    </row>
    <row r="87" spans="2:10" x14ac:dyDescent="0.3">
      <c r="C87" s="11" t="s">
        <v>144</v>
      </c>
    </row>
    <row r="88" spans="2:10" x14ac:dyDescent="0.3">
      <c r="C88" s="2" t="s">
        <v>145</v>
      </c>
    </row>
    <row r="89" spans="2:10" x14ac:dyDescent="0.3">
      <c r="C89" s="2" t="s">
        <v>146</v>
      </c>
    </row>
    <row r="90" spans="2:10" x14ac:dyDescent="0.3">
      <c r="C90" s="2" t="s">
        <v>147</v>
      </c>
    </row>
    <row r="91" spans="2:10" x14ac:dyDescent="0.3">
      <c r="C91" s="2" t="s">
        <v>148</v>
      </c>
    </row>
    <row r="92" spans="2:10" x14ac:dyDescent="0.3">
      <c r="C92" s="2" t="s">
        <v>149</v>
      </c>
    </row>
    <row r="93" spans="2:10" ht="14.4" thickBot="1" x14ac:dyDescent="0.35">
      <c r="C93" s="2" t="s">
        <v>150</v>
      </c>
    </row>
    <row r="94" spans="2:10" ht="14.4" thickBot="1" x14ac:dyDescent="0.35">
      <c r="C94" s="43"/>
      <c r="D94" s="59" t="s">
        <v>151</v>
      </c>
      <c r="E94" s="60"/>
    </row>
    <row r="95" spans="2:10" x14ac:dyDescent="0.3">
      <c r="C95" s="44" t="s">
        <v>152</v>
      </c>
      <c r="D95" s="45" t="s">
        <v>153</v>
      </c>
      <c r="E95" s="45" t="s">
        <v>153</v>
      </c>
    </row>
    <row r="96" spans="2:10" ht="14.4" thickBot="1" x14ac:dyDescent="0.35">
      <c r="C96" s="46"/>
      <c r="D96" s="47">
        <v>46142</v>
      </c>
      <c r="E96" s="47">
        <v>46173</v>
      </c>
    </row>
    <row r="97" spans="3:5" ht="14.4" thickBot="1" x14ac:dyDescent="0.35">
      <c r="C97" s="48" t="s">
        <v>154</v>
      </c>
      <c r="D97" s="49">
        <v>82.08</v>
      </c>
      <c r="E97" s="49">
        <v>81.64</v>
      </c>
    </row>
    <row r="98" spans="3:5" ht="14.4" thickBot="1" x14ac:dyDescent="0.35">
      <c r="C98" s="48" t="s">
        <v>155</v>
      </c>
      <c r="D98" s="49">
        <v>175.21</v>
      </c>
      <c r="E98" s="49">
        <v>174.27</v>
      </c>
    </row>
    <row r="99" spans="3:5" ht="14.4" thickBot="1" x14ac:dyDescent="0.35">
      <c r="C99" s="48" t="s">
        <v>156</v>
      </c>
      <c r="D99" s="49">
        <v>88.46</v>
      </c>
      <c r="E99" s="49">
        <v>88.03</v>
      </c>
    </row>
    <row r="100" spans="3:5" ht="14.4" thickBot="1" x14ac:dyDescent="0.35">
      <c r="C100" s="48" t="s">
        <v>157</v>
      </c>
      <c r="D100" s="49">
        <v>191.94</v>
      </c>
      <c r="E100" s="49">
        <v>191</v>
      </c>
    </row>
    <row r="102" spans="3:5" x14ac:dyDescent="0.3">
      <c r="C102" s="2" t="s">
        <v>158</v>
      </c>
    </row>
    <row r="103" spans="3:5" x14ac:dyDescent="0.3">
      <c r="C103" s="2" t="s">
        <v>159</v>
      </c>
    </row>
    <row r="104" spans="3:5" x14ac:dyDescent="0.3">
      <c r="C104" s="2" t="s">
        <v>160</v>
      </c>
    </row>
    <row r="105" spans="3:5" x14ac:dyDescent="0.3">
      <c r="C105" s="2" t="s">
        <v>161</v>
      </c>
    </row>
    <row r="106" spans="3:5" x14ac:dyDescent="0.3">
      <c r="C106" s="2" t="s">
        <v>162</v>
      </c>
    </row>
    <row r="107" spans="3:5" x14ac:dyDescent="0.3">
      <c r="C107" s="2" t="s">
        <v>163</v>
      </c>
    </row>
    <row r="108" spans="3:5" x14ac:dyDescent="0.3">
      <c r="C108" s="2" t="s">
        <v>164</v>
      </c>
    </row>
    <row r="109" spans="3:5" x14ac:dyDescent="0.3">
      <c r="C109" s="2" t="s">
        <v>165</v>
      </c>
    </row>
    <row r="110" spans="3:5" x14ac:dyDescent="0.3">
      <c r="C110" s="50" t="s">
        <v>166</v>
      </c>
    </row>
  </sheetData>
  <mergeCells count="1">
    <mergeCell ref="D94:E9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AD2D-A37F-4CC1-8575-1EC59F7A6BC3}">
  <dimension ref="C3:M17"/>
  <sheetViews>
    <sheetView workbookViewId="0">
      <selection activeCell="C7" sqref="C7"/>
    </sheetView>
  </sheetViews>
  <sheetFormatPr defaultRowHeight="14.4" x14ac:dyDescent="0.3"/>
  <cols>
    <col min="3" max="3" width="66.109375" bestFit="1" customWidth="1"/>
    <col min="4" max="4" width="7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2.5546875" bestFit="1" customWidth="1"/>
  </cols>
  <sheetData>
    <row r="3" spans="3:13" ht="15.6" x14ac:dyDescent="0.3">
      <c r="C3" s="51" t="s">
        <v>167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3">
      <c r="C4" s="53" t="s">
        <v>168</v>
      </c>
      <c r="D4" s="63" t="s">
        <v>169</v>
      </c>
      <c r="E4" s="63"/>
      <c r="F4" s="63" t="s">
        <v>170</v>
      </c>
      <c r="G4" s="63"/>
      <c r="H4" s="63" t="s">
        <v>171</v>
      </c>
      <c r="I4" s="63"/>
      <c r="J4" s="64" t="s">
        <v>172</v>
      </c>
      <c r="K4" s="65"/>
      <c r="L4" s="66" t="s">
        <v>173</v>
      </c>
      <c r="M4" s="66"/>
    </row>
    <row r="5" spans="3:13" ht="66" x14ac:dyDescent="0.3">
      <c r="C5" s="54"/>
      <c r="D5" s="55" t="s">
        <v>174</v>
      </c>
      <c r="E5" s="55" t="s">
        <v>175</v>
      </c>
      <c r="F5" s="55" t="s">
        <v>174</v>
      </c>
      <c r="G5" s="55" t="s">
        <v>175</v>
      </c>
      <c r="H5" s="55" t="s">
        <v>174</v>
      </c>
      <c r="I5" s="55" t="s">
        <v>175</v>
      </c>
      <c r="J5" s="55" t="s">
        <v>174</v>
      </c>
      <c r="K5" s="55" t="s">
        <v>175</v>
      </c>
      <c r="L5" s="56" t="s">
        <v>174</v>
      </c>
      <c r="M5" s="56" t="s">
        <v>175</v>
      </c>
    </row>
    <row r="6" spans="3:13" x14ac:dyDescent="0.3">
      <c r="C6" s="57" t="s">
        <v>176</v>
      </c>
      <c r="D6" s="58">
        <v>-4.9362000000000004</v>
      </c>
      <c r="E6" s="58">
        <v>9506.3815861241401</v>
      </c>
      <c r="F6" s="58">
        <v>11.590299999999999</v>
      </c>
      <c r="G6" s="58">
        <v>13899.832522529707</v>
      </c>
      <c r="H6" s="58">
        <v>11.266500000000001</v>
      </c>
      <c r="I6" s="58">
        <v>17063.833953397298</v>
      </c>
      <c r="J6" s="58">
        <v>12.561500000000001</v>
      </c>
      <c r="K6" s="58">
        <v>32693.678484336895</v>
      </c>
      <c r="L6" s="58">
        <v>11.465299999999999</v>
      </c>
      <c r="M6" s="58">
        <v>174290</v>
      </c>
    </row>
    <row r="7" spans="3:13" x14ac:dyDescent="0.3">
      <c r="C7" s="57" t="s">
        <v>177</v>
      </c>
      <c r="D7" s="58">
        <v>-0.35349999999999998</v>
      </c>
      <c r="E7" s="58">
        <v>9964.65</v>
      </c>
      <c r="F7" s="58">
        <v>13.4594</v>
      </c>
      <c r="G7" s="58">
        <v>14605.668781496561</v>
      </c>
      <c r="H7" s="58">
        <v>12.488300000000001</v>
      </c>
      <c r="I7" s="58">
        <v>18010.956087059225</v>
      </c>
      <c r="J7" s="58">
        <v>14.0494</v>
      </c>
      <c r="K7" s="58">
        <v>19295.899310629713</v>
      </c>
      <c r="L7" s="58" t="s">
        <v>178</v>
      </c>
      <c r="M7" s="58" t="s">
        <v>178</v>
      </c>
    </row>
    <row r="8" spans="3:13" x14ac:dyDescent="0.3">
      <c r="C8" s="57" t="s">
        <v>179</v>
      </c>
      <c r="D8" s="58">
        <v>-4.0838000000000001</v>
      </c>
      <c r="E8" s="58">
        <v>9591.619999999999</v>
      </c>
      <c r="F8" s="58">
        <v>9.4129000000000005</v>
      </c>
      <c r="G8" s="58">
        <v>13098.018141499084</v>
      </c>
      <c r="H8" s="58">
        <v>10.1014</v>
      </c>
      <c r="I8" s="58">
        <v>16179.466849099232</v>
      </c>
      <c r="J8" s="58">
        <v>12.550800000000001</v>
      </c>
      <c r="K8" s="58">
        <v>18061.047356176892</v>
      </c>
      <c r="L8" s="58">
        <v>12.6157</v>
      </c>
      <c r="M8" s="58">
        <v>360826.51160465839</v>
      </c>
    </row>
    <row r="9" spans="3:13" x14ac:dyDescent="0.3">
      <c r="C9" s="57" t="s">
        <v>180</v>
      </c>
      <c r="D9" s="61">
        <v>183.34</v>
      </c>
      <c r="E9" s="62"/>
      <c r="F9" s="61">
        <v>125.39</v>
      </c>
      <c r="G9" s="62"/>
      <c r="H9" s="61">
        <v>102.14</v>
      </c>
      <c r="I9" s="62"/>
      <c r="J9" s="61">
        <v>53.31</v>
      </c>
      <c r="K9" s="62"/>
      <c r="L9" s="61">
        <v>10</v>
      </c>
      <c r="M9" s="62"/>
    </row>
    <row r="11" spans="3:13" ht="15.6" x14ac:dyDescent="0.3">
      <c r="C11" s="51" t="s">
        <v>181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3">
      <c r="C12" s="53" t="s">
        <v>168</v>
      </c>
      <c r="D12" s="63" t="s">
        <v>169</v>
      </c>
      <c r="E12" s="63"/>
      <c r="F12" s="63" t="s">
        <v>170</v>
      </c>
      <c r="G12" s="63"/>
      <c r="H12" s="63" t="s">
        <v>171</v>
      </c>
      <c r="I12" s="63"/>
      <c r="J12" s="64" t="s">
        <v>172</v>
      </c>
      <c r="K12" s="65"/>
      <c r="L12" s="66" t="s">
        <v>173</v>
      </c>
      <c r="M12" s="66"/>
    </row>
    <row r="13" spans="3:13" ht="66" x14ac:dyDescent="0.3">
      <c r="C13" s="54"/>
      <c r="D13" s="55" t="s">
        <v>174</v>
      </c>
      <c r="E13" s="55" t="s">
        <v>175</v>
      </c>
      <c r="F13" s="55" t="s">
        <v>174</v>
      </c>
      <c r="G13" s="55" t="s">
        <v>175</v>
      </c>
      <c r="H13" s="55" t="s">
        <v>174</v>
      </c>
      <c r="I13" s="55" t="s">
        <v>175</v>
      </c>
      <c r="J13" s="55" t="s">
        <v>174</v>
      </c>
      <c r="K13" s="55" t="s">
        <v>175</v>
      </c>
      <c r="L13" s="56" t="s">
        <v>174</v>
      </c>
      <c r="M13" s="56" t="s">
        <v>175</v>
      </c>
    </row>
    <row r="14" spans="3:13" x14ac:dyDescent="0.3">
      <c r="C14" s="57" t="s">
        <v>176</v>
      </c>
      <c r="D14" s="58">
        <v>-4.3226000000000004</v>
      </c>
      <c r="E14" s="58">
        <v>9567.7435512146258</v>
      </c>
      <c r="F14" s="58">
        <v>12.2902</v>
      </c>
      <c r="G14" s="58">
        <v>14163.268332468302</v>
      </c>
      <c r="H14" s="58">
        <v>11.9964</v>
      </c>
      <c r="I14" s="58">
        <v>17631.530367362007</v>
      </c>
      <c r="J14" s="58">
        <v>13.303100000000001</v>
      </c>
      <c r="K14" s="58">
        <v>34915.006397367943</v>
      </c>
      <c r="L14" s="58">
        <v>12.568899999999999</v>
      </c>
      <c r="M14" s="58">
        <v>49371.930731455155</v>
      </c>
    </row>
    <row r="15" spans="3:13" x14ac:dyDescent="0.3">
      <c r="C15" s="57" t="s">
        <v>177</v>
      </c>
      <c r="D15" s="58">
        <v>-0.35349999999999998</v>
      </c>
      <c r="E15" s="58">
        <v>9964.65</v>
      </c>
      <c r="F15" s="58">
        <v>13.4594</v>
      </c>
      <c r="G15" s="58">
        <v>14605.668781496561</v>
      </c>
      <c r="H15" s="58">
        <v>12.488300000000001</v>
      </c>
      <c r="I15" s="58">
        <v>18010.956087059225</v>
      </c>
      <c r="J15" s="58">
        <v>14.0494</v>
      </c>
      <c r="K15" s="58">
        <v>19295.899310629713</v>
      </c>
      <c r="L15" s="58">
        <v>13.478199</v>
      </c>
      <c r="M15" s="58">
        <v>60246.685047962441</v>
      </c>
    </row>
    <row r="16" spans="3:13" x14ac:dyDescent="0.3">
      <c r="C16" s="57" t="s">
        <v>179</v>
      </c>
      <c r="D16" s="58">
        <v>-4.0838000000000001</v>
      </c>
      <c r="E16" s="58">
        <v>9591.619999999999</v>
      </c>
      <c r="F16" s="58">
        <v>9.4129000000000005</v>
      </c>
      <c r="G16" s="58">
        <v>13098.018141499084</v>
      </c>
      <c r="H16" s="58">
        <v>10.1014</v>
      </c>
      <c r="I16" s="58">
        <v>16179.466849099232</v>
      </c>
      <c r="J16" s="58">
        <v>12.550800000000001</v>
      </c>
      <c r="K16" s="58">
        <v>18061.047356176892</v>
      </c>
      <c r="L16" s="58">
        <v>12.077299999999999</v>
      </c>
      <c r="M16" s="58">
        <v>46140.182038940497</v>
      </c>
    </row>
    <row r="17" spans="3:13" x14ac:dyDescent="0.3">
      <c r="C17" s="57" t="s">
        <v>182</v>
      </c>
      <c r="D17" s="61">
        <v>199.65</v>
      </c>
      <c r="E17" s="62"/>
      <c r="F17" s="61">
        <v>134.87</v>
      </c>
      <c r="G17" s="62"/>
      <c r="H17" s="61">
        <v>108.34</v>
      </c>
      <c r="I17" s="62"/>
      <c r="J17" s="61">
        <v>54.71</v>
      </c>
      <c r="K17" s="62"/>
      <c r="L17" s="61">
        <v>38.69</v>
      </c>
      <c r="M17" s="6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C0580-29CD-4351-BCE8-880921144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5B16AA-C548-49C7-AB07-C79644A3CBDA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customXml/itemProps3.xml><?xml version="1.0" encoding="utf-8"?>
<ds:datastoreItem xmlns:ds="http://schemas.openxmlformats.org/officeDocument/2006/customXml" ds:itemID="{C38DEBC8-5B19-4D1C-9C9D-74AA3D1F9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XDO_?FINAL_ISIN?16?</vt:lpstr>
      <vt:lpstr>XDO_?FINAL_ISIN?17?</vt:lpstr>
      <vt:lpstr>XDO_?FINAL_MV?16?</vt:lpstr>
      <vt:lpstr>XDO_?FINAL_MV?17?</vt:lpstr>
      <vt:lpstr>XDO_?FINAL_NAME?16?</vt:lpstr>
      <vt:lpstr>XDO_?FINAL_NAME?17?</vt:lpstr>
      <vt:lpstr>XDO_?FINAL_PER_NET?16?</vt:lpstr>
      <vt:lpstr>XDO_?FINAL_PER_NET?17?</vt:lpstr>
      <vt:lpstr>XDO_?FINAL_QUANTITE?16?</vt:lpstr>
      <vt:lpstr>XDO_?FINAL_QUANTITE?17?</vt:lpstr>
      <vt:lpstr>XDO_?IND_01?16?</vt:lpstr>
      <vt:lpstr>XDO_?IND_01?17?</vt:lpstr>
      <vt:lpstr>XDO_?NAMCNAME?7?</vt:lpstr>
      <vt:lpstr>XDO_?NOVAL?16?</vt:lpstr>
      <vt:lpstr>XDO_?NOVAL?17?</vt:lpstr>
      <vt:lpstr>XDO_?NPTF?7?</vt:lpstr>
      <vt:lpstr>XDO_?RATING?16?</vt:lpstr>
      <vt:lpstr>XDO_?RATING?17?</vt:lpstr>
      <vt:lpstr>XDO_?REMARKS?16?</vt:lpstr>
      <vt:lpstr>XDO_?REMARKS?17?</vt:lpstr>
      <vt:lpstr>XDO_?TITL?7?</vt:lpstr>
      <vt:lpstr>XDO_GROUP_?G_2?7?</vt:lpstr>
      <vt:lpstr>XDO_GROUP_?G_3?7?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2026-06-04T14:36:59Z</dcterms:created>
  <dcterms:modified xsi:type="dcterms:W3CDTF">2026-06-08T09:55:35Z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