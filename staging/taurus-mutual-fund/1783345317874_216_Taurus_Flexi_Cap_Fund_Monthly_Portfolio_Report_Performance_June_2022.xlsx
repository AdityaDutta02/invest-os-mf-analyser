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Portfolio'!$C$8:$C$53</definedName>
    <definedName name="XDO_?FINAL_ISIN?11?">'TSS-Risk-O-Meter &amp; Portfolio'!$D$10:$D$53</definedName>
    <definedName name="XDO_?FINAL_ISIN?12?">'TSS-Risk-O-Meter &amp; Portfolio'!$D$10:$D$57</definedName>
    <definedName name="XDO_?FINAL_ISIN?13?">'TSS-Risk-O-Meter &amp; Portfolio'!$D$10:$D$97</definedName>
    <definedName name="XDO_?FINAL_MV?11?">'TSS-Risk-O-Meter &amp; Portfolio'!$H$10:$H$53</definedName>
    <definedName name="XDO_?FINAL_MV?12?">'TSS-Risk-O-Meter &amp; Portfolio'!$H$10:$H$57</definedName>
    <definedName name="XDO_?FINAL_MV?13?">'TSS-Risk-O-Meter &amp; Portfolio'!$H$10:$H$97</definedName>
    <definedName name="XDO_?FINAL_NAME?11?">'TSS-Risk-O-Meter &amp; Portfolio'!$C$10:$C$53</definedName>
    <definedName name="XDO_?FINAL_NAME?12?">'TSS-Risk-O-Meter &amp; Portfolio'!$C$10:$C$57</definedName>
    <definedName name="XDO_?FINAL_NAME?13?">'TSS-Risk-O-Meter &amp; Portfolio'!$C$10:$C$97</definedName>
    <definedName name="XDO_?FINAL_PER_NET?11?">'TSS-Risk-O-Meter &amp; Portfolio'!$I$10:$I$53</definedName>
    <definedName name="XDO_?FINAL_PER_NET?12?">'TSS-Risk-O-Meter &amp; Portfolio'!$I$10:$I$57</definedName>
    <definedName name="XDO_?FINAL_PER_NET?13?">'TSS-Risk-O-Meter &amp; Portfolio'!$I$10:$I$97</definedName>
    <definedName name="XDO_?FINAL_QUANTITE?11?">'TSS-Risk-O-Meter &amp; Portfolio'!$G$10:$G$53</definedName>
    <definedName name="XDO_?FINAL_QUANTITE?12?">'TSS-Risk-O-Meter &amp; Portfolio'!$G$10:$G$57</definedName>
    <definedName name="XDO_?FINAL_QUANTITE?13?">'TSS-Risk-O-Meter &amp; Portfolio'!$G$10:$G$97</definedName>
    <definedName name="XDO_?IND_01?11?">'TSS-Risk-O-Meter &amp; Portfolio'!$F$10:$F$53</definedName>
    <definedName name="XDO_?IND_01?12?">'TSS-Risk-O-Meter &amp; Portfolio'!$F$10:$F$57</definedName>
    <definedName name="XDO_?IND_01?13?">'TSS-Risk-O-Meter &amp; Portfolio'!$F$10:$F$97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Portfolio'!$B$10:$B$53</definedName>
    <definedName name="XDO_?NOVAL?12?">'TSS-Risk-O-Meter &amp; Portfolio'!$B$10:$B$57</definedName>
    <definedName name="XDO_?NOVAL?13?">'TSS-Risk-O-Meter &amp; Portfolio'!$B$10:$B$97</definedName>
    <definedName name="XDO_?NPTF?6?">'TSS-Risk-O-Meter &amp; Portfolio'!$D$2:$D$53</definedName>
    <definedName name="XDO_?RATING?11?">'TSS-Risk-O-Meter &amp; Portfolio'!$E$10:$E$53</definedName>
    <definedName name="XDO_?RATING?12?">'TSS-Risk-O-Meter &amp; Portfolio'!$E$10:$E$57</definedName>
    <definedName name="XDO_?RATING?13?">'TSS-Risk-O-Meter &amp; Portfolio'!$E$10:$E$97</definedName>
    <definedName name="XDO_?REMARKS?11?">'TSS-Risk-O-Meter &amp; Portfolio'!$J$10:$J$53</definedName>
    <definedName name="XDO_?REMARKS?12?">'TSS-Risk-O-Meter &amp; Portfolio'!$J$10:$J$57</definedName>
    <definedName name="XDO_?REMARKS?13?">'TSS-Risk-O-Meter &amp; Portfolio'!$J$10:$J$97</definedName>
    <definedName name="XDO_?TITL?6?">'TSS-Risk-O-Meter &amp; Portfolio'!$A$8:$A$53</definedName>
    <definedName name="XDO_GROUP_?G_2?6?">'TSS-Risk-O-Meter &amp; Portfolio'!$2:$100</definedName>
    <definedName name="XDO_GROUP_?G_3?6?">'TSS-Risk-O-Meter &amp; Portfolio'!$8:$99</definedName>
    <definedName name="XDO_GROUP_?G_4?11?">'TSS-Risk-O-Meter &amp; Portfolio'!$B$10:$IV$53</definedName>
    <definedName name="XDO_GROUP_?G_4?12?">'TSS-Risk-O-Meter &amp; Portfolio'!$B$57:$IV$57</definedName>
    <definedName name="XDO_GROUP_?G_4?13?">'TSS-Risk-O-Meter &amp; Portfolio'!$B$97:$IV$97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0" i="1" l="1"/>
</calcChain>
</file>

<file path=xl/sharedStrings.xml><?xml version="1.0" encoding="utf-8"?>
<sst xmlns="http://schemas.openxmlformats.org/spreadsheetml/2006/main" count="293" uniqueCount="219">
  <si>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</si>
  <si>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</si>
  <si>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</si>
  <si>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</si>
  <si>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</si>
  <si>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</si>
  <si>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</si>
  <si>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</si>
  <si>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</si>
  <si>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</si>
  <si>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</si>
  <si>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</si>
  <si>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</si>
  <si>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</si>
  <si>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</si>
  <si>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</si>
  <si>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</si>
  <si>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</si>
  <si>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</si>
  <si>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100115</t>
  </si>
  <si>
    <t>Siemens Ltd.</t>
  </si>
  <si>
    <t>INE003A01024</t>
  </si>
  <si>
    <t>Electrical Equipment</t>
  </si>
  <si>
    <t>100012</t>
  </si>
  <si>
    <t>ICICI Bank Ltd.</t>
  </si>
  <si>
    <t>INE090A01021</t>
  </si>
  <si>
    <t>Banks</t>
  </si>
  <si>
    <t>100001</t>
  </si>
  <si>
    <t>Housing Development Finance Corporation Ltd.</t>
  </si>
  <si>
    <t>INE001A01036</t>
  </si>
  <si>
    <t>Finance</t>
  </si>
  <si>
    <t>100095</t>
  </si>
  <si>
    <t>Bharti Airtel Ltd.</t>
  </si>
  <si>
    <t>INE397D01024</t>
  </si>
  <si>
    <t>Telecom - Services</t>
  </si>
  <si>
    <t>100273</t>
  </si>
  <si>
    <t>Havells India Ltd.</t>
  </si>
  <si>
    <t>INE176B01034</t>
  </si>
  <si>
    <t>Consumer Durables</t>
  </si>
  <si>
    <t>100314</t>
  </si>
  <si>
    <t>SRF Ltd.</t>
  </si>
  <si>
    <t>INE647A01010</t>
  </si>
  <si>
    <t>Chemicals &amp; Petrochemicals</t>
  </si>
  <si>
    <t>100418</t>
  </si>
  <si>
    <t>Adani Enterprises Ltd.</t>
  </si>
  <si>
    <t>INE423A01024</t>
  </si>
  <si>
    <t>Metals &amp; Minerals Trading</t>
  </si>
  <si>
    <t>100108</t>
  </si>
  <si>
    <t>Adani Ports and Special Economic Zone Ltd.</t>
  </si>
  <si>
    <t>INE742F01042</t>
  </si>
  <si>
    <t>Transport Infrastructure</t>
  </si>
  <si>
    <t>100008</t>
  </si>
  <si>
    <t>Sun Pharmaceutical Industries Ltd.</t>
  </si>
  <si>
    <t>INE044A01036</t>
  </si>
  <si>
    <t>Pharmaceuticals &amp; Biotechnology</t>
  </si>
  <si>
    <t>100302</t>
  </si>
  <si>
    <t>DLF Ltd.</t>
  </si>
  <si>
    <t>INE271C01023</t>
  </si>
  <si>
    <t>Realty</t>
  </si>
  <si>
    <t>100235</t>
  </si>
  <si>
    <t>CRISIL Ltd.</t>
  </si>
  <si>
    <t>INE007A01025</t>
  </si>
  <si>
    <t>100104</t>
  </si>
  <si>
    <t>Kotak Mahindra Bank Ltd.</t>
  </si>
  <si>
    <t>INE237A01028</t>
  </si>
  <si>
    <t>100374</t>
  </si>
  <si>
    <t>CESC Ltd.</t>
  </si>
  <si>
    <t>INE486A01021</t>
  </si>
  <si>
    <t>Power</t>
  </si>
  <si>
    <t>101412</t>
  </si>
  <si>
    <t>Punjab Chemicals &amp; Crop Protection Ltd.</t>
  </si>
  <si>
    <t>INE277B01014</t>
  </si>
  <si>
    <t>Fertilizers &amp; Agrochemicals</t>
  </si>
  <si>
    <t>100654</t>
  </si>
  <si>
    <t>Automotive Axles Ltd.</t>
  </si>
  <si>
    <t>INE449A01011</t>
  </si>
  <si>
    <t>Auto Components</t>
  </si>
  <si>
    <t>100139</t>
  </si>
  <si>
    <t>UPL Ltd.</t>
  </si>
  <si>
    <t>INE628A01036</t>
  </si>
  <si>
    <t>100315</t>
  </si>
  <si>
    <t>Prestige Estates Projects Ltd.</t>
  </si>
  <si>
    <t>INE811K01011</t>
  </si>
  <si>
    <t>100271</t>
  </si>
  <si>
    <t>Balkrishna Industries Ltd.</t>
  </si>
  <si>
    <t>INE787D01026</t>
  </si>
  <si>
    <t>100461</t>
  </si>
  <si>
    <t>Astral Limited</t>
  </si>
  <si>
    <t>INE006I01046</t>
  </si>
  <si>
    <t>Industrial Products</t>
  </si>
  <si>
    <t>100896</t>
  </si>
  <si>
    <t>Polycab India Ltd.</t>
  </si>
  <si>
    <t>INE455K01017</t>
  </si>
  <si>
    <t>100183</t>
  </si>
  <si>
    <t>Vedanta Ltd.</t>
  </si>
  <si>
    <t>INE205A01025</t>
  </si>
  <si>
    <t>Diversified Metals</t>
  </si>
  <si>
    <t>101348</t>
  </si>
  <si>
    <t>Ami Organics Ltd.</t>
  </si>
  <si>
    <t>INE00FF01017</t>
  </si>
  <si>
    <t>100180</t>
  </si>
  <si>
    <t>Hindalco Industries Ltd.</t>
  </si>
  <si>
    <t>INE038A01020</t>
  </si>
  <si>
    <t>Non - Ferrous Metals</t>
  </si>
  <si>
    <t>100335</t>
  </si>
  <si>
    <t>Kajaria Ceramics Ltd.</t>
  </si>
  <si>
    <t>INE217B01036</t>
  </si>
  <si>
    <t>100109</t>
  </si>
  <si>
    <t>Piramal Enterprises Ltd.</t>
  </si>
  <si>
    <t>INE140A01024</t>
  </si>
  <si>
    <t>100148</t>
  </si>
  <si>
    <t>Motilal Oswal Financial Services Ltd.</t>
  </si>
  <si>
    <t>INE338I01027</t>
  </si>
  <si>
    <t>Capital Markets</t>
  </si>
  <si>
    <t>100027</t>
  </si>
  <si>
    <t>Pidilite Industries Ltd.</t>
  </si>
  <si>
    <t>INE318A01026</t>
  </si>
  <si>
    <t>100372</t>
  </si>
  <si>
    <t>Apollo Tyres Ltd.</t>
  </si>
  <si>
    <t>INE438A01022</t>
  </si>
  <si>
    <t>100505</t>
  </si>
  <si>
    <t>ICICI Prudential Life Insurance Company Ltd.</t>
  </si>
  <si>
    <t>INE726G01019</t>
  </si>
  <si>
    <t>Insurance</t>
  </si>
  <si>
    <t>100571</t>
  </si>
  <si>
    <t>KNR Constructions Ltd.</t>
  </si>
  <si>
    <t>INE634I01029</t>
  </si>
  <si>
    <t>Construction</t>
  </si>
  <si>
    <t>100690</t>
  </si>
  <si>
    <t>IG Petrochemicals Ltd.</t>
  </si>
  <si>
    <t>INE204A01010</t>
  </si>
  <si>
    <t>100059</t>
  </si>
  <si>
    <t>Godrej Industries Ltd.</t>
  </si>
  <si>
    <t>INE233A01035</t>
  </si>
  <si>
    <t>Food Products</t>
  </si>
  <si>
    <t>101081</t>
  </si>
  <si>
    <t>Suven Pharmaceuticals Ltd.</t>
  </si>
  <si>
    <t>INE03QK01018</t>
  </si>
  <si>
    <t>100325</t>
  </si>
  <si>
    <t>Bajaj Holdings &amp; Investment Ltd.</t>
  </si>
  <si>
    <t>INE118A01012</t>
  </si>
  <si>
    <t>100255</t>
  </si>
  <si>
    <t>PNC Infratech Ltd.</t>
  </si>
  <si>
    <t>INE195J01029</t>
  </si>
  <si>
    <t>101415</t>
  </si>
  <si>
    <t>HINDUSTAN OIL EXPLORATION CO.LTD.</t>
  </si>
  <si>
    <t>INE345A01011</t>
  </si>
  <si>
    <t>Oil</t>
  </si>
  <si>
    <t>100282</t>
  </si>
  <si>
    <t>Blue Star Ltd.</t>
  </si>
  <si>
    <t>INE472A01039</t>
  </si>
  <si>
    <t>101521</t>
  </si>
  <si>
    <t>Lux Industries Ltd.</t>
  </si>
  <si>
    <t>INE150G01020</t>
  </si>
  <si>
    <t>Textiles &amp; Apparels</t>
  </si>
  <si>
    <t>100570</t>
  </si>
  <si>
    <t>K.P.R. Mill Ltd.</t>
  </si>
  <si>
    <t>INE930H01031</t>
  </si>
  <si>
    <t>100107</t>
  </si>
  <si>
    <t>Max Financial Services Ltd.</t>
  </si>
  <si>
    <t>INE180A01020</t>
  </si>
  <si>
    <t>100821</t>
  </si>
  <si>
    <t>TTK Prestige Ltd.</t>
  </si>
  <si>
    <t>INE690A01028</t>
  </si>
  <si>
    <t>100707</t>
  </si>
  <si>
    <t>Cera Sanitaryware Ltd.</t>
  </si>
  <si>
    <t>INE739E01017</t>
  </si>
  <si>
    <t>100553</t>
  </si>
  <si>
    <t>Kennametal India Ltd.</t>
  </si>
  <si>
    <t>INE717A01029</t>
  </si>
  <si>
    <t>Industrial Manufacturing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</si>
  <si>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</si>
  <si>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</si>
  <si>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</si>
  <si>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</si>
  <si>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</si>
  <si>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</si>
  <si>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</si>
  <si>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</si>
  <si>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</si>
  <si>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</si>
  <si>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</si>
  <si>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</si>
  <si>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</si>
  <si>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</si>
  <si>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</si>
  <si>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</si>
  <si>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</si>
  <si>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</si>
  <si>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</si>
  <si>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</si>
  <si>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</si>
  <si>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</si>
  <si>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</si>
  <si>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</si>
  <si>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</si>
  <si>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</si>
  <si>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</si>
  <si>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</si>
  <si>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</si>
  <si>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</si>
  <si>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</si>
  <si>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</si>
  <si>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</si>
  <si>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</si>
  <si>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</si>
  <si>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</si>
  <si>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</si>
  <si>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</si>
  <si>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</si>
  <si>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</si>
  <si>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</si>
  <si>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</si>
  <si>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</si>
  <si>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</si>
  <si>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June 30, 2022 : 131.58)</t>
  </si>
  <si>
    <t>Taurus Flexi Cap Fund - Direct Plan Growth Option</t>
  </si>
  <si>
    <t>NAV [Rs.] Per Unit (as on June 30, 2022 : 136.66)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</si>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</sst>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ne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6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378.6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44742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85816</v>
      </c>
      <c r="H10" s="32">
        <v>939.73</v>
      </c>
      <c r="I10" s="32">
        <v>4.24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36787</v>
      </c>
      <c r="H11" s="32">
        <v>882.89</v>
      </c>
      <c r="I11" s="32">
        <v>3.98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124669</v>
      </c>
      <c r="H12" s="32">
        <v>881.22</v>
      </c>
      <c r="I12" s="32">
        <v>3.97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40145</v>
      </c>
      <c r="H13" s="32">
        <v>868.56</v>
      </c>
      <c r="I13" s="32">
        <v>3.91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120881</v>
      </c>
      <c r="H14" s="32">
        <v>826.71</v>
      </c>
      <c r="I14" s="32">
        <v>3.73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74196</v>
      </c>
      <c r="H15" s="32">
        <v>815.93</v>
      </c>
      <c r="I15" s="32">
        <v>3.68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33378</v>
      </c>
      <c r="H16" s="32">
        <v>750.79</v>
      </c>
      <c r="I16" s="32">
        <v>3.38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34155</v>
      </c>
      <c r="H17" s="32">
        <v>747.94</v>
      </c>
      <c r="I17" s="32">
        <v>3.37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106959</v>
      </c>
      <c r="H18" s="32">
        <v>718.18</v>
      </c>
      <c r="I18" s="32">
        <v>3.24</v>
      </c>
      <c r="J18" s="33"/>
    </row>
    <row r="19" spans="2:10" x14ac:dyDescent="0.25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84734</v>
      </c>
      <c r="H19" s="32">
        <v>703.97</v>
      </c>
      <c r="I19" s="32">
        <v>3.17</v>
      </c>
      <c r="J19" s="33"/>
    </row>
    <row r="20" spans="2:10" x14ac:dyDescent="0.25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218039</v>
      </c>
      <c r="H20" s="32">
        <v>681.15</v>
      </c>
      <c r="I20" s="32">
        <v>3.07</v>
      </c>
      <c r="J20" s="33"/>
    </row>
    <row r="21" spans="2:10" x14ac:dyDescent="0.25">
      <c r="B21" s="1" t="s">
        <v>59</v>
      </c>
      <c r="C21" s="20" t="s">
        <v>60</v>
      </c>
      <c r="D21" s="29" t="s">
        <v>61</v>
      </c>
      <c r="E21" s="30"/>
      <c r="F21" s="30" t="s">
        <v>30</v>
      </c>
      <c r="G21" s="31">
        <v>20519</v>
      </c>
      <c r="H21" s="32">
        <v>674.74</v>
      </c>
      <c r="I21" s="32">
        <v>3.04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26</v>
      </c>
      <c r="G22" s="31">
        <v>39898</v>
      </c>
      <c r="H22" s="32">
        <v>662.63</v>
      </c>
      <c r="I22" s="32">
        <v>2.99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913655</v>
      </c>
      <c r="H23" s="32">
        <v>650.52</v>
      </c>
      <c r="I23" s="32">
        <v>2.93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54685</v>
      </c>
      <c r="H24" s="32">
        <v>643.86</v>
      </c>
      <c r="I24" s="32">
        <v>2.9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40087</v>
      </c>
      <c r="H25" s="32">
        <v>634.52</v>
      </c>
      <c r="I25" s="32">
        <v>2.86</v>
      </c>
      <c r="J25" s="33"/>
    </row>
    <row r="26" spans="2:10" x14ac:dyDescent="0.25">
      <c r="B26" s="1" t="s">
        <v>77</v>
      </c>
      <c r="C26" s="20" t="s">
        <v>78</v>
      </c>
      <c r="D26" s="29" t="s">
        <v>79</v>
      </c>
      <c r="E26" s="30"/>
      <c r="F26" s="30" t="s">
        <v>72</v>
      </c>
      <c r="G26" s="31">
        <v>98352</v>
      </c>
      <c r="H26" s="32">
        <v>621.54</v>
      </c>
      <c r="I26" s="32">
        <v>2.8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58</v>
      </c>
      <c r="G27" s="31">
        <v>149240</v>
      </c>
      <c r="H27" s="32">
        <v>576.89</v>
      </c>
      <c r="I27" s="32">
        <v>2.6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76</v>
      </c>
      <c r="G28" s="31">
        <v>25547</v>
      </c>
      <c r="H28" s="32">
        <v>550.75</v>
      </c>
      <c r="I28" s="32">
        <v>2.48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32400</v>
      </c>
      <c r="H29" s="32">
        <v>536.41</v>
      </c>
      <c r="I29" s="32">
        <v>2.42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89</v>
      </c>
      <c r="G30" s="31">
        <v>24300</v>
      </c>
      <c r="H30" s="32">
        <v>534.45000000000005</v>
      </c>
      <c r="I30" s="32">
        <v>2.41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232799</v>
      </c>
      <c r="H31" s="32">
        <v>519.03</v>
      </c>
      <c r="I31" s="32">
        <v>2.34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54</v>
      </c>
      <c r="G32" s="31">
        <v>57827</v>
      </c>
      <c r="H32" s="32">
        <v>506.94</v>
      </c>
      <c r="I32" s="32">
        <v>2.2799999999999998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147722</v>
      </c>
      <c r="H33" s="32">
        <v>500.48</v>
      </c>
      <c r="I33" s="32">
        <v>2.2599999999999998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38</v>
      </c>
      <c r="G34" s="31">
        <v>52383</v>
      </c>
      <c r="H34" s="32">
        <v>496.2</v>
      </c>
      <c r="I34" s="32">
        <v>2.2400000000000002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30</v>
      </c>
      <c r="G35" s="31">
        <v>29369</v>
      </c>
      <c r="H35" s="32">
        <v>487.14</v>
      </c>
      <c r="I35" s="32">
        <v>2.2000000000000002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62137</v>
      </c>
      <c r="H36" s="32">
        <v>476.19</v>
      </c>
      <c r="I36" s="32">
        <v>2.15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42</v>
      </c>
      <c r="G37" s="31">
        <v>22292</v>
      </c>
      <c r="H37" s="32">
        <v>465.95</v>
      </c>
      <c r="I37" s="32">
        <v>2.1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76</v>
      </c>
      <c r="G38" s="31">
        <v>229326</v>
      </c>
      <c r="H38" s="32">
        <v>424.48</v>
      </c>
      <c r="I38" s="32">
        <v>1.91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80378</v>
      </c>
      <c r="H39" s="32">
        <v>393.61</v>
      </c>
      <c r="I39" s="32">
        <v>1.77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140941</v>
      </c>
      <c r="H40" s="32">
        <v>327.97</v>
      </c>
      <c r="I40" s="32">
        <v>1.48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42</v>
      </c>
      <c r="G41" s="31">
        <v>48823</v>
      </c>
      <c r="H41" s="32">
        <v>291.33</v>
      </c>
      <c r="I41" s="32">
        <v>1.31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64203</v>
      </c>
      <c r="H42" s="32">
        <v>277.97000000000003</v>
      </c>
      <c r="I42" s="32">
        <v>1.25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54</v>
      </c>
      <c r="G43" s="31">
        <v>57385</v>
      </c>
      <c r="H43" s="32">
        <v>265.08999999999997</v>
      </c>
      <c r="I43" s="32">
        <v>1.19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30</v>
      </c>
      <c r="G44" s="31">
        <v>5258</v>
      </c>
      <c r="H44" s="32">
        <v>243.31</v>
      </c>
      <c r="I44" s="32">
        <v>1.1000000000000001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127</v>
      </c>
      <c r="G45" s="31">
        <v>99114</v>
      </c>
      <c r="H45" s="32">
        <v>240</v>
      </c>
      <c r="I45" s="32">
        <v>1.08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121423</v>
      </c>
      <c r="H46" s="32">
        <v>226.94</v>
      </c>
      <c r="I46" s="32">
        <v>1.02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38</v>
      </c>
      <c r="G47" s="31">
        <v>24853</v>
      </c>
      <c r="H47" s="32">
        <v>224.88</v>
      </c>
      <c r="I47" s="32">
        <v>1.01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12090</v>
      </c>
      <c r="H48" s="32">
        <v>212.23</v>
      </c>
      <c r="I48" s="32">
        <v>0.96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154</v>
      </c>
      <c r="G49" s="31">
        <v>37041</v>
      </c>
      <c r="H49" s="32">
        <v>190.91</v>
      </c>
      <c r="I49" s="32">
        <v>0.86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123</v>
      </c>
      <c r="G50" s="31">
        <v>17000</v>
      </c>
      <c r="H50" s="32">
        <v>133.1</v>
      </c>
      <c r="I50" s="32">
        <v>0.6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38</v>
      </c>
      <c r="G51" s="31">
        <v>14533</v>
      </c>
      <c r="H51" s="32">
        <v>120.83</v>
      </c>
      <c r="I51" s="32">
        <v>0.54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38</v>
      </c>
      <c r="G52" s="31">
        <v>2210</v>
      </c>
      <c r="H52" s="32">
        <v>91.54</v>
      </c>
      <c r="I52" s="32">
        <v>0.41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3989</v>
      </c>
      <c r="H53" s="32">
        <v>74.92</v>
      </c>
      <c r="I53" s="32">
        <v>0.34</v>
      </c>
      <c r="J53" s="33"/>
    </row>
    <row r="54" spans="2:10" x14ac:dyDescent="0.25">
      <c r="C54" s="28" t="s">
        <v>171</v>
      </c>
      <c r="D54" s="29"/>
      <c r="E54" s="30"/>
      <c r="F54" s="30"/>
      <c r="G54" s="31"/>
      <c r="H54" s="35">
        <v>22094.42</v>
      </c>
      <c r="I54" s="35">
        <v>99.57</v>
      </c>
      <c r="J54" s="33"/>
    </row>
    <row r="55" spans="2:10" x14ac:dyDescent="0.25">
      <c r="C55" s="20"/>
      <c r="D55" s="29"/>
      <c r="E55" s="30"/>
      <c r="F55" s="30"/>
      <c r="G55" s="31"/>
      <c r="H55" s="32"/>
      <c r="I55" s="32"/>
      <c r="J55" s="33"/>
    </row>
    <row r="56" spans="2:10" x14ac:dyDescent="0.25">
      <c r="C56" s="34" t="s">
        <v>172</v>
      </c>
      <c r="D56" s="29"/>
      <c r="E56" s="30"/>
      <c r="F56" s="30"/>
      <c r="G56" s="31"/>
      <c r="H56" s="32"/>
      <c r="I56" s="32"/>
      <c r="J56" s="33"/>
    </row>
    <row r="57" spans="2:10" x14ac:dyDescent="0.25">
      <c r="B57" s="1" t="s">
        <v>173</v>
      </c>
      <c r="C57" s="20" t="s">
        <v>174</v>
      </c>
      <c r="D57" s="29" t="s">
        <v>175</v>
      </c>
      <c r="E57" s="30"/>
      <c r="F57" s="30" t="s">
        <v>176</v>
      </c>
      <c r="G57" s="31">
        <v>189983</v>
      </c>
      <c r="H57" s="36">
        <v>0</v>
      </c>
      <c r="I57" s="32" t="s">
        <v>177</v>
      </c>
      <c r="J57" s="33"/>
    </row>
    <row r="58" spans="2:10" x14ac:dyDescent="0.25">
      <c r="C58" s="28" t="s">
        <v>171</v>
      </c>
      <c r="D58" s="29"/>
      <c r="E58" s="30"/>
      <c r="F58" s="30"/>
      <c r="G58" s="31"/>
      <c r="H58" s="37">
        <v>0</v>
      </c>
      <c r="I58" s="35" t="s">
        <v>177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178</v>
      </c>
      <c r="D60" s="29"/>
      <c r="E60" s="30"/>
      <c r="F60" s="30"/>
      <c r="G60" s="31"/>
      <c r="H60" s="32" t="s">
        <v>179</v>
      </c>
      <c r="I60" s="32" t="s">
        <v>179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180</v>
      </c>
      <c r="D62" s="29"/>
      <c r="E62" s="30"/>
      <c r="F62" s="30"/>
      <c r="G62" s="31"/>
      <c r="H62" s="32"/>
      <c r="I62" s="32"/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181</v>
      </c>
      <c r="D64" s="29"/>
      <c r="E64" s="30"/>
      <c r="F64" s="30"/>
      <c r="G64" s="31"/>
      <c r="H64" s="32" t="s">
        <v>179</v>
      </c>
      <c r="I64" s="32" t="s">
        <v>179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182</v>
      </c>
      <c r="D66" s="29"/>
      <c r="E66" s="30"/>
      <c r="F66" s="30"/>
      <c r="G66" s="31"/>
      <c r="H66" s="32" t="s">
        <v>179</v>
      </c>
      <c r="I66" s="32" t="s">
        <v>179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183</v>
      </c>
      <c r="D68" s="29"/>
      <c r="E68" s="30"/>
      <c r="F68" s="30"/>
      <c r="G68" s="31"/>
      <c r="H68" s="32" t="s">
        <v>179</v>
      </c>
      <c r="I68" s="32" t="s">
        <v>179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184</v>
      </c>
      <c r="D70" s="29"/>
      <c r="E70" s="30"/>
      <c r="F70" s="30"/>
      <c r="G70" s="31"/>
      <c r="H70" s="32" t="s">
        <v>179</v>
      </c>
      <c r="I70" s="32" t="s">
        <v>179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185</v>
      </c>
      <c r="D72" s="29"/>
      <c r="E72" s="30"/>
      <c r="F72" s="30"/>
      <c r="G72" s="31"/>
      <c r="H72" s="32" t="s">
        <v>179</v>
      </c>
      <c r="I72" s="32" t="s">
        <v>179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186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187</v>
      </c>
      <c r="D76" s="29"/>
      <c r="E76" s="30"/>
      <c r="F76" s="30"/>
      <c r="G76" s="31"/>
      <c r="H76" s="32" t="s">
        <v>179</v>
      </c>
      <c r="I76" s="32" t="s">
        <v>179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188</v>
      </c>
      <c r="D78" s="29"/>
      <c r="E78" s="30"/>
      <c r="F78" s="30"/>
      <c r="G78" s="31"/>
      <c r="H78" s="32" t="s">
        <v>179</v>
      </c>
      <c r="I78" s="32" t="s">
        <v>179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189</v>
      </c>
      <c r="D80" s="29"/>
      <c r="E80" s="30"/>
      <c r="F80" s="30"/>
      <c r="G80" s="31"/>
      <c r="H80" s="32" t="s">
        <v>179</v>
      </c>
      <c r="I80" s="32" t="s">
        <v>179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190</v>
      </c>
      <c r="D82" s="29"/>
      <c r="E82" s="30"/>
      <c r="F82" s="30"/>
      <c r="G82" s="31"/>
      <c r="H82" s="32" t="s">
        <v>179</v>
      </c>
      <c r="I82" s="32" t="s">
        <v>179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191</v>
      </c>
      <c r="D84" s="29"/>
      <c r="E84" s="30"/>
      <c r="F84" s="30"/>
      <c r="G84" s="31"/>
      <c r="H84" s="32"/>
      <c r="I84" s="32"/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192</v>
      </c>
      <c r="D86" s="29"/>
      <c r="E86" s="30"/>
      <c r="F86" s="30"/>
      <c r="G86" s="31"/>
      <c r="H86" s="32" t="s">
        <v>179</v>
      </c>
      <c r="I86" s="32" t="s">
        <v>179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193</v>
      </c>
      <c r="D88" s="29"/>
      <c r="E88" s="30"/>
      <c r="F88" s="30"/>
      <c r="G88" s="31"/>
      <c r="H88" s="32" t="s">
        <v>179</v>
      </c>
      <c r="I88" s="32" t="s">
        <v>179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194</v>
      </c>
      <c r="D90" s="29"/>
      <c r="E90" s="30"/>
      <c r="F90" s="30"/>
      <c r="G90" s="31"/>
      <c r="H90" s="32" t="s">
        <v>179</v>
      </c>
      <c r="I90" s="32" t="s">
        <v>179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195</v>
      </c>
      <c r="D92" s="29"/>
      <c r="E92" s="30"/>
      <c r="F92" s="30"/>
      <c r="G92" s="31"/>
      <c r="H92" s="32" t="s">
        <v>179</v>
      </c>
      <c r="I92" s="32" t="s">
        <v>179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C94" s="28" t="s">
        <v>196</v>
      </c>
      <c r="D94" s="29"/>
      <c r="E94" s="30"/>
      <c r="F94" s="30"/>
      <c r="G94" s="31"/>
      <c r="H94" s="32" t="s">
        <v>179</v>
      </c>
      <c r="I94" s="32" t="s">
        <v>179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x14ac:dyDescent="0.25">
      <c r="A96" s="26"/>
      <c r="B96" s="27"/>
      <c r="C96" s="28" t="s">
        <v>197</v>
      </c>
      <c r="D96" s="29"/>
      <c r="E96" s="30"/>
      <c r="F96" s="30"/>
      <c r="G96" s="31"/>
      <c r="H96" s="32"/>
      <c r="I96" s="32"/>
      <c r="J96" s="33"/>
    </row>
    <row r="97" spans="2:10" x14ac:dyDescent="0.25">
      <c r="B97" s="1"/>
      <c r="C97" s="20" t="s">
        <v>198</v>
      </c>
      <c r="D97" s="29"/>
      <c r="E97" s="30"/>
      <c r="F97" s="30"/>
      <c r="G97" s="31"/>
      <c r="H97" s="32">
        <v>94.91</v>
      </c>
      <c r="I97" s="32">
        <v>0.43</v>
      </c>
      <c r="J97" s="33"/>
    </row>
    <row r="98" spans="2:10" x14ac:dyDescent="0.25">
      <c r="C98" s="28" t="s">
        <v>171</v>
      </c>
      <c r="D98" s="29"/>
      <c r="E98" s="30"/>
      <c r="F98" s="30"/>
      <c r="G98" s="31"/>
      <c r="H98" s="35">
        <v>94.91</v>
      </c>
      <c r="I98" s="35">
        <v>0.43</v>
      </c>
      <c r="J98" s="33"/>
    </row>
    <row r="99" spans="2:10" x14ac:dyDescent="0.25">
      <c r="C99" s="20"/>
      <c r="D99" s="29"/>
      <c r="E99" s="30"/>
      <c r="F99" s="30"/>
      <c r="G99" s="31"/>
      <c r="H99" s="32"/>
      <c r="I99" s="32"/>
      <c r="J99" s="33"/>
    </row>
    <row r="100" spans="2:10" ht="14.25" thickBot="1" x14ac:dyDescent="0.3">
      <c r="C100" s="38" t="s">
        <v>199</v>
      </c>
      <c r="D100" s="39"/>
      <c r="E100" s="40"/>
      <c r="F100" s="41"/>
      <c r="G100" s="42"/>
      <c r="H100" s="43">
        <v>22189.33</v>
      </c>
      <c r="I100" s="43">
        <f>SUMIFS(I:I,C:C,"Total")</f>
        <v>100</v>
      </c>
      <c r="J100" s="44"/>
    </row>
    <row r="103" spans="2:10" x14ac:dyDescent="0.25">
      <c r="C103" s="11" t="s">
        <v>200</v>
      </c>
    </row>
    <row r="104" spans="2:10" x14ac:dyDescent="0.25">
      <c r="C104" s="2" t="s">
        <v>201</v>
      </c>
    </row>
    <row r="105" spans="2:10" x14ac:dyDescent="0.25">
      <c r="C105" s="2" t="s">
        <v>202</v>
      </c>
    </row>
    <row r="106" spans="2:10" x14ac:dyDescent="0.25">
      <c r="C106" s="2" t="s">
        <v>203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0"/>
  <sheetViews>
    <sheetView workbookViewId="0"/>
  </sheetViews>
  <sheetFormatPr defaultRowHeight="15" x14ac:dyDescent="0.25"/>
  <cols>
    <col min="1" max="1" width="44.71093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75" x14ac:dyDescent="0.25">
      <c r="A4" s="45" t="s">
        <v>204</v>
      </c>
      <c r="B4" s="46"/>
      <c r="C4" s="46"/>
      <c r="D4" s="46"/>
      <c r="E4" s="46"/>
      <c r="F4" s="46"/>
      <c r="G4" s="46"/>
      <c r="H4" s="46"/>
      <c r="I4" s="46"/>
    </row>
    <row r="5" spans="1:9" x14ac:dyDescent="0.25">
      <c r="A5" s="47" t="s">
        <v>205</v>
      </c>
      <c r="B5" s="52" t="s">
        <v>206</v>
      </c>
      <c r="C5" s="52"/>
      <c r="D5" s="52" t="s">
        <v>207</v>
      </c>
      <c r="E5" s="52"/>
      <c r="F5" s="52" t="s">
        <v>208</v>
      </c>
      <c r="G5" s="52"/>
      <c r="H5" s="52" t="s">
        <v>209</v>
      </c>
      <c r="I5" s="52"/>
    </row>
    <row r="6" spans="1:9" ht="63.75" x14ac:dyDescent="0.25">
      <c r="A6" s="48"/>
      <c r="B6" s="49" t="s">
        <v>210</v>
      </c>
      <c r="C6" s="49" t="s">
        <v>211</v>
      </c>
      <c r="D6" s="49" t="s">
        <v>210</v>
      </c>
      <c r="E6" s="49" t="s">
        <v>211</v>
      </c>
      <c r="F6" s="49" t="s">
        <v>210</v>
      </c>
      <c r="G6" s="49" t="s">
        <v>211</v>
      </c>
      <c r="H6" s="49" t="s">
        <v>210</v>
      </c>
      <c r="I6" s="49" t="s">
        <v>211</v>
      </c>
    </row>
    <row r="7" spans="1:9" x14ac:dyDescent="0.25">
      <c r="A7" s="50" t="s">
        <v>212</v>
      </c>
      <c r="B7" s="51">
        <v>-3.7665472098295738</v>
      </c>
      <c r="C7" s="51">
        <v>9623.3452790170431</v>
      </c>
      <c r="D7" s="51">
        <v>5.0148052860577774</v>
      </c>
      <c r="E7" s="51">
        <v>11585.806110768692</v>
      </c>
      <c r="F7" s="51">
        <v>4.3274906881138442</v>
      </c>
      <c r="G7" s="51">
        <v>12360.732738374825</v>
      </c>
      <c r="H7" s="51">
        <v>9.4850807119327243</v>
      </c>
      <c r="I7" s="51">
        <v>131580</v>
      </c>
    </row>
    <row r="8" spans="1:9" x14ac:dyDescent="0.25">
      <c r="A8" s="50" t="s">
        <v>213</v>
      </c>
      <c r="B8" s="51">
        <v>0.66226330261480726</v>
      </c>
      <c r="C8" s="51">
        <v>10066.226330261481</v>
      </c>
      <c r="D8" s="51">
        <v>13.136773913335652</v>
      </c>
      <c r="E8" s="51">
        <v>14481.427425648348</v>
      </c>
      <c r="F8" s="51">
        <v>11.483422574912328</v>
      </c>
      <c r="G8" s="51">
        <v>17220.726372083362</v>
      </c>
      <c r="H8" s="51">
        <v>0</v>
      </c>
      <c r="I8" s="51">
        <v>0</v>
      </c>
    </row>
    <row r="9" spans="1:9" x14ac:dyDescent="0.25">
      <c r="A9" s="50" t="s">
        <v>214</v>
      </c>
      <c r="B9" s="51">
        <v>1.662072435951667</v>
      </c>
      <c r="C9" s="51">
        <v>10166.207243595167</v>
      </c>
      <c r="D9" s="51">
        <v>11.545504890981984</v>
      </c>
      <c r="E9" s="51">
        <v>13878.93752284471</v>
      </c>
      <c r="F9" s="51">
        <v>12.030099818677375</v>
      </c>
      <c r="G9" s="51">
        <v>17647.110887766743</v>
      </c>
      <c r="H9" s="51">
        <v>10.46994781742101</v>
      </c>
      <c r="I9" s="51">
        <v>169696.94746152565</v>
      </c>
    </row>
    <row r="10" spans="1:9" x14ac:dyDescent="0.25">
      <c r="A10" s="50" t="s">
        <v>215</v>
      </c>
      <c r="B10" s="53">
        <v>136.72999999999999</v>
      </c>
      <c r="C10" s="54"/>
      <c r="D10" s="53">
        <v>113.57</v>
      </c>
      <c r="E10" s="54"/>
      <c r="F10" s="53">
        <v>106.45</v>
      </c>
      <c r="G10" s="54"/>
      <c r="H10" s="53">
        <v>10</v>
      </c>
      <c r="I10" s="54"/>
    </row>
    <row r="12" spans="1:9" ht="15.75" x14ac:dyDescent="0.25">
      <c r="A12" s="45" t="s">
        <v>216</v>
      </c>
      <c r="B12" s="46"/>
      <c r="C12" s="46"/>
      <c r="D12" s="46"/>
      <c r="E12" s="46"/>
      <c r="F12" s="46"/>
      <c r="G12" s="46"/>
      <c r="H12" s="46"/>
      <c r="I12" s="46"/>
    </row>
    <row r="13" spans="1:9" x14ac:dyDescent="0.25">
      <c r="A13" s="47" t="s">
        <v>205</v>
      </c>
      <c r="B13" s="52" t="s">
        <v>206</v>
      </c>
      <c r="C13" s="52"/>
      <c r="D13" s="52" t="s">
        <v>207</v>
      </c>
      <c r="E13" s="52"/>
      <c r="F13" s="52" t="s">
        <v>208</v>
      </c>
      <c r="G13" s="52"/>
      <c r="H13" s="52" t="s">
        <v>209</v>
      </c>
      <c r="I13" s="52"/>
    </row>
    <row r="14" spans="1:9" ht="63.75" x14ac:dyDescent="0.25">
      <c r="A14" s="48"/>
      <c r="B14" s="49" t="s">
        <v>210</v>
      </c>
      <c r="C14" s="49" t="s">
        <v>211</v>
      </c>
      <c r="D14" s="49" t="s">
        <v>210</v>
      </c>
      <c r="E14" s="49" t="s">
        <v>211</v>
      </c>
      <c r="F14" s="49" t="s">
        <v>210</v>
      </c>
      <c r="G14" s="49" t="s">
        <v>211</v>
      </c>
      <c r="H14" s="49" t="s">
        <v>210</v>
      </c>
      <c r="I14" s="49" t="s">
        <v>211</v>
      </c>
    </row>
    <row r="15" spans="1:9" x14ac:dyDescent="0.25">
      <c r="A15" s="50" t="s">
        <v>212</v>
      </c>
      <c r="B15" s="51">
        <v>-3.7266643184219794</v>
      </c>
      <c r="C15" s="51">
        <v>9627.3335681578028</v>
      </c>
      <c r="D15" s="51">
        <v>5.0991921784233174</v>
      </c>
      <c r="E15" s="51">
        <v>11613.835302116087</v>
      </c>
      <c r="F15" s="51">
        <v>4.4352992651083056</v>
      </c>
      <c r="G15" s="51">
        <v>12424.765887807982</v>
      </c>
      <c r="H15" s="51">
        <v>8.310576506045674</v>
      </c>
      <c r="I15" s="51">
        <v>21346.454233052173</v>
      </c>
    </row>
    <row r="16" spans="1:9" x14ac:dyDescent="0.25">
      <c r="A16" s="50" t="s">
        <v>213</v>
      </c>
      <c r="B16" s="51">
        <v>0.66226330261480726</v>
      </c>
      <c r="C16" s="51">
        <v>10066.226330261481</v>
      </c>
      <c r="D16" s="51">
        <v>13.136773913335652</v>
      </c>
      <c r="E16" s="51">
        <v>14481.427425648348</v>
      </c>
      <c r="F16" s="51">
        <v>11.483422574912328</v>
      </c>
      <c r="G16" s="51">
        <v>17220.726372083362</v>
      </c>
      <c r="H16" s="51">
        <v>12.876237790297719</v>
      </c>
      <c r="I16" s="51">
        <v>31597.442824174392</v>
      </c>
    </row>
    <row r="17" spans="1:9" x14ac:dyDescent="0.25">
      <c r="A17" s="50" t="s">
        <v>214</v>
      </c>
      <c r="B17" s="51">
        <v>1.662072435951667</v>
      </c>
      <c r="C17" s="51">
        <v>10166.207243595167</v>
      </c>
      <c r="D17" s="51">
        <v>11.545504890981984</v>
      </c>
      <c r="E17" s="51">
        <v>13878.93752284471</v>
      </c>
      <c r="F17" s="51">
        <v>12.030099818677375</v>
      </c>
      <c r="G17" s="51">
        <v>17647.110887766743</v>
      </c>
      <c r="H17" s="51">
        <v>12.197658615772887</v>
      </c>
      <c r="I17" s="51">
        <v>29838.540182620949</v>
      </c>
    </row>
    <row r="18" spans="1:9" x14ac:dyDescent="0.25">
      <c r="A18" s="50" t="s">
        <v>217</v>
      </c>
      <c r="B18" s="53">
        <v>141.94999999999999</v>
      </c>
      <c r="C18" s="54"/>
      <c r="D18" s="53">
        <v>117.67</v>
      </c>
      <c r="E18" s="54"/>
      <c r="F18" s="53">
        <v>109.99</v>
      </c>
      <c r="G18" s="54"/>
      <c r="H18" s="53">
        <v>64.02</v>
      </c>
      <c r="I18" s="54"/>
    </row>
    <row r="20" spans="1:9" x14ac:dyDescent="0.25">
      <c r="A20" t="s">
        <v>218</v>
      </c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Equity</cp:lastModifiedBy>
  <dcterms:created xsi:type="dcterms:W3CDTF">2022-07-03T09:32:49Z</dcterms:created>
  <dcterms:modified xsi:type="dcterms:W3CDTF">2022-07-07T13:41:23Z</dcterms:modified>
</cp:coreProperties>
</file>