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Portfolio'!$C$8:$C$29</definedName>
    <definedName name="XDO_?FINAL_ISIN?1?">'TBFS - Risk-O-Meter &amp; Portfolio'!$D$10:$D$29</definedName>
    <definedName name="XDO_?FINAL_ISIN?2?">'TBFS - Risk-O-Meter &amp; Portfolio'!$D$10:$D$71</definedName>
    <definedName name="XDO_?FINAL_MV?1?">'TBFS - Risk-O-Meter &amp; Portfolio'!$H$10:$H$29</definedName>
    <definedName name="XDO_?FINAL_MV?2?">'TBFS - Risk-O-Meter &amp; Portfolio'!$H$10:$H$71</definedName>
    <definedName name="XDO_?FINAL_NAME?1?">'TBFS - Risk-O-Meter &amp; Portfolio'!$C$10:$C$29</definedName>
    <definedName name="XDO_?FINAL_NAME?2?">'TBFS - Risk-O-Meter &amp; Portfolio'!$C$10:$C$71</definedName>
    <definedName name="XDO_?FINAL_PER_NET?1?">'TBFS - Risk-O-Meter &amp; Portfolio'!$I$10:$I$29</definedName>
    <definedName name="XDO_?FINAL_PER_NET?2?">'TBFS - Risk-O-Meter &amp; Portfolio'!$I$10:$I$71</definedName>
    <definedName name="XDO_?FINAL_QUANTITE?1?">'TBFS - Risk-O-Meter &amp; Portfolio'!$G$10:$G$29</definedName>
    <definedName name="XDO_?FINAL_QUANTITE?2?">'TBFS - Risk-O-Meter &amp; Portfolio'!$G$10:$G$71</definedName>
    <definedName name="XDO_?IND_01?1?">'TBFS - Risk-O-Meter &amp; Portfolio'!$F$10:$F$29</definedName>
    <definedName name="XDO_?IND_01?2?">'TBFS - Risk-O-Meter &amp; Portfolio'!$F$10:$F$71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Portfolio'!$C$2:$C$29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Portfolio'!$B$10:$B$29</definedName>
    <definedName name="XDO_?NOVAL?2?">'TBFS - Risk-O-Meter &amp; Portfolio'!$B$10:$B$71</definedName>
    <definedName name="XDO_?NPTF?1?">'TBFS - Risk-O-Meter &amp; Portfolio'!$D$2:$D$29</definedName>
    <definedName name="XDO_?RATING?1?">'TBFS - Risk-O-Meter &amp; Portfolio'!$E$10:$E$29</definedName>
    <definedName name="XDO_?RATING?2?">'TBFS - Risk-O-Meter &amp; Portfolio'!$E$10:$E$71</definedName>
    <definedName name="XDO_?REMARKS?1?">'TBFS - Risk-O-Meter &amp; Portfolio'!$J$10:$J$29</definedName>
    <definedName name="XDO_?REMARKS?2?">'TBFS - Risk-O-Meter &amp; Portfolio'!$J$10:$J$71</definedName>
    <definedName name="XDO_?TITL?1?">'TBFS - Risk-O-Meter &amp; Portfolio'!$A$8:$A$29</definedName>
    <definedName name="XDO_GROUP_?G_2?1?">'TBFS - Risk-O-Meter &amp; Portfolio'!$2:$74</definedName>
    <definedName name="XDO_GROUP_?G_3?1?">'TBFS - Risk-O-Meter &amp; Portfolio'!$8:$73</definedName>
    <definedName name="XDO_GROUP_?G_4?1?">'TBFS - Risk-O-Meter &amp; Portfolio'!$B$10:$IV$29</definedName>
    <definedName name="XDO_GROUP_?G_4?2?">'TBFS - Risk-O-Meter &amp; Portfolio'!$B$71:$IV$71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/>
</calcChain>
</file>

<file path=xl/sharedStrings.xml><?xml version="1.0" encoding="utf-8"?>
<sst xmlns="http://schemas.openxmlformats.org/spreadsheetml/2006/main" count="191" uniqueCount="121">
  <si>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</si>
  <si>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</si>
  <si>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</si>
  <si>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</si>
  <si>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</si>
  <si>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</si>
  <si>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</si>
  <si>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</si>
  <si>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</si>
  <si>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</si>
  <si>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</si>
  <si>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</si>
  <si>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</si>
  <si>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</si>
  <si>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</si>
  <si>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</si>
  <si>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</si>
  <si>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</si>
  <si>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</si>
  <si>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</si>
  <si>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</si>
  <si>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</si>
  <si>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100104</t>
  </si>
  <si>
    <t>Kotak Mahindra Bank Ltd.</t>
  </si>
  <si>
    <t>INE237A01028</t>
  </si>
  <si>
    <t>100010</t>
  </si>
  <si>
    <t>State Bank of India</t>
  </si>
  <si>
    <t>INE062A01020</t>
  </si>
  <si>
    <t>100024</t>
  </si>
  <si>
    <t>Axis Bank Ltd.</t>
  </si>
  <si>
    <t>INE238A01034</t>
  </si>
  <si>
    <t>100112</t>
  </si>
  <si>
    <t>Punjab National Bank</t>
  </si>
  <si>
    <t>INE160A01022</t>
  </si>
  <si>
    <t>100399</t>
  </si>
  <si>
    <t>Cholamandalam Investment &amp; Finance Co. Ltd.</t>
  </si>
  <si>
    <t>INE121A01024</t>
  </si>
  <si>
    <t>Finance</t>
  </si>
  <si>
    <t>100122</t>
  </si>
  <si>
    <t>Union Bank of India</t>
  </si>
  <si>
    <t>INE692A01016</t>
  </si>
  <si>
    <t>100013</t>
  </si>
  <si>
    <t>IndusInd Bank Ltd.</t>
  </si>
  <si>
    <t>INE095A01012</t>
  </si>
  <si>
    <t>100067</t>
  </si>
  <si>
    <t>DCB Bank Ltd.</t>
  </si>
  <si>
    <t>INE503A01015</t>
  </si>
  <si>
    <t>100325</t>
  </si>
  <si>
    <t>Bajaj Holdings &amp; Investment Ltd.</t>
  </si>
  <si>
    <t>INE118A01012</t>
  </si>
  <si>
    <t>100055</t>
  </si>
  <si>
    <t>The Federal Bank Ltd.</t>
  </si>
  <si>
    <t>INE171A01029</t>
  </si>
  <si>
    <t>100125</t>
  </si>
  <si>
    <t>Bajaj Finance Ltd.</t>
  </si>
  <si>
    <t>INE296A01024</t>
  </si>
  <si>
    <t>100092</t>
  </si>
  <si>
    <t>Bank of Baroda</t>
  </si>
  <si>
    <t>INE028A01039</t>
  </si>
  <si>
    <t>100294</t>
  </si>
  <si>
    <t>IIFL Finance Ltd.</t>
  </si>
  <si>
    <t>INE530B01024</t>
  </si>
  <si>
    <t>100191</t>
  </si>
  <si>
    <t>Canara Bank</t>
  </si>
  <si>
    <t>INE476A01014</t>
  </si>
  <si>
    <t>100148</t>
  </si>
  <si>
    <t>Motilal Oswal Financial Services Ltd.</t>
  </si>
  <si>
    <t>INE338I01027</t>
  </si>
  <si>
    <t>Capital Markets</t>
  </si>
  <si>
    <t>100684</t>
  </si>
  <si>
    <t>SBI Life Insurance Company Ltd.</t>
  </si>
  <si>
    <t>INE123W01016</t>
  </si>
  <si>
    <t>Insurance</t>
  </si>
  <si>
    <t>100231</t>
  </si>
  <si>
    <t>Muthoot Finance Ltd.</t>
  </si>
  <si>
    <t>INE414G01012</t>
  </si>
  <si>
    <t>100941</t>
  </si>
  <si>
    <t>CSB Bank Ltd.</t>
  </si>
  <si>
    <t>INE679A01013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</si>
  <si>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</si>
  <si>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</si>
  <si>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</si>
  <si>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</si>
  <si>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</si>
  <si>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</si>
  <si>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</si>
  <si>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</si>
  <si>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</si>
  <si>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</si>
  <si>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</si>
  <si>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</si>
  <si>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</si>
  <si>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</si>
  <si>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</si>
  <si>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</si>
  <si>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</si>
  <si>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</si>
  <si>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</si>
  <si>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</si>
  <si>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</si>
  <si>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</si>
  <si>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</si>
  <si>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</si>
  <si>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</si>
  <si>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</si>
  <si>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</si>
  <si>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</si>
  <si>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</si>
  <si>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</si>
  <si>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</si>
  <si>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</si>
  <si>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</si>
  <si>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</si>
  <si>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</si>
  <si>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</si>
  <si>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</si>
  <si>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</si>
  <si>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</si>
  <si>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December 30, 2022 : 39.35)</t>
  </si>
  <si>
    <t>Taurus Banking &amp; Financial Services Fund - Direct Plan Growth Option</t>
  </si>
  <si>
    <t>NAV [Rs.] Per Unit (as on December 30, 2022 : 43.12)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</si>
</sst>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0"/>
  <sheetViews>
    <sheetView showGridLines="0" tabSelected="1" zoomScale="90" zoomScaleNormal="90" workbookViewId="0">
      <selection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80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44926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11500</v>
      </c>
      <c r="H10" s="32">
        <v>187.14</v>
      </c>
      <c r="I10" s="32">
        <v>19.45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15000</v>
      </c>
      <c r="H11" s="32">
        <v>133.63999999999999</v>
      </c>
      <c r="I11" s="32">
        <v>13.89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5200</v>
      </c>
      <c r="H12" s="32">
        <v>94.98</v>
      </c>
      <c r="I12" s="32">
        <v>9.8699999999999992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14000</v>
      </c>
      <c r="H13" s="32">
        <v>85.85</v>
      </c>
      <c r="I13" s="32">
        <v>8.92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6750</v>
      </c>
      <c r="H14" s="32">
        <v>63.03</v>
      </c>
      <c r="I14" s="32">
        <v>6.55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107500</v>
      </c>
      <c r="H15" s="32">
        <v>60.68</v>
      </c>
      <c r="I15" s="32">
        <v>6.31</v>
      </c>
      <c r="J15" s="33"/>
    </row>
    <row r="16" spans="1:54">
      <c r="B16" s="1" t="s">
        <v>34</v>
      </c>
      <c r="C16" s="20" t="s">
        <v>35</v>
      </c>
      <c r="D16" s="29" t="s">
        <v>36</v>
      </c>
      <c r="E16" s="30"/>
      <c r="F16" s="30" t="s">
        <v>37</v>
      </c>
      <c r="G16" s="31">
        <v>6250</v>
      </c>
      <c r="H16" s="32">
        <v>45.19</v>
      </c>
      <c r="I16" s="32">
        <v>4.7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42000</v>
      </c>
      <c r="H17" s="32">
        <v>33.770000000000003</v>
      </c>
      <c r="I17" s="32">
        <v>3.51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2750</v>
      </c>
      <c r="H18" s="32">
        <v>33.590000000000003</v>
      </c>
      <c r="I18" s="32">
        <v>3.49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26000</v>
      </c>
      <c r="H19" s="32">
        <v>32.94</v>
      </c>
      <c r="I19" s="32">
        <v>3.42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37</v>
      </c>
      <c r="G20" s="31">
        <v>500</v>
      </c>
      <c r="H20" s="32">
        <v>28.74</v>
      </c>
      <c r="I20" s="32">
        <v>2.99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18</v>
      </c>
      <c r="G21" s="31">
        <v>18000</v>
      </c>
      <c r="H21" s="32">
        <v>25.01</v>
      </c>
      <c r="I21" s="32">
        <v>2.6</v>
      </c>
      <c r="J21" s="33"/>
    </row>
    <row r="22" spans="2:10">
      <c r="B22" s="1" t="s">
        <v>53</v>
      </c>
      <c r="C22" s="20" t="s">
        <v>54</v>
      </c>
      <c r="D22" s="29" t="s">
        <v>55</v>
      </c>
      <c r="E22" s="30"/>
      <c r="F22" s="30" t="s">
        <v>37</v>
      </c>
      <c r="G22" s="31">
        <v>361</v>
      </c>
      <c r="H22" s="32">
        <v>23.73</v>
      </c>
      <c r="I22" s="32">
        <v>2.4700000000000002</v>
      </c>
      <c r="J22" s="33"/>
    </row>
    <row r="23" spans="2:10">
      <c r="B23" s="1" t="s">
        <v>56</v>
      </c>
      <c r="C23" s="20" t="s">
        <v>57</v>
      </c>
      <c r="D23" s="29" t="s">
        <v>58</v>
      </c>
      <c r="E23" s="30"/>
      <c r="F23" s="30" t="s">
        <v>18</v>
      </c>
      <c r="G23" s="31">
        <v>12500</v>
      </c>
      <c r="H23" s="32">
        <v>23.21</v>
      </c>
      <c r="I23" s="32">
        <v>2.41</v>
      </c>
      <c r="J23" s="33"/>
    </row>
    <row r="24" spans="2:10">
      <c r="B24" s="1" t="s">
        <v>59</v>
      </c>
      <c r="C24" s="20" t="s">
        <v>60</v>
      </c>
      <c r="D24" s="29" t="s">
        <v>61</v>
      </c>
      <c r="E24" s="30"/>
      <c r="F24" s="30" t="s">
        <v>37</v>
      </c>
      <c r="G24" s="31">
        <v>4726</v>
      </c>
      <c r="H24" s="32">
        <v>22.72</v>
      </c>
      <c r="I24" s="32">
        <v>2.36</v>
      </c>
      <c r="J24" s="33"/>
    </row>
    <row r="25" spans="2:10">
      <c r="B25" s="1" t="s">
        <v>62</v>
      </c>
      <c r="C25" s="20" t="s">
        <v>63</v>
      </c>
      <c r="D25" s="29" t="s">
        <v>64</v>
      </c>
      <c r="E25" s="30"/>
      <c r="F25" s="30" t="s">
        <v>18</v>
      </c>
      <c r="G25" s="31">
        <v>5500</v>
      </c>
      <c r="H25" s="32">
        <v>18.350000000000001</v>
      </c>
      <c r="I25" s="32">
        <v>1.91</v>
      </c>
      <c r="J25" s="33"/>
    </row>
    <row r="26" spans="2:10">
      <c r="B26" s="1" t="s">
        <v>65</v>
      </c>
      <c r="C26" s="20" t="s">
        <v>66</v>
      </c>
      <c r="D26" s="29" t="s">
        <v>67</v>
      </c>
      <c r="E26" s="30"/>
      <c r="F26" s="30" t="s">
        <v>68</v>
      </c>
      <c r="G26" s="31">
        <v>2400</v>
      </c>
      <c r="H26" s="32">
        <v>16.47</v>
      </c>
      <c r="I26" s="32">
        <v>1.71</v>
      </c>
      <c r="J26" s="33"/>
    </row>
    <row r="27" spans="2:10">
      <c r="B27" s="1" t="s">
        <v>69</v>
      </c>
      <c r="C27" s="20" t="s">
        <v>70</v>
      </c>
      <c r="D27" s="29" t="s">
        <v>71</v>
      </c>
      <c r="E27" s="30"/>
      <c r="F27" s="30" t="s">
        <v>72</v>
      </c>
      <c r="G27" s="31">
        <v>1200</v>
      </c>
      <c r="H27" s="32">
        <v>14.78</v>
      </c>
      <c r="I27" s="32">
        <v>1.54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37</v>
      </c>
      <c r="G28" s="31">
        <v>1000</v>
      </c>
      <c r="H28" s="32">
        <v>10.63</v>
      </c>
      <c r="I28" s="32">
        <v>1.1100000000000001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18</v>
      </c>
      <c r="G29" s="31">
        <v>1000</v>
      </c>
      <c r="H29" s="32">
        <v>2.37</v>
      </c>
      <c r="I29" s="32">
        <v>0.25</v>
      </c>
      <c r="J29" s="33"/>
    </row>
    <row r="30" spans="2:10">
      <c r="C30" s="28" t="s">
        <v>79</v>
      </c>
      <c r="D30" s="29"/>
      <c r="E30" s="30"/>
      <c r="F30" s="30"/>
      <c r="G30" s="31"/>
      <c r="H30" s="35">
        <v>956.82</v>
      </c>
      <c r="I30" s="35">
        <v>99.46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A70" s="26"/>
      <c r="B70" s="27"/>
      <c r="C70" s="28" t="s">
        <v>100</v>
      </c>
      <c r="D70" s="29"/>
      <c r="E70" s="30"/>
      <c r="F70" s="30"/>
      <c r="G70" s="31"/>
      <c r="H70" s="32"/>
      <c r="I70" s="32"/>
      <c r="J70" s="33"/>
    </row>
    <row r="71" spans="1:10">
      <c r="B71" s="1"/>
      <c r="C71" s="20" t="s">
        <v>101</v>
      </c>
      <c r="D71" s="29"/>
      <c r="E71" s="30"/>
      <c r="F71" s="30"/>
      <c r="G71" s="31"/>
      <c r="H71" s="32">
        <v>5.36</v>
      </c>
      <c r="I71" s="32">
        <v>0.54</v>
      </c>
      <c r="J71" s="33"/>
    </row>
    <row r="72" spans="1:10">
      <c r="C72" s="28" t="s">
        <v>79</v>
      </c>
      <c r="D72" s="29"/>
      <c r="E72" s="30"/>
      <c r="F72" s="30"/>
      <c r="G72" s="31"/>
      <c r="H72" s="35">
        <v>5.36</v>
      </c>
      <c r="I72" s="35">
        <v>0.54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 ht="13.8" thickBot="1">
      <c r="C74" s="36" t="s">
        <v>102</v>
      </c>
      <c r="D74" s="37"/>
      <c r="E74" s="38"/>
      <c r="F74" s="39"/>
      <c r="G74" s="40"/>
      <c r="H74" s="41">
        <v>962.18</v>
      </c>
      <c r="I74" s="41">
        <f>SUMIFS(I:I,C:C,"Total")</f>
        <v>100</v>
      </c>
      <c r="J74" s="42"/>
    </row>
    <row r="77" spans="1:10">
      <c r="C77" s="11" t="s">
        <v>103</v>
      </c>
    </row>
    <row r="78" spans="1:10">
      <c r="C78" s="2" t="s">
        <v>104</v>
      </c>
    </row>
    <row r="79" spans="1:10">
      <c r="C79" s="2" t="s">
        <v>105</v>
      </c>
    </row>
    <row r="80" spans="1:10">
      <c r="C80" s="2" t="s">
        <v>106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L7" sqref="L7"/>
    </sheetView>
  </sheetViews>
  <sheetFormatPr defaultRowHeight="14.4"/>
  <cols>
    <col min="2" max="2" width="48.3320312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107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108</v>
      </c>
      <c r="C5" s="46" t="s">
        <v>109</v>
      </c>
      <c r="D5" s="46"/>
      <c r="E5" s="46" t="s">
        <v>110</v>
      </c>
      <c r="F5" s="46"/>
      <c r="G5" s="46" t="s">
        <v>111</v>
      </c>
      <c r="H5" s="46"/>
      <c r="I5" s="46" t="s">
        <v>112</v>
      </c>
      <c r="J5" s="46"/>
    </row>
    <row r="6" spans="2:10" ht="79.2">
      <c r="B6" s="47"/>
      <c r="C6" s="48" t="s">
        <v>113</v>
      </c>
      <c r="D6" s="48" t="s">
        <v>114</v>
      </c>
      <c r="E6" s="48" t="s">
        <v>113</v>
      </c>
      <c r="F6" s="48" t="s">
        <v>114</v>
      </c>
      <c r="G6" s="48" t="s">
        <v>113</v>
      </c>
      <c r="H6" s="48" t="s">
        <v>114</v>
      </c>
      <c r="I6" s="48" t="s">
        <v>113</v>
      </c>
      <c r="J6" s="48" t="s">
        <v>114</v>
      </c>
    </row>
    <row r="7" spans="2:10">
      <c r="B7" s="49" t="s">
        <v>115</v>
      </c>
      <c r="C7" s="50">
        <v>17.814371257485039</v>
      </c>
      <c r="D7" s="50">
        <v>11781.437125748504</v>
      </c>
      <c r="E7" s="50">
        <v>10.079785231443994</v>
      </c>
      <c r="F7" s="50">
        <v>13338.983050847457</v>
      </c>
      <c r="G7" s="50">
        <v>11.696041770927202</v>
      </c>
      <c r="H7" s="50">
        <v>17396.109637488949</v>
      </c>
      <c r="I7" s="50">
        <v>13.773195431625474</v>
      </c>
      <c r="J7" s="50">
        <v>39350</v>
      </c>
    </row>
    <row r="8" spans="2:10">
      <c r="B8" s="49" t="s">
        <v>116</v>
      </c>
      <c r="C8" s="50">
        <v>21.914666795445914</v>
      </c>
      <c r="D8" s="50">
        <v>12191.466679544592</v>
      </c>
      <c r="E8" s="50">
        <v>10.467911926578811</v>
      </c>
      <c r="F8" s="50">
        <v>13480.575560986246</v>
      </c>
      <c r="G8" s="50">
        <v>11.507362736874072</v>
      </c>
      <c r="H8" s="50">
        <v>17239.224372455774</v>
      </c>
      <c r="I8" s="50">
        <v>16.345957779252384</v>
      </c>
      <c r="J8" s="50">
        <v>49872.88293684191</v>
      </c>
    </row>
    <row r="9" spans="2:10">
      <c r="B9" s="49" t="s">
        <v>117</v>
      </c>
      <c r="C9" s="50">
        <v>5.6914227994946387</v>
      </c>
      <c r="D9" s="50">
        <v>10569.142279949463</v>
      </c>
      <c r="E9" s="50">
        <v>15.520561759160877</v>
      </c>
      <c r="F9" s="50">
        <v>15416.219185269591</v>
      </c>
      <c r="G9" s="50">
        <v>12.838507957581768</v>
      </c>
      <c r="H9" s="50">
        <v>18293.073301820179</v>
      </c>
      <c r="I9" s="50">
        <v>14.633952668729799</v>
      </c>
      <c r="J9" s="50">
        <v>42612.120436181249</v>
      </c>
    </row>
    <row r="10" spans="2:10">
      <c r="B10" s="49" t="s">
        <v>118</v>
      </c>
      <c r="C10" s="51">
        <v>33.4</v>
      </c>
      <c r="D10" s="52"/>
      <c r="E10" s="51">
        <v>29.5</v>
      </c>
      <c r="F10" s="52"/>
      <c r="G10" s="51">
        <v>22.62</v>
      </c>
      <c r="H10" s="52"/>
      <c r="I10" s="51">
        <v>10</v>
      </c>
      <c r="J10" s="52"/>
    </row>
    <row r="12" spans="2:10" ht="15.6">
      <c r="B12" s="43" t="s">
        <v>119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108</v>
      </c>
      <c r="C13" s="46" t="s">
        <v>109</v>
      </c>
      <c r="D13" s="46"/>
      <c r="E13" s="46" t="s">
        <v>110</v>
      </c>
      <c r="F13" s="46"/>
      <c r="G13" s="46" t="s">
        <v>111</v>
      </c>
      <c r="H13" s="46"/>
      <c r="I13" s="46" t="s">
        <v>112</v>
      </c>
      <c r="J13" s="46"/>
    </row>
    <row r="14" spans="2:10" ht="79.2">
      <c r="B14" s="47"/>
      <c r="C14" s="48" t="s">
        <v>113</v>
      </c>
      <c r="D14" s="48" t="s">
        <v>114</v>
      </c>
      <c r="E14" s="48" t="s">
        <v>113</v>
      </c>
      <c r="F14" s="48" t="s">
        <v>114</v>
      </c>
      <c r="G14" s="48" t="s">
        <v>113</v>
      </c>
      <c r="H14" s="48" t="s">
        <v>114</v>
      </c>
      <c r="I14" s="48" t="s">
        <v>113</v>
      </c>
      <c r="J14" s="48" t="s">
        <v>114</v>
      </c>
    </row>
    <row r="15" spans="2:10">
      <c r="B15" s="49" t="s">
        <v>115</v>
      </c>
      <c r="C15" s="50">
        <v>18.722466960352424</v>
      </c>
      <c r="D15" s="50">
        <v>11872.246696035241</v>
      </c>
      <c r="E15" s="50">
        <v>10.893382044592069</v>
      </c>
      <c r="F15" s="50">
        <v>13636.938646426312</v>
      </c>
      <c r="G15" s="50">
        <v>12.578265562165726</v>
      </c>
      <c r="H15" s="50">
        <v>18094.838438942512</v>
      </c>
      <c r="I15" s="50">
        <v>12.190119362167739</v>
      </c>
      <c r="J15" s="50">
        <v>31589.74358974359</v>
      </c>
    </row>
    <row r="16" spans="2:10">
      <c r="B16" s="49" t="s">
        <v>116</v>
      </c>
      <c r="C16" s="50">
        <v>21.914666795445914</v>
      </c>
      <c r="D16" s="50">
        <v>12191.466679544592</v>
      </c>
      <c r="E16" s="50">
        <v>10.467911926578811</v>
      </c>
      <c r="F16" s="50">
        <v>13480.575560986246</v>
      </c>
      <c r="G16" s="50">
        <v>11.507362736874072</v>
      </c>
      <c r="H16" s="50">
        <v>17239.224372455774</v>
      </c>
      <c r="I16" s="50">
        <v>13.573923637141583</v>
      </c>
      <c r="J16" s="50">
        <v>35709.707764997795</v>
      </c>
    </row>
    <row r="17" spans="2:10">
      <c r="B17" s="49" t="s">
        <v>117</v>
      </c>
      <c r="C17" s="50">
        <v>5.6914227994946387</v>
      </c>
      <c r="D17" s="50">
        <v>10569.142279949463</v>
      </c>
      <c r="E17" s="50">
        <v>15.520561759160877</v>
      </c>
      <c r="F17" s="50">
        <v>15416.219185269591</v>
      </c>
      <c r="G17" s="50">
        <v>12.838507957581768</v>
      </c>
      <c r="H17" s="50">
        <v>18293.073301820179</v>
      </c>
      <c r="I17" s="50">
        <v>13.073231680323083</v>
      </c>
      <c r="J17" s="50">
        <v>34166.30760924863</v>
      </c>
    </row>
    <row r="18" spans="2:10">
      <c r="B18" s="49" t="s">
        <v>120</v>
      </c>
      <c r="C18" s="51">
        <v>36.32</v>
      </c>
      <c r="D18" s="52"/>
      <c r="E18" s="51">
        <v>31.62</v>
      </c>
      <c r="F18" s="52"/>
      <c r="G18" s="51">
        <v>23.83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2023-01-03T07:35:13Z</dcterms:created>
  <dcterms:modified xsi:type="dcterms:W3CDTF">2023-01-06T13:17:14Z</dcterms:modified>
</cp:coreProperties>
</file>