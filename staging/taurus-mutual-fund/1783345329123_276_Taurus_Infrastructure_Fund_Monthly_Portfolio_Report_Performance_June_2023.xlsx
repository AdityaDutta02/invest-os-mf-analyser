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Performance'!$C$8:$C$39</definedName>
    <definedName name="XDO_?FINAL_ISIN?7?">'TISF-Risk-O-Meter &amp; Performance'!$D$10:$D$39</definedName>
    <definedName name="XDO_?FINAL_ISIN?8?">'TISF-Risk-O-Meter &amp; Performance'!$D$10:$D$81</definedName>
    <definedName name="XDO_?FINAL_MV?7?">'TISF-Risk-O-Meter &amp; Performance'!$H$10:$H$39</definedName>
    <definedName name="XDO_?FINAL_MV?8?">'TISF-Risk-O-Meter &amp; Performance'!$H$10:$H$81</definedName>
    <definedName name="XDO_?FINAL_NAME?7?">'TISF-Risk-O-Meter &amp; Performance'!$C$10:$C$39</definedName>
    <definedName name="XDO_?FINAL_NAME?8?">'TISF-Risk-O-Meter &amp; Performance'!$C$10:$C$81</definedName>
    <definedName name="XDO_?FINAL_PER_NET?7?">'TISF-Risk-O-Meter &amp; Performance'!$I$10:$I$39</definedName>
    <definedName name="XDO_?FINAL_PER_NET?8?">'TISF-Risk-O-Meter &amp; Performance'!$I$10:$I$81</definedName>
    <definedName name="XDO_?FINAL_QUANTITE?7?">'TISF-Risk-O-Meter &amp; Performance'!$G$10:$G$39</definedName>
    <definedName name="XDO_?FINAL_QUANTITE?8?">'TISF-Risk-O-Meter &amp; Performance'!$G$10:$G$81</definedName>
    <definedName name="XDO_?IND_01?7?">'TISF-Risk-O-Meter &amp; Performance'!$F$10:$F$39</definedName>
    <definedName name="XDO_?IND_01?8?">'TISF-Risk-O-Meter &amp; Performance'!$F$10:$F$81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Performance'!$B$10:$B$39</definedName>
    <definedName name="XDO_?NOVAL?8?">'TISF-Risk-O-Meter &amp; Performance'!$B$10:$B$81</definedName>
    <definedName name="XDO_?NPTF?4?">'TISF-Risk-O-Meter &amp; Performance'!$D$2:$D$39</definedName>
    <definedName name="XDO_?RATING?7?">'TISF-Risk-O-Meter &amp; Performance'!$E$10:$E$39</definedName>
    <definedName name="XDO_?RATING?8?">'TISF-Risk-O-Meter &amp; Performance'!$E$10:$E$81</definedName>
    <definedName name="XDO_?REMARKS?7?">'TISF-Risk-O-Meter &amp; Performance'!$J$10:$J$39</definedName>
    <definedName name="XDO_?REMARKS?8?">'TISF-Risk-O-Meter &amp; Performance'!$J$10:$J$81</definedName>
    <definedName name="XDO_?TITL?4?">'TISF-Risk-O-Meter &amp; Performance'!$A$8:$A$39</definedName>
    <definedName name="XDO_GROUP_?G_2?4?">'TISF-Risk-O-Meter &amp; Performance'!$2:$84</definedName>
    <definedName name="XDO_GROUP_?G_3?4?">'TISF-Risk-O-Meter &amp; Performance'!$8:$83</definedName>
    <definedName name="XDO_GROUP_?G_4?7?">'TISF-Risk-O-Meter &amp; Performance'!$B$10:$IV$39</definedName>
    <definedName name="XDO_GROUP_?G_4?8?">'TISF-Risk-O-Meter &amp; Performance'!$B$81:$IV$81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/>
</calcChain>
</file>

<file path=xl/sharedStrings.xml><?xml version="1.0" encoding="utf-8"?>
<sst xmlns="http://schemas.openxmlformats.org/spreadsheetml/2006/main" count="232" uniqueCount="167">
  <si>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</si>
  <si>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</si>
  <si>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</si>
  <si>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</si>
  <si>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</si>
  <si>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</si>
  <si>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</si>
  <si>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</si>
  <si>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</si>
  <si>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</si>
  <si>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</si>
  <si>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</si>
  <si>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</si>
  <si>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</si>
  <si>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</si>
  <si>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</si>
  <si>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</si>
  <si>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</si>
  <si>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</si>
  <si>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</si>
  <si>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</si>
  <si>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</si>
  <si>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</si>
  <si>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</si>
  <si>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</si>
  <si>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</si>
  <si>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</si>
  <si>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100719</t>
  </si>
  <si>
    <t>Mayur Uniquoters Ltd.</t>
  </si>
  <si>
    <t>INE040D01038</t>
  </si>
  <si>
    <t>Consumer Durables</t>
  </si>
  <si>
    <t>100258</t>
  </si>
  <si>
    <t>Arvind Ltd.</t>
  </si>
  <si>
    <t>INE034A01011</t>
  </si>
  <si>
    <t>Textiles &amp; Apparels</t>
  </si>
  <si>
    <t>101883</t>
  </si>
  <si>
    <t>Anant Raj Ltd.</t>
  </si>
  <si>
    <t>INE242C01024</t>
  </si>
  <si>
    <t>Realty</t>
  </si>
  <si>
    <t>100181</t>
  </si>
  <si>
    <t>NTPC Ltd.</t>
  </si>
  <si>
    <t>INE733E01010</t>
  </si>
  <si>
    <t>Power</t>
  </si>
  <si>
    <t>101718</t>
  </si>
  <si>
    <t>Faze Three Ltd.</t>
  </si>
  <si>
    <t>INE963C01033</t>
  </si>
  <si>
    <t>100302</t>
  </si>
  <si>
    <t>DLF Ltd.</t>
  </si>
  <si>
    <t>INE271C01023</t>
  </si>
  <si>
    <t>100082</t>
  </si>
  <si>
    <t>Ultratech Cement Ltd.</t>
  </si>
  <si>
    <t>INE481G01011</t>
  </si>
  <si>
    <t>Cement &amp; Cement Products</t>
  </si>
  <si>
    <t>100752</t>
  </si>
  <si>
    <t>Praj Industries Ltd.</t>
  </si>
  <si>
    <t>INE074A01025</t>
  </si>
  <si>
    <t>Industrial Manufacturing</t>
  </si>
  <si>
    <t>100194</t>
  </si>
  <si>
    <t>Power Finance Corporation Ltd.</t>
  </si>
  <si>
    <t>INE134E01011</t>
  </si>
  <si>
    <t>Finance</t>
  </si>
  <si>
    <t>101306</t>
  </si>
  <si>
    <t>Apollo Pipes Ltd.</t>
  </si>
  <si>
    <t>INE126J01016</t>
  </si>
  <si>
    <t>Industrial Products</t>
  </si>
  <si>
    <t>101800</t>
  </si>
  <si>
    <t>Hindware Home Innovation Ltd.</t>
  </si>
  <si>
    <t>INE05AN01011</t>
  </si>
  <si>
    <t>100843</t>
  </si>
  <si>
    <t>Dalmia Bharat Ltd.</t>
  </si>
  <si>
    <t>INE00R701025</t>
  </si>
  <si>
    <t>100180</t>
  </si>
  <si>
    <t>Hindalco Industries Ltd.</t>
  </si>
  <si>
    <t>INE038A01020</t>
  </si>
  <si>
    <t>Non - Ferrous Metals</t>
  </si>
  <si>
    <t>100090</t>
  </si>
  <si>
    <t>Bharat Forge Ltd.</t>
  </si>
  <si>
    <t>INE465A01025</t>
  </si>
  <si>
    <t>100221</t>
  </si>
  <si>
    <t>Sundram Fasteners Ltd.</t>
  </si>
  <si>
    <t>INE387A01021</t>
  </si>
  <si>
    <t>Auto Components</t>
  </si>
  <si>
    <t>100896</t>
  </si>
  <si>
    <t>Polycab India Ltd.</t>
  </si>
  <si>
    <t>INE455K01017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</si>
  <si>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</si>
  <si>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</si>
  <si>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</si>
  <si>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</si>
  <si>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</si>
  <si>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</si>
  <si>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</si>
  <si>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</si>
  <si>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100372</t>
  </si>
  <si>
    <t>Apollo Tyres Ltd.</t>
  </si>
  <si>
    <t>INE438A01022</t>
  </si>
  <si>
    <t>100128</t>
  </si>
  <si>
    <t>Eicher Motors Ltd.</t>
  </si>
  <si>
    <t>INE066A01021</t>
  </si>
  <si>
    <t>100720</t>
  </si>
  <si>
    <t>Indian Metals &amp; Ferro Alloys Ltd.</t>
  </si>
  <si>
    <t>INE919H01018</t>
  </si>
  <si>
    <t>Ferrous Metals</t>
  </si>
  <si>
    <t>100431</t>
  </si>
  <si>
    <t>Atul Auto Ltd.</t>
  </si>
  <si>
    <t>INE951D01028</t>
  </si>
  <si>
    <t>Agricultural, Commercial &amp; Construction Vehicles</t>
  </si>
  <si>
    <t>100177</t>
  </si>
  <si>
    <t>Grasim Industries Ltd.</t>
  </si>
  <si>
    <t>INE047A01021</t>
  </si>
  <si>
    <t>100106</t>
  </si>
  <si>
    <t>Maruti Suzuki India Ltd.</t>
  </si>
  <si>
    <t>INE585B01010</t>
  </si>
  <si>
    <t>100006</t>
  </si>
  <si>
    <t>HDFC Bank Ltd.</t>
  </si>
  <si>
    <t>INE040A01034</t>
  </si>
  <si>
    <t>Banks</t>
  </si>
  <si>
    <t>100055</t>
  </si>
  <si>
    <t>The Federal Bank Ltd.</t>
  </si>
  <si>
    <t>INE171A01029</t>
  </si>
  <si>
    <t>101848</t>
  </si>
  <si>
    <t>Shipping Corporation of India Land and Assets Ltd.</t>
  </si>
  <si>
    <t>INE0PB301013</t>
  </si>
  <si>
    <t>Transport Services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</si>
  <si>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</si>
  <si>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</si>
  <si>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</si>
  <si>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</si>
  <si>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</si>
  <si>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</si>
  <si>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</si>
  <si>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</si>
  <si>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</si>
  <si>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</si>
  <si>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</si>
  <si>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</si>
  <si>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</si>
  <si>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</si>
  <si>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</si>
  <si>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</si>
  <si>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</si>
  <si>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</si>
  <si>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</si>
  <si>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</si>
  <si>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</si>
  <si>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</si>
  <si>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</si>
  <si>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</si>
  <si>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</si>
  <si>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</si>
  <si>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</si>
  <si>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</si>
  <si>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</si>
  <si>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</si>
  <si>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</si>
  <si>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</si>
  <si>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</si>
  <si>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</si>
  <si>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</si>
  <si>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</si>
  <si>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</si>
  <si>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</si>
  <si>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</si>
  <si>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</si>
  <si>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June 30, 2023 : 43.64)</t>
  </si>
  <si>
    <t>Taurus Infrastructure Fund - Direct Plan Growth Option</t>
  </si>
  <si>
    <t>NAV [Rs.] Per Unit (as on June 30, 2023 : 46.39)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</si>
</sst>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0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1750</v>
      </c>
      <c r="H10" s="32">
        <v>44.64</v>
      </c>
      <c r="I10" s="32">
        <v>7.59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4900</v>
      </c>
      <c r="H11" s="32">
        <v>43.03</v>
      </c>
      <c r="I11" s="32">
        <v>7.31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1725</v>
      </c>
      <c r="H12" s="32">
        <v>42.69</v>
      </c>
      <c r="I12" s="32">
        <v>7.25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6450</v>
      </c>
      <c r="H13" s="32">
        <v>33.479999999999997</v>
      </c>
      <c r="I13" s="32">
        <v>5.69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22500</v>
      </c>
      <c r="H14" s="32">
        <v>29.97</v>
      </c>
      <c r="I14" s="32">
        <v>5.09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15000</v>
      </c>
      <c r="H15" s="32">
        <v>26.57</v>
      </c>
      <c r="I15" s="32">
        <v>4.5199999999999996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13800</v>
      </c>
      <c r="H16" s="32">
        <v>26.1</v>
      </c>
      <c r="I16" s="32">
        <v>4.4400000000000004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34</v>
      </c>
      <c r="G17" s="31">
        <v>6000</v>
      </c>
      <c r="H17" s="32">
        <v>24.21</v>
      </c>
      <c r="I17" s="32">
        <v>4.1100000000000003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38</v>
      </c>
      <c r="G18" s="31">
        <v>4771</v>
      </c>
      <c r="H18" s="32">
        <v>23.4</v>
      </c>
      <c r="I18" s="32">
        <v>3.98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280</v>
      </c>
      <c r="H19" s="32">
        <v>23.22</v>
      </c>
      <c r="I19" s="32">
        <v>3.95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5586</v>
      </c>
      <c r="H20" s="32">
        <v>21.12</v>
      </c>
      <c r="I20" s="32">
        <v>3.59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9725</v>
      </c>
      <c r="H21" s="32">
        <v>20.98</v>
      </c>
      <c r="I21" s="32">
        <v>3.57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2800</v>
      </c>
      <c r="H22" s="32">
        <v>19.670000000000002</v>
      </c>
      <c r="I22" s="32">
        <v>3.34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30</v>
      </c>
      <c r="G23" s="31">
        <v>3418</v>
      </c>
      <c r="H23" s="32">
        <v>18.64</v>
      </c>
      <c r="I23" s="32">
        <v>3.17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52</v>
      </c>
      <c r="G24" s="31">
        <v>820</v>
      </c>
      <c r="H24" s="32">
        <v>17.77</v>
      </c>
      <c r="I24" s="32">
        <v>3.02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4092</v>
      </c>
      <c r="H25" s="32">
        <v>17.22</v>
      </c>
      <c r="I25" s="32">
        <v>2.93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64</v>
      </c>
      <c r="G26" s="31">
        <v>1937</v>
      </c>
      <c r="H26" s="32">
        <v>16.2</v>
      </c>
      <c r="I26" s="32">
        <v>2.75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1275</v>
      </c>
      <c r="H27" s="32">
        <v>15.52</v>
      </c>
      <c r="I27" s="32">
        <v>2.64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64</v>
      </c>
      <c r="G28" s="31">
        <v>403</v>
      </c>
      <c r="H28" s="32">
        <v>14.32</v>
      </c>
      <c r="I28" s="32">
        <v>2.4300000000000002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958</v>
      </c>
      <c r="H29" s="32">
        <v>13.93</v>
      </c>
      <c r="I29" s="32">
        <v>2.37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5500</v>
      </c>
      <c r="H30" s="32">
        <v>12.7</v>
      </c>
      <c r="I30" s="32">
        <v>2.16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81</v>
      </c>
      <c r="G31" s="31">
        <v>2980</v>
      </c>
      <c r="H31" s="32">
        <v>12.12</v>
      </c>
      <c r="I31" s="32">
        <v>2.06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88</v>
      </c>
      <c r="G32" s="31">
        <v>270</v>
      </c>
      <c r="H32" s="32">
        <v>9.67</v>
      </c>
      <c r="I32" s="32">
        <v>1.64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3000</v>
      </c>
      <c r="H33" s="32">
        <v>9.61</v>
      </c>
      <c r="I33" s="32">
        <v>1.63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2499</v>
      </c>
      <c r="H34" s="32">
        <v>8.69</v>
      </c>
      <c r="I34" s="32">
        <v>1.48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52</v>
      </c>
      <c r="G35" s="31">
        <v>500</v>
      </c>
      <c r="H35" s="32">
        <v>8.67</v>
      </c>
      <c r="I35" s="32">
        <v>1.47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88</v>
      </c>
      <c r="G36" s="31">
        <v>52</v>
      </c>
      <c r="H36" s="32">
        <v>5.09</v>
      </c>
      <c r="I36" s="32">
        <v>0.86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250</v>
      </c>
      <c r="H37" s="32">
        <v>4.25</v>
      </c>
      <c r="I37" s="32">
        <v>0.72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116</v>
      </c>
      <c r="G38" s="31">
        <v>1366</v>
      </c>
      <c r="H38" s="32">
        <v>1.72</v>
      </c>
      <c r="I38" s="32">
        <v>0.28999999999999998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4000</v>
      </c>
      <c r="H39" s="32">
        <v>1.06</v>
      </c>
      <c r="I39" s="32">
        <v>0.18</v>
      </c>
      <c r="J39" s="33" t="s">
        <v>124</v>
      </c>
    </row>
    <row r="40" spans="2:10">
      <c r="C40" s="28" t="s">
        <v>125</v>
      </c>
      <c r="D40" s="29"/>
      <c r="E40" s="30"/>
      <c r="F40" s="30"/>
      <c r="G40" s="31"/>
      <c r="H40" s="35">
        <v>566.26</v>
      </c>
      <c r="I40" s="35">
        <v>96.23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126</v>
      </c>
      <c r="D42" s="29"/>
      <c r="E42" s="30"/>
      <c r="F42" s="30"/>
      <c r="G42" s="31"/>
      <c r="H42" s="32" t="s">
        <v>127</v>
      </c>
      <c r="I42" s="32" t="s">
        <v>127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128</v>
      </c>
      <c r="D44" s="29"/>
      <c r="E44" s="30"/>
      <c r="F44" s="30"/>
      <c r="G44" s="31"/>
      <c r="H44" s="32" t="s">
        <v>127</v>
      </c>
      <c r="I44" s="32" t="s">
        <v>127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129</v>
      </c>
      <c r="D46" s="29"/>
      <c r="E46" s="30"/>
      <c r="F46" s="30"/>
      <c r="G46" s="31"/>
      <c r="H46" s="32"/>
      <c r="I46" s="32"/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130</v>
      </c>
      <c r="D48" s="29"/>
      <c r="E48" s="30"/>
      <c r="F48" s="30"/>
      <c r="G48" s="31"/>
      <c r="H48" s="32" t="s">
        <v>127</v>
      </c>
      <c r="I48" s="32" t="s">
        <v>127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131</v>
      </c>
      <c r="D50" s="29"/>
      <c r="E50" s="30"/>
      <c r="F50" s="30"/>
      <c r="G50" s="31"/>
      <c r="H50" s="32" t="s">
        <v>127</v>
      </c>
      <c r="I50" s="32" t="s">
        <v>127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132</v>
      </c>
      <c r="D52" s="29"/>
      <c r="E52" s="30"/>
      <c r="F52" s="30"/>
      <c r="G52" s="31"/>
      <c r="H52" s="32" t="s">
        <v>127</v>
      </c>
      <c r="I52" s="32" t="s">
        <v>127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133</v>
      </c>
      <c r="D54" s="29"/>
      <c r="E54" s="30"/>
      <c r="F54" s="30"/>
      <c r="G54" s="31"/>
      <c r="H54" s="32" t="s">
        <v>127</v>
      </c>
      <c r="I54" s="32" t="s">
        <v>127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134</v>
      </c>
      <c r="D56" s="29"/>
      <c r="E56" s="30"/>
      <c r="F56" s="30"/>
      <c r="G56" s="31"/>
      <c r="H56" s="32" t="s">
        <v>127</v>
      </c>
      <c r="I56" s="32" t="s">
        <v>127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135</v>
      </c>
      <c r="D58" s="29"/>
      <c r="E58" s="30"/>
      <c r="F58" s="30"/>
      <c r="G58" s="31"/>
      <c r="H58" s="32"/>
      <c r="I58" s="32"/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136</v>
      </c>
      <c r="D60" s="29"/>
      <c r="E60" s="30"/>
      <c r="F60" s="30"/>
      <c r="G60" s="31"/>
      <c r="H60" s="32" t="s">
        <v>127</v>
      </c>
      <c r="I60" s="32" t="s">
        <v>127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137</v>
      </c>
      <c r="D62" s="29"/>
      <c r="E62" s="30"/>
      <c r="F62" s="30"/>
      <c r="G62" s="31"/>
      <c r="H62" s="32" t="s">
        <v>127</v>
      </c>
      <c r="I62" s="32" t="s">
        <v>127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138</v>
      </c>
      <c r="D64" s="29"/>
      <c r="E64" s="30"/>
      <c r="F64" s="30"/>
      <c r="G64" s="31"/>
      <c r="H64" s="32" t="s">
        <v>127</v>
      </c>
      <c r="I64" s="32" t="s">
        <v>127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139</v>
      </c>
      <c r="D66" s="29"/>
      <c r="E66" s="30"/>
      <c r="F66" s="30"/>
      <c r="G66" s="31"/>
      <c r="H66" s="32" t="s">
        <v>127</v>
      </c>
      <c r="I66" s="32" t="s">
        <v>127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140</v>
      </c>
      <c r="D68" s="29"/>
      <c r="E68" s="30"/>
      <c r="F68" s="30"/>
      <c r="G68" s="31"/>
      <c r="H68" s="32"/>
      <c r="I68" s="32"/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141</v>
      </c>
      <c r="D70" s="29"/>
      <c r="E70" s="30"/>
      <c r="F70" s="30"/>
      <c r="G70" s="31"/>
      <c r="H70" s="32" t="s">
        <v>127</v>
      </c>
      <c r="I70" s="32" t="s">
        <v>127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142</v>
      </c>
      <c r="D72" s="29"/>
      <c r="E72" s="30"/>
      <c r="F72" s="30"/>
      <c r="G72" s="31"/>
      <c r="H72" s="32" t="s">
        <v>127</v>
      </c>
      <c r="I72" s="32" t="s">
        <v>127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143</v>
      </c>
      <c r="D74" s="29"/>
      <c r="E74" s="30"/>
      <c r="F74" s="30"/>
      <c r="G74" s="31"/>
      <c r="H74" s="32" t="s">
        <v>127</v>
      </c>
      <c r="I74" s="32" t="s">
        <v>127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144</v>
      </c>
      <c r="D76" s="29"/>
      <c r="E76" s="30"/>
      <c r="F76" s="30"/>
      <c r="G76" s="31"/>
      <c r="H76" s="32" t="s">
        <v>127</v>
      </c>
      <c r="I76" s="32" t="s">
        <v>127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C78" s="28" t="s">
        <v>145</v>
      </c>
      <c r="D78" s="29"/>
      <c r="E78" s="30"/>
      <c r="F78" s="30"/>
      <c r="G78" s="31"/>
      <c r="H78" s="32" t="s">
        <v>127</v>
      </c>
      <c r="I78" s="32" t="s">
        <v>127</v>
      </c>
      <c r="J78" s="33"/>
    </row>
    <row r="79" spans="1:10">
      <c r="C79" s="20"/>
      <c r="D79" s="29"/>
      <c r="E79" s="30"/>
      <c r="F79" s="30"/>
      <c r="G79" s="31"/>
      <c r="H79" s="32"/>
      <c r="I79" s="32"/>
      <c r="J79" s="33"/>
    </row>
    <row r="80" spans="1:10">
      <c r="A80" s="26"/>
      <c r="B80" s="27"/>
      <c r="C80" s="28" t="s">
        <v>146</v>
      </c>
      <c r="D80" s="29"/>
      <c r="E80" s="30"/>
      <c r="F80" s="30"/>
      <c r="G80" s="31"/>
      <c r="H80" s="32"/>
      <c r="I80" s="32"/>
      <c r="J80" s="33"/>
    </row>
    <row r="81" spans="2:10">
      <c r="B81" s="1"/>
      <c r="C81" s="20" t="s">
        <v>147</v>
      </c>
      <c r="D81" s="29"/>
      <c r="E81" s="30"/>
      <c r="F81" s="30"/>
      <c r="G81" s="31"/>
      <c r="H81" s="32">
        <v>22.22</v>
      </c>
      <c r="I81" s="32">
        <v>3.77</v>
      </c>
      <c r="J81" s="33"/>
    </row>
    <row r="82" spans="2:10">
      <c r="C82" s="28" t="s">
        <v>125</v>
      </c>
      <c r="D82" s="29"/>
      <c r="E82" s="30"/>
      <c r="F82" s="30"/>
      <c r="G82" s="31"/>
      <c r="H82" s="35">
        <v>22.22</v>
      </c>
      <c r="I82" s="35">
        <v>3.77</v>
      </c>
      <c r="J82" s="33"/>
    </row>
    <row r="83" spans="2:10">
      <c r="C83" s="20"/>
      <c r="D83" s="29"/>
      <c r="E83" s="30"/>
      <c r="F83" s="30"/>
      <c r="G83" s="31"/>
      <c r="H83" s="32"/>
      <c r="I83" s="32"/>
      <c r="J83" s="33"/>
    </row>
    <row r="84" spans="2:10" ht="13.5" thickBot="1">
      <c r="C84" s="36" t="s">
        <v>148</v>
      </c>
      <c r="D84" s="37"/>
      <c r="E84" s="38"/>
      <c r="F84" s="39"/>
      <c r="G84" s="40"/>
      <c r="H84" s="41">
        <v>588.48</v>
      </c>
      <c r="I84" s="41">
        <f>SUMIFS(I:I,C:C,"Total")</f>
        <v>100</v>
      </c>
      <c r="J84" s="42"/>
    </row>
    <row r="87" spans="2:10">
      <c r="C87" s="11" t="s">
        <v>149</v>
      </c>
    </row>
    <row r="88" spans="2:10">
      <c r="C88" s="2" t="s">
        <v>150</v>
      </c>
    </row>
    <row r="89" spans="2:10">
      <c r="C89" s="2" t="s">
        <v>151</v>
      </c>
    </row>
    <row r="90" spans="2:10">
      <c r="C90" s="2" t="s">
        <v>152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5703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153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154</v>
      </c>
      <c r="C5" s="46" t="s">
        <v>155</v>
      </c>
      <c r="D5" s="46"/>
      <c r="E5" s="46" t="s">
        <v>156</v>
      </c>
      <c r="F5" s="46"/>
      <c r="G5" s="46" t="s">
        <v>157</v>
      </c>
      <c r="H5" s="46"/>
      <c r="I5" s="46" t="s">
        <v>158</v>
      </c>
      <c r="J5" s="46"/>
    </row>
    <row r="6" spans="2:10" ht="63.75">
      <c r="B6" s="47"/>
      <c r="C6" s="48" t="s">
        <v>159</v>
      </c>
      <c r="D6" s="48" t="s">
        <v>160</v>
      </c>
      <c r="E6" s="48" t="s">
        <v>159</v>
      </c>
      <c r="F6" s="48" t="s">
        <v>160</v>
      </c>
      <c r="G6" s="48" t="s">
        <v>159</v>
      </c>
      <c r="H6" s="48" t="s">
        <v>160</v>
      </c>
      <c r="I6" s="48" t="s">
        <v>159</v>
      </c>
      <c r="J6" s="48" t="s">
        <v>160</v>
      </c>
    </row>
    <row r="7" spans="2:10">
      <c r="B7" s="49" t="s">
        <v>161</v>
      </c>
      <c r="C7" s="50">
        <v>25.150559219959856</v>
      </c>
      <c r="D7" s="50">
        <v>12515.055921995985</v>
      </c>
      <c r="E7" s="50">
        <v>24.988216637203074</v>
      </c>
      <c r="F7" s="50">
        <v>19525.727069351229</v>
      </c>
      <c r="G7" s="50">
        <v>11.853322521337017</v>
      </c>
      <c r="H7" s="50">
        <v>17519.068647129669</v>
      </c>
      <c r="I7" s="50">
        <v>9.4395822247420611</v>
      </c>
      <c r="J7" s="50">
        <v>43640</v>
      </c>
    </row>
    <row r="8" spans="2:10">
      <c r="B8" s="49" t="s">
        <v>162</v>
      </c>
      <c r="C8" s="50">
        <v>25.241689707042259</v>
      </c>
      <c r="D8" s="50">
        <v>12524.168970704226</v>
      </c>
      <c r="E8" s="50">
        <v>25.367742864413213</v>
      </c>
      <c r="F8" s="50">
        <v>19704.137095563798</v>
      </c>
      <c r="G8" s="50">
        <v>14.785077834302607</v>
      </c>
      <c r="H8" s="50">
        <v>19926.322973312148</v>
      </c>
      <c r="I8" s="50">
        <v>5.7173558239563826</v>
      </c>
      <c r="J8" s="50">
        <v>24793.927977769254</v>
      </c>
    </row>
    <row r="9" spans="2:10">
      <c r="B9" s="49" t="s">
        <v>163</v>
      </c>
      <c r="C9" s="50">
        <v>22.912681409071745</v>
      </c>
      <c r="D9" s="50">
        <v>12291.268140907174</v>
      </c>
      <c r="E9" s="50">
        <v>24.537547973581297</v>
      </c>
      <c r="F9" s="50">
        <v>19315.27660564542</v>
      </c>
      <c r="G9" s="50">
        <v>13.703517956986966</v>
      </c>
      <c r="H9" s="50">
        <v>19005.071562987927</v>
      </c>
      <c r="I9" s="50">
        <v>12.16594406594551</v>
      </c>
      <c r="J9" s="50">
        <v>65208.697356223944</v>
      </c>
    </row>
    <row r="10" spans="2:10">
      <c r="B10" s="49" t="s">
        <v>164</v>
      </c>
      <c r="C10" s="51">
        <v>34.869999999999997</v>
      </c>
      <c r="D10" s="52"/>
      <c r="E10" s="51">
        <v>22.35</v>
      </c>
      <c r="F10" s="52"/>
      <c r="G10" s="51">
        <v>24.91</v>
      </c>
      <c r="H10" s="52"/>
      <c r="I10" s="51">
        <v>10</v>
      </c>
      <c r="J10" s="52"/>
    </row>
    <row r="12" spans="2:10" ht="15.75">
      <c r="B12" s="43" t="s">
        <v>165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154</v>
      </c>
      <c r="C13" s="46" t="s">
        <v>155</v>
      </c>
      <c r="D13" s="46"/>
      <c r="E13" s="46" t="s">
        <v>156</v>
      </c>
      <c r="F13" s="46"/>
      <c r="G13" s="46" t="s">
        <v>157</v>
      </c>
      <c r="H13" s="46"/>
      <c r="I13" s="46" t="s">
        <v>158</v>
      </c>
      <c r="J13" s="46"/>
    </row>
    <row r="14" spans="2:10" ht="63.75">
      <c r="B14" s="47"/>
      <c r="C14" s="48" t="s">
        <v>159</v>
      </c>
      <c r="D14" s="48" t="s">
        <v>160</v>
      </c>
      <c r="E14" s="48" t="s">
        <v>159</v>
      </c>
      <c r="F14" s="48" t="s">
        <v>160</v>
      </c>
      <c r="G14" s="48" t="s">
        <v>159</v>
      </c>
      <c r="H14" s="48" t="s">
        <v>160</v>
      </c>
      <c r="I14" s="48" t="s">
        <v>159</v>
      </c>
      <c r="J14" s="48" t="s">
        <v>160</v>
      </c>
    </row>
    <row r="15" spans="2:10">
      <c r="B15" s="49" t="s">
        <v>161</v>
      </c>
      <c r="C15" s="50">
        <v>25.718157181571822</v>
      </c>
      <c r="D15" s="50">
        <v>12571.815718157184</v>
      </c>
      <c r="E15" s="50">
        <v>25.533751743778122</v>
      </c>
      <c r="F15" s="50">
        <v>19782.515991471217</v>
      </c>
      <c r="G15" s="50">
        <v>12.323095231793889</v>
      </c>
      <c r="H15" s="50">
        <v>17890.474354030081</v>
      </c>
      <c r="I15" s="50">
        <v>13.031861141694169</v>
      </c>
      <c r="J15" s="50">
        <v>36185.647425897034</v>
      </c>
    </row>
    <row r="16" spans="2:10">
      <c r="B16" s="49" t="s">
        <v>162</v>
      </c>
      <c r="C16" s="50">
        <v>25.241689707042259</v>
      </c>
      <c r="D16" s="50">
        <v>12524.168970704226</v>
      </c>
      <c r="E16" s="50">
        <v>25.367742864413213</v>
      </c>
      <c r="F16" s="50">
        <v>19704.137095563798</v>
      </c>
      <c r="G16" s="50">
        <v>14.785077834302607</v>
      </c>
      <c r="H16" s="50">
        <v>19926.322973312148</v>
      </c>
      <c r="I16" s="50">
        <v>9.3646462013499576</v>
      </c>
      <c r="J16" s="50">
        <v>25594.976987724483</v>
      </c>
    </row>
    <row r="17" spans="2:10">
      <c r="B17" s="49" t="s">
        <v>163</v>
      </c>
      <c r="C17" s="50">
        <v>22.912681409071745</v>
      </c>
      <c r="D17" s="50">
        <v>12291.268140907174</v>
      </c>
      <c r="E17" s="50">
        <v>24.537547973581297</v>
      </c>
      <c r="F17" s="50">
        <v>19315.27660564542</v>
      </c>
      <c r="G17" s="50">
        <v>13.703517956986966</v>
      </c>
      <c r="H17" s="50">
        <v>19005.071562987927</v>
      </c>
      <c r="I17" s="50">
        <v>13.176678281702504</v>
      </c>
      <c r="J17" s="50">
        <v>36675.349831782718</v>
      </c>
    </row>
    <row r="18" spans="2:10">
      <c r="B18" s="49" t="s">
        <v>166</v>
      </c>
      <c r="C18" s="51">
        <v>36.9</v>
      </c>
      <c r="D18" s="52"/>
      <c r="E18" s="51">
        <v>23.45</v>
      </c>
      <c r="F18" s="52"/>
      <c r="G18" s="51">
        <v>25.93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2023-07-03T10:22:05Z</dcterms:created>
  <dcterms:modified xsi:type="dcterms:W3CDTF">2023-07-07T10:50:52Z</dcterms:modified>
</cp:coreProperties>
</file>