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0. Jan 2025\Monthly Portfolio Dec 2024\Ops\"/>
    </mc:Choice>
  </mc:AlternateContent>
  <xr:revisionPtr revIDLastSave="0" documentId="13_ncr:1_{B45B9BA4-6800-444B-9811-C16E0DCEE7D7}" xr6:coauthVersionLast="47" xr6:coauthVersionMax="47" xr10:uidLastSave="{00000000-0000-0000-0000-000000000000}"/>
  <bookViews>
    <workbookView xWindow="-120" yWindow="-120" windowWidth="20730" windowHeight="11040" xr2:uid="{8D2C462D-9285-4035-84E4-FF1C9151A92E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TBF!$C$8:$C$44</definedName>
    <definedName name="XDO_?CLASS_4?">TBF!$C$9</definedName>
    <definedName name="XDO_?CS_1?">TBF!$H$11</definedName>
    <definedName name="XDO_?CS_2?">TBF!$I$11</definedName>
    <definedName name="XDO_?FINAL_ISIN?">TBF!$D$10:$D$89</definedName>
    <definedName name="XDO_?FINAL_MV?">TBF!$H$10:$H$89</definedName>
    <definedName name="XDO_?FINAL_NAME?">TBF!$C$10:$C$89</definedName>
    <definedName name="XDO_?FINAL_PER_NET?">TBF!$I$10:$I$89</definedName>
    <definedName name="XDO_?FINAL_QUANTITE?">TBF!$G$10:$G$89</definedName>
    <definedName name="XDO_?IND_01?">TBF!$F$10:$F$89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TBF!$C$2:$C$44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TBF!$B$10:$B$89</definedName>
    <definedName name="XDO_?NPTF?">TBF!$D$2:$D$44</definedName>
    <definedName name="XDO_?RATING?">TBF!$E$10:$E$89</definedName>
    <definedName name="XDO_?REMARKS?">TBF!$J$10:$J$89</definedName>
    <definedName name="XDO_?TDATE?">TBF!$D$4</definedName>
    <definedName name="XDO_?TITL?">TBF!$A$8:$A$44</definedName>
    <definedName name="XDO_GROUP_?G_2?">TBF!$2:$92</definedName>
    <definedName name="XDO_GROUP_?G_3?">TBF!$8:$91</definedName>
    <definedName name="XDO_GROUP_?G_4?">TBF!$B$89:$IV$89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</calcChain>
</file>

<file path=xl/sharedStrings.xml><?xml version="1.0" encoding="utf-8"?>
<sst xmlns="http://schemas.openxmlformats.org/spreadsheetml/2006/main" count="277" uniqueCount="209">
  <si>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</si>
  <si>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</si>
  <si>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</si>
  <si>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</si>
  <si>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</si>
  <si>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</si>
  <si>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</si>
  <si>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</si>
  <si>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</si>
  <si>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</si>
  <si>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</si>
  <si>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</si>
  <si>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</si>
  <si>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</si>
  <si>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</si>
  <si>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</si>
  <si>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</si>
  <si>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</si>
  <si>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</si>
  <si>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</si>
  <si>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</si>
  <si>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</si>
  <si>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</si>
  <si>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</si>
  <si>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</si>
  <si>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</si>
  <si>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</si>
  <si>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</si>
  <si>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</si>
  <si>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</si>
  <si>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</si>
  <si>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</si>
  <si>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</si>
  <si>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100037</t>
  </si>
  <si>
    <t>HCL Technologies Ltd.</t>
  </si>
  <si>
    <t>INE860A01027</t>
  </si>
  <si>
    <t>IT - Software</t>
  </si>
  <si>
    <t>100169</t>
  </si>
  <si>
    <t>Indian Oil Corporation Ltd.</t>
  </si>
  <si>
    <t>INE242A01010</t>
  </si>
  <si>
    <t>Petroleum Products</t>
  </si>
  <si>
    <t>100024</t>
  </si>
  <si>
    <t>Axis Bank Ltd.</t>
  </si>
  <si>
    <t>INE238A01034</t>
  </si>
  <si>
    <t>100002</t>
  </si>
  <si>
    <t>Reliance Industries Ltd.</t>
  </si>
  <si>
    <t>INE002A01018</t>
  </si>
  <si>
    <t>100003</t>
  </si>
  <si>
    <t>Infosys Ltd.</t>
  </si>
  <si>
    <t>INE009A01021</t>
  </si>
  <si>
    <t>100830</t>
  </si>
  <si>
    <t>Varun Beverages Ltd.</t>
  </si>
  <si>
    <t>INE200M01039</t>
  </si>
  <si>
    <t>Beverages</t>
  </si>
  <si>
    <t>100153</t>
  </si>
  <si>
    <t>Cipla Ltd.</t>
  </si>
  <si>
    <t>INE059A01026</t>
  </si>
  <si>
    <t>Pharmaceuticals &amp; Biotechnology</t>
  </si>
  <si>
    <t>101178</t>
  </si>
  <si>
    <t>Computer Age Management Services Ltd.</t>
  </si>
  <si>
    <t>INE596I01012</t>
  </si>
  <si>
    <t>Capital Markets</t>
  </si>
  <si>
    <t>101313</t>
  </si>
  <si>
    <t>Zomato Ltd.</t>
  </si>
  <si>
    <t>INE758T01015</t>
  </si>
  <si>
    <t>Retailing</t>
  </si>
  <si>
    <t>100302</t>
  </si>
  <si>
    <t>DLF Ltd.</t>
  </si>
  <si>
    <t>INE271C01023</t>
  </si>
  <si>
    <t>Realty</t>
  </si>
  <si>
    <t>100008</t>
  </si>
  <si>
    <t>Sun Pharmaceutical Industries Ltd.</t>
  </si>
  <si>
    <t>INE044A01036</t>
  </si>
  <si>
    <t>100147</t>
  </si>
  <si>
    <t>Tech Mahindra Ltd.</t>
  </si>
  <si>
    <t>INE669C01036</t>
  </si>
  <si>
    <t>100181</t>
  </si>
  <si>
    <t>NTPC Ltd.</t>
  </si>
  <si>
    <t>INE733E01010</t>
  </si>
  <si>
    <t>Power</t>
  </si>
  <si>
    <t>100182</t>
  </si>
  <si>
    <t>Power Grid Corporation of India Ltd.</t>
  </si>
  <si>
    <t>INE752E01010</t>
  </si>
  <si>
    <t>100111</t>
  </si>
  <si>
    <t>Oil &amp; Natural Gas Corporation Ltd.</t>
  </si>
  <si>
    <t>INE213A01029</t>
  </si>
  <si>
    <t>Oil</t>
  </si>
  <si>
    <t>100759</t>
  </si>
  <si>
    <t>The New India Assurance Co. Ltd.</t>
  </si>
  <si>
    <t>INE470Y01017</t>
  </si>
  <si>
    <t>Insurance</t>
  </si>
  <si>
    <t>100399</t>
  </si>
  <si>
    <t>Cholamandalam Investment &amp; Finance Co. Ltd.</t>
  </si>
  <si>
    <t>INE121A01024</t>
  </si>
  <si>
    <t>Finance</t>
  </si>
  <si>
    <t>100380</t>
  </si>
  <si>
    <t>Bajaj Finserv Ltd.</t>
  </si>
  <si>
    <t>INE918I01026</t>
  </si>
  <si>
    <t>100095</t>
  </si>
  <si>
    <t>Bharti Airtel Ltd.</t>
  </si>
  <si>
    <t>INE397D01024</t>
  </si>
  <si>
    <t>Telecom - Services</t>
  </si>
  <si>
    <t>100083</t>
  </si>
  <si>
    <t>Samvardhana Motherson International Ltd.</t>
  </si>
  <si>
    <t>INE775A01035</t>
  </si>
  <si>
    <t>Auto Components</t>
  </si>
  <si>
    <t>100097</t>
  </si>
  <si>
    <t>Coal India Ltd.</t>
  </si>
  <si>
    <t>INE522F01014</t>
  </si>
  <si>
    <t>Consumable Fuels</t>
  </si>
  <si>
    <t>102135</t>
  </si>
  <si>
    <t>Le Travenues Technology Pvt. Ltd.</t>
  </si>
  <si>
    <t>INE0HV901016</t>
  </si>
  <si>
    <t>Leisure Services</t>
  </si>
  <si>
    <t>100005</t>
  </si>
  <si>
    <t>Larsen &amp; Toubro Ltd.</t>
  </si>
  <si>
    <t>INE018A01030</t>
  </si>
  <si>
    <t>Construction</t>
  </si>
  <si>
    <t>100150</t>
  </si>
  <si>
    <t>Apollo Hospitals Enterprise Ltd.</t>
  </si>
  <si>
    <t>INE437A01024</t>
  </si>
  <si>
    <t>Healthcare Services</t>
  </si>
  <si>
    <t>102005</t>
  </si>
  <si>
    <t>Tata Technologies Ltd.</t>
  </si>
  <si>
    <t>INE142M01025</t>
  </si>
  <si>
    <t>IT - Services</t>
  </si>
  <si>
    <t>100106</t>
  </si>
  <si>
    <t>Maruti Suzuki India Ltd.</t>
  </si>
  <si>
    <t>INE585B01010</t>
  </si>
  <si>
    <t>100122</t>
  </si>
  <si>
    <t>Union Bank of India</t>
  </si>
  <si>
    <t>INE692A01016</t>
  </si>
  <si>
    <t>100184</t>
  </si>
  <si>
    <t>Tata Steel Ltd.</t>
  </si>
  <si>
    <t>INE081A01020</t>
  </si>
  <si>
    <t>Ferrous Metals</t>
  </si>
  <si>
    <t>100112</t>
  </si>
  <si>
    <t>Punjab National Bank</t>
  </si>
  <si>
    <t>INE160A01022</t>
  </si>
  <si>
    <t>100081</t>
  </si>
  <si>
    <t>Titan Company Ltd.</t>
  </si>
  <si>
    <t>INE280A01028</t>
  </si>
  <si>
    <t>Consumer Durables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</si>
  <si>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</si>
  <si>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</si>
  <si>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</si>
  <si>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</si>
  <si>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</si>
  <si>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</si>
  <si>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</si>
  <si>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</si>
  <si>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</si>
  <si>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</si>
  <si>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</si>
  <si>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</si>
  <si>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</si>
  <si>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</si>
  <si>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</si>
  <si>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</si>
  <si>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</si>
  <si>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</si>
  <si>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</si>
  <si>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</si>
  <si>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</si>
  <si>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</si>
  <si>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101250100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</si>
  <si>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</si>
  <si>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</si>
  <si>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</si>
  <si>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</si>
  <si>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</si>
  <si>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</si>
  <si>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</si>
  <si>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</si>
  <si>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</si>
  <si>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</si>
  <si>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</si>
  <si>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</si>
  <si>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</si>
  <si>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</si>
  <si>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November 30, 2024</t>
  </si>
  <si>
    <t>December 31,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</si>
  <si>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</si>
  <si>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</si>
  <si>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</si>
  <si>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</si>
  <si>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  December 31, 2024.</t>
  </si>
  <si>
    <t>(7) The Scheme did not declare any bonus during the month ended As on  December 31, 2024.</t>
  </si>
  <si>
    <t>(8) Total outstanding exposure in derivative instruments as on As on  December 31, 2024 is Nil</t>
  </si>
  <si>
    <t>(9) Total investments in Foreign Securities /ADRs/GDRs /Overseas ETFs as at As on  December 31, 2024 and its percentage to NAV is Nil.</t>
  </si>
  <si>
    <t>(10) During the period, the portfolio turnover ratio is 0.81 times.</t>
  </si>
  <si>
    <t>      Portfolio Turnover Ratio = Lower of sales or purchase of securities divided by average AUM for 12 months ended As on  December 31, 2024</t>
  </si>
  <si>
    <t>(11) The Scheme did not invest in repo transactions of corporate debt securities during the month ended As on  December 31, 2024.</t>
  </si>
  <si>
    <t>(12) The Scheme did not invest in credit default swaps during the month ended As on  December 31, 2024.</t>
  </si>
  <si>
    <t>(13) There are Nil instances of deviation from the valuation principles/guidelines during the month ended as on December 31st, 2024.</t>
  </si>
  <si>
    <t>Taurus Largecap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</si>
  <si>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</si>
  <si>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</si>
  <si>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</si>
  <si>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</si>
  <si>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</si>
  <si>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</si>
  <si>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</si>
  <si>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</si>
  <si>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100 TRI (Benchmark)</t>
  </si>
  <si>
    <t>Nifty 50 TRI (Additional Benchmark)</t>
  </si>
  <si>
    <t>NAV [Rs.] Per Unit (as on December 31,2024 :154.31)</t>
  </si>
  <si>
    <t>Taurus Largecap Fund - Direct Plan Growth Option</t>
  </si>
  <si>
    <t>NAV [Rs.] Per Unit (as on December 31,2024 :163.08)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</si>
</sst>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0" fontId="14" fillId="0" borderId="13" xfId="0" applyFont="1" applyBorder="1"/>
  </cellXfs>
  <cellStyles count="6">
    <cellStyle name="Comma" xfId="1" builtinId="3"/>
    <cellStyle name="Comma 2" xfId="5" xr:uid="{64E00FB5-AD84-4868-8994-24EB73E5E362}"/>
    <cellStyle name="Hyperlink" xfId="2" builtinId="8"/>
    <cellStyle name="Normal" xfId="0" builtinId="0"/>
    <cellStyle name="Normal 2" xfId="4" xr:uid="{32E0BF9F-3270-404F-8BEF-E55DFC4CE72E}"/>
    <cellStyle name="Style 1" xfId="3" xr:uid="{530A7A54-A4DC-442F-AF36-B9A099449A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337481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F6E269-AFB2-4EEF-B645-78FD77035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89648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Dec_2024\TMF_Monthly_Portfolio_Report_December%2024.xls" TargetMode="External"/><Relationship Id="rId1" Type="http://schemas.openxmlformats.org/officeDocument/2006/relationships/externalLinkPath" Target="file:///Q:\5.TMF\Reporting\Monthly%20Reports\Monthly%20Portfolio\2024-25\Dec_2024\Final%20Report\TMF_Monthly_Portfolio_Report_Dec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9764-E238-426D-A5F3-88BBDB9DC101}">
  <sheetPr codeName="Sheet1"/>
  <dimension ref="A1:BB11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45657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26985</v>
      </c>
      <c r="H10" s="32">
        <v>478.3</v>
      </c>
      <c r="I10" s="32">
        <v>9.76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22452</v>
      </c>
      <c r="H11" s="32">
        <v>287.83</v>
      </c>
      <c r="I11" s="32">
        <v>5.87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32804</v>
      </c>
      <c r="H12" s="32">
        <v>260.81</v>
      </c>
      <c r="I12" s="32">
        <v>5.32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28</v>
      </c>
      <c r="G13" s="31">
        <v>49580</v>
      </c>
      <c r="H13" s="32">
        <v>239.79</v>
      </c>
      <c r="I13" s="32">
        <v>4.8899999999999997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7160</v>
      </c>
      <c r="H14" s="32">
        <v>215.3</v>
      </c>
      <c r="I14" s="32">
        <v>4.3899999999999997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10500</v>
      </c>
      <c r="H15" s="32">
        <v>201.43</v>
      </c>
      <c r="I15" s="32">
        <v>4.1100000000000003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136730</v>
      </c>
      <c r="H16" s="32">
        <v>186.5</v>
      </c>
      <c r="I16" s="32">
        <v>3.8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14966</v>
      </c>
      <c r="H17" s="32">
        <v>159.43</v>
      </c>
      <c r="I17" s="32">
        <v>3.25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40</v>
      </c>
      <c r="G18" s="31">
        <v>12351</v>
      </c>
      <c r="H18" s="32">
        <v>150.12</v>
      </c>
      <c r="I18" s="32">
        <v>3.06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36</v>
      </c>
      <c r="G19" s="31">
        <v>7839</v>
      </c>
      <c r="H19" s="32">
        <v>147.43</v>
      </c>
      <c r="I19" s="32">
        <v>3.01</v>
      </c>
      <c r="J19" s="33"/>
    </row>
    <row r="20" spans="2:10" x14ac:dyDescent="0.25">
      <c r="B20" s="1" t="s">
        <v>50</v>
      </c>
      <c r="C20" s="20" t="s">
        <v>51</v>
      </c>
      <c r="D20" s="29" t="s">
        <v>52</v>
      </c>
      <c r="E20" s="30"/>
      <c r="F20" s="30" t="s">
        <v>53</v>
      </c>
      <c r="G20" s="31">
        <v>22572</v>
      </c>
      <c r="H20" s="32">
        <v>144.11000000000001</v>
      </c>
      <c r="I20" s="32">
        <v>2.94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9225</v>
      </c>
      <c r="H21" s="32">
        <v>141.1</v>
      </c>
      <c r="I21" s="32">
        <v>2.88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2557</v>
      </c>
      <c r="H22" s="32">
        <v>129.78</v>
      </c>
      <c r="I22" s="32">
        <v>2.65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42503</v>
      </c>
      <c r="H23" s="32">
        <v>118.16</v>
      </c>
      <c r="I23" s="32">
        <v>2.41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14145</v>
      </c>
      <c r="H24" s="32">
        <v>116.65</v>
      </c>
      <c r="I24" s="32">
        <v>2.38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57</v>
      </c>
      <c r="G25" s="31">
        <v>5849</v>
      </c>
      <c r="H25" s="32">
        <v>110.22</v>
      </c>
      <c r="I25" s="32">
        <v>2.25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36</v>
      </c>
      <c r="G26" s="31">
        <v>6281</v>
      </c>
      <c r="H26" s="32">
        <v>107.13</v>
      </c>
      <c r="I26" s="32">
        <v>2.19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31179</v>
      </c>
      <c r="H27" s="32">
        <v>103.95</v>
      </c>
      <c r="I27" s="32">
        <v>2.12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79</v>
      </c>
      <c r="G28" s="31">
        <v>33010</v>
      </c>
      <c r="H28" s="32">
        <v>101.87</v>
      </c>
      <c r="I28" s="32">
        <v>2.08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42238</v>
      </c>
      <c r="H29" s="32">
        <v>100.97</v>
      </c>
      <c r="I29" s="32">
        <v>2.06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47735</v>
      </c>
      <c r="H30" s="32">
        <v>96.66</v>
      </c>
      <c r="I30" s="32">
        <v>1.97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8050</v>
      </c>
      <c r="H31" s="32">
        <v>95.52</v>
      </c>
      <c r="I31" s="32">
        <v>1.95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94</v>
      </c>
      <c r="G32" s="31">
        <v>5822</v>
      </c>
      <c r="H32" s="32">
        <v>91.29</v>
      </c>
      <c r="I32" s="32">
        <v>1.86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5528</v>
      </c>
      <c r="H33" s="32">
        <v>87.79</v>
      </c>
      <c r="I33" s="32">
        <v>1.79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51757</v>
      </c>
      <c r="H34" s="32">
        <v>80.819999999999993</v>
      </c>
      <c r="I34" s="32">
        <v>1.65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19749</v>
      </c>
      <c r="H35" s="32">
        <v>75.819999999999993</v>
      </c>
      <c r="I35" s="32">
        <v>1.55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42726</v>
      </c>
      <c r="H36" s="32">
        <v>71.69</v>
      </c>
      <c r="I36" s="32">
        <v>1.46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1868</v>
      </c>
      <c r="H37" s="32">
        <v>67.400000000000006</v>
      </c>
      <c r="I37" s="32">
        <v>1.37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837</v>
      </c>
      <c r="H38" s="32">
        <v>61.05</v>
      </c>
      <c r="I38" s="32">
        <v>1.25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5876</v>
      </c>
      <c r="H39" s="32">
        <v>52.38</v>
      </c>
      <c r="I39" s="32">
        <v>1.07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32</v>
      </c>
      <c r="G40" s="31">
        <v>443</v>
      </c>
      <c r="H40" s="32">
        <v>48.14</v>
      </c>
      <c r="I40" s="32">
        <v>0.98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18</v>
      </c>
      <c r="G41" s="31">
        <v>39750</v>
      </c>
      <c r="H41" s="32">
        <v>47.84</v>
      </c>
      <c r="I41" s="32">
        <v>0.98</v>
      </c>
      <c r="J41" s="33"/>
    </row>
    <row r="42" spans="2:10" x14ac:dyDescent="0.25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33943</v>
      </c>
      <c r="H42" s="32">
        <v>46.88</v>
      </c>
      <c r="I42" s="32">
        <v>0.96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18</v>
      </c>
      <c r="G43" s="31">
        <v>45000</v>
      </c>
      <c r="H43" s="32">
        <v>46.24</v>
      </c>
      <c r="I43" s="32">
        <v>0.94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142</v>
      </c>
      <c r="G44" s="31">
        <v>1393</v>
      </c>
      <c r="H44" s="32">
        <v>45.32</v>
      </c>
      <c r="I44" s="32">
        <v>0.92</v>
      </c>
      <c r="J44" s="33"/>
    </row>
    <row r="45" spans="2:10" x14ac:dyDescent="0.25">
      <c r="C45" s="28" t="s">
        <v>143</v>
      </c>
      <c r="D45" s="29"/>
      <c r="E45" s="30"/>
      <c r="F45" s="30"/>
      <c r="G45" s="31"/>
      <c r="H45" s="35">
        <v>4515.72</v>
      </c>
      <c r="I45" s="35">
        <v>92.12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144</v>
      </c>
      <c r="D47" s="29"/>
      <c r="E47" s="30"/>
      <c r="F47" s="30"/>
      <c r="G47" s="31"/>
      <c r="H47" s="32" t="s">
        <v>145</v>
      </c>
      <c r="I47" s="32" t="s">
        <v>145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146</v>
      </c>
      <c r="D49" s="29"/>
      <c r="E49" s="30"/>
      <c r="F49" s="30"/>
      <c r="G49" s="31"/>
      <c r="H49" s="32" t="s">
        <v>145</v>
      </c>
      <c r="I49" s="32" t="s">
        <v>145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147</v>
      </c>
      <c r="D51" s="29"/>
      <c r="E51" s="30"/>
      <c r="F51" s="30"/>
      <c r="G51" s="31"/>
      <c r="H51" s="32"/>
      <c r="I51" s="32"/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148</v>
      </c>
      <c r="D53" s="29"/>
      <c r="E53" s="30"/>
      <c r="F53" s="30"/>
      <c r="G53" s="31"/>
      <c r="H53" s="32" t="s">
        <v>145</v>
      </c>
      <c r="I53" s="32" t="s">
        <v>145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149</v>
      </c>
      <c r="D55" s="29"/>
      <c r="E55" s="30"/>
      <c r="F55" s="30"/>
      <c r="G55" s="31"/>
      <c r="H55" s="32" t="s">
        <v>145</v>
      </c>
      <c r="I55" s="32" t="s">
        <v>145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150</v>
      </c>
      <c r="D57" s="29"/>
      <c r="E57" s="30"/>
      <c r="F57" s="30"/>
      <c r="G57" s="31"/>
      <c r="H57" s="32" t="s">
        <v>145</v>
      </c>
      <c r="I57" s="32" t="s">
        <v>145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151</v>
      </c>
      <c r="D59" s="29"/>
      <c r="E59" s="30"/>
      <c r="F59" s="30"/>
      <c r="G59" s="31"/>
      <c r="H59" s="32" t="s">
        <v>145</v>
      </c>
      <c r="I59" s="32" t="s">
        <v>145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152</v>
      </c>
      <c r="D61" s="29"/>
      <c r="E61" s="30"/>
      <c r="F61" s="30"/>
      <c r="G61" s="31"/>
      <c r="H61" s="32" t="s">
        <v>145</v>
      </c>
      <c r="I61" s="32" t="s">
        <v>145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153</v>
      </c>
      <c r="D63" s="29"/>
      <c r="E63" s="30"/>
      <c r="F63" s="30"/>
      <c r="G63" s="31"/>
      <c r="H63" s="32"/>
      <c r="I63" s="32"/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154</v>
      </c>
      <c r="D65" s="29"/>
      <c r="E65" s="30"/>
      <c r="F65" s="30"/>
      <c r="G65" s="31"/>
      <c r="H65" s="32" t="s">
        <v>145</v>
      </c>
      <c r="I65" s="32" t="s">
        <v>145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155</v>
      </c>
      <c r="D67" s="29"/>
      <c r="E67" s="30"/>
      <c r="F67" s="30"/>
      <c r="G67" s="31"/>
      <c r="H67" s="32" t="s">
        <v>145</v>
      </c>
      <c r="I67" s="32" t="s">
        <v>145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156</v>
      </c>
      <c r="D69" s="29"/>
      <c r="E69" s="30"/>
      <c r="F69" s="30"/>
      <c r="G69" s="31"/>
      <c r="H69" s="32" t="s">
        <v>145</v>
      </c>
      <c r="I69" s="32" t="s">
        <v>145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C71" s="28" t="s">
        <v>157</v>
      </c>
      <c r="D71" s="29"/>
      <c r="E71" s="30"/>
      <c r="F71" s="30"/>
      <c r="G71" s="31"/>
      <c r="H71" s="32" t="s">
        <v>145</v>
      </c>
      <c r="I71" s="32" t="s">
        <v>145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x14ac:dyDescent="0.25">
      <c r="A73" s="26"/>
      <c r="B73" s="27"/>
      <c r="C73" s="28" t="s">
        <v>158</v>
      </c>
      <c r="D73" s="29"/>
      <c r="E73" s="30"/>
      <c r="F73" s="30"/>
      <c r="G73" s="31"/>
      <c r="H73" s="32"/>
      <c r="I73" s="32"/>
      <c r="J73" s="33"/>
    </row>
    <row r="74" spans="1:10" x14ac:dyDescent="0.25">
      <c r="A74" s="27"/>
      <c r="B74" s="27"/>
      <c r="C74" s="28" t="s">
        <v>159</v>
      </c>
      <c r="D74" s="29"/>
      <c r="E74" s="30"/>
      <c r="F74" s="30"/>
      <c r="G74" s="31"/>
      <c r="H74" s="32" t="s">
        <v>145</v>
      </c>
      <c r="I74" s="32" t="s">
        <v>145</v>
      </c>
      <c r="J74" s="33"/>
    </row>
    <row r="75" spans="1:10" x14ac:dyDescent="0.25">
      <c r="A75" s="27"/>
      <c r="B75" s="27"/>
      <c r="C75" s="28"/>
      <c r="D75" s="29"/>
      <c r="E75" s="30"/>
      <c r="F75" s="30"/>
      <c r="G75" s="31"/>
      <c r="H75" s="32"/>
      <c r="I75" s="32"/>
      <c r="J75" s="33"/>
    </row>
    <row r="76" spans="1:10" x14ac:dyDescent="0.25">
      <c r="A76" s="27"/>
      <c r="B76" s="27"/>
      <c r="C76" s="28" t="s">
        <v>160</v>
      </c>
      <c r="D76" s="29"/>
      <c r="E76" s="30"/>
      <c r="F76" s="30"/>
      <c r="G76" s="31"/>
      <c r="H76" s="32" t="s">
        <v>145</v>
      </c>
      <c r="I76" s="32" t="s">
        <v>145</v>
      </c>
      <c r="J76" s="33"/>
    </row>
    <row r="77" spans="1:10" x14ac:dyDescent="0.25">
      <c r="A77" s="27"/>
      <c r="B77" s="27"/>
      <c r="C77" s="28"/>
      <c r="D77" s="29"/>
      <c r="E77" s="30"/>
      <c r="F77" s="30"/>
      <c r="G77" s="31"/>
      <c r="H77" s="32"/>
      <c r="I77" s="32"/>
      <c r="J77" s="33"/>
    </row>
    <row r="78" spans="1:10" x14ac:dyDescent="0.25">
      <c r="A78" s="27"/>
      <c r="B78" s="27"/>
      <c r="C78" s="28" t="s">
        <v>161</v>
      </c>
      <c r="D78" s="29"/>
      <c r="E78" s="30"/>
      <c r="F78" s="30"/>
      <c r="G78" s="31"/>
      <c r="H78" s="32" t="s">
        <v>145</v>
      </c>
      <c r="I78" s="32" t="s">
        <v>145</v>
      </c>
      <c r="J78" s="33"/>
    </row>
    <row r="79" spans="1:10" x14ac:dyDescent="0.25">
      <c r="A79" s="27"/>
      <c r="B79" s="27"/>
      <c r="C79" s="28"/>
      <c r="D79" s="29"/>
      <c r="E79" s="30"/>
      <c r="F79" s="30"/>
      <c r="G79" s="31"/>
      <c r="H79" s="32"/>
      <c r="I79" s="32"/>
      <c r="J79" s="33"/>
    </row>
    <row r="80" spans="1:10" x14ac:dyDescent="0.25">
      <c r="A80" s="27"/>
      <c r="B80" s="27"/>
      <c r="C80" s="28" t="s">
        <v>162</v>
      </c>
      <c r="D80" s="29"/>
      <c r="E80" s="30"/>
      <c r="F80" s="30"/>
      <c r="G80" s="31"/>
      <c r="H80" s="32" t="s">
        <v>145</v>
      </c>
      <c r="I80" s="32" t="s">
        <v>145</v>
      </c>
      <c r="J80" s="33"/>
    </row>
    <row r="81" spans="1:10" x14ac:dyDescent="0.25">
      <c r="A81" s="27"/>
      <c r="B81" s="27"/>
      <c r="C81" s="28"/>
      <c r="D81" s="29"/>
      <c r="E81" s="30"/>
      <c r="F81" s="30"/>
      <c r="G81" s="31"/>
      <c r="H81" s="32"/>
      <c r="I81" s="32"/>
      <c r="J81" s="33"/>
    </row>
    <row r="82" spans="1:10" x14ac:dyDescent="0.25">
      <c r="A82" s="27"/>
      <c r="B82" s="27"/>
      <c r="C82" s="28" t="s">
        <v>163</v>
      </c>
      <c r="D82" s="29"/>
      <c r="E82" s="30"/>
      <c r="F82" s="30"/>
      <c r="G82" s="31"/>
      <c r="H82" s="32" t="s">
        <v>145</v>
      </c>
      <c r="I82" s="32" t="s">
        <v>145</v>
      </c>
      <c r="J82" s="33"/>
    </row>
    <row r="83" spans="1:10" x14ac:dyDescent="0.25">
      <c r="A83" s="27"/>
      <c r="B83" s="27"/>
      <c r="C83" s="28"/>
      <c r="D83" s="29"/>
      <c r="E83" s="30"/>
      <c r="F83" s="30"/>
      <c r="G83" s="31"/>
      <c r="H83" s="32"/>
      <c r="I83" s="32"/>
      <c r="J83" s="33"/>
    </row>
    <row r="84" spans="1:10" x14ac:dyDescent="0.25">
      <c r="C84" s="34" t="s">
        <v>164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 t="s">
        <v>165</v>
      </c>
      <c r="C85" s="20" t="s">
        <v>166</v>
      </c>
      <c r="D85" s="29"/>
      <c r="E85" s="30"/>
      <c r="F85" s="30"/>
      <c r="G85" s="31"/>
      <c r="H85" s="32">
        <v>100</v>
      </c>
      <c r="I85" s="32">
        <v>2.04</v>
      </c>
      <c r="J85" s="33"/>
    </row>
    <row r="86" spans="1:10" x14ac:dyDescent="0.25">
      <c r="C86" s="28" t="s">
        <v>143</v>
      </c>
      <c r="D86" s="29"/>
      <c r="E86" s="30"/>
      <c r="F86" s="30"/>
      <c r="G86" s="31"/>
      <c r="H86" s="35">
        <v>100</v>
      </c>
      <c r="I86" s="35">
        <v>2.04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A88" s="26"/>
      <c r="B88" s="27"/>
      <c r="C88" s="28" t="s">
        <v>167</v>
      </c>
      <c r="D88" s="29"/>
      <c r="E88" s="30"/>
      <c r="F88" s="30"/>
      <c r="G88" s="31"/>
      <c r="H88" s="32"/>
      <c r="I88" s="32"/>
      <c r="J88" s="33"/>
    </row>
    <row r="89" spans="1:10" x14ac:dyDescent="0.25">
      <c r="B89" s="1"/>
      <c r="C89" s="20" t="s">
        <v>168</v>
      </c>
      <c r="D89" s="29"/>
      <c r="E89" s="30"/>
      <c r="F89" s="30"/>
      <c r="G89" s="31"/>
      <c r="H89" s="32">
        <v>286.44</v>
      </c>
      <c r="I89" s="32">
        <v>5.84</v>
      </c>
      <c r="J89" s="33"/>
    </row>
    <row r="90" spans="1:10" x14ac:dyDescent="0.25">
      <c r="C90" s="28" t="s">
        <v>143</v>
      </c>
      <c r="D90" s="29"/>
      <c r="E90" s="30"/>
      <c r="F90" s="30"/>
      <c r="G90" s="31"/>
      <c r="H90" s="35">
        <v>286.44</v>
      </c>
      <c r="I90" s="35">
        <v>5.84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ht="14.25" thickBot="1" x14ac:dyDescent="0.3">
      <c r="C92" s="36" t="s">
        <v>169</v>
      </c>
      <c r="D92" s="37"/>
      <c r="E92" s="38"/>
      <c r="F92" s="39"/>
      <c r="G92" s="40"/>
      <c r="H92" s="41">
        <v>4902.16</v>
      </c>
      <c r="I92" s="41">
        <f>SUMIFS(I:I,C:C,"Total")</f>
        <v>100.00000000000001</v>
      </c>
      <c r="J92" s="42"/>
    </row>
    <row r="95" spans="1:10" x14ac:dyDescent="0.25">
      <c r="C95" s="11" t="s">
        <v>170</v>
      </c>
    </row>
    <row r="96" spans="1:10" x14ac:dyDescent="0.25">
      <c r="C96" s="2" t="s">
        <v>171</v>
      </c>
    </row>
    <row r="97" spans="3:5" x14ac:dyDescent="0.25">
      <c r="C97" s="2" t="s">
        <v>172</v>
      </c>
    </row>
    <row r="98" spans="3:5" x14ac:dyDescent="0.25">
      <c r="C98" s="2" t="s">
        <v>173</v>
      </c>
    </row>
    <row r="99" spans="3:5" x14ac:dyDescent="0.25">
      <c r="C99" s="2" t="s">
        <v>174</v>
      </c>
    </row>
    <row r="100" spans="3:5" x14ac:dyDescent="0.25">
      <c r="C100" s="2" t="s">
        <v>175</v>
      </c>
    </row>
    <row r="101" spans="3:5" x14ac:dyDescent="0.25">
      <c r="C101" s="2" t="s">
        <v>176</v>
      </c>
    </row>
    <row r="102" spans="3:5" x14ac:dyDescent="0.25">
      <c r="D102" s="2" t="s">
        <v>177</v>
      </c>
    </row>
    <row r="103" spans="3:5" x14ac:dyDescent="0.25">
      <c r="C103" s="2" t="s">
        <v>178</v>
      </c>
      <c r="D103" s="2" t="s">
        <v>179</v>
      </c>
      <c r="E103" s="2" t="s">
        <v>179</v>
      </c>
    </row>
    <row r="104" spans="3:5" x14ac:dyDescent="0.25">
      <c r="D104" s="2" t="s">
        <v>180</v>
      </c>
      <c r="E104" s="2" t="s">
        <v>181</v>
      </c>
    </row>
    <row r="105" spans="3:5" x14ac:dyDescent="0.25">
      <c r="C105" s="2" t="s">
        <v>182</v>
      </c>
      <c r="D105" s="2">
        <v>68.33</v>
      </c>
      <c r="E105" s="2">
        <v>67.599999999999994</v>
      </c>
    </row>
    <row r="106" spans="3:5" x14ac:dyDescent="0.25">
      <c r="C106" s="2" t="s">
        <v>183</v>
      </c>
      <c r="D106" s="2">
        <v>155.97</v>
      </c>
      <c r="E106" s="2">
        <v>154.31</v>
      </c>
    </row>
    <row r="107" spans="3:5" x14ac:dyDescent="0.25">
      <c r="C107" s="2" t="s">
        <v>184</v>
      </c>
      <c r="D107" s="2">
        <v>72.599999999999994</v>
      </c>
      <c r="E107" s="2">
        <v>71.84</v>
      </c>
    </row>
    <row r="108" spans="3:5" x14ac:dyDescent="0.25">
      <c r="C108" s="2" t="s">
        <v>185</v>
      </c>
      <c r="D108" s="2">
        <v>164.82</v>
      </c>
      <c r="E108" s="2">
        <v>163.08000000000001</v>
      </c>
    </row>
    <row r="110" spans="3:5" x14ac:dyDescent="0.25">
      <c r="C110" s="2" t="s">
        <v>186</v>
      </c>
    </row>
    <row r="111" spans="3:5" x14ac:dyDescent="0.25">
      <c r="C111" s="2" t="s">
        <v>187</v>
      </c>
    </row>
    <row r="112" spans="3:5" x14ac:dyDescent="0.25">
      <c r="C112" s="2" t="s">
        <v>188</v>
      </c>
    </row>
    <row r="113" spans="3:3" x14ac:dyDescent="0.25">
      <c r="C113" s="2" t="s">
        <v>189</v>
      </c>
    </row>
    <row r="114" spans="3:3" x14ac:dyDescent="0.25">
      <c r="C114" s="2" t="s">
        <v>190</v>
      </c>
    </row>
    <row r="115" spans="3:3" x14ac:dyDescent="0.25">
      <c r="C115" s="2" t="s">
        <v>191</v>
      </c>
    </row>
    <row r="116" spans="3:3" x14ac:dyDescent="0.25">
      <c r="C116" s="2" t="s">
        <v>192</v>
      </c>
    </row>
    <row r="117" spans="3:3" x14ac:dyDescent="0.25">
      <c r="C117" s="2" t="s">
        <v>193</v>
      </c>
    </row>
    <row r="118" spans="3:3" x14ac:dyDescent="0.25">
      <c r="C118" s="2" t="s">
        <v>194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1520-6D7E-4445-A1C8-8530A9E1CC83}">
  <dimension ref="C4:K18"/>
  <sheetViews>
    <sheetView workbookViewId="0"/>
  </sheetViews>
  <sheetFormatPr defaultRowHeight="15" x14ac:dyDescent="0.25"/>
  <cols>
    <col min="3" max="3" width="49.42578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4" spans="3:11" ht="15.75" x14ac:dyDescent="0.25">
      <c r="C4" s="43" t="s">
        <v>195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196</v>
      </c>
      <c r="D5" s="46" t="s">
        <v>197</v>
      </c>
      <c r="E5" s="46"/>
      <c r="F5" s="46" t="s">
        <v>198</v>
      </c>
      <c r="G5" s="46"/>
      <c r="H5" s="46" t="s">
        <v>199</v>
      </c>
      <c r="I5" s="46"/>
      <c r="J5" s="47" t="s">
        <v>200</v>
      </c>
      <c r="K5" s="47"/>
    </row>
    <row r="6" spans="3:11" ht="63.75" x14ac:dyDescent="0.25">
      <c r="C6" s="48"/>
      <c r="D6" s="49" t="s">
        <v>201</v>
      </c>
      <c r="E6" s="49" t="s">
        <v>202</v>
      </c>
      <c r="F6" s="49" t="s">
        <v>201</v>
      </c>
      <c r="G6" s="49" t="s">
        <v>202</v>
      </c>
      <c r="H6" s="49" t="s">
        <v>201</v>
      </c>
      <c r="I6" s="49" t="s">
        <v>202</v>
      </c>
      <c r="J6" s="50" t="s">
        <v>201</v>
      </c>
      <c r="K6" s="50" t="s">
        <v>202</v>
      </c>
    </row>
    <row r="7" spans="3:11" x14ac:dyDescent="0.25">
      <c r="C7" s="51" t="s">
        <v>203</v>
      </c>
      <c r="D7" s="52">
        <v>17.886700000000001</v>
      </c>
      <c r="E7" s="52">
        <v>11804.620563035496</v>
      </c>
      <c r="F7" s="52">
        <v>15.3123</v>
      </c>
      <c r="G7" s="52">
        <v>15338.9662027833</v>
      </c>
      <c r="H7" s="52">
        <v>14.7738</v>
      </c>
      <c r="I7" s="52">
        <v>19931.542237148024</v>
      </c>
      <c r="J7" s="52">
        <v>10.968</v>
      </c>
      <c r="K7" s="52">
        <v>154310</v>
      </c>
    </row>
    <row r="8" spans="3:11" x14ac:dyDescent="0.25">
      <c r="C8" s="51" t="s">
        <v>204</v>
      </c>
      <c r="D8" s="52">
        <v>13.1995</v>
      </c>
      <c r="E8" s="52">
        <v>11319.95</v>
      </c>
      <c r="F8" s="52">
        <v>13.961600000000001</v>
      </c>
      <c r="G8" s="52">
        <v>14800.473650428967</v>
      </c>
      <c r="H8" s="52">
        <v>16.9421</v>
      </c>
      <c r="I8" s="52">
        <v>21870.284988340482</v>
      </c>
      <c r="J8" s="52">
        <v>12.462199999999999</v>
      </c>
      <c r="K8" s="52">
        <v>333480.39200292964</v>
      </c>
    </row>
    <row r="9" spans="3:11" x14ac:dyDescent="0.25">
      <c r="C9" s="51" t="s">
        <v>205</v>
      </c>
      <c r="D9" s="52">
        <v>10.0029</v>
      </c>
      <c r="E9" s="52">
        <v>11000.289999999999</v>
      </c>
      <c r="F9" s="52">
        <v>12.159599999999999</v>
      </c>
      <c r="G9" s="52">
        <v>14109.42629911117</v>
      </c>
      <c r="H9" s="52">
        <v>15.5176</v>
      </c>
      <c r="I9" s="52">
        <v>20570.307645490186</v>
      </c>
      <c r="J9" s="52">
        <v>12.6061</v>
      </c>
      <c r="K9" s="52">
        <v>346459.90296953561</v>
      </c>
    </row>
    <row r="10" spans="3:11" x14ac:dyDescent="0.25">
      <c r="C10" s="51" t="s">
        <v>206</v>
      </c>
      <c r="D10" s="53">
        <v>130.72</v>
      </c>
      <c r="E10" s="54"/>
      <c r="F10" s="53">
        <v>100.6</v>
      </c>
      <c r="G10" s="54"/>
      <c r="H10" s="53">
        <v>77.42</v>
      </c>
      <c r="I10" s="54"/>
      <c r="J10" s="53">
        <v>10</v>
      </c>
      <c r="K10" s="54"/>
    </row>
    <row r="12" spans="3:11" ht="15.75" x14ac:dyDescent="0.25">
      <c r="C12" s="43" t="s">
        <v>207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196</v>
      </c>
      <c r="D13" s="46" t="s">
        <v>197</v>
      </c>
      <c r="E13" s="46"/>
      <c r="F13" s="46" t="s">
        <v>198</v>
      </c>
      <c r="G13" s="46"/>
      <c r="H13" s="46" t="s">
        <v>199</v>
      </c>
      <c r="I13" s="46"/>
      <c r="J13" s="47" t="s">
        <v>200</v>
      </c>
      <c r="K13" s="47"/>
    </row>
    <row r="14" spans="3:11" ht="63.75" x14ac:dyDescent="0.25">
      <c r="C14" s="48"/>
      <c r="D14" s="49" t="s">
        <v>201</v>
      </c>
      <c r="E14" s="49" t="s">
        <v>202</v>
      </c>
      <c r="F14" s="49" t="s">
        <v>201</v>
      </c>
      <c r="G14" s="49" t="s">
        <v>202</v>
      </c>
      <c r="H14" s="49" t="s">
        <v>201</v>
      </c>
      <c r="I14" s="49" t="s">
        <v>202</v>
      </c>
      <c r="J14" s="50" t="s">
        <v>201</v>
      </c>
      <c r="K14" s="50" t="s">
        <v>202</v>
      </c>
    </row>
    <row r="15" spans="3:11" x14ac:dyDescent="0.25">
      <c r="C15" s="51" t="s">
        <v>203</v>
      </c>
      <c r="D15" s="52">
        <v>18.013200000000001</v>
      </c>
      <c r="E15" s="52">
        <v>11817.391304347828</v>
      </c>
      <c r="F15" s="52">
        <v>15.4199</v>
      </c>
      <c r="G15" s="52">
        <v>15382.00339558574</v>
      </c>
      <c r="H15" s="52">
        <v>14.888999999999999</v>
      </c>
      <c r="I15" s="52">
        <v>20031.937108463335</v>
      </c>
      <c r="J15" s="52">
        <v>11.3804</v>
      </c>
      <c r="K15" s="52">
        <v>36630.727762803239</v>
      </c>
    </row>
    <row r="16" spans="3:11" x14ac:dyDescent="0.25">
      <c r="C16" s="51" t="s">
        <v>204</v>
      </c>
      <c r="D16" s="52">
        <v>13.1995</v>
      </c>
      <c r="E16" s="52">
        <v>11319.95</v>
      </c>
      <c r="F16" s="52">
        <v>13.961600000000001</v>
      </c>
      <c r="G16" s="52">
        <v>14800.473650428967</v>
      </c>
      <c r="H16" s="52">
        <v>16.9421</v>
      </c>
      <c r="I16" s="52">
        <v>21870.284988340482</v>
      </c>
      <c r="J16" s="52">
        <v>14.051299999999999</v>
      </c>
      <c r="K16" s="52">
        <v>48439.859938382826</v>
      </c>
    </row>
    <row r="17" spans="3:11" x14ac:dyDescent="0.25">
      <c r="C17" s="51" t="s">
        <v>205</v>
      </c>
      <c r="D17" s="52">
        <v>10.0029</v>
      </c>
      <c r="E17" s="52">
        <v>11000.289999999999</v>
      </c>
      <c r="F17" s="52">
        <v>12.159599999999999</v>
      </c>
      <c r="G17" s="52">
        <v>14109.42629911117</v>
      </c>
      <c r="H17" s="52">
        <v>15.5176</v>
      </c>
      <c r="I17" s="52">
        <v>20570.307645490186</v>
      </c>
      <c r="J17" s="52">
        <v>13.4582</v>
      </c>
      <c r="K17" s="52">
        <v>45502.019379775949</v>
      </c>
    </row>
    <row r="18" spans="3:11" x14ac:dyDescent="0.25">
      <c r="C18" s="55" t="s">
        <v>208</v>
      </c>
      <c r="D18" s="53">
        <v>138</v>
      </c>
      <c r="E18" s="54"/>
      <c r="F18" s="53">
        <v>106.02</v>
      </c>
      <c r="G18" s="54"/>
      <c r="H18" s="53">
        <v>81.41</v>
      </c>
      <c r="I18" s="54"/>
      <c r="J18" s="53">
        <v>44.52</v>
      </c>
      <c r="K18" s="54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2025-01-06T13:57:42Z</dcterms:created>
  <dcterms:modified xsi:type="dcterms:W3CDTF">2025-01-07T11:32:06Z</dcterms:modified>
</cp:coreProperties>
</file>