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u HDD Data\Taurus\Monthly Portfolio\2023\July 2023\"/>
    </mc:Choice>
  </mc:AlternateContent>
  <xr:revisionPtr revIDLastSave="0" documentId="13_ncr:1_{056AFC93-6C33-4EA0-9FA6-BC8DE5C4A794}" xr6:coauthVersionLast="47" xr6:coauthVersionMax="47" xr10:uidLastSave="{00000000-0000-0000-0000-000000000000}"/>
  <bookViews>
    <workbookView xWindow="-120" yWindow="-120" windowWidth="20730" windowHeight="11160" xr2:uid="{3AA474D1-F4EB-4ACE-9212-DBE6B4DF14C5}"/>
  </bookViews>
  <sheets>
    <sheet name="TBF-Risk-o-meter &amp; Portfolio" sheetId="1" r:id="rId1"/>
    <sheet name="TBF-Performance" sheetId="2" r:id="rId2"/>
  </sheets>
  <externalReferences>
    <externalReference r:id="rId3"/>
  </externalReferences>
  <definedNames>
    <definedName name="XDO_?AUM?">'TBF-Risk-o-meter &amp; Portfolio'!$H$13</definedName>
    <definedName name="XDO_?CLASS_3?">'TBF-Risk-o-meter &amp; Portfolio'!$C$8:$C$41</definedName>
    <definedName name="XDO_?CLASS_4?">'TBF-Risk-o-meter &amp; Portfolio'!$C$9</definedName>
    <definedName name="XDO_?CS_1?">'TBF-Risk-o-meter &amp; Portfolio'!$H$11</definedName>
    <definedName name="XDO_?CS_2?">'TBF-Risk-o-meter &amp; Portfolio'!$I$11</definedName>
    <definedName name="XDO_?FINAL_ISIN?">'TBF-Risk-o-meter &amp; Portfolio'!$D$10:$D$83</definedName>
    <definedName name="XDO_?FINAL_MV?">'TBF-Risk-o-meter &amp; Portfolio'!$H$10:$H$83</definedName>
    <definedName name="XDO_?FINAL_NAME?">'TBF-Risk-o-meter &amp; Portfolio'!$C$10:$C$83</definedName>
    <definedName name="XDO_?FINAL_PER_NET?">'TBF-Risk-o-meter &amp; Portfolio'!$I$10:$I$83</definedName>
    <definedName name="XDO_?FINAL_QUANTITE?">'TBF-Risk-o-meter &amp; Portfolio'!$G$10:$G$83</definedName>
    <definedName name="XDO_?IND_01?">'TBF-Risk-o-meter &amp; Portfolio'!$F$10:$F$83</definedName>
    <definedName name="XDO_?LONG_DESC?">'TBF-Risk-o-meter &amp; Portfolio'!$D$3</definedName>
    <definedName name="XDO_?NAMC?">'TBF-Risk-o-meter &amp; Portfolio'!#REF!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'TBF-Risk-o-meter &amp; Portfolio'!$C$2:$C$41</definedName>
    <definedName name="XDO_?NDATE?">'TBF-Risk-o-meter &amp; Portfolio'!#REF!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'TBF-Risk-o-meter &amp; Portfolio'!#REF!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'TBF-Risk-o-meter &amp; Portfolio'!$B$10:$B$83</definedName>
    <definedName name="XDO_?NPTF?">'TBF-Risk-o-meter &amp; Portfolio'!$D$2:$D$41</definedName>
    <definedName name="XDO_?RATING?">'TBF-Risk-o-meter &amp; Portfolio'!$E$10:$E$83</definedName>
    <definedName name="XDO_?REMARKS?">'TBF-Risk-o-meter &amp; Portfolio'!$J$10:$J$83</definedName>
    <definedName name="XDO_?TDATE?">'TBF-Risk-o-meter &amp; Portfolio'!$D$4</definedName>
    <definedName name="XDO_?TITL?">'TBF-Risk-o-meter &amp; Portfolio'!$A$8:$A$41</definedName>
    <definedName name="XDO_GROUP_?G_2?">'TBF-Risk-o-meter &amp; Portfolio'!$2:$86</definedName>
    <definedName name="XDO_GROUP_?G_3?">'TBF-Risk-o-meter &amp; Portfolio'!$8:$85</definedName>
    <definedName name="XDO_GROUP_?G_4?">'TBF-Risk-o-meter &amp; Portfolio'!$B$83:$IV$83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6" i="1" l="1"/>
</calcChain>
</file>

<file path=xl/sharedStrings.xml><?xml version="1.0" encoding="utf-8"?>
<sst xmlns="http://schemas.openxmlformats.org/spreadsheetml/2006/main" count="240" uniqueCount="175">
  <si>
    <t>TAURUS MUTUAL FUND</t>
  </si>
  <si>
    <t>TBF</t>
  </si>
  <si>
    <t>SCHEME NAME :</t>
  </si>
  <si>
    <t>Taurus Largecap Equity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</si>
  <si>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</si>
  <si>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</si>
  <si>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</si>
  <si>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</si>
  <si>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</si>
  <si>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</si>
  <si>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</si>
  <si>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</si>
  <si>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</si>
  <si>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</si>
  <si>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</si>
  <si>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</si>
  <si>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</si>
  <si>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</si>
  <si>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</si>
  <si>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</si>
  <si>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</si>
  <si>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</si>
  <si>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</si>
  <si>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100012</t>
  </si>
  <si>
    <t>ICICI Bank Ltd.</t>
  </si>
  <si>
    <t>INE090A01021</t>
  </si>
  <si>
    <t>100003</t>
  </si>
  <si>
    <t>Infosys Ltd.</t>
  </si>
  <si>
    <t>INE009A01021</t>
  </si>
  <si>
    <t>100024</t>
  </si>
  <si>
    <t>Axis Bank Ltd.</t>
  </si>
  <si>
    <t>INE238A01034</t>
  </si>
  <si>
    <t>100147</t>
  </si>
  <si>
    <t>Tech Mahindra Ltd.</t>
  </si>
  <si>
    <t>INE669C01036</t>
  </si>
  <si>
    <t>100019</t>
  </si>
  <si>
    <t>ITC Ltd.</t>
  </si>
  <si>
    <t>INE154A01025</t>
  </si>
  <si>
    <t>Diversified FMCG</t>
  </si>
  <si>
    <t>100169</t>
  </si>
  <si>
    <t>Indian Oil Corporation Ltd.</t>
  </si>
  <si>
    <t>INE242A01010</t>
  </si>
  <si>
    <t>Petroleum Products</t>
  </si>
  <si>
    <t>100097</t>
  </si>
  <si>
    <t>Coal India Ltd.</t>
  </si>
  <si>
    <t>INE522F01014</t>
  </si>
  <si>
    <t>Consumable Fuels</t>
  </si>
  <si>
    <t>100014</t>
  </si>
  <si>
    <t>Mahindra &amp; Mahindra Ltd.</t>
  </si>
  <si>
    <t>INE101A01026</t>
  </si>
  <si>
    <t>Automobiles</t>
  </si>
  <si>
    <t>100172</t>
  </si>
  <si>
    <t>ACC Ltd.</t>
  </si>
  <si>
    <t>INE012A01025</t>
  </si>
  <si>
    <t>Cement &amp; Cement Products</t>
  </si>
  <si>
    <t>100010</t>
  </si>
  <si>
    <t>State Bank of India</t>
  </si>
  <si>
    <t>INE062A01020</t>
  </si>
  <si>
    <t>100128</t>
  </si>
  <si>
    <t>Eicher Motors Ltd.</t>
  </si>
  <si>
    <t>INE066A01021</t>
  </si>
  <si>
    <t>101178</t>
  </si>
  <si>
    <t>Computer Age Management Services Ltd.</t>
  </si>
  <si>
    <t>INE596I01012</t>
  </si>
  <si>
    <t>Capital Markets</t>
  </si>
  <si>
    <t>100181</t>
  </si>
  <si>
    <t>NTPC Ltd.</t>
  </si>
  <si>
    <t>INE733E01010</t>
  </si>
  <si>
    <t>Power</t>
  </si>
  <si>
    <t>100080</t>
  </si>
  <si>
    <t>Dr. Reddy's Laboratories Ltd.</t>
  </si>
  <si>
    <t>INE089A01023</t>
  </si>
  <si>
    <t>Pharmaceuticals &amp; Biotechnology</t>
  </si>
  <si>
    <t>100302</t>
  </si>
  <si>
    <t>DLF Ltd.</t>
  </si>
  <si>
    <t>INE271C01023</t>
  </si>
  <si>
    <t>Realty</t>
  </si>
  <si>
    <t>100180</t>
  </si>
  <si>
    <t>Hindalco Industries Ltd.</t>
  </si>
  <si>
    <t>INE038A01020</t>
  </si>
  <si>
    <t>Non - Ferrous Metals</t>
  </si>
  <si>
    <t>100002</t>
  </si>
  <si>
    <t>Reliance Industries Ltd.</t>
  </si>
  <si>
    <t>INE002A01018</t>
  </si>
  <si>
    <t>100081</t>
  </si>
  <si>
    <t>Titan Company Ltd.</t>
  </si>
  <si>
    <t>INE280A01028</t>
  </si>
  <si>
    <t>Consumer Durables</t>
  </si>
  <si>
    <t>100008</t>
  </si>
  <si>
    <t>Sun Pharmaceutical Industries Ltd.</t>
  </si>
  <si>
    <t>INE044A01036</t>
  </si>
  <si>
    <t>100153</t>
  </si>
  <si>
    <t>Cipla Ltd.</t>
  </si>
  <si>
    <t>INE059A01026</t>
  </si>
  <si>
    <t>100184</t>
  </si>
  <si>
    <t>Tata Steel Ltd.</t>
  </si>
  <si>
    <t>INE081A01020</t>
  </si>
  <si>
    <t>Ferrous Metals</t>
  </si>
  <si>
    <t>100431</t>
  </si>
  <si>
    <t>Atul Auto Ltd.</t>
  </si>
  <si>
    <t>INE951D01028</t>
  </si>
  <si>
    <t>Agricultural, Commercial &amp; Construction Vehicles</t>
  </si>
  <si>
    <t>100163</t>
  </si>
  <si>
    <t>Bosch Ltd.</t>
  </si>
  <si>
    <t>INE323A01026</t>
  </si>
  <si>
    <t>Auto Components</t>
  </si>
  <si>
    <t>100027</t>
  </si>
  <si>
    <t>Pidilite Industries Ltd.</t>
  </si>
  <si>
    <t>INE318A01026</t>
  </si>
  <si>
    <t>Chemicals &amp; Petrochemicals</t>
  </si>
  <si>
    <t>100176</t>
  </si>
  <si>
    <t>GAIL (India) Ltd.</t>
  </si>
  <si>
    <t>INE129A01019</t>
  </si>
  <si>
    <t>Gas</t>
  </si>
  <si>
    <t>100684</t>
  </si>
  <si>
    <t>SBI Life Insurance Co. Ltd.</t>
  </si>
  <si>
    <t>INE123W01016</t>
  </si>
  <si>
    <t>Insurance</t>
  </si>
  <si>
    <t>100150</t>
  </si>
  <si>
    <t>Apollo Hospitals Enterprise Ltd.</t>
  </si>
  <si>
    <t>INE437A01024</t>
  </si>
  <si>
    <t>Healthcare Services</t>
  </si>
  <si>
    <t>100435</t>
  </si>
  <si>
    <t>Crompton Greaves Consumer Electricals Ltd.</t>
  </si>
  <si>
    <t>INE299U01018</t>
  </si>
  <si>
    <t>100193</t>
  </si>
  <si>
    <t>JSW Steel Ltd.</t>
  </si>
  <si>
    <t>INE019A01038</t>
  </si>
  <si>
    <t>101889</t>
  </si>
  <si>
    <t>Jio Financial Services Ltd.</t>
  </si>
  <si>
    <t>INE758E01017</t>
  </si>
  <si>
    <t>Finance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</si>
  <si>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</si>
  <si>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</si>
  <si>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</si>
  <si>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</si>
  <si>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</si>
  <si>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</si>
  <si>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</si>
  <si>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</si>
  <si>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</si>
  <si>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</si>
  <si>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</si>
  <si>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</si>
  <si>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</si>
  <si>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</si>
  <si>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</si>
  <si>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</si>
  <si>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</si>
  <si>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</si>
  <si>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</si>
  <si>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</si>
  <si>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</si>
  <si>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</si>
  <si>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</si>
  <si>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</si>
  <si>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</si>
  <si>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</si>
  <si>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</si>
  <si>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</si>
  <si>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</si>
  <si>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Largecap Equity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</si>
  <si>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</si>
  <si>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</si>
  <si>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</si>
  <si>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</si>
  <si>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</si>
  <si>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</si>
  <si>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</si>
  <si>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</si>
  <si>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100 TRI (Benchmark)</t>
  </si>
  <si>
    <t>Nifty 50 TRI (Additional Benchmark)</t>
  </si>
  <si>
    <t>NAV [Rs.] Per Unit (as on July 31, 2023 : 112.92)</t>
  </si>
  <si>
    <t>Taurus Largecap Equity Fund - Direct Plan Growth Option</t>
  </si>
  <si>
    <t>NAV [Rs.] Per Unit (as on July 31, 2023 : 119.17)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</si>
</sst>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6E4CC62A-8420-4D27-B1F2-EEAFBB30EDCF}"/>
    <cellStyle name="Hyperlink" xfId="2" builtinId="8"/>
    <cellStyle name="Normal" xfId="0" builtinId="0"/>
    <cellStyle name="Normal 2" xfId="4" xr:uid="{D923D36F-F3A4-48CC-B8EC-BB3750FDD869}"/>
    <cellStyle name="Style 1" xfId="3" xr:uid="{564013ED-9610-4989-977E-D5F1C3662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Large Prodcut label - 9th Dec 2022.jpg">
          <a:extLst>
            <a:ext uri="{FF2B5EF4-FFF2-40B4-BE49-F238E27FC236}">
              <a16:creationId xmlns:a16="http://schemas.microsoft.com/office/drawing/2014/main" id="{795D676D-2B53-40B8-800B-59437B314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July%2023\Client%20Report\TMF_Monthly_Portfolio_Report_Jul%2023.xls" TargetMode="External"/><Relationship Id="rId1" Type="http://schemas.openxmlformats.org/officeDocument/2006/relationships/externalLinkPath" Target="TMF_Monthly_Portfolio_Report_Jul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1B47-0B0A-41B8-9802-9DBBDFF7CE1C}">
  <sheetPr codeName="Sheet1"/>
  <dimension ref="A1:BB92"/>
  <sheetViews>
    <sheetView showGridLines="0" tabSelected="1" zoomScale="90" zoomScaleNormal="90" workbookViewId="0">
      <selection activeCell="A2" sqref="A2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45138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20335</v>
      </c>
      <c r="H10" s="32">
        <v>335.75</v>
      </c>
      <c r="I10" s="32">
        <v>9.5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19988</v>
      </c>
      <c r="H11" s="32">
        <v>223.28</v>
      </c>
      <c r="I11" s="32">
        <v>6.32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19245</v>
      </c>
      <c r="H12" s="32">
        <v>192.07</v>
      </c>
      <c r="I12" s="32">
        <v>5.43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22</v>
      </c>
      <c r="G13" s="31">
        <v>13965</v>
      </c>
      <c r="H13" s="32">
        <v>189.24</v>
      </c>
      <c r="I13" s="32">
        <v>5.35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18</v>
      </c>
      <c r="G14" s="31">
        <v>19761</v>
      </c>
      <c r="H14" s="32">
        <v>188.52</v>
      </c>
      <c r="I14" s="32">
        <v>5.33</v>
      </c>
      <c r="J14" s="33"/>
    </row>
    <row r="15" spans="1:54" x14ac:dyDescent="0.25">
      <c r="B15" s="1" t="s">
        <v>32</v>
      </c>
      <c r="C15" s="20" t="s">
        <v>33</v>
      </c>
      <c r="D15" s="29" t="s">
        <v>34</v>
      </c>
      <c r="E15" s="30"/>
      <c r="F15" s="30" t="s">
        <v>22</v>
      </c>
      <c r="G15" s="31">
        <v>14498</v>
      </c>
      <c r="H15" s="32">
        <v>161.75</v>
      </c>
      <c r="I15" s="32">
        <v>4.57</v>
      </c>
      <c r="J15" s="33"/>
    </row>
    <row r="16" spans="1:54" x14ac:dyDescent="0.25">
      <c r="B16" s="1" t="s">
        <v>35</v>
      </c>
      <c r="C16" s="20" t="s">
        <v>36</v>
      </c>
      <c r="D16" s="29" t="s">
        <v>37</v>
      </c>
      <c r="E16" s="30"/>
      <c r="F16" s="30" t="s">
        <v>38</v>
      </c>
      <c r="G16" s="31">
        <v>34297</v>
      </c>
      <c r="H16" s="32">
        <v>159.69</v>
      </c>
      <c r="I16" s="32">
        <v>4.5199999999999996</v>
      </c>
      <c r="J16" s="33"/>
    </row>
    <row r="17" spans="2:10" x14ac:dyDescent="0.25">
      <c r="B17" s="1" t="s">
        <v>39</v>
      </c>
      <c r="C17" s="20" t="s">
        <v>40</v>
      </c>
      <c r="D17" s="29" t="s">
        <v>41</v>
      </c>
      <c r="E17" s="30"/>
      <c r="F17" s="30" t="s">
        <v>42</v>
      </c>
      <c r="G17" s="31">
        <v>162762</v>
      </c>
      <c r="H17" s="32">
        <v>152.66999999999999</v>
      </c>
      <c r="I17" s="32">
        <v>4.32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64054</v>
      </c>
      <c r="H18" s="32">
        <v>146.81</v>
      </c>
      <c r="I18" s="32">
        <v>4.1500000000000004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9811</v>
      </c>
      <c r="H19" s="32">
        <v>144.81</v>
      </c>
      <c r="I19" s="32">
        <v>4.0999999999999996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7040</v>
      </c>
      <c r="H20" s="32">
        <v>141.94999999999999</v>
      </c>
      <c r="I20" s="32">
        <v>4.0199999999999996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22326</v>
      </c>
      <c r="H21" s="32">
        <v>138.44</v>
      </c>
      <c r="I21" s="32">
        <v>3.92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50</v>
      </c>
      <c r="G22" s="31">
        <v>3450</v>
      </c>
      <c r="H22" s="32">
        <v>116.16</v>
      </c>
      <c r="I22" s="32">
        <v>3.29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4880</v>
      </c>
      <c r="H23" s="32">
        <v>115.23</v>
      </c>
      <c r="I23" s="32">
        <v>3.26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52356</v>
      </c>
      <c r="H24" s="32">
        <v>114.37</v>
      </c>
      <c r="I24" s="32">
        <v>3.23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1930</v>
      </c>
      <c r="H25" s="32">
        <v>108.97</v>
      </c>
      <c r="I25" s="32">
        <v>3.08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20374</v>
      </c>
      <c r="H26" s="32">
        <v>105.67</v>
      </c>
      <c r="I26" s="32">
        <v>2.99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22605</v>
      </c>
      <c r="H27" s="32">
        <v>104.54</v>
      </c>
      <c r="I27" s="32">
        <v>2.96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42</v>
      </c>
      <c r="G28" s="31">
        <v>3976</v>
      </c>
      <c r="H28" s="32">
        <v>101.3</v>
      </c>
      <c r="I28" s="32">
        <v>2.87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87</v>
      </c>
      <c r="G29" s="31">
        <v>2089</v>
      </c>
      <c r="H29" s="32">
        <v>62.79</v>
      </c>
      <c r="I29" s="32">
        <v>1.78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72</v>
      </c>
      <c r="G30" s="31">
        <v>5160</v>
      </c>
      <c r="H30" s="32">
        <v>58.98</v>
      </c>
      <c r="I30" s="32">
        <v>1.67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72</v>
      </c>
      <c r="G31" s="31">
        <v>4961</v>
      </c>
      <c r="H31" s="32">
        <v>58.33</v>
      </c>
      <c r="I31" s="32">
        <v>1.65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34482</v>
      </c>
      <c r="H32" s="32">
        <v>42.46</v>
      </c>
      <c r="I32" s="32">
        <v>1.2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11413</v>
      </c>
      <c r="H33" s="32">
        <v>41.9</v>
      </c>
      <c r="I33" s="32">
        <v>1.19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220</v>
      </c>
      <c r="H34" s="32">
        <v>41.74</v>
      </c>
      <c r="I34" s="32">
        <v>1.18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1499</v>
      </c>
      <c r="H35" s="32">
        <v>39.17</v>
      </c>
      <c r="I35" s="32">
        <v>1.1100000000000001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29659</v>
      </c>
      <c r="H36" s="32">
        <v>35.29</v>
      </c>
      <c r="I36" s="32">
        <v>1</v>
      </c>
      <c r="J36" s="33"/>
    </row>
    <row r="37" spans="2:10" x14ac:dyDescent="0.25">
      <c r="B37" s="1" t="s">
        <v>114</v>
      </c>
      <c r="C37" s="20" t="s">
        <v>115</v>
      </c>
      <c r="D37" s="29" t="s">
        <v>116</v>
      </c>
      <c r="E37" s="30"/>
      <c r="F37" s="30" t="s">
        <v>117</v>
      </c>
      <c r="G37" s="31">
        <v>2681</v>
      </c>
      <c r="H37" s="32">
        <v>34.35</v>
      </c>
      <c r="I37" s="32">
        <v>0.97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650</v>
      </c>
      <c r="H38" s="32">
        <v>33.64</v>
      </c>
      <c r="I38" s="32">
        <v>0.95</v>
      </c>
      <c r="J38" s="33"/>
    </row>
    <row r="39" spans="2:10" x14ac:dyDescent="0.25">
      <c r="B39" s="1" t="s">
        <v>122</v>
      </c>
      <c r="C39" s="20" t="s">
        <v>123</v>
      </c>
      <c r="D39" s="29" t="s">
        <v>124</v>
      </c>
      <c r="E39" s="30"/>
      <c r="F39" s="30" t="s">
        <v>87</v>
      </c>
      <c r="G39" s="31">
        <v>10951</v>
      </c>
      <c r="H39" s="32">
        <v>32.17</v>
      </c>
      <c r="I39" s="32">
        <v>0.91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97</v>
      </c>
      <c r="G40" s="31">
        <v>3610</v>
      </c>
      <c r="H40" s="32">
        <v>29.49</v>
      </c>
      <c r="I40" s="32">
        <v>0.83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3976</v>
      </c>
      <c r="H41" s="32">
        <v>9.98</v>
      </c>
      <c r="I41" s="32">
        <v>0.28000000000000003</v>
      </c>
      <c r="J41" s="33" t="s">
        <v>132</v>
      </c>
    </row>
    <row r="42" spans="2:10" x14ac:dyDescent="0.25">
      <c r="C42" s="28" t="s">
        <v>133</v>
      </c>
      <c r="D42" s="29"/>
      <c r="E42" s="30"/>
      <c r="F42" s="30"/>
      <c r="G42" s="31"/>
      <c r="H42" s="35">
        <v>3461.51</v>
      </c>
      <c r="I42" s="35">
        <v>97.93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134</v>
      </c>
      <c r="D44" s="29"/>
      <c r="E44" s="30"/>
      <c r="F44" s="30"/>
      <c r="G44" s="31"/>
      <c r="H44" s="32" t="s">
        <v>135</v>
      </c>
      <c r="I44" s="32" t="s">
        <v>135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136</v>
      </c>
      <c r="D46" s="29"/>
      <c r="E46" s="30"/>
      <c r="F46" s="30"/>
      <c r="G46" s="31"/>
      <c r="H46" s="32" t="s">
        <v>135</v>
      </c>
      <c r="I46" s="32" t="s">
        <v>135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137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138</v>
      </c>
      <c r="D50" s="29"/>
      <c r="E50" s="30"/>
      <c r="F50" s="30"/>
      <c r="G50" s="31"/>
      <c r="H50" s="32" t="s">
        <v>135</v>
      </c>
      <c r="I50" s="32" t="s">
        <v>135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139</v>
      </c>
      <c r="D52" s="29"/>
      <c r="E52" s="30"/>
      <c r="F52" s="30"/>
      <c r="G52" s="31"/>
      <c r="H52" s="32" t="s">
        <v>135</v>
      </c>
      <c r="I52" s="32" t="s">
        <v>135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140</v>
      </c>
      <c r="D54" s="29"/>
      <c r="E54" s="30"/>
      <c r="F54" s="30"/>
      <c r="G54" s="31"/>
      <c r="H54" s="32" t="s">
        <v>135</v>
      </c>
      <c r="I54" s="32" t="s">
        <v>135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141</v>
      </c>
      <c r="D56" s="29"/>
      <c r="E56" s="30"/>
      <c r="F56" s="30"/>
      <c r="G56" s="31"/>
      <c r="H56" s="32" t="s">
        <v>135</v>
      </c>
      <c r="I56" s="32" t="s">
        <v>135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142</v>
      </c>
      <c r="D58" s="29"/>
      <c r="E58" s="30"/>
      <c r="F58" s="30"/>
      <c r="G58" s="31"/>
      <c r="H58" s="32" t="s">
        <v>135</v>
      </c>
      <c r="I58" s="32" t="s">
        <v>135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143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144</v>
      </c>
      <c r="D62" s="29"/>
      <c r="E62" s="30"/>
      <c r="F62" s="30"/>
      <c r="G62" s="31"/>
      <c r="H62" s="32" t="s">
        <v>135</v>
      </c>
      <c r="I62" s="32" t="s">
        <v>135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145</v>
      </c>
      <c r="D64" s="29"/>
      <c r="E64" s="30"/>
      <c r="F64" s="30"/>
      <c r="G64" s="31"/>
      <c r="H64" s="32" t="s">
        <v>135</v>
      </c>
      <c r="I64" s="32" t="s">
        <v>135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146</v>
      </c>
      <c r="D66" s="29"/>
      <c r="E66" s="30"/>
      <c r="F66" s="30"/>
      <c r="G66" s="31"/>
      <c r="H66" s="32" t="s">
        <v>135</v>
      </c>
      <c r="I66" s="32" t="s">
        <v>135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147</v>
      </c>
      <c r="D68" s="29"/>
      <c r="E68" s="30"/>
      <c r="F68" s="30"/>
      <c r="G68" s="31"/>
      <c r="H68" s="32" t="s">
        <v>135</v>
      </c>
      <c r="I68" s="32" t="s">
        <v>135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148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149</v>
      </c>
      <c r="D72" s="29"/>
      <c r="E72" s="30"/>
      <c r="F72" s="30"/>
      <c r="G72" s="31"/>
      <c r="H72" s="32" t="s">
        <v>135</v>
      </c>
      <c r="I72" s="32" t="s">
        <v>135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150</v>
      </c>
      <c r="D74" s="29"/>
      <c r="E74" s="30"/>
      <c r="F74" s="30"/>
      <c r="G74" s="31"/>
      <c r="H74" s="32" t="s">
        <v>135</v>
      </c>
      <c r="I74" s="32" t="s">
        <v>135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151</v>
      </c>
      <c r="D76" s="29"/>
      <c r="E76" s="30"/>
      <c r="F76" s="30"/>
      <c r="G76" s="31"/>
      <c r="H76" s="32" t="s">
        <v>135</v>
      </c>
      <c r="I76" s="32" t="s">
        <v>135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152</v>
      </c>
      <c r="D78" s="29"/>
      <c r="E78" s="30"/>
      <c r="F78" s="30"/>
      <c r="G78" s="31"/>
      <c r="H78" s="32" t="s">
        <v>135</v>
      </c>
      <c r="I78" s="32" t="s">
        <v>135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153</v>
      </c>
      <c r="D80" s="29"/>
      <c r="E80" s="30"/>
      <c r="F80" s="30"/>
      <c r="G80" s="31"/>
      <c r="H80" s="32" t="s">
        <v>135</v>
      </c>
      <c r="I80" s="32" t="s">
        <v>135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A82" s="26"/>
      <c r="B82" s="27"/>
      <c r="C82" s="28" t="s">
        <v>154</v>
      </c>
      <c r="D82" s="29"/>
      <c r="E82" s="30"/>
      <c r="F82" s="30"/>
      <c r="G82" s="31"/>
      <c r="H82" s="32"/>
      <c r="I82" s="32"/>
      <c r="J82" s="33"/>
    </row>
    <row r="83" spans="1:10" x14ac:dyDescent="0.25">
      <c r="B83" s="1"/>
      <c r="C83" s="20" t="s">
        <v>155</v>
      </c>
      <c r="D83" s="29"/>
      <c r="E83" s="30"/>
      <c r="F83" s="30"/>
      <c r="G83" s="31"/>
      <c r="H83" s="32">
        <v>74.05</v>
      </c>
      <c r="I83" s="32">
        <v>2.0699999999999998</v>
      </c>
      <c r="J83" s="33"/>
    </row>
    <row r="84" spans="1:10" x14ac:dyDescent="0.25">
      <c r="C84" s="28" t="s">
        <v>133</v>
      </c>
      <c r="D84" s="29"/>
      <c r="E84" s="30"/>
      <c r="F84" s="30"/>
      <c r="G84" s="31"/>
      <c r="H84" s="35">
        <v>74.05</v>
      </c>
      <c r="I84" s="35">
        <v>2.0699999999999998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ht="14.25" thickBot="1" x14ac:dyDescent="0.3">
      <c r="C86" s="36" t="s">
        <v>156</v>
      </c>
      <c r="D86" s="37"/>
      <c r="E86" s="38"/>
      <c r="F86" s="39"/>
      <c r="G86" s="40"/>
      <c r="H86" s="41">
        <v>3535.56</v>
      </c>
      <c r="I86" s="41">
        <f>SUMIFS(I:I,C:C,"Total")</f>
        <v>100</v>
      </c>
      <c r="J86" s="42"/>
    </row>
    <row r="89" spans="1:10" x14ac:dyDescent="0.25">
      <c r="C89" s="11" t="s">
        <v>157</v>
      </c>
    </row>
    <row r="90" spans="1:10" x14ac:dyDescent="0.25">
      <c r="C90" s="2" t="s">
        <v>158</v>
      </c>
    </row>
    <row r="91" spans="1:10" x14ac:dyDescent="0.25">
      <c r="C91" s="2" t="s">
        <v>159</v>
      </c>
    </row>
    <row r="92" spans="1:10" x14ac:dyDescent="0.25">
      <c r="C92" s="2" t="s">
        <v>160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3174-7033-4D87-ADB3-120D645D8A06}">
  <dimension ref="B4:J18"/>
  <sheetViews>
    <sheetView workbookViewId="0">
      <selection activeCell="A4" sqref="A4"/>
    </sheetView>
  </sheetViews>
  <sheetFormatPr defaultRowHeight="15" x14ac:dyDescent="0.25"/>
  <cols>
    <col min="2" max="2" width="45.570312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75" x14ac:dyDescent="0.25">
      <c r="B4" s="43" t="s">
        <v>161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162</v>
      </c>
      <c r="C5" s="46" t="s">
        <v>163</v>
      </c>
      <c r="D5" s="46"/>
      <c r="E5" s="46" t="s">
        <v>164</v>
      </c>
      <c r="F5" s="46"/>
      <c r="G5" s="46" t="s">
        <v>165</v>
      </c>
      <c r="H5" s="46"/>
      <c r="I5" s="46" t="s">
        <v>166</v>
      </c>
      <c r="J5" s="46"/>
    </row>
    <row r="6" spans="2:10" ht="63.75" x14ac:dyDescent="0.25">
      <c r="B6" s="47"/>
      <c r="C6" s="48" t="s">
        <v>167</v>
      </c>
      <c r="D6" s="48" t="s">
        <v>168</v>
      </c>
      <c r="E6" s="48" t="s">
        <v>167</v>
      </c>
      <c r="F6" s="48" t="s">
        <v>168</v>
      </c>
      <c r="G6" s="48" t="s">
        <v>167</v>
      </c>
      <c r="H6" s="48" t="s">
        <v>168</v>
      </c>
      <c r="I6" s="48" t="s">
        <v>167</v>
      </c>
      <c r="J6" s="48" t="s">
        <v>168</v>
      </c>
    </row>
    <row r="7" spans="2:10" x14ac:dyDescent="0.25">
      <c r="B7" s="49" t="s">
        <v>169</v>
      </c>
      <c r="C7" s="50">
        <v>10.418447500504735</v>
      </c>
      <c r="D7" s="50">
        <v>11047.842676841796</v>
      </c>
      <c r="E7" s="50">
        <v>17.291257856364474</v>
      </c>
      <c r="F7" s="50">
        <v>16136.03886824807</v>
      </c>
      <c r="G7" s="50">
        <v>8.6305018679999623</v>
      </c>
      <c r="H7" s="50">
        <v>15130.644512930457</v>
      </c>
      <c r="I7" s="50">
        <v>10.327687847083688</v>
      </c>
      <c r="J7" s="50">
        <v>112920</v>
      </c>
    </row>
    <row r="8" spans="2:10" x14ac:dyDescent="0.25">
      <c r="B8" s="49" t="s">
        <v>170</v>
      </c>
      <c r="C8" s="50">
        <v>16.431268368402961</v>
      </c>
      <c r="D8" s="50">
        <v>11643.126836840296</v>
      </c>
      <c r="E8" s="50">
        <v>23.400250676611755</v>
      </c>
      <c r="F8" s="50">
        <v>18790.923556027014</v>
      </c>
      <c r="G8" s="50">
        <v>13.09755178806089</v>
      </c>
      <c r="H8" s="50">
        <v>18504.017030759529</v>
      </c>
      <c r="I8" s="50">
        <v>12.192244938999774</v>
      </c>
      <c r="J8" s="50">
        <v>263548.76696858264</v>
      </c>
    </row>
    <row r="9" spans="2:10" x14ac:dyDescent="0.25">
      <c r="B9" s="49" t="s">
        <v>171</v>
      </c>
      <c r="C9" s="50">
        <v>16.184790485396093</v>
      </c>
      <c r="D9" s="50">
        <v>11618.47904853961</v>
      </c>
      <c r="E9" s="50">
        <v>22.712795144557418</v>
      </c>
      <c r="F9" s="50">
        <v>18478.620471015642</v>
      </c>
      <c r="G9" s="50">
        <v>13.019737732339532</v>
      </c>
      <c r="H9" s="50">
        <v>18440.448341042771</v>
      </c>
      <c r="I9" s="50">
        <v>12.276714665767607</v>
      </c>
      <c r="J9" s="50">
        <v>269250.36021440773</v>
      </c>
    </row>
    <row r="10" spans="2:10" x14ac:dyDescent="0.25">
      <c r="B10" s="49" t="s">
        <v>172</v>
      </c>
      <c r="C10" s="51">
        <v>102.21</v>
      </c>
      <c r="D10" s="52"/>
      <c r="E10" s="51">
        <v>69.98</v>
      </c>
      <c r="F10" s="52"/>
      <c r="G10" s="51">
        <v>74.63</v>
      </c>
      <c r="H10" s="52"/>
      <c r="I10" s="51">
        <v>10</v>
      </c>
      <c r="J10" s="52"/>
    </row>
    <row r="12" spans="2:10" ht="15.75" x14ac:dyDescent="0.25">
      <c r="B12" s="43" t="s">
        <v>173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162</v>
      </c>
      <c r="C13" s="46" t="s">
        <v>163</v>
      </c>
      <c r="D13" s="46"/>
      <c r="E13" s="46" t="s">
        <v>164</v>
      </c>
      <c r="F13" s="46"/>
      <c r="G13" s="46" t="s">
        <v>165</v>
      </c>
      <c r="H13" s="46"/>
      <c r="I13" s="46" t="s">
        <v>166</v>
      </c>
      <c r="J13" s="46"/>
    </row>
    <row r="14" spans="2:10" ht="63.75" x14ac:dyDescent="0.25">
      <c r="B14" s="47"/>
      <c r="C14" s="48" t="s">
        <v>167</v>
      </c>
      <c r="D14" s="48" t="s">
        <v>168</v>
      </c>
      <c r="E14" s="48" t="s">
        <v>167</v>
      </c>
      <c r="F14" s="48" t="s">
        <v>168</v>
      </c>
      <c r="G14" s="48" t="s">
        <v>167</v>
      </c>
      <c r="H14" s="48" t="s">
        <v>168</v>
      </c>
      <c r="I14" s="48" t="s">
        <v>167</v>
      </c>
      <c r="J14" s="48" t="s">
        <v>168</v>
      </c>
    </row>
    <row r="15" spans="2:10" x14ac:dyDescent="0.25">
      <c r="B15" s="49" t="s">
        <v>169</v>
      </c>
      <c r="C15" s="50">
        <v>10.517506548664301</v>
      </c>
      <c r="D15" s="50">
        <v>11057.808295444001</v>
      </c>
      <c r="E15" s="50">
        <v>17.388464850177066</v>
      </c>
      <c r="F15" s="50">
        <v>16176.191122573638</v>
      </c>
      <c r="G15" s="50">
        <v>8.8330808868686042</v>
      </c>
      <c r="H15" s="50">
        <v>15272.331154684096</v>
      </c>
      <c r="I15" s="50">
        <v>9.7523563526381594</v>
      </c>
      <c r="J15" s="50">
        <v>26767.74483378257</v>
      </c>
    </row>
    <row r="16" spans="2:10" x14ac:dyDescent="0.25">
      <c r="B16" s="49" t="s">
        <v>170</v>
      </c>
      <c r="C16" s="50">
        <v>16.431268368402961</v>
      </c>
      <c r="D16" s="50">
        <v>11643.126836840296</v>
      </c>
      <c r="E16" s="50">
        <v>23.400250676611755</v>
      </c>
      <c r="F16" s="50">
        <v>18790.923556027014</v>
      </c>
      <c r="G16" s="50">
        <v>13.09755178806089</v>
      </c>
      <c r="H16" s="50">
        <v>18504.017030759529</v>
      </c>
      <c r="I16" s="50">
        <v>13.55918461492729</v>
      </c>
      <c r="J16" s="50">
        <v>38396.97025197951</v>
      </c>
    </row>
    <row r="17" spans="2:10" x14ac:dyDescent="0.25">
      <c r="B17" s="49" t="s">
        <v>171</v>
      </c>
      <c r="C17" s="50">
        <v>16.184790485396093</v>
      </c>
      <c r="D17" s="50">
        <v>11618.47904853961</v>
      </c>
      <c r="E17" s="50">
        <v>22.712795144557418</v>
      </c>
      <c r="F17" s="50">
        <v>18478.620471015642</v>
      </c>
      <c r="G17" s="50">
        <v>13.019737732339532</v>
      </c>
      <c r="H17" s="50">
        <v>18440.448341042771</v>
      </c>
      <c r="I17" s="50">
        <v>13.311455807635241</v>
      </c>
      <c r="J17" s="50">
        <v>37519.895241753817</v>
      </c>
    </row>
    <row r="18" spans="2:10" x14ac:dyDescent="0.25">
      <c r="B18" s="49" t="s">
        <v>174</v>
      </c>
      <c r="C18" s="51">
        <v>107.77</v>
      </c>
      <c r="D18" s="52"/>
      <c r="E18" s="51">
        <v>73.67</v>
      </c>
      <c r="F18" s="52"/>
      <c r="G18" s="51">
        <v>78.03</v>
      </c>
      <c r="H18" s="52"/>
      <c r="I18" s="51">
        <v>44.52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TBF-Risk-o-meter &amp; Portfolio</vt:lpstr>
      <vt:lpstr>TBF-Performance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2023-08-02T10:02:58Z</dcterms:created>
  <dcterms:modified xsi:type="dcterms:W3CDTF">2023-08-09T07:15:08Z</dcterms:modified>
</cp:coreProperties>
</file>