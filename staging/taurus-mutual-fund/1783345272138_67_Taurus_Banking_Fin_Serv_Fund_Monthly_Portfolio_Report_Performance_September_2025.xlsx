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6" windowHeight="11040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TBFS!$C$8:$C$25</definedName>
    <definedName name="XDO_?FINAL_ISIN?1?">TBFS!$D$10:$D$25</definedName>
    <definedName name="XDO_?FINAL_ISIN?2?">TBFS!$D$10:$D$69</definedName>
    <definedName name="XDO_?FINAL_MV?1?">TBFS!$H$10:$H$25</definedName>
    <definedName name="XDO_?FINAL_MV?2?">TBFS!$H$10:$H$69</definedName>
    <definedName name="XDO_?FINAL_NAME?1?">TBFS!$C$10:$C$25</definedName>
    <definedName name="XDO_?FINAL_NAME?2?">TBFS!$C$10:$C$69</definedName>
    <definedName name="XDO_?FINAL_PER_NET?1?">TBFS!$I$10:$I$25</definedName>
    <definedName name="XDO_?FINAL_PER_NET?2?">TBFS!$I$10:$I$69</definedName>
    <definedName name="XDO_?FINAL_QUANTITE?1?">TBFS!$G$10:$G$25</definedName>
    <definedName name="XDO_?FINAL_QUANTITE?2?">TBFS!$G$10:$G$69</definedName>
    <definedName name="XDO_?IND_01?1?">TBFS!$F$10:$F$25</definedName>
    <definedName name="XDO_?IND_01?2?">TBFS!$F$10:$F$69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TBFS!$C$2:$C$25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TBFS!$B$10:$B$25</definedName>
    <definedName name="XDO_?NOVAL?2?">TBFS!$B$10:$B$69</definedName>
    <definedName name="XDO_?NPTF?1?">TBFS!$D$2:$D$25</definedName>
    <definedName name="XDO_?RATING?1?">TBFS!$E$10:$E$25</definedName>
    <definedName name="XDO_?RATING?2?">TBFS!$E$10:$E$69</definedName>
    <definedName name="XDO_?REMARKS?1?">TBFS!$J$10:$J$25</definedName>
    <definedName name="XDO_?REMARKS?2?">TBFS!$J$10:$J$69</definedName>
    <definedName name="XDO_?TITL?1?">TBFS!$A$8:$A$25</definedName>
    <definedName name="XDO_GROUP_?G_2?1?">TBFS!$2:$72</definedName>
    <definedName name="XDO_GROUP_?G_3?1?">TBFS!$8:$71</definedName>
    <definedName name="XDO_GROUP_?G_4?1?">TBFS!$B$10:$IV$25</definedName>
    <definedName name="XDO_GROUP_?G_4?2?">TBFS!$B$69:$IV$69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/>
</calcChain>
</file>

<file path=xl/sharedStrings.xml><?xml version="1.0" encoding="utf-8"?>
<sst xmlns="http://schemas.openxmlformats.org/spreadsheetml/2006/main" count="206" uniqueCount="132">
  <si>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</si>
  <si>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</si>
  <si>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</si>
  <si>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</si>
  <si>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</si>
  <si>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</si>
  <si>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</si>
  <si>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</si>
  <si>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</si>
  <si>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</si>
  <si>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</si>
  <si>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</si>
  <si>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</si>
  <si>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</si>
  <si>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</si>
  <si>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</si>
  <si>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</si>
  <si>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</si>
  <si>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</si>
  <si>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</si>
  <si>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</si>
  <si>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</si>
  <si>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</si>
  <si>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</si>
  <si>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</si>
  <si>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</si>
  <si>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</si>
  <si>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</si>
  <si>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</si>
  <si>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</si>
  <si>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</si>
  <si>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102528</t>
  </si>
  <si>
    <t>DAM Capital Advisors Ltd.</t>
  </si>
  <si>
    <t>INE284H01025</t>
  </si>
  <si>
    <t>Capital Markets</t>
  </si>
  <si>
    <t>100194</t>
  </si>
  <si>
    <t>Power Finance Corporation Ltd.</t>
  </si>
  <si>
    <t>INE134E01011</t>
  </si>
  <si>
    <t>Finance</t>
  </si>
  <si>
    <t>100325</t>
  </si>
  <si>
    <t>Bajaj Holdings &amp; Investment Ltd.</t>
  </si>
  <si>
    <t>INE118A01012</t>
  </si>
  <si>
    <t>100042</t>
  </si>
  <si>
    <t>LIC Housing Finance Ltd.</t>
  </si>
  <si>
    <t>INE115A01026</t>
  </si>
  <si>
    <t>100733</t>
  </si>
  <si>
    <t>General Insurance Corporation of India</t>
  </si>
  <si>
    <t>INE481Y01014</t>
  </si>
  <si>
    <t>Insurance</t>
  </si>
  <si>
    <t>100663</t>
  </si>
  <si>
    <t>AU Small Finance Bank Ltd.</t>
  </si>
  <si>
    <t>INE949L01017</t>
  </si>
  <si>
    <t>100092</t>
  </si>
  <si>
    <t>Bank of Baroda</t>
  </si>
  <si>
    <t>INE028A01039</t>
  </si>
  <si>
    <t>101550</t>
  </si>
  <si>
    <t>Life Insurance Corporation of India</t>
  </si>
  <si>
    <t>INE0J1Y01017</t>
  </si>
  <si>
    <t>100125</t>
  </si>
  <si>
    <t>Bajaj Finance Ltd.</t>
  </si>
  <si>
    <t>INE296A01032</t>
  </si>
  <si>
    <t>100191</t>
  </si>
  <si>
    <t>Canara Bank</t>
  </si>
  <si>
    <t>INE476A01022</t>
  </si>
  <si>
    <t>100114</t>
  </si>
  <si>
    <t>Shriram Finance Ltd.</t>
  </si>
  <si>
    <t>INE721A01047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</si>
  <si>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</si>
  <si>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</si>
  <si>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</si>
  <si>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</si>
  <si>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</si>
  <si>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</si>
  <si>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</si>
  <si>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</si>
  <si>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</si>
  <si>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</si>
  <si>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</si>
  <si>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</si>
  <si>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</si>
  <si>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</si>
  <si>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</si>
  <si>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</si>
  <si>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</si>
  <si>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</si>
  <si>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</si>
  <si>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</si>
  <si>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</si>
  <si>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</si>
  <si>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</si>
  <si>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</si>
  <si>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</si>
  <si>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</si>
  <si>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</si>
  <si>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</si>
  <si>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</si>
  <si>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</si>
  <si>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</si>
  <si>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</si>
  <si>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</si>
  <si>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</si>
  <si>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</si>
  <si>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September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</si>
  <si>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</si>
  <si>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</si>
  <si>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</si>
  <si>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</si>
  <si>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September 30, 2025.</t>
  </si>
  <si>
    <t>7. The Scheme did not declare any bonus during the month ended As on  September 30, 2025.</t>
  </si>
  <si>
    <t>8. Total outstanding exposure in derivative instruments as on As on  September 30, 2025 is Nil</t>
  </si>
  <si>
    <t>9. Total investments in Foreign Securities /ADRs/GDRs /Overseas ETFs as at As on  September 30, 2025 and its percentage to NAV is Nil.</t>
  </si>
  <si>
    <t>10. During the period, the portfolio turnover ratio is 0.54 times.</t>
  </si>
  <si>
    <t>      Portfolio Turnover Ratio = Lower of sales or purchase of securities divided by average AUM for 12 months ended As on  September 30, 2025</t>
  </si>
  <si>
    <t>11. The Scheme did not invest in repo transactions of corporate debt securities during the month ended As on  September 30, 2025.</t>
  </si>
  <si>
    <t>12. The Scheme did not invest in credit default swaps during the month ended As on  September 30, 2025.</t>
  </si>
  <si>
    <t>13. There are Nil instances of deviation from the valuation principles/guidelines during the month ended as on September 30th, 2025.</t>
  </si>
  <si>
    <t>Taurus Banking &amp; Financial Services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</si>
  <si>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</si>
  <si>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</si>
  <si>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</si>
  <si>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</si>
  <si>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</si>
  <si>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</si>
  <si>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</si>
  <si>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</si>
  <si>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</si>
  <si>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</si>
  <si>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</si>
  <si>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September 30,2025 :53)</t>
  </si>
  <si>
    <t>Taurus Banking &amp; Financial Services Fund - Direct Plan Growth Option</t>
  </si>
  <si>
    <t>NAV [Rs.] Per Unit (as on September 30,2025 :59.33)</t>
  </si>
  <si>
    <t>August 31, 2025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</si>
</sst>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8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1388363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xmlns="" id="{D210E9E5-399D-49CD-A38A-7BF7508F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5.TMF\Reporting\Monthly%20Reports\Monthly%20Portfolio\2025-26\Sep_2025\Final\TMF_Monthly_Portfolio_Report_Sep_25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8"/>
  <sheetViews>
    <sheetView showGridLines="0" tabSelected="1" zoomScale="90" zoomScaleNormal="90" workbookViewId="0">
      <selection activeCell="C3" sqref="C3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26.4414062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59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J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45930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16936</v>
      </c>
      <c r="H10" s="32">
        <v>228.31</v>
      </c>
      <c r="I10" s="32">
        <v>19.63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23577</v>
      </c>
      <c r="H11" s="32">
        <v>224.25</v>
      </c>
      <c r="I11" s="32">
        <v>19.28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16534</v>
      </c>
      <c r="H12" s="32">
        <v>144.27000000000001</v>
      </c>
      <c r="I12" s="32">
        <v>12.41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11341</v>
      </c>
      <c r="H13" s="32">
        <v>128.36000000000001</v>
      </c>
      <c r="I13" s="32">
        <v>11.04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105.47</v>
      </c>
      <c r="I14" s="32">
        <v>9.07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39166</v>
      </c>
      <c r="H15" s="32">
        <v>91.28</v>
      </c>
      <c r="I15" s="32">
        <v>7.85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14288</v>
      </c>
      <c r="H16" s="32">
        <v>58.63</v>
      </c>
      <c r="I16" s="32">
        <v>5.04</v>
      </c>
      <c r="J16" s="33"/>
    </row>
    <row r="17" spans="2:10">
      <c r="B17" s="1" t="s">
        <v>39</v>
      </c>
      <c r="C17" s="20" t="s">
        <v>40</v>
      </c>
      <c r="D17" s="29" t="s">
        <v>41</v>
      </c>
      <c r="E17" s="30"/>
      <c r="F17" s="30" t="s">
        <v>38</v>
      </c>
      <c r="G17" s="31">
        <v>300</v>
      </c>
      <c r="H17" s="32">
        <v>36.799999999999997</v>
      </c>
      <c r="I17" s="32">
        <v>3.16</v>
      </c>
      <c r="J17" s="33"/>
    </row>
    <row r="18" spans="2:10">
      <c r="B18" s="1" t="s">
        <v>42</v>
      </c>
      <c r="C18" s="20" t="s">
        <v>43</v>
      </c>
      <c r="D18" s="29" t="s">
        <v>44</v>
      </c>
      <c r="E18" s="30"/>
      <c r="F18" s="30" t="s">
        <v>38</v>
      </c>
      <c r="G18" s="31">
        <v>3843</v>
      </c>
      <c r="H18" s="32">
        <v>21.71</v>
      </c>
      <c r="I18" s="32">
        <v>1.87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48</v>
      </c>
      <c r="G19" s="31">
        <v>5704</v>
      </c>
      <c r="H19" s="32">
        <v>21.02</v>
      </c>
      <c r="I19" s="32">
        <v>1.81</v>
      </c>
      <c r="J19" s="33"/>
    </row>
    <row r="20" spans="2:10">
      <c r="B20" s="1" t="s">
        <v>49</v>
      </c>
      <c r="C20" s="20" t="s">
        <v>50</v>
      </c>
      <c r="D20" s="29" t="s">
        <v>51</v>
      </c>
      <c r="E20" s="30"/>
      <c r="F20" s="30" t="s">
        <v>18</v>
      </c>
      <c r="G20" s="31">
        <v>2422</v>
      </c>
      <c r="H20" s="32">
        <v>17.72</v>
      </c>
      <c r="I20" s="32">
        <v>1.52</v>
      </c>
      <c r="J20" s="33"/>
    </row>
    <row r="21" spans="2:10">
      <c r="B21" s="1" t="s">
        <v>52</v>
      </c>
      <c r="C21" s="20" t="s">
        <v>53</v>
      </c>
      <c r="D21" s="29" t="s">
        <v>54</v>
      </c>
      <c r="E21" s="30"/>
      <c r="F21" s="30" t="s">
        <v>18</v>
      </c>
      <c r="G21" s="31">
        <v>5858</v>
      </c>
      <c r="H21" s="32">
        <v>15.15</v>
      </c>
      <c r="I21" s="32">
        <v>1.3</v>
      </c>
      <c r="J21" s="33"/>
    </row>
    <row r="22" spans="2:10">
      <c r="B22" s="1" t="s">
        <v>55</v>
      </c>
      <c r="C22" s="20" t="s">
        <v>56</v>
      </c>
      <c r="D22" s="29" t="s">
        <v>57</v>
      </c>
      <c r="E22" s="30"/>
      <c r="F22" s="30" t="s">
        <v>48</v>
      </c>
      <c r="G22" s="31">
        <v>1393</v>
      </c>
      <c r="H22" s="32">
        <v>12.53</v>
      </c>
      <c r="I22" s="32">
        <v>1.08</v>
      </c>
      <c r="J22" s="33"/>
    </row>
    <row r="23" spans="2:10">
      <c r="B23" s="1" t="s">
        <v>58</v>
      </c>
      <c r="C23" s="20" t="s">
        <v>59</v>
      </c>
      <c r="D23" s="29" t="s">
        <v>60</v>
      </c>
      <c r="E23" s="30"/>
      <c r="F23" s="30" t="s">
        <v>38</v>
      </c>
      <c r="G23" s="31">
        <v>1137</v>
      </c>
      <c r="H23" s="32">
        <v>11.35</v>
      </c>
      <c r="I23" s="32">
        <v>0.98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8375</v>
      </c>
      <c r="H24" s="32">
        <v>10.36</v>
      </c>
      <c r="I24" s="32">
        <v>0.89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38</v>
      </c>
      <c r="G25" s="31">
        <v>1404</v>
      </c>
      <c r="H25" s="32">
        <v>8.65</v>
      </c>
      <c r="I25" s="32">
        <v>0.74</v>
      </c>
      <c r="J25" s="33"/>
    </row>
    <row r="26" spans="2:10">
      <c r="C26" s="28" t="s">
        <v>67</v>
      </c>
      <c r="D26" s="29"/>
      <c r="E26" s="30"/>
      <c r="F26" s="30"/>
      <c r="G26" s="31"/>
      <c r="H26" s="35">
        <v>1135.8599999999999</v>
      </c>
      <c r="I26" s="35">
        <v>97.67</v>
      </c>
      <c r="J26" s="33"/>
    </row>
    <row r="27" spans="2:10">
      <c r="C27" s="20"/>
      <c r="D27" s="29"/>
      <c r="E27" s="30"/>
      <c r="F27" s="30"/>
      <c r="G27" s="31"/>
      <c r="H27" s="32"/>
      <c r="I27" s="32"/>
      <c r="J27" s="33"/>
    </row>
    <row r="28" spans="2:10">
      <c r="C28" s="28" t="s">
        <v>68</v>
      </c>
      <c r="D28" s="29"/>
      <c r="E28" s="30"/>
      <c r="F28" s="30"/>
      <c r="G28" s="31"/>
      <c r="H28" s="32" t="s">
        <v>69</v>
      </c>
      <c r="I28" s="32" t="s">
        <v>69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70</v>
      </c>
      <c r="D30" s="29"/>
      <c r="E30" s="30"/>
      <c r="F30" s="30"/>
      <c r="G30" s="31"/>
      <c r="H30" s="32" t="s">
        <v>69</v>
      </c>
      <c r="I30" s="32" t="s">
        <v>69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71</v>
      </c>
      <c r="D32" s="29"/>
      <c r="E32" s="30"/>
      <c r="F32" s="30"/>
      <c r="G32" s="31"/>
      <c r="H32" s="32"/>
      <c r="I32" s="32"/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72</v>
      </c>
      <c r="D34" s="29"/>
      <c r="E34" s="30"/>
      <c r="F34" s="30"/>
      <c r="G34" s="31"/>
      <c r="H34" s="32" t="s">
        <v>69</v>
      </c>
      <c r="I34" s="32" t="s">
        <v>69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73</v>
      </c>
      <c r="D36" s="29"/>
      <c r="E36" s="30"/>
      <c r="F36" s="30"/>
      <c r="G36" s="31"/>
      <c r="H36" s="32" t="s">
        <v>69</v>
      </c>
      <c r="I36" s="32" t="s">
        <v>69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74</v>
      </c>
      <c r="D38" s="29"/>
      <c r="E38" s="30"/>
      <c r="F38" s="30"/>
      <c r="G38" s="31"/>
      <c r="H38" s="32" t="s">
        <v>69</v>
      </c>
      <c r="I38" s="32" t="s">
        <v>69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75</v>
      </c>
      <c r="D40" s="29"/>
      <c r="E40" s="30"/>
      <c r="F40" s="30"/>
      <c r="G40" s="31"/>
      <c r="H40" s="32" t="s">
        <v>69</v>
      </c>
      <c r="I40" s="32" t="s">
        <v>69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76</v>
      </c>
      <c r="D42" s="29"/>
      <c r="E42" s="30"/>
      <c r="F42" s="30"/>
      <c r="G42" s="31"/>
      <c r="H42" s="32" t="s">
        <v>69</v>
      </c>
      <c r="I42" s="32" t="s">
        <v>69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77</v>
      </c>
      <c r="D44" s="29"/>
      <c r="E44" s="30"/>
      <c r="F44" s="30"/>
      <c r="G44" s="31"/>
      <c r="H44" s="32"/>
      <c r="I44" s="32"/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78</v>
      </c>
      <c r="D46" s="29"/>
      <c r="E46" s="30"/>
      <c r="F46" s="30"/>
      <c r="G46" s="31"/>
      <c r="H46" s="32" t="s">
        <v>69</v>
      </c>
      <c r="I46" s="32" t="s">
        <v>69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79</v>
      </c>
      <c r="D48" s="29"/>
      <c r="E48" s="30"/>
      <c r="F48" s="30"/>
      <c r="G48" s="31"/>
      <c r="H48" s="32" t="s">
        <v>69</v>
      </c>
      <c r="I48" s="32" t="s">
        <v>69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80</v>
      </c>
      <c r="D50" s="29"/>
      <c r="E50" s="30"/>
      <c r="F50" s="30"/>
      <c r="G50" s="31"/>
      <c r="H50" s="32" t="s">
        <v>69</v>
      </c>
      <c r="I50" s="32" t="s">
        <v>69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81</v>
      </c>
      <c r="D52" s="29"/>
      <c r="E52" s="30"/>
      <c r="F52" s="30"/>
      <c r="G52" s="31"/>
      <c r="H52" s="32" t="s">
        <v>69</v>
      </c>
      <c r="I52" s="32" t="s">
        <v>69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82</v>
      </c>
      <c r="D54" s="29"/>
      <c r="E54" s="30"/>
      <c r="F54" s="30"/>
      <c r="G54" s="31"/>
      <c r="H54" s="32"/>
      <c r="I54" s="32"/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83</v>
      </c>
      <c r="D56" s="29"/>
      <c r="E56" s="30"/>
      <c r="F56" s="30"/>
      <c r="G56" s="31"/>
      <c r="H56" s="32" t="s">
        <v>69</v>
      </c>
      <c r="I56" s="32" t="s">
        <v>69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84</v>
      </c>
      <c r="D58" s="29"/>
      <c r="E58" s="30"/>
      <c r="F58" s="30"/>
      <c r="G58" s="31"/>
      <c r="H58" s="32" t="s">
        <v>69</v>
      </c>
      <c r="I58" s="32" t="s">
        <v>69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85</v>
      </c>
      <c r="D60" s="29"/>
      <c r="E60" s="30"/>
      <c r="F60" s="30"/>
      <c r="G60" s="31"/>
      <c r="H60" s="32" t="s">
        <v>69</v>
      </c>
      <c r="I60" s="32" t="s">
        <v>69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86</v>
      </c>
      <c r="D62" s="29"/>
      <c r="E62" s="30"/>
      <c r="F62" s="30"/>
      <c r="G62" s="31"/>
      <c r="H62" s="32" t="s">
        <v>69</v>
      </c>
      <c r="I62" s="32" t="s">
        <v>69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87</v>
      </c>
      <c r="D64" s="29"/>
      <c r="E64" s="30"/>
      <c r="F64" s="30"/>
      <c r="G64" s="31"/>
      <c r="H64" s="32" t="s">
        <v>69</v>
      </c>
      <c r="I64" s="32" t="s">
        <v>69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88</v>
      </c>
      <c r="D66" s="29"/>
      <c r="E66" s="30"/>
      <c r="F66" s="30"/>
      <c r="G66" s="31"/>
      <c r="H66" s="32" t="s">
        <v>69</v>
      </c>
      <c r="I66" s="32" t="s">
        <v>69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A68" s="26"/>
      <c r="B68" s="27"/>
      <c r="C68" s="28" t="s">
        <v>89</v>
      </c>
      <c r="D68" s="29"/>
      <c r="E68" s="30"/>
      <c r="F68" s="30"/>
      <c r="G68" s="31"/>
      <c r="H68" s="32"/>
      <c r="I68" s="32"/>
      <c r="J68" s="33"/>
    </row>
    <row r="69" spans="1:10">
      <c r="B69" s="1"/>
      <c r="C69" s="20" t="s">
        <v>90</v>
      </c>
      <c r="D69" s="29"/>
      <c r="E69" s="30"/>
      <c r="F69" s="30"/>
      <c r="G69" s="31"/>
      <c r="H69" s="32">
        <v>27.02</v>
      </c>
      <c r="I69" s="32">
        <v>2.3299999999999996</v>
      </c>
      <c r="J69" s="33"/>
    </row>
    <row r="70" spans="1:10">
      <c r="C70" s="28" t="s">
        <v>67</v>
      </c>
      <c r="D70" s="29"/>
      <c r="E70" s="30"/>
      <c r="F70" s="30"/>
      <c r="G70" s="31"/>
      <c r="H70" s="35">
        <v>27.02</v>
      </c>
      <c r="I70" s="35">
        <v>2.3299999999999996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 ht="14.4" thickBot="1">
      <c r="C72" s="36" t="s">
        <v>91</v>
      </c>
      <c r="D72" s="37"/>
      <c r="E72" s="38"/>
      <c r="F72" s="39"/>
      <c r="G72" s="40"/>
      <c r="H72" s="41">
        <v>1162.8800000000001</v>
      </c>
      <c r="I72" s="41">
        <f>SUMIFS(I:I,C:C,"Total")</f>
        <v>100</v>
      </c>
      <c r="J72" s="42"/>
    </row>
    <row r="75" spans="1:10">
      <c r="C75" s="11" t="s">
        <v>92</v>
      </c>
    </row>
    <row r="76" spans="1:10">
      <c r="C76" s="2" t="s">
        <v>93</v>
      </c>
    </row>
    <row r="77" spans="1:10">
      <c r="C77" s="2" t="s">
        <v>94</v>
      </c>
    </row>
    <row r="78" spans="1:10">
      <c r="C78" s="2" t="s">
        <v>95</v>
      </c>
    </row>
    <row r="79" spans="1:10">
      <c r="C79" s="2" t="s">
        <v>96</v>
      </c>
    </row>
    <row r="80" spans="1:10">
      <c r="C80" s="2" t="s">
        <v>97</v>
      </c>
    </row>
    <row r="81" spans="3:5" ht="14.4" thickBot="1">
      <c r="C81" s="2" t="s">
        <v>98</v>
      </c>
    </row>
    <row r="82" spans="3:5" ht="14.4" thickBot="1">
      <c r="C82" s="43"/>
      <c r="D82" s="60" t="s">
        <v>99</v>
      </c>
      <c r="E82" s="61"/>
    </row>
    <row r="83" spans="3:5">
      <c r="C83" s="44" t="s">
        <v>100</v>
      </c>
      <c r="D83" s="58" t="s">
        <v>101</v>
      </c>
      <c r="E83" s="45" t="s">
        <v>101</v>
      </c>
    </row>
    <row r="84" spans="3:5" ht="14.4" thickBot="1">
      <c r="C84" s="46"/>
      <c r="D84" s="59" t="s">
        <v>131</v>
      </c>
      <c r="E84" s="47" t="s">
        <v>102</v>
      </c>
    </row>
    <row r="85" spans="3:5" ht="14.4" thickBot="1">
      <c r="C85" s="48" t="s">
        <v>103</v>
      </c>
      <c r="D85" s="49">
        <v>46.43</v>
      </c>
      <c r="E85" s="49">
        <v>47.44</v>
      </c>
    </row>
    <row r="86" spans="3:5" ht="14.4" thickBot="1">
      <c r="C86" s="48" t="s">
        <v>104</v>
      </c>
      <c r="D86" s="49">
        <v>51.86</v>
      </c>
      <c r="E86" s="49">
        <v>53</v>
      </c>
    </row>
    <row r="87" spans="3:5" ht="14.4" thickBot="1">
      <c r="C87" s="48" t="s">
        <v>105</v>
      </c>
      <c r="D87" s="49">
        <v>57.35</v>
      </c>
      <c r="E87" s="49">
        <v>58.65</v>
      </c>
    </row>
    <row r="88" spans="3:5" ht="14.4" thickBot="1">
      <c r="C88" s="48" t="s">
        <v>106</v>
      </c>
      <c r="D88" s="49">
        <v>58.02</v>
      </c>
      <c r="E88" s="49">
        <v>59.33</v>
      </c>
    </row>
    <row r="90" spans="3:5">
      <c r="C90" s="2" t="s">
        <v>107</v>
      </c>
    </row>
    <row r="91" spans="3:5">
      <c r="C91" s="2" t="s">
        <v>108</v>
      </c>
    </row>
    <row r="92" spans="3:5">
      <c r="C92" s="2" t="s">
        <v>109</v>
      </c>
    </row>
    <row r="93" spans="3:5">
      <c r="C93" s="2" t="s">
        <v>110</v>
      </c>
    </row>
    <row r="94" spans="3:5">
      <c r="C94" s="2" t="s">
        <v>111</v>
      </c>
    </row>
    <row r="95" spans="3:5">
      <c r="C95" s="2" t="s">
        <v>112</v>
      </c>
    </row>
    <row r="96" spans="3:5">
      <c r="C96" s="2" t="s">
        <v>113</v>
      </c>
    </row>
    <row r="97" spans="3:3">
      <c r="C97" s="2" t="s">
        <v>114</v>
      </c>
    </row>
    <row r="98" spans="3:3">
      <c r="C98" s="2" t="s">
        <v>115</v>
      </c>
    </row>
  </sheetData>
  <mergeCells count="1">
    <mergeCell ref="D82:E82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3:M17"/>
  <sheetViews>
    <sheetView workbookViewId="0">
      <selection activeCell="C3" sqref="C3:M17"/>
    </sheetView>
  </sheetViews>
  <sheetFormatPr defaultRowHeight="14.4"/>
  <cols>
    <col min="3" max="3" width="46.44140625" customWidth="1"/>
    <col min="4" max="4" width="7.10937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1" bestFit="1" customWidth="1"/>
  </cols>
  <sheetData>
    <row r="3" spans="3:13" ht="15.6">
      <c r="C3" s="50" t="s">
        <v>116</v>
      </c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3:13">
      <c r="C4" s="52" t="s">
        <v>117</v>
      </c>
      <c r="D4" s="62" t="s">
        <v>118</v>
      </c>
      <c r="E4" s="62"/>
      <c r="F4" s="62" t="s">
        <v>119</v>
      </c>
      <c r="G4" s="62"/>
      <c r="H4" s="62" t="s">
        <v>120</v>
      </c>
      <c r="I4" s="62"/>
      <c r="J4" s="63" t="s">
        <v>121</v>
      </c>
      <c r="K4" s="64"/>
      <c r="L4" s="65" t="s">
        <v>122</v>
      </c>
      <c r="M4" s="65"/>
    </row>
    <row r="5" spans="3:13" ht="66">
      <c r="C5" s="53"/>
      <c r="D5" s="54" t="s">
        <v>123</v>
      </c>
      <c r="E5" s="54" t="s">
        <v>124</v>
      </c>
      <c r="F5" s="54" t="s">
        <v>123</v>
      </c>
      <c r="G5" s="54" t="s">
        <v>124</v>
      </c>
      <c r="H5" s="54" t="s">
        <v>123</v>
      </c>
      <c r="I5" s="54" t="s">
        <v>124</v>
      </c>
      <c r="J5" s="54" t="s">
        <v>123</v>
      </c>
      <c r="K5" s="54" t="s">
        <v>124</v>
      </c>
      <c r="L5" s="55" t="s">
        <v>123</v>
      </c>
      <c r="M5" s="55" t="s">
        <v>124</v>
      </c>
    </row>
    <row r="6" spans="3:13">
      <c r="C6" s="56" t="s">
        <v>125</v>
      </c>
      <c r="D6" s="57">
        <v>2.5145</v>
      </c>
      <c r="E6" s="57">
        <v>10251.450676982591</v>
      </c>
      <c r="F6" s="57">
        <v>14.699299999999999</v>
      </c>
      <c r="G6" s="57">
        <v>15095.414411848476</v>
      </c>
      <c r="H6" s="57">
        <v>19.886399999999998</v>
      </c>
      <c r="I6" s="57">
        <v>24777.933613838242</v>
      </c>
      <c r="J6" s="57">
        <v>12.6007</v>
      </c>
      <c r="K6" s="57">
        <v>32797.0297029703</v>
      </c>
      <c r="L6" s="57">
        <v>13.2879</v>
      </c>
      <c r="M6" s="57">
        <v>53000</v>
      </c>
    </row>
    <row r="7" spans="3:13">
      <c r="C7" s="56" t="s">
        <v>126</v>
      </c>
      <c r="D7" s="57">
        <v>3.15</v>
      </c>
      <c r="E7" s="57">
        <v>10967.94</v>
      </c>
      <c r="F7" s="57">
        <v>12.55</v>
      </c>
      <c r="G7" s="57">
        <v>17556.036122239657</v>
      </c>
      <c r="H7" s="57">
        <v>21.19</v>
      </c>
      <c r="I7" s="57">
        <v>27168.827169368073</v>
      </c>
      <c r="J7" s="57">
        <v>12.71</v>
      </c>
      <c r="K7" s="57">
        <v>17980.554966314034</v>
      </c>
      <c r="L7" s="57">
        <v>14.94</v>
      </c>
      <c r="M7" s="57">
        <v>68249.244559255516</v>
      </c>
    </row>
    <row r="8" spans="3:13">
      <c r="C8" s="56" t="s">
        <v>127</v>
      </c>
      <c r="D8" s="57">
        <v>-3.4517000000000002</v>
      </c>
      <c r="E8" s="57">
        <v>9654.83</v>
      </c>
      <c r="F8" s="57">
        <v>14.212199999999999</v>
      </c>
      <c r="G8" s="57">
        <v>14898.326630184003</v>
      </c>
      <c r="H8" s="57">
        <v>18.361999999999998</v>
      </c>
      <c r="I8" s="57">
        <v>23230.656052809176</v>
      </c>
      <c r="J8" s="57">
        <v>13.3378</v>
      </c>
      <c r="K8" s="57">
        <v>18701.390188053683</v>
      </c>
      <c r="L8" s="57">
        <v>14.329700000000001</v>
      </c>
      <c r="M8" s="57">
        <v>59898.973182672598</v>
      </c>
    </row>
    <row r="9" spans="3:13">
      <c r="C9" s="56" t="s">
        <v>128</v>
      </c>
      <c r="D9" s="66">
        <v>51.7</v>
      </c>
      <c r="E9" s="67"/>
      <c r="F9" s="66">
        <v>35.11</v>
      </c>
      <c r="G9" s="67"/>
      <c r="H9" s="66">
        <v>21.39</v>
      </c>
      <c r="I9" s="67"/>
      <c r="J9" s="66">
        <v>16.16</v>
      </c>
      <c r="K9" s="67"/>
      <c r="L9" s="66">
        <v>10</v>
      </c>
      <c r="M9" s="67"/>
    </row>
    <row r="11" spans="3:13" ht="15.6">
      <c r="C11" s="50" t="s">
        <v>129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3:13">
      <c r="C12" s="52" t="s">
        <v>117</v>
      </c>
      <c r="D12" s="62" t="s">
        <v>118</v>
      </c>
      <c r="E12" s="62"/>
      <c r="F12" s="62" t="s">
        <v>119</v>
      </c>
      <c r="G12" s="62"/>
      <c r="H12" s="62" t="s">
        <v>120</v>
      </c>
      <c r="I12" s="62"/>
      <c r="J12" s="63" t="s">
        <v>121</v>
      </c>
      <c r="K12" s="64"/>
      <c r="L12" s="65" t="s">
        <v>122</v>
      </c>
      <c r="M12" s="65"/>
    </row>
    <row r="13" spans="3:13" ht="66">
      <c r="C13" s="53"/>
      <c r="D13" s="54" t="s">
        <v>123</v>
      </c>
      <c r="E13" s="54" t="s">
        <v>124</v>
      </c>
      <c r="F13" s="54" t="s">
        <v>123</v>
      </c>
      <c r="G13" s="54" t="s">
        <v>124</v>
      </c>
      <c r="H13" s="54" t="s">
        <v>123</v>
      </c>
      <c r="I13" s="54" t="s">
        <v>124</v>
      </c>
      <c r="J13" s="54" t="s">
        <v>123</v>
      </c>
      <c r="K13" s="54" t="s">
        <v>124</v>
      </c>
      <c r="L13" s="55" t="s">
        <v>123</v>
      </c>
      <c r="M13" s="55" t="s">
        <v>124</v>
      </c>
    </row>
    <row r="14" spans="3:13">
      <c r="C14" s="56" t="s">
        <v>125</v>
      </c>
      <c r="D14" s="57">
        <v>3.3264</v>
      </c>
      <c r="E14" s="57">
        <v>10332.636711947058</v>
      </c>
      <c r="F14" s="57">
        <v>15.5809</v>
      </c>
      <c r="G14" s="57">
        <v>15446.498307732363</v>
      </c>
      <c r="H14" s="57">
        <v>20.823399999999999</v>
      </c>
      <c r="I14" s="57">
        <v>25762.049500651323</v>
      </c>
      <c r="J14" s="57">
        <v>13.619899999999999</v>
      </c>
      <c r="K14" s="57">
        <v>35892.316999395036</v>
      </c>
      <c r="L14" s="57">
        <v>12.0763</v>
      </c>
      <c r="M14" s="57">
        <v>43465.201465201462</v>
      </c>
    </row>
    <row r="15" spans="3:13">
      <c r="C15" s="56" t="s">
        <v>126</v>
      </c>
      <c r="D15" s="57">
        <v>3.15</v>
      </c>
      <c r="E15" s="57">
        <v>10967.94</v>
      </c>
      <c r="F15" s="57">
        <v>12.55</v>
      </c>
      <c r="G15" s="57">
        <v>17556.036122239657</v>
      </c>
      <c r="H15" s="57">
        <v>21.19</v>
      </c>
      <c r="I15" s="57">
        <v>27168.827169368073</v>
      </c>
      <c r="J15" s="57">
        <v>12.71</v>
      </c>
      <c r="K15" s="57">
        <v>17980.554966314034</v>
      </c>
      <c r="L15" s="57">
        <v>12.73</v>
      </c>
      <c r="M15" s="57">
        <v>48628.515644440944</v>
      </c>
    </row>
    <row r="16" spans="3:13">
      <c r="C16" s="56" t="s">
        <v>127</v>
      </c>
      <c r="D16" s="57">
        <v>-3.4517000000000002</v>
      </c>
      <c r="E16" s="57">
        <v>9654.83</v>
      </c>
      <c r="F16" s="57">
        <v>14.212199999999999</v>
      </c>
      <c r="G16" s="57">
        <v>14898.326630184003</v>
      </c>
      <c r="H16" s="57">
        <v>18.361999999999998</v>
      </c>
      <c r="I16" s="57">
        <v>23230.656052809176</v>
      </c>
      <c r="J16" s="57">
        <v>13.3378</v>
      </c>
      <c r="K16" s="57">
        <v>18701.390188053683</v>
      </c>
      <c r="L16" s="57">
        <v>13.0716</v>
      </c>
      <c r="M16" s="57">
        <v>47879.320038417558</v>
      </c>
    </row>
    <row r="17" spans="3:13">
      <c r="C17" s="56" t="s">
        <v>130</v>
      </c>
      <c r="D17" s="66">
        <v>57.42</v>
      </c>
      <c r="E17" s="67"/>
      <c r="F17" s="66">
        <v>38.409999999999997</v>
      </c>
      <c r="G17" s="67"/>
      <c r="H17" s="66">
        <v>23.03</v>
      </c>
      <c r="I17" s="67"/>
      <c r="J17" s="66">
        <v>16.53</v>
      </c>
      <c r="K17" s="67"/>
      <c r="L17" s="66">
        <v>13.65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2025-10-06T12:45:07Z</dcterms:created>
  <dcterms:modified xsi:type="dcterms:W3CDTF">2025-10-09T11:38:02Z</dcterms:modified>
</cp:coreProperties>
</file>