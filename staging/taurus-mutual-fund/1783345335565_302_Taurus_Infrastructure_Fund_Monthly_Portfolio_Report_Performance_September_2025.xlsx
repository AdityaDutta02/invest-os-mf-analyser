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TISF!$C$8:$C$41</definedName>
    <definedName name="XDO_?FINAL_ISIN?8?">TISF!$D$10:$D$41</definedName>
    <definedName name="XDO_?FINAL_ISIN?9?">TISF!$D$10:$D$85</definedName>
    <definedName name="XDO_?FINAL_MV?8?">TISF!$H$10:$H$41</definedName>
    <definedName name="XDO_?FINAL_MV?9?">TISF!$H$10:$H$85</definedName>
    <definedName name="XDO_?FINAL_NAME?8?">TISF!$C$10:$C$41</definedName>
    <definedName name="XDO_?FINAL_NAME?9?">TISF!$C$10:$C$85</definedName>
    <definedName name="XDO_?FINAL_PER_NET?8?">TISF!$I$10:$I$41</definedName>
    <definedName name="XDO_?FINAL_PER_NET?9?">TISF!$I$10:$I$85</definedName>
    <definedName name="XDO_?FINAL_QUANTITE?8?">TISF!$G$10:$G$41</definedName>
    <definedName name="XDO_?FINAL_QUANTITE?9?">TISF!$G$10:$G$85</definedName>
    <definedName name="XDO_?IND_01?8?">TISF!$F$10:$F$41</definedName>
    <definedName name="XDO_?IND_01?9?">TISF!$F$10:$F$85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TISF!$B$10:$B$41</definedName>
    <definedName name="XDO_?NOVAL?9?">TISF!$B$10:$B$85</definedName>
    <definedName name="XDO_?NPTF?4?">TISF!$D$2:$D$41</definedName>
    <definedName name="XDO_?RATING?8?">TISF!$E$10:$E$41</definedName>
    <definedName name="XDO_?RATING?9?">TISF!$E$10:$E$85</definedName>
    <definedName name="XDO_?REMARKS?8?">TISF!$J$10:$J$41</definedName>
    <definedName name="XDO_?REMARKS?9?">TISF!$J$10:$J$85</definedName>
    <definedName name="XDO_?TITL?4?">TISF!$A$8:$A$41</definedName>
    <definedName name="XDO_GROUP_?G_2?4?">TISF!$2:$88</definedName>
    <definedName name="XDO_GROUP_?G_3?4?">TISF!$8:$87</definedName>
    <definedName name="XDO_GROUP_?G_4?8?">TISF!$B$10:$IV$41</definedName>
    <definedName name="XDO_GROUP_?G_4?9?">TISF!$B$85:$IV$85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/>
</calcChain>
</file>

<file path=xl/sharedStrings.xml><?xml version="1.0" encoding="utf-8"?>
<sst xmlns="http://schemas.openxmlformats.org/spreadsheetml/2006/main" count="270" uniqueCount="193">
  <si>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</si>
  <si>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</si>
  <si>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</si>
  <si>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</si>
  <si>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</si>
  <si>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</si>
  <si>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</si>
  <si>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</si>
  <si>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</si>
  <si>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</si>
  <si>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</si>
  <si>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</si>
  <si>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</si>
  <si>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</si>
  <si>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</si>
  <si>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</si>
  <si>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</si>
  <si>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</si>
  <si>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</si>
  <si>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</si>
  <si>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</si>
  <si>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</si>
  <si>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</si>
  <si>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</si>
  <si>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</si>
  <si>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</si>
  <si>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</si>
  <si>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</si>
  <si>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</si>
  <si>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</si>
  <si>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100182</t>
  </si>
  <si>
    <t>Power Grid Corporation of India Ltd.</t>
  </si>
  <si>
    <t>INE752E01010</t>
  </si>
  <si>
    <t>Power</t>
  </si>
  <si>
    <t>100082</t>
  </si>
  <si>
    <t>Ultratech Cement Ltd.</t>
  </si>
  <si>
    <t>INE481G01011</t>
  </si>
  <si>
    <t>Cement &amp; Cement Products</t>
  </si>
  <si>
    <t>102611</t>
  </si>
  <si>
    <t>Kalpataru Ltd.</t>
  </si>
  <si>
    <t>INE227J01012</t>
  </si>
  <si>
    <t>Realty</t>
  </si>
  <si>
    <t>100094</t>
  </si>
  <si>
    <t>Bharat Petroleum Corporation Ltd.</t>
  </si>
  <si>
    <t>INE029A01011</t>
  </si>
  <si>
    <t>100302</t>
  </si>
  <si>
    <t>DLF Ltd.</t>
  </si>
  <si>
    <t>INE271C01023</t>
  </si>
  <si>
    <t>100169</t>
  </si>
  <si>
    <t>Indian Oil Corporation Ltd.</t>
  </si>
  <si>
    <t>INE242A01010</t>
  </si>
  <si>
    <t>100181</t>
  </si>
  <si>
    <t>NTPC Ltd.</t>
  </si>
  <si>
    <t>INE733E01010</t>
  </si>
  <si>
    <t>102206</t>
  </si>
  <si>
    <t>Chemtech Industrial Valves Ltd.</t>
  </si>
  <si>
    <t>INE212P01011</t>
  </si>
  <si>
    <t>Industrial Manufacturing</t>
  </si>
  <si>
    <t>100362</t>
  </si>
  <si>
    <t>JSW Energy Ltd.</t>
  </si>
  <si>
    <t>INE121E01018</t>
  </si>
  <si>
    <t>100177</t>
  </si>
  <si>
    <t>Grasim Industries Ltd.</t>
  </si>
  <si>
    <t>INE047A01021</t>
  </si>
  <si>
    <t>100292</t>
  </si>
  <si>
    <t>Steel Authority of India Ltd.</t>
  </si>
  <si>
    <t>INE114A01011</t>
  </si>
  <si>
    <t>Ferrous Metals</t>
  </si>
  <si>
    <t>100111</t>
  </si>
  <si>
    <t>Oil &amp; Natural Gas Corporation Ltd.</t>
  </si>
  <si>
    <t>INE213A01029</t>
  </si>
  <si>
    <t>Oil</t>
  </si>
  <si>
    <t>100465</t>
  </si>
  <si>
    <t>Interglobe Aviation Ltd.</t>
  </si>
  <si>
    <t>INE646L01027</t>
  </si>
  <si>
    <t>Transport Services</t>
  </si>
  <si>
    <t>100263</t>
  </si>
  <si>
    <t>BEML Ltd.</t>
  </si>
  <si>
    <t>INE258A01016</t>
  </si>
  <si>
    <t>Agricultural, Commercial &amp; Construction Vehicles</t>
  </si>
  <si>
    <t>100100</t>
  </si>
  <si>
    <t>Hindustan Petroleum Corporation Ltd.</t>
  </si>
  <si>
    <t>INE094A01015</t>
  </si>
  <si>
    <t>100174</t>
  </si>
  <si>
    <t>Vodafone Idea Ltd.</t>
  </si>
  <si>
    <t>INE669E01016</t>
  </si>
  <si>
    <t>100430</t>
  </si>
  <si>
    <t>Salzer Electronics Ltd.</t>
  </si>
  <si>
    <t>INE457F01013</t>
  </si>
  <si>
    <t>Electrical Equipment</t>
  </si>
  <si>
    <t>102644</t>
  </si>
  <si>
    <t>Vikram Solar Ltd.</t>
  </si>
  <si>
    <t>INE078V01014</t>
  </si>
  <si>
    <t>100498</t>
  </si>
  <si>
    <t>Ahluwalia Contracts (India) Ltd.</t>
  </si>
  <si>
    <t>INE758C01029</t>
  </si>
  <si>
    <t>102505</t>
  </si>
  <si>
    <t>Apeejay Surrendra Park Hotels Ltd.</t>
  </si>
  <si>
    <t>INE988S01028</t>
  </si>
  <si>
    <t>Leisure Services</t>
  </si>
  <si>
    <t>100843</t>
  </si>
  <si>
    <t>Dalmia Bharat Ltd.</t>
  </si>
  <si>
    <t>INE00R701025</t>
  </si>
  <si>
    <t>100014</t>
  </si>
  <si>
    <t>Mahindra &amp; Mahindra Ltd.</t>
  </si>
  <si>
    <t>INE101A01026</t>
  </si>
  <si>
    <t>Automobiles</t>
  </si>
  <si>
    <t>100083</t>
  </si>
  <si>
    <t>Samvardhana Motherson International Ltd.</t>
  </si>
  <si>
    <t>INE775A01035</t>
  </si>
  <si>
    <t>Auto Components</t>
  </si>
  <si>
    <t>102135</t>
  </si>
  <si>
    <t>Le Travenues Technology Ltd.</t>
  </si>
  <si>
    <t>INE0HV901016</t>
  </si>
  <si>
    <t>100156</t>
  </si>
  <si>
    <t>Finolex Cables Ltd.</t>
  </si>
  <si>
    <t>INE235A01022</t>
  </si>
  <si>
    <t>Industrial Products</t>
  </si>
  <si>
    <t>100809</t>
  </si>
  <si>
    <t>Rites Ltd.</t>
  </si>
  <si>
    <t>INE320J01015</t>
  </si>
  <si>
    <t>101949</t>
  </si>
  <si>
    <t>Samhi Hotels Ltd.</t>
  </si>
  <si>
    <t>INE08U801020</t>
  </si>
  <si>
    <t>101800</t>
  </si>
  <si>
    <t>Hindware Home Innovation Ltd.</t>
  </si>
  <si>
    <t>INE05AN01011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</si>
  <si>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</si>
  <si>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</si>
  <si>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</si>
  <si>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</si>
  <si>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</si>
  <si>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</si>
  <si>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</si>
  <si>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</si>
  <si>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</si>
  <si>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</si>
  <si>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</si>
  <si>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</si>
  <si>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</si>
  <si>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</si>
  <si>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</si>
  <si>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</si>
  <si>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</si>
  <si>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</si>
  <si>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</si>
  <si>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</si>
  <si>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</si>
  <si>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</si>
  <si>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</si>
  <si>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</si>
  <si>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</si>
  <si>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</si>
  <si>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</si>
  <si>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</si>
  <si>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</si>
  <si>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</si>
  <si>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</si>
  <si>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</si>
  <si>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</si>
  <si>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</si>
  <si>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</si>
  <si>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</si>
  <si>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</si>
  <si>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</si>
  <si>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</si>
  <si>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</si>
  <si>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</si>
  <si>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September 30, 2025.</t>
  </si>
  <si>
    <t>7. The Scheme did not declare any bonus during the month ended As on September 30, 2025.</t>
  </si>
  <si>
    <t>8. Total outstanding exposure in derivative instruments as on As on September 30, 2025 is Nil</t>
  </si>
  <si>
    <t>9. Total investments in Foreign Securities /ADRs/GDRs /Overseas ETFs as at As on September 30, 2025 and its percentage to NAV is Nil.</t>
  </si>
  <si>
    <t>10. During the period, the portfolio turnover ratio is 0.77 times.</t>
  </si>
  <si>
    <t>      Portfolio Turnover Ratio = Lower of sales or purchase of securities divided by average AUM for 12 months ended As on September 30, 2025</t>
  </si>
  <si>
    <t>11. The Scheme did not invest in repo transactions of corporate debt securities during the month ended As on September 30, 2025.</t>
  </si>
  <si>
    <t>12. The Scheme did not invest in credit default swaps during the month ended As on September 30, 2025.</t>
  </si>
  <si>
    <t>13. There are Nil instances of deviation from the valuation principles/guidelines during the month ended as on September 30th, 2025.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</si>
  <si>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</si>
  <si>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</si>
  <si>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</si>
  <si>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</si>
  <si>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</si>
  <si>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</si>
  <si>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</si>
  <si>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</si>
  <si>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</si>
  <si>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</si>
  <si>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</si>
  <si>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</si>
  <si>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September 30,2025 :67.07)</t>
  </si>
  <si>
    <t>Taurus Infrastructure Fund - Direct Plan Growth Option</t>
  </si>
  <si>
    <t>NAV [Rs.] Per Unit (as on September 30,2025 :72.04)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</si>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</sst>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59097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xmlns="" id="{6ABF24C7-05D0-43DE-AC27-42A83642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4"/>
  <sheetViews>
    <sheetView showGridLines="0" tabSelected="1" zoomScale="90" zoomScaleNormal="90" workbookViewId="0">
      <selection activeCell="C4" sqref="C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2.1093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92.02</v>
      </c>
      <c r="I10" s="32">
        <v>9.7799999999999994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65.489999999999995</v>
      </c>
      <c r="I11" s="32">
        <v>6.96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62.89</v>
      </c>
      <c r="I12" s="32">
        <v>6.68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49.11</v>
      </c>
      <c r="I13" s="32">
        <v>5.22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16885</v>
      </c>
      <c r="H14" s="32">
        <v>47.29</v>
      </c>
      <c r="I14" s="32">
        <v>5.03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280</v>
      </c>
      <c r="H15" s="32">
        <v>34.229999999999997</v>
      </c>
      <c r="I15" s="32">
        <v>3.64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8972</v>
      </c>
      <c r="H16" s="32">
        <v>33.57</v>
      </c>
      <c r="I16" s="32">
        <v>3.57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22</v>
      </c>
      <c r="G17" s="31">
        <v>9374</v>
      </c>
      <c r="H17" s="32">
        <v>31.83</v>
      </c>
      <c r="I17" s="32">
        <v>3.38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41</v>
      </c>
      <c r="G18" s="31">
        <v>4454</v>
      </c>
      <c r="H18" s="32">
        <v>31.77</v>
      </c>
      <c r="I18" s="32">
        <v>3.38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19975</v>
      </c>
      <c r="H19" s="32">
        <v>29.91</v>
      </c>
      <c r="I19" s="32">
        <v>3.18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33</v>
      </c>
      <c r="G20" s="31">
        <v>8787</v>
      </c>
      <c r="H20" s="32">
        <v>29.91</v>
      </c>
      <c r="I20" s="32">
        <v>3.18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25000</v>
      </c>
      <c r="H21" s="32">
        <v>29.18</v>
      </c>
      <c r="I21" s="32">
        <v>3.1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33</v>
      </c>
      <c r="G22" s="31">
        <v>5491</v>
      </c>
      <c r="H22" s="32">
        <v>29.16</v>
      </c>
      <c r="I22" s="32">
        <v>3.1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37</v>
      </c>
      <c r="G23" s="31">
        <v>1015</v>
      </c>
      <c r="H23" s="32">
        <v>27.98</v>
      </c>
      <c r="I23" s="32">
        <v>2.97</v>
      </c>
      <c r="J23" s="33"/>
    </row>
    <row r="24" spans="2:10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20533</v>
      </c>
      <c r="H24" s="32">
        <v>27.66</v>
      </c>
      <c r="I24" s="32">
        <v>2.94</v>
      </c>
      <c r="J24" s="33"/>
    </row>
    <row r="25" spans="2:10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11318</v>
      </c>
      <c r="H25" s="32">
        <v>27.11</v>
      </c>
      <c r="I25" s="32">
        <v>2.88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469</v>
      </c>
      <c r="H26" s="32">
        <v>26.24</v>
      </c>
      <c r="I26" s="32">
        <v>2.79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595</v>
      </c>
      <c r="H27" s="32">
        <v>24.84</v>
      </c>
      <c r="I27" s="32">
        <v>2.64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22</v>
      </c>
      <c r="G28" s="31">
        <v>4702</v>
      </c>
      <c r="H28" s="32">
        <v>20.83</v>
      </c>
      <c r="I28" s="32">
        <v>2.21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18</v>
      </c>
      <c r="G29" s="31">
        <v>255518</v>
      </c>
      <c r="H29" s="32">
        <v>20.8</v>
      </c>
      <c r="I29" s="32">
        <v>2.21</v>
      </c>
      <c r="J29" s="33"/>
    </row>
    <row r="30" spans="2:10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2686</v>
      </c>
      <c r="H30" s="32">
        <v>20.21</v>
      </c>
      <c r="I30" s="32">
        <v>2.15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89</v>
      </c>
      <c r="G31" s="31">
        <v>6350</v>
      </c>
      <c r="H31" s="32">
        <v>20.059999999999999</v>
      </c>
      <c r="I31" s="32">
        <v>2.13</v>
      </c>
      <c r="J31" s="33"/>
    </row>
    <row r="32" spans="2:10">
      <c r="B32" s="1" t="s">
        <v>93</v>
      </c>
      <c r="C32" s="20" t="s">
        <v>94</v>
      </c>
      <c r="D32" s="29" t="s">
        <v>95</v>
      </c>
      <c r="E32" s="30"/>
      <c r="F32" s="30" t="s">
        <v>26</v>
      </c>
      <c r="G32" s="31">
        <v>2005</v>
      </c>
      <c r="H32" s="32">
        <v>19.940000000000001</v>
      </c>
      <c r="I32" s="32">
        <v>2.12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13378</v>
      </c>
      <c r="H33" s="32">
        <v>19.29</v>
      </c>
      <c r="I33" s="32">
        <v>2.0499999999999998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37</v>
      </c>
      <c r="G34" s="31">
        <v>814</v>
      </c>
      <c r="H34" s="32">
        <v>18.11</v>
      </c>
      <c r="I34" s="32">
        <v>1.92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523</v>
      </c>
      <c r="H35" s="32">
        <v>17.920000000000002</v>
      </c>
      <c r="I35" s="32">
        <v>1.9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16500</v>
      </c>
      <c r="H36" s="32">
        <v>17.43</v>
      </c>
      <c r="I36" s="32">
        <v>1.85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99</v>
      </c>
      <c r="G37" s="31">
        <v>6444</v>
      </c>
      <c r="H37" s="32">
        <v>17.07</v>
      </c>
      <c r="I37" s="32">
        <v>1.81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1903</v>
      </c>
      <c r="H38" s="32">
        <v>15.56</v>
      </c>
      <c r="I38" s="32">
        <v>1.65</v>
      </c>
      <c r="J38" s="33"/>
    </row>
    <row r="39" spans="2:10">
      <c r="B39" s="1" t="s">
        <v>118</v>
      </c>
      <c r="C39" s="20" t="s">
        <v>119</v>
      </c>
      <c r="D39" s="29" t="s">
        <v>120</v>
      </c>
      <c r="E39" s="30"/>
      <c r="F39" s="30" t="s">
        <v>26</v>
      </c>
      <c r="G39" s="31">
        <v>5803</v>
      </c>
      <c r="H39" s="32">
        <v>14.28</v>
      </c>
      <c r="I39" s="32">
        <v>1.52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99</v>
      </c>
      <c r="G40" s="31">
        <v>7292</v>
      </c>
      <c r="H40" s="32">
        <v>14.27</v>
      </c>
      <c r="I40" s="32">
        <v>1.52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272</v>
      </c>
      <c r="H41" s="32">
        <v>0.9</v>
      </c>
      <c r="I41" s="32">
        <v>0.1</v>
      </c>
      <c r="J41" s="33"/>
    </row>
    <row r="42" spans="2:10">
      <c r="C42" s="28" t="s">
        <v>128</v>
      </c>
      <c r="D42" s="29"/>
      <c r="E42" s="30"/>
      <c r="F42" s="30"/>
      <c r="G42" s="31"/>
      <c r="H42" s="35">
        <v>936.86</v>
      </c>
      <c r="I42" s="35">
        <v>99.56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129</v>
      </c>
      <c r="D44" s="29"/>
      <c r="E44" s="30"/>
      <c r="F44" s="30"/>
      <c r="G44" s="31"/>
      <c r="H44" s="32" t="s">
        <v>130</v>
      </c>
      <c r="I44" s="32" t="s">
        <v>130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131</v>
      </c>
      <c r="D46" s="29"/>
      <c r="E46" s="30"/>
      <c r="F46" s="30"/>
      <c r="G46" s="31"/>
      <c r="H46" s="32" t="s">
        <v>130</v>
      </c>
      <c r="I46" s="32" t="s">
        <v>130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132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133</v>
      </c>
      <c r="D50" s="29"/>
      <c r="E50" s="30"/>
      <c r="F50" s="30"/>
      <c r="G50" s="31"/>
      <c r="H50" s="32" t="s">
        <v>130</v>
      </c>
      <c r="I50" s="32" t="s">
        <v>130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134</v>
      </c>
      <c r="D52" s="29"/>
      <c r="E52" s="30"/>
      <c r="F52" s="30"/>
      <c r="G52" s="31"/>
      <c r="H52" s="32" t="s">
        <v>130</v>
      </c>
      <c r="I52" s="32" t="s">
        <v>130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135</v>
      </c>
      <c r="D54" s="29"/>
      <c r="E54" s="30"/>
      <c r="F54" s="30"/>
      <c r="G54" s="31"/>
      <c r="H54" s="32" t="s">
        <v>130</v>
      </c>
      <c r="I54" s="32" t="s">
        <v>130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136</v>
      </c>
      <c r="D56" s="29"/>
      <c r="E56" s="30"/>
      <c r="F56" s="30"/>
      <c r="G56" s="31"/>
      <c r="H56" s="32" t="s">
        <v>130</v>
      </c>
      <c r="I56" s="32" t="s">
        <v>130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137</v>
      </c>
      <c r="D58" s="29"/>
      <c r="E58" s="30"/>
      <c r="F58" s="30"/>
      <c r="G58" s="31"/>
      <c r="H58" s="32" t="s">
        <v>130</v>
      </c>
      <c r="I58" s="32" t="s">
        <v>130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138</v>
      </c>
      <c r="D60" s="29"/>
      <c r="E60" s="30"/>
      <c r="F60" s="30"/>
      <c r="G60" s="31"/>
      <c r="H60" s="32"/>
      <c r="I60" s="32"/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139</v>
      </c>
      <c r="D62" s="29"/>
      <c r="E62" s="30"/>
      <c r="F62" s="30"/>
      <c r="G62" s="31"/>
      <c r="H62" s="32" t="s">
        <v>130</v>
      </c>
      <c r="I62" s="32" t="s">
        <v>130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140</v>
      </c>
      <c r="D64" s="29"/>
      <c r="E64" s="30"/>
      <c r="F64" s="30"/>
      <c r="G64" s="31"/>
      <c r="H64" s="32" t="s">
        <v>130</v>
      </c>
      <c r="I64" s="32" t="s">
        <v>130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141</v>
      </c>
      <c r="D66" s="29"/>
      <c r="E66" s="30"/>
      <c r="F66" s="30"/>
      <c r="G66" s="31"/>
      <c r="H66" s="32" t="s">
        <v>130</v>
      </c>
      <c r="I66" s="32" t="s">
        <v>130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142</v>
      </c>
      <c r="D68" s="29"/>
      <c r="E68" s="30"/>
      <c r="F68" s="30"/>
      <c r="G68" s="31"/>
      <c r="H68" s="32" t="s">
        <v>130</v>
      </c>
      <c r="I68" s="32" t="s">
        <v>130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143</v>
      </c>
      <c r="D70" s="29"/>
      <c r="E70" s="30"/>
      <c r="F70" s="30"/>
      <c r="G70" s="31"/>
      <c r="H70" s="32"/>
      <c r="I70" s="32"/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144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145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146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147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148</v>
      </c>
      <c r="D80" s="29"/>
      <c r="E80" s="30"/>
      <c r="F80" s="30"/>
      <c r="G80" s="31"/>
      <c r="H80" s="32" t="s">
        <v>130</v>
      </c>
      <c r="I80" s="32" t="s">
        <v>130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149</v>
      </c>
      <c r="D82" s="29"/>
      <c r="E82" s="30"/>
      <c r="F82" s="30"/>
      <c r="G82" s="31"/>
      <c r="H82" s="32" t="s">
        <v>130</v>
      </c>
      <c r="I82" s="32" t="s">
        <v>130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A84" s="26"/>
      <c r="B84" s="27"/>
      <c r="C84" s="28" t="s">
        <v>150</v>
      </c>
      <c r="D84" s="29"/>
      <c r="E84" s="30"/>
      <c r="F84" s="30"/>
      <c r="G84" s="31"/>
      <c r="H84" s="32"/>
      <c r="I84" s="32"/>
      <c r="J84" s="33"/>
    </row>
    <row r="85" spans="1:10">
      <c r="B85" s="1"/>
      <c r="C85" s="20" t="s">
        <v>151</v>
      </c>
      <c r="D85" s="29"/>
      <c r="E85" s="30"/>
      <c r="F85" s="30"/>
      <c r="G85" s="31"/>
      <c r="H85" s="32">
        <v>4.1399999999999997</v>
      </c>
      <c r="I85" s="32">
        <v>0.44</v>
      </c>
      <c r="J85" s="33"/>
    </row>
    <row r="86" spans="1:10">
      <c r="C86" s="28" t="s">
        <v>128</v>
      </c>
      <c r="D86" s="29"/>
      <c r="E86" s="30"/>
      <c r="F86" s="30"/>
      <c r="G86" s="31"/>
      <c r="H86" s="35">
        <v>4.1399999999999997</v>
      </c>
      <c r="I86" s="35">
        <v>0.44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 ht="14.4" thickBot="1">
      <c r="C88" s="36" t="s">
        <v>152</v>
      </c>
      <c r="D88" s="37"/>
      <c r="E88" s="38"/>
      <c r="F88" s="39"/>
      <c r="G88" s="40"/>
      <c r="H88" s="41">
        <v>941</v>
      </c>
      <c r="I88" s="41">
        <f>SUMIFS(I:I,C:C,"Total")</f>
        <v>100</v>
      </c>
      <c r="J88" s="42"/>
    </row>
    <row r="91" spans="1:10">
      <c r="C91" s="11" t="s">
        <v>153</v>
      </c>
    </row>
    <row r="92" spans="1:10">
      <c r="C92" s="2" t="s">
        <v>154</v>
      </c>
    </row>
    <row r="93" spans="1:10">
      <c r="C93" s="2" t="s">
        <v>155</v>
      </c>
    </row>
    <row r="94" spans="1:10">
      <c r="C94" s="2" t="s">
        <v>156</v>
      </c>
    </row>
    <row r="95" spans="1:10">
      <c r="C95" s="2" t="s">
        <v>157</v>
      </c>
    </row>
    <row r="96" spans="1:10">
      <c r="C96" s="2" t="s">
        <v>158</v>
      </c>
    </row>
    <row r="97" spans="3:5" ht="14.4" thickBot="1">
      <c r="C97" s="2" t="s">
        <v>159</v>
      </c>
    </row>
    <row r="98" spans="3:5" ht="14.4" thickBot="1">
      <c r="C98" s="43"/>
      <c r="D98" s="60" t="s">
        <v>160</v>
      </c>
      <c r="E98" s="61"/>
    </row>
    <row r="99" spans="3:5">
      <c r="C99" s="44" t="s">
        <v>161</v>
      </c>
      <c r="D99" s="58" t="s">
        <v>162</v>
      </c>
      <c r="E99" s="45" t="s">
        <v>162</v>
      </c>
    </row>
    <row r="100" spans="3:5" ht="14.4" thickBot="1">
      <c r="C100" s="46"/>
      <c r="D100" s="59" t="s">
        <v>192</v>
      </c>
      <c r="E100" s="47" t="s">
        <v>163</v>
      </c>
    </row>
    <row r="101" spans="3:5" ht="14.4" thickBot="1">
      <c r="C101" s="48" t="s">
        <v>164</v>
      </c>
      <c r="D101" s="49">
        <v>61.29</v>
      </c>
      <c r="E101" s="49">
        <v>62.99</v>
      </c>
    </row>
    <row r="102" spans="3:5" ht="14.4" thickBot="1">
      <c r="C102" s="48" t="s">
        <v>165</v>
      </c>
      <c r="D102" s="49">
        <v>65.25</v>
      </c>
      <c r="E102" s="49">
        <v>67.069999999999993</v>
      </c>
    </row>
    <row r="103" spans="3:5" ht="14.4" thickBot="1">
      <c r="C103" s="48" t="s">
        <v>166</v>
      </c>
      <c r="D103" s="49">
        <v>65.25</v>
      </c>
      <c r="E103" s="49">
        <v>67.09</v>
      </c>
    </row>
    <row r="104" spans="3:5" ht="14.4" thickBot="1">
      <c r="C104" s="48" t="s">
        <v>167</v>
      </c>
      <c r="D104" s="49">
        <v>70.06</v>
      </c>
      <c r="E104" s="49">
        <v>72.040000000000006</v>
      </c>
    </row>
    <row r="106" spans="3:5">
      <c r="C106" s="2" t="s">
        <v>168</v>
      </c>
    </row>
    <row r="107" spans="3:5">
      <c r="C107" s="2" t="s">
        <v>169</v>
      </c>
    </row>
    <row r="108" spans="3:5">
      <c r="C108" s="2" t="s">
        <v>170</v>
      </c>
    </row>
    <row r="109" spans="3:5">
      <c r="C109" s="2" t="s">
        <v>171</v>
      </c>
    </row>
    <row r="110" spans="3:5">
      <c r="C110" s="2" t="s">
        <v>172</v>
      </c>
    </row>
    <row r="111" spans="3:5">
      <c r="C111" s="2" t="s">
        <v>173</v>
      </c>
    </row>
    <row r="112" spans="3:5">
      <c r="C112" s="2" t="s">
        <v>174</v>
      </c>
    </row>
    <row r="113" spans="3:3">
      <c r="C113" s="2" t="s">
        <v>175</v>
      </c>
    </row>
    <row r="114" spans="3:3">
      <c r="C114" s="2" t="s">
        <v>176</v>
      </c>
    </row>
  </sheetData>
  <mergeCells count="1">
    <mergeCell ref="D98:E9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C13" sqref="C13"/>
    </sheetView>
  </sheetViews>
  <sheetFormatPr defaultRowHeight="14.4"/>
  <cols>
    <col min="3" max="3" width="48.109375" customWidth="1"/>
    <col min="4" max="4" width="8.109375" bestFit="1" customWidth="1"/>
    <col min="5" max="5" width="10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1" bestFit="1" customWidth="1"/>
  </cols>
  <sheetData>
    <row r="3" spans="3:13" ht="15.6">
      <c r="C3" s="50" t="s">
        <v>177</v>
      </c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3:13">
      <c r="C4" s="52" t="s">
        <v>178</v>
      </c>
      <c r="D4" s="64" t="s">
        <v>179</v>
      </c>
      <c r="E4" s="64"/>
      <c r="F4" s="64" t="s">
        <v>180</v>
      </c>
      <c r="G4" s="64"/>
      <c r="H4" s="64" t="s">
        <v>181</v>
      </c>
      <c r="I4" s="64"/>
      <c r="J4" s="65" t="s">
        <v>182</v>
      </c>
      <c r="K4" s="66"/>
      <c r="L4" s="67" t="s">
        <v>183</v>
      </c>
      <c r="M4" s="67"/>
    </row>
    <row r="5" spans="3:13" ht="66">
      <c r="C5" s="53"/>
      <c r="D5" s="54" t="s">
        <v>184</v>
      </c>
      <c r="E5" s="54" t="s">
        <v>185</v>
      </c>
      <c r="F5" s="54" t="s">
        <v>184</v>
      </c>
      <c r="G5" s="54" t="s">
        <v>185</v>
      </c>
      <c r="H5" s="54" t="s">
        <v>184</v>
      </c>
      <c r="I5" s="54" t="s">
        <v>185</v>
      </c>
      <c r="J5" s="54" t="s">
        <v>184</v>
      </c>
      <c r="K5" s="54" t="s">
        <v>185</v>
      </c>
      <c r="L5" s="55" t="s">
        <v>184</v>
      </c>
      <c r="M5" s="55" t="s">
        <v>185</v>
      </c>
    </row>
    <row r="6" spans="3:13">
      <c r="C6" s="56" t="s">
        <v>186</v>
      </c>
      <c r="D6" s="57">
        <v>-10.370200000000001</v>
      </c>
      <c r="E6" s="57">
        <v>8962.9827609247604</v>
      </c>
      <c r="F6" s="57">
        <v>19.071200000000001</v>
      </c>
      <c r="G6" s="57">
        <v>16889.952153110047</v>
      </c>
      <c r="H6" s="57">
        <v>23.2178</v>
      </c>
      <c r="I6" s="57">
        <v>28419.491525423724</v>
      </c>
      <c r="J6" s="57">
        <v>14.9582</v>
      </c>
      <c r="K6" s="57">
        <v>40354.993983152817</v>
      </c>
      <c r="L6" s="57">
        <v>10.7821</v>
      </c>
      <c r="M6" s="57">
        <v>67070</v>
      </c>
    </row>
    <row r="7" spans="3:13">
      <c r="C7" s="56" t="s">
        <v>187</v>
      </c>
      <c r="D7" s="57">
        <v>-5.0818000000000003</v>
      </c>
      <c r="E7" s="57">
        <v>9491.82</v>
      </c>
      <c r="F7" s="57">
        <v>22.934100000000001</v>
      </c>
      <c r="G7" s="57">
        <v>18578.775989106987</v>
      </c>
      <c r="H7" s="57">
        <v>25.311299999999999</v>
      </c>
      <c r="I7" s="57">
        <v>30899.480455655772</v>
      </c>
      <c r="J7" s="57">
        <v>13.8203</v>
      </c>
      <c r="K7" s="57">
        <v>19102.870421596672</v>
      </c>
      <c r="L7" s="57">
        <v>7.7150999999999996</v>
      </c>
      <c r="M7" s="57">
        <v>39801.772205346868</v>
      </c>
    </row>
    <row r="8" spans="3:13">
      <c r="C8" s="56" t="s">
        <v>188</v>
      </c>
      <c r="D8" s="57">
        <v>-3.4517000000000002</v>
      </c>
      <c r="E8" s="57">
        <v>9654.83</v>
      </c>
      <c r="F8" s="57">
        <v>14.212199999999999</v>
      </c>
      <c r="G8" s="57">
        <v>14898.326630184003</v>
      </c>
      <c r="H8" s="57">
        <v>18.361999999999998</v>
      </c>
      <c r="I8" s="57">
        <v>23230.656052809176</v>
      </c>
      <c r="J8" s="57">
        <v>13.3378</v>
      </c>
      <c r="K8" s="57">
        <v>18701.390188053683</v>
      </c>
      <c r="L8" s="57">
        <v>12.2736</v>
      </c>
      <c r="M8" s="57">
        <v>85995.459970670126</v>
      </c>
    </row>
    <row r="9" spans="3:13">
      <c r="C9" s="56" t="s">
        <v>189</v>
      </c>
      <c r="D9" s="62">
        <v>74.83</v>
      </c>
      <c r="E9" s="63"/>
      <c r="F9" s="62">
        <v>39.71</v>
      </c>
      <c r="G9" s="63"/>
      <c r="H9" s="62">
        <v>23.6</v>
      </c>
      <c r="I9" s="63"/>
      <c r="J9" s="62">
        <v>16.62</v>
      </c>
      <c r="K9" s="63"/>
      <c r="L9" s="62">
        <v>10</v>
      </c>
      <c r="M9" s="63"/>
    </row>
    <row r="11" spans="3:13" ht="15.6">
      <c r="C11" s="50" t="s">
        <v>190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3:13">
      <c r="C12" s="52" t="s">
        <v>178</v>
      </c>
      <c r="D12" s="64" t="s">
        <v>179</v>
      </c>
      <c r="E12" s="64"/>
      <c r="F12" s="64" t="s">
        <v>180</v>
      </c>
      <c r="G12" s="64"/>
      <c r="H12" s="64" t="s">
        <v>181</v>
      </c>
      <c r="I12" s="64"/>
      <c r="J12" s="65" t="s">
        <v>182</v>
      </c>
      <c r="K12" s="66"/>
      <c r="L12" s="67" t="s">
        <v>183</v>
      </c>
      <c r="M12" s="67"/>
    </row>
    <row r="13" spans="3:13" ht="66">
      <c r="C13" s="53"/>
      <c r="D13" s="54" t="s">
        <v>184</v>
      </c>
      <c r="E13" s="54" t="s">
        <v>185</v>
      </c>
      <c r="F13" s="54" t="s">
        <v>184</v>
      </c>
      <c r="G13" s="54" t="s">
        <v>185</v>
      </c>
      <c r="H13" s="54" t="s">
        <v>184</v>
      </c>
      <c r="I13" s="54" t="s">
        <v>185</v>
      </c>
      <c r="J13" s="54" t="s">
        <v>184</v>
      </c>
      <c r="K13" s="54" t="s">
        <v>185</v>
      </c>
      <c r="L13" s="55" t="s">
        <v>184</v>
      </c>
      <c r="M13" s="55" t="s">
        <v>185</v>
      </c>
    </row>
    <row r="14" spans="3:13">
      <c r="C14" s="56" t="s">
        <v>186</v>
      </c>
      <c r="D14" s="57">
        <v>-9.9387000000000008</v>
      </c>
      <c r="E14" s="57">
        <v>9006.125765720717</v>
      </c>
      <c r="F14" s="57">
        <v>19.627300000000002</v>
      </c>
      <c r="G14" s="57">
        <v>17127.912505943892</v>
      </c>
      <c r="H14" s="57">
        <v>23.7681</v>
      </c>
      <c r="I14" s="57">
        <v>29060.104881000407</v>
      </c>
      <c r="J14" s="57">
        <v>15.6028</v>
      </c>
      <c r="K14" s="57">
        <v>42677.725118483424</v>
      </c>
      <c r="L14" s="57">
        <v>14.4346</v>
      </c>
      <c r="M14" s="57">
        <v>56193.447737909519</v>
      </c>
    </row>
    <row r="15" spans="3:13">
      <c r="C15" s="56" t="s">
        <v>187</v>
      </c>
      <c r="D15" s="57">
        <v>-5.0818000000000003</v>
      </c>
      <c r="E15" s="57">
        <v>9491.82</v>
      </c>
      <c r="F15" s="57">
        <v>22.934100000000001</v>
      </c>
      <c r="G15" s="57">
        <v>18578.775989106987</v>
      </c>
      <c r="H15" s="57">
        <v>25.311299999999999</v>
      </c>
      <c r="I15" s="57">
        <v>30899.480455655772</v>
      </c>
      <c r="J15" s="57">
        <v>13.8203</v>
      </c>
      <c r="K15" s="57">
        <v>19102.870421596672</v>
      </c>
      <c r="L15" s="57">
        <v>11.638299999999999</v>
      </c>
      <c r="M15" s="57">
        <v>40705.325709043747</v>
      </c>
    </row>
    <row r="16" spans="3:13">
      <c r="C16" s="56" t="s">
        <v>188</v>
      </c>
      <c r="D16" s="57">
        <v>-3.4517000000000002</v>
      </c>
      <c r="E16" s="57">
        <v>9654.83</v>
      </c>
      <c r="F16" s="57">
        <v>14.212199999999999</v>
      </c>
      <c r="G16" s="57">
        <v>14898.326630184003</v>
      </c>
      <c r="H16" s="57">
        <v>18.361999999999998</v>
      </c>
      <c r="I16" s="57">
        <v>23230.656052809176</v>
      </c>
      <c r="J16" s="57">
        <v>13.3378</v>
      </c>
      <c r="K16" s="57">
        <v>18701.390188053683</v>
      </c>
      <c r="L16" s="57">
        <v>13.092599999999999</v>
      </c>
      <c r="M16" s="57">
        <v>48008.982720568572</v>
      </c>
    </row>
    <row r="17" spans="3:13">
      <c r="C17" s="56" t="s">
        <v>191</v>
      </c>
      <c r="D17" s="62">
        <v>79.989999999999995</v>
      </c>
      <c r="E17" s="63"/>
      <c r="F17" s="62">
        <v>42.06</v>
      </c>
      <c r="G17" s="63"/>
      <c r="H17" s="62">
        <v>24.79</v>
      </c>
      <c r="I17" s="63"/>
      <c r="J17" s="62">
        <v>16.88</v>
      </c>
      <c r="K17" s="63"/>
      <c r="L17" s="62">
        <v>12.82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2025-10-06T12:45:11Z</dcterms:created>
  <dcterms:modified xsi:type="dcterms:W3CDTF">2025-10-09T11:37:32Z</dcterms:modified>
</cp:coreProperties>
</file>