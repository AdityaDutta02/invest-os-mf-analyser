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TS-Risk-O-Meter &amp; Portfolio" sheetId="1" r:id="rId1"/>
    <sheet name="TTS Performance" sheetId="2" r:id="rId2"/>
  </sheets>
  <externalReferences>
    <externalReference r:id="rId3"/>
  </externalReferences>
  <definedNames>
    <definedName name="XDO_?CLASS_3?7?">'TTS-Risk-O-Meter &amp; Portfolio'!$C$8:$C$37</definedName>
    <definedName name="XDO_?FINAL_ISIN?14?">'TTS-Risk-O-Meter &amp; Portfolio'!$D$10:$D$37</definedName>
    <definedName name="XDO_?FINAL_ISIN?15?">'TTS-Risk-O-Meter &amp; Portfolio'!$D$10:$D$79</definedName>
    <definedName name="XDO_?FINAL_MV?14?">'TTS-Risk-O-Meter &amp; Portfolio'!$H$10:$H$37</definedName>
    <definedName name="XDO_?FINAL_MV?15?">'TTS-Risk-O-Meter &amp; Portfolio'!$H$10:$H$79</definedName>
    <definedName name="XDO_?FINAL_NAME?14?">'TTS-Risk-O-Meter &amp; Portfolio'!$C$10:$C$37</definedName>
    <definedName name="XDO_?FINAL_NAME?15?">'TTS-Risk-O-Meter &amp; Portfolio'!$C$10:$C$79</definedName>
    <definedName name="XDO_?FINAL_PER_NET?14?">'TTS-Risk-O-Meter &amp; Portfolio'!$I$10:$I$37</definedName>
    <definedName name="XDO_?FINAL_PER_NET?15?">'TTS-Risk-O-Meter &amp; Portfolio'!$I$10:$I$79</definedName>
    <definedName name="XDO_?FINAL_QUANTITE?14?">'TTS-Risk-O-Meter &amp; Portfolio'!$G$10:$G$37</definedName>
    <definedName name="XDO_?FINAL_QUANTITE?15?">'TTS-Risk-O-Meter &amp; Portfolio'!$G$10:$G$79</definedName>
    <definedName name="XDO_?IND_01?14?">'TTS-Risk-O-Meter &amp; Portfolio'!$F$10:$F$37</definedName>
    <definedName name="XDO_?IND_01?15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Portfolio'!$B$10:$B$37</definedName>
    <definedName name="XDO_?NOVAL?15?">'TTS-Risk-O-Meter &amp; Portfolio'!$B$10:$B$79</definedName>
    <definedName name="XDO_?NPTF?7?">'TTS-Risk-O-Meter &amp; Portfolio'!$D$2:$D$37</definedName>
    <definedName name="XDO_?RATING?14?">'TTS-Risk-O-Meter &amp; Portfolio'!$E$10:$E$37</definedName>
    <definedName name="XDO_?RATING?15?">'TTS-Risk-O-Meter &amp; Portfolio'!$E$10:$E$79</definedName>
    <definedName name="XDO_?REMARKS?14?">'TTS-Risk-O-Meter &amp; Portfolio'!$J$10:$J$37</definedName>
    <definedName name="XDO_?REMARKS?15?">'TTS-Risk-O-Meter &amp; Portfolio'!$J$10:$J$79</definedName>
    <definedName name="XDO_?TITL?7?">'TTS-Risk-O-Meter &amp; Portfolio'!$A$8:$A$37</definedName>
    <definedName name="XDO_GROUP_?G_2?7?">'TTS-Risk-O-Meter &amp; Portfolio'!$2:$82</definedName>
    <definedName name="XDO_GROUP_?G_3?7?">'TTS-Risk-O-Meter &amp; Portfolio'!$8:$81</definedName>
    <definedName name="XDO_GROUP_?G_4?14?">'TTS-Risk-O-Meter &amp; Portfolio'!$B$10:$IV$37</definedName>
    <definedName name="XDO_GROUP_?G_4?15?">'TTS-Risk-O-Meter &amp; Portfolio'!$B$79:$IV$79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<sst xmlns="http://schemas.openxmlformats.org/spreadsheetml/2006/main" count="224" uniqueCount="158">
  <si>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</si>
  <si>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</si>
  <si>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</si>
  <si>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</si>
  <si>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</si>
  <si>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</si>
  <si>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</si>
  <si>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</si>
  <si>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</si>
  <si>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</si>
  <si>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</si>
  <si>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</si>
  <si>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</si>
  <si>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</si>
  <si>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</si>
  <si>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</si>
  <si>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</si>
  <si>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</si>
  <si>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</si>
  <si>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</si>
  <si>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</si>
  <si>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</si>
  <si>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</si>
  <si>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</si>
  <si>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</si>
  <si>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</si>
  <si>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</si>
  <si>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</si>
  <si>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</si>
  <si>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</si>
  <si>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100012</t>
  </si>
  <si>
    <t>ICICI Bank Ltd.</t>
  </si>
  <si>
    <t>INE090A01021</t>
  </si>
  <si>
    <t>Banks</t>
  </si>
  <si>
    <t>100024</t>
  </si>
  <si>
    <t>Axis Bank Ltd.</t>
  </si>
  <si>
    <t>INE238A01034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</si>
  <si>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</si>
  <si>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</si>
  <si>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</si>
  <si>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</si>
  <si>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</si>
  <si>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</si>
  <si>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</si>
  <si>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100045</t>
  </si>
  <si>
    <t>Gujarat Pipavav Port Ltd.</t>
  </si>
  <si>
    <t>INE517F01014</t>
  </si>
  <si>
    <t>Transport Infrastructure</t>
  </si>
  <si>
    <t>100003</t>
  </si>
  <si>
    <t>Infosys Ltd.</t>
  </si>
  <si>
    <t>INE009A01021</t>
  </si>
  <si>
    <t>100172</t>
  </si>
  <si>
    <t>ACC Ltd.</t>
  </si>
  <si>
    <t>INE012A01025</t>
  </si>
  <si>
    <t>Cement &amp; Cement Products</t>
  </si>
  <si>
    <t>100474</t>
  </si>
  <si>
    <t>Narayana Hrudayalaya Ltd.</t>
  </si>
  <si>
    <t>INE410P01011</t>
  </si>
  <si>
    <t>Healthcare Services</t>
  </si>
  <si>
    <t>101181</t>
  </si>
  <si>
    <t>UTI Asset Management Co. Ltd.</t>
  </si>
  <si>
    <t>INE094J01016</t>
  </si>
  <si>
    <t>Capital Markets</t>
  </si>
  <si>
    <t>100148</t>
  </si>
  <si>
    <t>Motilal Oswal Financial Services Ltd.</t>
  </si>
  <si>
    <t>INE338I01027</t>
  </si>
  <si>
    <t>100153</t>
  </si>
  <si>
    <t>Cipla Ltd.</t>
  </si>
  <si>
    <t>INE059A01026</t>
  </si>
  <si>
    <t>Pharmaceuticals &amp; Biotechnology</t>
  </si>
  <si>
    <t>100061</t>
  </si>
  <si>
    <t>KEC International Ltd.</t>
  </si>
  <si>
    <t>INE389H01022</t>
  </si>
  <si>
    <t>Electrical Equipment</t>
  </si>
  <si>
    <t>100401</t>
  </si>
  <si>
    <t>Jamna Auto Industries Ltd.</t>
  </si>
  <si>
    <t>INE039C01032</t>
  </si>
  <si>
    <t>Auto Components</t>
  </si>
  <si>
    <t>100096</t>
  </si>
  <si>
    <t>Container Corporation of India Ltd.</t>
  </si>
  <si>
    <t>INE111A01025</t>
  </si>
  <si>
    <t>Transport Services</t>
  </si>
  <si>
    <t>100440</t>
  </si>
  <si>
    <t>Birla Corporation Ltd.</t>
  </si>
  <si>
    <t>INE340A01012</t>
  </si>
  <si>
    <t>100747</t>
  </si>
  <si>
    <t>Mahindra Logistics Ltd.</t>
  </si>
  <si>
    <t>INE766P01016</t>
  </si>
  <si>
    <t>100271</t>
  </si>
  <si>
    <t>Balkrishna Industries Ltd.</t>
  </si>
  <si>
    <t>INE787D01026</t>
  </si>
  <si>
    <t>101178</t>
  </si>
  <si>
    <t>Computer Age Management Services Ltd.</t>
  </si>
  <si>
    <t>INE596I01012</t>
  </si>
  <si>
    <t>100080</t>
  </si>
  <si>
    <t>Dr. Reddy's Laboratories Ltd.</t>
  </si>
  <si>
    <t>INE089A01023</t>
  </si>
  <si>
    <t>100035</t>
  </si>
  <si>
    <t>NMDC Ltd.</t>
  </si>
  <si>
    <t>INE584A01023</t>
  </si>
  <si>
    <t>Minerals &amp; Mining</t>
  </si>
  <si>
    <t>100410</t>
  </si>
  <si>
    <t>Healthcare Global Enterprises Ltd.</t>
  </si>
  <si>
    <t>INE075I01017</t>
  </si>
  <si>
    <t>100155</t>
  </si>
  <si>
    <t>Divi's Laboratories Ltd.</t>
  </si>
  <si>
    <t>INE361B01024</t>
  </si>
  <si>
    <t>100342</t>
  </si>
  <si>
    <t>Vardhman Textiles Ltd.</t>
  </si>
  <si>
    <t>INE825A01020</t>
  </si>
  <si>
    <t>Textiles &amp; Apparels</t>
  </si>
  <si>
    <t>100165</t>
  </si>
  <si>
    <t>Rallis India Ltd.</t>
  </si>
  <si>
    <t>INE613A01020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</si>
  <si>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</si>
  <si>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</si>
  <si>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</si>
  <si>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</si>
  <si>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</si>
  <si>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</si>
  <si>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</si>
  <si>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</si>
  <si>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</si>
  <si>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</si>
  <si>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</si>
  <si>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</si>
  <si>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</si>
  <si>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</si>
  <si>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</si>
  <si>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</si>
  <si>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</si>
  <si>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</si>
  <si>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</si>
  <si>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</si>
  <si>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</si>
  <si>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</si>
  <si>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</si>
  <si>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</si>
  <si>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</si>
  <si>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</si>
  <si>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</si>
  <si>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</si>
  <si>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</si>
  <si>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</si>
  <si>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</si>
  <si>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</si>
  <si>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</si>
  <si>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</si>
  <si>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</si>
  <si>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</si>
  <si>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</si>
  <si>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</si>
  <si>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</si>
  <si>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</si>
  <si>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28, 2023 : 121.07)</t>
  </si>
  <si>
    <t>Taurus Tax Shield - Direct Plan Growth Option</t>
  </si>
  <si>
    <t>NAV [Rs.] Per Unit (as on April 28, 2023 : 130.15)</t>
  </si>
  <si>
    <r>
      <rPr>
        <b/>
        <sz val="11"/>
        <color indexed="8"/>
        <rFont val="Calibri"/>
        <family val="2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</si>
</sst>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8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20000</v>
      </c>
      <c r="H10" s="32">
        <v>555.04</v>
      </c>
      <c r="I10" s="32">
        <v>9.1300000000000008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48200</v>
      </c>
      <c r="H11" s="32">
        <v>512.67999999999995</v>
      </c>
      <c r="I11" s="32">
        <v>8.43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112000</v>
      </c>
      <c r="H12" s="32">
        <v>476.17</v>
      </c>
      <c r="I12" s="32">
        <v>7.83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6600</v>
      </c>
      <c r="H13" s="32">
        <v>452.41</v>
      </c>
      <c r="I13" s="32">
        <v>7.44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36000</v>
      </c>
      <c r="H14" s="32">
        <v>330.37</v>
      </c>
      <c r="I14" s="32">
        <v>5.43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33</v>
      </c>
      <c r="G15" s="31">
        <v>35000</v>
      </c>
      <c r="H15" s="32">
        <v>301</v>
      </c>
      <c r="I15" s="32">
        <v>4.95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29000</v>
      </c>
      <c r="H16" s="32">
        <v>296.89</v>
      </c>
      <c r="I16" s="32">
        <v>4.88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120000</v>
      </c>
      <c r="H17" s="32">
        <v>279.72000000000003</v>
      </c>
      <c r="I17" s="32">
        <v>4.5999999999999996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240000</v>
      </c>
      <c r="H18" s="32">
        <v>273</v>
      </c>
      <c r="I18" s="32">
        <v>4.49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20000</v>
      </c>
      <c r="H19" s="32">
        <v>250.51</v>
      </c>
      <c r="I19" s="32">
        <v>4.12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13500</v>
      </c>
      <c r="H20" s="32">
        <v>238</v>
      </c>
      <c r="I20" s="32">
        <v>3.91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30155</v>
      </c>
      <c r="H21" s="32">
        <v>229.57</v>
      </c>
      <c r="I21" s="32">
        <v>3.77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144.88</v>
      </c>
      <c r="I22" s="32">
        <v>2.38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62</v>
      </c>
      <c r="G23" s="31">
        <v>17300</v>
      </c>
      <c r="H23" s="32">
        <v>106.76</v>
      </c>
      <c r="I23" s="32">
        <v>1.76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11000</v>
      </c>
      <c r="H24" s="32">
        <v>99.85</v>
      </c>
      <c r="I24" s="32">
        <v>1.64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20000</v>
      </c>
      <c r="H25" s="32">
        <v>91.71</v>
      </c>
      <c r="I25" s="32">
        <v>1.51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80000</v>
      </c>
      <c r="H26" s="32">
        <v>83.71</v>
      </c>
      <c r="I26" s="32">
        <v>1.38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10500</v>
      </c>
      <c r="H27" s="32">
        <v>64.27</v>
      </c>
      <c r="I27" s="32">
        <v>1.06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54</v>
      </c>
      <c r="G28" s="31">
        <v>7000</v>
      </c>
      <c r="H28" s="32">
        <v>64.12</v>
      </c>
      <c r="I28" s="32">
        <v>1.05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81</v>
      </c>
      <c r="G29" s="31">
        <v>17000</v>
      </c>
      <c r="H29" s="32">
        <v>62.93</v>
      </c>
      <c r="I29" s="32">
        <v>1.03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77</v>
      </c>
      <c r="G30" s="31">
        <v>3000</v>
      </c>
      <c r="H30" s="32">
        <v>62.47</v>
      </c>
      <c r="I30" s="32">
        <v>1.03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62</v>
      </c>
      <c r="G31" s="31">
        <v>3000</v>
      </c>
      <c r="H31" s="32">
        <v>61.86</v>
      </c>
      <c r="I31" s="32">
        <v>1.02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69</v>
      </c>
      <c r="G32" s="31">
        <v>1200</v>
      </c>
      <c r="H32" s="32">
        <v>59.12</v>
      </c>
      <c r="I32" s="32">
        <v>0.97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50000</v>
      </c>
      <c r="H33" s="32">
        <v>54.3</v>
      </c>
      <c r="I33" s="32">
        <v>0.89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58</v>
      </c>
      <c r="G34" s="31">
        <v>20000</v>
      </c>
      <c r="H34" s="32">
        <v>53.67</v>
      </c>
      <c r="I34" s="32">
        <v>0.88</v>
      </c>
      <c r="J34" s="33"/>
    </row>
    <row r="35" spans="2:10">
      <c r="B35" s="1" t="s">
        <v>104</v>
      </c>
      <c r="C35" s="20" t="s">
        <v>105</v>
      </c>
      <c r="D35" s="29" t="s">
        <v>106</v>
      </c>
      <c r="E35" s="30"/>
      <c r="F35" s="30" t="s">
        <v>69</v>
      </c>
      <c r="G35" s="31">
        <v>1500</v>
      </c>
      <c r="H35" s="32">
        <v>49</v>
      </c>
      <c r="I35" s="32">
        <v>0.81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15000</v>
      </c>
      <c r="H36" s="32">
        <v>47.71</v>
      </c>
      <c r="I36" s="32">
        <v>0.78</v>
      </c>
      <c r="J36" s="33"/>
    </row>
    <row r="37" spans="2:10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9405</v>
      </c>
      <c r="H37" s="32">
        <v>17.82</v>
      </c>
      <c r="I37" s="32">
        <v>0.28999999999999998</v>
      </c>
      <c r="J37" s="33"/>
    </row>
    <row r="38" spans="2:10">
      <c r="C38" s="28" t="s">
        <v>115</v>
      </c>
      <c r="D38" s="29"/>
      <c r="E38" s="30"/>
      <c r="F38" s="30"/>
      <c r="G38" s="31"/>
      <c r="H38" s="35">
        <v>5319.54</v>
      </c>
      <c r="I38" s="35">
        <v>87.46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116</v>
      </c>
      <c r="D40" s="29"/>
      <c r="E40" s="30"/>
      <c r="F40" s="30"/>
      <c r="G40" s="31"/>
      <c r="H40" s="32" t="s">
        <v>117</v>
      </c>
      <c r="I40" s="32" t="s">
        <v>117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118</v>
      </c>
      <c r="D42" s="29"/>
      <c r="E42" s="30"/>
      <c r="F42" s="30"/>
      <c r="G42" s="31"/>
      <c r="H42" s="32" t="s">
        <v>117</v>
      </c>
      <c r="I42" s="32" t="s">
        <v>117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119</v>
      </c>
      <c r="D44" s="29"/>
      <c r="E44" s="30"/>
      <c r="F44" s="30"/>
      <c r="G44" s="31"/>
      <c r="H44" s="32"/>
      <c r="I44" s="32"/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120</v>
      </c>
      <c r="D46" s="29"/>
      <c r="E46" s="30"/>
      <c r="F46" s="30"/>
      <c r="G46" s="31"/>
      <c r="H46" s="32" t="s">
        <v>117</v>
      </c>
      <c r="I46" s="32" t="s">
        <v>117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121</v>
      </c>
      <c r="D48" s="29"/>
      <c r="E48" s="30"/>
      <c r="F48" s="30"/>
      <c r="G48" s="31"/>
      <c r="H48" s="32" t="s">
        <v>117</v>
      </c>
      <c r="I48" s="32" t="s">
        <v>117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122</v>
      </c>
      <c r="D50" s="29"/>
      <c r="E50" s="30"/>
      <c r="F50" s="30"/>
      <c r="G50" s="31"/>
      <c r="H50" s="32" t="s">
        <v>117</v>
      </c>
      <c r="I50" s="32" t="s">
        <v>117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123</v>
      </c>
      <c r="D52" s="29"/>
      <c r="E52" s="30"/>
      <c r="F52" s="30"/>
      <c r="G52" s="31"/>
      <c r="H52" s="32" t="s">
        <v>117</v>
      </c>
      <c r="I52" s="32" t="s">
        <v>117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124</v>
      </c>
      <c r="D54" s="29"/>
      <c r="E54" s="30"/>
      <c r="F54" s="30"/>
      <c r="G54" s="31"/>
      <c r="H54" s="32" t="s">
        <v>117</v>
      </c>
      <c r="I54" s="32" t="s">
        <v>117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125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126</v>
      </c>
      <c r="D58" s="29"/>
      <c r="E58" s="30"/>
      <c r="F58" s="30"/>
      <c r="G58" s="31"/>
      <c r="H58" s="32" t="s">
        <v>117</v>
      </c>
      <c r="I58" s="32" t="s">
        <v>117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127</v>
      </c>
      <c r="D60" s="29"/>
      <c r="E60" s="30"/>
      <c r="F60" s="30"/>
      <c r="G60" s="31"/>
      <c r="H60" s="32" t="s">
        <v>117</v>
      </c>
      <c r="I60" s="32" t="s">
        <v>117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128</v>
      </c>
      <c r="D62" s="29"/>
      <c r="E62" s="30"/>
      <c r="F62" s="30"/>
      <c r="G62" s="31"/>
      <c r="H62" s="32" t="s">
        <v>117</v>
      </c>
      <c r="I62" s="32" t="s">
        <v>117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129</v>
      </c>
      <c r="D64" s="29"/>
      <c r="E64" s="30"/>
      <c r="F64" s="30"/>
      <c r="G64" s="31"/>
      <c r="H64" s="32" t="s">
        <v>117</v>
      </c>
      <c r="I64" s="32" t="s">
        <v>117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130</v>
      </c>
      <c r="D66" s="29"/>
      <c r="E66" s="30"/>
      <c r="F66" s="30"/>
      <c r="G66" s="31"/>
      <c r="H66" s="32"/>
      <c r="I66" s="32"/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131</v>
      </c>
      <c r="D68" s="29"/>
      <c r="E68" s="30"/>
      <c r="F68" s="30"/>
      <c r="G68" s="31"/>
      <c r="H68" s="32" t="s">
        <v>117</v>
      </c>
      <c r="I68" s="32" t="s">
        <v>117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132</v>
      </c>
      <c r="D70" s="29"/>
      <c r="E70" s="30"/>
      <c r="F70" s="30"/>
      <c r="G70" s="31"/>
      <c r="H70" s="32" t="s">
        <v>117</v>
      </c>
      <c r="I70" s="32" t="s">
        <v>117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133</v>
      </c>
      <c r="D72" s="29"/>
      <c r="E72" s="30"/>
      <c r="F72" s="30"/>
      <c r="G72" s="31"/>
      <c r="H72" s="32" t="s">
        <v>117</v>
      </c>
      <c r="I72" s="32" t="s">
        <v>117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134</v>
      </c>
      <c r="D74" s="29"/>
      <c r="E74" s="30"/>
      <c r="F74" s="30"/>
      <c r="G74" s="31"/>
      <c r="H74" s="32" t="s">
        <v>117</v>
      </c>
      <c r="I74" s="32" t="s">
        <v>117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135</v>
      </c>
      <c r="D76" s="29"/>
      <c r="E76" s="30"/>
      <c r="F76" s="30"/>
      <c r="G76" s="31"/>
      <c r="H76" s="32" t="s">
        <v>117</v>
      </c>
      <c r="I76" s="32" t="s">
        <v>117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136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137</v>
      </c>
      <c r="D79" s="29"/>
      <c r="E79" s="30"/>
      <c r="F79" s="30"/>
      <c r="G79" s="31"/>
      <c r="H79" s="32">
        <v>762.58</v>
      </c>
      <c r="I79" s="32">
        <v>12.54</v>
      </c>
      <c r="J79" s="33"/>
    </row>
    <row r="80" spans="1:10">
      <c r="C80" s="28" t="s">
        <v>115</v>
      </c>
      <c r="D80" s="29"/>
      <c r="E80" s="30"/>
      <c r="F80" s="30"/>
      <c r="G80" s="31"/>
      <c r="H80" s="35">
        <v>762.58</v>
      </c>
      <c r="I80" s="35">
        <v>12.54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5" thickBot="1">
      <c r="C82" s="36" t="s">
        <v>138</v>
      </c>
      <c r="D82" s="37"/>
      <c r="E82" s="38"/>
      <c r="F82" s="39"/>
      <c r="G82" s="40"/>
      <c r="H82" s="41">
        <v>6082.12</v>
      </c>
      <c r="I82" s="41">
        <f>SUMIFS(I:I,C:C,"Total")</f>
        <v>100</v>
      </c>
      <c r="J82" s="42"/>
    </row>
    <row r="85" spans="3:10">
      <c r="C85" s="11" t="s">
        <v>139</v>
      </c>
    </row>
    <row r="86" spans="3:10">
      <c r="C86" s="2" t="s">
        <v>140</v>
      </c>
    </row>
    <row r="87" spans="3:10">
      <c r="C87" s="2" t="s">
        <v>141</v>
      </c>
    </row>
    <row r="88" spans="3:10">
      <c r="C88" s="2" t="s">
        <v>142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4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143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144</v>
      </c>
      <c r="C5" s="46" t="s">
        <v>145</v>
      </c>
      <c r="D5" s="46"/>
      <c r="E5" s="46" t="s">
        <v>146</v>
      </c>
      <c r="F5" s="46"/>
      <c r="G5" s="46" t="s">
        <v>147</v>
      </c>
      <c r="H5" s="46"/>
      <c r="I5" s="46" t="s">
        <v>148</v>
      </c>
      <c r="J5" s="46"/>
    </row>
    <row r="6" spans="2:10" ht="63.75">
      <c r="B6" s="47"/>
      <c r="C6" s="48" t="s">
        <v>149</v>
      </c>
      <c r="D6" s="48" t="s">
        <v>150</v>
      </c>
      <c r="E6" s="48" t="s">
        <v>149</v>
      </c>
      <c r="F6" s="48" t="s">
        <v>150</v>
      </c>
      <c r="G6" s="48" t="s">
        <v>149</v>
      </c>
      <c r="H6" s="48" t="s">
        <v>150</v>
      </c>
      <c r="I6" s="48" t="s">
        <v>149</v>
      </c>
      <c r="J6" s="48" t="s">
        <v>150</v>
      </c>
    </row>
    <row r="7" spans="2:10">
      <c r="B7" s="49" t="s">
        <v>151</v>
      </c>
      <c r="C7" s="50">
        <v>7.3220459179150765</v>
      </c>
      <c r="D7" s="50">
        <v>10732.204591791507</v>
      </c>
      <c r="E7" s="50">
        <v>20.942336072889866</v>
      </c>
      <c r="F7" s="50">
        <v>17671.872719311046</v>
      </c>
      <c r="G7" s="50">
        <v>8.9131255232662188</v>
      </c>
      <c r="H7" s="50">
        <v>15321.43761073146</v>
      </c>
      <c r="I7" s="50">
        <v>11.344018569425307</v>
      </c>
      <c r="J7" s="50">
        <v>121070</v>
      </c>
    </row>
    <row r="8" spans="2:10">
      <c r="B8" s="49" t="s">
        <v>152</v>
      </c>
      <c r="C8" s="50">
        <v>4.2251486842668884</v>
      </c>
      <c r="D8" s="50">
        <v>10422.51486842669</v>
      </c>
      <c r="E8" s="50">
        <v>25.502010248836005</v>
      </c>
      <c r="F8" s="50">
        <v>19767.513622866703</v>
      </c>
      <c r="G8" s="50">
        <v>11.376600678230231</v>
      </c>
      <c r="H8" s="50">
        <v>17138.381000798687</v>
      </c>
      <c r="I8" s="50">
        <v>0</v>
      </c>
      <c r="J8" s="50">
        <v>0</v>
      </c>
    </row>
    <row r="9" spans="2:10">
      <c r="B9" s="49" t="s">
        <v>153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12.653048091589426</v>
      </c>
      <c r="J9" s="50">
        <v>252278.04794431332</v>
      </c>
    </row>
    <row r="10" spans="2:10">
      <c r="B10" s="49" t="s">
        <v>154</v>
      </c>
      <c r="C10" s="51">
        <v>112.81</v>
      </c>
      <c r="D10" s="52"/>
      <c r="E10" s="51">
        <v>68.510000000000005</v>
      </c>
      <c r="F10" s="52"/>
      <c r="G10" s="51">
        <v>79.02</v>
      </c>
      <c r="H10" s="52"/>
      <c r="I10" s="51">
        <v>10</v>
      </c>
      <c r="J10" s="52"/>
    </row>
    <row r="12" spans="2:10" ht="15.75">
      <c r="B12" s="43" t="s">
        <v>155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144</v>
      </c>
      <c r="C13" s="46" t="s">
        <v>145</v>
      </c>
      <c r="D13" s="46"/>
      <c r="E13" s="46" t="s">
        <v>146</v>
      </c>
      <c r="F13" s="46"/>
      <c r="G13" s="46" t="s">
        <v>147</v>
      </c>
      <c r="H13" s="46"/>
      <c r="I13" s="46" t="s">
        <v>148</v>
      </c>
      <c r="J13" s="46"/>
    </row>
    <row r="14" spans="2:10" ht="63.75">
      <c r="B14" s="47"/>
      <c r="C14" s="48" t="s">
        <v>149</v>
      </c>
      <c r="D14" s="48" t="s">
        <v>150</v>
      </c>
      <c r="E14" s="48" t="s">
        <v>149</v>
      </c>
      <c r="F14" s="48" t="s">
        <v>150</v>
      </c>
      <c r="G14" s="48" t="s">
        <v>149</v>
      </c>
      <c r="H14" s="48" t="s">
        <v>150</v>
      </c>
      <c r="I14" s="48" t="s">
        <v>149</v>
      </c>
      <c r="J14" s="48" t="s">
        <v>150</v>
      </c>
    </row>
    <row r="15" spans="2:10">
      <c r="B15" s="49" t="s">
        <v>151</v>
      </c>
      <c r="C15" s="50">
        <v>8.0531340805313434</v>
      </c>
      <c r="D15" s="50">
        <v>10805.313408053134</v>
      </c>
      <c r="E15" s="50">
        <v>21.797762784705753</v>
      </c>
      <c r="F15" s="50">
        <v>18048.814311468588</v>
      </c>
      <c r="G15" s="50">
        <v>9.6745042193242305</v>
      </c>
      <c r="H15" s="50">
        <v>15864.212579229643</v>
      </c>
      <c r="I15" s="50">
        <v>12.465965541786051</v>
      </c>
      <c r="J15" s="50">
        <v>33639.183251486174</v>
      </c>
    </row>
    <row r="16" spans="2:10">
      <c r="B16" s="49" t="s">
        <v>152</v>
      </c>
      <c r="C16" s="50">
        <v>4.2251486842668884</v>
      </c>
      <c r="D16" s="50">
        <v>10422.51486842669</v>
      </c>
      <c r="E16" s="50">
        <v>25.502010248836005</v>
      </c>
      <c r="F16" s="50">
        <v>19767.513622866703</v>
      </c>
      <c r="G16" s="50">
        <v>11.376600678230231</v>
      </c>
      <c r="H16" s="50">
        <v>17138.381000798687</v>
      </c>
      <c r="I16" s="50">
        <v>13.267595734009197</v>
      </c>
      <c r="J16" s="50">
        <v>36199.015196882632</v>
      </c>
    </row>
    <row r="17" spans="2:10">
      <c r="B17" s="49" t="s">
        <v>153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12.70322181245751</v>
      </c>
      <c r="J17" s="50">
        <v>34379.216868257223</v>
      </c>
    </row>
    <row r="18" spans="2:10">
      <c r="B18" s="49" t="s">
        <v>156</v>
      </c>
      <c r="C18" s="51">
        <v>120.45</v>
      </c>
      <c r="D18" s="52"/>
      <c r="E18" s="51">
        <v>72.11</v>
      </c>
      <c r="F18" s="52"/>
      <c r="G18" s="51">
        <v>82.04</v>
      </c>
      <c r="H18" s="52"/>
      <c r="I18" s="51">
        <v>38.69</v>
      </c>
      <c r="J18" s="52"/>
    </row>
    <row r="20" spans="2:10">
      <c r="B20" t="s">
        <v>157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2023-05-05T11:20:30Z</dcterms:created>
  <dcterms:modified xsi:type="dcterms:W3CDTF">2023-05-09T09:12:42Z</dcterms:modified>
</cp:coreProperties>
</file>