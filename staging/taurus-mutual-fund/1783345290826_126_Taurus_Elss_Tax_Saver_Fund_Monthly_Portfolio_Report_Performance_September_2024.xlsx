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7. Oct 2024\Portfolio\Ops\"/>
    </mc:Choice>
  </mc:AlternateContent>
  <xr:revisionPtr revIDLastSave="0" documentId="13_ncr:1_{EC030DF5-C104-4774-98D3-0B6FD11678B3}" xr6:coauthVersionLast="47" xr6:coauthVersionMax="47" xr10:uidLastSave="{00000000-0000-0000-0000-000000000000}"/>
  <bookViews>
    <workbookView xWindow="-120" yWindow="-120" windowWidth="20730" windowHeight="11040" xr2:uid="{32839B99-B0D3-4E1A-B7C1-E45C8124EFF8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TTS!$C$8:$C$42</definedName>
    <definedName name="XDO_?FINAL_ISIN?14?">TTS!$D$10:$D$42</definedName>
    <definedName name="XDO_?FINAL_ISIN?15?">TTS!$D$10:$D$86</definedName>
    <definedName name="XDO_?FINAL_MV?14?">TTS!$H$10:$H$42</definedName>
    <definedName name="XDO_?FINAL_MV?15?">TTS!$H$10:$H$86</definedName>
    <definedName name="XDO_?FINAL_NAME?14?">TTS!$C$10:$C$42</definedName>
    <definedName name="XDO_?FINAL_NAME?15?">TTS!$C$10:$C$86</definedName>
    <definedName name="XDO_?FINAL_PER_NET?14?">TTS!$I$10:$I$42</definedName>
    <definedName name="XDO_?FINAL_PER_NET?15?">TTS!$I$10:$I$86</definedName>
    <definedName name="XDO_?FINAL_QUANTITE?14?">TTS!$G$10:$G$42</definedName>
    <definedName name="XDO_?FINAL_QUANTITE?15?">TTS!$G$10:$G$86</definedName>
    <definedName name="XDO_?IND_01?14?">TTS!$F$10:$F$42</definedName>
    <definedName name="XDO_?IND_01?15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TTS!$B$10:$B$42</definedName>
    <definedName name="XDO_?NOVAL?15?">TTS!$B$10:$B$86</definedName>
    <definedName name="XDO_?NPTF?7?">TTS!$D$2:$D$42</definedName>
    <definedName name="XDO_?RATING?14?">TTS!$E$10:$E$42</definedName>
    <definedName name="XDO_?RATING?15?">TTS!$E$10:$E$86</definedName>
    <definedName name="XDO_?REMARKS?14?">TTS!$J$10:$J$42</definedName>
    <definedName name="XDO_?REMARKS?15?">TTS!$J$10:$J$86</definedName>
    <definedName name="XDO_?TITL?7?">TTS!$A$8:$A$42</definedName>
    <definedName name="XDO_GROUP_?G_2?7?">TTS!$2:$89</definedName>
    <definedName name="XDO_GROUP_?G_3?7?">TTS!$8:$88</definedName>
    <definedName name="XDO_GROUP_?G_4?14?">TTS!$B$10:$IV$42</definedName>
    <definedName name="XDO_GROUP_?G_4?15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<sst xmlns="http://schemas.openxmlformats.org/spreadsheetml/2006/main" count="268" uniqueCount="200">
  <si>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</si>
  <si>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</si>
  <si>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</si>
  <si>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</si>
  <si>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</si>
  <si>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</si>
  <si>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</si>
  <si>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</si>
  <si>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</si>
  <si>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</si>
  <si>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</si>
  <si>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</si>
  <si>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</si>
  <si>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</si>
  <si>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</si>
  <si>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</si>
  <si>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</si>
  <si>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</si>
  <si>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</si>
  <si>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</si>
  <si>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</si>
  <si>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</si>
  <si>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</si>
  <si>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</si>
  <si>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</si>
  <si>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</si>
  <si>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</si>
  <si>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</si>
  <si>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</si>
  <si>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</si>
  <si>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</si>
  <si>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</si>
  <si>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</si>
  <si>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</si>
  <si>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100097</t>
  </si>
  <si>
    <t>Coal India Ltd.</t>
  </si>
  <si>
    <t>INE522F01014</t>
  </si>
  <si>
    <t>Consumable Fuels</t>
  </si>
  <si>
    <t>100147</t>
  </si>
  <si>
    <t>Tech Mahindra Ltd.</t>
  </si>
  <si>
    <t>INE669C01036</t>
  </si>
  <si>
    <t>100024</t>
  </si>
  <si>
    <t>Axis Bank Ltd.</t>
  </si>
  <si>
    <t>INE238A01034</t>
  </si>
  <si>
    <t>100003</t>
  </si>
  <si>
    <t>Infosys Ltd.</t>
  </si>
  <si>
    <t>INE009A01021</t>
  </si>
  <si>
    <t>101698</t>
  </si>
  <si>
    <t>Swan Energy Ltd.</t>
  </si>
  <si>
    <t>INE665A01038</t>
  </si>
  <si>
    <t>Diversified</t>
  </si>
  <si>
    <t>100153</t>
  </si>
  <si>
    <t>Cipla Ltd.</t>
  </si>
  <si>
    <t>INE059A01026</t>
  </si>
  <si>
    <t>Pharmaceuticals &amp; Biotechnology</t>
  </si>
  <si>
    <t>100474</t>
  </si>
  <si>
    <t>Narayana Hrudayalaya Ltd.</t>
  </si>
  <si>
    <t>INE410P01011</t>
  </si>
  <si>
    <t>Healthcare Services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</si>
  <si>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</si>
  <si>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</si>
  <si>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</si>
  <si>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</si>
  <si>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</si>
  <si>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</si>
  <si>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</si>
  <si>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</si>
  <si>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101178</t>
  </si>
  <si>
    <t>Computer Age Management Services Ltd.</t>
  </si>
  <si>
    <t>INE596I01012</t>
  </si>
  <si>
    <t>Capital Markets</t>
  </si>
  <si>
    <t>100219</t>
  </si>
  <si>
    <t>Indraprastha Gas Ltd.</t>
  </si>
  <si>
    <t>INE203G01027</t>
  </si>
  <si>
    <t>Gas</t>
  </si>
  <si>
    <t>100172</t>
  </si>
  <si>
    <t>ACC Ltd.</t>
  </si>
  <si>
    <t>INE012A01025</t>
  </si>
  <si>
    <t>Cement &amp; Cement Products</t>
  </si>
  <si>
    <t>101632</t>
  </si>
  <si>
    <t>Angel One Ltd.</t>
  </si>
  <si>
    <t>INE732I01013</t>
  </si>
  <si>
    <t>101181</t>
  </si>
  <si>
    <t>UTI Asset Management Co. Ltd.</t>
  </si>
  <si>
    <t>INE094J01016</t>
  </si>
  <si>
    <t>100155</t>
  </si>
  <si>
    <t>Divi's Laboratories Ltd.</t>
  </si>
  <si>
    <t>INE361B01024</t>
  </si>
  <si>
    <t>100045</t>
  </si>
  <si>
    <t>Gujarat Pipavav Port Ltd.</t>
  </si>
  <si>
    <t>INE517F01014</t>
  </si>
  <si>
    <t>Transport Infrastructure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</si>
  <si>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</si>
  <si>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</si>
  <si>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</si>
  <si>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</si>
  <si>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</si>
  <si>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</si>
  <si>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</si>
  <si>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100083</t>
  </si>
  <si>
    <t>Samvardhana Motherson International Ltd.</t>
  </si>
  <si>
    <t>INE775A01035</t>
  </si>
  <si>
    <t>Auto Components</t>
  </si>
  <si>
    <t>101949</t>
  </si>
  <si>
    <t>Samhi Hotels Ltd.</t>
  </si>
  <si>
    <t>INE08U801020</t>
  </si>
  <si>
    <t>Leisure Services</t>
  </si>
  <si>
    <t>100118</t>
  </si>
  <si>
    <t>Tata Chemicals Ltd.</t>
  </si>
  <si>
    <t>INE092A01019</t>
  </si>
  <si>
    <t>Chemicals &amp; Petrochemicals</t>
  </si>
  <si>
    <t>100089</t>
  </si>
  <si>
    <t>Bharat Electronics Ltd.</t>
  </si>
  <si>
    <t>INE263A01024</t>
  </si>
  <si>
    <t>Aerospace &amp; Defense</t>
  </si>
  <si>
    <t>101963</t>
  </si>
  <si>
    <t>Usha Martin Ltd.</t>
  </si>
  <si>
    <t>INE228A01035</t>
  </si>
  <si>
    <t>Industrial Products</t>
  </si>
  <si>
    <t>100399</t>
  </si>
  <si>
    <t>Cholamandalam Investment &amp; Finance Co. Ltd.</t>
  </si>
  <si>
    <t>INE121A01024</t>
  </si>
  <si>
    <t>100078</t>
  </si>
  <si>
    <t>Sanghi Industries Ltd.</t>
  </si>
  <si>
    <t>INE999B01013</t>
  </si>
  <si>
    <t>100096</t>
  </si>
  <si>
    <t>Container Corporation of India Ltd.</t>
  </si>
  <si>
    <t>INE111A01025</t>
  </si>
  <si>
    <t>Transport Services</t>
  </si>
  <si>
    <t>102182</t>
  </si>
  <si>
    <t>Advani Hotels &amp; Resorts (India) Ltd.</t>
  </si>
  <si>
    <t>INE199C01026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</si>
  <si>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</si>
  <si>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</si>
  <si>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</si>
  <si>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</si>
  <si>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</si>
  <si>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</si>
  <si>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</si>
  <si>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</si>
  <si>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</si>
  <si>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</si>
  <si>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</si>
  <si>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</si>
  <si>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</si>
  <si>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</si>
  <si>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</si>
  <si>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</si>
  <si>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</si>
  <si>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</si>
  <si>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</si>
  <si>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</si>
  <si>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</si>
  <si>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</si>
  <si>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</si>
  <si>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</si>
  <si>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</si>
  <si>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</si>
  <si>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</si>
  <si>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</si>
  <si>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</si>
  <si>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</si>
  <si>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</si>
  <si>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(1). Non Convertible Debentures and  Bonds are considered as Traded based on information provided by external agencies.</t>
  </si>
  <si>
    <t>(2).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</si>
  <si>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</si>
  <si>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</si>
  <si>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</si>
  <si>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</si>
  <si>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</si>
  <si>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</si>
  <si>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August 30, 2024</t>
  </si>
  <si>
    <t>September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</si>
  <si>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</si>
  <si>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</si>
  <si>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</si>
  <si>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</si>
  <si>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September 30, 2024.</t>
  </si>
  <si>
    <t>(7) The Scheme did not declare any bonus during the month ended As on  September 30, 2024.</t>
  </si>
  <si>
    <t>(8) Total outstanding exposure in derivative instruments as on As on  September 30, 2024 is Nil</t>
  </si>
  <si>
    <t>(9) Total investments in Foreign Securities /ADRs/GDRs /Overseas ETFs as at As on  September 30, 2024 and its percentage to NAV is Nil.</t>
  </si>
  <si>
    <t>(10) During the period, the portfolio turnover ratio is 0.52 times.</t>
  </si>
  <si>
    <t>      Portfolio Turnover Ratio = Lower of sales or purchase of securities divided by average AUM for 12 months ended As on  September 30, 2024</t>
  </si>
  <si>
    <t>(11) The Scheme did not invest in repo transactions of corporate debt securities during the month ended As on  September 30, 2024.</t>
  </si>
  <si>
    <t>(12) The Scheme did not invest in credit default swaps during the month ended As on  September 30, 2024.</t>
  </si>
  <si>
    <t>(13) There are Nil instances of deviation from the valuation principles/guidelines during the month ended as on September 30th, 2024.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</si>
  <si>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</si>
  <si>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</si>
  <si>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</si>
  <si>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</si>
  <si>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</si>
  <si>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</si>
  <si>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</si>
  <si>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</si>
  <si>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</si>
  <si>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</si>
  <si>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</si>
  <si>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30, 2024 : 189.62)</t>
  </si>
  <si>
    <t>Taurus Elss Tax Saver Fund - Direct Plan Growth Option</t>
  </si>
  <si>
    <t>NAV [Rs.] Per Unit (as on September 30, 2024 : 205.70)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</si>
</sst>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_(* #,##0.00_);_(* \(#,##0.00\);_(* \-??_);_(@_)"/>
    <numFmt numFmtId="169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  <xf numFmtId="168" fontId="9" fillId="0" borderId="0" applyFill="0" applyBorder="0" applyAlignment="0" applyProtection="0"/>
    <xf numFmtId="0" fontId="11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167" fontId="3" fillId="0" borderId="0" xfId="0" applyNumberFormat="1" applyFont="1"/>
    <xf numFmtId="169" fontId="9" fillId="0" borderId="19" xfId="6" applyNumberFormat="1" applyBorder="1" applyAlignment="1">
      <alignment horizontal="center"/>
    </xf>
    <xf numFmtId="0" fontId="12" fillId="0" borderId="0" xfId="4" applyFont="1"/>
    <xf numFmtId="0" fontId="13" fillId="0" borderId="0" xfId="4" applyFont="1"/>
    <xf numFmtId="0" fontId="14" fillId="3" borderId="13" xfId="4" applyFont="1" applyFill="1" applyBorder="1"/>
    <xf numFmtId="0" fontId="14" fillId="3" borderId="13" xfId="4" applyFont="1" applyFill="1" applyBorder="1" applyAlignment="1">
      <alignment wrapText="1"/>
    </xf>
    <xf numFmtId="0" fontId="14" fillId="3" borderId="13" xfId="4" applyFont="1" applyFill="1" applyBorder="1" applyAlignment="1">
      <alignment horizontal="center" vertical="center" wrapText="1"/>
    </xf>
    <xf numFmtId="0" fontId="14" fillId="0" borderId="13" xfId="4" applyFont="1" applyBorder="1"/>
    <xf numFmtId="169" fontId="9" fillId="0" borderId="13" xfId="6" applyNumberFormat="1" applyBorder="1" applyAlignment="1">
      <alignment horizontal="center"/>
    </xf>
    <xf numFmtId="169" fontId="9" fillId="0" borderId="20" xfId="6" applyNumberFormat="1" applyBorder="1" applyAlignment="1">
      <alignment horizontal="center"/>
    </xf>
    <xf numFmtId="0" fontId="14" fillId="3" borderId="13" xfId="4" applyFont="1" applyFill="1" applyBorder="1" applyAlignment="1">
      <alignment horizontal="center"/>
    </xf>
  </cellXfs>
  <cellStyles count="9">
    <cellStyle name="Comma" xfId="1" builtinId="3"/>
    <cellStyle name="Comma 2" xfId="5" xr:uid="{C1743149-FD7E-4C92-83D5-F2646E772BC9}"/>
    <cellStyle name="Comma 3" xfId="6" xr:uid="{87894E47-BEB4-4554-AE91-10683CB66DE9}"/>
    <cellStyle name="Comma 4" xfId="8" xr:uid="{4D1146C1-56C8-4359-815E-C4575B297335}"/>
    <cellStyle name="Hyperlink" xfId="2" builtinId="8"/>
    <cellStyle name="Normal" xfId="0" builtinId="0"/>
    <cellStyle name="Normal 2" xfId="4" xr:uid="{36AD719B-FBBC-4725-B109-AFB64BA7F5CC}"/>
    <cellStyle name="Normal 2 2" xfId="7" xr:uid="{D5F285FA-0556-49DB-881D-EC1F8B25330F}"/>
    <cellStyle name="Style 1" xfId="3" xr:uid="{3DE1054A-D5E8-427D-8338-24A2707AFC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1270001</xdr:colOff>
      <xdr:row>0</xdr:row>
      <xdr:rowOff>2022417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B7E74-0A97-4493-A64F-97559ECB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6445251" cy="202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Sep_2024\Client%20Report\TMF_Monthly_Portfolio_Report_September%2024.xls" TargetMode="External"/><Relationship Id="rId1" Type="http://schemas.openxmlformats.org/officeDocument/2006/relationships/externalLinkPath" Target="file:///Q:\5.TMF\Reporting\Monthly%20Reports\Monthly%20Portfolio\2024-25\Sep_2024\Client%20Report\TMF_Monthly_Portfolio_Report_Sept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B73F-9640-4FE9-810D-FB91FF5B8428}">
  <dimension ref="A1:BB116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45565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813.5</v>
      </c>
      <c r="I10" s="32">
        <v>9.74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45038</v>
      </c>
      <c r="H11" s="32">
        <v>808.21</v>
      </c>
      <c r="I11" s="32">
        <v>9.68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546.48</v>
      </c>
      <c r="I12" s="32">
        <v>6.54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36000</v>
      </c>
      <c r="H13" s="32">
        <v>458.23</v>
      </c>
      <c r="I13" s="32">
        <v>5.49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80000</v>
      </c>
      <c r="H14" s="32">
        <v>414.48</v>
      </c>
      <c r="I14" s="32">
        <v>4.96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80000</v>
      </c>
      <c r="H15" s="32">
        <v>408.08</v>
      </c>
      <c r="I15" s="32">
        <v>4.8899999999999997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22</v>
      </c>
      <c r="G16" s="31">
        <v>22792</v>
      </c>
      <c r="H16" s="32">
        <v>359.22</v>
      </c>
      <c r="I16" s="32">
        <v>4.3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28650</v>
      </c>
      <c r="H17" s="32">
        <v>353.1</v>
      </c>
      <c r="I17" s="32">
        <v>4.2300000000000004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17239</v>
      </c>
      <c r="H18" s="32">
        <v>323.39999999999998</v>
      </c>
      <c r="I18" s="32">
        <v>3.87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45643</v>
      </c>
      <c r="H19" s="32">
        <v>263.11</v>
      </c>
      <c r="I19" s="32">
        <v>3.15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13798</v>
      </c>
      <c r="H20" s="32">
        <v>228.22</v>
      </c>
      <c r="I20" s="32">
        <v>2.73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17513</v>
      </c>
      <c r="H21" s="32">
        <v>219.02</v>
      </c>
      <c r="I21" s="32">
        <v>2.62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150110</v>
      </c>
      <c r="H22" s="32">
        <v>212.18</v>
      </c>
      <c r="I22" s="32">
        <v>2.54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85000</v>
      </c>
      <c r="H23" s="32">
        <v>208.12</v>
      </c>
      <c r="I23" s="32">
        <v>2.4900000000000002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4035</v>
      </c>
      <c r="H24" s="32">
        <v>177.87</v>
      </c>
      <c r="I24" s="32">
        <v>2.13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31476</v>
      </c>
      <c r="H25" s="32">
        <v>175.89</v>
      </c>
      <c r="I25" s="32">
        <v>2.11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6939</v>
      </c>
      <c r="H26" s="32">
        <v>174.36</v>
      </c>
      <c r="I26" s="32">
        <v>2.09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70</v>
      </c>
      <c r="G27" s="31">
        <v>6032</v>
      </c>
      <c r="H27" s="32">
        <v>154.52000000000001</v>
      </c>
      <c r="I27" s="32">
        <v>1.85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70</v>
      </c>
      <c r="G28" s="31">
        <v>12380</v>
      </c>
      <c r="H28" s="32">
        <v>153.46</v>
      </c>
      <c r="I28" s="32">
        <v>1.84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54</v>
      </c>
      <c r="G29" s="31">
        <v>2780</v>
      </c>
      <c r="H29" s="32">
        <v>151.4</v>
      </c>
      <c r="I29" s="32">
        <v>1.81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65655</v>
      </c>
      <c r="H30" s="32">
        <v>144.38</v>
      </c>
      <c r="I30" s="32">
        <v>1.73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30000</v>
      </c>
      <c r="H31" s="32">
        <v>141.36000000000001</v>
      </c>
      <c r="I31" s="32">
        <v>1.69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54</v>
      </c>
      <c r="G32" s="31">
        <v>2087</v>
      </c>
      <c r="H32" s="32">
        <v>141.04</v>
      </c>
      <c r="I32" s="32">
        <v>1.69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102</v>
      </c>
      <c r="G33" s="31">
        <v>61000</v>
      </c>
      <c r="H33" s="32">
        <v>129.05000000000001</v>
      </c>
      <c r="I33" s="32">
        <v>1.55</v>
      </c>
      <c r="J33" s="33"/>
    </row>
    <row r="34" spans="2:10" x14ac:dyDescent="0.25">
      <c r="B34" s="1" t="s">
        <v>103</v>
      </c>
      <c r="C34" s="20" t="s">
        <v>104</v>
      </c>
      <c r="D34" s="29" t="s">
        <v>105</v>
      </c>
      <c r="E34" s="30"/>
      <c r="F34" s="30" t="s">
        <v>106</v>
      </c>
      <c r="G34" s="31">
        <v>40067</v>
      </c>
      <c r="H34" s="32">
        <v>80.41</v>
      </c>
      <c r="I34" s="32">
        <v>0.96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6874</v>
      </c>
      <c r="H35" s="32">
        <v>74.97</v>
      </c>
      <c r="I35" s="32">
        <v>0.9</v>
      </c>
      <c r="J35" s="33"/>
    </row>
    <row r="36" spans="2:10" x14ac:dyDescent="0.25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26250</v>
      </c>
      <c r="H36" s="32">
        <v>74.83</v>
      </c>
      <c r="I36" s="32">
        <v>0.9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17365</v>
      </c>
      <c r="H37" s="32">
        <v>62.31</v>
      </c>
      <c r="I37" s="32">
        <v>0.75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26</v>
      </c>
      <c r="G38" s="31">
        <v>3851</v>
      </c>
      <c r="H38" s="32">
        <v>61.96</v>
      </c>
      <c r="I38" s="32">
        <v>0.74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78</v>
      </c>
      <c r="G39" s="31">
        <v>72548</v>
      </c>
      <c r="H39" s="32">
        <v>61.31</v>
      </c>
      <c r="I39" s="32">
        <v>0.73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6500</v>
      </c>
      <c r="H40" s="32">
        <v>59.68</v>
      </c>
      <c r="I40" s="32">
        <v>0.71</v>
      </c>
      <c r="J40" s="33"/>
    </row>
    <row r="41" spans="2:10" x14ac:dyDescent="0.25">
      <c r="B41" s="1" t="s">
        <v>129</v>
      </c>
      <c r="C41" s="20" t="s">
        <v>130</v>
      </c>
      <c r="D41" s="29" t="s">
        <v>131</v>
      </c>
      <c r="E41" s="30"/>
      <c r="F41" s="30" t="s">
        <v>106</v>
      </c>
      <c r="G41" s="31">
        <v>44981</v>
      </c>
      <c r="H41" s="32">
        <v>32.58</v>
      </c>
      <c r="I41" s="32">
        <v>0.39</v>
      </c>
      <c r="J41" s="33"/>
    </row>
    <row r="42" spans="2:10" x14ac:dyDescent="0.25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4330</v>
      </c>
      <c r="H42" s="32">
        <v>31.16</v>
      </c>
      <c r="I42" s="32">
        <v>0.37</v>
      </c>
      <c r="J42" s="33"/>
    </row>
    <row r="43" spans="2:10" x14ac:dyDescent="0.25">
      <c r="C43" s="28" t="s">
        <v>136</v>
      </c>
      <c r="D43" s="29"/>
      <c r="E43" s="30"/>
      <c r="F43" s="30"/>
      <c r="G43" s="31"/>
      <c r="H43" s="35">
        <v>7697.89</v>
      </c>
      <c r="I43" s="35">
        <v>92.17</v>
      </c>
      <c r="J43" s="33"/>
    </row>
    <row r="44" spans="2:10" x14ac:dyDescent="0.25">
      <c r="C44" s="20"/>
      <c r="D44" s="29"/>
      <c r="E44" s="30"/>
      <c r="F44" s="30"/>
      <c r="G44" s="31"/>
      <c r="H44" s="32"/>
      <c r="I44" s="32"/>
      <c r="J44" s="33"/>
    </row>
    <row r="45" spans="2:10" x14ac:dyDescent="0.25">
      <c r="C45" s="28" t="s">
        <v>137</v>
      </c>
      <c r="D45" s="29"/>
      <c r="E45" s="30"/>
      <c r="F45" s="30"/>
      <c r="G45" s="31"/>
      <c r="H45" s="32" t="s">
        <v>138</v>
      </c>
      <c r="I45" s="32" t="s">
        <v>138</v>
      </c>
      <c r="J45" s="33"/>
    </row>
    <row r="46" spans="2:10" x14ac:dyDescent="0.25">
      <c r="C46" s="20"/>
      <c r="D46" s="29"/>
      <c r="E46" s="30"/>
      <c r="F46" s="30"/>
      <c r="G46" s="31"/>
      <c r="H46" s="32"/>
      <c r="I46" s="32"/>
      <c r="J46" s="33"/>
    </row>
    <row r="47" spans="2:10" x14ac:dyDescent="0.25">
      <c r="C47" s="28" t="s">
        <v>139</v>
      </c>
      <c r="D47" s="29"/>
      <c r="E47" s="30"/>
      <c r="F47" s="30"/>
      <c r="G47" s="31"/>
      <c r="H47" s="32" t="s">
        <v>138</v>
      </c>
      <c r="I47" s="32" t="s">
        <v>138</v>
      </c>
      <c r="J47" s="33"/>
    </row>
    <row r="48" spans="2:10" x14ac:dyDescent="0.25">
      <c r="C48" s="20"/>
      <c r="D48" s="29"/>
      <c r="E48" s="30"/>
      <c r="F48" s="30"/>
      <c r="G48" s="31"/>
      <c r="H48" s="32"/>
      <c r="I48" s="32"/>
      <c r="J48" s="33"/>
    </row>
    <row r="49" spans="3:10" x14ac:dyDescent="0.25">
      <c r="C49" s="28" t="s">
        <v>140</v>
      </c>
      <c r="D49" s="29"/>
      <c r="E49" s="30"/>
      <c r="F49" s="30"/>
      <c r="G49" s="31"/>
      <c r="H49" s="32"/>
      <c r="I49" s="32"/>
      <c r="J49" s="33"/>
    </row>
    <row r="50" spans="3:10" x14ac:dyDescent="0.25">
      <c r="C50" s="20"/>
      <c r="D50" s="29"/>
      <c r="E50" s="30"/>
      <c r="F50" s="30"/>
      <c r="G50" s="31"/>
      <c r="H50" s="32"/>
      <c r="I50" s="32"/>
      <c r="J50" s="33"/>
    </row>
    <row r="51" spans="3:10" x14ac:dyDescent="0.25">
      <c r="C51" s="28" t="s">
        <v>141</v>
      </c>
      <c r="D51" s="29"/>
      <c r="E51" s="30"/>
      <c r="F51" s="30"/>
      <c r="G51" s="31"/>
      <c r="H51" s="32" t="s">
        <v>138</v>
      </c>
      <c r="I51" s="32" t="s">
        <v>138</v>
      </c>
      <c r="J51" s="33"/>
    </row>
    <row r="52" spans="3:10" x14ac:dyDescent="0.25">
      <c r="C52" s="20"/>
      <c r="D52" s="29"/>
      <c r="E52" s="30"/>
      <c r="F52" s="30"/>
      <c r="G52" s="31"/>
      <c r="H52" s="32"/>
      <c r="I52" s="32"/>
      <c r="J52" s="33"/>
    </row>
    <row r="53" spans="3:10" x14ac:dyDescent="0.25">
      <c r="C53" s="28" t="s">
        <v>142</v>
      </c>
      <c r="D53" s="29"/>
      <c r="E53" s="30"/>
      <c r="F53" s="30"/>
      <c r="G53" s="31"/>
      <c r="H53" s="32" t="s">
        <v>138</v>
      </c>
      <c r="I53" s="32" t="s">
        <v>138</v>
      </c>
      <c r="J53" s="33"/>
    </row>
    <row r="54" spans="3:10" x14ac:dyDescent="0.25">
      <c r="C54" s="20"/>
      <c r="D54" s="29"/>
      <c r="E54" s="30"/>
      <c r="F54" s="30"/>
      <c r="G54" s="31"/>
      <c r="H54" s="32"/>
      <c r="I54" s="32"/>
      <c r="J54" s="33"/>
    </row>
    <row r="55" spans="3:10" x14ac:dyDescent="0.25">
      <c r="C55" s="28" t="s">
        <v>143</v>
      </c>
      <c r="D55" s="29"/>
      <c r="E55" s="30"/>
      <c r="F55" s="30"/>
      <c r="G55" s="31"/>
      <c r="H55" s="32" t="s">
        <v>138</v>
      </c>
      <c r="I55" s="32" t="s">
        <v>138</v>
      </c>
      <c r="J55" s="33"/>
    </row>
    <row r="56" spans="3:10" x14ac:dyDescent="0.25">
      <c r="C56" s="20"/>
      <c r="D56" s="29"/>
      <c r="E56" s="30"/>
      <c r="F56" s="30"/>
      <c r="G56" s="31"/>
      <c r="H56" s="32"/>
      <c r="I56" s="32"/>
      <c r="J56" s="33"/>
    </row>
    <row r="57" spans="3:10" x14ac:dyDescent="0.25">
      <c r="C57" s="28" t="s">
        <v>144</v>
      </c>
      <c r="D57" s="29"/>
      <c r="E57" s="30"/>
      <c r="F57" s="30"/>
      <c r="G57" s="31"/>
      <c r="H57" s="32" t="s">
        <v>138</v>
      </c>
      <c r="I57" s="32" t="s">
        <v>138</v>
      </c>
      <c r="J57" s="33"/>
    </row>
    <row r="58" spans="3:10" x14ac:dyDescent="0.25">
      <c r="C58" s="20"/>
      <c r="D58" s="29"/>
      <c r="E58" s="30"/>
      <c r="F58" s="30"/>
      <c r="G58" s="31"/>
      <c r="H58" s="32"/>
      <c r="I58" s="32"/>
      <c r="J58" s="33"/>
    </row>
    <row r="59" spans="3:10" x14ac:dyDescent="0.25">
      <c r="C59" s="28" t="s">
        <v>145</v>
      </c>
      <c r="D59" s="29"/>
      <c r="E59" s="30"/>
      <c r="F59" s="30"/>
      <c r="G59" s="31"/>
      <c r="H59" s="32" t="s">
        <v>138</v>
      </c>
      <c r="I59" s="32" t="s">
        <v>138</v>
      </c>
      <c r="J59" s="33"/>
    </row>
    <row r="60" spans="3:10" x14ac:dyDescent="0.25">
      <c r="C60" s="20"/>
      <c r="D60" s="29"/>
      <c r="E60" s="30"/>
      <c r="F60" s="30"/>
      <c r="G60" s="31"/>
      <c r="H60" s="32"/>
      <c r="I60" s="32"/>
      <c r="J60" s="33"/>
    </row>
    <row r="61" spans="3:10" x14ac:dyDescent="0.25">
      <c r="C61" s="28" t="s">
        <v>146</v>
      </c>
      <c r="D61" s="29"/>
      <c r="E61" s="30"/>
      <c r="F61" s="30"/>
      <c r="G61" s="31"/>
      <c r="H61" s="32"/>
      <c r="I61" s="32"/>
      <c r="J61" s="33"/>
    </row>
    <row r="62" spans="3:10" x14ac:dyDescent="0.25">
      <c r="C62" s="20"/>
      <c r="D62" s="29"/>
      <c r="E62" s="30"/>
      <c r="F62" s="30"/>
      <c r="G62" s="31"/>
      <c r="H62" s="32"/>
      <c r="I62" s="32"/>
      <c r="J62" s="33"/>
    </row>
    <row r="63" spans="3:10" x14ac:dyDescent="0.25">
      <c r="C63" s="28" t="s">
        <v>147</v>
      </c>
      <c r="D63" s="29"/>
      <c r="E63" s="30"/>
      <c r="F63" s="30"/>
      <c r="G63" s="31"/>
      <c r="H63" s="32" t="s">
        <v>138</v>
      </c>
      <c r="I63" s="32" t="s">
        <v>138</v>
      </c>
      <c r="J63" s="33"/>
    </row>
    <row r="64" spans="3:10" x14ac:dyDescent="0.25">
      <c r="C64" s="20"/>
      <c r="D64" s="29"/>
      <c r="E64" s="30"/>
      <c r="F64" s="30"/>
      <c r="G64" s="31"/>
      <c r="H64" s="32"/>
      <c r="I64" s="32"/>
      <c r="J64" s="33"/>
    </row>
    <row r="65" spans="3:10" x14ac:dyDescent="0.25">
      <c r="C65" s="28" t="s">
        <v>148</v>
      </c>
      <c r="D65" s="29"/>
      <c r="E65" s="30"/>
      <c r="F65" s="30"/>
      <c r="G65" s="31"/>
      <c r="H65" s="32" t="s">
        <v>138</v>
      </c>
      <c r="I65" s="32" t="s">
        <v>138</v>
      </c>
      <c r="J65" s="33"/>
    </row>
    <row r="66" spans="3:10" x14ac:dyDescent="0.25">
      <c r="C66" s="20"/>
      <c r="D66" s="29"/>
      <c r="E66" s="30"/>
      <c r="F66" s="30"/>
      <c r="G66" s="31"/>
      <c r="H66" s="32"/>
      <c r="I66" s="32"/>
      <c r="J66" s="33"/>
    </row>
    <row r="67" spans="3:10" x14ac:dyDescent="0.25">
      <c r="C67" s="28" t="s">
        <v>149</v>
      </c>
      <c r="D67" s="29"/>
      <c r="E67" s="30"/>
      <c r="F67" s="30"/>
      <c r="G67" s="31"/>
      <c r="H67" s="32" t="s">
        <v>138</v>
      </c>
      <c r="I67" s="32" t="s">
        <v>138</v>
      </c>
      <c r="J67" s="33"/>
    </row>
    <row r="68" spans="3:10" x14ac:dyDescent="0.25">
      <c r="C68" s="20"/>
      <c r="D68" s="29"/>
      <c r="E68" s="30"/>
      <c r="F68" s="30"/>
      <c r="G68" s="31"/>
      <c r="H68" s="32"/>
      <c r="I68" s="32"/>
      <c r="J68" s="33"/>
    </row>
    <row r="69" spans="3:10" x14ac:dyDescent="0.25">
      <c r="C69" s="28" t="s">
        <v>150</v>
      </c>
      <c r="D69" s="29"/>
      <c r="E69" s="30"/>
      <c r="F69" s="30"/>
      <c r="G69" s="31"/>
      <c r="H69" s="32" t="s">
        <v>138</v>
      </c>
      <c r="I69" s="32" t="s">
        <v>138</v>
      </c>
      <c r="J69" s="33"/>
    </row>
    <row r="70" spans="3:10" x14ac:dyDescent="0.25">
      <c r="C70" s="20"/>
      <c r="D70" s="29"/>
      <c r="E70" s="30"/>
      <c r="F70" s="30"/>
      <c r="G70" s="31"/>
      <c r="H70" s="32"/>
      <c r="I70" s="32"/>
      <c r="J70" s="33"/>
    </row>
    <row r="71" spans="3:10" x14ac:dyDescent="0.25">
      <c r="C71" s="28" t="s">
        <v>151</v>
      </c>
      <c r="D71" s="29"/>
      <c r="E71" s="30"/>
      <c r="F71" s="30"/>
      <c r="G71" s="31"/>
      <c r="H71" s="32"/>
      <c r="I71" s="32"/>
      <c r="J71" s="33"/>
    </row>
    <row r="72" spans="3:10" x14ac:dyDescent="0.25">
      <c r="C72" s="20"/>
      <c r="D72" s="29"/>
      <c r="E72" s="30"/>
      <c r="F72" s="30"/>
      <c r="G72" s="31"/>
      <c r="H72" s="32"/>
      <c r="I72" s="32"/>
      <c r="J72" s="33"/>
    </row>
    <row r="73" spans="3:10" x14ac:dyDescent="0.25">
      <c r="C73" s="28" t="s">
        <v>152</v>
      </c>
      <c r="D73" s="29"/>
      <c r="E73" s="30"/>
      <c r="F73" s="30"/>
      <c r="G73" s="31"/>
      <c r="H73" s="32" t="s">
        <v>138</v>
      </c>
      <c r="I73" s="32" t="s">
        <v>138</v>
      </c>
      <c r="J73" s="33"/>
    </row>
    <row r="74" spans="3:10" x14ac:dyDescent="0.25">
      <c r="C74" s="20"/>
      <c r="D74" s="29"/>
      <c r="E74" s="30"/>
      <c r="F74" s="30"/>
      <c r="G74" s="31"/>
      <c r="H74" s="32"/>
      <c r="I74" s="32"/>
      <c r="J74" s="33"/>
    </row>
    <row r="75" spans="3:10" x14ac:dyDescent="0.25">
      <c r="C75" s="28" t="s">
        <v>153</v>
      </c>
      <c r="D75" s="29"/>
      <c r="E75" s="30"/>
      <c r="F75" s="30"/>
      <c r="G75" s="31"/>
      <c r="H75" s="32" t="s">
        <v>138</v>
      </c>
      <c r="I75" s="32" t="s">
        <v>138</v>
      </c>
      <c r="J75" s="33"/>
    </row>
    <row r="76" spans="3:10" x14ac:dyDescent="0.25">
      <c r="C76" s="20"/>
      <c r="D76" s="29"/>
      <c r="E76" s="30"/>
      <c r="F76" s="30"/>
      <c r="G76" s="31"/>
      <c r="H76" s="32"/>
      <c r="I76" s="32"/>
      <c r="J76" s="33"/>
    </row>
    <row r="77" spans="3:10" x14ac:dyDescent="0.25">
      <c r="C77" s="28" t="s">
        <v>154</v>
      </c>
      <c r="D77" s="29"/>
      <c r="E77" s="30"/>
      <c r="F77" s="30"/>
      <c r="G77" s="31"/>
      <c r="H77" s="32" t="s">
        <v>138</v>
      </c>
      <c r="I77" s="32" t="s">
        <v>138</v>
      </c>
      <c r="J77" s="33"/>
    </row>
    <row r="78" spans="3:10" x14ac:dyDescent="0.25">
      <c r="C78" s="20"/>
      <c r="D78" s="29"/>
      <c r="E78" s="30"/>
      <c r="F78" s="30"/>
      <c r="G78" s="31"/>
      <c r="H78" s="32"/>
      <c r="I78" s="32"/>
      <c r="J78" s="33"/>
    </row>
    <row r="79" spans="3:10" x14ac:dyDescent="0.25">
      <c r="C79" s="28" t="s">
        <v>155</v>
      </c>
      <c r="D79" s="29"/>
      <c r="E79" s="30"/>
      <c r="F79" s="30"/>
      <c r="G79" s="31"/>
      <c r="H79" s="32" t="s">
        <v>138</v>
      </c>
      <c r="I79" s="32" t="s">
        <v>138</v>
      </c>
      <c r="J79" s="33"/>
    </row>
    <row r="80" spans="3:10" x14ac:dyDescent="0.25">
      <c r="C80" s="20"/>
      <c r="D80" s="29"/>
      <c r="E80" s="30"/>
      <c r="F80" s="30"/>
      <c r="G80" s="31"/>
      <c r="H80" s="32"/>
      <c r="I80" s="32"/>
      <c r="J80" s="33"/>
    </row>
    <row r="81" spans="1:10" x14ac:dyDescent="0.25">
      <c r="C81" s="28" t="s">
        <v>156</v>
      </c>
      <c r="D81" s="29"/>
      <c r="E81" s="30"/>
      <c r="F81" s="30"/>
      <c r="G81" s="31"/>
      <c r="H81" s="32" t="s">
        <v>138</v>
      </c>
      <c r="I81" s="32" t="s">
        <v>138</v>
      </c>
      <c r="J81" s="33"/>
    </row>
    <row r="82" spans="1:10" x14ac:dyDescent="0.25">
      <c r="C82" s="20"/>
      <c r="D82" s="29"/>
      <c r="E82" s="30"/>
      <c r="F82" s="30"/>
      <c r="G82" s="31"/>
      <c r="H82" s="32"/>
      <c r="I82" s="32"/>
      <c r="J82" s="33"/>
    </row>
    <row r="83" spans="1:10" x14ac:dyDescent="0.25">
      <c r="C83" s="28" t="s">
        <v>157</v>
      </c>
      <c r="D83" s="29"/>
      <c r="E83" s="30"/>
      <c r="F83" s="30"/>
      <c r="G83" s="31"/>
      <c r="H83" s="32" t="s">
        <v>138</v>
      </c>
      <c r="I83" s="32" t="s">
        <v>138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158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159</v>
      </c>
      <c r="D86" s="29"/>
      <c r="E86" s="30"/>
      <c r="F86" s="30"/>
      <c r="G86" s="31"/>
      <c r="H86" s="32">
        <v>653.24</v>
      </c>
      <c r="I86" s="32">
        <v>7.83</v>
      </c>
      <c r="J86" s="33"/>
    </row>
    <row r="87" spans="1:10" x14ac:dyDescent="0.25">
      <c r="C87" s="28" t="s">
        <v>136</v>
      </c>
      <c r="D87" s="29"/>
      <c r="E87" s="30"/>
      <c r="F87" s="30"/>
      <c r="G87" s="31"/>
      <c r="H87" s="35">
        <v>653.24</v>
      </c>
      <c r="I87" s="35">
        <v>7.83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160</v>
      </c>
      <c r="D89" s="37"/>
      <c r="E89" s="38"/>
      <c r="F89" s="39"/>
      <c r="G89" s="40"/>
      <c r="H89" s="41">
        <v>8351.1299999999992</v>
      </c>
      <c r="I89" s="41">
        <f>SUMIFS(I:I,C:C,"Total")</f>
        <v>100</v>
      </c>
      <c r="J89" s="42"/>
    </row>
    <row r="92" spans="1:10" x14ac:dyDescent="0.25">
      <c r="C92" s="11" t="s">
        <v>161</v>
      </c>
    </row>
    <row r="93" spans="1:10" x14ac:dyDescent="0.25">
      <c r="C93" s="2" t="s">
        <v>162</v>
      </c>
    </row>
    <row r="94" spans="1:10" x14ac:dyDescent="0.25">
      <c r="C94" s="2" t="s">
        <v>163</v>
      </c>
    </row>
    <row r="95" spans="1:10" x14ac:dyDescent="0.25">
      <c r="C95" s="2" t="s">
        <v>164</v>
      </c>
    </row>
    <row r="97" spans="3:5" x14ac:dyDescent="0.25">
      <c r="C97" s="2" t="s">
        <v>165</v>
      </c>
    </row>
    <row r="98" spans="3:5" x14ac:dyDescent="0.25">
      <c r="C98" s="2" t="s">
        <v>166</v>
      </c>
    </row>
    <row r="99" spans="3:5" x14ac:dyDescent="0.25">
      <c r="C99" s="2" t="s">
        <v>167</v>
      </c>
    </row>
    <row r="100" spans="3:5" x14ac:dyDescent="0.25">
      <c r="D100" s="2" t="s">
        <v>168</v>
      </c>
    </row>
    <row r="101" spans="3:5" x14ac:dyDescent="0.25">
      <c r="C101" s="2" t="s">
        <v>169</v>
      </c>
      <c r="D101" s="2" t="s">
        <v>170</v>
      </c>
      <c r="E101" s="2" t="s">
        <v>170</v>
      </c>
    </row>
    <row r="102" spans="3:5" x14ac:dyDescent="0.25">
      <c r="D102" s="2" t="s">
        <v>171</v>
      </c>
      <c r="E102" s="2" t="s">
        <v>172</v>
      </c>
    </row>
    <row r="103" spans="3:5" x14ac:dyDescent="0.25">
      <c r="C103" s="2" t="s">
        <v>173</v>
      </c>
      <c r="D103" s="43">
        <v>87.63</v>
      </c>
      <c r="E103" s="43">
        <v>88.83</v>
      </c>
    </row>
    <row r="104" spans="3:5" x14ac:dyDescent="0.25">
      <c r="C104" s="2" t="s">
        <v>174</v>
      </c>
      <c r="D104" s="43">
        <v>187.07</v>
      </c>
      <c r="E104" s="43">
        <v>189.62</v>
      </c>
    </row>
    <row r="105" spans="3:5" x14ac:dyDescent="0.25">
      <c r="C105" s="2" t="s">
        <v>175</v>
      </c>
      <c r="D105" s="43">
        <v>93.48</v>
      </c>
      <c r="E105" s="43">
        <v>94.8</v>
      </c>
    </row>
    <row r="106" spans="3:5" x14ac:dyDescent="0.25">
      <c r="C106" s="2" t="s">
        <v>176</v>
      </c>
      <c r="D106" s="43">
        <v>202.84</v>
      </c>
      <c r="E106" s="43">
        <v>205.7</v>
      </c>
    </row>
    <row r="108" spans="3:5" x14ac:dyDescent="0.25">
      <c r="C108" s="2" t="s">
        <v>177</v>
      </c>
    </row>
    <row r="109" spans="3:5" x14ac:dyDescent="0.25">
      <c r="C109" s="2" t="s">
        <v>178</v>
      </c>
    </row>
    <row r="110" spans="3:5" x14ac:dyDescent="0.25">
      <c r="C110" s="2" t="s">
        <v>179</v>
      </c>
    </row>
    <row r="111" spans="3:5" x14ac:dyDescent="0.25">
      <c r="C111" s="2" t="s">
        <v>180</v>
      </c>
    </row>
    <row r="112" spans="3:5" x14ac:dyDescent="0.25">
      <c r="C112" s="2" t="s">
        <v>181</v>
      </c>
    </row>
    <row r="113" spans="3:3" x14ac:dyDescent="0.25">
      <c r="C113" s="2" t="s">
        <v>182</v>
      </c>
    </row>
    <row r="114" spans="3:3" x14ac:dyDescent="0.25">
      <c r="C114" s="2" t="s">
        <v>183</v>
      </c>
    </row>
    <row r="115" spans="3:3" x14ac:dyDescent="0.25">
      <c r="C115" s="2" t="s">
        <v>184</v>
      </c>
    </row>
    <row r="116" spans="3:3" x14ac:dyDescent="0.25">
      <c r="C116" s="2" t="s">
        <v>185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3A5EC-3944-43E8-980F-75A0CBD56E24}">
  <dimension ref="C3:K17"/>
  <sheetViews>
    <sheetView workbookViewId="0"/>
  </sheetViews>
  <sheetFormatPr defaultRowHeight="15" x14ac:dyDescent="0.25"/>
  <cols>
    <col min="3" max="3" width="52.42578125" customWidth="1"/>
    <col min="4" max="4" width="7.28515625" bestFit="1" customWidth="1"/>
    <col min="5" max="5" width="10.85546875" bestFit="1" customWidth="1"/>
    <col min="6" max="6" width="7.28515625" bestFit="1" customWidth="1"/>
    <col min="7" max="7" width="10.85546875" bestFit="1" customWidth="1"/>
    <col min="8" max="8" width="7.28515625" bestFit="1" customWidth="1"/>
    <col min="9" max="9" width="10.85546875" bestFit="1" customWidth="1"/>
    <col min="10" max="10" width="7.28515625" bestFit="1" customWidth="1"/>
    <col min="11" max="11" width="11.85546875" bestFit="1" customWidth="1"/>
  </cols>
  <sheetData>
    <row r="3" spans="3:11" ht="15.75" x14ac:dyDescent="0.25">
      <c r="C3" s="45" t="s">
        <v>186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187</v>
      </c>
      <c r="D4" s="53" t="s">
        <v>188</v>
      </c>
      <c r="E4" s="53"/>
      <c r="F4" s="53" t="s">
        <v>189</v>
      </c>
      <c r="G4" s="53"/>
      <c r="H4" s="53" t="s">
        <v>190</v>
      </c>
      <c r="I4" s="53"/>
      <c r="J4" s="53" t="s">
        <v>191</v>
      </c>
      <c r="K4" s="53"/>
    </row>
    <row r="5" spans="3:11" ht="63.75" x14ac:dyDescent="0.25">
      <c r="C5" s="48"/>
      <c r="D5" s="49" t="s">
        <v>192</v>
      </c>
      <c r="E5" s="49" t="s">
        <v>193</v>
      </c>
      <c r="F5" s="49" t="s">
        <v>192</v>
      </c>
      <c r="G5" s="49" t="s">
        <v>193</v>
      </c>
      <c r="H5" s="49" t="s">
        <v>192</v>
      </c>
      <c r="I5" s="49" t="s">
        <v>193</v>
      </c>
      <c r="J5" s="49" t="s">
        <v>192</v>
      </c>
      <c r="K5" s="49" t="s">
        <v>193</v>
      </c>
    </row>
    <row r="6" spans="3:11" x14ac:dyDescent="0.25">
      <c r="C6" s="50" t="s">
        <v>194</v>
      </c>
      <c r="D6" s="51">
        <v>38.043552131234534</v>
      </c>
      <c r="E6" s="51">
        <v>13828.763127187865</v>
      </c>
      <c r="F6" s="51">
        <v>18.465681137623015</v>
      </c>
      <c r="G6" s="51">
        <v>16633.333333333336</v>
      </c>
      <c r="H6" s="51">
        <v>19.60028896620727</v>
      </c>
      <c r="I6" s="51">
        <v>24495.543211471388</v>
      </c>
      <c r="J6" s="51">
        <v>12.502637974402187</v>
      </c>
      <c r="K6" s="51">
        <v>189620</v>
      </c>
    </row>
    <row r="7" spans="3:11" x14ac:dyDescent="0.25">
      <c r="C7" s="50" t="s">
        <v>195</v>
      </c>
      <c r="D7" s="51">
        <v>40.847061333366128</v>
      </c>
      <c r="E7" s="51">
        <v>14084.706133336613</v>
      </c>
      <c r="F7" s="51">
        <v>18.386171653817662</v>
      </c>
      <c r="G7" s="51">
        <v>16592.160114178481</v>
      </c>
      <c r="H7" s="51">
        <v>22.384421399730869</v>
      </c>
      <c r="I7" s="51">
        <v>27455.584563873846</v>
      </c>
      <c r="J7" s="51">
        <v>0</v>
      </c>
      <c r="K7" s="51">
        <v>0</v>
      </c>
    </row>
    <row r="8" spans="3:11" x14ac:dyDescent="0.25">
      <c r="C8" s="50" t="s">
        <v>196</v>
      </c>
      <c r="D8" s="51">
        <v>32.796483310772587</v>
      </c>
      <c r="E8" s="51">
        <v>13279.648331077258</v>
      </c>
      <c r="F8" s="51">
        <v>14.92202528918618</v>
      </c>
      <c r="G8" s="51">
        <v>15177.834504935277</v>
      </c>
      <c r="H8" s="51">
        <v>18.952877574845761</v>
      </c>
      <c r="I8" s="51">
        <v>23816.325780111703</v>
      </c>
      <c r="J8" s="51">
        <v>13.470003242448737</v>
      </c>
      <c r="K8" s="51">
        <v>367483.72541283251</v>
      </c>
    </row>
    <row r="9" spans="3:11" x14ac:dyDescent="0.25">
      <c r="C9" s="50" t="s">
        <v>197</v>
      </c>
      <c r="D9" s="44">
        <v>137.12</v>
      </c>
      <c r="E9" s="52"/>
      <c r="F9" s="44">
        <v>114</v>
      </c>
      <c r="G9" s="52"/>
      <c r="H9" s="44">
        <v>77.41</v>
      </c>
      <c r="I9" s="52"/>
      <c r="J9" s="44">
        <v>10</v>
      </c>
      <c r="K9" s="52"/>
    </row>
    <row r="11" spans="3:11" ht="15.75" x14ac:dyDescent="0.25">
      <c r="C11" s="45" t="s">
        <v>198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187</v>
      </c>
      <c r="D12" s="53" t="s">
        <v>188</v>
      </c>
      <c r="E12" s="53"/>
      <c r="F12" s="53" t="s">
        <v>189</v>
      </c>
      <c r="G12" s="53"/>
      <c r="H12" s="53" t="s">
        <v>190</v>
      </c>
      <c r="I12" s="53"/>
      <c r="J12" s="53" t="s">
        <v>191</v>
      </c>
      <c r="K12" s="53"/>
    </row>
    <row r="13" spans="3:11" ht="63.75" x14ac:dyDescent="0.25">
      <c r="C13" s="48"/>
      <c r="D13" s="49" t="s">
        <v>192</v>
      </c>
      <c r="E13" s="49" t="s">
        <v>193</v>
      </c>
      <c r="F13" s="49" t="s">
        <v>192</v>
      </c>
      <c r="G13" s="49" t="s">
        <v>193</v>
      </c>
      <c r="H13" s="49" t="s">
        <v>192</v>
      </c>
      <c r="I13" s="49" t="s">
        <v>193</v>
      </c>
      <c r="J13" s="49" t="s">
        <v>192</v>
      </c>
      <c r="K13" s="49" t="s">
        <v>193</v>
      </c>
    </row>
    <row r="14" spans="3:11" x14ac:dyDescent="0.25">
      <c r="C14" s="50" t="s">
        <v>194</v>
      </c>
      <c r="D14" s="51">
        <v>38.914727802502846</v>
      </c>
      <c r="E14" s="51">
        <v>13916.51444421893</v>
      </c>
      <c r="F14" s="51">
        <v>19.253616524931118</v>
      </c>
      <c r="G14" s="51">
        <v>16967.747257279549</v>
      </c>
      <c r="H14" s="51">
        <v>20.432441844587501</v>
      </c>
      <c r="I14" s="51">
        <v>25360.621378375046</v>
      </c>
      <c r="J14" s="51">
        <v>15.275820956310415</v>
      </c>
      <c r="K14" s="51">
        <v>53166.192814680791</v>
      </c>
    </row>
    <row r="15" spans="3:11" x14ac:dyDescent="0.25">
      <c r="C15" s="50" t="s">
        <v>195</v>
      </c>
      <c r="D15" s="51">
        <v>40.847061333366128</v>
      </c>
      <c r="E15" s="51">
        <v>14084.706133336613</v>
      </c>
      <c r="F15" s="51">
        <v>18.386171653817662</v>
      </c>
      <c r="G15" s="51">
        <v>16592.160114178481</v>
      </c>
      <c r="H15" s="51">
        <v>22.384421399730869</v>
      </c>
      <c r="I15" s="51">
        <v>27455.584563873846</v>
      </c>
      <c r="J15" s="51">
        <v>16.185375279309412</v>
      </c>
      <c r="K15" s="51">
        <v>58311.31512371148</v>
      </c>
    </row>
    <row r="16" spans="3:11" x14ac:dyDescent="0.25">
      <c r="C16" s="50" t="s">
        <v>196</v>
      </c>
      <c r="D16" s="51">
        <v>32.796483310772587</v>
      </c>
      <c r="E16" s="51">
        <v>13279.648331077258</v>
      </c>
      <c r="F16" s="51">
        <v>14.92202528918618</v>
      </c>
      <c r="G16" s="51">
        <v>15177.834504935277</v>
      </c>
      <c r="H16" s="51">
        <v>18.952877574845761</v>
      </c>
      <c r="I16" s="51">
        <v>23816.325780111703</v>
      </c>
      <c r="J16" s="51">
        <v>14.69076677652299</v>
      </c>
      <c r="K16" s="51">
        <v>50079.873791305996</v>
      </c>
    </row>
    <row r="17" spans="3:11" x14ac:dyDescent="0.25">
      <c r="C17" s="50" t="s">
        <v>199</v>
      </c>
      <c r="D17" s="44">
        <v>147.81</v>
      </c>
      <c r="E17" s="52"/>
      <c r="F17" s="44">
        <v>121.23</v>
      </c>
      <c r="G17" s="52"/>
      <c r="H17" s="44">
        <v>81.11</v>
      </c>
      <c r="I17" s="52"/>
      <c r="J17" s="44">
        <v>38.69</v>
      </c>
      <c r="K17" s="52"/>
    </row>
  </sheetData>
  <mergeCells count="16">
    <mergeCell ref="D4:E4"/>
    <mergeCell ref="F4:G4"/>
    <mergeCell ref="H4:I4"/>
    <mergeCell ref="J4:K4"/>
    <mergeCell ref="D17:E17"/>
    <mergeCell ref="F17:G17"/>
    <mergeCell ref="H17:I17"/>
    <mergeCell ref="J17:K17"/>
    <mergeCell ref="D12:E12"/>
    <mergeCell ref="F12:G12"/>
    <mergeCell ref="H12:I12"/>
    <mergeCell ref="J12:K12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2024-10-01T13:01:27Z</dcterms:created>
  <dcterms:modified xsi:type="dcterms:W3CDTF">2024-10-07T06:53:48Z</dcterms:modified>
</cp:coreProperties>
</file>