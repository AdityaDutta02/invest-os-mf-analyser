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-Performance" sheetId="2" r:id="rId2"/>
  </sheets>
  <externalReferences>
    <externalReference r:id="rId3"/>
  </externalReferences>
  <definedNames>
    <definedName name="XDO_?CLASS_3?6?">'TSS-Risk-O-Meter &amp; Portfolio'!$C$8:$C$52</definedName>
    <definedName name="XDO_?FINAL_ISIN?11?">'TSS-Risk-O-Meter &amp; Portfolio'!$D$10:$D$52</definedName>
    <definedName name="XDO_?FINAL_ISIN?12?">'TSS-Risk-O-Meter &amp; Portfolio'!$D$10:$D$56</definedName>
    <definedName name="XDO_?FINAL_ISIN?13?">'TSS-Risk-O-Meter &amp; Portfolio'!$D$10:$D$96</definedName>
    <definedName name="XDO_?FINAL_MV?11?">'TSS-Risk-O-Meter &amp; Portfolio'!$H$10:$H$52</definedName>
    <definedName name="XDO_?FINAL_MV?12?">'TSS-Risk-O-Meter &amp; Portfolio'!$H$10:$H$56</definedName>
    <definedName name="XDO_?FINAL_MV?13?">'TSS-Risk-O-Meter &amp; Portfolio'!$H$10:$H$96</definedName>
    <definedName name="XDO_?FINAL_NAME?11?">'TSS-Risk-O-Meter &amp; Portfolio'!$C$10:$C$52</definedName>
    <definedName name="XDO_?FINAL_NAME?12?">'TSS-Risk-O-Meter &amp; Portfolio'!$C$10:$C$56</definedName>
    <definedName name="XDO_?FINAL_NAME?13?">'TSS-Risk-O-Meter &amp; Portfolio'!$C$10:$C$96</definedName>
    <definedName name="XDO_?FINAL_PER_NET?11?">'TSS-Risk-O-Meter &amp; Portfolio'!$I$10:$I$52</definedName>
    <definedName name="XDO_?FINAL_PER_NET?12?">'TSS-Risk-O-Meter &amp; Portfolio'!$I$10:$I$56</definedName>
    <definedName name="XDO_?FINAL_PER_NET?13?">'TSS-Risk-O-Meter &amp; Portfolio'!$I$10:$I$96</definedName>
    <definedName name="XDO_?FINAL_QUANTITE?11?">'TSS-Risk-O-Meter &amp; Portfolio'!$G$10:$G$52</definedName>
    <definedName name="XDO_?FINAL_QUANTITE?12?">'TSS-Risk-O-Meter &amp; Portfolio'!$G$10:$G$56</definedName>
    <definedName name="XDO_?FINAL_QUANTITE?13?">'TSS-Risk-O-Meter &amp; Portfolio'!$G$10:$G$96</definedName>
    <definedName name="XDO_?IND_01?11?">'TSS-Risk-O-Meter &amp; Portfolio'!$F$10:$F$52</definedName>
    <definedName name="XDO_?IND_01?12?">'TSS-Risk-O-Meter &amp; Portfolio'!$F$10:$F$56</definedName>
    <definedName name="XDO_?IND_01?13?">'TSS-Risk-O-Meter &amp; Portfolio'!$F$10:$F$96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Portfolio'!$B$10:$B$52</definedName>
    <definedName name="XDO_?NOVAL?12?">'TSS-Risk-O-Meter &amp; Portfolio'!$B$10:$B$56</definedName>
    <definedName name="XDO_?NOVAL?13?">'TSS-Risk-O-Meter &amp; Portfolio'!$B$10:$B$96</definedName>
    <definedName name="XDO_?NPTF?6?">'TSS-Risk-O-Meter &amp; Portfolio'!$D$2:$D$52</definedName>
    <definedName name="XDO_?RATING?11?">'TSS-Risk-O-Meter &amp; Portfolio'!$E$10:$E$52</definedName>
    <definedName name="XDO_?RATING?12?">'TSS-Risk-O-Meter &amp; Portfolio'!$E$10:$E$56</definedName>
    <definedName name="XDO_?RATING?13?">'TSS-Risk-O-Meter &amp; Portfolio'!$E$10:$E$96</definedName>
    <definedName name="XDO_?REMARKS?11?">'TSS-Risk-O-Meter &amp; Portfolio'!$J$10:$J$52</definedName>
    <definedName name="XDO_?REMARKS?12?">'TSS-Risk-O-Meter &amp; Portfolio'!$J$10:$J$56</definedName>
    <definedName name="XDO_?REMARKS?13?">'TSS-Risk-O-Meter &amp; Portfolio'!$J$10:$J$96</definedName>
    <definedName name="XDO_?TITL?6?">'TSS-Risk-O-Meter &amp; Portfolio'!$A$8:$A$52</definedName>
    <definedName name="XDO_GROUP_?G_2?6?">'TSS-Risk-O-Meter &amp; Portfolio'!$2:$99</definedName>
    <definedName name="XDO_GROUP_?G_3?6?">'TSS-Risk-O-Meter &amp; Portfolio'!$8:$98</definedName>
    <definedName name="XDO_GROUP_?G_4?11?">'TSS-Risk-O-Meter &amp; Portfolio'!$B$10:$IV$52</definedName>
    <definedName name="XDO_GROUP_?G_4?12?">'TSS-Risk-O-Meter &amp; Portfolio'!$B$56:$IV$56</definedName>
    <definedName name="XDO_GROUP_?G_4?13?">'TSS-Risk-O-Meter &amp; Portfolio'!$B$96:$IV$96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<sst xmlns="http://schemas.openxmlformats.org/spreadsheetml/2006/main" count="289" uniqueCount="216">
  <si>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</si>
  <si>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</si>
  <si>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</si>
  <si>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</si>
  <si>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</si>
  <si>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</si>
  <si>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</si>
  <si>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</si>
  <si>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</si>
  <si>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</si>
  <si>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</si>
  <si>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</si>
  <si>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</si>
  <si>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</si>
  <si>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</si>
  <si>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</si>
  <si>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</si>
  <si>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</si>
  <si>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</si>
  <si>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</si>
  <si>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</si>
  <si>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</si>
  <si>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</si>
  <si>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</si>
  <si>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</si>
  <si>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</si>
  <si>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</si>
  <si>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100005</t>
  </si>
  <si>
    <t>Larsen &amp; Toubro Ltd.</t>
  </si>
  <si>
    <t>INE018A01030</t>
  </si>
  <si>
    <t>Construction Project</t>
  </si>
  <si>
    <t>100010</t>
  </si>
  <si>
    <t>State Bank of India</t>
  </si>
  <si>
    <t>INE062A01020</t>
  </si>
  <si>
    <t>100001</t>
  </si>
  <si>
    <t>Housing Development Finance Corporation Ltd.</t>
  </si>
  <si>
    <t>INE001A01036</t>
  </si>
  <si>
    <t>Finance</t>
  </si>
  <si>
    <t>100006</t>
  </si>
  <si>
    <t>HDFC Bank Ltd.</t>
  </si>
  <si>
    <t>INE040A01034</t>
  </si>
  <si>
    <t>100108</t>
  </si>
  <si>
    <t>Adani Ports and Special Economic Zone Ltd.</t>
  </si>
  <si>
    <t>INE742F01042</t>
  </si>
  <si>
    <t>Transportation</t>
  </si>
  <si>
    <t>101412</t>
  </si>
  <si>
    <t>Punjab Chemicals &amp; Crop Protection Ltd.</t>
  </si>
  <si>
    <t>INE277B01014</t>
  </si>
  <si>
    <t>Pesticides</t>
  </si>
  <si>
    <t>101415</t>
  </si>
  <si>
    <t>HINDUSTAN OIL EXPLORATION CO.LTD.</t>
  </si>
  <si>
    <t>INE345A01011</t>
  </si>
  <si>
    <t>Oil</t>
  </si>
  <si>
    <t>100115</t>
  </si>
  <si>
    <t>Siemens Ltd.</t>
  </si>
  <si>
    <t>INE003A01024</t>
  </si>
  <si>
    <t>Industrial Capital Goods</t>
  </si>
  <si>
    <t>100104</t>
  </si>
  <si>
    <t>Kotak Mahindra Bank Ltd.</t>
  </si>
  <si>
    <t>INE237A01028</t>
  </si>
  <si>
    <t>100315</t>
  </si>
  <si>
    <t>Prestige Estates Projects Ltd.</t>
  </si>
  <si>
    <t>INE811K01011</t>
  </si>
  <si>
    <t>Construction</t>
  </si>
  <si>
    <t>100183</t>
  </si>
  <si>
    <t>Vedanta Ltd.</t>
  </si>
  <si>
    <t>INE205A01025</t>
  </si>
  <si>
    <t>Non - Ferrous Metals</t>
  </si>
  <si>
    <t>100374</t>
  </si>
  <si>
    <t>CESC Ltd.</t>
  </si>
  <si>
    <t>INE486A01021</t>
  </si>
  <si>
    <t>Power</t>
  </si>
  <si>
    <t>100418</t>
  </si>
  <si>
    <t>Adani Enterprises Ltd.</t>
  </si>
  <si>
    <t>INE423A01024</t>
  </si>
  <si>
    <t>Minerals/Mining</t>
  </si>
  <si>
    <t>100019</t>
  </si>
  <si>
    <t>ITC Ltd.</t>
  </si>
  <si>
    <t>INE154A01025</t>
  </si>
  <si>
    <t>Consumer Non Durables</t>
  </si>
  <si>
    <t>100654</t>
  </si>
  <si>
    <t>Automotive Axles Ltd.</t>
  </si>
  <si>
    <t>INE449A01011</t>
  </si>
  <si>
    <t>Auto Ancillaries</t>
  </si>
  <si>
    <t>100235</t>
  </si>
  <si>
    <t>CRISIL Ltd.</t>
  </si>
  <si>
    <t>INE007A01025</t>
  </si>
  <si>
    <t>100008</t>
  </si>
  <si>
    <t>Sun Pharmaceutical Industries Ltd.</t>
  </si>
  <si>
    <t>INE044A01036</t>
  </si>
  <si>
    <t>Pharmaceuticals</t>
  </si>
  <si>
    <t>101348</t>
  </si>
  <si>
    <t>Ami Organics Ltd.</t>
  </si>
  <si>
    <t>INE00FF01017</t>
  </si>
  <si>
    <t>100271</t>
  </si>
  <si>
    <t>Balkrishna Industries Ltd.</t>
  </si>
  <si>
    <t>INE787D01026</t>
  </si>
  <si>
    <t>100035</t>
  </si>
  <si>
    <t>NMDC Ltd.</t>
  </si>
  <si>
    <t>INE584A01023</t>
  </si>
  <si>
    <t>100148</t>
  </si>
  <si>
    <t>Motilal Oswal Financial Services Ltd.</t>
  </si>
  <si>
    <t>INE338I01027</t>
  </si>
  <si>
    <t>Capital Markets</t>
  </si>
  <si>
    <t>100707</t>
  </si>
  <si>
    <t>Cera Sanitaryware Ltd.</t>
  </si>
  <si>
    <t>INE739E01017</t>
  </si>
  <si>
    <t>Consumer Durables</t>
  </si>
  <si>
    <t>101152</t>
  </si>
  <si>
    <t>Sumitomo Chemical India Ltd.</t>
  </si>
  <si>
    <t>INE258G01013</t>
  </si>
  <si>
    <t>100571</t>
  </si>
  <si>
    <t>KNR Constructions Ltd.</t>
  </si>
  <si>
    <t>INE634I01029</t>
  </si>
  <si>
    <t>100372</t>
  </si>
  <si>
    <t>Apollo Tyres Ltd.</t>
  </si>
  <si>
    <t>INE438A01022</t>
  </si>
  <si>
    <t>100138</t>
  </si>
  <si>
    <t>PVR Ltd.</t>
  </si>
  <si>
    <t>INE191H01014</t>
  </si>
  <si>
    <t>Entertainment</t>
  </si>
  <si>
    <t>100398</t>
  </si>
  <si>
    <t>Aditya Birla Fashion and Retail Ltd.</t>
  </si>
  <si>
    <t>INE647O01011</t>
  </si>
  <si>
    <t>Retailing</t>
  </si>
  <si>
    <t>100014</t>
  </si>
  <si>
    <t>Mahindra &amp; Mahindra Ltd.</t>
  </si>
  <si>
    <t>INE101A01026</t>
  </si>
  <si>
    <t>Auto</t>
  </si>
  <si>
    <t>100243</t>
  </si>
  <si>
    <t>Multi Commodity Exchange of India Ltd.</t>
  </si>
  <si>
    <t>INE745G01035</t>
  </si>
  <si>
    <t>100260</t>
  </si>
  <si>
    <t>Solar Industries India Ltd.</t>
  </si>
  <si>
    <t>INE343H01029</t>
  </si>
  <si>
    <t>Chemicals</t>
  </si>
  <si>
    <t>100082</t>
  </si>
  <si>
    <t>Ultratech Cement Ltd.</t>
  </si>
  <si>
    <t>INE481G01011</t>
  </si>
  <si>
    <t>Cement &amp; Cement Products</t>
  </si>
  <si>
    <t>100378</t>
  </si>
  <si>
    <t>Jindal Steel &amp; Power Ltd.</t>
  </si>
  <si>
    <t>INE749A01030</t>
  </si>
  <si>
    <t>Ferrous Metals</t>
  </si>
  <si>
    <t>100024</t>
  </si>
  <si>
    <t>Axis Bank Ltd.</t>
  </si>
  <si>
    <t>INE238A01034</t>
  </si>
  <si>
    <t>100816</t>
  </si>
  <si>
    <t>APL Apollo Tubes Ltd.</t>
  </si>
  <si>
    <t>INE702C01027</t>
  </si>
  <si>
    <t>100255</t>
  </si>
  <si>
    <t>PNC Infratech Ltd.</t>
  </si>
  <si>
    <t>INE195J01029</t>
  </si>
  <si>
    <t>100774</t>
  </si>
  <si>
    <t>ICICI Securities Ltd.</t>
  </si>
  <si>
    <t>INE763G01038</t>
  </si>
  <si>
    <t>100122</t>
  </si>
  <si>
    <t>Union Bank of India</t>
  </si>
  <si>
    <t>INE692A01016</t>
  </si>
  <si>
    <t>100036</t>
  </si>
  <si>
    <t>Mahindra &amp; Mahindra Financial Services Ltd.</t>
  </si>
  <si>
    <t>INE774D01024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</si>
  <si>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</si>
  <si>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</si>
  <si>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</si>
  <si>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</si>
  <si>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</si>
  <si>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</si>
  <si>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</si>
  <si>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Total</t>
  </si>
  <si>
    <t>b) Unlisted</t>
  </si>
  <si>
    <t>100190</t>
  </si>
  <si>
    <t>Wellwin Industry Ltd.</t>
  </si>
  <si>
    <t>INE752A01018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</si>
  <si>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</si>
  <si>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</si>
  <si>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</si>
  <si>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</si>
  <si>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</si>
  <si>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</si>
  <si>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</si>
  <si>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</si>
  <si>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</si>
  <si>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</si>
  <si>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</si>
  <si>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</si>
  <si>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</si>
  <si>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</si>
  <si>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</si>
  <si>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</si>
  <si>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</si>
  <si>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</si>
  <si>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</si>
  <si>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</si>
  <si>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</si>
  <si>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</si>
  <si>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</si>
  <si>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</si>
  <si>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</si>
  <si>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</si>
  <si>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</si>
  <si>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</si>
  <si>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</si>
  <si>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</si>
  <si>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</si>
  <si>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</si>
  <si>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</si>
  <si>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</si>
  <si>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</si>
  <si>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</si>
  <si>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</si>
  <si>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</si>
  <si>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March 31, 2022 : 151.77)</t>
  </si>
  <si>
    <t>Taurus Flexi Cap Fund - Direct Plan Growth Option</t>
  </si>
  <si>
    <t>NAV [Rs.] Per Unit (as on March 31, 2022 : 157.62)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</si>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</sst>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4" name="Picture 3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5" name="Picture 4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rch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44651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208379</v>
      </c>
      <c r="H10" s="32">
        <v>1521.69</v>
      </c>
      <c r="I10" s="32">
        <v>5.91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47493</v>
      </c>
      <c r="H11" s="32">
        <v>1250.94</v>
      </c>
      <c r="I11" s="32">
        <v>4.8600000000000003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54701</v>
      </c>
      <c r="H12" s="32">
        <v>1043.26</v>
      </c>
      <c r="I12" s="32">
        <v>4.05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57067</v>
      </c>
      <c r="H13" s="32">
        <v>1008.63</v>
      </c>
      <c r="I13" s="32">
        <v>3.92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200491</v>
      </c>
      <c r="H14" s="32">
        <v>989.22</v>
      </c>
      <c r="I14" s="32">
        <v>3.84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40703</v>
      </c>
      <c r="H15" s="32">
        <v>972.25</v>
      </c>
      <c r="I15" s="32">
        <v>3.78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60721</v>
      </c>
      <c r="H16" s="32">
        <v>892.57</v>
      </c>
      <c r="I16" s="32">
        <v>3.47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106959</v>
      </c>
      <c r="H17" s="32">
        <v>827.97</v>
      </c>
      <c r="I17" s="32">
        <v>3.22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54685</v>
      </c>
      <c r="H18" s="32">
        <v>796.71</v>
      </c>
      <c r="I18" s="32">
        <v>3.1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360459</v>
      </c>
      <c r="H19" s="32">
        <v>792.47</v>
      </c>
      <c r="I19" s="32">
        <v>3.08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32200</v>
      </c>
      <c r="H20" s="32">
        <v>762.71</v>
      </c>
      <c r="I20" s="32">
        <v>2.96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18</v>
      </c>
      <c r="G21" s="31">
        <v>42404</v>
      </c>
      <c r="H21" s="32">
        <v>744.06</v>
      </c>
      <c r="I21" s="32">
        <v>2.89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148240</v>
      </c>
      <c r="H22" s="32">
        <v>732.08</v>
      </c>
      <c r="I22" s="32">
        <v>2.85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180472</v>
      </c>
      <c r="H23" s="32">
        <v>728.11</v>
      </c>
      <c r="I23" s="32">
        <v>2.83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913655</v>
      </c>
      <c r="H24" s="32">
        <v>693.46</v>
      </c>
      <c r="I24" s="32">
        <v>2.69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34155</v>
      </c>
      <c r="H25" s="32">
        <v>688.46</v>
      </c>
      <c r="I25" s="32">
        <v>2.68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273139</v>
      </c>
      <c r="H26" s="32">
        <v>685.03</v>
      </c>
      <c r="I26" s="32">
        <v>2.66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39212</v>
      </c>
      <c r="H27" s="32">
        <v>674.41</v>
      </c>
      <c r="I27" s="32">
        <v>2.62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37</v>
      </c>
      <c r="G28" s="31">
        <v>19019</v>
      </c>
      <c r="H28" s="32">
        <v>624.03</v>
      </c>
      <c r="I28" s="32">
        <v>2.4300000000000002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64864</v>
      </c>
      <c r="H29" s="32">
        <v>593.38</v>
      </c>
      <c r="I29" s="32">
        <v>2.31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90</v>
      </c>
      <c r="G30" s="31">
        <v>56827</v>
      </c>
      <c r="H30" s="32">
        <v>568.07000000000005</v>
      </c>
      <c r="I30" s="32">
        <v>2.21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83</v>
      </c>
      <c r="G31" s="31">
        <v>25547</v>
      </c>
      <c r="H31" s="32">
        <v>546.28</v>
      </c>
      <c r="I31" s="32">
        <v>2.12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75</v>
      </c>
      <c r="G32" s="31">
        <v>323016</v>
      </c>
      <c r="H32" s="32">
        <v>524.9</v>
      </c>
      <c r="I32" s="32">
        <v>2.04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60195</v>
      </c>
      <c r="H33" s="32">
        <v>523.46</v>
      </c>
      <c r="I33" s="32">
        <v>2.0299999999999998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8611</v>
      </c>
      <c r="H34" s="32">
        <v>428.38</v>
      </c>
      <c r="I34" s="32">
        <v>1.66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48</v>
      </c>
      <c r="G35" s="31">
        <v>90241</v>
      </c>
      <c r="H35" s="32">
        <v>405.68</v>
      </c>
      <c r="I35" s="32">
        <v>1.58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63</v>
      </c>
      <c r="G36" s="31">
        <v>140941</v>
      </c>
      <c r="H36" s="32">
        <v>400.55</v>
      </c>
      <c r="I36" s="32">
        <v>1.56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83</v>
      </c>
      <c r="G37" s="31">
        <v>196326</v>
      </c>
      <c r="H37" s="32">
        <v>375.18</v>
      </c>
      <c r="I37" s="32">
        <v>1.46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19459</v>
      </c>
      <c r="H38" s="32">
        <v>373.81</v>
      </c>
      <c r="I38" s="32">
        <v>1.45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111503</v>
      </c>
      <c r="H39" s="32">
        <v>336.74</v>
      </c>
      <c r="I39" s="32">
        <v>1.31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40712</v>
      </c>
      <c r="H40" s="32">
        <v>328.06</v>
      </c>
      <c r="I40" s="32">
        <v>1.27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103</v>
      </c>
      <c r="G41" s="31">
        <v>23079</v>
      </c>
      <c r="H41" s="32">
        <v>326.27</v>
      </c>
      <c r="I41" s="32">
        <v>1.27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10523</v>
      </c>
      <c r="H42" s="32">
        <v>295.02999999999997</v>
      </c>
      <c r="I42" s="32">
        <v>1.1499999999999999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4443</v>
      </c>
      <c r="H43" s="32">
        <v>293.33</v>
      </c>
      <c r="I43" s="32">
        <v>1.1399999999999999</v>
      </c>
      <c r="J43" s="33"/>
    </row>
    <row r="44" spans="2:10">
      <c r="B44" s="1" t="s">
        <v>140</v>
      </c>
      <c r="C44" s="20" t="s">
        <v>141</v>
      </c>
      <c r="D44" s="29" t="s">
        <v>142</v>
      </c>
      <c r="E44" s="30"/>
      <c r="F44" s="30" t="s">
        <v>143</v>
      </c>
      <c r="G44" s="31">
        <v>53596</v>
      </c>
      <c r="H44" s="32">
        <v>285.8</v>
      </c>
      <c r="I44" s="32">
        <v>1.1100000000000001</v>
      </c>
      <c r="J44" s="33"/>
    </row>
    <row r="45" spans="2:10">
      <c r="B45" s="1" t="s">
        <v>144</v>
      </c>
      <c r="C45" s="20" t="s">
        <v>145</v>
      </c>
      <c r="D45" s="29" t="s">
        <v>146</v>
      </c>
      <c r="E45" s="30"/>
      <c r="F45" s="30" t="s">
        <v>18</v>
      </c>
      <c r="G45" s="31">
        <v>36243</v>
      </c>
      <c r="H45" s="32">
        <v>275.68</v>
      </c>
      <c r="I45" s="32">
        <v>1.07</v>
      </c>
      <c r="J45" s="33"/>
    </row>
    <row r="46" spans="2:10">
      <c r="B46" s="1" t="s">
        <v>147</v>
      </c>
      <c r="C46" s="20" t="s">
        <v>148</v>
      </c>
      <c r="D46" s="29" t="s">
        <v>149</v>
      </c>
      <c r="E46" s="30"/>
      <c r="F46" s="30" t="s">
        <v>143</v>
      </c>
      <c r="G46" s="31">
        <v>29823</v>
      </c>
      <c r="H46" s="32">
        <v>272.61</v>
      </c>
      <c r="I46" s="32">
        <v>1.06</v>
      </c>
      <c r="J46" s="33"/>
    </row>
    <row r="47" spans="2:10">
      <c r="B47" s="1" t="s">
        <v>150</v>
      </c>
      <c r="C47" s="20" t="s">
        <v>151</v>
      </c>
      <c r="D47" s="29" t="s">
        <v>152</v>
      </c>
      <c r="E47" s="30"/>
      <c r="F47" s="30" t="s">
        <v>63</v>
      </c>
      <c r="G47" s="31">
        <v>99114</v>
      </c>
      <c r="H47" s="32">
        <v>257</v>
      </c>
      <c r="I47" s="32">
        <v>1</v>
      </c>
      <c r="J47" s="33"/>
    </row>
    <row r="48" spans="2:10">
      <c r="B48" s="1" t="s">
        <v>153</v>
      </c>
      <c r="C48" s="20" t="s">
        <v>154</v>
      </c>
      <c r="D48" s="29" t="s">
        <v>155</v>
      </c>
      <c r="E48" s="30"/>
      <c r="F48" s="30" t="s">
        <v>103</v>
      </c>
      <c r="G48" s="31">
        <v>40865</v>
      </c>
      <c r="H48" s="32">
        <v>254.04</v>
      </c>
      <c r="I48" s="32">
        <v>0.99</v>
      </c>
      <c r="J48" s="33"/>
    </row>
    <row r="49" spans="2:10">
      <c r="B49" s="1" t="s">
        <v>156</v>
      </c>
      <c r="C49" s="20" t="s">
        <v>157</v>
      </c>
      <c r="D49" s="29" t="s">
        <v>158</v>
      </c>
      <c r="E49" s="30"/>
      <c r="F49" s="30" t="s">
        <v>18</v>
      </c>
      <c r="G49" s="31">
        <v>640246</v>
      </c>
      <c r="H49" s="32">
        <v>248.1</v>
      </c>
      <c r="I49" s="32">
        <v>0.96</v>
      </c>
      <c r="J49" s="33"/>
    </row>
    <row r="50" spans="2:10">
      <c r="B50" s="1" t="s">
        <v>159</v>
      </c>
      <c r="C50" s="20" t="s">
        <v>160</v>
      </c>
      <c r="D50" s="29" t="s">
        <v>161</v>
      </c>
      <c r="E50" s="30"/>
      <c r="F50" s="30" t="s">
        <v>37</v>
      </c>
      <c r="G50" s="31">
        <v>142422</v>
      </c>
      <c r="H50" s="32">
        <v>226.66</v>
      </c>
      <c r="I50" s="32">
        <v>0.88</v>
      </c>
      <c r="J50" s="33"/>
    </row>
    <row r="51" spans="2:10">
      <c r="B51" s="1" t="s">
        <v>162</v>
      </c>
      <c r="C51" s="20" t="s">
        <v>163</v>
      </c>
      <c r="D51" s="29" t="s">
        <v>164</v>
      </c>
      <c r="E51" s="30"/>
      <c r="F51" s="30" t="s">
        <v>26</v>
      </c>
      <c r="G51" s="31">
        <v>5300</v>
      </c>
      <c r="H51" s="32">
        <v>198.16</v>
      </c>
      <c r="I51" s="32">
        <v>0.77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18437</v>
      </c>
      <c r="H52" s="32">
        <v>139.27000000000001</v>
      </c>
      <c r="I52" s="32">
        <v>0.54</v>
      </c>
      <c r="J52" s="33"/>
    </row>
    <row r="53" spans="2:10">
      <c r="C53" s="28" t="s">
        <v>169</v>
      </c>
      <c r="D53" s="29"/>
      <c r="E53" s="30"/>
      <c r="F53" s="30"/>
      <c r="G53" s="31"/>
      <c r="H53" s="35">
        <v>24904.5</v>
      </c>
      <c r="I53" s="35">
        <v>96.78</v>
      </c>
      <c r="J53" s="33"/>
    </row>
    <row r="54" spans="2:10">
      <c r="C54" s="20"/>
      <c r="D54" s="29"/>
      <c r="E54" s="30"/>
      <c r="F54" s="30"/>
      <c r="G54" s="31"/>
      <c r="H54" s="32"/>
      <c r="I54" s="32"/>
      <c r="J54" s="33"/>
    </row>
    <row r="55" spans="2:10">
      <c r="C55" s="34" t="s">
        <v>170</v>
      </c>
      <c r="D55" s="29"/>
      <c r="E55" s="30"/>
      <c r="F55" s="30"/>
      <c r="G55" s="31"/>
      <c r="H55" s="32"/>
      <c r="I55" s="32"/>
      <c r="J55" s="33"/>
    </row>
    <row r="56" spans="2:10">
      <c r="B56" s="1" t="s">
        <v>171</v>
      </c>
      <c r="C56" s="20" t="s">
        <v>172</v>
      </c>
      <c r="D56" s="29" t="s">
        <v>173</v>
      </c>
      <c r="E56" s="30"/>
      <c r="F56" s="30" t="s">
        <v>56</v>
      </c>
      <c r="G56" s="31">
        <v>189983</v>
      </c>
      <c r="H56" s="36">
        <v>0</v>
      </c>
      <c r="I56" s="32" t="s">
        <v>174</v>
      </c>
      <c r="J56" s="33"/>
    </row>
    <row r="57" spans="2:10">
      <c r="C57" s="28" t="s">
        <v>169</v>
      </c>
      <c r="D57" s="29"/>
      <c r="E57" s="30"/>
      <c r="F57" s="30"/>
      <c r="G57" s="31"/>
      <c r="H57" s="37">
        <v>0</v>
      </c>
      <c r="I57" s="35" t="s">
        <v>174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175</v>
      </c>
      <c r="D59" s="29"/>
      <c r="E59" s="30"/>
      <c r="F59" s="30"/>
      <c r="G59" s="31"/>
      <c r="H59" s="32" t="s">
        <v>176</v>
      </c>
      <c r="I59" s="32" t="s">
        <v>176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177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178</v>
      </c>
      <c r="D63" s="29"/>
      <c r="E63" s="30"/>
      <c r="F63" s="30"/>
      <c r="G63" s="31"/>
      <c r="H63" s="32" t="s">
        <v>176</v>
      </c>
      <c r="I63" s="32" t="s">
        <v>176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179</v>
      </c>
      <c r="D65" s="29"/>
      <c r="E65" s="30"/>
      <c r="F65" s="30"/>
      <c r="G65" s="31"/>
      <c r="H65" s="32" t="s">
        <v>176</v>
      </c>
      <c r="I65" s="32" t="s">
        <v>176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180</v>
      </c>
      <c r="D67" s="29"/>
      <c r="E67" s="30"/>
      <c r="F67" s="30"/>
      <c r="G67" s="31"/>
      <c r="H67" s="32" t="s">
        <v>176</v>
      </c>
      <c r="I67" s="32" t="s">
        <v>176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181</v>
      </c>
      <c r="D69" s="29"/>
      <c r="E69" s="30"/>
      <c r="F69" s="30"/>
      <c r="G69" s="31"/>
      <c r="H69" s="32" t="s">
        <v>176</v>
      </c>
      <c r="I69" s="32" t="s">
        <v>176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182</v>
      </c>
      <c r="D71" s="29"/>
      <c r="E71" s="30"/>
      <c r="F71" s="30"/>
      <c r="G71" s="31"/>
      <c r="H71" s="32" t="s">
        <v>176</v>
      </c>
      <c r="I71" s="32" t="s">
        <v>176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183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184</v>
      </c>
      <c r="D75" s="29"/>
      <c r="E75" s="30"/>
      <c r="F75" s="30"/>
      <c r="G75" s="31"/>
      <c r="H75" s="32" t="s">
        <v>176</v>
      </c>
      <c r="I75" s="32" t="s">
        <v>176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185</v>
      </c>
      <c r="D77" s="29"/>
      <c r="E77" s="30"/>
      <c r="F77" s="30"/>
      <c r="G77" s="31"/>
      <c r="H77" s="32" t="s">
        <v>176</v>
      </c>
      <c r="I77" s="32" t="s">
        <v>176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186</v>
      </c>
      <c r="D79" s="29"/>
      <c r="E79" s="30"/>
      <c r="F79" s="30"/>
      <c r="G79" s="31"/>
      <c r="H79" s="32" t="s">
        <v>176</v>
      </c>
      <c r="I79" s="32" t="s">
        <v>176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187</v>
      </c>
      <c r="D81" s="29"/>
      <c r="E81" s="30"/>
      <c r="F81" s="30"/>
      <c r="G81" s="31"/>
      <c r="H81" s="32" t="s">
        <v>176</v>
      </c>
      <c r="I81" s="32" t="s">
        <v>176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188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189</v>
      </c>
      <c r="D85" s="29"/>
      <c r="E85" s="30"/>
      <c r="F85" s="30"/>
      <c r="G85" s="31"/>
      <c r="H85" s="32" t="s">
        <v>176</v>
      </c>
      <c r="I85" s="32" t="s">
        <v>176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190</v>
      </c>
      <c r="D87" s="29"/>
      <c r="E87" s="30"/>
      <c r="F87" s="30"/>
      <c r="G87" s="31"/>
      <c r="H87" s="32" t="s">
        <v>176</v>
      </c>
      <c r="I87" s="32" t="s">
        <v>176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191</v>
      </c>
      <c r="D89" s="29"/>
      <c r="E89" s="30"/>
      <c r="F89" s="30"/>
      <c r="G89" s="31"/>
      <c r="H89" s="32" t="s">
        <v>176</v>
      </c>
      <c r="I89" s="32" t="s">
        <v>176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192</v>
      </c>
      <c r="D91" s="29"/>
      <c r="E91" s="30"/>
      <c r="F91" s="30"/>
      <c r="G91" s="31"/>
      <c r="H91" s="32" t="s">
        <v>176</v>
      </c>
      <c r="I91" s="32" t="s">
        <v>176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193</v>
      </c>
      <c r="D93" s="29"/>
      <c r="E93" s="30"/>
      <c r="F93" s="30"/>
      <c r="G93" s="31"/>
      <c r="H93" s="32" t="s">
        <v>176</v>
      </c>
      <c r="I93" s="32" t="s">
        <v>176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194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195</v>
      </c>
      <c r="D96" s="29"/>
      <c r="E96" s="30"/>
      <c r="F96" s="30"/>
      <c r="G96" s="31"/>
      <c r="H96" s="32">
        <v>827.64</v>
      </c>
      <c r="I96" s="32">
        <v>3.22</v>
      </c>
      <c r="J96" s="33"/>
    </row>
    <row r="97" spans="3:10">
      <c r="C97" s="28" t="s">
        <v>169</v>
      </c>
      <c r="D97" s="29"/>
      <c r="E97" s="30"/>
      <c r="F97" s="30"/>
      <c r="G97" s="31"/>
      <c r="H97" s="35">
        <v>827.64</v>
      </c>
      <c r="I97" s="35">
        <v>3.22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8" thickBot="1">
      <c r="C99" s="38" t="s">
        <v>196</v>
      </c>
      <c r="D99" s="39"/>
      <c r="E99" s="40"/>
      <c r="F99" s="41"/>
      <c r="G99" s="42"/>
      <c r="H99" s="43">
        <v>25732.14</v>
      </c>
      <c r="I99" s="43">
        <f>SUMIFS(I:I,C:C,"Total")</f>
        <v>100</v>
      </c>
      <c r="J99" s="44"/>
    </row>
    <row r="102" spans="3:10">
      <c r="C102" s="11" t="s">
        <v>197</v>
      </c>
    </row>
    <row r="103" spans="3:10">
      <c r="C103" s="2" t="s">
        <v>198</v>
      </c>
    </row>
    <row r="104" spans="3:10">
      <c r="C104" s="2" t="s">
        <v>199</v>
      </c>
    </row>
    <row r="105" spans="3:10">
      <c r="C105" s="2" t="s">
        <v>200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20" sqref="A20"/>
    </sheetView>
  </sheetViews>
  <sheetFormatPr defaultRowHeight="14.4"/>
  <cols>
    <col min="1" max="1" width="44.33203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5" t="s">
        <v>201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202</v>
      </c>
      <c r="B5" s="48" t="s">
        <v>203</v>
      </c>
      <c r="C5" s="48"/>
      <c r="D5" s="48" t="s">
        <v>204</v>
      </c>
      <c r="E5" s="48"/>
      <c r="F5" s="48" t="s">
        <v>205</v>
      </c>
      <c r="G5" s="48"/>
      <c r="H5" s="48" t="s">
        <v>206</v>
      </c>
      <c r="I5" s="48"/>
    </row>
    <row r="6" spans="1:9" ht="66">
      <c r="A6" s="49"/>
      <c r="B6" s="50" t="s">
        <v>207</v>
      </c>
      <c r="C6" s="50" t="s">
        <v>208</v>
      </c>
      <c r="D6" s="50" t="s">
        <v>207</v>
      </c>
      <c r="E6" s="50" t="s">
        <v>208</v>
      </c>
      <c r="F6" s="50" t="s">
        <v>207</v>
      </c>
      <c r="G6" s="50" t="s">
        <v>208</v>
      </c>
      <c r="H6" s="50" t="s">
        <v>207</v>
      </c>
      <c r="I6" s="50" t="s">
        <v>208</v>
      </c>
    </row>
    <row r="7" spans="1:9">
      <c r="A7" s="51" t="s">
        <v>209</v>
      </c>
      <c r="B7" s="52">
        <v>21.193004871037303</v>
      </c>
      <c r="C7" s="52">
        <v>12119.300487103728</v>
      </c>
      <c r="D7" s="52">
        <v>10.315601316440581</v>
      </c>
      <c r="E7" s="52">
        <v>13435.729461756375</v>
      </c>
      <c r="F7" s="52">
        <v>8.3910170042671659</v>
      </c>
      <c r="G7" s="52">
        <v>14964.504042595148</v>
      </c>
      <c r="H7" s="52">
        <v>10.129155726145523</v>
      </c>
      <c r="I7" s="52">
        <v>151770</v>
      </c>
    </row>
    <row r="8" spans="1:9">
      <c r="A8" s="51" t="s">
        <v>210</v>
      </c>
      <c r="B8" s="52">
        <v>22.25948048456743</v>
      </c>
      <c r="C8" s="52">
        <v>12225.948048456743</v>
      </c>
      <c r="D8" s="52">
        <v>17.05795357912443</v>
      </c>
      <c r="E8" s="52">
        <v>16039.94158703231</v>
      </c>
      <c r="F8" s="52">
        <v>14.791784539187237</v>
      </c>
      <c r="G8" s="52">
        <v>19932.14496637007</v>
      </c>
      <c r="H8" s="52">
        <v>0</v>
      </c>
      <c r="I8" s="52">
        <v>0</v>
      </c>
    </row>
    <row r="9" spans="1:9">
      <c r="A9" s="51" t="s">
        <v>211</v>
      </c>
      <c r="B9" s="52">
        <v>20.260052895360261</v>
      </c>
      <c r="C9" s="52">
        <v>12026.005289536026</v>
      </c>
      <c r="D9" s="52">
        <v>15.823957466126238</v>
      </c>
      <c r="E9" s="52">
        <v>15538.002943957132</v>
      </c>
      <c r="F9" s="52">
        <v>15.141731736907404</v>
      </c>
      <c r="G9" s="52">
        <v>20237.822610221807</v>
      </c>
      <c r="H9" s="52">
        <v>10.942740279394858</v>
      </c>
      <c r="I9" s="52">
        <v>186711.41446363134</v>
      </c>
    </row>
    <row r="10" spans="1:9">
      <c r="A10" s="51" t="s">
        <v>212</v>
      </c>
      <c r="B10" s="53">
        <v>125.23</v>
      </c>
      <c r="C10" s="54"/>
      <c r="D10" s="53">
        <v>112.96</v>
      </c>
      <c r="E10" s="54"/>
      <c r="F10" s="53">
        <v>101.42</v>
      </c>
      <c r="G10" s="54"/>
      <c r="H10" s="53">
        <v>10</v>
      </c>
      <c r="I10" s="54"/>
    </row>
    <row r="12" spans="1:9" ht="15.6">
      <c r="A12" s="45" t="s">
        <v>213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202</v>
      </c>
      <c r="B13" s="48" t="s">
        <v>203</v>
      </c>
      <c r="C13" s="48"/>
      <c r="D13" s="48" t="s">
        <v>204</v>
      </c>
      <c r="E13" s="48"/>
      <c r="F13" s="48" t="s">
        <v>205</v>
      </c>
      <c r="G13" s="48"/>
      <c r="H13" s="48" t="s">
        <v>206</v>
      </c>
      <c r="I13" s="48"/>
    </row>
    <row r="14" spans="1:9" ht="66">
      <c r="A14" s="49"/>
      <c r="B14" s="50" t="s">
        <v>207</v>
      </c>
      <c r="C14" s="50" t="s">
        <v>208</v>
      </c>
      <c r="D14" s="50" t="s">
        <v>207</v>
      </c>
      <c r="E14" s="50" t="s">
        <v>208</v>
      </c>
      <c r="F14" s="50" t="s">
        <v>207</v>
      </c>
      <c r="G14" s="50" t="s">
        <v>208</v>
      </c>
      <c r="H14" s="50" t="s">
        <v>207</v>
      </c>
      <c r="I14" s="50" t="s">
        <v>208</v>
      </c>
    </row>
    <row r="15" spans="1:9">
      <c r="A15" s="51" t="s">
        <v>209</v>
      </c>
      <c r="B15" s="52">
        <v>21.246153846153849</v>
      </c>
      <c r="C15" s="52">
        <v>12124.615384615385</v>
      </c>
      <c r="D15" s="52">
        <v>10.410813035507704</v>
      </c>
      <c r="E15" s="52">
        <v>13470.64353474062</v>
      </c>
      <c r="F15" s="52">
        <v>8.5064233379253285</v>
      </c>
      <c r="G15" s="52">
        <v>15044.382934046005</v>
      </c>
      <c r="H15" s="52">
        <v>10.231410695002442</v>
      </c>
      <c r="I15" s="52">
        <v>24620.431115276479</v>
      </c>
    </row>
    <row r="16" spans="1:9">
      <c r="A16" s="51" t="s">
        <v>210</v>
      </c>
      <c r="B16" s="52">
        <v>22.25948048456743</v>
      </c>
      <c r="C16" s="52">
        <v>12225.948048456743</v>
      </c>
      <c r="D16" s="52">
        <v>17.05795357912443</v>
      </c>
      <c r="E16" s="52">
        <v>16039.94158703231</v>
      </c>
      <c r="F16" s="52">
        <v>14.791784539187237</v>
      </c>
      <c r="G16" s="52">
        <v>19932.14496637007</v>
      </c>
      <c r="H16" s="52">
        <v>14.479792107052969</v>
      </c>
      <c r="I16" s="52">
        <v>34930.232111590238</v>
      </c>
    </row>
    <row r="17" spans="1:9">
      <c r="A17" s="51" t="s">
        <v>211</v>
      </c>
      <c r="B17" s="52">
        <v>20.260052895360261</v>
      </c>
      <c r="C17" s="52">
        <v>12026.005289536026</v>
      </c>
      <c r="D17" s="52">
        <v>15.823957466126238</v>
      </c>
      <c r="E17" s="52">
        <v>15538.002943957132</v>
      </c>
      <c r="F17" s="52">
        <v>15.141731736907404</v>
      </c>
      <c r="G17" s="52">
        <v>20237.822610221807</v>
      </c>
      <c r="H17" s="52">
        <v>13.715098611242006</v>
      </c>
      <c r="I17" s="52">
        <v>32830.650832198364</v>
      </c>
    </row>
    <row r="18" spans="1:9">
      <c r="A18" s="51" t="s">
        <v>214</v>
      </c>
      <c r="B18" s="53">
        <v>130</v>
      </c>
      <c r="C18" s="54"/>
      <c r="D18" s="53">
        <v>117.01</v>
      </c>
      <c r="E18" s="54"/>
      <c r="F18" s="53">
        <v>104.77</v>
      </c>
      <c r="G18" s="54"/>
      <c r="H18" s="53">
        <v>64.02</v>
      </c>
      <c r="I18" s="54"/>
    </row>
    <row r="20" spans="1:9">
      <c r="A20" t="s">
        <v>215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2022-04-01T09:27:47Z</dcterms:created>
  <dcterms:modified xsi:type="dcterms:W3CDTF">2022-04-05T06:34:20Z</dcterms:modified>
</cp:coreProperties>
</file>