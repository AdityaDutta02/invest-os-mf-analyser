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Portfolio'!$C$8:$C$25</definedName>
    <definedName name="XDO_?FINAL_ISIN?1?">'TBFS - Risk-O-Meter &amp; Portfolio'!$D$10:$D$25</definedName>
    <definedName name="XDO_?FINAL_ISIN?2?">'TBFS - Risk-O-Meter &amp; Portfolio'!$D$10:$D$67</definedName>
    <definedName name="XDO_?FINAL_MV?1?">'TBFS - Risk-O-Meter &amp; Portfolio'!$H$10:$H$25</definedName>
    <definedName name="XDO_?FINAL_MV?2?">'TBFS - Risk-O-Meter &amp; Portfolio'!$H$10:$H$67</definedName>
    <definedName name="XDO_?FINAL_NAME?1?">'TBFS - Risk-O-Meter &amp; Portfolio'!$C$10:$C$25</definedName>
    <definedName name="XDO_?FINAL_NAME?2?">'TBFS - Risk-O-Meter &amp; Portfolio'!$C$10:$C$67</definedName>
    <definedName name="XDO_?FINAL_PER_NET?1?">'TBFS - Risk-O-Meter &amp; Portfolio'!$I$10:$I$25</definedName>
    <definedName name="XDO_?FINAL_PER_NET?2?">'TBFS - Risk-O-Meter &amp; Portfolio'!$I$10:$I$67</definedName>
    <definedName name="XDO_?FINAL_QUANTITE?1?">'TBFS - Risk-O-Meter &amp; Portfolio'!$G$10:$G$25</definedName>
    <definedName name="XDO_?FINAL_QUANTITE?2?">'TBFS - Risk-O-Meter &amp; Portfolio'!$G$10:$G$67</definedName>
    <definedName name="XDO_?IND_01?1?">'TBFS - Risk-O-Meter &amp; Portfolio'!$F$10:$F$25</definedName>
    <definedName name="XDO_?IND_01?2?">'TBFS - Risk-O-Meter &amp; Portfolio'!$F$10:$F$67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Portfolio'!$C$2:$C$25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Portfolio'!$B$10:$B$25</definedName>
    <definedName name="XDO_?NOVAL?2?">'TBFS - Risk-O-Meter &amp; Portfolio'!$B$10:$B$67</definedName>
    <definedName name="XDO_?NPTF?1?">'TBFS - Risk-O-Meter &amp; Portfolio'!$D$2:$D$25</definedName>
    <definedName name="XDO_?RATING?1?">'TBFS - Risk-O-Meter &amp; Portfolio'!$E$10:$E$25</definedName>
    <definedName name="XDO_?RATING?2?">'TBFS - Risk-O-Meter &amp; Portfolio'!$E$10:$E$67</definedName>
    <definedName name="XDO_?REMARKS?1?">'TBFS - Risk-O-Meter &amp; Portfolio'!$J$10:$J$25</definedName>
    <definedName name="XDO_?REMARKS?2?">'TBFS - Risk-O-Meter &amp; Portfolio'!$J$10:$J$67</definedName>
    <definedName name="XDO_?TITL?1?">'TBFS - Risk-O-Meter &amp; Portfolio'!$A$8:$A$25</definedName>
    <definedName name="XDO_GROUP_?G_2?1?">'TBFS - Risk-O-Meter &amp; Portfolio'!$2:$70</definedName>
    <definedName name="XDO_GROUP_?G_3?1?">'TBFS - Risk-O-Meter &amp; Portfolio'!$8:$69</definedName>
    <definedName name="XDO_GROUP_?G_4?1?">'TBFS - Risk-O-Meter &amp; Portfolio'!$B$10:$IV$25</definedName>
    <definedName name="XDO_GROUP_?G_4?2?">'TBFS - Risk-O-Meter &amp; Portfolio'!$B$67:$IV$67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/>
</calcChain>
</file>

<file path=xl/sharedStrings.xml><?xml version="1.0" encoding="utf-8"?>
<sst xmlns="http://schemas.openxmlformats.org/spreadsheetml/2006/main" count="175" uniqueCount="108">
  <si>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</si>
  <si>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</si>
  <si>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</si>
  <si>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</si>
  <si>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</si>
  <si>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</si>
  <si>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</si>
  <si>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</si>
  <si>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</si>
  <si>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</si>
  <si>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</si>
  <si>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</si>
  <si>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</si>
  <si>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</si>
  <si>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</si>
  <si>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</si>
  <si>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</si>
  <si>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</si>
  <si>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</si>
  <si>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</si>
  <si>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</si>
  <si>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</si>
  <si>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100104</t>
  </si>
  <si>
    <t>Kotak Mahindra Bank Ltd.</t>
  </si>
  <si>
    <t>INE237A01028</t>
  </si>
  <si>
    <t>100010</t>
  </si>
  <si>
    <t>State Bank of India</t>
  </si>
  <si>
    <t>INE062A01020</t>
  </si>
  <si>
    <t>100024</t>
  </si>
  <si>
    <t>Axis Bank Ltd.</t>
  </si>
  <si>
    <t>INE238A01034</t>
  </si>
  <si>
    <t>100112</t>
  </si>
  <si>
    <t>Punjab National Bank</t>
  </si>
  <si>
    <t>INE160A01022</t>
  </si>
  <si>
    <t>100399</t>
  </si>
  <si>
    <t>Cholamandalam Investment &amp; Finance Co. Ltd.</t>
  </si>
  <si>
    <t>INE121A01024</t>
  </si>
  <si>
    <t>Finance</t>
  </si>
  <si>
    <t>100325</t>
  </si>
  <si>
    <t>Bajaj Holdings &amp; Investment Ltd.</t>
  </si>
  <si>
    <t>INE118A01012</t>
  </si>
  <si>
    <t>100013</t>
  </si>
  <si>
    <t>IndusInd Bank Ltd.</t>
  </si>
  <si>
    <t>INE095A01012</t>
  </si>
  <si>
    <t>100148</t>
  </si>
  <si>
    <t>Motilal Oswal Financial Services Ltd.</t>
  </si>
  <si>
    <t>INE338I01027</t>
  </si>
  <si>
    <t>Capital Markets</t>
  </si>
  <si>
    <t>100067</t>
  </si>
  <si>
    <t>DCB Bank Ltd.</t>
  </si>
  <si>
    <t>INE503A01015</t>
  </si>
  <si>
    <t>100055</t>
  </si>
  <si>
    <t>The Federal Bank Ltd.</t>
  </si>
  <si>
    <t>INE171A01029</t>
  </si>
  <si>
    <t>100701</t>
  </si>
  <si>
    <t>Nippon Life India Asset Management Ltd.</t>
  </si>
  <si>
    <t>INE298J01013</t>
  </si>
  <si>
    <t>100042</t>
  </si>
  <si>
    <t>LIC Housing Finance Ltd.</t>
  </si>
  <si>
    <t>INE115A01026</t>
  </si>
  <si>
    <t>100665</t>
  </si>
  <si>
    <t>Aditya Birla Capital Ltd.</t>
  </si>
  <si>
    <t>INE674K01013</t>
  </si>
  <si>
    <t>100125</t>
  </si>
  <si>
    <t>Bajaj Finance Ltd.</t>
  </si>
  <si>
    <t>INE296A01024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</si>
  <si>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</si>
  <si>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</si>
  <si>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</si>
  <si>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</si>
  <si>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</si>
  <si>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</si>
  <si>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</si>
  <si>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</si>
  <si>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</si>
  <si>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</si>
  <si>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</si>
  <si>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</si>
  <si>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</si>
  <si>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</si>
  <si>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</si>
  <si>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</si>
  <si>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</si>
  <si>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</si>
  <si>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</si>
  <si>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</si>
  <si>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</si>
  <si>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</si>
  <si>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</si>
  <si>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</si>
  <si>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</si>
  <si>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</si>
  <si>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</si>
  <si>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</si>
  <si>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</si>
  <si>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</si>
  <si>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</si>
  <si>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</si>
  <si>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</si>
  <si>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</si>
  <si>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</si>
  <si>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</si>
  <si>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</si>
  <si>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</si>
  <si>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</si>
  <si>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May 31, 2023 : 40.35)</t>
  </si>
  <si>
    <t>Taurus Banking &amp; Financial Services Fund - Direct Plan Growth Option</t>
  </si>
  <si>
    <t>NAV [Rs.] Per Unit (as on May 31, 2023 : 44.37)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</si>
</sst>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banking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76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5.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45077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11000</v>
      </c>
      <c r="H10" s="32">
        <v>177.25</v>
      </c>
      <c r="I10" s="32">
        <v>18.64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159.34</v>
      </c>
      <c r="I11" s="32">
        <v>16.75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4700</v>
      </c>
      <c r="H12" s="32">
        <v>93.75</v>
      </c>
      <c r="I12" s="32">
        <v>9.86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15500</v>
      </c>
      <c r="H13" s="32">
        <v>89.99</v>
      </c>
      <c r="I13" s="32">
        <v>9.4600000000000009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9000</v>
      </c>
      <c r="H14" s="32">
        <v>82.32</v>
      </c>
      <c r="I14" s="32">
        <v>8.66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100000</v>
      </c>
      <c r="H15" s="32">
        <v>51.85</v>
      </c>
      <c r="I15" s="32">
        <v>5.45</v>
      </c>
      <c r="J15" s="33"/>
    </row>
    <row r="16" spans="1:54">
      <c r="B16" s="1" t="s">
        <v>34</v>
      </c>
      <c r="C16" s="20" t="s">
        <v>35</v>
      </c>
      <c r="D16" s="29" t="s">
        <v>36</v>
      </c>
      <c r="E16" s="30"/>
      <c r="F16" s="30" t="s">
        <v>37</v>
      </c>
      <c r="G16" s="31">
        <v>4500</v>
      </c>
      <c r="H16" s="32">
        <v>47.29</v>
      </c>
      <c r="I16" s="32">
        <v>4.97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37</v>
      </c>
      <c r="G17" s="31">
        <v>600</v>
      </c>
      <c r="H17" s="32">
        <v>43.77</v>
      </c>
      <c r="I17" s="32">
        <v>4.5999999999999996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18</v>
      </c>
      <c r="G18" s="31">
        <v>3250</v>
      </c>
      <c r="H18" s="32">
        <v>41.82</v>
      </c>
      <c r="I18" s="32">
        <v>4.4000000000000004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47</v>
      </c>
      <c r="G19" s="31">
        <v>6150</v>
      </c>
      <c r="H19" s="32">
        <v>39.14</v>
      </c>
      <c r="I19" s="32">
        <v>4.1100000000000003</v>
      </c>
      <c r="J19" s="33"/>
    </row>
    <row r="20" spans="2:10">
      <c r="B20" s="1" t="s">
        <v>48</v>
      </c>
      <c r="C20" s="20" t="s">
        <v>49</v>
      </c>
      <c r="D20" s="29" t="s">
        <v>50</v>
      </c>
      <c r="E20" s="30"/>
      <c r="F20" s="30" t="s">
        <v>18</v>
      </c>
      <c r="G20" s="31">
        <v>26000</v>
      </c>
      <c r="H20" s="32">
        <v>30.64</v>
      </c>
      <c r="I20" s="32">
        <v>3.22</v>
      </c>
      <c r="J20" s="33"/>
    </row>
    <row r="21" spans="2:10">
      <c r="B21" s="1" t="s">
        <v>51</v>
      </c>
      <c r="C21" s="20" t="s">
        <v>52</v>
      </c>
      <c r="D21" s="29" t="s">
        <v>53</v>
      </c>
      <c r="E21" s="30"/>
      <c r="F21" s="30" t="s">
        <v>18</v>
      </c>
      <c r="G21" s="31">
        <v>20000</v>
      </c>
      <c r="H21" s="32">
        <v>25.04</v>
      </c>
      <c r="I21" s="32">
        <v>2.63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47</v>
      </c>
      <c r="G22" s="31">
        <v>8000</v>
      </c>
      <c r="H22" s="32">
        <v>19.920000000000002</v>
      </c>
      <c r="I22" s="32">
        <v>2.09</v>
      </c>
      <c r="J22" s="33"/>
    </row>
    <row r="23" spans="2:10">
      <c r="B23" s="1" t="s">
        <v>57</v>
      </c>
      <c r="C23" s="20" t="s">
        <v>58</v>
      </c>
      <c r="D23" s="29" t="s">
        <v>59</v>
      </c>
      <c r="E23" s="30"/>
      <c r="F23" s="30" t="s">
        <v>37</v>
      </c>
      <c r="G23" s="31">
        <v>5000</v>
      </c>
      <c r="H23" s="32">
        <v>18.600000000000001</v>
      </c>
      <c r="I23" s="32">
        <v>1.96</v>
      </c>
      <c r="J23" s="33"/>
    </row>
    <row r="24" spans="2:10">
      <c r="B24" s="1" t="s">
        <v>60</v>
      </c>
      <c r="C24" s="20" t="s">
        <v>61</v>
      </c>
      <c r="D24" s="29" t="s">
        <v>62</v>
      </c>
      <c r="E24" s="30"/>
      <c r="F24" s="30" t="s">
        <v>37</v>
      </c>
      <c r="G24" s="31">
        <v>8000</v>
      </c>
      <c r="H24" s="32">
        <v>13.61</v>
      </c>
      <c r="I24" s="32">
        <v>1.43</v>
      </c>
      <c r="J24" s="33"/>
    </row>
    <row r="25" spans="2:10">
      <c r="B25" s="1" t="s">
        <v>63</v>
      </c>
      <c r="C25" s="20" t="s">
        <v>64</v>
      </c>
      <c r="D25" s="29" t="s">
        <v>65</v>
      </c>
      <c r="E25" s="30"/>
      <c r="F25" s="30" t="s">
        <v>37</v>
      </c>
      <c r="G25" s="31">
        <v>100</v>
      </c>
      <c r="H25" s="32">
        <v>6.99</v>
      </c>
      <c r="I25" s="32">
        <v>0.74</v>
      </c>
      <c r="J25" s="33"/>
    </row>
    <row r="26" spans="2:10">
      <c r="C26" s="28" t="s">
        <v>66</v>
      </c>
      <c r="D26" s="29"/>
      <c r="E26" s="30"/>
      <c r="F26" s="30"/>
      <c r="G26" s="31"/>
      <c r="H26" s="35">
        <v>941.32</v>
      </c>
      <c r="I26" s="35">
        <v>98.97</v>
      </c>
      <c r="J26" s="33"/>
    </row>
    <row r="27" spans="2:10">
      <c r="C27" s="20"/>
      <c r="D27" s="29"/>
      <c r="E27" s="30"/>
      <c r="F27" s="30"/>
      <c r="G27" s="31"/>
      <c r="H27" s="32"/>
      <c r="I27" s="32"/>
      <c r="J27" s="33"/>
    </row>
    <row r="28" spans="2:10">
      <c r="C28" s="28" t="s">
        <v>67</v>
      </c>
      <c r="D28" s="29"/>
      <c r="E28" s="30"/>
      <c r="F28" s="30"/>
      <c r="G28" s="31"/>
      <c r="H28" s="32" t="s">
        <v>68</v>
      </c>
      <c r="I28" s="32" t="s">
        <v>68</v>
      </c>
      <c r="J28" s="33"/>
    </row>
    <row r="29" spans="2:10">
      <c r="C29" s="20"/>
      <c r="D29" s="29"/>
      <c r="E29" s="30"/>
      <c r="F29" s="30"/>
      <c r="G29" s="31"/>
      <c r="H29" s="32"/>
      <c r="I29" s="32"/>
      <c r="J29" s="33"/>
    </row>
    <row r="30" spans="2:10">
      <c r="C30" s="28" t="s">
        <v>69</v>
      </c>
      <c r="D30" s="29"/>
      <c r="E30" s="30"/>
      <c r="F30" s="30"/>
      <c r="G30" s="31"/>
      <c r="H30" s="32" t="s">
        <v>68</v>
      </c>
      <c r="I30" s="32" t="s">
        <v>68</v>
      </c>
      <c r="J30" s="33"/>
    </row>
    <row r="31" spans="2:10">
      <c r="C31" s="20"/>
      <c r="D31" s="29"/>
      <c r="E31" s="30"/>
      <c r="F31" s="30"/>
      <c r="G31" s="31"/>
      <c r="H31" s="32"/>
      <c r="I31" s="32"/>
      <c r="J31" s="33"/>
    </row>
    <row r="32" spans="2:10">
      <c r="C32" s="28" t="s">
        <v>70</v>
      </c>
      <c r="D32" s="29"/>
      <c r="E32" s="30"/>
      <c r="F32" s="30"/>
      <c r="G32" s="31"/>
      <c r="H32" s="32"/>
      <c r="I32" s="32"/>
      <c r="J32" s="33"/>
    </row>
    <row r="33" spans="3:10">
      <c r="C33" s="20"/>
      <c r="D33" s="29"/>
      <c r="E33" s="30"/>
      <c r="F33" s="30"/>
      <c r="G33" s="31"/>
      <c r="H33" s="32"/>
      <c r="I33" s="32"/>
      <c r="J33" s="33"/>
    </row>
    <row r="34" spans="3:10">
      <c r="C34" s="28" t="s">
        <v>71</v>
      </c>
      <c r="D34" s="29"/>
      <c r="E34" s="30"/>
      <c r="F34" s="30"/>
      <c r="G34" s="31"/>
      <c r="H34" s="32" t="s">
        <v>68</v>
      </c>
      <c r="I34" s="32" t="s">
        <v>68</v>
      </c>
      <c r="J34" s="33"/>
    </row>
    <row r="35" spans="3:10">
      <c r="C35" s="20"/>
      <c r="D35" s="29"/>
      <c r="E35" s="30"/>
      <c r="F35" s="30"/>
      <c r="G35" s="31"/>
      <c r="H35" s="32"/>
      <c r="I35" s="32"/>
      <c r="J35" s="33"/>
    </row>
    <row r="36" spans="3:10">
      <c r="C36" s="28" t="s">
        <v>72</v>
      </c>
      <c r="D36" s="29"/>
      <c r="E36" s="30"/>
      <c r="F36" s="30"/>
      <c r="G36" s="31"/>
      <c r="H36" s="32" t="s">
        <v>68</v>
      </c>
      <c r="I36" s="32" t="s">
        <v>68</v>
      </c>
      <c r="J36" s="33"/>
    </row>
    <row r="37" spans="3:10">
      <c r="C37" s="20"/>
      <c r="D37" s="29"/>
      <c r="E37" s="30"/>
      <c r="F37" s="30"/>
      <c r="G37" s="31"/>
      <c r="H37" s="32"/>
      <c r="I37" s="32"/>
      <c r="J37" s="33"/>
    </row>
    <row r="38" spans="3:10">
      <c r="C38" s="28" t="s">
        <v>73</v>
      </c>
      <c r="D38" s="29"/>
      <c r="E38" s="30"/>
      <c r="F38" s="30"/>
      <c r="G38" s="31"/>
      <c r="H38" s="32" t="s">
        <v>68</v>
      </c>
      <c r="I38" s="32" t="s">
        <v>68</v>
      </c>
      <c r="J38" s="33"/>
    </row>
    <row r="39" spans="3:10">
      <c r="C39" s="20"/>
      <c r="D39" s="29"/>
      <c r="E39" s="30"/>
      <c r="F39" s="30"/>
      <c r="G39" s="31"/>
      <c r="H39" s="32"/>
      <c r="I39" s="32"/>
      <c r="J39" s="33"/>
    </row>
    <row r="40" spans="3:10">
      <c r="C40" s="28" t="s">
        <v>74</v>
      </c>
      <c r="D40" s="29"/>
      <c r="E40" s="30"/>
      <c r="F40" s="30"/>
      <c r="G40" s="31"/>
      <c r="H40" s="32" t="s">
        <v>68</v>
      </c>
      <c r="I40" s="32" t="s">
        <v>68</v>
      </c>
      <c r="J40" s="33"/>
    </row>
    <row r="41" spans="3:10">
      <c r="C41" s="20"/>
      <c r="D41" s="29"/>
      <c r="E41" s="30"/>
      <c r="F41" s="30"/>
      <c r="G41" s="31"/>
      <c r="H41" s="32"/>
      <c r="I41" s="32"/>
      <c r="J41" s="33"/>
    </row>
    <row r="42" spans="3:10">
      <c r="C42" s="28" t="s">
        <v>75</v>
      </c>
      <c r="D42" s="29"/>
      <c r="E42" s="30"/>
      <c r="F42" s="30"/>
      <c r="G42" s="31"/>
      <c r="H42" s="32" t="s">
        <v>68</v>
      </c>
      <c r="I42" s="32" t="s">
        <v>68</v>
      </c>
      <c r="J42" s="33"/>
    </row>
    <row r="43" spans="3:10">
      <c r="C43" s="20"/>
      <c r="D43" s="29"/>
      <c r="E43" s="30"/>
      <c r="F43" s="30"/>
      <c r="G43" s="31"/>
      <c r="H43" s="32"/>
      <c r="I43" s="32"/>
      <c r="J43" s="33"/>
    </row>
    <row r="44" spans="3:10">
      <c r="C44" s="28" t="s">
        <v>76</v>
      </c>
      <c r="D44" s="29"/>
      <c r="E44" s="30"/>
      <c r="F44" s="30"/>
      <c r="G44" s="31"/>
      <c r="H44" s="32"/>
      <c r="I44" s="32"/>
      <c r="J44" s="33"/>
    </row>
    <row r="45" spans="3:10">
      <c r="C45" s="20"/>
      <c r="D45" s="29"/>
      <c r="E45" s="30"/>
      <c r="F45" s="30"/>
      <c r="G45" s="31"/>
      <c r="H45" s="32"/>
      <c r="I45" s="32"/>
      <c r="J45" s="33"/>
    </row>
    <row r="46" spans="3:10">
      <c r="C46" s="28" t="s">
        <v>77</v>
      </c>
      <c r="D46" s="29"/>
      <c r="E46" s="30"/>
      <c r="F46" s="30"/>
      <c r="G46" s="31"/>
      <c r="H46" s="32" t="s">
        <v>68</v>
      </c>
      <c r="I46" s="32" t="s">
        <v>68</v>
      </c>
      <c r="J46" s="33"/>
    </row>
    <row r="47" spans="3:10">
      <c r="C47" s="20"/>
      <c r="D47" s="29"/>
      <c r="E47" s="30"/>
      <c r="F47" s="30"/>
      <c r="G47" s="31"/>
      <c r="H47" s="32"/>
      <c r="I47" s="32"/>
      <c r="J47" s="33"/>
    </row>
    <row r="48" spans="3:10">
      <c r="C48" s="28" t="s">
        <v>78</v>
      </c>
      <c r="D48" s="29"/>
      <c r="E48" s="30"/>
      <c r="F48" s="30"/>
      <c r="G48" s="31"/>
      <c r="H48" s="32" t="s">
        <v>68</v>
      </c>
      <c r="I48" s="32" t="s">
        <v>68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79</v>
      </c>
      <c r="D50" s="29"/>
      <c r="E50" s="30"/>
      <c r="F50" s="30"/>
      <c r="G50" s="31"/>
      <c r="H50" s="32" t="s">
        <v>68</v>
      </c>
      <c r="I50" s="32" t="s">
        <v>68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80</v>
      </c>
      <c r="D52" s="29"/>
      <c r="E52" s="30"/>
      <c r="F52" s="30"/>
      <c r="G52" s="31"/>
      <c r="H52" s="32" t="s">
        <v>68</v>
      </c>
      <c r="I52" s="32" t="s">
        <v>68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81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82</v>
      </c>
      <c r="D56" s="29"/>
      <c r="E56" s="30"/>
      <c r="F56" s="30"/>
      <c r="G56" s="31"/>
      <c r="H56" s="32" t="s">
        <v>68</v>
      </c>
      <c r="I56" s="32" t="s">
        <v>68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83</v>
      </c>
      <c r="D58" s="29"/>
      <c r="E58" s="30"/>
      <c r="F58" s="30"/>
      <c r="G58" s="31"/>
      <c r="H58" s="32" t="s">
        <v>68</v>
      </c>
      <c r="I58" s="32" t="s">
        <v>68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84</v>
      </c>
      <c r="D60" s="29"/>
      <c r="E60" s="30"/>
      <c r="F60" s="30"/>
      <c r="G60" s="31"/>
      <c r="H60" s="32" t="s">
        <v>68</v>
      </c>
      <c r="I60" s="32" t="s">
        <v>68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85</v>
      </c>
      <c r="D62" s="29"/>
      <c r="E62" s="30"/>
      <c r="F62" s="30"/>
      <c r="G62" s="31"/>
      <c r="H62" s="32" t="s">
        <v>68</v>
      </c>
      <c r="I62" s="32" t="s">
        <v>68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86</v>
      </c>
      <c r="D64" s="29"/>
      <c r="E64" s="30"/>
      <c r="F64" s="30"/>
      <c r="G64" s="31"/>
      <c r="H64" s="32" t="s">
        <v>68</v>
      </c>
      <c r="I64" s="32" t="s">
        <v>68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A66" s="26"/>
      <c r="B66" s="27"/>
      <c r="C66" s="28" t="s">
        <v>87</v>
      </c>
      <c r="D66" s="29"/>
      <c r="E66" s="30"/>
      <c r="F66" s="30"/>
      <c r="G66" s="31"/>
      <c r="H66" s="32"/>
      <c r="I66" s="32"/>
      <c r="J66" s="33"/>
    </row>
    <row r="67" spans="1:10">
      <c r="B67" s="1"/>
      <c r="C67" s="20" t="s">
        <v>88</v>
      </c>
      <c r="D67" s="29"/>
      <c r="E67" s="30"/>
      <c r="F67" s="30"/>
      <c r="G67" s="31"/>
      <c r="H67" s="32">
        <v>9.73</v>
      </c>
      <c r="I67" s="32">
        <v>1.03</v>
      </c>
      <c r="J67" s="33"/>
    </row>
    <row r="68" spans="1:10">
      <c r="C68" s="28" t="s">
        <v>66</v>
      </c>
      <c r="D68" s="29"/>
      <c r="E68" s="30"/>
      <c r="F68" s="30"/>
      <c r="G68" s="31"/>
      <c r="H68" s="35">
        <v>9.73</v>
      </c>
      <c r="I68" s="35">
        <v>1.03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 ht="13.5" thickBot="1">
      <c r="C70" s="36" t="s">
        <v>89</v>
      </c>
      <c r="D70" s="37"/>
      <c r="E70" s="38"/>
      <c r="F70" s="39"/>
      <c r="G70" s="40"/>
      <c r="H70" s="41">
        <v>951.05</v>
      </c>
      <c r="I70" s="41">
        <f>SUMIFS(I:I,C:C,"Total")</f>
        <v>100</v>
      </c>
      <c r="J70" s="42"/>
    </row>
    <row r="73" spans="1:10">
      <c r="C73" s="11" t="s">
        <v>90</v>
      </c>
    </row>
    <row r="74" spans="1:10">
      <c r="C74" s="2" t="s">
        <v>91</v>
      </c>
    </row>
    <row r="75" spans="1:10">
      <c r="C75" s="2" t="s">
        <v>92</v>
      </c>
    </row>
    <row r="76" spans="1:10">
      <c r="C76" s="2" t="s">
        <v>93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5703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94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95</v>
      </c>
      <c r="C5" s="46" t="s">
        <v>96</v>
      </c>
      <c r="D5" s="46"/>
      <c r="E5" s="46" t="s">
        <v>97</v>
      </c>
      <c r="F5" s="46"/>
      <c r="G5" s="46" t="s">
        <v>98</v>
      </c>
      <c r="H5" s="46"/>
      <c r="I5" s="46" t="s">
        <v>99</v>
      </c>
      <c r="J5" s="46"/>
    </row>
    <row r="6" spans="2:10" ht="63.75">
      <c r="B6" s="47"/>
      <c r="C6" s="48" t="s">
        <v>100</v>
      </c>
      <c r="D6" s="48" t="s">
        <v>101</v>
      </c>
      <c r="E6" s="48" t="s">
        <v>100</v>
      </c>
      <c r="F6" s="48" t="s">
        <v>101</v>
      </c>
      <c r="G6" s="48" t="s">
        <v>100</v>
      </c>
      <c r="H6" s="48" t="s">
        <v>101</v>
      </c>
      <c r="I6" s="48" t="s">
        <v>100</v>
      </c>
      <c r="J6" s="48" t="s">
        <v>101</v>
      </c>
    </row>
    <row r="7" spans="2:10">
      <c r="B7" s="49" t="s">
        <v>102</v>
      </c>
      <c r="C7" s="50">
        <v>24.806681101144456</v>
      </c>
      <c r="D7" s="50">
        <v>12480.668110114446</v>
      </c>
      <c r="E7" s="50">
        <v>27.394841210797715</v>
      </c>
      <c r="F7" s="50">
        <v>20702.924576706002</v>
      </c>
      <c r="G7" s="50">
        <v>11.260336158586792</v>
      </c>
      <c r="H7" s="50">
        <v>17054.099746407439</v>
      </c>
      <c r="I7" s="50">
        <v>13.4782326021176</v>
      </c>
      <c r="J7" s="50">
        <v>40350</v>
      </c>
    </row>
    <row r="8" spans="2:10">
      <c r="B8" s="49" t="s">
        <v>103</v>
      </c>
      <c r="C8" s="50">
        <v>23.212844519779274</v>
      </c>
      <c r="D8" s="50">
        <v>12321.284451977928</v>
      </c>
      <c r="E8" s="50">
        <v>31.83865030891997</v>
      </c>
      <c r="F8" s="50">
        <v>22915.442341015649</v>
      </c>
      <c r="G8" s="50">
        <v>11.222506995265613</v>
      </c>
      <c r="H8" s="50">
        <v>17020.150657825303</v>
      </c>
      <c r="I8" s="50">
        <v>15.970710080849649</v>
      </c>
      <c r="J8" s="50">
        <v>51259.072532588129</v>
      </c>
    </row>
    <row r="9" spans="2:10">
      <c r="B9" s="49" t="s">
        <v>104</v>
      </c>
      <c r="C9" s="50">
        <v>12.936501642450771</v>
      </c>
      <c r="D9" s="50">
        <v>11293.650164245077</v>
      </c>
      <c r="E9" s="50">
        <v>26.017411031737048</v>
      </c>
      <c r="F9" s="50">
        <v>20012.053672132919</v>
      </c>
      <c r="G9" s="50">
        <v>12.893398277148327</v>
      </c>
      <c r="H9" s="50">
        <v>18337.609960208683</v>
      </c>
      <c r="I9" s="50">
        <v>14.328019956349003</v>
      </c>
      <c r="J9" s="50">
        <v>43795.758150820955</v>
      </c>
    </row>
    <row r="10" spans="2:10">
      <c r="B10" s="49" t="s">
        <v>105</v>
      </c>
      <c r="C10" s="51">
        <v>32.33</v>
      </c>
      <c r="D10" s="52"/>
      <c r="E10" s="51">
        <v>19.489999999999998</v>
      </c>
      <c r="F10" s="52"/>
      <c r="G10" s="51">
        <v>23.66</v>
      </c>
      <c r="H10" s="52"/>
      <c r="I10" s="51">
        <v>10</v>
      </c>
      <c r="J10" s="52"/>
    </row>
    <row r="12" spans="2:10" ht="15.75">
      <c r="B12" s="43" t="s">
        <v>106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95</v>
      </c>
      <c r="C13" s="46" t="s">
        <v>96</v>
      </c>
      <c r="D13" s="46"/>
      <c r="E13" s="46" t="s">
        <v>97</v>
      </c>
      <c r="F13" s="46"/>
      <c r="G13" s="46" t="s">
        <v>98</v>
      </c>
      <c r="H13" s="46"/>
      <c r="I13" s="46" t="s">
        <v>99</v>
      </c>
      <c r="J13" s="46"/>
    </row>
    <row r="14" spans="2:10" ht="63.75">
      <c r="B14" s="47"/>
      <c r="C14" s="48" t="s">
        <v>100</v>
      </c>
      <c r="D14" s="48" t="s">
        <v>101</v>
      </c>
      <c r="E14" s="48" t="s">
        <v>100</v>
      </c>
      <c r="F14" s="48" t="s">
        <v>101</v>
      </c>
      <c r="G14" s="48" t="s">
        <v>100</v>
      </c>
      <c r="H14" s="48" t="s">
        <v>101</v>
      </c>
      <c r="I14" s="48" t="s">
        <v>100</v>
      </c>
      <c r="J14" s="48" t="s">
        <v>101</v>
      </c>
    </row>
    <row r="15" spans="2:10">
      <c r="B15" s="49" t="s">
        <v>102</v>
      </c>
      <c r="C15" s="50">
        <v>25.80096399206122</v>
      </c>
      <c r="D15" s="50">
        <v>12580.096399206122</v>
      </c>
      <c r="E15" s="50">
        <v>28.402975986191237</v>
      </c>
      <c r="F15" s="50">
        <v>21199.235547061631</v>
      </c>
      <c r="G15" s="50">
        <v>12.132930860276625</v>
      </c>
      <c r="H15" s="50">
        <v>17733.812949640287</v>
      </c>
      <c r="I15" s="50">
        <v>11.985516755915171</v>
      </c>
      <c r="J15" s="50">
        <v>32505.494505494506</v>
      </c>
    </row>
    <row r="16" spans="2:10">
      <c r="B16" s="49" t="s">
        <v>103</v>
      </c>
      <c r="C16" s="50">
        <v>23.212844519779274</v>
      </c>
      <c r="D16" s="50">
        <v>12321.284451977928</v>
      </c>
      <c r="E16" s="50">
        <v>31.83865030891997</v>
      </c>
      <c r="F16" s="50">
        <v>22915.442341015649</v>
      </c>
      <c r="G16" s="50">
        <v>11.222506995265613</v>
      </c>
      <c r="H16" s="50">
        <v>17020.150657825303</v>
      </c>
      <c r="I16" s="50">
        <v>13.298867272494363</v>
      </c>
      <c r="J16" s="50">
        <v>36701.914789878836</v>
      </c>
    </row>
    <row r="17" spans="2:10">
      <c r="B17" s="49" t="s">
        <v>104</v>
      </c>
      <c r="C17" s="50">
        <v>12.936501642450771</v>
      </c>
      <c r="D17" s="50">
        <v>11293.650164245077</v>
      </c>
      <c r="E17" s="50">
        <v>26.017411031737048</v>
      </c>
      <c r="F17" s="50">
        <v>20012.053672132919</v>
      </c>
      <c r="G17" s="50">
        <v>12.893398277148327</v>
      </c>
      <c r="H17" s="50">
        <v>18337.609960208683</v>
      </c>
      <c r="I17" s="50">
        <v>12.819021137379071</v>
      </c>
      <c r="J17" s="50">
        <v>35115.08871746419</v>
      </c>
    </row>
    <row r="18" spans="2:10">
      <c r="B18" s="49" t="s">
        <v>107</v>
      </c>
      <c r="C18" s="51">
        <v>35.270000000000003</v>
      </c>
      <c r="D18" s="52"/>
      <c r="E18" s="51">
        <v>20.93</v>
      </c>
      <c r="F18" s="52"/>
      <c r="G18" s="51">
        <v>25.02</v>
      </c>
      <c r="H18" s="52"/>
      <c r="I18" s="51">
        <v>13.65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2023-06-02T17:10:20Z</dcterms:created>
  <dcterms:modified xsi:type="dcterms:W3CDTF">2023-06-07T10:38:34Z</dcterms:modified>
</cp:coreProperties>
</file>