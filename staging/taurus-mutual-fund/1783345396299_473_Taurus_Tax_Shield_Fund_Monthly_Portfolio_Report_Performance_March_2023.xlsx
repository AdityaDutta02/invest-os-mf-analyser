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TS-Risk-O-Meter &amp; Portfolio" sheetId="9" r:id="rId1"/>
    <sheet name="TTS 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'TTS-Risk-O-Meter &amp; Portfolio'!$C$8:$C$39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'TTS-Risk-O-Meter &amp; Portfolio'!$D$10:$D$39</definedName>
    <definedName name="XDO_?FINAL_ISIN?16?">'TTS-Risk-O-Meter &amp; Portfolio'!$D$10:$D$81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'TTS-Risk-O-Meter &amp; Portfolio'!$H$10:$H$39</definedName>
    <definedName name="XDO_?FINAL_MV?16?">'TTS-Risk-O-Meter &amp; Portfolio'!$H$10:$H$81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'TTS-Risk-O-Meter &amp; Portfolio'!$C$10:$C$39</definedName>
    <definedName name="XDO_?FINAL_NAME?16?">'TTS-Risk-O-Meter &amp; Portfolio'!$C$10:$C$81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'TTS-Risk-O-Meter &amp; Portfolio'!$I$10:$I$39</definedName>
    <definedName name="XDO_?FINAL_PER_NET?16?">'TTS-Risk-O-Meter &amp; Portfolio'!$I$10:$I$81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'TTS-Risk-O-Meter &amp; Portfolio'!$G$10:$G$39</definedName>
    <definedName name="XDO_?FINAL_QUANTITE?16?">'TTS-Risk-O-Meter &amp; Portfolio'!$G$10:$G$81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'TTS-Risk-O-Meter &amp; Portfolio'!$F$10:$F$39</definedName>
    <definedName name="XDO_?IND_01?16?">'TTS-Risk-O-Meter &amp; Portfolio'!$F$10:$F$81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'TTS-Risk-O-Meter &amp; Portfolio'!#REF!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'TTS-Risk-O-Meter &amp; Portfolio'!$C$2:$C$39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'TTS-Risk-O-Meter &amp; Portfolio'!#REF!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'TTS-Risk-O-Meter &amp; Portfolio'!#REF!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'TTS-Risk-O-Meter &amp; Portfolio'!$B$10:$B$39</definedName>
    <definedName name="XDO_?NOVAL?16?">'TTS-Risk-O-Meter &amp; Portfolio'!$B$10:$B$81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'TTS-Risk-O-Meter &amp; Portfolio'!$D$2:$D$39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'TTS-Risk-O-Meter &amp; Portfolio'!$E$10:$E$39</definedName>
    <definedName name="XDO_?RATING?16?">'TTS-Risk-O-Meter &amp; Portfolio'!$E$10:$E$81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'TTS-Risk-O-Meter &amp; Portfolio'!$J$10:$J$39</definedName>
    <definedName name="XDO_?REMARKS?16?">'TTS-Risk-O-Meter &amp; Portfolio'!$J$10:$J$81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'TTS-Risk-O-Meter &amp; Portfolio'!$A$8:$A$39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'TTS-Risk-O-Meter &amp; Portfolio'!$2:$84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'TTS-Risk-O-Meter &amp; Portfolio'!$8:$83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'TTS-Risk-O-Meter &amp; Portfolio'!$B$10:$IV$39</definedName>
    <definedName name="XDO_GROUP_?G_4?16?">'TTS-Risk-O-Meter &amp; Portfolio'!$B$81:$IV$81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84" i="9"/>
</calcChain>
</file>

<file path=xl/sharedStrings.xml><?xml version="1.0" encoding="utf-8"?>
<sst xmlns="http://schemas.openxmlformats.org/spreadsheetml/2006/main" count="232" uniqueCount="164">
  <si>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</si>
  <si>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</si>
  <si>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</si>
  <si>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</si>
  <si>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</si>
  <si>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</si>
  <si>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</si>
  <si>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</si>
  <si>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</si>
  <si>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</si>
  <si>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</si>
  <si>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</si>
  <si>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</si>
  <si>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</si>
  <si>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</si>
  <si>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</si>
  <si>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</si>
  <si>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</si>
  <si>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</si>
  <si>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</si>
  <si>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</si>
  <si>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</si>
  <si>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</si>
  <si>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</si>
  <si>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</si>
  <si>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</si>
  <si>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</si>
  <si>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</si>
  <si>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</si>
  <si>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</si>
  <si>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</si>
  <si>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</si>
  <si>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</si>
  <si>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</si>
  <si>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Electrical Equipment</t>
  </si>
  <si>
    <t>100012</t>
  </si>
  <si>
    <t>ICICI Bank Ltd.</t>
  </si>
  <si>
    <t>INE090A01021</t>
  </si>
  <si>
    <t>Banks</t>
  </si>
  <si>
    <t>Transport Infrastructure</t>
  </si>
  <si>
    <t>Fertilizers &amp; Agrochemicals</t>
  </si>
  <si>
    <t>100080</t>
  </si>
  <si>
    <t>Dr. Reddy's Laboratories Ltd.</t>
  </si>
  <si>
    <t>INE089A01023</t>
  </si>
  <si>
    <t>Pharmaceuticals &amp; Biotechnology</t>
  </si>
  <si>
    <t>100024</t>
  </si>
  <si>
    <t>Axis Bank Ltd.</t>
  </si>
  <si>
    <t>INE238A01034</t>
  </si>
  <si>
    <t>Diversified FMCG</t>
  </si>
  <si>
    <t>Cement &amp; Cement Products</t>
  </si>
  <si>
    <t>100172</t>
  </si>
  <si>
    <t>ACC Ltd.</t>
  </si>
  <si>
    <t>INE012A01025</t>
  </si>
  <si>
    <t>100003</t>
  </si>
  <si>
    <t>Infosys Ltd.</t>
  </si>
  <si>
    <t>INE009A01021</t>
  </si>
  <si>
    <t>IT - Software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</si>
  <si>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</si>
  <si>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</si>
  <si>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</si>
  <si>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</si>
  <si>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</si>
  <si>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</si>
  <si>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</si>
  <si>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Finance</t>
  </si>
  <si>
    <t>100148</t>
  </si>
  <si>
    <t>Motilal Oswal Financial Services Ltd.</t>
  </si>
  <si>
    <t>INE338I01027</t>
  </si>
  <si>
    <t>Capital Markets</t>
  </si>
  <si>
    <t>100325</t>
  </si>
  <si>
    <t>Bajaj Holdings &amp; Investment Ltd.</t>
  </si>
  <si>
    <t>INE118A01012</t>
  </si>
  <si>
    <t>Textiles &amp; Apparels</t>
  </si>
  <si>
    <t>100271</t>
  </si>
  <si>
    <t>Balkrishna Industries Ltd.</t>
  </si>
  <si>
    <t>INE787D01026</t>
  </si>
  <si>
    <t>Auto Components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</si>
  <si>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</si>
  <si>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</si>
  <si>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</si>
  <si>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</si>
  <si>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</si>
  <si>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</si>
  <si>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100147</t>
  </si>
  <si>
    <t>Tech Mahindra Ltd.</t>
  </si>
  <si>
    <t>INE669C01036</t>
  </si>
  <si>
    <t>100474</t>
  </si>
  <si>
    <t>Narayana Hrudayalaya Ltd.</t>
  </si>
  <si>
    <t>INE410P01011</t>
  </si>
  <si>
    <t>Healthcare Services</t>
  </si>
  <si>
    <t>100153</t>
  </si>
  <si>
    <t>Cipla Ltd.</t>
  </si>
  <si>
    <t>INE059A01026</t>
  </si>
  <si>
    <t>100155</t>
  </si>
  <si>
    <t>Divi's Laboratories Ltd.</t>
  </si>
  <si>
    <t>INE361B01024</t>
  </si>
  <si>
    <t>100747</t>
  </si>
  <si>
    <t>Mahindra Logistics Ltd.</t>
  </si>
  <si>
    <t>INE766P01016</t>
  </si>
  <si>
    <t>Transport Services</t>
  </si>
  <si>
    <t>100096</t>
  </si>
  <si>
    <t>Container Corporation of India Ltd.</t>
  </si>
  <si>
    <t>INE111A01025</t>
  </si>
  <si>
    <t>100001</t>
  </si>
  <si>
    <t>Housing Development Finance Corporation Ltd.</t>
  </si>
  <si>
    <t>INE001A01036</t>
  </si>
  <si>
    <t>100019</t>
  </si>
  <si>
    <t>ITC Ltd.</t>
  </si>
  <si>
    <t>INE154A01025</t>
  </si>
  <si>
    <t>100097</t>
  </si>
  <si>
    <t>Coal India Ltd.</t>
  </si>
  <si>
    <t>INE522F01014</t>
  </si>
  <si>
    <t>Consumable Fuels</t>
  </si>
  <si>
    <t>TTS</t>
  </si>
  <si>
    <t>Taurus Tax Shield</t>
  </si>
  <si>
    <t>100045</t>
  </si>
  <si>
    <t>Gujarat Pipavav Port Ltd.</t>
  </si>
  <si>
    <t>INE517F01014</t>
  </si>
  <si>
    <t>101181</t>
  </si>
  <si>
    <t>UTI Asset Management Co. Ltd.</t>
  </si>
  <si>
    <t>INE094J01016</t>
  </si>
  <si>
    <t>100061</t>
  </si>
  <si>
    <t>KEC International Ltd.</t>
  </si>
  <si>
    <t>INE389H01022</t>
  </si>
  <si>
    <t>100035</t>
  </si>
  <si>
    <t>NMDC Ltd.</t>
  </si>
  <si>
    <t>INE584A01023</t>
  </si>
  <si>
    <t>Minerals &amp; Mining</t>
  </si>
  <si>
    <t>100440</t>
  </si>
  <si>
    <t>Birla Corporation Ltd.</t>
  </si>
  <si>
    <t>INE340A01012</t>
  </si>
  <si>
    <t>101469</t>
  </si>
  <si>
    <t>Equitas Small Finance Bank Ltd.</t>
  </si>
  <si>
    <t>INE063P01018</t>
  </si>
  <si>
    <t>100410</t>
  </si>
  <si>
    <t>Healthcare Global Enterprises Ltd.</t>
  </si>
  <si>
    <t>INE075I01017</t>
  </si>
  <si>
    <t>100401</t>
  </si>
  <si>
    <t>Jamna Auto Industries Ltd.</t>
  </si>
  <si>
    <t>INE039C01032</t>
  </si>
  <si>
    <t>100253</t>
  </si>
  <si>
    <t>Amara Raja Batteries Ltd.</t>
  </si>
  <si>
    <t>INE885A01032</t>
  </si>
  <si>
    <t>100165</t>
  </si>
  <si>
    <t>Rallis India Ltd.</t>
  </si>
  <si>
    <t>INE613A01020</t>
  </si>
  <si>
    <t>100342</t>
  </si>
  <si>
    <t>Vardhman Textiles Ltd.</t>
  </si>
  <si>
    <t>INE825A01020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</si>
  <si>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</si>
  <si>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</si>
  <si>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</si>
  <si>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</si>
  <si>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</si>
  <si>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</si>
  <si>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</si>
  <si>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</si>
  <si>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</si>
  <si>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</si>
  <si>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</si>
  <si>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2023 : 118.11)</t>
  </si>
  <si>
    <t>Taurus Tax Shield - Direct Plan Growth Option</t>
  </si>
  <si>
    <t>NAV [Rs.] Per Unit (as on March 31, 2023 : 126.89)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</si>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</sst>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6" fillId="0" borderId="0" xfId="0" applyFont="1"/>
    <xf numFmtId="0" fontId="7" fillId="0" borderId="0" xfId="0" applyFont="1"/>
    <xf numFmtId="172" fontId="7" fillId="0" borderId="0" xfId="0" applyNumberFormat="1" applyFont="1"/>
    <xf numFmtId="0" fontId="7" fillId="0" borderId="7" xfId="0" applyFont="1" applyBorder="1"/>
    <xf numFmtId="172" fontId="7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7" fillId="0" borderId="10" xfId="0" applyNumberFormat="1" applyFont="1" applyBorder="1"/>
    <xf numFmtId="0" fontId="7" fillId="0" borderId="11" xfId="0" applyFont="1" applyBorder="1"/>
    <xf numFmtId="0" fontId="8" fillId="0" borderId="0" xfId="0" applyFont="1"/>
    <xf numFmtId="0" fontId="9" fillId="0" borderId="0" xfId="0" applyFont="1"/>
    <xf numFmtId="172" fontId="7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9" fillId="2" borderId="3" xfId="4" applyFont="1" applyFill="1" applyBorder="1"/>
    <xf numFmtId="172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76" fontId="9" fillId="0" borderId="0" xfId="1" applyNumberFormat="1" applyFont="1"/>
    <xf numFmtId="176" fontId="7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7" fillId="0" borderId="7" xfId="1" applyNumberFormat="1" applyFont="1" applyBorder="1"/>
    <xf numFmtId="176" fontId="7" fillId="0" borderId="11" xfId="1" applyNumberFormat="1" applyFont="1" applyBorder="1"/>
    <xf numFmtId="176" fontId="7" fillId="0" borderId="9" xfId="1" applyNumberFormat="1" applyFont="1" applyBorder="1"/>
    <xf numFmtId="0" fontId="10" fillId="0" borderId="0" xfId="0" applyFont="1"/>
    <xf numFmtId="178" fontId="11" fillId="0" borderId="0" xfId="0" applyNumberFormat="1" applyFont="1" applyAlignment="1">
      <alignment horizontal="left"/>
    </xf>
    <xf numFmtId="43" fontId="7" fillId="0" borderId="7" xfId="1" applyFont="1" applyBorder="1" applyAlignment="1">
      <alignment horizontal="right"/>
    </xf>
    <xf numFmtId="43" fontId="7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6" fillId="0" borderId="5" xfId="1" applyFont="1" applyBorder="1" applyAlignment="1">
      <alignment horizontal="right"/>
    </xf>
    <xf numFmtId="0" fontId="9" fillId="2" borderId="0" xfId="4" applyFont="1" applyFill="1" applyBorder="1"/>
    <xf numFmtId="172" fontId="5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7" fillId="0" borderId="17" xfId="0" applyFont="1" applyBorder="1"/>
    <xf numFmtId="0" fontId="6" fillId="0" borderId="17" xfId="0" applyFont="1" applyFill="1" applyBorder="1"/>
    <xf numFmtId="0" fontId="2" fillId="2" borderId="17" xfId="4" applyFont="1" applyFill="1" applyBorder="1"/>
    <xf numFmtId="0" fontId="6" fillId="0" borderId="17" xfId="0" applyFont="1" applyBorder="1"/>
    <xf numFmtId="0" fontId="2" fillId="2" borderId="18" xfId="0" applyFont="1" applyFill="1" applyBorder="1"/>
    <xf numFmtId="0" fontId="12" fillId="0" borderId="0" xfId="0" applyFont="1"/>
    <xf numFmtId="0" fontId="13" fillId="0" borderId="0" xfId="0" applyFont="1"/>
    <xf numFmtId="0" fontId="14" fillId="3" borderId="4" xfId="0" applyFont="1" applyFill="1" applyBorder="1"/>
    <xf numFmtId="0" fontId="14" fillId="3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1.7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113</v>
      </c>
      <c r="J2" s="33"/>
    </row>
    <row r="3" spans="1:54" ht="15">
      <c r="C3" s="1" t="s">
        <v>24</v>
      </c>
      <c r="D3" s="26" t="s">
        <v>114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77</v>
      </c>
      <c r="C10" s="39" t="s">
        <v>78</v>
      </c>
      <c r="D10" s="36" t="s">
        <v>79</v>
      </c>
      <c r="E10" s="9"/>
      <c r="F10" s="9" t="s">
        <v>56</v>
      </c>
      <c r="G10" s="24">
        <v>48200</v>
      </c>
      <c r="H10" s="29">
        <v>523.54999999999995</v>
      </c>
      <c r="I10" s="29">
        <v>8.8000000000000007</v>
      </c>
      <c r="J10" s="12"/>
    </row>
    <row r="11" spans="1:54">
      <c r="B11" s="11" t="s">
        <v>106</v>
      </c>
      <c r="C11" s="39" t="s">
        <v>107</v>
      </c>
      <c r="D11" s="36" t="s">
        <v>108</v>
      </c>
      <c r="E11" s="9"/>
      <c r="F11" s="9" t="s">
        <v>48</v>
      </c>
      <c r="G11" s="24">
        <v>133000</v>
      </c>
      <c r="H11" s="29">
        <v>509.99</v>
      </c>
      <c r="I11" s="29">
        <v>8.57</v>
      </c>
      <c r="J11" s="12"/>
    </row>
    <row r="12" spans="1:54">
      <c r="B12" s="11" t="s">
        <v>103</v>
      </c>
      <c r="C12" s="39" t="s">
        <v>104</v>
      </c>
      <c r="D12" s="36" t="s">
        <v>105</v>
      </c>
      <c r="E12" s="9"/>
      <c r="F12" s="9" t="s">
        <v>64</v>
      </c>
      <c r="G12" s="24">
        <v>19000</v>
      </c>
      <c r="H12" s="29">
        <v>499.2</v>
      </c>
      <c r="I12" s="29">
        <v>8.39</v>
      </c>
      <c r="J12" s="12"/>
    </row>
    <row r="13" spans="1:54">
      <c r="B13" s="11" t="s">
        <v>69</v>
      </c>
      <c r="C13" s="39" t="s">
        <v>70</v>
      </c>
      <c r="D13" s="36" t="s">
        <v>71</v>
      </c>
      <c r="E13" s="9"/>
      <c r="F13" s="9" t="s">
        <v>64</v>
      </c>
      <c r="G13" s="24">
        <v>6600</v>
      </c>
      <c r="H13" s="29">
        <v>390.68</v>
      </c>
      <c r="I13" s="29">
        <v>6.57</v>
      </c>
      <c r="J13" s="12"/>
    </row>
    <row r="14" spans="1:54">
      <c r="B14" s="11" t="s">
        <v>83</v>
      </c>
      <c r="C14" s="39" t="s">
        <v>84</v>
      </c>
      <c r="D14" s="36" t="s">
        <v>85</v>
      </c>
      <c r="E14" s="9"/>
      <c r="F14" s="9" t="s">
        <v>56</v>
      </c>
      <c r="G14" s="24">
        <v>34000</v>
      </c>
      <c r="H14" s="29">
        <v>374.63</v>
      </c>
      <c r="I14" s="29">
        <v>6.3</v>
      </c>
      <c r="J14" s="12"/>
    </row>
    <row r="15" spans="1:54">
      <c r="B15" s="11" t="s">
        <v>35</v>
      </c>
      <c r="C15" s="39" t="s">
        <v>36</v>
      </c>
      <c r="D15" s="36" t="s">
        <v>37</v>
      </c>
      <c r="E15" s="9"/>
      <c r="F15" s="9" t="s">
        <v>38</v>
      </c>
      <c r="G15" s="24">
        <v>36000</v>
      </c>
      <c r="H15" s="29">
        <v>315.79000000000002</v>
      </c>
      <c r="I15" s="29">
        <v>5.31</v>
      </c>
      <c r="J15" s="12"/>
    </row>
    <row r="16" spans="1:54">
      <c r="B16" s="11" t="s">
        <v>45</v>
      </c>
      <c r="C16" s="39" t="s">
        <v>46</v>
      </c>
      <c r="D16" s="36" t="s">
        <v>47</v>
      </c>
      <c r="E16" s="9"/>
      <c r="F16" s="9" t="s">
        <v>38</v>
      </c>
      <c r="G16" s="24">
        <v>35000</v>
      </c>
      <c r="H16" s="29">
        <v>300.45999999999998</v>
      </c>
      <c r="I16" s="29">
        <v>5.05</v>
      </c>
      <c r="J16" s="12"/>
    </row>
    <row r="17" spans="2:10">
      <c r="B17" s="11" t="s">
        <v>115</v>
      </c>
      <c r="C17" s="39" t="s">
        <v>116</v>
      </c>
      <c r="D17" s="36" t="s">
        <v>117</v>
      </c>
      <c r="E17" s="9"/>
      <c r="F17" s="9" t="s">
        <v>39</v>
      </c>
      <c r="G17" s="24">
        <v>240000</v>
      </c>
      <c r="H17" s="29">
        <v>279.36</v>
      </c>
      <c r="I17" s="29">
        <v>4.7</v>
      </c>
      <c r="J17" s="12"/>
    </row>
    <row r="18" spans="2:10">
      <c r="B18" s="11" t="s">
        <v>86</v>
      </c>
      <c r="C18" s="39" t="s">
        <v>87</v>
      </c>
      <c r="D18" s="36" t="s">
        <v>88</v>
      </c>
      <c r="E18" s="9"/>
      <c r="F18" s="9" t="s">
        <v>89</v>
      </c>
      <c r="G18" s="24">
        <v>31992</v>
      </c>
      <c r="H18" s="29">
        <v>247.65</v>
      </c>
      <c r="I18" s="29">
        <v>4.16</v>
      </c>
      <c r="J18" s="12"/>
    </row>
    <row r="19" spans="2:10">
      <c r="B19" s="11" t="s">
        <v>109</v>
      </c>
      <c r="C19" s="39" t="s">
        <v>110</v>
      </c>
      <c r="D19" s="36" t="s">
        <v>111</v>
      </c>
      <c r="E19" s="9"/>
      <c r="F19" s="9" t="s">
        <v>112</v>
      </c>
      <c r="G19" s="24">
        <v>105000</v>
      </c>
      <c r="H19" s="29">
        <v>224.33</v>
      </c>
      <c r="I19" s="29">
        <v>3.77</v>
      </c>
      <c r="J19" s="12"/>
    </row>
    <row r="20" spans="2:10">
      <c r="B20" s="11" t="s">
        <v>50</v>
      </c>
      <c r="C20" s="39" t="s">
        <v>51</v>
      </c>
      <c r="D20" s="36" t="s">
        <v>52</v>
      </c>
      <c r="E20" s="9"/>
      <c r="F20" s="9" t="s">
        <v>49</v>
      </c>
      <c r="G20" s="24">
        <v>12500</v>
      </c>
      <c r="H20" s="29">
        <v>208.34</v>
      </c>
      <c r="I20" s="29">
        <v>3.5</v>
      </c>
      <c r="J20" s="12"/>
    </row>
    <row r="21" spans="2:10">
      <c r="B21" s="11" t="s">
        <v>118</v>
      </c>
      <c r="C21" s="39" t="s">
        <v>119</v>
      </c>
      <c r="D21" s="36" t="s">
        <v>120</v>
      </c>
      <c r="E21" s="9"/>
      <c r="F21" s="9" t="s">
        <v>68</v>
      </c>
      <c r="G21" s="24">
        <v>22000</v>
      </c>
      <c r="H21" s="29">
        <v>141.04</v>
      </c>
      <c r="I21" s="29">
        <v>2.37</v>
      </c>
      <c r="J21" s="12"/>
    </row>
    <row r="22" spans="2:10">
      <c r="B22" s="11" t="s">
        <v>65</v>
      </c>
      <c r="C22" s="39" t="s">
        <v>66</v>
      </c>
      <c r="D22" s="36" t="s">
        <v>67</v>
      </c>
      <c r="E22" s="9"/>
      <c r="F22" s="9" t="s">
        <v>68</v>
      </c>
      <c r="G22" s="24">
        <v>17300</v>
      </c>
      <c r="H22" s="29">
        <v>105.53</v>
      </c>
      <c r="I22" s="29">
        <v>1.77</v>
      </c>
      <c r="J22" s="12"/>
    </row>
    <row r="23" spans="2:10">
      <c r="B23" s="11" t="s">
        <v>90</v>
      </c>
      <c r="C23" s="39" t="s">
        <v>91</v>
      </c>
      <c r="D23" s="36" t="s">
        <v>92</v>
      </c>
      <c r="E23" s="9"/>
      <c r="F23" s="9" t="s">
        <v>44</v>
      </c>
      <c r="G23" s="24">
        <v>11000</v>
      </c>
      <c r="H23" s="29">
        <v>99.07</v>
      </c>
      <c r="I23" s="29">
        <v>1.67</v>
      </c>
      <c r="J23" s="12"/>
    </row>
    <row r="24" spans="2:10">
      <c r="B24" s="11" t="s">
        <v>53</v>
      </c>
      <c r="C24" s="39" t="s">
        <v>54</v>
      </c>
      <c r="D24" s="36" t="s">
        <v>55</v>
      </c>
      <c r="E24" s="9"/>
      <c r="F24" s="9" t="s">
        <v>56</v>
      </c>
      <c r="G24" s="24">
        <v>6900</v>
      </c>
      <c r="H24" s="29">
        <v>98.51</v>
      </c>
      <c r="I24" s="29">
        <v>1.66</v>
      </c>
      <c r="J24" s="12"/>
    </row>
    <row r="25" spans="2:10">
      <c r="B25" s="11" t="s">
        <v>121</v>
      </c>
      <c r="C25" s="39" t="s">
        <v>122</v>
      </c>
      <c r="D25" s="36" t="s">
        <v>123</v>
      </c>
      <c r="E25" s="9"/>
      <c r="F25" s="9" t="s">
        <v>34</v>
      </c>
      <c r="G25" s="24">
        <v>20000</v>
      </c>
      <c r="H25" s="29">
        <v>91.24</v>
      </c>
      <c r="I25" s="29">
        <v>1.53</v>
      </c>
      <c r="J25" s="12"/>
    </row>
    <row r="26" spans="2:10">
      <c r="B26" s="11" t="s">
        <v>80</v>
      </c>
      <c r="C26" s="39" t="s">
        <v>81</v>
      </c>
      <c r="D26" s="36" t="s">
        <v>82</v>
      </c>
      <c r="E26" s="9"/>
      <c r="F26" s="9" t="s">
        <v>56</v>
      </c>
      <c r="G26" s="24">
        <v>2600</v>
      </c>
      <c r="H26" s="29">
        <v>83.35</v>
      </c>
      <c r="I26" s="29">
        <v>1.4</v>
      </c>
      <c r="J26" s="12"/>
    </row>
    <row r="27" spans="2:10">
      <c r="B27" s="11" t="s">
        <v>124</v>
      </c>
      <c r="C27" s="39" t="s">
        <v>125</v>
      </c>
      <c r="D27" s="36" t="s">
        <v>126</v>
      </c>
      <c r="E27" s="9"/>
      <c r="F27" s="9" t="s">
        <v>127</v>
      </c>
      <c r="G27" s="24">
        <v>65000</v>
      </c>
      <c r="H27" s="29">
        <v>72.540000000000006</v>
      </c>
      <c r="I27" s="29">
        <v>1.22</v>
      </c>
      <c r="J27" s="12"/>
    </row>
    <row r="28" spans="2:10">
      <c r="B28" s="11" t="s">
        <v>41</v>
      </c>
      <c r="C28" s="39" t="s">
        <v>42</v>
      </c>
      <c r="D28" s="36" t="s">
        <v>43</v>
      </c>
      <c r="E28" s="9"/>
      <c r="F28" s="9" t="s">
        <v>44</v>
      </c>
      <c r="G28" s="24">
        <v>1500</v>
      </c>
      <c r="H28" s="29">
        <v>69.319999999999993</v>
      </c>
      <c r="I28" s="29">
        <v>1.17</v>
      </c>
      <c r="J28" s="12"/>
    </row>
    <row r="29" spans="2:10">
      <c r="B29" s="11" t="s">
        <v>128</v>
      </c>
      <c r="C29" s="39" t="s">
        <v>129</v>
      </c>
      <c r="D29" s="36" t="s">
        <v>130</v>
      </c>
      <c r="E29" s="9"/>
      <c r="F29" s="9" t="s">
        <v>49</v>
      </c>
      <c r="G29" s="24">
        <v>7000</v>
      </c>
      <c r="H29" s="29">
        <v>62.1</v>
      </c>
      <c r="I29" s="29">
        <v>1.04</v>
      </c>
      <c r="J29" s="12"/>
    </row>
    <row r="30" spans="2:10">
      <c r="B30" s="11" t="s">
        <v>100</v>
      </c>
      <c r="C30" s="39" t="s">
        <v>101</v>
      </c>
      <c r="D30" s="36" t="s">
        <v>102</v>
      </c>
      <c r="E30" s="9"/>
      <c r="F30" s="9" t="s">
        <v>99</v>
      </c>
      <c r="G30" s="24">
        <v>10500</v>
      </c>
      <c r="H30" s="29">
        <v>60.98</v>
      </c>
      <c r="I30" s="29">
        <v>1.03</v>
      </c>
      <c r="J30" s="12"/>
    </row>
    <row r="31" spans="2:10">
      <c r="B31" s="11" t="s">
        <v>96</v>
      </c>
      <c r="C31" s="39" t="s">
        <v>97</v>
      </c>
      <c r="D31" s="36" t="s">
        <v>98</v>
      </c>
      <c r="E31" s="9"/>
      <c r="F31" s="9" t="s">
        <v>99</v>
      </c>
      <c r="G31" s="24">
        <v>17000</v>
      </c>
      <c r="H31" s="29">
        <v>60.15</v>
      </c>
      <c r="I31" s="29">
        <v>1.01</v>
      </c>
      <c r="J31" s="12"/>
    </row>
    <row r="32" spans="2:10">
      <c r="B32" s="11" t="s">
        <v>73</v>
      </c>
      <c r="C32" s="39" t="s">
        <v>74</v>
      </c>
      <c r="D32" s="36" t="s">
        <v>75</v>
      </c>
      <c r="E32" s="9"/>
      <c r="F32" s="9" t="s">
        <v>76</v>
      </c>
      <c r="G32" s="24">
        <v>3000</v>
      </c>
      <c r="H32" s="29">
        <v>58.55</v>
      </c>
      <c r="I32" s="29">
        <v>0.98</v>
      </c>
      <c r="J32" s="12"/>
    </row>
    <row r="33" spans="2:10">
      <c r="B33" s="11" t="s">
        <v>131</v>
      </c>
      <c r="C33" s="39" t="s">
        <v>132</v>
      </c>
      <c r="D33" s="36" t="s">
        <v>133</v>
      </c>
      <c r="E33" s="9"/>
      <c r="F33" s="9" t="s">
        <v>38</v>
      </c>
      <c r="G33" s="24">
        <v>80000</v>
      </c>
      <c r="H33" s="29">
        <v>53.66</v>
      </c>
      <c r="I33" s="29">
        <v>0.9</v>
      </c>
      <c r="J33" s="12"/>
    </row>
    <row r="34" spans="2:10">
      <c r="B34" s="11" t="s">
        <v>134</v>
      </c>
      <c r="C34" s="39" t="s">
        <v>135</v>
      </c>
      <c r="D34" s="36" t="s">
        <v>136</v>
      </c>
      <c r="E34" s="9"/>
      <c r="F34" s="9" t="s">
        <v>89</v>
      </c>
      <c r="G34" s="24">
        <v>20000</v>
      </c>
      <c r="H34" s="29">
        <v>52.54</v>
      </c>
      <c r="I34" s="29">
        <v>0.88</v>
      </c>
      <c r="J34" s="12"/>
    </row>
    <row r="35" spans="2:10">
      <c r="B35" s="11" t="s">
        <v>137</v>
      </c>
      <c r="C35" s="39" t="s">
        <v>138</v>
      </c>
      <c r="D35" s="36" t="s">
        <v>139</v>
      </c>
      <c r="E35" s="9"/>
      <c r="F35" s="9" t="s">
        <v>76</v>
      </c>
      <c r="G35" s="24">
        <v>50000</v>
      </c>
      <c r="H35" s="29">
        <v>49.63</v>
      </c>
      <c r="I35" s="29">
        <v>0.83</v>
      </c>
      <c r="J35" s="12"/>
    </row>
    <row r="36" spans="2:10">
      <c r="B36" s="11" t="s">
        <v>93</v>
      </c>
      <c r="C36" s="39" t="s">
        <v>94</v>
      </c>
      <c r="D36" s="36" t="s">
        <v>95</v>
      </c>
      <c r="E36" s="9"/>
      <c r="F36" s="9" t="s">
        <v>44</v>
      </c>
      <c r="G36" s="24">
        <v>1500</v>
      </c>
      <c r="H36" s="29">
        <v>42.39</v>
      </c>
      <c r="I36" s="29">
        <v>0.71</v>
      </c>
      <c r="J36" s="12"/>
    </row>
    <row r="37" spans="2:10">
      <c r="B37" s="11" t="s">
        <v>140</v>
      </c>
      <c r="C37" s="39" t="s">
        <v>141</v>
      </c>
      <c r="D37" s="36" t="s">
        <v>142</v>
      </c>
      <c r="E37" s="9"/>
      <c r="F37" s="9" t="s">
        <v>76</v>
      </c>
      <c r="G37" s="24">
        <v>3290</v>
      </c>
      <c r="H37" s="29">
        <v>19.059999999999999</v>
      </c>
      <c r="I37" s="29">
        <v>0.32</v>
      </c>
      <c r="J37" s="12"/>
    </row>
    <row r="38" spans="2:10">
      <c r="B38" s="11" t="s">
        <v>143</v>
      </c>
      <c r="C38" s="39" t="s">
        <v>144</v>
      </c>
      <c r="D38" s="36" t="s">
        <v>145</v>
      </c>
      <c r="E38" s="9"/>
      <c r="F38" s="9" t="s">
        <v>40</v>
      </c>
      <c r="G38" s="24">
        <v>9405</v>
      </c>
      <c r="H38" s="29">
        <v>18.13</v>
      </c>
      <c r="I38" s="29">
        <v>0.3</v>
      </c>
      <c r="J38" s="12"/>
    </row>
    <row r="39" spans="2:10">
      <c r="B39" s="11" t="s">
        <v>146</v>
      </c>
      <c r="C39" s="39" t="s">
        <v>147</v>
      </c>
      <c r="D39" s="36" t="s">
        <v>148</v>
      </c>
      <c r="E39" s="9"/>
      <c r="F39" s="9" t="s">
        <v>72</v>
      </c>
      <c r="G39" s="24">
        <v>6000</v>
      </c>
      <c r="H39" s="29">
        <v>17.63</v>
      </c>
      <c r="I39" s="29">
        <v>0.3</v>
      </c>
      <c r="J39" s="12"/>
    </row>
    <row r="40" spans="2:10">
      <c r="C40" s="42" t="s">
        <v>57</v>
      </c>
      <c r="D40" s="36"/>
      <c r="E40" s="9"/>
      <c r="F40" s="9"/>
      <c r="G40" s="24"/>
      <c r="H40" s="30">
        <v>5129.3999999999996</v>
      </c>
      <c r="I40" s="30">
        <v>86.21</v>
      </c>
      <c r="J40" s="12"/>
    </row>
    <row r="41" spans="2:10">
      <c r="C41" s="39"/>
      <c r="D41" s="36"/>
      <c r="E41" s="9"/>
      <c r="F41" s="9"/>
      <c r="G41" s="24"/>
      <c r="H41" s="29"/>
      <c r="I41" s="29"/>
      <c r="J41" s="12"/>
    </row>
    <row r="42" spans="2:10">
      <c r="C42" s="42" t="s">
        <v>3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2:10">
      <c r="C43" s="39"/>
      <c r="D43" s="36"/>
      <c r="E43" s="9"/>
      <c r="F43" s="9"/>
      <c r="G43" s="24"/>
      <c r="H43" s="29"/>
      <c r="I43" s="29"/>
      <c r="J43" s="12"/>
    </row>
    <row r="44" spans="2:10">
      <c r="C44" s="42" t="s">
        <v>4</v>
      </c>
      <c r="D44" s="36"/>
      <c r="E44" s="9"/>
      <c r="F44" s="9"/>
      <c r="G44" s="24"/>
      <c r="H44" s="29" t="s">
        <v>2</v>
      </c>
      <c r="I44" s="29" t="s">
        <v>2</v>
      </c>
      <c r="J44" s="12"/>
    </row>
    <row r="45" spans="2:10">
      <c r="C45" s="39"/>
      <c r="D45" s="36"/>
      <c r="E45" s="9"/>
      <c r="F45" s="9"/>
      <c r="G45" s="24"/>
      <c r="H45" s="29"/>
      <c r="I45" s="29"/>
      <c r="J45" s="12"/>
    </row>
    <row r="46" spans="2:10">
      <c r="C46" s="42" t="s">
        <v>5</v>
      </c>
      <c r="D46" s="36"/>
      <c r="E46" s="9"/>
      <c r="F46" s="9"/>
      <c r="G46" s="24"/>
      <c r="H46" s="29"/>
      <c r="I46" s="29"/>
      <c r="J46" s="12"/>
    </row>
    <row r="47" spans="2:10">
      <c r="C47" s="39"/>
      <c r="D47" s="36"/>
      <c r="E47" s="9"/>
      <c r="F47" s="9"/>
      <c r="G47" s="24"/>
      <c r="H47" s="29"/>
      <c r="I47" s="29"/>
      <c r="J47" s="12"/>
    </row>
    <row r="48" spans="2:10">
      <c r="C48" s="42" t="s">
        <v>6</v>
      </c>
      <c r="D48" s="36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7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8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9</v>
      </c>
      <c r="D54" s="36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10</v>
      </c>
      <c r="D56" s="36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11</v>
      </c>
      <c r="D58" s="36"/>
      <c r="E58" s="9"/>
      <c r="F58" s="9"/>
      <c r="G58" s="24"/>
      <c r="H58" s="29"/>
      <c r="I58" s="29"/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12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13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14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C66" s="42" t="s">
        <v>15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39"/>
      <c r="D67" s="36"/>
      <c r="E67" s="9"/>
      <c r="F67" s="9"/>
      <c r="G67" s="24"/>
      <c r="H67" s="29"/>
      <c r="I67" s="29"/>
      <c r="J67" s="12"/>
    </row>
    <row r="68" spans="1:10">
      <c r="C68" s="42" t="s">
        <v>16</v>
      </c>
      <c r="D68" s="36"/>
      <c r="E68" s="9"/>
      <c r="F68" s="9"/>
      <c r="G68" s="24"/>
      <c r="H68" s="29"/>
      <c r="I68" s="29"/>
      <c r="J68" s="12"/>
    </row>
    <row r="69" spans="1:10">
      <c r="C69" s="39"/>
      <c r="D69" s="36"/>
      <c r="E69" s="9"/>
      <c r="F69" s="9"/>
      <c r="G69" s="24"/>
      <c r="H69" s="29"/>
      <c r="I69" s="29"/>
      <c r="J69" s="12"/>
    </row>
    <row r="70" spans="1:10">
      <c r="C70" s="42" t="s">
        <v>17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1:10">
      <c r="C71" s="39"/>
      <c r="D71" s="36"/>
      <c r="E71" s="9"/>
      <c r="F71" s="9"/>
      <c r="G71" s="24"/>
      <c r="H71" s="29"/>
      <c r="I71" s="29"/>
      <c r="J71" s="12"/>
    </row>
    <row r="72" spans="1:10">
      <c r="C72" s="42" t="s">
        <v>18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1:10">
      <c r="C73" s="39"/>
      <c r="D73" s="36"/>
      <c r="E73" s="9"/>
      <c r="F73" s="9"/>
      <c r="G73" s="24"/>
      <c r="H73" s="29"/>
      <c r="I73" s="29"/>
      <c r="J73" s="12"/>
    </row>
    <row r="74" spans="1:10">
      <c r="C74" s="42" t="s">
        <v>19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1:10">
      <c r="C75" s="39"/>
      <c r="D75" s="36"/>
      <c r="E75" s="9"/>
      <c r="F75" s="9"/>
      <c r="G75" s="24"/>
      <c r="H75" s="29"/>
      <c r="I75" s="29"/>
      <c r="J75" s="12"/>
    </row>
    <row r="76" spans="1:10">
      <c r="C76" s="42" t="s">
        <v>20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1:10">
      <c r="C77" s="39"/>
      <c r="D77" s="36"/>
      <c r="E77" s="9"/>
      <c r="F77" s="9"/>
      <c r="G77" s="24"/>
      <c r="H77" s="29"/>
      <c r="I77" s="29"/>
      <c r="J77" s="12"/>
    </row>
    <row r="78" spans="1:10">
      <c r="C78" s="42" t="s">
        <v>21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1:10">
      <c r="C79" s="39"/>
      <c r="D79" s="36"/>
      <c r="E79" s="9"/>
      <c r="F79" s="9"/>
      <c r="G79" s="24"/>
      <c r="H79" s="29"/>
      <c r="I79" s="29"/>
      <c r="J79" s="12"/>
    </row>
    <row r="80" spans="1:10">
      <c r="A80" s="15"/>
      <c r="B80" s="32"/>
      <c r="C80" s="40" t="s">
        <v>22</v>
      </c>
      <c r="D80" s="36"/>
      <c r="E80" s="9"/>
      <c r="F80" s="9"/>
      <c r="G80" s="24"/>
      <c r="H80" s="29"/>
      <c r="I80" s="29"/>
      <c r="J80" s="12"/>
    </row>
    <row r="81" spans="2:10">
      <c r="B81" s="11"/>
      <c r="C81" s="39" t="s">
        <v>58</v>
      </c>
      <c r="D81" s="36"/>
      <c r="E81" s="9"/>
      <c r="F81" s="9"/>
      <c r="G81" s="24"/>
      <c r="H81" s="29">
        <v>820.17</v>
      </c>
      <c r="I81" s="29">
        <v>13.79</v>
      </c>
      <c r="J81" s="12"/>
    </row>
    <row r="82" spans="2:10">
      <c r="C82" s="42" t="s">
        <v>57</v>
      </c>
      <c r="D82" s="36"/>
      <c r="E82" s="9"/>
      <c r="F82" s="9"/>
      <c r="G82" s="24"/>
      <c r="H82" s="30">
        <v>820.17</v>
      </c>
      <c r="I82" s="30">
        <v>13.79</v>
      </c>
      <c r="J82" s="12"/>
    </row>
    <row r="83" spans="2:10">
      <c r="C83" s="39"/>
      <c r="D83" s="36"/>
      <c r="E83" s="9"/>
      <c r="F83" s="9"/>
      <c r="G83" s="24"/>
      <c r="H83" s="29"/>
      <c r="I83" s="29"/>
      <c r="J83" s="12"/>
    </row>
    <row r="84" spans="2:10">
      <c r="C84" s="43" t="s">
        <v>59</v>
      </c>
      <c r="D84" s="37"/>
      <c r="E84" s="6"/>
      <c r="F84" s="7"/>
      <c r="G84" s="25"/>
      <c r="H84" s="31">
        <v>5949.57</v>
      </c>
      <c r="I84" s="31">
        <f>SUMIFS(I:I,C:C,"Total")</f>
        <v>100</v>
      </c>
      <c r="J84" s="8"/>
    </row>
    <row r="87" spans="2:10">
      <c r="C87" s="1" t="s">
        <v>60</v>
      </c>
    </row>
    <row r="88" spans="2:10">
      <c r="C88" s="2" t="s">
        <v>61</v>
      </c>
    </row>
    <row r="89" spans="2:10">
      <c r="C89" s="2" t="s">
        <v>62</v>
      </c>
    </row>
    <row r="90" spans="2:10">
      <c r="C90" s="2" t="s">
        <v>63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4" t="s">
        <v>149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150</v>
      </c>
      <c r="C5" s="47" t="s">
        <v>151</v>
      </c>
      <c r="D5" s="47"/>
      <c r="E5" s="47" t="s">
        <v>152</v>
      </c>
      <c r="F5" s="47"/>
      <c r="G5" s="47" t="s">
        <v>153</v>
      </c>
      <c r="H5" s="47"/>
      <c r="I5" s="47" t="s">
        <v>154</v>
      </c>
      <c r="J5" s="47"/>
    </row>
    <row r="6" spans="2:10" ht="63.75">
      <c r="B6" s="48"/>
      <c r="C6" s="49" t="s">
        <v>155</v>
      </c>
      <c r="D6" s="49" t="s">
        <v>156</v>
      </c>
      <c r="E6" s="49" t="s">
        <v>155</v>
      </c>
      <c r="F6" s="49" t="s">
        <v>156</v>
      </c>
      <c r="G6" s="49" t="s">
        <v>155</v>
      </c>
      <c r="H6" s="49" t="s">
        <v>156</v>
      </c>
      <c r="I6" s="49" t="s">
        <v>155</v>
      </c>
      <c r="J6" s="49" t="s">
        <v>156</v>
      </c>
    </row>
    <row r="7" spans="2:10">
      <c r="B7" s="50" t="s">
        <v>157</v>
      </c>
      <c r="C7" s="51">
        <v>4.7817601135557108</v>
      </c>
      <c r="D7" s="51">
        <v>10478.176011355572</v>
      </c>
      <c r="E7" s="51">
        <v>24.829807908072809</v>
      </c>
      <c r="F7" s="51">
        <v>19451.581027667984</v>
      </c>
      <c r="G7" s="51">
        <v>9.5941670497666109</v>
      </c>
      <c r="H7" s="51">
        <v>15826.075304837197</v>
      </c>
      <c r="I7" s="51">
        <v>11.276005290224989</v>
      </c>
      <c r="J7" s="51">
        <v>118110</v>
      </c>
    </row>
    <row r="8" spans="2:10">
      <c r="B8" s="50" t="s">
        <v>158</v>
      </c>
      <c r="C8" s="51">
        <v>-0.91197471867551227</v>
      </c>
      <c r="D8" s="51">
        <v>9908.8025281324481</v>
      </c>
      <c r="E8" s="51">
        <v>29.345059473615521</v>
      </c>
      <c r="F8" s="51">
        <v>21639.615237437814</v>
      </c>
      <c r="G8" s="51">
        <v>11.755096164658706</v>
      </c>
      <c r="H8" s="51">
        <v>17431.577174475053</v>
      </c>
      <c r="I8" s="51">
        <v>0</v>
      </c>
      <c r="J8" s="51">
        <v>0</v>
      </c>
    </row>
    <row r="9" spans="2:10">
      <c r="B9" s="50" t="s">
        <v>159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12.523545687043725</v>
      </c>
      <c r="J9" s="51">
        <v>242334.02157565986</v>
      </c>
    </row>
    <row r="10" spans="2:10">
      <c r="B10" s="50" t="s">
        <v>160</v>
      </c>
      <c r="C10" s="52">
        <v>112.72</v>
      </c>
      <c r="D10" s="53"/>
      <c r="E10" s="52">
        <v>60.72</v>
      </c>
      <c r="F10" s="53"/>
      <c r="G10" s="52">
        <v>74.63</v>
      </c>
      <c r="H10" s="53"/>
      <c r="I10" s="52">
        <v>10</v>
      </c>
      <c r="J10" s="53"/>
    </row>
    <row r="12" spans="2:10" ht="15.75">
      <c r="B12" s="44" t="s">
        <v>161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150</v>
      </c>
      <c r="C13" s="47" t="s">
        <v>151</v>
      </c>
      <c r="D13" s="47"/>
      <c r="E13" s="47" t="s">
        <v>152</v>
      </c>
      <c r="F13" s="47"/>
      <c r="G13" s="47" t="s">
        <v>153</v>
      </c>
      <c r="H13" s="47"/>
      <c r="I13" s="47" t="s">
        <v>154</v>
      </c>
      <c r="J13" s="47"/>
    </row>
    <row r="14" spans="2:10" ht="63.75">
      <c r="B14" s="48"/>
      <c r="C14" s="49" t="s">
        <v>155</v>
      </c>
      <c r="D14" s="49" t="s">
        <v>156</v>
      </c>
      <c r="E14" s="49" t="s">
        <v>155</v>
      </c>
      <c r="F14" s="49" t="s">
        <v>156</v>
      </c>
      <c r="G14" s="49" t="s">
        <v>155</v>
      </c>
      <c r="H14" s="49" t="s">
        <v>156</v>
      </c>
      <c r="I14" s="49" t="s">
        <v>155</v>
      </c>
      <c r="J14" s="49" t="s">
        <v>156</v>
      </c>
    </row>
    <row r="15" spans="2:10">
      <c r="B15" s="50" t="s">
        <v>157</v>
      </c>
      <c r="C15" s="51">
        <v>5.4867403774212287</v>
      </c>
      <c r="D15" s="51">
        <v>10548.674037742123</v>
      </c>
      <c r="E15" s="51">
        <v>25.731715070163496</v>
      </c>
      <c r="F15" s="51">
        <v>19876.25313283208</v>
      </c>
      <c r="G15" s="51">
        <v>10.359518741632456</v>
      </c>
      <c r="H15" s="51">
        <v>16387.705023892548</v>
      </c>
      <c r="I15" s="51">
        <v>12.286646377286271</v>
      </c>
      <c r="J15" s="51">
        <v>32796.588265701728</v>
      </c>
    </row>
    <row r="16" spans="2:10">
      <c r="B16" s="50" t="s">
        <v>158</v>
      </c>
      <c r="C16" s="51">
        <v>-0.91197471867551227</v>
      </c>
      <c r="D16" s="51">
        <v>9908.8025281324481</v>
      </c>
      <c r="E16" s="51">
        <v>29.345059473615521</v>
      </c>
      <c r="F16" s="51">
        <v>21639.615237437814</v>
      </c>
      <c r="G16" s="51">
        <v>11.755096164658706</v>
      </c>
      <c r="H16" s="51">
        <v>17431.577174475053</v>
      </c>
      <c r="I16" s="51">
        <v>12.878337109418814</v>
      </c>
      <c r="J16" s="51">
        <v>34611.677225557869</v>
      </c>
    </row>
    <row r="17" spans="2:10">
      <c r="B17" s="50" t="s">
        <v>159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12.36237197029797</v>
      </c>
      <c r="J17" s="51">
        <v>33023.989585430063</v>
      </c>
    </row>
    <row r="18" spans="2:10">
      <c r="B18" s="50" t="s">
        <v>162</v>
      </c>
      <c r="C18" s="52">
        <v>120.29</v>
      </c>
      <c r="D18" s="53"/>
      <c r="E18" s="52">
        <v>63.84</v>
      </c>
      <c r="F18" s="53"/>
      <c r="G18" s="52">
        <v>77.430000000000007</v>
      </c>
      <c r="H18" s="53"/>
      <c r="I18" s="52">
        <v>38.69</v>
      </c>
      <c r="J18" s="53"/>
    </row>
    <row r="20" spans="2:10">
      <c r="B20" t="s">
        <v>163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Performance</vt:lpstr>
      <vt:lpstr>XDO_?CLASS_3?7?</vt:lpstr>
      <vt:lpstr>XDO_?FINAL_ISIN?15?</vt:lpstr>
      <vt:lpstr>XDO_?FINAL_ISIN?16?</vt:lpstr>
      <vt:lpstr>XDO_?FINAL_MV?15?</vt:lpstr>
      <vt:lpstr>XDO_?FINAL_MV?16?</vt:lpstr>
      <vt:lpstr>XDO_?FINAL_NAME?15?</vt:lpstr>
      <vt:lpstr>XDO_?FINAL_NAME?16?</vt:lpstr>
      <vt:lpstr>XDO_?FINAL_PER_NET?15?</vt:lpstr>
      <vt:lpstr>XDO_?FINAL_PER_NET?16?</vt:lpstr>
      <vt:lpstr>XDO_?FINAL_QUANTITE?15?</vt:lpstr>
      <vt:lpstr>XDO_?FINAL_QUANTITE?16?</vt:lpstr>
      <vt:lpstr>XDO_?IND_01?15?</vt:lpstr>
      <vt:lpstr>XDO_?IND_01?16?</vt:lpstr>
      <vt:lpstr>XDO_?NAMCNAME?7?</vt:lpstr>
      <vt:lpstr>XDO_?NOVAL?15?</vt:lpstr>
      <vt:lpstr>XDO_?NOVAL?16?</vt:lpstr>
      <vt:lpstr>XDO_?NPTF?7?</vt:lpstr>
      <vt:lpstr>XDO_?RATING?15?</vt:lpstr>
      <vt:lpstr>XDO_?RATING?16?</vt:lpstr>
      <vt:lpstr>XDO_?REMARKS?15?</vt:lpstr>
      <vt:lpstr>XDO_?REMARKS?16?</vt:lpstr>
      <vt:lpstr>XDO_?TITL?7?</vt:lpstr>
      <vt:lpstr>XDO_GROUP_?G_2?7?</vt:lpstr>
      <vt:lpstr>XDO_GROUP_?G_3?7?</vt:lpstr>
      <vt:lpstr>XDO_GROUP_?G_4?15?</vt:lpstr>
      <vt:lpstr>XDO_GROUP_?G_4?16?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2023-04-07T10:25:44Z</dcterms:modified>
</cp:coreProperties>
</file>