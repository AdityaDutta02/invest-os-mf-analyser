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TS-Risk-O-Meter &amp; Portfolio" sheetId="1" r:id="rId1"/>
    <sheet name="TTS - Performance" sheetId="2" r:id="rId2"/>
  </sheets>
  <externalReferences>
    <externalReference r:id="rId3"/>
  </externalReferences>
  <definedNames>
    <definedName name="XDO_?CLASS_3?7?">'TTS-Risk-O-Meter &amp; Portfolio'!$C$8:$C$37</definedName>
    <definedName name="XDO_?FINAL_ISIN?14?">'TTS-Risk-O-Meter &amp; Portfolio'!$D$10:$D$37</definedName>
    <definedName name="XDO_?FINAL_ISIN?15?">'TTS-Risk-O-Meter &amp; Portfolio'!$D$10:$D$79</definedName>
    <definedName name="XDO_?FINAL_MV?14?">'TTS-Risk-O-Meter &amp; Portfolio'!$H$10:$H$37</definedName>
    <definedName name="XDO_?FINAL_MV?15?">'TTS-Risk-O-Meter &amp; Portfolio'!$H$10:$H$79</definedName>
    <definedName name="XDO_?FINAL_NAME?14?">'TTS-Risk-O-Meter &amp; Portfolio'!$C$10:$C$37</definedName>
    <definedName name="XDO_?FINAL_NAME?15?">'TTS-Risk-O-Meter &amp; Portfolio'!$C$10:$C$79</definedName>
    <definedName name="XDO_?FINAL_PER_NET?14?">'TTS-Risk-O-Meter &amp; Portfolio'!$I$10:$I$37</definedName>
    <definedName name="XDO_?FINAL_PER_NET?15?">'TTS-Risk-O-Meter &amp; Portfolio'!$I$10:$I$79</definedName>
    <definedName name="XDO_?FINAL_QUANTITE?14?">'TTS-Risk-O-Meter &amp; Portfolio'!$G$10:$G$37</definedName>
    <definedName name="XDO_?FINAL_QUANTITE?15?">'TTS-Risk-O-Meter &amp; Portfolio'!$G$10:$G$79</definedName>
    <definedName name="XDO_?IND_01?14?">'TTS-Risk-O-Meter &amp; Portfolio'!$F$10:$F$37</definedName>
    <definedName name="XDO_?IND_01?15?">'TTS-Risk-O-Meter &amp; Portfolio'!$F$10:$F$79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'TTS-Risk-O-Meter &amp; Portfolio'!#REF!</definedName>
    <definedName name="XDO_?NAMCNAME?7?">'TTS-Risk-O-Meter &amp; Portfolio'!$C$2:$C$37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'TTS-Risk-O-Meter &amp; Portfolio'!#REF!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'TTS-Risk-O-Meter &amp; Portfolio'!#REF!</definedName>
    <definedName name="XDO_?NOVAL?14?">'TTS-Risk-O-Meter &amp; Portfolio'!$B$10:$B$37</definedName>
    <definedName name="XDO_?NOVAL?15?">'TTS-Risk-O-Meter &amp; Portfolio'!$B$10:$B$79</definedName>
    <definedName name="XDO_?NPTF?7?">'TTS-Risk-O-Meter &amp; Portfolio'!$D$2:$D$37</definedName>
    <definedName name="XDO_?RATING?14?">'TTS-Risk-O-Meter &amp; Portfolio'!$E$10:$E$37</definedName>
    <definedName name="XDO_?RATING?15?">'TTS-Risk-O-Meter &amp; Portfolio'!$E$10:$E$79</definedName>
    <definedName name="XDO_?REMARKS?14?">'TTS-Risk-O-Meter &amp; Portfolio'!$J$10:$J$37</definedName>
    <definedName name="XDO_?REMARKS?15?">'TTS-Risk-O-Meter &amp; Portfolio'!$J$10:$J$79</definedName>
    <definedName name="XDO_?TITL?7?">'TTS-Risk-O-Meter &amp; Portfolio'!$A$8:$A$37</definedName>
    <definedName name="XDO_GROUP_?G_2?7?">'TTS-Risk-O-Meter &amp; Portfolio'!$2:$82</definedName>
    <definedName name="XDO_GROUP_?G_3?7?">'TTS-Risk-O-Meter &amp; Portfolio'!$8:$81</definedName>
    <definedName name="XDO_GROUP_?G_4?14?">'TTS-Risk-O-Meter &amp; Portfolio'!$B$10:$IV$37</definedName>
    <definedName name="XDO_GROUP_?G_4?15?">'TTS-Risk-O-Meter &amp; Portfolio'!$B$79:$IV$79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1"/>
</calcChain>
</file>

<file path=xl/sharedStrings.xml><?xml version="1.0" encoding="utf-8"?>
<sst xmlns="http://schemas.openxmlformats.org/spreadsheetml/2006/main" count="225" uniqueCount="161">
  <si>
    <t>TAURUS MUTUAL FUND</t>
  </si>
  <si>
    <t>TTS</t>
  </si>
  <si>
    <t>SCHEME NAME :</t>
  </si>
  <si>
    <t>Taurus Tax Shield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</si>
  <si>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</si>
  <si>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</si>
  <si>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</si>
  <si>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</si>
  <si>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</si>
  <si>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</si>
  <si>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</si>
  <si>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</si>
  <si>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</si>
  <si>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</si>
  <si>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</si>
  <si>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100001</t>
  </si>
  <si>
    <t>Housing Development Finance Corporation Ltd.</t>
  </si>
  <si>
    <t>INE001A01036</t>
  </si>
  <si>
    <t>Finance</t>
  </si>
  <si>
    <t>100037</t>
  </si>
  <si>
    <t>HCL Technologies Ltd.</t>
  </si>
  <si>
    <t>INE860A01027</t>
  </si>
  <si>
    <t>IT - Software</t>
  </si>
  <si>
    <t>100019</t>
  </si>
  <si>
    <t>ITC Ltd.</t>
  </si>
  <si>
    <t>INE154A01025</t>
  </si>
  <si>
    <t>Diversified FMCG</t>
  </si>
  <si>
    <t>100325</t>
  </si>
  <si>
    <t>Bajaj Holdings &amp; Investment Ltd.</t>
  </si>
  <si>
    <t>INE118A01012</t>
  </si>
  <si>
    <t>100012</t>
  </si>
  <si>
    <t>ICICI Bank Ltd.</t>
  </si>
  <si>
    <t>INE090A01021</t>
  </si>
  <si>
    <t>Banks</t>
  </si>
  <si>
    <t>100005</t>
  </si>
  <si>
    <t>Larsen &amp; Toubro Ltd.</t>
  </si>
  <si>
    <t>INE018A01030</t>
  </si>
  <si>
    <t>Construction</t>
  </si>
  <si>
    <t>100147</t>
  </si>
  <si>
    <t>Tech Mahindra Ltd.</t>
  </si>
  <si>
    <t>INE669C01036</t>
  </si>
  <si>
    <t>100024</t>
  </si>
  <si>
    <t>Axis Bank Ltd.</t>
  </si>
  <si>
    <t>INE238A01034</t>
  </si>
  <si>
    <t>100032</t>
  </si>
  <si>
    <t>Tata Consultancy Services Ltd.</t>
  </si>
  <si>
    <t>INE467B01029</t>
  </si>
  <si>
    <t>100045</t>
  </si>
  <si>
    <t>Gujarat Pipavav Port Ltd.</t>
  </si>
  <si>
    <t>INE517F01014</t>
  </si>
  <si>
    <t>Transport Infrastructure</t>
  </si>
  <si>
    <t>100474</t>
  </si>
  <si>
    <t>Narayana Hrudayalaya Ltd.</t>
  </si>
  <si>
    <t>INE410P01011</t>
  </si>
  <si>
    <t>Healthcare Services</t>
  </si>
  <si>
    <t>100153</t>
  </si>
  <si>
    <t>Cipla Ltd.</t>
  </si>
  <si>
    <t>INE059A01026</t>
  </si>
  <si>
    <t>Pharmaceuticals &amp; Biotechnology</t>
  </si>
  <si>
    <t>100747</t>
  </si>
  <si>
    <t>Mahindra Logistics Ltd.</t>
  </si>
  <si>
    <t>INE766P01016</t>
  </si>
  <si>
    <t>Transport Services</t>
  </si>
  <si>
    <t>101469</t>
  </si>
  <si>
    <t>Equitas Small Finance Bank Ltd.</t>
  </si>
  <si>
    <t>INE063P01018</t>
  </si>
  <si>
    <t>100006</t>
  </si>
  <si>
    <t>HDFC Bank Ltd.</t>
  </si>
  <si>
    <t>INE040A01034</t>
  </si>
  <si>
    <t>100148</t>
  </si>
  <si>
    <t>Motilal Oswal Financial Services Ltd.</t>
  </si>
  <si>
    <t>INE338I01027</t>
  </si>
  <si>
    <t>Capital Markets</t>
  </si>
  <si>
    <t>100061</t>
  </si>
  <si>
    <t>KEC International Ltd.</t>
  </si>
  <si>
    <t>INE389H01022</t>
  </si>
  <si>
    <t>Electrical Equipment</t>
  </si>
  <si>
    <t>100271</t>
  </si>
  <si>
    <t>Balkrishna Industries Ltd.</t>
  </si>
  <si>
    <t>INE787D01026</t>
  </si>
  <si>
    <t>Auto Components</t>
  </si>
  <si>
    <t>100035</t>
  </si>
  <si>
    <t>NMDC Ltd.</t>
  </si>
  <si>
    <t>INE584A01023</t>
  </si>
  <si>
    <t>Minerals &amp; Mining</t>
  </si>
  <si>
    <t>100039</t>
  </si>
  <si>
    <t>Bajaj Auto Ltd.</t>
  </si>
  <si>
    <t>INE917I01010</t>
  </si>
  <si>
    <t>Automobiles</t>
  </si>
  <si>
    <t>100544</t>
  </si>
  <si>
    <t>Quess Corp Ltd.</t>
  </si>
  <si>
    <t>INE615P01015</t>
  </si>
  <si>
    <t>Commercial Services &amp; Supplies</t>
  </si>
  <si>
    <t>100080</t>
  </si>
  <si>
    <t>Dr. Reddy's Laboratories Ltd.</t>
  </si>
  <si>
    <t>INE089A01023</t>
  </si>
  <si>
    <t>101213</t>
  </si>
  <si>
    <t>Mrs. Bectors Food Specialities Ltd.</t>
  </si>
  <si>
    <t>INE495P01012</t>
  </si>
  <si>
    <t>Food Products</t>
  </si>
  <si>
    <t>100253</t>
  </si>
  <si>
    <t>Amara Raja Batteries Ltd.</t>
  </si>
  <si>
    <t>INE885A01032</t>
  </si>
  <si>
    <t>100367</t>
  </si>
  <si>
    <t>Exide Industries Ltd.</t>
  </si>
  <si>
    <t>INE302A01020</t>
  </si>
  <si>
    <t>101797</t>
  </si>
  <si>
    <t>Bajaj Hindusthan Sugar Ltd.</t>
  </si>
  <si>
    <t>INE306A01021</t>
  </si>
  <si>
    <t>Agricultural Food &amp; other Products</t>
  </si>
  <si>
    <t>101775</t>
  </si>
  <si>
    <t>NMDC Steel Ltd.</t>
  </si>
  <si>
    <t>INE0NNS01018</t>
  </si>
  <si>
    <t>Ferrous Metals</t>
  </si>
  <si>
    <t>A**</t>
  </si>
  <si>
    <t>101434</t>
  </si>
  <si>
    <t>CMS INFOSYSTEMS LTD.</t>
  </si>
  <si>
    <t>INE925R01014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</si>
  <si>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</si>
  <si>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</si>
  <si>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</si>
  <si>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</si>
  <si>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</si>
  <si>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</si>
  <si>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</si>
  <si>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</si>
  <si>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</si>
  <si>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</si>
  <si>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</si>
  <si>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</si>
  <si>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</si>
  <si>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</si>
  <si>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</si>
  <si>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</si>
  <si>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</si>
  <si>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</si>
  <si>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</si>
  <si>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</si>
  <si>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</si>
  <si>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</si>
  <si>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</si>
  <si>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</si>
  <si>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</si>
  <si>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</si>
  <si>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</si>
  <si>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</si>
  <si>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Tax Shield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</si>
  <si>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</si>
  <si>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</si>
  <si>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</si>
  <si>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</si>
  <si>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</si>
  <si>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</si>
  <si>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</si>
  <si>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</si>
  <si>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</si>
  <si>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</si>
  <si>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November 30, 2022 : 120.29)</t>
  </si>
  <si>
    <t>Taurus Tax Shield - Direct Plan Growth Option</t>
  </si>
  <si>
    <t>NAV [Rs.] Per Unit (as on November 30, 2022 : 128.92)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</si>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</sst>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143933</xdr:colOff>
      <xdr:row>0</xdr:row>
      <xdr:rowOff>152400</xdr:rowOff>
    </xdr:from>
    <xdr:to>
      <xdr:col>5</xdr:col>
      <xdr:colOff>7112</xdr:colOff>
      <xdr:row>0</xdr:row>
      <xdr:rowOff>2075688</xdr:rowOff>
    </xdr:to>
    <xdr:pic>
      <xdr:nvPicPr>
        <xdr:cNvPr id="2" name="Picture 1" descr="Tax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933" y="152400"/>
          <a:ext cx="6992112" cy="19232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Nov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88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82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44895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20500</v>
      </c>
      <c r="H10" s="32">
        <v>551.78</v>
      </c>
      <c r="I10" s="32">
        <v>8.61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47000</v>
      </c>
      <c r="H11" s="32">
        <v>526.75</v>
      </c>
      <c r="I11" s="32">
        <v>8.2200000000000006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140000</v>
      </c>
      <c r="H12" s="32">
        <v>476.07</v>
      </c>
      <c r="I12" s="32">
        <v>7.42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6903</v>
      </c>
      <c r="H13" s="32">
        <v>433.09</v>
      </c>
      <c r="I13" s="32">
        <v>6.75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42000</v>
      </c>
      <c r="H14" s="32">
        <v>400.43</v>
      </c>
      <c r="I14" s="32">
        <v>6.24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16000</v>
      </c>
      <c r="H15" s="32">
        <v>332.37</v>
      </c>
      <c r="I15" s="32">
        <v>5.18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22</v>
      </c>
      <c r="G16" s="31">
        <v>28500</v>
      </c>
      <c r="H16" s="32">
        <v>307.02999999999997</v>
      </c>
      <c r="I16" s="32">
        <v>4.79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33</v>
      </c>
      <c r="G17" s="31">
        <v>34000</v>
      </c>
      <c r="H17" s="32">
        <v>306.51</v>
      </c>
      <c r="I17" s="32">
        <v>4.78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22</v>
      </c>
      <c r="G18" s="31">
        <v>8200</v>
      </c>
      <c r="H18" s="32">
        <v>278.18</v>
      </c>
      <c r="I18" s="32">
        <v>4.34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279553</v>
      </c>
      <c r="H19" s="32">
        <v>254.25</v>
      </c>
      <c r="I19" s="32">
        <v>3.97</v>
      </c>
      <c r="J19" s="33"/>
    </row>
    <row r="20" spans="2:10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34022</v>
      </c>
      <c r="H20" s="32">
        <v>252.21</v>
      </c>
      <c r="I20" s="32">
        <v>3.93</v>
      </c>
      <c r="J20" s="33"/>
    </row>
    <row r="21" spans="2:10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15000</v>
      </c>
      <c r="H21" s="32">
        <v>171.05</v>
      </c>
      <c r="I21" s="32">
        <v>2.67</v>
      </c>
      <c r="J21" s="33"/>
    </row>
    <row r="22" spans="2:10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32000</v>
      </c>
      <c r="H22" s="32">
        <v>169.5</v>
      </c>
      <c r="I22" s="32">
        <v>2.64</v>
      </c>
      <c r="J22" s="33"/>
    </row>
    <row r="23" spans="2:10">
      <c r="B23" s="1" t="s">
        <v>63</v>
      </c>
      <c r="C23" s="20" t="s">
        <v>64</v>
      </c>
      <c r="D23" s="29" t="s">
        <v>65</v>
      </c>
      <c r="E23" s="30"/>
      <c r="F23" s="30" t="s">
        <v>33</v>
      </c>
      <c r="G23" s="31">
        <v>275000</v>
      </c>
      <c r="H23" s="32">
        <v>157.03</v>
      </c>
      <c r="I23" s="32">
        <v>2.4500000000000002</v>
      </c>
      <c r="J23" s="33"/>
    </row>
    <row r="24" spans="2:10">
      <c r="B24" s="1" t="s">
        <v>66</v>
      </c>
      <c r="C24" s="20" t="s">
        <v>67</v>
      </c>
      <c r="D24" s="29" t="s">
        <v>68</v>
      </c>
      <c r="E24" s="30"/>
      <c r="F24" s="30" t="s">
        <v>33</v>
      </c>
      <c r="G24" s="31">
        <v>9000</v>
      </c>
      <c r="H24" s="32">
        <v>144.79</v>
      </c>
      <c r="I24" s="32">
        <v>2.2599999999999998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72</v>
      </c>
      <c r="G25" s="31">
        <v>21275</v>
      </c>
      <c r="H25" s="32">
        <v>141.13</v>
      </c>
      <c r="I25" s="32">
        <v>2.2000000000000002</v>
      </c>
      <c r="J25" s="33"/>
    </row>
    <row r="26" spans="2:10">
      <c r="B26" s="1" t="s">
        <v>73</v>
      </c>
      <c r="C26" s="20" t="s">
        <v>74</v>
      </c>
      <c r="D26" s="29" t="s">
        <v>75</v>
      </c>
      <c r="E26" s="30"/>
      <c r="F26" s="30" t="s">
        <v>76</v>
      </c>
      <c r="G26" s="31">
        <v>30000</v>
      </c>
      <c r="H26" s="32">
        <v>125.4</v>
      </c>
      <c r="I26" s="32">
        <v>1.96</v>
      </c>
      <c r="J26" s="33"/>
    </row>
    <row r="27" spans="2:10">
      <c r="B27" s="1" t="s">
        <v>77</v>
      </c>
      <c r="C27" s="20" t="s">
        <v>78</v>
      </c>
      <c r="D27" s="29" t="s">
        <v>79</v>
      </c>
      <c r="E27" s="30"/>
      <c r="F27" s="30" t="s">
        <v>80</v>
      </c>
      <c r="G27" s="31">
        <v>5862</v>
      </c>
      <c r="H27" s="32">
        <v>119.7</v>
      </c>
      <c r="I27" s="32">
        <v>1.87</v>
      </c>
      <c r="J27" s="33"/>
    </row>
    <row r="28" spans="2:10">
      <c r="B28" s="1" t="s">
        <v>81</v>
      </c>
      <c r="C28" s="20" t="s">
        <v>82</v>
      </c>
      <c r="D28" s="29" t="s">
        <v>83</v>
      </c>
      <c r="E28" s="30"/>
      <c r="F28" s="30" t="s">
        <v>84</v>
      </c>
      <c r="G28" s="31">
        <v>100000</v>
      </c>
      <c r="H28" s="32">
        <v>117.65</v>
      </c>
      <c r="I28" s="32">
        <v>1.83</v>
      </c>
      <c r="J28" s="33"/>
    </row>
    <row r="29" spans="2:10">
      <c r="B29" s="1" t="s">
        <v>85</v>
      </c>
      <c r="C29" s="20" t="s">
        <v>86</v>
      </c>
      <c r="D29" s="29" t="s">
        <v>87</v>
      </c>
      <c r="E29" s="30"/>
      <c r="F29" s="30" t="s">
        <v>88</v>
      </c>
      <c r="G29" s="31">
        <v>2500</v>
      </c>
      <c r="H29" s="32">
        <v>93.76</v>
      </c>
      <c r="I29" s="32">
        <v>1.46</v>
      </c>
      <c r="J29" s="33"/>
    </row>
    <row r="30" spans="2:10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16864</v>
      </c>
      <c r="H30" s="32">
        <v>73.73</v>
      </c>
      <c r="I30" s="32">
        <v>1.1499999999999999</v>
      </c>
      <c r="J30" s="33"/>
    </row>
    <row r="31" spans="2:10">
      <c r="B31" s="1" t="s">
        <v>93</v>
      </c>
      <c r="C31" s="20" t="s">
        <v>94</v>
      </c>
      <c r="D31" s="29" t="s">
        <v>95</v>
      </c>
      <c r="E31" s="30"/>
      <c r="F31" s="30" t="s">
        <v>58</v>
      </c>
      <c r="G31" s="31">
        <v>1500</v>
      </c>
      <c r="H31" s="32">
        <v>67.290000000000006</v>
      </c>
      <c r="I31" s="32">
        <v>1.05</v>
      </c>
      <c r="J31" s="33"/>
    </row>
    <row r="32" spans="2:10">
      <c r="B32" s="1" t="s">
        <v>96</v>
      </c>
      <c r="C32" s="20" t="s">
        <v>97</v>
      </c>
      <c r="D32" s="29" t="s">
        <v>98</v>
      </c>
      <c r="E32" s="30"/>
      <c r="F32" s="30" t="s">
        <v>99</v>
      </c>
      <c r="G32" s="31">
        <v>15322</v>
      </c>
      <c r="H32" s="32">
        <v>66.59</v>
      </c>
      <c r="I32" s="32">
        <v>1.04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80</v>
      </c>
      <c r="G33" s="31">
        <v>10000</v>
      </c>
      <c r="H33" s="32">
        <v>65</v>
      </c>
      <c r="I33" s="32">
        <v>1.01</v>
      </c>
      <c r="J33" s="33"/>
    </row>
    <row r="34" spans="2:10">
      <c r="B34" s="1" t="s">
        <v>103</v>
      </c>
      <c r="C34" s="20" t="s">
        <v>104</v>
      </c>
      <c r="D34" s="29" t="s">
        <v>105</v>
      </c>
      <c r="E34" s="30"/>
      <c r="F34" s="30" t="s">
        <v>80</v>
      </c>
      <c r="G34" s="31">
        <v>30000</v>
      </c>
      <c r="H34" s="32">
        <v>56.61</v>
      </c>
      <c r="I34" s="32">
        <v>0.88</v>
      </c>
      <c r="J34" s="33"/>
    </row>
    <row r="35" spans="2:10">
      <c r="B35" s="1" t="s">
        <v>106</v>
      </c>
      <c r="C35" s="20" t="s">
        <v>107</v>
      </c>
      <c r="D35" s="29" t="s">
        <v>108</v>
      </c>
      <c r="E35" s="30"/>
      <c r="F35" s="30" t="s">
        <v>109</v>
      </c>
      <c r="G35" s="31">
        <v>500000</v>
      </c>
      <c r="H35" s="32">
        <v>55.7</v>
      </c>
      <c r="I35" s="32">
        <v>0.87</v>
      </c>
      <c r="J35" s="33"/>
    </row>
    <row r="36" spans="2:10">
      <c r="B36" s="1" t="s">
        <v>110</v>
      </c>
      <c r="C36" s="20" t="s">
        <v>111</v>
      </c>
      <c r="D36" s="29" t="s">
        <v>112</v>
      </c>
      <c r="E36" s="30"/>
      <c r="F36" s="30" t="s">
        <v>113</v>
      </c>
      <c r="G36" s="31">
        <v>100000</v>
      </c>
      <c r="H36" s="32">
        <v>26.4</v>
      </c>
      <c r="I36" s="32">
        <v>0.41</v>
      </c>
      <c r="J36" s="33" t="s">
        <v>114</v>
      </c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92</v>
      </c>
      <c r="G37" s="31">
        <v>6083</v>
      </c>
      <c r="H37" s="32">
        <v>20.14</v>
      </c>
      <c r="I37" s="32">
        <v>0.31</v>
      </c>
      <c r="J37" s="33"/>
    </row>
    <row r="38" spans="2:10">
      <c r="C38" s="28" t="s">
        <v>118</v>
      </c>
      <c r="D38" s="29"/>
      <c r="E38" s="30"/>
      <c r="F38" s="30"/>
      <c r="G38" s="31"/>
      <c r="H38" s="35">
        <v>5790.14</v>
      </c>
      <c r="I38" s="35">
        <v>90.29</v>
      </c>
      <c r="J38" s="33"/>
    </row>
    <row r="39" spans="2:10">
      <c r="C39" s="20"/>
      <c r="D39" s="29"/>
      <c r="E39" s="30"/>
      <c r="F39" s="30"/>
      <c r="G39" s="31"/>
      <c r="H39" s="32"/>
      <c r="I39" s="32"/>
      <c r="J39" s="33"/>
    </row>
    <row r="40" spans="2:10">
      <c r="C40" s="28" t="s">
        <v>119</v>
      </c>
      <c r="D40" s="29"/>
      <c r="E40" s="30"/>
      <c r="F40" s="30"/>
      <c r="G40" s="31"/>
      <c r="H40" s="32" t="s">
        <v>120</v>
      </c>
      <c r="I40" s="32" t="s">
        <v>120</v>
      </c>
      <c r="J40" s="33"/>
    </row>
    <row r="41" spans="2:10">
      <c r="C41" s="20"/>
      <c r="D41" s="29"/>
      <c r="E41" s="30"/>
      <c r="F41" s="30"/>
      <c r="G41" s="31"/>
      <c r="H41" s="32"/>
      <c r="I41" s="32"/>
      <c r="J41" s="33"/>
    </row>
    <row r="42" spans="2:10">
      <c r="C42" s="28" t="s">
        <v>121</v>
      </c>
      <c r="D42" s="29"/>
      <c r="E42" s="30"/>
      <c r="F42" s="30"/>
      <c r="G42" s="31"/>
      <c r="H42" s="32" t="s">
        <v>120</v>
      </c>
      <c r="I42" s="32" t="s">
        <v>120</v>
      </c>
      <c r="J42" s="33"/>
    </row>
    <row r="43" spans="2:10">
      <c r="C43" s="20"/>
      <c r="D43" s="29"/>
      <c r="E43" s="30"/>
      <c r="F43" s="30"/>
      <c r="G43" s="31"/>
      <c r="H43" s="32"/>
      <c r="I43" s="32"/>
      <c r="J43" s="33"/>
    </row>
    <row r="44" spans="2:10">
      <c r="C44" s="28" t="s">
        <v>122</v>
      </c>
      <c r="D44" s="29"/>
      <c r="E44" s="30"/>
      <c r="F44" s="30"/>
      <c r="G44" s="31"/>
      <c r="H44" s="32"/>
      <c r="I44" s="32"/>
      <c r="J44" s="33"/>
    </row>
    <row r="45" spans="2:10">
      <c r="C45" s="20"/>
      <c r="D45" s="29"/>
      <c r="E45" s="30"/>
      <c r="F45" s="30"/>
      <c r="G45" s="31"/>
      <c r="H45" s="32"/>
      <c r="I45" s="32"/>
      <c r="J45" s="33"/>
    </row>
    <row r="46" spans="2:10">
      <c r="C46" s="28" t="s">
        <v>123</v>
      </c>
      <c r="D46" s="29"/>
      <c r="E46" s="30"/>
      <c r="F46" s="30"/>
      <c r="G46" s="31"/>
      <c r="H46" s="32" t="s">
        <v>120</v>
      </c>
      <c r="I46" s="32" t="s">
        <v>120</v>
      </c>
      <c r="J46" s="33"/>
    </row>
    <row r="47" spans="2:10">
      <c r="C47" s="20"/>
      <c r="D47" s="29"/>
      <c r="E47" s="30"/>
      <c r="F47" s="30"/>
      <c r="G47" s="31"/>
      <c r="H47" s="32"/>
      <c r="I47" s="32"/>
      <c r="J47" s="33"/>
    </row>
    <row r="48" spans="2:10">
      <c r="C48" s="28" t="s">
        <v>124</v>
      </c>
      <c r="D48" s="29"/>
      <c r="E48" s="30"/>
      <c r="F48" s="30"/>
      <c r="G48" s="31"/>
      <c r="H48" s="32" t="s">
        <v>120</v>
      </c>
      <c r="I48" s="32" t="s">
        <v>120</v>
      </c>
      <c r="J48" s="33"/>
    </row>
    <row r="49" spans="3:10">
      <c r="C49" s="20"/>
      <c r="D49" s="29"/>
      <c r="E49" s="30"/>
      <c r="F49" s="30"/>
      <c r="G49" s="31"/>
      <c r="H49" s="32"/>
      <c r="I49" s="32"/>
      <c r="J49" s="33"/>
    </row>
    <row r="50" spans="3:10">
      <c r="C50" s="28" t="s">
        <v>125</v>
      </c>
      <c r="D50" s="29"/>
      <c r="E50" s="30"/>
      <c r="F50" s="30"/>
      <c r="G50" s="31"/>
      <c r="H50" s="32" t="s">
        <v>120</v>
      </c>
      <c r="I50" s="32" t="s">
        <v>120</v>
      </c>
      <c r="J50" s="33"/>
    </row>
    <row r="51" spans="3:10">
      <c r="C51" s="20"/>
      <c r="D51" s="29"/>
      <c r="E51" s="30"/>
      <c r="F51" s="30"/>
      <c r="G51" s="31"/>
      <c r="H51" s="32"/>
      <c r="I51" s="32"/>
      <c r="J51" s="33"/>
    </row>
    <row r="52" spans="3:10">
      <c r="C52" s="28" t="s">
        <v>126</v>
      </c>
      <c r="D52" s="29"/>
      <c r="E52" s="30"/>
      <c r="F52" s="30"/>
      <c r="G52" s="31"/>
      <c r="H52" s="32" t="s">
        <v>120</v>
      </c>
      <c r="I52" s="32" t="s">
        <v>120</v>
      </c>
      <c r="J52" s="33"/>
    </row>
    <row r="53" spans="3:10">
      <c r="C53" s="20"/>
      <c r="D53" s="29"/>
      <c r="E53" s="30"/>
      <c r="F53" s="30"/>
      <c r="G53" s="31"/>
      <c r="H53" s="32"/>
      <c r="I53" s="32"/>
      <c r="J53" s="33"/>
    </row>
    <row r="54" spans="3:10">
      <c r="C54" s="28" t="s">
        <v>127</v>
      </c>
      <c r="D54" s="29"/>
      <c r="E54" s="30"/>
      <c r="F54" s="30"/>
      <c r="G54" s="31"/>
      <c r="H54" s="32" t="s">
        <v>120</v>
      </c>
      <c r="I54" s="32" t="s">
        <v>120</v>
      </c>
      <c r="J54" s="33"/>
    </row>
    <row r="55" spans="3:10">
      <c r="C55" s="20"/>
      <c r="D55" s="29"/>
      <c r="E55" s="30"/>
      <c r="F55" s="30"/>
      <c r="G55" s="31"/>
      <c r="H55" s="32"/>
      <c r="I55" s="32"/>
      <c r="J55" s="33"/>
    </row>
    <row r="56" spans="3:10">
      <c r="C56" s="28" t="s">
        <v>128</v>
      </c>
      <c r="D56" s="29"/>
      <c r="E56" s="30"/>
      <c r="F56" s="30"/>
      <c r="G56" s="31"/>
      <c r="H56" s="32"/>
      <c r="I56" s="32"/>
      <c r="J56" s="33"/>
    </row>
    <row r="57" spans="3:10">
      <c r="C57" s="20"/>
      <c r="D57" s="29"/>
      <c r="E57" s="30"/>
      <c r="F57" s="30"/>
      <c r="G57" s="31"/>
      <c r="H57" s="32"/>
      <c r="I57" s="32"/>
      <c r="J57" s="33"/>
    </row>
    <row r="58" spans="3:10">
      <c r="C58" s="28" t="s">
        <v>129</v>
      </c>
      <c r="D58" s="29"/>
      <c r="E58" s="30"/>
      <c r="F58" s="30"/>
      <c r="G58" s="31"/>
      <c r="H58" s="32" t="s">
        <v>120</v>
      </c>
      <c r="I58" s="32" t="s">
        <v>120</v>
      </c>
      <c r="J58" s="33"/>
    </row>
    <row r="59" spans="3:10">
      <c r="C59" s="20"/>
      <c r="D59" s="29"/>
      <c r="E59" s="30"/>
      <c r="F59" s="30"/>
      <c r="G59" s="31"/>
      <c r="H59" s="32"/>
      <c r="I59" s="32"/>
      <c r="J59" s="33"/>
    </row>
    <row r="60" spans="3:10">
      <c r="C60" s="28" t="s">
        <v>130</v>
      </c>
      <c r="D60" s="29"/>
      <c r="E60" s="30"/>
      <c r="F60" s="30"/>
      <c r="G60" s="31"/>
      <c r="H60" s="32" t="s">
        <v>120</v>
      </c>
      <c r="I60" s="32" t="s">
        <v>120</v>
      </c>
      <c r="J60" s="33"/>
    </row>
    <row r="61" spans="3:10">
      <c r="C61" s="20"/>
      <c r="D61" s="29"/>
      <c r="E61" s="30"/>
      <c r="F61" s="30"/>
      <c r="G61" s="31"/>
      <c r="H61" s="32"/>
      <c r="I61" s="32"/>
      <c r="J61" s="33"/>
    </row>
    <row r="62" spans="3:10">
      <c r="C62" s="28" t="s">
        <v>131</v>
      </c>
      <c r="D62" s="29"/>
      <c r="E62" s="30"/>
      <c r="F62" s="30"/>
      <c r="G62" s="31"/>
      <c r="H62" s="32" t="s">
        <v>120</v>
      </c>
      <c r="I62" s="32" t="s">
        <v>120</v>
      </c>
      <c r="J62" s="33"/>
    </row>
    <row r="63" spans="3:10">
      <c r="C63" s="20"/>
      <c r="D63" s="29"/>
      <c r="E63" s="30"/>
      <c r="F63" s="30"/>
      <c r="G63" s="31"/>
      <c r="H63" s="32"/>
      <c r="I63" s="32"/>
      <c r="J63" s="33"/>
    </row>
    <row r="64" spans="3:10">
      <c r="C64" s="28" t="s">
        <v>132</v>
      </c>
      <c r="D64" s="29"/>
      <c r="E64" s="30"/>
      <c r="F64" s="30"/>
      <c r="G64" s="31"/>
      <c r="H64" s="32" t="s">
        <v>120</v>
      </c>
      <c r="I64" s="32" t="s">
        <v>120</v>
      </c>
      <c r="J64" s="33"/>
    </row>
    <row r="65" spans="1:10">
      <c r="C65" s="20"/>
      <c r="D65" s="29"/>
      <c r="E65" s="30"/>
      <c r="F65" s="30"/>
      <c r="G65" s="31"/>
      <c r="H65" s="32"/>
      <c r="I65" s="32"/>
      <c r="J65" s="33"/>
    </row>
    <row r="66" spans="1:10">
      <c r="C66" s="28" t="s">
        <v>133</v>
      </c>
      <c r="D66" s="29"/>
      <c r="E66" s="30"/>
      <c r="F66" s="30"/>
      <c r="G66" s="31"/>
      <c r="H66" s="32"/>
      <c r="I66" s="32"/>
      <c r="J66" s="33"/>
    </row>
    <row r="67" spans="1:10">
      <c r="C67" s="20"/>
      <c r="D67" s="29"/>
      <c r="E67" s="30"/>
      <c r="F67" s="30"/>
      <c r="G67" s="31"/>
      <c r="H67" s="32"/>
      <c r="I67" s="32"/>
      <c r="J67" s="33"/>
    </row>
    <row r="68" spans="1:10">
      <c r="C68" s="28" t="s">
        <v>134</v>
      </c>
      <c r="D68" s="29"/>
      <c r="E68" s="30"/>
      <c r="F68" s="30"/>
      <c r="G68" s="31"/>
      <c r="H68" s="32" t="s">
        <v>120</v>
      </c>
      <c r="I68" s="32" t="s">
        <v>120</v>
      </c>
      <c r="J68" s="33"/>
    </row>
    <row r="69" spans="1:10">
      <c r="C69" s="20"/>
      <c r="D69" s="29"/>
      <c r="E69" s="30"/>
      <c r="F69" s="30"/>
      <c r="G69" s="31"/>
      <c r="H69" s="32"/>
      <c r="I69" s="32"/>
      <c r="J69" s="33"/>
    </row>
    <row r="70" spans="1:10">
      <c r="C70" s="28" t="s">
        <v>135</v>
      </c>
      <c r="D70" s="29"/>
      <c r="E70" s="30"/>
      <c r="F70" s="30"/>
      <c r="G70" s="31"/>
      <c r="H70" s="32" t="s">
        <v>120</v>
      </c>
      <c r="I70" s="32" t="s">
        <v>120</v>
      </c>
      <c r="J70" s="33"/>
    </row>
    <row r="71" spans="1:10">
      <c r="C71" s="20"/>
      <c r="D71" s="29"/>
      <c r="E71" s="30"/>
      <c r="F71" s="30"/>
      <c r="G71" s="31"/>
      <c r="H71" s="32"/>
      <c r="I71" s="32"/>
      <c r="J71" s="33"/>
    </row>
    <row r="72" spans="1:10">
      <c r="C72" s="28" t="s">
        <v>136</v>
      </c>
      <c r="D72" s="29"/>
      <c r="E72" s="30"/>
      <c r="F72" s="30"/>
      <c r="G72" s="31"/>
      <c r="H72" s="32" t="s">
        <v>120</v>
      </c>
      <c r="I72" s="32" t="s">
        <v>120</v>
      </c>
      <c r="J72" s="33"/>
    </row>
    <row r="73" spans="1:10">
      <c r="C73" s="20"/>
      <c r="D73" s="29"/>
      <c r="E73" s="30"/>
      <c r="F73" s="30"/>
      <c r="G73" s="31"/>
      <c r="H73" s="32"/>
      <c r="I73" s="32"/>
      <c r="J73" s="33"/>
    </row>
    <row r="74" spans="1:10">
      <c r="C74" s="28" t="s">
        <v>137</v>
      </c>
      <c r="D74" s="29"/>
      <c r="E74" s="30"/>
      <c r="F74" s="30"/>
      <c r="G74" s="31"/>
      <c r="H74" s="32" t="s">
        <v>120</v>
      </c>
      <c r="I74" s="32" t="s">
        <v>120</v>
      </c>
      <c r="J74" s="33"/>
    </row>
    <row r="75" spans="1:10">
      <c r="C75" s="20"/>
      <c r="D75" s="29"/>
      <c r="E75" s="30"/>
      <c r="F75" s="30"/>
      <c r="G75" s="31"/>
      <c r="H75" s="32"/>
      <c r="I75" s="32"/>
      <c r="J75" s="33"/>
    </row>
    <row r="76" spans="1:10">
      <c r="C76" s="28" t="s">
        <v>138</v>
      </c>
      <c r="D76" s="29"/>
      <c r="E76" s="30"/>
      <c r="F76" s="30"/>
      <c r="G76" s="31"/>
      <c r="H76" s="32" t="s">
        <v>120</v>
      </c>
      <c r="I76" s="32" t="s">
        <v>120</v>
      </c>
      <c r="J76" s="33"/>
    </row>
    <row r="77" spans="1:10">
      <c r="C77" s="20"/>
      <c r="D77" s="29"/>
      <c r="E77" s="30"/>
      <c r="F77" s="30"/>
      <c r="G77" s="31"/>
      <c r="H77" s="32"/>
      <c r="I77" s="32"/>
      <c r="J77" s="33"/>
    </row>
    <row r="78" spans="1:10">
      <c r="A78" s="26"/>
      <c r="B78" s="27"/>
      <c r="C78" s="28" t="s">
        <v>139</v>
      </c>
      <c r="D78" s="29"/>
      <c r="E78" s="30"/>
      <c r="F78" s="30"/>
      <c r="G78" s="31"/>
      <c r="H78" s="32"/>
      <c r="I78" s="32"/>
      <c r="J78" s="33"/>
    </row>
    <row r="79" spans="1:10">
      <c r="B79" s="1"/>
      <c r="C79" s="20" t="s">
        <v>140</v>
      </c>
      <c r="D79" s="29"/>
      <c r="E79" s="30"/>
      <c r="F79" s="30"/>
      <c r="G79" s="31"/>
      <c r="H79" s="32">
        <v>621.91999999999996</v>
      </c>
      <c r="I79" s="32">
        <v>9.7099999999999991</v>
      </c>
      <c r="J79" s="33"/>
    </row>
    <row r="80" spans="1:10">
      <c r="C80" s="28" t="s">
        <v>118</v>
      </c>
      <c r="D80" s="29"/>
      <c r="E80" s="30"/>
      <c r="F80" s="30"/>
      <c r="G80" s="31"/>
      <c r="H80" s="35">
        <v>621.91999999999996</v>
      </c>
      <c r="I80" s="35">
        <v>9.7099999999999991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 ht="13.8" thickBot="1">
      <c r="C82" s="36" t="s">
        <v>141</v>
      </c>
      <c r="D82" s="37"/>
      <c r="E82" s="38"/>
      <c r="F82" s="39"/>
      <c r="G82" s="40"/>
      <c r="H82" s="41">
        <v>6412.06</v>
      </c>
      <c r="I82" s="41">
        <f>SUMIFS(I:I,C:C,"Total")</f>
        <v>100</v>
      </c>
      <c r="J82" s="42"/>
    </row>
    <row r="85" spans="3:10">
      <c r="C85" s="11" t="s">
        <v>142</v>
      </c>
    </row>
    <row r="86" spans="3:10">
      <c r="C86" s="2" t="s">
        <v>143</v>
      </c>
    </row>
    <row r="87" spans="3:10">
      <c r="C87" s="2" t="s">
        <v>144</v>
      </c>
    </row>
    <row r="88" spans="3:10">
      <c r="C88" s="2" t="s">
        <v>145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20"/>
  <sheetViews>
    <sheetView workbookViewId="0">
      <selection activeCell="A4" sqref="A4"/>
    </sheetView>
  </sheetViews>
  <sheetFormatPr defaultRowHeight="14.4"/>
  <cols>
    <col min="2" max="2" width="48.109375" customWidth="1"/>
    <col min="4" max="4" width="11" bestFit="1" customWidth="1"/>
    <col min="6" max="6" width="11" bestFit="1" customWidth="1"/>
    <col min="8" max="8" width="11" bestFit="1" customWidth="1"/>
    <col min="10" max="10" width="12" bestFit="1" customWidth="1"/>
  </cols>
  <sheetData>
    <row r="4" spans="2:10" ht="15.6">
      <c r="B4" s="43" t="s">
        <v>146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147</v>
      </c>
      <c r="C5" s="46" t="s">
        <v>148</v>
      </c>
      <c r="D5" s="46"/>
      <c r="E5" s="46" t="s">
        <v>149</v>
      </c>
      <c r="F5" s="46"/>
      <c r="G5" s="46" t="s">
        <v>150</v>
      </c>
      <c r="H5" s="46"/>
      <c r="I5" s="46" t="s">
        <v>151</v>
      </c>
      <c r="J5" s="46"/>
    </row>
    <row r="6" spans="2:10" ht="66">
      <c r="B6" s="47"/>
      <c r="C6" s="48" t="s">
        <v>152</v>
      </c>
      <c r="D6" s="48" t="s">
        <v>153</v>
      </c>
      <c r="E6" s="48" t="s">
        <v>152</v>
      </c>
      <c r="F6" s="48" t="s">
        <v>153</v>
      </c>
      <c r="G6" s="48" t="s">
        <v>152</v>
      </c>
      <c r="H6" s="48" t="s">
        <v>153</v>
      </c>
      <c r="I6" s="48" t="s">
        <v>152</v>
      </c>
      <c r="J6" s="48" t="s">
        <v>153</v>
      </c>
    </row>
    <row r="7" spans="2:10">
      <c r="B7" s="49" t="s">
        <v>154</v>
      </c>
      <c r="C7" s="50">
        <v>10.530184691721045</v>
      </c>
      <c r="D7" s="50">
        <v>11053.018469172104</v>
      </c>
      <c r="E7" s="50">
        <v>14.161302432618573</v>
      </c>
      <c r="F7" s="50">
        <v>14889.218962742912</v>
      </c>
      <c r="G7" s="50">
        <v>10.24638404915037</v>
      </c>
      <c r="H7" s="50">
        <v>16290.628385698808</v>
      </c>
      <c r="I7" s="50">
        <v>11.500171663540627</v>
      </c>
      <c r="J7" s="50">
        <v>120290</v>
      </c>
    </row>
    <row r="8" spans="2:10">
      <c r="B8" s="49" t="s">
        <v>155</v>
      </c>
      <c r="C8" s="50">
        <v>10.726669816751366</v>
      </c>
      <c r="D8" s="50">
        <v>11072.666981675136</v>
      </c>
      <c r="E8" s="50">
        <v>19.239945886088307</v>
      </c>
      <c r="F8" s="50">
        <v>16953.731888214264</v>
      </c>
      <c r="G8" s="50">
        <v>13.300331322352799</v>
      </c>
      <c r="H8" s="50">
        <v>18670.497881609008</v>
      </c>
      <c r="I8" s="50">
        <v>0</v>
      </c>
      <c r="J8" s="50">
        <v>0</v>
      </c>
    </row>
    <row r="9" spans="2:10">
      <c r="B9" s="49" t="s">
        <v>156</v>
      </c>
      <c r="C9" s="50">
        <v>11.931290069610267</v>
      </c>
      <c r="D9" s="50">
        <v>11193.129006961026</v>
      </c>
      <c r="E9" s="50">
        <v>17.224616227246557</v>
      </c>
      <c r="F9" s="50">
        <v>16108.550347465627</v>
      </c>
      <c r="G9" s="50">
        <v>14.315814346076849</v>
      </c>
      <c r="H9" s="50">
        <v>19522.326520255341</v>
      </c>
      <c r="I9" s="50">
        <v>13.012266066058121</v>
      </c>
      <c r="J9" s="50">
        <v>261608.9217263422</v>
      </c>
    </row>
    <row r="10" spans="2:10">
      <c r="B10" s="49" t="s">
        <v>157</v>
      </c>
      <c r="C10" s="51">
        <v>108.83</v>
      </c>
      <c r="D10" s="52"/>
      <c r="E10" s="51">
        <v>80.790000000000006</v>
      </c>
      <c r="F10" s="52"/>
      <c r="G10" s="51">
        <v>73.84</v>
      </c>
      <c r="H10" s="52"/>
      <c r="I10" s="51">
        <v>10</v>
      </c>
      <c r="J10" s="52"/>
    </row>
    <row r="12" spans="2:10" ht="15.6">
      <c r="B12" s="43" t="s">
        <v>158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147</v>
      </c>
      <c r="C13" s="46" t="s">
        <v>148</v>
      </c>
      <c r="D13" s="46"/>
      <c r="E13" s="46" t="s">
        <v>149</v>
      </c>
      <c r="F13" s="46"/>
      <c r="G13" s="46" t="s">
        <v>150</v>
      </c>
      <c r="H13" s="46"/>
      <c r="I13" s="46" t="s">
        <v>151</v>
      </c>
      <c r="J13" s="46"/>
    </row>
    <row r="14" spans="2:10" ht="66">
      <c r="B14" s="47"/>
      <c r="C14" s="48" t="s">
        <v>152</v>
      </c>
      <c r="D14" s="48" t="s">
        <v>153</v>
      </c>
      <c r="E14" s="48" t="s">
        <v>152</v>
      </c>
      <c r="F14" s="48" t="s">
        <v>153</v>
      </c>
      <c r="G14" s="48" t="s">
        <v>152</v>
      </c>
      <c r="H14" s="48" t="s">
        <v>153</v>
      </c>
      <c r="I14" s="48" t="s">
        <v>152</v>
      </c>
      <c r="J14" s="48" t="s">
        <v>153</v>
      </c>
    </row>
    <row r="15" spans="2:10">
      <c r="B15" s="49" t="s">
        <v>154</v>
      </c>
      <c r="C15" s="50">
        <v>11.25302036589575</v>
      </c>
      <c r="D15" s="50">
        <v>11125.302036589575</v>
      </c>
      <c r="E15" s="50">
        <v>14.987399801036583</v>
      </c>
      <c r="F15" s="50">
        <v>15215.390062551633</v>
      </c>
      <c r="G15" s="50">
        <v>11.007507159885455</v>
      </c>
      <c r="H15" s="50">
        <v>16861.103845147791</v>
      </c>
      <c r="I15" s="50">
        <v>12.902966062283362</v>
      </c>
      <c r="J15" s="50">
        <v>33321.27164642026</v>
      </c>
    </row>
    <row r="16" spans="2:10">
      <c r="B16" s="49" t="s">
        <v>155</v>
      </c>
      <c r="C16" s="50">
        <v>10.726669816751366</v>
      </c>
      <c r="D16" s="50">
        <v>11072.666981675136</v>
      </c>
      <c r="E16" s="50">
        <v>19.239945886088307</v>
      </c>
      <c r="F16" s="50">
        <v>16953.731888214264</v>
      </c>
      <c r="G16" s="50">
        <v>13.300331322352799</v>
      </c>
      <c r="H16" s="50">
        <v>18670.497881609008</v>
      </c>
      <c r="I16" s="50">
        <v>14.372544117048003</v>
      </c>
      <c r="J16" s="50">
        <v>37881.245177092991</v>
      </c>
    </row>
    <row r="17" spans="2:10">
      <c r="B17" s="49" t="s">
        <v>156</v>
      </c>
      <c r="C17" s="50">
        <v>11.931290069610267</v>
      </c>
      <c r="D17" s="50">
        <v>11193.129006961026</v>
      </c>
      <c r="E17" s="50">
        <v>17.224616227246557</v>
      </c>
      <c r="F17" s="50">
        <v>16108.550347465627</v>
      </c>
      <c r="G17" s="50">
        <v>14.315814346076849</v>
      </c>
      <c r="H17" s="50">
        <v>19522.326520255341</v>
      </c>
      <c r="I17" s="50">
        <v>13.674958569647577</v>
      </c>
      <c r="J17" s="50">
        <v>35651.093608266827</v>
      </c>
    </row>
    <row r="18" spans="2:10">
      <c r="B18" s="49" t="s">
        <v>159</v>
      </c>
      <c r="C18" s="51">
        <v>115.88</v>
      </c>
      <c r="D18" s="52"/>
      <c r="E18" s="51">
        <v>84.73</v>
      </c>
      <c r="F18" s="52"/>
      <c r="G18" s="51">
        <v>76.459999999999994</v>
      </c>
      <c r="H18" s="52"/>
      <c r="I18" s="51">
        <v>38.69</v>
      </c>
      <c r="J18" s="52"/>
    </row>
    <row r="20" spans="2:10">
      <c r="B20" t="s">
        <v>160</v>
      </c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TTS-Risk-O-Meter &amp; Portfolio</vt:lpstr>
      <vt:lpstr>TTS -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2022-12-01T10:12:30Z</dcterms:created>
  <dcterms:modified xsi:type="dcterms:W3CDTF">2022-12-09T06:40:38Z</dcterms:modified>
</cp:coreProperties>
</file>