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BFS-Risk-o-Meter &amp; Portfolio" sheetId="3" r:id="rId1"/>
    <sheet name="TBFS-Performace" sheetId="12" r:id="rId2"/>
  </sheets>
  <definedNames>
    <definedName name="XDO_?AUM?">#REF!</definedName>
    <definedName name="XDO_?CLASS_3?">#REF!</definedName>
    <definedName name="XDO_?CLASS_3?1?">'TBFS-Risk-o-Meter &amp; Portfolio'!$C$8:$C$26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'TBFS-Risk-o-Meter &amp; Portfolio'!$D$10:$D$26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'TBFS-Risk-o-Meter &amp; Portfolio'!$D$10:$D$68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'TBFS-Risk-o-Meter &amp; Portfolio'!$H$10:$H$26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'TBFS-Risk-o-Meter &amp; Portfolio'!$H$10:$H$68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'TBFS-Risk-o-Meter &amp; Portfolio'!$C$10:$C$26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'TBFS-Risk-o-Meter &amp; Portfolio'!$C$10:$C$68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'TBFS-Risk-o-Meter &amp; Portfolio'!$I$10:$I$26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'TBFS-Risk-o-Meter &amp; Portfolio'!$I$10:$I$68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'TBFS-Risk-o-Meter &amp; Portfolio'!$G$10:$G$26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'TBFS-Risk-o-Meter &amp; Portfolio'!$G$10:$G$68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'TBFS-Risk-o-Meter &amp; Portfolio'!$F$10:$F$26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'TBFS-Risk-o-Meter &amp; Portfolio'!$F$10:$F$68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'TBFS-Risk-o-Meter &amp; Portfolio'!#REF!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'TBFS-Risk-o-Meter &amp; Portfolio'!$C$2:$C$26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'TBFS-Risk-o-Meter &amp; Portfolio'!#REF!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'TBFS-Risk-o-Meter &amp; Portfolio'!#REF!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'TBFS-Risk-o-Meter &amp; Portfolio'!$B$10:$B$26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'TBFS-Risk-o-Meter &amp; Portfolio'!$B$10:$B$68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'TBFS-Risk-o-Meter &amp; Portfolio'!$D$2:$D$26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'TBFS-Risk-o-Meter &amp; Portfolio'!$E$10:$E$26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'TBFS-Risk-o-Meter &amp; Portfolio'!$E$10:$E$68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'TBFS-Risk-o-Meter &amp; Portfolio'!$J$10:$J$26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'TBFS-Risk-o-Meter &amp; Portfolio'!$J$10:$J$68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'TBFS-Risk-o-Meter &amp; Portfolio'!$A$8:$A$26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'TBFS-Risk-o-Meter &amp; Portfolio'!$2:$71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'TBFS-Risk-o-Meter &amp; Portfolio'!$8:$70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'TBFS-Risk-o-Meter &amp; Portfolio'!$B$10:$IV$26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'TBFS-Risk-o-Meter &amp; Portfolio'!$B$68:$IV$68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1" i="3"/>
</calcChain>
</file>

<file path=xl/sharedStrings.xml><?xml version="1.0" encoding="utf-8"?>
<sst xmlns="http://schemas.openxmlformats.org/spreadsheetml/2006/main" count="179" uniqueCount="112">
  <si>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</si>
  <si>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</si>
  <si>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</si>
  <si>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</si>
  <si>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</si>
  <si>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</si>
  <si>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</si>
  <si>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</si>
  <si>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</si>
  <si>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</si>
  <si>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</si>
  <si>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</si>
  <si>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</si>
  <si>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</si>
  <si>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</si>
  <si>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</si>
  <si>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</si>
  <si>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</si>
  <si>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</si>
  <si>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</si>
  <si>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</si>
  <si>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</si>
  <si>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</si>
  <si>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</si>
  <si>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</si>
  <si>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</si>
  <si>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</si>
  <si>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</si>
  <si>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</si>
  <si>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</si>
  <si>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</si>
  <si>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</si>
  <si>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</si>
  <si>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</si>
  <si>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</si>
  <si>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</si>
  <si>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</si>
  <si>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</si>
  <si>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</si>
  <si>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</si>
  <si>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</si>
  <si>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</si>
  <si>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</si>
  <si>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</si>
  <si>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</si>
  <si>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</si>
  <si>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</si>
  <si>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</si>
  <si>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</si>
  <si>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</si>
  <si>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</si>
  <si>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</si>
  <si>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</si>
  <si>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</si>
  <si>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</si>
  <si>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100036</t>
  </si>
  <si>
    <t>Mahindra &amp; Mahindra Financial Services Ltd.</t>
  </si>
  <si>
    <t>INE774D01024</t>
  </si>
  <si>
    <t>100814</t>
  </si>
  <si>
    <t>HDFC Asset Management Company Ltd.</t>
  </si>
  <si>
    <t>INE127D01025</t>
  </si>
  <si>
    <t>100013</t>
  </si>
  <si>
    <t>IndusInd Bank Ltd.</t>
  </si>
  <si>
    <t>INE095A01012</t>
  </si>
  <si>
    <t>100125</t>
  </si>
  <si>
    <t>Bajaj Finance Ltd.</t>
  </si>
  <si>
    <t>INE296A01024</t>
  </si>
  <si>
    <t>100706</t>
  </si>
  <si>
    <t>HDFC Life Insurance Company Ltd.</t>
  </si>
  <si>
    <t>INE795G01014</t>
  </si>
  <si>
    <t>Insurance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</si>
  <si>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</si>
  <si>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</si>
  <si>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</si>
  <si>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</si>
  <si>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</si>
  <si>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</si>
  <si>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</si>
  <si>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</si>
  <si>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</si>
  <si>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</si>
  <si>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</si>
  <si>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</si>
  <si>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</si>
  <si>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</si>
  <si>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</si>
  <si>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100160</t>
  </si>
  <si>
    <t>ICRA Ltd.</t>
  </si>
  <si>
    <t>INE725G01011</t>
  </si>
  <si>
    <t>100380</t>
  </si>
  <si>
    <t>Bajaj Finserv Ltd.</t>
  </si>
  <si>
    <t>INE918I01018</t>
  </si>
  <si>
    <t>100453</t>
  </si>
  <si>
    <t>RBL Bank Ltd.</t>
  </si>
  <si>
    <t>INE976G01028</t>
  </si>
  <si>
    <t>100665</t>
  </si>
  <si>
    <t>Aditya Birla Capital Ltd.</t>
  </si>
  <si>
    <t>INE674K01013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</si>
  <si>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</si>
  <si>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</si>
  <si>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</si>
  <si>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</si>
  <si>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</si>
  <si>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</si>
  <si>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</si>
  <si>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</si>
  <si>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</si>
  <si>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Banking &amp; Financial Services Fund - Regular Plan Growth Option</t>
  </si>
  <si>
    <t>S&amp;P BSE Bankex Index TRI (Benchmark)</t>
  </si>
  <si>
    <t>NAV [Rs.] Per Unit (as on September 30, 2021 : 35.14)</t>
  </si>
  <si>
    <t>Taurus Banking &amp; Financial Services Fund - Direct Plan Growth Option</t>
  </si>
  <si>
    <t>NAV [Rs.] Per Unit (as on September 30, 2021 : 38.14)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</si>
</sst>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77"/>
  <sheetViews>
    <sheetView showGridLines="0" tabSelected="1" zoomScale="90" zoomScaleNormal="90" workbookViewId="0"/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85.9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78</v>
      </c>
      <c r="J2" s="33"/>
    </row>
    <row r="3" spans="1:54" ht="16.5">
      <c r="C3" s="1" t="s">
        <v>24</v>
      </c>
      <c r="D3" s="26" t="s">
        <v>79</v>
      </c>
    </row>
    <row r="4" spans="1:54" ht="15.75">
      <c r="C4" s="1" t="s">
        <v>25</v>
      </c>
      <c r="D4" s="27">
        <v>44469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31134</v>
      </c>
      <c r="H10" s="29">
        <v>218.19</v>
      </c>
      <c r="I10" s="29">
        <v>23.36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12495</v>
      </c>
      <c r="H11" s="29">
        <v>199.36</v>
      </c>
      <c r="I11" s="29">
        <v>21.34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7279</v>
      </c>
      <c r="H12" s="29">
        <v>145.88</v>
      </c>
      <c r="I12" s="29">
        <v>15.62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20087</v>
      </c>
      <c r="H13" s="29">
        <v>91</v>
      </c>
      <c r="I13" s="29">
        <v>9.74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1873</v>
      </c>
      <c r="H14" s="29">
        <v>51.59</v>
      </c>
      <c r="I14" s="29">
        <v>5.52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5709</v>
      </c>
      <c r="H15" s="29">
        <v>43.78</v>
      </c>
      <c r="I15" s="29">
        <v>4.6900000000000004</v>
      </c>
      <c r="J15" s="12"/>
    </row>
    <row r="16" spans="1:54">
      <c r="B16" s="11" t="s">
        <v>64</v>
      </c>
      <c r="C16" s="39" t="s">
        <v>65</v>
      </c>
      <c r="D16" s="36" t="s">
        <v>66</v>
      </c>
      <c r="E16" s="9"/>
      <c r="F16" s="9" t="s">
        <v>44</v>
      </c>
      <c r="G16" s="24">
        <v>478</v>
      </c>
      <c r="H16" s="29">
        <v>36.67</v>
      </c>
      <c r="I16" s="29">
        <v>3.93</v>
      </c>
      <c r="J16" s="12"/>
    </row>
    <row r="17" spans="2:10">
      <c r="B17" s="11" t="s">
        <v>80</v>
      </c>
      <c r="C17" s="39" t="s">
        <v>81</v>
      </c>
      <c r="D17" s="36" t="s">
        <v>82</v>
      </c>
      <c r="E17" s="9"/>
      <c r="F17" s="9" t="s">
        <v>44</v>
      </c>
      <c r="G17" s="24">
        <v>4920</v>
      </c>
      <c r="H17" s="29">
        <v>27.73</v>
      </c>
      <c r="I17" s="29">
        <v>2.97</v>
      </c>
      <c r="J17" s="12"/>
    </row>
    <row r="18" spans="2:10">
      <c r="B18" s="11" t="s">
        <v>83</v>
      </c>
      <c r="C18" s="39" t="s">
        <v>84</v>
      </c>
      <c r="D18" s="36" t="s">
        <v>85</v>
      </c>
      <c r="E18" s="9"/>
      <c r="F18" s="9" t="s">
        <v>44</v>
      </c>
      <c r="G18" s="24">
        <v>770</v>
      </c>
      <c r="H18" s="29">
        <v>18.87</v>
      </c>
      <c r="I18" s="29">
        <v>2.02</v>
      </c>
      <c r="J18" s="12"/>
    </row>
    <row r="19" spans="2:10">
      <c r="B19" s="11" t="s">
        <v>55</v>
      </c>
      <c r="C19" s="39" t="s">
        <v>56</v>
      </c>
      <c r="D19" s="36" t="s">
        <v>57</v>
      </c>
      <c r="E19" s="9"/>
      <c r="F19" s="9" t="s">
        <v>44</v>
      </c>
      <c r="G19" s="24">
        <v>9737</v>
      </c>
      <c r="H19" s="29">
        <v>18.03</v>
      </c>
      <c r="I19" s="29">
        <v>1.93</v>
      </c>
      <c r="J19" s="12"/>
    </row>
    <row r="20" spans="2:10">
      <c r="B20" s="11" t="s">
        <v>61</v>
      </c>
      <c r="C20" s="39" t="s">
        <v>62</v>
      </c>
      <c r="D20" s="36" t="s">
        <v>63</v>
      </c>
      <c r="E20" s="9"/>
      <c r="F20" s="9" t="s">
        <v>37</v>
      </c>
      <c r="G20" s="24">
        <v>1489</v>
      </c>
      <c r="H20" s="29">
        <v>16.559999999999999</v>
      </c>
      <c r="I20" s="29">
        <v>1.77</v>
      </c>
      <c r="J20" s="12"/>
    </row>
    <row r="21" spans="2:10">
      <c r="B21" s="11" t="s">
        <v>86</v>
      </c>
      <c r="C21" s="39" t="s">
        <v>87</v>
      </c>
      <c r="D21" s="36" t="s">
        <v>88</v>
      </c>
      <c r="E21" s="9"/>
      <c r="F21" s="9" t="s">
        <v>54</v>
      </c>
      <c r="G21" s="24">
        <v>319</v>
      </c>
      <c r="H21" s="29">
        <v>11.34</v>
      </c>
      <c r="I21" s="29">
        <v>1.21</v>
      </c>
      <c r="J21" s="12"/>
    </row>
    <row r="22" spans="2:10">
      <c r="B22" s="11" t="s">
        <v>89</v>
      </c>
      <c r="C22" s="39" t="s">
        <v>90</v>
      </c>
      <c r="D22" s="36" t="s">
        <v>91</v>
      </c>
      <c r="E22" s="9"/>
      <c r="F22" s="9" t="s">
        <v>70</v>
      </c>
      <c r="G22" s="24">
        <v>60</v>
      </c>
      <c r="H22" s="29">
        <v>10.67</v>
      </c>
      <c r="I22" s="29">
        <v>1.1399999999999999</v>
      </c>
      <c r="J22" s="12"/>
    </row>
    <row r="23" spans="2:10">
      <c r="B23" s="11" t="s">
        <v>92</v>
      </c>
      <c r="C23" s="39" t="s">
        <v>93</v>
      </c>
      <c r="D23" s="36" t="s">
        <v>94</v>
      </c>
      <c r="E23" s="9"/>
      <c r="F23" s="9" t="s">
        <v>37</v>
      </c>
      <c r="G23" s="24">
        <v>5206</v>
      </c>
      <c r="H23" s="29">
        <v>9.94</v>
      </c>
      <c r="I23" s="29">
        <v>1.06</v>
      </c>
      <c r="J23" s="12"/>
    </row>
    <row r="24" spans="2:10">
      <c r="B24" s="11" t="s">
        <v>67</v>
      </c>
      <c r="C24" s="39" t="s">
        <v>68</v>
      </c>
      <c r="D24" s="36" t="s">
        <v>69</v>
      </c>
      <c r="E24" s="9"/>
      <c r="F24" s="9" t="s">
        <v>70</v>
      </c>
      <c r="G24" s="24">
        <v>917</v>
      </c>
      <c r="H24" s="29">
        <v>6.63</v>
      </c>
      <c r="I24" s="29">
        <v>0.71</v>
      </c>
      <c r="J24" s="12"/>
    </row>
    <row r="25" spans="2:10">
      <c r="B25" s="11" t="s">
        <v>58</v>
      </c>
      <c r="C25" s="39" t="s">
        <v>59</v>
      </c>
      <c r="D25" s="36" t="s">
        <v>60</v>
      </c>
      <c r="E25" s="9"/>
      <c r="F25" s="9" t="s">
        <v>54</v>
      </c>
      <c r="G25" s="24">
        <v>197</v>
      </c>
      <c r="H25" s="29">
        <v>5.73</v>
      </c>
      <c r="I25" s="29">
        <v>0.61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44</v>
      </c>
      <c r="G26" s="24">
        <v>3870</v>
      </c>
      <c r="H26" s="29">
        <v>4.3600000000000003</v>
      </c>
      <c r="I26" s="29">
        <v>0.47</v>
      </c>
      <c r="J26" s="12"/>
    </row>
    <row r="27" spans="2:10">
      <c r="C27" s="42" t="s">
        <v>71</v>
      </c>
      <c r="D27" s="36"/>
      <c r="E27" s="9"/>
      <c r="F27" s="9"/>
      <c r="G27" s="24"/>
      <c r="H27" s="30">
        <v>916.33</v>
      </c>
      <c r="I27" s="30">
        <v>98.09</v>
      </c>
      <c r="J27" s="12"/>
    </row>
    <row r="28" spans="2:10">
      <c r="C28" s="39"/>
      <c r="D28" s="36"/>
      <c r="E28" s="9"/>
      <c r="F28" s="9"/>
      <c r="G28" s="24"/>
      <c r="H28" s="29"/>
      <c r="I28" s="29"/>
      <c r="J28" s="12"/>
    </row>
    <row r="29" spans="2:10">
      <c r="C29" s="42" t="s">
        <v>3</v>
      </c>
      <c r="D29" s="36"/>
      <c r="E29" s="9"/>
      <c r="F29" s="9"/>
      <c r="G29" s="24"/>
      <c r="H29" s="29" t="s">
        <v>2</v>
      </c>
      <c r="I29" s="29" t="s">
        <v>2</v>
      </c>
      <c r="J29" s="12"/>
    </row>
    <row r="30" spans="2:10">
      <c r="C30" s="39"/>
      <c r="D30" s="36"/>
      <c r="E30" s="9"/>
      <c r="F30" s="9"/>
      <c r="G30" s="24"/>
      <c r="H30" s="29"/>
      <c r="I30" s="29"/>
      <c r="J30" s="12"/>
    </row>
    <row r="31" spans="2:10">
      <c r="C31" s="42" t="s">
        <v>4</v>
      </c>
      <c r="D31" s="36"/>
      <c r="E31" s="9"/>
      <c r="F31" s="9"/>
      <c r="G31" s="24"/>
      <c r="H31" s="29" t="s">
        <v>2</v>
      </c>
      <c r="I31" s="29" t="s">
        <v>2</v>
      </c>
      <c r="J31" s="12"/>
    </row>
    <row r="32" spans="2:10">
      <c r="C32" s="39"/>
      <c r="D32" s="36"/>
      <c r="E32" s="9"/>
      <c r="F32" s="9"/>
      <c r="G32" s="24"/>
      <c r="H32" s="29"/>
      <c r="I32" s="29"/>
      <c r="J32" s="12"/>
    </row>
    <row r="33" spans="3:10">
      <c r="C33" s="42" t="s">
        <v>5</v>
      </c>
      <c r="D33" s="36"/>
      <c r="E33" s="9"/>
      <c r="F33" s="9"/>
      <c r="G33" s="24"/>
      <c r="H33" s="29"/>
      <c r="I33" s="29"/>
      <c r="J33" s="12"/>
    </row>
    <row r="34" spans="3:10">
      <c r="C34" s="39"/>
      <c r="D34" s="36"/>
      <c r="E34" s="9"/>
      <c r="F34" s="9"/>
      <c r="G34" s="24"/>
      <c r="H34" s="29"/>
      <c r="I34" s="29"/>
      <c r="J34" s="12"/>
    </row>
    <row r="35" spans="3:10">
      <c r="C35" s="42" t="s">
        <v>6</v>
      </c>
      <c r="D35" s="36"/>
      <c r="E35" s="9"/>
      <c r="F35" s="9"/>
      <c r="G35" s="24"/>
      <c r="H35" s="29" t="s">
        <v>2</v>
      </c>
      <c r="I35" s="29" t="s">
        <v>2</v>
      </c>
      <c r="J35" s="12"/>
    </row>
    <row r="36" spans="3:10">
      <c r="C36" s="39"/>
      <c r="D36" s="36"/>
      <c r="E36" s="9"/>
      <c r="F36" s="9"/>
      <c r="G36" s="24"/>
      <c r="H36" s="29"/>
      <c r="I36" s="29"/>
      <c r="J36" s="12"/>
    </row>
    <row r="37" spans="3:10">
      <c r="C37" s="42" t="s">
        <v>7</v>
      </c>
      <c r="D37" s="36"/>
      <c r="E37" s="9"/>
      <c r="F37" s="9"/>
      <c r="G37" s="24"/>
      <c r="H37" s="29" t="s">
        <v>2</v>
      </c>
      <c r="I37" s="29" t="s">
        <v>2</v>
      </c>
      <c r="J37" s="12"/>
    </row>
    <row r="38" spans="3:10">
      <c r="C38" s="39"/>
      <c r="D38" s="36"/>
      <c r="E38" s="9"/>
      <c r="F38" s="9"/>
      <c r="G38" s="24"/>
      <c r="H38" s="29"/>
      <c r="I38" s="29"/>
      <c r="J38" s="12"/>
    </row>
    <row r="39" spans="3:10">
      <c r="C39" s="42" t="s">
        <v>8</v>
      </c>
      <c r="D39" s="36"/>
      <c r="E39" s="9"/>
      <c r="F39" s="9"/>
      <c r="G39" s="24"/>
      <c r="H39" s="29" t="s">
        <v>2</v>
      </c>
      <c r="I39" s="29" t="s">
        <v>2</v>
      </c>
      <c r="J39" s="12"/>
    </row>
    <row r="40" spans="3:10">
      <c r="C40" s="39"/>
      <c r="D40" s="36"/>
      <c r="E40" s="9"/>
      <c r="F40" s="9"/>
      <c r="G40" s="24"/>
      <c r="H40" s="29"/>
      <c r="I40" s="29"/>
      <c r="J40" s="12"/>
    </row>
    <row r="41" spans="3:10">
      <c r="C41" s="42" t="s">
        <v>9</v>
      </c>
      <c r="D41" s="36"/>
      <c r="E41" s="9"/>
      <c r="F41" s="9"/>
      <c r="G41" s="24"/>
      <c r="H41" s="29" t="s">
        <v>2</v>
      </c>
      <c r="I41" s="29" t="s">
        <v>2</v>
      </c>
      <c r="J41" s="12"/>
    </row>
    <row r="42" spans="3:10">
      <c r="C42" s="39"/>
      <c r="D42" s="36"/>
      <c r="E42" s="9"/>
      <c r="F42" s="9"/>
      <c r="G42" s="24"/>
      <c r="H42" s="29"/>
      <c r="I42" s="29"/>
      <c r="J42" s="12"/>
    </row>
    <row r="43" spans="3:10">
      <c r="C43" s="42" t="s">
        <v>10</v>
      </c>
      <c r="D43" s="36"/>
      <c r="E43" s="9"/>
      <c r="F43" s="9"/>
      <c r="G43" s="24"/>
      <c r="H43" s="29" t="s">
        <v>2</v>
      </c>
      <c r="I43" s="29" t="s">
        <v>2</v>
      </c>
      <c r="J43" s="12"/>
    </row>
    <row r="44" spans="3:10">
      <c r="C44" s="39"/>
      <c r="D44" s="36"/>
      <c r="E44" s="9"/>
      <c r="F44" s="9"/>
      <c r="G44" s="24"/>
      <c r="H44" s="29"/>
      <c r="I44" s="29"/>
      <c r="J44" s="12"/>
    </row>
    <row r="45" spans="3:10">
      <c r="C45" s="42" t="s">
        <v>11</v>
      </c>
      <c r="D45" s="36"/>
      <c r="E45" s="9"/>
      <c r="F45" s="9"/>
      <c r="G45" s="24"/>
      <c r="H45" s="29"/>
      <c r="I45" s="29"/>
      <c r="J45" s="12"/>
    </row>
    <row r="46" spans="3:10">
      <c r="C46" s="39"/>
      <c r="D46" s="36"/>
      <c r="E46" s="9"/>
      <c r="F46" s="9"/>
      <c r="G46" s="24"/>
      <c r="H46" s="29"/>
      <c r="I46" s="29"/>
      <c r="J46" s="12"/>
    </row>
    <row r="47" spans="3:10">
      <c r="C47" s="42" t="s">
        <v>12</v>
      </c>
      <c r="D47" s="36"/>
      <c r="E47" s="9"/>
      <c r="F47" s="9"/>
      <c r="G47" s="24"/>
      <c r="H47" s="29" t="s">
        <v>2</v>
      </c>
      <c r="I47" s="29" t="s">
        <v>2</v>
      </c>
      <c r="J47" s="12"/>
    </row>
    <row r="48" spans="3:10">
      <c r="C48" s="39"/>
      <c r="D48" s="36"/>
      <c r="E48" s="9"/>
      <c r="F48" s="9"/>
      <c r="G48" s="24"/>
      <c r="H48" s="29"/>
      <c r="I48" s="29"/>
      <c r="J48" s="12"/>
    </row>
    <row r="49" spans="3:10">
      <c r="C49" s="42" t="s">
        <v>13</v>
      </c>
      <c r="D49" s="36"/>
      <c r="E49" s="9"/>
      <c r="F49" s="9"/>
      <c r="G49" s="24"/>
      <c r="H49" s="29" t="s">
        <v>2</v>
      </c>
      <c r="I49" s="29" t="s">
        <v>2</v>
      </c>
      <c r="J49" s="12"/>
    </row>
    <row r="50" spans="3:10">
      <c r="C50" s="39"/>
      <c r="D50" s="36"/>
      <c r="E50" s="9"/>
      <c r="F50" s="9"/>
      <c r="G50" s="24"/>
      <c r="H50" s="29"/>
      <c r="I50" s="29"/>
      <c r="J50" s="12"/>
    </row>
    <row r="51" spans="3:10">
      <c r="C51" s="42" t="s">
        <v>14</v>
      </c>
      <c r="D51" s="36"/>
      <c r="E51" s="9"/>
      <c r="F51" s="9"/>
      <c r="G51" s="24"/>
      <c r="H51" s="29" t="s">
        <v>2</v>
      </c>
      <c r="I51" s="29" t="s">
        <v>2</v>
      </c>
      <c r="J51" s="12"/>
    </row>
    <row r="52" spans="3:10">
      <c r="C52" s="39"/>
      <c r="D52" s="36"/>
      <c r="E52" s="9"/>
      <c r="F52" s="9"/>
      <c r="G52" s="24"/>
      <c r="H52" s="29"/>
      <c r="I52" s="29"/>
      <c r="J52" s="12"/>
    </row>
    <row r="53" spans="3:10">
      <c r="C53" s="42" t="s">
        <v>15</v>
      </c>
      <c r="D53" s="36"/>
      <c r="E53" s="9"/>
      <c r="F53" s="9"/>
      <c r="G53" s="24"/>
      <c r="H53" s="29" t="s">
        <v>2</v>
      </c>
      <c r="I53" s="29" t="s">
        <v>2</v>
      </c>
      <c r="J53" s="12"/>
    </row>
    <row r="54" spans="3:10">
      <c r="C54" s="39"/>
      <c r="D54" s="36"/>
      <c r="E54" s="9"/>
      <c r="F54" s="9"/>
      <c r="G54" s="24"/>
      <c r="H54" s="29"/>
      <c r="I54" s="29"/>
      <c r="J54" s="12"/>
    </row>
    <row r="55" spans="3:10">
      <c r="C55" s="42" t="s">
        <v>16</v>
      </c>
      <c r="D55" s="36"/>
      <c r="E55" s="9"/>
      <c r="F55" s="9"/>
      <c r="G55" s="24"/>
      <c r="H55" s="29"/>
      <c r="I55" s="29"/>
      <c r="J55" s="12"/>
    </row>
    <row r="56" spans="3:10">
      <c r="C56" s="39"/>
      <c r="D56" s="36"/>
      <c r="E56" s="9"/>
      <c r="F56" s="9"/>
      <c r="G56" s="24"/>
      <c r="H56" s="29"/>
      <c r="I56" s="29"/>
      <c r="J56" s="12"/>
    </row>
    <row r="57" spans="3:10">
      <c r="C57" s="42" t="s">
        <v>17</v>
      </c>
      <c r="D57" s="36"/>
      <c r="E57" s="9"/>
      <c r="F57" s="9"/>
      <c r="G57" s="24"/>
      <c r="H57" s="29" t="s">
        <v>2</v>
      </c>
      <c r="I57" s="29" t="s">
        <v>2</v>
      </c>
      <c r="J57" s="12"/>
    </row>
    <row r="58" spans="3:10">
      <c r="C58" s="39"/>
      <c r="D58" s="36"/>
      <c r="E58" s="9"/>
      <c r="F58" s="9"/>
      <c r="G58" s="24"/>
      <c r="H58" s="29"/>
      <c r="I58" s="29"/>
      <c r="J58" s="12"/>
    </row>
    <row r="59" spans="3:10">
      <c r="C59" s="42" t="s">
        <v>18</v>
      </c>
      <c r="D59" s="36"/>
      <c r="E59" s="9"/>
      <c r="F59" s="9"/>
      <c r="G59" s="24"/>
      <c r="H59" s="29" t="s">
        <v>2</v>
      </c>
      <c r="I59" s="29" t="s">
        <v>2</v>
      </c>
      <c r="J59" s="12"/>
    </row>
    <row r="60" spans="3:10">
      <c r="C60" s="39"/>
      <c r="D60" s="36"/>
      <c r="E60" s="9"/>
      <c r="F60" s="9"/>
      <c r="G60" s="24"/>
      <c r="H60" s="29"/>
      <c r="I60" s="29"/>
      <c r="J60" s="12"/>
    </row>
    <row r="61" spans="3:10">
      <c r="C61" s="42" t="s">
        <v>19</v>
      </c>
      <c r="D61" s="36"/>
      <c r="E61" s="9"/>
      <c r="F61" s="9"/>
      <c r="G61" s="24"/>
      <c r="H61" s="29" t="s">
        <v>2</v>
      </c>
      <c r="I61" s="29" t="s">
        <v>2</v>
      </c>
      <c r="J61" s="12"/>
    </row>
    <row r="62" spans="3:10">
      <c r="C62" s="39"/>
      <c r="D62" s="36"/>
      <c r="E62" s="9"/>
      <c r="F62" s="9"/>
      <c r="G62" s="24"/>
      <c r="H62" s="29"/>
      <c r="I62" s="29"/>
      <c r="J62" s="12"/>
    </row>
    <row r="63" spans="3:10">
      <c r="C63" s="42" t="s">
        <v>20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3:10">
      <c r="C64" s="39"/>
      <c r="D64" s="36"/>
      <c r="E64" s="9"/>
      <c r="F64" s="9"/>
      <c r="G64" s="24"/>
      <c r="H64" s="29"/>
      <c r="I64" s="29"/>
      <c r="J64" s="12"/>
    </row>
    <row r="65" spans="1:10">
      <c r="C65" s="42" t="s">
        <v>21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1:10">
      <c r="C66" s="39"/>
      <c r="D66" s="36"/>
      <c r="E66" s="9"/>
      <c r="F66" s="9"/>
      <c r="G66" s="24"/>
      <c r="H66" s="29"/>
      <c r="I66" s="29"/>
      <c r="J66" s="12"/>
    </row>
    <row r="67" spans="1:10">
      <c r="A67" s="15"/>
      <c r="B67" s="32"/>
      <c r="C67" s="40" t="s">
        <v>22</v>
      </c>
      <c r="D67" s="36"/>
      <c r="E67" s="9"/>
      <c r="F67" s="9"/>
      <c r="G67" s="24"/>
      <c r="H67" s="29"/>
      <c r="I67" s="29"/>
      <c r="J67" s="12"/>
    </row>
    <row r="68" spans="1:10">
      <c r="B68" s="11"/>
      <c r="C68" s="39" t="s">
        <v>72</v>
      </c>
      <c r="D68" s="36"/>
      <c r="E68" s="9"/>
      <c r="F68" s="9"/>
      <c r="G68" s="24"/>
      <c r="H68" s="29">
        <v>17.8</v>
      </c>
      <c r="I68" s="29">
        <v>1.91</v>
      </c>
      <c r="J68" s="12"/>
    </row>
    <row r="69" spans="1:10">
      <c r="C69" s="42" t="s">
        <v>71</v>
      </c>
      <c r="D69" s="36"/>
      <c r="E69" s="9"/>
      <c r="F69" s="9"/>
      <c r="G69" s="24"/>
      <c r="H69" s="30">
        <v>17.8</v>
      </c>
      <c r="I69" s="30">
        <v>1.91</v>
      </c>
      <c r="J69" s="12"/>
    </row>
    <row r="70" spans="1:10">
      <c r="C70" s="39"/>
      <c r="D70" s="36"/>
      <c r="E70" s="9"/>
      <c r="F70" s="9"/>
      <c r="G70" s="24"/>
      <c r="H70" s="29"/>
      <c r="I70" s="29"/>
      <c r="J70" s="12"/>
    </row>
    <row r="71" spans="1:10">
      <c r="C71" s="43" t="s">
        <v>73</v>
      </c>
      <c r="D71" s="37"/>
      <c r="E71" s="6"/>
      <c r="F71" s="7"/>
      <c r="G71" s="25"/>
      <c r="H71" s="31">
        <v>934.13</v>
      </c>
      <c r="I71" s="31">
        <f>SUMIFS(I:I,C:C,"Total")</f>
        <v>100</v>
      </c>
      <c r="J71" s="8"/>
    </row>
    <row r="74" spans="1:10">
      <c r="C74" s="1" t="s">
        <v>74</v>
      </c>
    </row>
    <row r="75" spans="1:10">
      <c r="C75" s="2" t="s">
        <v>75</v>
      </c>
    </row>
    <row r="76" spans="1:10">
      <c r="C76" s="2" t="s">
        <v>76</v>
      </c>
    </row>
    <row r="77" spans="1:10">
      <c r="C77" s="2" t="s">
        <v>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:I17"/>
    </sheetView>
  </sheetViews>
  <sheetFormatPr defaultRowHeight="15"/>
  <cols>
    <col min="1" max="1" width="53.425781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3" spans="1:9" ht="15.75">
      <c r="A3" s="44" t="s">
        <v>107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98</v>
      </c>
      <c r="B4" s="51" t="s">
        <v>99</v>
      </c>
      <c r="C4" s="51"/>
      <c r="D4" s="51" t="s">
        <v>100</v>
      </c>
      <c r="E4" s="51"/>
      <c r="F4" s="51" t="s">
        <v>101</v>
      </c>
      <c r="G4" s="51"/>
      <c r="H4" s="51" t="s">
        <v>102</v>
      </c>
      <c r="I4" s="51"/>
    </row>
    <row r="5" spans="1:9" ht="63.75">
      <c r="A5" s="47"/>
      <c r="B5" s="48" t="s">
        <v>103</v>
      </c>
      <c r="C5" s="48" t="s">
        <v>104</v>
      </c>
      <c r="D5" s="48" t="s">
        <v>103</v>
      </c>
      <c r="E5" s="48" t="s">
        <v>104</v>
      </c>
      <c r="F5" s="48" t="s">
        <v>103</v>
      </c>
      <c r="G5" s="48" t="s">
        <v>104</v>
      </c>
      <c r="H5" s="48" t="s">
        <v>103</v>
      </c>
      <c r="I5" s="48" t="s">
        <v>104</v>
      </c>
    </row>
    <row r="6" spans="1:9">
      <c r="A6" s="49" t="s">
        <v>105</v>
      </c>
      <c r="B6" s="50">
        <v>64.282374941561486</v>
      </c>
      <c r="C6" s="50">
        <v>16428.237494156147</v>
      </c>
      <c r="D6" s="50">
        <v>17.128233592659893</v>
      </c>
      <c r="E6" s="50">
        <v>16089.74358974359</v>
      </c>
      <c r="F6" s="50">
        <v>14.691987128321271</v>
      </c>
      <c r="G6" s="50">
        <v>19853.107344632768</v>
      </c>
      <c r="H6" s="50">
        <v>14.358331333932739</v>
      </c>
      <c r="I6" s="50">
        <v>35140</v>
      </c>
    </row>
    <row r="7" spans="1:9">
      <c r="A7" s="49" t="s">
        <v>108</v>
      </c>
      <c r="B7" s="50">
        <v>76.0245573620507</v>
      </c>
      <c r="C7" s="50">
        <v>17602.455736205069</v>
      </c>
      <c r="D7" s="50">
        <v>15.354127112727234</v>
      </c>
      <c r="E7" s="50">
        <v>15349.68302681251</v>
      </c>
      <c r="F7" s="50">
        <v>14.526050042225801</v>
      </c>
      <c r="G7" s="50">
        <v>19702.503424780032</v>
      </c>
      <c r="H7" s="50">
        <v>16.92867199532251</v>
      </c>
      <c r="I7" s="50">
        <v>43255.213254448565</v>
      </c>
    </row>
    <row r="8" spans="1:9">
      <c r="A8" s="49" t="s">
        <v>106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16.214475173682242</v>
      </c>
      <c r="I8" s="50">
        <v>40843.389944947885</v>
      </c>
    </row>
    <row r="9" spans="1:9">
      <c r="A9" s="49" t="s">
        <v>109</v>
      </c>
      <c r="B9" s="52">
        <v>21.39</v>
      </c>
      <c r="C9" s="53"/>
      <c r="D9" s="52">
        <v>21.84</v>
      </c>
      <c r="E9" s="53"/>
      <c r="F9" s="52">
        <v>17.7</v>
      </c>
      <c r="G9" s="53"/>
      <c r="H9" s="52">
        <v>10</v>
      </c>
      <c r="I9" s="53"/>
    </row>
    <row r="11" spans="1:9" ht="15.75">
      <c r="A11" s="44" t="s">
        <v>110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98</v>
      </c>
      <c r="B12" s="51" t="s">
        <v>99</v>
      </c>
      <c r="C12" s="51"/>
      <c r="D12" s="51" t="s">
        <v>100</v>
      </c>
      <c r="E12" s="51"/>
      <c r="F12" s="51" t="s">
        <v>101</v>
      </c>
      <c r="G12" s="51"/>
      <c r="H12" s="51" t="s">
        <v>102</v>
      </c>
      <c r="I12" s="51"/>
    </row>
    <row r="13" spans="1:9" ht="63.75">
      <c r="A13" s="47"/>
      <c r="B13" s="48" t="s">
        <v>103</v>
      </c>
      <c r="C13" s="48" t="s">
        <v>104</v>
      </c>
      <c r="D13" s="48" t="s">
        <v>103</v>
      </c>
      <c r="E13" s="48" t="s">
        <v>104</v>
      </c>
      <c r="F13" s="48" t="s">
        <v>103</v>
      </c>
      <c r="G13" s="48" t="s">
        <v>104</v>
      </c>
      <c r="H13" s="48" t="s">
        <v>103</v>
      </c>
      <c r="I13" s="48" t="s">
        <v>104</v>
      </c>
    </row>
    <row r="14" spans="1:9">
      <c r="A14" s="49" t="s">
        <v>105</v>
      </c>
      <c r="B14" s="50">
        <v>65.610073816760746</v>
      </c>
      <c r="C14" s="50">
        <v>16561.007381676074</v>
      </c>
      <c r="D14" s="50">
        <v>18.036612801408335</v>
      </c>
      <c r="E14" s="50">
        <v>16468.048359240071</v>
      </c>
      <c r="F14" s="50">
        <v>15.722965967096503</v>
      </c>
      <c r="G14" s="50">
        <v>20762.112139357647</v>
      </c>
      <c r="H14" s="50">
        <v>12.459405631307607</v>
      </c>
      <c r="I14" s="50">
        <v>27941.391941391943</v>
      </c>
    </row>
    <row r="15" spans="1:9">
      <c r="A15" s="49" t="s">
        <v>108</v>
      </c>
      <c r="B15" s="50">
        <v>76.0245573620507</v>
      </c>
      <c r="C15" s="50">
        <v>17602.455736205069</v>
      </c>
      <c r="D15" s="50">
        <v>15.354127112727234</v>
      </c>
      <c r="E15" s="50">
        <v>15349.68302681251</v>
      </c>
      <c r="F15" s="50">
        <v>14.526050042225801</v>
      </c>
      <c r="G15" s="50">
        <v>19702.503424780032</v>
      </c>
      <c r="H15" s="50">
        <v>13.790507349120972</v>
      </c>
      <c r="I15" s="50">
        <v>30971.784185098662</v>
      </c>
    </row>
    <row r="16" spans="1:9">
      <c r="A16" s="49" t="s">
        <v>106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14.518521208624557</v>
      </c>
      <c r="I16" s="50">
        <v>32749.371865818099</v>
      </c>
    </row>
    <row r="17" spans="1:9">
      <c r="A17" s="49" t="s">
        <v>111</v>
      </c>
      <c r="B17" s="52">
        <v>23.03</v>
      </c>
      <c r="C17" s="53"/>
      <c r="D17" s="52">
        <v>23.16</v>
      </c>
      <c r="E17" s="53"/>
      <c r="F17" s="52">
        <v>18.37</v>
      </c>
      <c r="G17" s="53"/>
      <c r="H17" s="52">
        <v>13.65</v>
      </c>
      <c r="I17" s="53"/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TBFS-Risk-o-Meter &amp; Portfolio</vt:lpstr>
      <vt:lpstr>TBFS-Performace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2021-10-08T10:59:14Z</dcterms:modified>
</cp:coreProperties>
</file>