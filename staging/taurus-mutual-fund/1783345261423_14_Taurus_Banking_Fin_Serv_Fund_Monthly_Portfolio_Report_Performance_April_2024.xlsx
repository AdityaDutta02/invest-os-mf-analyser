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G\Desktop\Monthly Portfolio\May 24\"/>
    </mc:Choice>
  </mc:AlternateContent>
  <xr:revisionPtr revIDLastSave="0" documentId="13_ncr:1_{1D6161ED-BE85-4564-937E-883F04C46EE3}" xr6:coauthVersionLast="47" xr6:coauthVersionMax="47" xr10:uidLastSave="{00000000-0000-0000-0000-000000000000}"/>
  <bookViews>
    <workbookView xWindow="-120" yWindow="-120" windowWidth="20730" windowHeight="11160" xr2:uid="{870BC4D4-B01F-49DC-8E13-1D2FAF9F8959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TBFS!$C$8:$C$29</definedName>
    <definedName name="XDO_?FINAL_ISIN?1?">TBFS!$D$10:$D$29</definedName>
    <definedName name="XDO_?FINAL_ISIN?2?">TBFS!$D$10:$D$73</definedName>
    <definedName name="XDO_?FINAL_MV?1?">TBFS!$H$10:$H$29</definedName>
    <definedName name="XDO_?FINAL_MV?2?">TBFS!$H$10:$H$73</definedName>
    <definedName name="XDO_?FINAL_NAME?1?">TBFS!$C$10:$C$29</definedName>
    <definedName name="XDO_?FINAL_NAME?2?">TBFS!$C$10:$C$73</definedName>
    <definedName name="XDO_?FINAL_PER_NET?1?">TBFS!$I$10:$I$29</definedName>
    <definedName name="XDO_?FINAL_PER_NET?2?">TBFS!$I$10:$I$73</definedName>
    <definedName name="XDO_?FINAL_QUANTITE?1?">TBFS!$G$10:$G$29</definedName>
    <definedName name="XDO_?FINAL_QUANTITE?2?">TBFS!$G$10:$G$73</definedName>
    <definedName name="XDO_?IND_01?1?">TBFS!$F$10:$F$29</definedName>
    <definedName name="XDO_?IND_01?2?">TBFS!$F$10:$F$73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TBFS!$C$2:$C$29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TBFS!$B$10:$B$29</definedName>
    <definedName name="XDO_?NOVAL?2?">TBFS!$B$10:$B$73</definedName>
    <definedName name="XDO_?NPTF?1?">TBFS!$D$2:$D$29</definedName>
    <definedName name="XDO_?RATING?1?">TBFS!$E$10:$E$29</definedName>
    <definedName name="XDO_?RATING?2?">TBFS!$E$10:$E$73</definedName>
    <definedName name="XDO_?REMARKS?1?">TBFS!$J$10:$J$29</definedName>
    <definedName name="XDO_?REMARKS?2?">TBFS!$J$10:$J$73</definedName>
    <definedName name="XDO_?TITL?1?">TBFS!$A$8:$A$29</definedName>
    <definedName name="XDO_GROUP_?G_2?1?">TBFS!$2:$76</definedName>
    <definedName name="XDO_GROUP_?G_3?1?">TBFS!$8:$75</definedName>
    <definedName name="XDO_GROUP_?G_4?1?">TBFS!$B$10:$IV$29</definedName>
    <definedName name="XDO_GROUP_?G_4?2?">TBFS!$B$73:$IV$73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1" l="1"/>
</calcChain>
</file>

<file path=xl/sharedStrings.xml><?xml version="1.0" encoding="utf-8"?>
<sst xmlns="http://schemas.openxmlformats.org/spreadsheetml/2006/main" count="194" uniqueCount="122">
  <si>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</si>
  <si>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</si>
  <si>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</si>
  <si>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</si>
  <si>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</si>
  <si>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</si>
  <si>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</si>
  <si>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</si>
  <si>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</si>
  <si>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</si>
  <si>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</si>
  <si>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</si>
  <si>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</si>
  <si>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</si>
  <si>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</si>
  <si>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</si>
  <si>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</si>
  <si>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</si>
  <si>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</si>
  <si>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</si>
  <si>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</si>
  <si>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</si>
  <si>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</si>
  <si>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</si>
  <si>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</si>
  <si>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</si>
  <si>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</si>
  <si>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</si>
  <si>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100361</t>
  </si>
  <si>
    <t>Bank of India</t>
  </si>
  <si>
    <t>INE084A01016</t>
  </si>
  <si>
    <t>100104</t>
  </si>
  <si>
    <t>Kotak Mahindra Bank Ltd.</t>
  </si>
  <si>
    <t>INE237A01028</t>
  </si>
  <si>
    <t>100013</t>
  </si>
  <si>
    <t>IndusInd Bank Ltd.</t>
  </si>
  <si>
    <t>INE095A01012</t>
  </si>
  <si>
    <t>100325</t>
  </si>
  <si>
    <t>Bajaj Holdings &amp; Investment Ltd.</t>
  </si>
  <si>
    <t>INE118A01012</t>
  </si>
  <si>
    <t>Finance</t>
  </si>
  <si>
    <t>100055</t>
  </si>
  <si>
    <t>The Federal Bank Ltd.</t>
  </si>
  <si>
    <t>INE171A01029</t>
  </si>
  <si>
    <t>101210</t>
  </si>
  <si>
    <t>Credit Access Grameen Ltd.</t>
  </si>
  <si>
    <t>INE741K01010</t>
  </si>
  <si>
    <t>100191</t>
  </si>
  <si>
    <t>Canara Bank</t>
  </si>
  <si>
    <t>INE476A01014</t>
  </si>
  <si>
    <t>100122</t>
  </si>
  <si>
    <t>Union Bank of India</t>
  </si>
  <si>
    <t>INE692A01016</t>
  </si>
  <si>
    <t>101366</t>
  </si>
  <si>
    <t>Aditya Birla Sun Life Amc Ltd.</t>
  </si>
  <si>
    <t>INE404A01024</t>
  </si>
  <si>
    <t>Capital Markets</t>
  </si>
  <si>
    <t>101181</t>
  </si>
  <si>
    <t>UTI Asset Management Co. Ltd.</t>
  </si>
  <si>
    <t>INE094J01016</t>
  </si>
  <si>
    <t>101178</t>
  </si>
  <si>
    <t>Computer Age Management Services Ltd.</t>
  </si>
  <si>
    <t>INE596I01012</t>
  </si>
  <si>
    <t>101740</t>
  </si>
  <si>
    <t>Prudent Corporate Advisory Services Ltd.</t>
  </si>
  <si>
    <t>INE00F201020</t>
  </si>
  <si>
    <t>100399</t>
  </si>
  <si>
    <t>Cholamandalam Investment &amp; Finance Co. Ltd.</t>
  </si>
  <si>
    <t>INE121A01024</t>
  </si>
  <si>
    <t>100073</t>
  </si>
  <si>
    <t>CARE Ratings Ltd.</t>
  </si>
  <si>
    <t>INE752H01013</t>
  </si>
  <si>
    <t>100684</t>
  </si>
  <si>
    <t>SBI Life Insurance Co. Ltd.</t>
  </si>
  <si>
    <t>INE123W01016</t>
  </si>
  <si>
    <t>Insurance</t>
  </si>
  <si>
    <t>100211</t>
  </si>
  <si>
    <t>IDFC First Bank Ltd.</t>
  </si>
  <si>
    <t>INE092T01019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</si>
  <si>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</si>
  <si>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</si>
  <si>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</si>
  <si>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</si>
  <si>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</si>
  <si>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</si>
  <si>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</si>
  <si>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</si>
  <si>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</si>
  <si>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</si>
  <si>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</si>
  <si>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</si>
  <si>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</si>
  <si>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</si>
  <si>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</si>
  <si>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</si>
  <si>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</si>
  <si>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</si>
  <si>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</si>
  <si>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</si>
  <si>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</si>
  <si>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</si>
  <si>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</si>
  <si>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</si>
  <si>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</si>
  <si>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</si>
  <si>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</si>
  <si>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</si>
  <si>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</si>
  <si>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</si>
  <si>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</si>
  <si>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</si>
  <si>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</si>
  <si>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</si>
  <si>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</si>
  <si>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</si>
  <si>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</si>
  <si>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</si>
  <si>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</si>
  <si>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</si>
  <si>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April 30, 2024 : 48.95)</t>
  </si>
  <si>
    <t>Taurus Banking &amp; Financial Services Fund - Direct Plan Growth Option</t>
  </si>
  <si>
    <t>NAV [Rs.] Per Unit (as on April 30, 2024 : 54.20)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</si>
</sst>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484DE31A-8C26-4444-B677-AC0F35966A99}"/>
    <cellStyle name="Hyperlink" xfId="2" builtinId="8"/>
    <cellStyle name="Normal" xfId="0" builtinId="0"/>
    <cellStyle name="Normal 2" xfId="4" xr:uid="{2024BCFA-53D5-47DE-B5FF-85B4CF567AF9}"/>
    <cellStyle name="Style 1" xfId="3" xr:uid="{9AA8CB1F-6527-4ABC-B3C5-EDD7EDA046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63498</xdr:rowOff>
    </xdr:from>
    <xdr:ext cx="7429500" cy="1924050"/>
    <xdr:pic>
      <xdr:nvPicPr>
        <xdr:cNvPr id="2" name="Picture 1" descr="banking Prodcut label - 9th Dec 2022.jpg">
          <a:extLst>
            <a:ext uri="{FF2B5EF4-FFF2-40B4-BE49-F238E27FC236}">
              <a16:creationId xmlns:a16="http://schemas.microsoft.com/office/drawing/2014/main" id="{1EB809E1-1F7D-4D37-8A48-975E12E69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63498"/>
          <a:ext cx="742950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pr_2024\Client%20Report\TMF_Monthly_Portfolio_Report_April%2024.xls" TargetMode="External"/><Relationship Id="rId1" Type="http://schemas.openxmlformats.org/officeDocument/2006/relationships/externalLinkPath" Target="file:///Q:\5.TMF\Reporting\Monthly%20Reports\Monthly%20Portfolio\2024-25\Apr_2024\Client%20Report\TMF_Monthly_Portfolio_Report_April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42CB-C99E-437A-8076-384B83BE9A04}">
  <dimension ref="A1:BB8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12857</v>
      </c>
      <c r="H10" s="32">
        <v>195.05</v>
      </c>
      <c r="I10" s="32">
        <v>17.82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193.54</v>
      </c>
      <c r="I11" s="32">
        <v>17.690000000000001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136.80000000000001</v>
      </c>
      <c r="I12" s="32">
        <v>12.5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9110</v>
      </c>
      <c r="H13" s="32">
        <v>106.24</v>
      </c>
      <c r="I13" s="32">
        <v>9.7100000000000009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66109</v>
      </c>
      <c r="H14" s="32">
        <v>102.6</v>
      </c>
      <c r="I14" s="32">
        <v>9.3800000000000008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3916</v>
      </c>
      <c r="H15" s="32">
        <v>63.59</v>
      </c>
      <c r="I15" s="32">
        <v>5.81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39.950000000000003</v>
      </c>
      <c r="I16" s="32">
        <v>3.65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40</v>
      </c>
      <c r="G17" s="31">
        <v>346</v>
      </c>
      <c r="H17" s="32">
        <v>28.09</v>
      </c>
      <c r="I17" s="32">
        <v>2.57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15735</v>
      </c>
      <c r="H18" s="32">
        <v>25.57</v>
      </c>
      <c r="I18" s="32">
        <v>2.34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40</v>
      </c>
      <c r="G19" s="31">
        <v>1595</v>
      </c>
      <c r="H19" s="32">
        <v>24.07</v>
      </c>
      <c r="I19" s="32">
        <v>2.2000000000000002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3775</v>
      </c>
      <c r="H20" s="32">
        <v>23.47</v>
      </c>
      <c r="I20" s="32">
        <v>2.15</v>
      </c>
      <c r="J20" s="33"/>
    </row>
    <row r="21" spans="2:10" x14ac:dyDescent="0.25">
      <c r="B21" s="1" t="s">
        <v>50</v>
      </c>
      <c r="C21" s="20" t="s">
        <v>51</v>
      </c>
      <c r="D21" s="29" t="s">
        <v>52</v>
      </c>
      <c r="E21" s="30"/>
      <c r="F21" s="30" t="s">
        <v>18</v>
      </c>
      <c r="G21" s="31">
        <v>13215</v>
      </c>
      <c r="H21" s="32">
        <v>20.38</v>
      </c>
      <c r="I21" s="32">
        <v>1.86</v>
      </c>
      <c r="J21" s="33"/>
    </row>
    <row r="22" spans="2:10" x14ac:dyDescent="0.25">
      <c r="B22" s="1" t="s">
        <v>53</v>
      </c>
      <c r="C22" s="20" t="s">
        <v>54</v>
      </c>
      <c r="D22" s="29" t="s">
        <v>55</v>
      </c>
      <c r="E22" s="30"/>
      <c r="F22" s="30" t="s">
        <v>56</v>
      </c>
      <c r="G22" s="31">
        <v>3703</v>
      </c>
      <c r="H22" s="32">
        <v>20.11</v>
      </c>
      <c r="I22" s="32">
        <v>1.84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56</v>
      </c>
      <c r="G23" s="31">
        <v>1899</v>
      </c>
      <c r="H23" s="32">
        <v>18.07</v>
      </c>
      <c r="I23" s="32">
        <v>1.65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56</v>
      </c>
      <c r="G24" s="31">
        <v>536</v>
      </c>
      <c r="H24" s="32">
        <v>17.18</v>
      </c>
      <c r="I24" s="32">
        <v>1.57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56</v>
      </c>
      <c r="G25" s="31">
        <v>968</v>
      </c>
      <c r="H25" s="32">
        <v>14.99</v>
      </c>
      <c r="I25" s="32">
        <v>1.37</v>
      </c>
      <c r="J25" s="33"/>
    </row>
    <row r="26" spans="2:10" x14ac:dyDescent="0.25">
      <c r="B26" s="1" t="s">
        <v>66</v>
      </c>
      <c r="C26" s="20" t="s">
        <v>67</v>
      </c>
      <c r="D26" s="29" t="s">
        <v>68</v>
      </c>
      <c r="E26" s="30"/>
      <c r="F26" s="30" t="s">
        <v>40</v>
      </c>
      <c r="G26" s="31">
        <v>1253</v>
      </c>
      <c r="H26" s="32">
        <v>14.96</v>
      </c>
      <c r="I26" s="32">
        <v>1.37</v>
      </c>
      <c r="J26" s="33"/>
    </row>
    <row r="27" spans="2:10" x14ac:dyDescent="0.25">
      <c r="B27" s="1" t="s">
        <v>69</v>
      </c>
      <c r="C27" s="20" t="s">
        <v>70</v>
      </c>
      <c r="D27" s="29" t="s">
        <v>71</v>
      </c>
      <c r="E27" s="30"/>
      <c r="F27" s="30" t="s">
        <v>56</v>
      </c>
      <c r="G27" s="31">
        <v>1235</v>
      </c>
      <c r="H27" s="32">
        <v>14.73</v>
      </c>
      <c r="I27" s="32">
        <v>1.35</v>
      </c>
      <c r="J27" s="33"/>
    </row>
    <row r="28" spans="2:10" x14ac:dyDescent="0.25">
      <c r="B28" s="1" t="s">
        <v>72</v>
      </c>
      <c r="C28" s="20" t="s">
        <v>73</v>
      </c>
      <c r="D28" s="29" t="s">
        <v>74</v>
      </c>
      <c r="E28" s="30"/>
      <c r="F28" s="30" t="s">
        <v>75</v>
      </c>
      <c r="G28" s="31">
        <v>796</v>
      </c>
      <c r="H28" s="32">
        <v>11.43</v>
      </c>
      <c r="I28" s="32">
        <v>1.04</v>
      </c>
      <c r="J28" s="33"/>
    </row>
    <row r="29" spans="2:10" x14ac:dyDescent="0.25">
      <c r="B29" s="1" t="s">
        <v>76</v>
      </c>
      <c r="C29" s="20" t="s">
        <v>77</v>
      </c>
      <c r="D29" s="29" t="s">
        <v>78</v>
      </c>
      <c r="E29" s="30"/>
      <c r="F29" s="30" t="s">
        <v>18</v>
      </c>
      <c r="G29" s="31">
        <v>13184</v>
      </c>
      <c r="H29" s="32">
        <v>10.83</v>
      </c>
      <c r="I29" s="32">
        <v>0.99</v>
      </c>
      <c r="J29" s="33"/>
    </row>
    <row r="30" spans="2:10" x14ac:dyDescent="0.25">
      <c r="C30" s="28" t="s">
        <v>79</v>
      </c>
      <c r="D30" s="29"/>
      <c r="E30" s="30"/>
      <c r="F30" s="30"/>
      <c r="G30" s="31"/>
      <c r="H30" s="35">
        <v>1081.6500000000001</v>
      </c>
      <c r="I30" s="35">
        <v>98.86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80</v>
      </c>
      <c r="D32" s="29"/>
      <c r="E32" s="30"/>
      <c r="F32" s="30"/>
      <c r="G32" s="31"/>
      <c r="H32" s="32" t="s">
        <v>81</v>
      </c>
      <c r="I32" s="32" t="s">
        <v>81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82</v>
      </c>
      <c r="D34" s="29"/>
      <c r="E34" s="30"/>
      <c r="F34" s="30"/>
      <c r="G34" s="31"/>
      <c r="H34" s="32" t="s">
        <v>81</v>
      </c>
      <c r="I34" s="32" t="s">
        <v>81</v>
      </c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83</v>
      </c>
      <c r="D36" s="29"/>
      <c r="E36" s="30"/>
      <c r="F36" s="30"/>
      <c r="G36" s="31"/>
      <c r="H36" s="32"/>
      <c r="I36" s="32"/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84</v>
      </c>
      <c r="D38" s="29"/>
      <c r="E38" s="30"/>
      <c r="F38" s="30"/>
      <c r="G38" s="31"/>
      <c r="H38" s="32" t="s">
        <v>81</v>
      </c>
      <c r="I38" s="32" t="s">
        <v>81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85</v>
      </c>
      <c r="D40" s="29"/>
      <c r="E40" s="30"/>
      <c r="F40" s="30"/>
      <c r="G40" s="31"/>
      <c r="H40" s="32" t="s">
        <v>81</v>
      </c>
      <c r="I40" s="32" t="s">
        <v>81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86</v>
      </c>
      <c r="D42" s="29"/>
      <c r="E42" s="30"/>
      <c r="F42" s="30"/>
      <c r="G42" s="31"/>
      <c r="H42" s="32" t="s">
        <v>81</v>
      </c>
      <c r="I42" s="32" t="s">
        <v>81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87</v>
      </c>
      <c r="D44" s="29"/>
      <c r="E44" s="30"/>
      <c r="F44" s="30"/>
      <c r="G44" s="31"/>
      <c r="H44" s="32" t="s">
        <v>81</v>
      </c>
      <c r="I44" s="32" t="s">
        <v>81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88</v>
      </c>
      <c r="D46" s="29"/>
      <c r="E46" s="30"/>
      <c r="F46" s="30"/>
      <c r="G46" s="31"/>
      <c r="H46" s="32" t="s">
        <v>81</v>
      </c>
      <c r="I46" s="32" t="s">
        <v>81</v>
      </c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89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90</v>
      </c>
      <c r="D50" s="29"/>
      <c r="E50" s="30"/>
      <c r="F50" s="30"/>
      <c r="G50" s="31"/>
      <c r="H50" s="32" t="s">
        <v>81</v>
      </c>
      <c r="I50" s="32" t="s">
        <v>81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91</v>
      </c>
      <c r="D52" s="29"/>
      <c r="E52" s="30"/>
      <c r="F52" s="30"/>
      <c r="G52" s="31"/>
      <c r="H52" s="32" t="s">
        <v>81</v>
      </c>
      <c r="I52" s="32" t="s">
        <v>81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92</v>
      </c>
      <c r="D54" s="29"/>
      <c r="E54" s="30"/>
      <c r="F54" s="30"/>
      <c r="G54" s="31"/>
      <c r="H54" s="32" t="s">
        <v>81</v>
      </c>
      <c r="I54" s="32" t="s">
        <v>81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93</v>
      </c>
      <c r="D56" s="29"/>
      <c r="E56" s="30"/>
      <c r="F56" s="30"/>
      <c r="G56" s="31"/>
      <c r="H56" s="32" t="s">
        <v>81</v>
      </c>
      <c r="I56" s="32" t="s">
        <v>81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94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95</v>
      </c>
      <c r="D60" s="29"/>
      <c r="E60" s="30"/>
      <c r="F60" s="30"/>
      <c r="G60" s="31"/>
      <c r="H60" s="32" t="s">
        <v>81</v>
      </c>
      <c r="I60" s="32" t="s">
        <v>81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96</v>
      </c>
      <c r="D62" s="29"/>
      <c r="E62" s="30"/>
      <c r="F62" s="30"/>
      <c r="G62" s="31"/>
      <c r="H62" s="32" t="s">
        <v>81</v>
      </c>
      <c r="I62" s="32" t="s">
        <v>81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97</v>
      </c>
      <c r="D64" s="29"/>
      <c r="E64" s="30"/>
      <c r="F64" s="30"/>
      <c r="G64" s="31"/>
      <c r="H64" s="32" t="s">
        <v>81</v>
      </c>
      <c r="I64" s="32" t="s">
        <v>81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98</v>
      </c>
      <c r="D66" s="29"/>
      <c r="E66" s="30"/>
      <c r="F66" s="30"/>
      <c r="G66" s="31"/>
      <c r="H66" s="32" t="s">
        <v>81</v>
      </c>
      <c r="I66" s="32" t="s">
        <v>81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99</v>
      </c>
      <c r="D68" s="29"/>
      <c r="E68" s="30"/>
      <c r="F68" s="30"/>
      <c r="G68" s="31"/>
      <c r="H68" s="32" t="s">
        <v>81</v>
      </c>
      <c r="I68" s="32" t="s">
        <v>81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100</v>
      </c>
      <c r="D70" s="29"/>
      <c r="E70" s="30"/>
      <c r="F70" s="30"/>
      <c r="G70" s="31"/>
      <c r="H70" s="32" t="s">
        <v>81</v>
      </c>
      <c r="I70" s="32" t="s">
        <v>81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A72" s="26"/>
      <c r="B72" s="27"/>
      <c r="C72" s="28" t="s">
        <v>101</v>
      </c>
      <c r="D72" s="29"/>
      <c r="E72" s="30"/>
      <c r="F72" s="30"/>
      <c r="G72" s="31"/>
      <c r="H72" s="32"/>
      <c r="I72" s="32"/>
      <c r="J72" s="33"/>
    </row>
    <row r="73" spans="1:10" x14ac:dyDescent="0.25">
      <c r="B73" s="1"/>
      <c r="C73" s="20" t="s">
        <v>102</v>
      </c>
      <c r="D73" s="29"/>
      <c r="E73" s="30"/>
      <c r="F73" s="30"/>
      <c r="G73" s="31"/>
      <c r="H73" s="32">
        <v>12.61</v>
      </c>
      <c r="I73" s="32">
        <v>1.1399999999999999</v>
      </c>
      <c r="J73" s="33"/>
    </row>
    <row r="74" spans="1:10" x14ac:dyDescent="0.25">
      <c r="C74" s="28" t="s">
        <v>79</v>
      </c>
      <c r="D74" s="29"/>
      <c r="E74" s="30"/>
      <c r="F74" s="30"/>
      <c r="G74" s="31"/>
      <c r="H74" s="35">
        <v>12.61</v>
      </c>
      <c r="I74" s="35">
        <v>1.1399999999999999</v>
      </c>
      <c r="J74" s="33"/>
    </row>
    <row r="75" spans="1:10" x14ac:dyDescent="0.25">
      <c r="C75" s="20"/>
      <c r="D75" s="29"/>
      <c r="E75" s="30"/>
      <c r="F75" s="30"/>
      <c r="G75" s="31"/>
      <c r="H75" s="32"/>
      <c r="I75" s="32"/>
      <c r="J75" s="33"/>
    </row>
    <row r="76" spans="1:10" ht="14.25" thickBot="1" x14ac:dyDescent="0.3">
      <c r="C76" s="36" t="s">
        <v>103</v>
      </c>
      <c r="D76" s="37"/>
      <c r="E76" s="38"/>
      <c r="F76" s="39"/>
      <c r="G76" s="40"/>
      <c r="H76" s="41">
        <v>1094.26</v>
      </c>
      <c r="I76" s="41">
        <f>SUMIFS(I:I,C:C,"Total")</f>
        <v>100</v>
      </c>
      <c r="J76" s="42"/>
    </row>
    <row r="79" spans="1:10" x14ac:dyDescent="0.25">
      <c r="C79" s="11" t="s">
        <v>104</v>
      </c>
    </row>
    <row r="80" spans="1:10" x14ac:dyDescent="0.25">
      <c r="C80" s="2" t="s">
        <v>105</v>
      </c>
    </row>
    <row r="81" spans="3:3" x14ac:dyDescent="0.25">
      <c r="C81" s="2" t="s">
        <v>106</v>
      </c>
    </row>
    <row r="82" spans="3:3" x14ac:dyDescent="0.25">
      <c r="C82" s="2" t="s">
        <v>107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F301-649D-4701-BC63-1EB1B3AEC988}">
  <dimension ref="B3:J17"/>
  <sheetViews>
    <sheetView workbookViewId="0"/>
  </sheetViews>
  <sheetFormatPr defaultRowHeight="15" x14ac:dyDescent="0.25"/>
  <cols>
    <col min="2" max="2" width="54.57031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3" t="s">
        <v>108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109</v>
      </c>
      <c r="C4" s="50" t="s">
        <v>110</v>
      </c>
      <c r="D4" s="50"/>
      <c r="E4" s="50" t="s">
        <v>111</v>
      </c>
      <c r="F4" s="50"/>
      <c r="G4" s="50" t="s">
        <v>112</v>
      </c>
      <c r="H4" s="50"/>
      <c r="I4" s="50" t="s">
        <v>113</v>
      </c>
      <c r="J4" s="50"/>
    </row>
    <row r="5" spans="2:10" ht="63.75" x14ac:dyDescent="0.25">
      <c r="B5" s="46"/>
      <c r="C5" s="47" t="s">
        <v>114</v>
      </c>
      <c r="D5" s="47" t="s">
        <v>115</v>
      </c>
      <c r="E5" s="47" t="s">
        <v>114</v>
      </c>
      <c r="F5" s="47" t="s">
        <v>115</v>
      </c>
      <c r="G5" s="47" t="s">
        <v>114</v>
      </c>
      <c r="H5" s="47" t="s">
        <v>115</v>
      </c>
      <c r="I5" s="47" t="s">
        <v>114</v>
      </c>
      <c r="J5" s="47" t="s">
        <v>115</v>
      </c>
    </row>
    <row r="6" spans="2:10" x14ac:dyDescent="0.25">
      <c r="B6" s="48" t="s">
        <v>116</v>
      </c>
      <c r="C6" s="49">
        <v>24.994431056129997</v>
      </c>
      <c r="D6" s="49">
        <v>12522.384241493988</v>
      </c>
      <c r="E6" s="49">
        <v>16.80904802808405</v>
      </c>
      <c r="F6" s="49">
        <v>15944.625407166124</v>
      </c>
      <c r="G6" s="49">
        <v>13.879225193739163</v>
      </c>
      <c r="H6" s="49">
        <v>19166.014095536415</v>
      </c>
      <c r="I6" s="49">
        <v>14.21327445400069</v>
      </c>
      <c r="J6" s="49">
        <v>48950</v>
      </c>
    </row>
    <row r="7" spans="2:10" x14ac:dyDescent="0.25">
      <c r="B7" s="48" t="s">
        <v>117</v>
      </c>
      <c r="C7" s="49">
        <v>15.150447817866187</v>
      </c>
      <c r="D7" s="49">
        <v>11515.044781786619</v>
      </c>
      <c r="E7" s="49">
        <v>15.210880915770165</v>
      </c>
      <c r="F7" s="49">
        <v>15292.570521236352</v>
      </c>
      <c r="G7" s="49">
        <v>11.420895551801102</v>
      </c>
      <c r="H7" s="49">
        <v>17172.488097016911</v>
      </c>
      <c r="I7" s="49">
        <v>15.780440575080412</v>
      </c>
      <c r="J7" s="49">
        <v>57585.064407135491</v>
      </c>
    </row>
    <row r="8" spans="2:10" x14ac:dyDescent="0.25">
      <c r="B8" s="48" t="s">
        <v>118</v>
      </c>
      <c r="C8" s="49">
        <v>26.269918639546354</v>
      </c>
      <c r="D8" s="49">
        <v>12626.991863954636</v>
      </c>
      <c r="E8" s="49">
        <v>16.918958875763913</v>
      </c>
      <c r="F8" s="49">
        <v>15982.871888687458</v>
      </c>
      <c r="G8" s="49">
        <v>15.298230905326005</v>
      </c>
      <c r="H8" s="49">
        <v>20375.731937849556</v>
      </c>
      <c r="I8" s="49">
        <v>15.1343610194272</v>
      </c>
      <c r="J8" s="49">
        <v>53860.88051973992</v>
      </c>
    </row>
    <row r="9" spans="2:10" x14ac:dyDescent="0.25">
      <c r="B9" s="48" t="s">
        <v>119</v>
      </c>
      <c r="C9" s="51">
        <v>39.090000000000003</v>
      </c>
      <c r="D9" s="52"/>
      <c r="E9" s="51">
        <v>30.7</v>
      </c>
      <c r="F9" s="52"/>
      <c r="G9" s="51">
        <v>25.54</v>
      </c>
      <c r="H9" s="52"/>
      <c r="I9" s="51">
        <v>10</v>
      </c>
      <c r="J9" s="52"/>
    </row>
    <row r="11" spans="2:10" ht="15.75" x14ac:dyDescent="0.25">
      <c r="B11" s="43" t="s">
        <v>120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109</v>
      </c>
      <c r="C12" s="50" t="s">
        <v>110</v>
      </c>
      <c r="D12" s="50"/>
      <c r="E12" s="50" t="s">
        <v>111</v>
      </c>
      <c r="F12" s="50"/>
      <c r="G12" s="50" t="s">
        <v>112</v>
      </c>
      <c r="H12" s="50"/>
      <c r="I12" s="50" t="s">
        <v>113</v>
      </c>
      <c r="J12" s="50"/>
    </row>
    <row r="13" spans="2:10" ht="63.75" x14ac:dyDescent="0.25">
      <c r="B13" s="46"/>
      <c r="C13" s="47" t="s">
        <v>114</v>
      </c>
      <c r="D13" s="47" t="s">
        <v>115</v>
      </c>
      <c r="E13" s="47" t="s">
        <v>114</v>
      </c>
      <c r="F13" s="47" t="s">
        <v>115</v>
      </c>
      <c r="G13" s="47" t="s">
        <v>114</v>
      </c>
      <c r="H13" s="47" t="s">
        <v>115</v>
      </c>
      <c r="I13" s="47" t="s">
        <v>114</v>
      </c>
      <c r="J13" s="47" t="s">
        <v>115</v>
      </c>
    </row>
    <row r="14" spans="2:10" x14ac:dyDescent="0.25">
      <c r="B14" s="48" t="s">
        <v>116</v>
      </c>
      <c r="C14" s="49">
        <v>25.954142152672489</v>
      </c>
      <c r="D14" s="49">
        <v>12619.324796274739</v>
      </c>
      <c r="E14" s="49">
        <v>17.706892284468335</v>
      </c>
      <c r="F14" s="49">
        <v>16315.472606863337</v>
      </c>
      <c r="G14" s="49">
        <v>14.751070652127463</v>
      </c>
      <c r="H14" s="49">
        <v>19911.82953710507</v>
      </c>
      <c r="I14" s="49">
        <v>12.940496070871488</v>
      </c>
      <c r="J14" s="49">
        <v>39706.959706959708</v>
      </c>
    </row>
    <row r="15" spans="2:10" x14ac:dyDescent="0.25">
      <c r="B15" s="48" t="s">
        <v>117</v>
      </c>
      <c r="C15" s="49">
        <v>15.150447817866187</v>
      </c>
      <c r="D15" s="49">
        <v>11515.044781786619</v>
      </c>
      <c r="E15" s="49">
        <v>15.210880915770165</v>
      </c>
      <c r="F15" s="49">
        <v>15292.570521236352</v>
      </c>
      <c r="G15" s="49">
        <v>11.420895551801102</v>
      </c>
      <c r="H15" s="49">
        <v>17172.488097016911</v>
      </c>
      <c r="I15" s="49">
        <v>13.316561198210962</v>
      </c>
      <c r="J15" s="49">
        <v>41231.191177934037</v>
      </c>
    </row>
    <row r="16" spans="2:10" x14ac:dyDescent="0.25">
      <c r="B16" s="48" t="s">
        <v>118</v>
      </c>
      <c r="C16" s="49">
        <v>26.269918639546354</v>
      </c>
      <c r="D16" s="49">
        <v>12626.991863954636</v>
      </c>
      <c r="E16" s="49">
        <v>16.918958875763913</v>
      </c>
      <c r="F16" s="49">
        <v>15982.871888687458</v>
      </c>
      <c r="G16" s="49">
        <v>15.298230905326005</v>
      </c>
      <c r="H16" s="49">
        <v>20375.731937849556</v>
      </c>
      <c r="I16" s="49">
        <v>13.78074145203534</v>
      </c>
      <c r="J16" s="49">
        <v>43186.054902042211</v>
      </c>
    </row>
    <row r="17" spans="2:10" x14ac:dyDescent="0.25">
      <c r="B17" s="48" t="s">
        <v>121</v>
      </c>
      <c r="C17" s="51">
        <v>42.95</v>
      </c>
      <c r="D17" s="52"/>
      <c r="E17" s="51">
        <v>33.22</v>
      </c>
      <c r="F17" s="52"/>
      <c r="G17" s="51">
        <v>27.22</v>
      </c>
      <c r="H17" s="52"/>
      <c r="I17" s="51">
        <v>13.65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2024-05-01T12:51:58Z</dcterms:created>
  <dcterms:modified xsi:type="dcterms:W3CDTF">2024-05-07T03:51:37Z</dcterms:modified>
</cp:coreProperties>
</file>