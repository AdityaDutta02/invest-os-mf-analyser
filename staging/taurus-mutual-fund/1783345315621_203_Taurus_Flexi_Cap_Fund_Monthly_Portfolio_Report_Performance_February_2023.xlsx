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Portfolio'!$C$8:$C$50</definedName>
    <definedName name="XDO_?FINAL_ISIN?11?">'TSS-Risk-O-Meter &amp; Portfolio'!$D$10:$D$50</definedName>
    <definedName name="XDO_?FINAL_ISIN?12?">'TSS-Risk-O-Meter &amp; Portfolio'!$D$10:$D$54</definedName>
    <definedName name="XDO_?FINAL_ISIN?13?">'TSS-Risk-O-Meter &amp; Portfolio'!$D$10:$D$94</definedName>
    <definedName name="XDO_?FINAL_MV?11?">'TSS-Risk-O-Meter &amp; Portfolio'!$H$10:$H$50</definedName>
    <definedName name="XDO_?FINAL_MV?12?">'TSS-Risk-O-Meter &amp; Portfolio'!$H$10:$H$54</definedName>
    <definedName name="XDO_?FINAL_MV?13?">'TSS-Risk-O-Meter &amp; Portfolio'!$H$10:$H$94</definedName>
    <definedName name="XDO_?FINAL_NAME?11?">'TSS-Risk-O-Meter &amp; Portfolio'!$C$10:$C$50</definedName>
    <definedName name="XDO_?FINAL_NAME?12?">'TSS-Risk-O-Meter &amp; Portfolio'!$C$10:$C$54</definedName>
    <definedName name="XDO_?FINAL_NAME?13?">'TSS-Risk-O-Meter &amp; Portfolio'!$C$10:$C$94</definedName>
    <definedName name="XDO_?FINAL_PER_NET?11?">'TSS-Risk-O-Meter &amp; Portfolio'!$I$10:$I$50</definedName>
    <definedName name="XDO_?FINAL_PER_NET?12?">'TSS-Risk-O-Meter &amp; Portfolio'!$I$10:$I$54</definedName>
    <definedName name="XDO_?FINAL_PER_NET?13?">'TSS-Risk-O-Meter &amp; Portfolio'!$I$10:$I$94</definedName>
    <definedName name="XDO_?FINAL_QUANTITE?11?">'TSS-Risk-O-Meter &amp; Portfolio'!$G$10:$G$50</definedName>
    <definedName name="XDO_?FINAL_QUANTITE?12?">'TSS-Risk-O-Meter &amp; Portfolio'!$G$10:$G$54</definedName>
    <definedName name="XDO_?FINAL_QUANTITE?13?">'TSS-Risk-O-Meter &amp; Portfolio'!$G$10:$G$94</definedName>
    <definedName name="XDO_?IND_01?11?">'TSS-Risk-O-Meter &amp; Portfolio'!$F$10:$F$50</definedName>
    <definedName name="XDO_?IND_01?12?">'TSS-Risk-O-Meter &amp; Portfolio'!$F$10:$F$54</definedName>
    <definedName name="XDO_?IND_01?13?">'TSS-Risk-O-Meter &amp; Portfolio'!$F$10:$F$94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Portfolio'!$B$10:$B$50</definedName>
    <definedName name="XDO_?NOVAL?12?">'TSS-Risk-O-Meter &amp; Portfolio'!$B$10:$B$54</definedName>
    <definedName name="XDO_?NOVAL?13?">'TSS-Risk-O-Meter &amp; Portfolio'!$B$10:$B$94</definedName>
    <definedName name="XDO_?NPTF?6?">'TSS-Risk-O-Meter &amp; Portfolio'!$D$2:$D$50</definedName>
    <definedName name="XDO_?RATING?11?">'TSS-Risk-O-Meter &amp; Portfolio'!$E$10:$E$50</definedName>
    <definedName name="XDO_?RATING?12?">'TSS-Risk-O-Meter &amp; Portfolio'!$E$10:$E$54</definedName>
    <definedName name="XDO_?RATING?13?">'TSS-Risk-O-Meter &amp; Portfolio'!$E$10:$E$94</definedName>
    <definedName name="XDO_?REMARKS?11?">'TSS-Risk-O-Meter &amp; Portfolio'!$J$10:$J$50</definedName>
    <definedName name="XDO_?REMARKS?12?">'TSS-Risk-O-Meter &amp; Portfolio'!$J$10:$J$54</definedName>
    <definedName name="XDO_?REMARKS?13?">'TSS-Risk-O-Meter &amp; Portfolio'!$J$10:$J$94</definedName>
    <definedName name="XDO_?TITL?6?">'TSS-Risk-O-Meter &amp; Portfolio'!$A$8:$A$50</definedName>
    <definedName name="XDO_GROUP_?G_2?6?">'TSS-Risk-O-Meter &amp; Portfolio'!$2:$97</definedName>
    <definedName name="XDO_GROUP_?G_3?6?">'TSS-Risk-O-Meter &amp; Portfolio'!$8:$96</definedName>
    <definedName name="XDO_GROUP_?G_4?11?">'TSS-Risk-O-Meter &amp; Portfolio'!$B$10:$IV$50</definedName>
    <definedName name="XDO_GROUP_?G_4?12?">'TSS-Risk-O-Meter &amp; Portfolio'!$B$54:$IV$54</definedName>
    <definedName name="XDO_GROUP_?G_4?13?">'TSS-Risk-O-Meter &amp; Portfolio'!$B$94:$IV$94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<sst xmlns="http://schemas.openxmlformats.org/spreadsheetml/2006/main" count="281" uniqueCount="207">
  <si>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</si>
  <si>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</si>
  <si>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</si>
  <si>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</si>
  <si>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</si>
  <si>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</si>
  <si>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</si>
  <si>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</si>
  <si>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</si>
  <si>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</si>
  <si>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</si>
  <si>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</si>
  <si>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</si>
  <si>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</si>
  <si>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</si>
  <si>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</si>
  <si>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</si>
  <si>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</si>
  <si>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</si>
  <si>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100461</t>
  </si>
  <si>
    <t>Astral Limited</t>
  </si>
  <si>
    <t>INE006I01046</t>
  </si>
  <si>
    <t>Industrial Products</t>
  </si>
  <si>
    <t>100282</t>
  </si>
  <si>
    <t>Blue Star Ltd.</t>
  </si>
  <si>
    <t>INE472A01039</t>
  </si>
  <si>
    <t>Consumer Durables</t>
  </si>
  <si>
    <t>100314</t>
  </si>
  <si>
    <t>SRF Ltd.</t>
  </si>
  <si>
    <t>INE647A01010</t>
  </si>
  <si>
    <t>Chemicals &amp; Petrochemicals</t>
  </si>
  <si>
    <t>100183</t>
  </si>
  <si>
    <t>Vedanta Ltd.</t>
  </si>
  <si>
    <t>INE205A01025</t>
  </si>
  <si>
    <t>Diversified Metals</t>
  </si>
  <si>
    <t>100273</t>
  </si>
  <si>
    <t>Havells India Ltd.</t>
  </si>
  <si>
    <t>INE176B01034</t>
  </si>
  <si>
    <t>100654</t>
  </si>
  <si>
    <t>Automotive Axles Ltd.</t>
  </si>
  <si>
    <t>INE449A01011</t>
  </si>
  <si>
    <t>Auto Components</t>
  </si>
  <si>
    <t>100335</t>
  </si>
  <si>
    <t>Kajaria Ceramics Ltd.</t>
  </si>
  <si>
    <t>INE217B01036</t>
  </si>
  <si>
    <t>100013</t>
  </si>
  <si>
    <t>IndusInd Bank Ltd.</t>
  </si>
  <si>
    <t>INE095A01012</t>
  </si>
  <si>
    <t>Banks</t>
  </si>
  <si>
    <t>101617</t>
  </si>
  <si>
    <t>Macrotech Developers Ltd.</t>
  </si>
  <si>
    <t>INE670K01029</t>
  </si>
  <si>
    <t>Realty</t>
  </si>
  <si>
    <t>100302</t>
  </si>
  <si>
    <t>DLF Ltd.</t>
  </si>
  <si>
    <t>INE271C01023</t>
  </si>
  <si>
    <t>100139</t>
  </si>
  <si>
    <t>UPL Ltd.</t>
  </si>
  <si>
    <t>INE628A01036</t>
  </si>
  <si>
    <t>Fertilizers &amp; Agrochemicals</t>
  </si>
  <si>
    <t>100372</t>
  </si>
  <si>
    <t>Apollo Tyres Ltd.</t>
  </si>
  <si>
    <t>INE438A01022</t>
  </si>
  <si>
    <t>100012</t>
  </si>
  <si>
    <t>ICICI Bank Ltd.</t>
  </si>
  <si>
    <t>INE090A01021</t>
  </si>
  <si>
    <t>100235</t>
  </si>
  <si>
    <t>CRISIL Ltd.</t>
  </si>
  <si>
    <t>INE007A01025</t>
  </si>
  <si>
    <t>Finance</t>
  </si>
  <si>
    <t>100896</t>
  </si>
  <si>
    <t>Polycab India Ltd.</t>
  </si>
  <si>
    <t>INE455K01017</t>
  </si>
  <si>
    <t>100080</t>
  </si>
  <si>
    <t>Dr. Reddy's Laboratories Ltd.</t>
  </si>
  <si>
    <t>INE089A01023</t>
  </si>
  <si>
    <t>Pharmaceuticals &amp; Biotechnology</t>
  </si>
  <si>
    <t>100315</t>
  </si>
  <si>
    <t>Prestige Estates Projects Ltd.</t>
  </si>
  <si>
    <t>INE811K01011</t>
  </si>
  <si>
    <t>100108</t>
  </si>
  <si>
    <t>Adani Ports and Special Economic Zone Ltd.</t>
  </si>
  <si>
    <t>INE742F01042</t>
  </si>
  <si>
    <t>Transport Infrastructure</t>
  </si>
  <si>
    <t>100180</t>
  </si>
  <si>
    <t>Hindalco Industries Ltd.</t>
  </si>
  <si>
    <t>INE038A01020</t>
  </si>
  <si>
    <t>Non - Ferrous Metals</t>
  </si>
  <si>
    <t>100255</t>
  </si>
  <si>
    <t>PNC Infratech Ltd.</t>
  </si>
  <si>
    <t>INE195J01029</t>
  </si>
  <si>
    <t>Construction</t>
  </si>
  <si>
    <t>100431</t>
  </si>
  <si>
    <t>Atul Auto Ltd.</t>
  </si>
  <si>
    <t>INE951D01028</t>
  </si>
  <si>
    <t>Agricultural, Commercial &amp; Construction Vehicles</t>
  </si>
  <si>
    <t>100178</t>
  </si>
  <si>
    <t>Ambuja Cements Ltd.</t>
  </si>
  <si>
    <t>INE079A01024</t>
  </si>
  <si>
    <t>Cement &amp; Cement Products</t>
  </si>
  <si>
    <t>100024</t>
  </si>
  <si>
    <t>Axis Bank Ltd.</t>
  </si>
  <si>
    <t>INE238A01034</t>
  </si>
  <si>
    <t>100128</t>
  </si>
  <si>
    <t>Eicher Motors Ltd.</t>
  </si>
  <si>
    <t>INE066A01021</t>
  </si>
  <si>
    <t>101229</t>
  </si>
  <si>
    <t>Jubilant Ingrevia Ltd.</t>
  </si>
  <si>
    <t>INE0BY001018</t>
  </si>
  <si>
    <t>100388</t>
  </si>
  <si>
    <t>Balrampur Chini Mills Ltd.</t>
  </si>
  <si>
    <t>INE119A01028</t>
  </si>
  <si>
    <t>Agricultural Food &amp; other Products</t>
  </si>
  <si>
    <t>101306</t>
  </si>
  <si>
    <t>Apollo Pipes Ltd.</t>
  </si>
  <si>
    <t>INE126J01016</t>
  </si>
  <si>
    <t>100115</t>
  </si>
  <si>
    <t>Siemens Ltd.</t>
  </si>
  <si>
    <t>INE003A01024</t>
  </si>
  <si>
    <t>Electrical Equipment</t>
  </si>
  <si>
    <t>100425</t>
  </si>
  <si>
    <t>Chambal Fertilisers and Chemicals Ltd.</t>
  </si>
  <si>
    <t>INE085A01013</t>
  </si>
  <si>
    <t>100172</t>
  </si>
  <si>
    <t>ACC Ltd.</t>
  </si>
  <si>
    <t>INE012A01025</t>
  </si>
  <si>
    <t>101412</t>
  </si>
  <si>
    <t>Punjab Chemicals &amp; Crop Protection Ltd.</t>
  </si>
  <si>
    <t>INE277B01014</t>
  </si>
  <si>
    <t>100571</t>
  </si>
  <si>
    <t>KNR Constructions Ltd.</t>
  </si>
  <si>
    <t>INE634I01029</t>
  </si>
  <si>
    <t>100690</t>
  </si>
  <si>
    <t>IG Petrochemicals Ltd.</t>
  </si>
  <si>
    <t>INE204A01010</t>
  </si>
  <si>
    <t>100418</t>
  </si>
  <si>
    <t>Adani Enterprises Ltd.</t>
  </si>
  <si>
    <t>INE423A01024</t>
  </si>
  <si>
    <t>Metals &amp; Minerals Trading</t>
  </si>
  <si>
    <t>100570</t>
  </si>
  <si>
    <t>K.P.R. Mill Ltd.</t>
  </si>
  <si>
    <t>INE930H01031</t>
  </si>
  <si>
    <t>Textiles &amp; Apparels</t>
  </si>
  <si>
    <t>100162</t>
  </si>
  <si>
    <t>Kirloskar Oil Engines Ltd.</t>
  </si>
  <si>
    <t>INE146L01010</t>
  </si>
  <si>
    <t>100821</t>
  </si>
  <si>
    <t>TTK Prestige Ltd.</t>
  </si>
  <si>
    <t>INE690A01028</t>
  </si>
  <si>
    <t>100104</t>
  </si>
  <si>
    <t>Kotak Mahindra Bank Ltd.</t>
  </si>
  <si>
    <t>INE237A01028</t>
  </si>
  <si>
    <t>100059</t>
  </si>
  <si>
    <t>Godrej Industries Ltd.</t>
  </si>
  <si>
    <t>INE233A01035</t>
  </si>
  <si>
    <t>Diversified</t>
  </si>
  <si>
    <t>100695</t>
  </si>
  <si>
    <t>Nilkamal Ltd.</t>
  </si>
  <si>
    <t>INE310A01015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</si>
  <si>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</si>
  <si>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</si>
  <si>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</si>
  <si>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</si>
  <si>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</si>
  <si>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</si>
  <si>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</si>
  <si>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</si>
  <si>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</si>
  <si>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</si>
  <si>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</si>
  <si>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</si>
  <si>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</si>
  <si>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</si>
  <si>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</si>
  <si>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</si>
  <si>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</si>
  <si>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</si>
  <si>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</si>
  <si>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</si>
  <si>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</si>
  <si>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</si>
  <si>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</si>
  <si>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</si>
  <si>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</si>
  <si>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</si>
  <si>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</si>
  <si>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</si>
  <si>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</si>
  <si>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</si>
  <si>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</si>
  <si>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</si>
  <si>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</si>
  <si>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</si>
  <si>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</si>
  <si>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</si>
  <si>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</si>
  <si>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</si>
  <si>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</si>
  <si>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</si>
  <si>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</si>
  <si>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</si>
  <si>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</si>
  <si>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</si>
  <si>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February 28, 2023 : 140.24)</t>
  </si>
  <si>
    <t>Taurus Flexi Cap Fund - Direct Plan Growth Option</t>
  </si>
  <si>
    <t>NAV [Rs.] Per Unit (as on February 28, 2023 : 145.70)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</si>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</sst>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85816</v>
      </c>
      <c r="H10" s="32">
        <v>1089.69</v>
      </c>
      <c r="I10" s="32">
        <v>4.68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57400</v>
      </c>
      <c r="H11" s="32">
        <v>1084.2</v>
      </c>
      <c r="I11" s="32">
        <v>4.6500000000000004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75367</v>
      </c>
      <c r="H12" s="32">
        <v>1082.27</v>
      </c>
      <c r="I12" s="32">
        <v>4.6399999999999997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46378</v>
      </c>
      <c r="H13" s="32">
        <v>1005.66</v>
      </c>
      <c r="I13" s="32">
        <v>4.3099999999999996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372799</v>
      </c>
      <c r="H14" s="32">
        <v>1000.78</v>
      </c>
      <c r="I14" s="32">
        <v>4.29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26</v>
      </c>
      <c r="G15" s="31">
        <v>80696</v>
      </c>
      <c r="H15" s="32">
        <v>966.05</v>
      </c>
      <c r="I15" s="32">
        <v>4.1399999999999997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38110</v>
      </c>
      <c r="H16" s="32">
        <v>851.93</v>
      </c>
      <c r="I16" s="32">
        <v>3.66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26</v>
      </c>
      <c r="G17" s="31">
        <v>78008</v>
      </c>
      <c r="H17" s="32">
        <v>835.39</v>
      </c>
      <c r="I17" s="32">
        <v>3.58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77483</v>
      </c>
      <c r="H18" s="32">
        <v>835.15</v>
      </c>
      <c r="I18" s="32">
        <v>3.58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100955</v>
      </c>
      <c r="H19" s="32">
        <v>828.39</v>
      </c>
      <c r="I19" s="32">
        <v>3.55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52</v>
      </c>
      <c r="G20" s="31">
        <v>223039</v>
      </c>
      <c r="H20" s="32">
        <v>783.31</v>
      </c>
      <c r="I20" s="32">
        <v>3.36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112352</v>
      </c>
      <c r="H21" s="32">
        <v>779.95</v>
      </c>
      <c r="I21" s="32">
        <v>3.35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41</v>
      </c>
      <c r="G22" s="31">
        <v>229326</v>
      </c>
      <c r="H22" s="32">
        <v>718.02</v>
      </c>
      <c r="I22" s="32">
        <v>3.08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48</v>
      </c>
      <c r="G23" s="31">
        <v>80669</v>
      </c>
      <c r="H23" s="32">
        <v>689.44</v>
      </c>
      <c r="I23" s="32">
        <v>2.96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19780</v>
      </c>
      <c r="H24" s="32">
        <v>668.57</v>
      </c>
      <c r="I24" s="32">
        <v>2.87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22</v>
      </c>
      <c r="G25" s="31">
        <v>21300</v>
      </c>
      <c r="H25" s="32">
        <v>656.01</v>
      </c>
      <c r="I25" s="32">
        <v>2.81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14997</v>
      </c>
      <c r="H26" s="32">
        <v>646.55999999999995</v>
      </c>
      <c r="I26" s="32">
        <v>2.77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52</v>
      </c>
      <c r="G27" s="31">
        <v>158240</v>
      </c>
      <c r="H27" s="32">
        <v>642.14</v>
      </c>
      <c r="I27" s="32">
        <v>2.76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106959</v>
      </c>
      <c r="H28" s="32">
        <v>633.84</v>
      </c>
      <c r="I28" s="32">
        <v>2.72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137722</v>
      </c>
      <c r="H29" s="32">
        <v>549.79</v>
      </c>
      <c r="I29" s="32">
        <v>2.36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197904</v>
      </c>
      <c r="H30" s="32">
        <v>542.45000000000005</v>
      </c>
      <c r="I30" s="32">
        <v>2.33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153013</v>
      </c>
      <c r="H31" s="32">
        <v>526.36</v>
      </c>
      <c r="I31" s="32">
        <v>2.2599999999999998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150000</v>
      </c>
      <c r="H32" s="32">
        <v>513.08000000000004</v>
      </c>
      <c r="I32" s="32">
        <v>2.2000000000000002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48</v>
      </c>
      <c r="G33" s="31">
        <v>56000</v>
      </c>
      <c r="H33" s="32">
        <v>472.53</v>
      </c>
      <c r="I33" s="32">
        <v>2.0299999999999998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18</v>
      </c>
      <c r="G34" s="31">
        <v>15100</v>
      </c>
      <c r="H34" s="32">
        <v>468.79</v>
      </c>
      <c r="I34" s="32">
        <v>2.0099999999999998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30</v>
      </c>
      <c r="G35" s="31">
        <v>92600</v>
      </c>
      <c r="H35" s="32">
        <v>411.98</v>
      </c>
      <c r="I35" s="32">
        <v>1.77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108600</v>
      </c>
      <c r="H36" s="32">
        <v>387.76</v>
      </c>
      <c r="I36" s="32">
        <v>1.66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22</v>
      </c>
      <c r="G37" s="31">
        <v>78601</v>
      </c>
      <c r="H37" s="32">
        <v>382.39</v>
      </c>
      <c r="I37" s="32">
        <v>1.64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11465</v>
      </c>
      <c r="H38" s="32">
        <v>372.18</v>
      </c>
      <c r="I38" s="32">
        <v>1.6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59</v>
      </c>
      <c r="G39" s="31">
        <v>129773</v>
      </c>
      <c r="H39" s="32">
        <v>356.23</v>
      </c>
      <c r="I39" s="32">
        <v>1.53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99</v>
      </c>
      <c r="G40" s="31">
        <v>18000</v>
      </c>
      <c r="H40" s="32">
        <v>311.81</v>
      </c>
      <c r="I40" s="32">
        <v>1.34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59</v>
      </c>
      <c r="G41" s="31">
        <v>32045</v>
      </c>
      <c r="H41" s="32">
        <v>282.97000000000003</v>
      </c>
      <c r="I41" s="32">
        <v>1.21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91</v>
      </c>
      <c r="G42" s="31">
        <v>103891</v>
      </c>
      <c r="H42" s="32">
        <v>266.17</v>
      </c>
      <c r="I42" s="32">
        <v>1.1399999999999999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30</v>
      </c>
      <c r="G43" s="31">
        <v>64823</v>
      </c>
      <c r="H43" s="32">
        <v>260.58999999999997</v>
      </c>
      <c r="I43" s="32">
        <v>1.1200000000000001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17745</v>
      </c>
      <c r="H44" s="32">
        <v>242.05</v>
      </c>
      <c r="I44" s="32">
        <v>1.04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41480</v>
      </c>
      <c r="H45" s="32">
        <v>238.43</v>
      </c>
      <c r="I45" s="32">
        <v>1.02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22</v>
      </c>
      <c r="G46" s="31">
        <v>58423</v>
      </c>
      <c r="H46" s="32">
        <v>184.12</v>
      </c>
      <c r="I46" s="32">
        <v>0.79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26</v>
      </c>
      <c r="G47" s="31">
        <v>22837</v>
      </c>
      <c r="H47" s="32">
        <v>172.9</v>
      </c>
      <c r="I47" s="32">
        <v>0.74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48</v>
      </c>
      <c r="G48" s="31">
        <v>7083</v>
      </c>
      <c r="H48" s="32">
        <v>122.47</v>
      </c>
      <c r="I48" s="32">
        <v>0.53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14732</v>
      </c>
      <c r="H49" s="32">
        <v>61.78</v>
      </c>
      <c r="I49" s="32">
        <v>0.27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26</v>
      </c>
      <c r="G50" s="31">
        <v>1905</v>
      </c>
      <c r="H50" s="32">
        <v>33.840000000000003</v>
      </c>
      <c r="I50" s="32">
        <v>0.15</v>
      </c>
      <c r="J50" s="33"/>
    </row>
    <row r="51" spans="2:10">
      <c r="C51" s="28" t="s">
        <v>159</v>
      </c>
      <c r="D51" s="29"/>
      <c r="E51" s="30"/>
      <c r="F51" s="30"/>
      <c r="G51" s="31"/>
      <c r="H51" s="35">
        <v>22958.02</v>
      </c>
      <c r="I51" s="35">
        <v>98.5</v>
      </c>
      <c r="J51" s="33"/>
    </row>
    <row r="52" spans="2:10">
      <c r="C52" s="20"/>
      <c r="D52" s="29"/>
      <c r="E52" s="30"/>
      <c r="F52" s="30"/>
      <c r="G52" s="31"/>
      <c r="H52" s="32"/>
      <c r="I52" s="32"/>
      <c r="J52" s="33"/>
    </row>
    <row r="53" spans="2:10">
      <c r="C53" s="34" t="s">
        <v>160</v>
      </c>
      <c r="D53" s="29"/>
      <c r="E53" s="30"/>
      <c r="F53" s="30"/>
      <c r="G53" s="31"/>
      <c r="H53" s="32"/>
      <c r="I53" s="32"/>
      <c r="J53" s="33"/>
    </row>
    <row r="54" spans="2:10">
      <c r="B54" s="1" t="s">
        <v>161</v>
      </c>
      <c r="C54" s="20" t="s">
        <v>162</v>
      </c>
      <c r="D54" s="29" t="s">
        <v>163</v>
      </c>
      <c r="E54" s="30"/>
      <c r="F54" s="30" t="s">
        <v>164</v>
      </c>
      <c r="G54" s="31">
        <v>189983</v>
      </c>
      <c r="H54" s="36">
        <v>0</v>
      </c>
      <c r="I54" s="32" t="s">
        <v>165</v>
      </c>
      <c r="J54" s="33"/>
    </row>
    <row r="55" spans="2:10">
      <c r="C55" s="28" t="s">
        <v>159</v>
      </c>
      <c r="D55" s="29"/>
      <c r="E55" s="30"/>
      <c r="F55" s="30"/>
      <c r="G55" s="31"/>
      <c r="H55" s="37">
        <v>0</v>
      </c>
      <c r="I55" s="35" t="s">
        <v>165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166</v>
      </c>
      <c r="D57" s="29"/>
      <c r="E57" s="30"/>
      <c r="F57" s="30"/>
      <c r="G57" s="31"/>
      <c r="H57" s="32" t="s">
        <v>167</v>
      </c>
      <c r="I57" s="32" t="s">
        <v>167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168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169</v>
      </c>
      <c r="D61" s="29"/>
      <c r="E61" s="30"/>
      <c r="F61" s="30"/>
      <c r="G61" s="31"/>
      <c r="H61" s="32" t="s">
        <v>167</v>
      </c>
      <c r="I61" s="32" t="s">
        <v>167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170</v>
      </c>
      <c r="D63" s="29"/>
      <c r="E63" s="30"/>
      <c r="F63" s="30"/>
      <c r="G63" s="31"/>
      <c r="H63" s="32" t="s">
        <v>167</v>
      </c>
      <c r="I63" s="32" t="s">
        <v>167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171</v>
      </c>
      <c r="D65" s="29"/>
      <c r="E65" s="30"/>
      <c r="F65" s="30"/>
      <c r="G65" s="31"/>
      <c r="H65" s="32" t="s">
        <v>167</v>
      </c>
      <c r="I65" s="32" t="s">
        <v>167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172</v>
      </c>
      <c r="D67" s="29"/>
      <c r="E67" s="30"/>
      <c r="F67" s="30"/>
      <c r="G67" s="31"/>
      <c r="H67" s="32" t="s">
        <v>167</v>
      </c>
      <c r="I67" s="32" t="s">
        <v>167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173</v>
      </c>
      <c r="D69" s="29"/>
      <c r="E69" s="30"/>
      <c r="F69" s="30"/>
      <c r="G69" s="31"/>
      <c r="H69" s="32" t="s">
        <v>167</v>
      </c>
      <c r="I69" s="32" t="s">
        <v>167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174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175</v>
      </c>
      <c r="D73" s="29"/>
      <c r="E73" s="30"/>
      <c r="F73" s="30"/>
      <c r="G73" s="31"/>
      <c r="H73" s="32" t="s">
        <v>167</v>
      </c>
      <c r="I73" s="32" t="s">
        <v>167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176</v>
      </c>
      <c r="D75" s="29"/>
      <c r="E75" s="30"/>
      <c r="F75" s="30"/>
      <c r="G75" s="31"/>
      <c r="H75" s="32" t="s">
        <v>167</v>
      </c>
      <c r="I75" s="32" t="s">
        <v>167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177</v>
      </c>
      <c r="D77" s="29"/>
      <c r="E77" s="30"/>
      <c r="F77" s="30"/>
      <c r="G77" s="31"/>
      <c r="H77" s="32" t="s">
        <v>167</v>
      </c>
      <c r="I77" s="32" t="s">
        <v>167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178</v>
      </c>
      <c r="D79" s="29"/>
      <c r="E79" s="30"/>
      <c r="F79" s="30"/>
      <c r="G79" s="31"/>
      <c r="H79" s="32" t="s">
        <v>167</v>
      </c>
      <c r="I79" s="32" t="s">
        <v>167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179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180</v>
      </c>
      <c r="D83" s="29"/>
      <c r="E83" s="30"/>
      <c r="F83" s="30"/>
      <c r="G83" s="31"/>
      <c r="H83" s="32" t="s">
        <v>167</v>
      </c>
      <c r="I83" s="32" t="s">
        <v>167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181</v>
      </c>
      <c r="D85" s="29"/>
      <c r="E85" s="30"/>
      <c r="F85" s="30"/>
      <c r="G85" s="31"/>
      <c r="H85" s="32" t="s">
        <v>167</v>
      </c>
      <c r="I85" s="32" t="s">
        <v>167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182</v>
      </c>
      <c r="D87" s="29"/>
      <c r="E87" s="30"/>
      <c r="F87" s="30"/>
      <c r="G87" s="31"/>
      <c r="H87" s="32" t="s">
        <v>167</v>
      </c>
      <c r="I87" s="32" t="s">
        <v>167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183</v>
      </c>
      <c r="D89" s="29"/>
      <c r="E89" s="30"/>
      <c r="F89" s="30"/>
      <c r="G89" s="31"/>
      <c r="H89" s="32" t="s">
        <v>167</v>
      </c>
      <c r="I89" s="32" t="s">
        <v>167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184</v>
      </c>
      <c r="D91" s="29"/>
      <c r="E91" s="30"/>
      <c r="F91" s="30"/>
      <c r="G91" s="31"/>
      <c r="H91" s="32" t="s">
        <v>167</v>
      </c>
      <c r="I91" s="32" t="s">
        <v>167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185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186</v>
      </c>
      <c r="D94" s="29"/>
      <c r="E94" s="30"/>
      <c r="F94" s="30"/>
      <c r="G94" s="31"/>
      <c r="H94" s="32">
        <v>349.29</v>
      </c>
      <c r="I94" s="32">
        <v>1.5</v>
      </c>
      <c r="J94" s="33"/>
    </row>
    <row r="95" spans="1:10">
      <c r="C95" s="28" t="s">
        <v>159</v>
      </c>
      <c r="D95" s="29"/>
      <c r="E95" s="30"/>
      <c r="F95" s="30"/>
      <c r="G95" s="31"/>
      <c r="H95" s="35">
        <v>349.29</v>
      </c>
      <c r="I95" s="35">
        <v>1.5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5" thickBot="1">
      <c r="C97" s="38" t="s">
        <v>187</v>
      </c>
      <c r="D97" s="39"/>
      <c r="E97" s="40"/>
      <c r="F97" s="41"/>
      <c r="G97" s="42"/>
      <c r="H97" s="43">
        <v>23307.31</v>
      </c>
      <c r="I97" s="43">
        <f>SUMIFS(I:I,C:C,"Total")</f>
        <v>100</v>
      </c>
      <c r="J97" s="44"/>
    </row>
    <row r="100" spans="3:10">
      <c r="C100" s="11" t="s">
        <v>188</v>
      </c>
    </row>
    <row r="101" spans="3:10">
      <c r="C101" s="2" t="s">
        <v>189</v>
      </c>
    </row>
    <row r="102" spans="3:10">
      <c r="C102" s="2" t="s">
        <v>190</v>
      </c>
    </row>
    <row r="103" spans="3:10">
      <c r="C103" s="2" t="s">
        <v>191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54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5" t="s">
        <v>192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193</v>
      </c>
      <c r="C5" s="48" t="s">
        <v>194</v>
      </c>
      <c r="D5" s="48"/>
      <c r="E5" s="48" t="s">
        <v>195</v>
      </c>
      <c r="F5" s="48"/>
      <c r="G5" s="48" t="s">
        <v>196</v>
      </c>
      <c r="H5" s="48"/>
      <c r="I5" s="48" t="s">
        <v>197</v>
      </c>
      <c r="J5" s="48"/>
    </row>
    <row r="6" spans="2:10" ht="63.75">
      <c r="B6" s="49"/>
      <c r="C6" s="50" t="s">
        <v>198</v>
      </c>
      <c r="D6" s="50" t="s">
        <v>199</v>
      </c>
      <c r="E6" s="50" t="s">
        <v>198</v>
      </c>
      <c r="F6" s="50" t="s">
        <v>199</v>
      </c>
      <c r="G6" s="50" t="s">
        <v>198</v>
      </c>
      <c r="H6" s="50" t="s">
        <v>199</v>
      </c>
      <c r="I6" s="50" t="s">
        <v>198</v>
      </c>
      <c r="J6" s="50" t="s">
        <v>199</v>
      </c>
    </row>
    <row r="7" spans="2:10">
      <c r="B7" s="51" t="s">
        <v>200</v>
      </c>
      <c r="C7" s="52">
        <v>-1.4891823545939875</v>
      </c>
      <c r="D7" s="52">
        <v>9851.0817645406023</v>
      </c>
      <c r="E7" s="52">
        <v>9.8670830427307177</v>
      </c>
      <c r="F7" s="52">
        <v>13265.228906545593</v>
      </c>
      <c r="G7" s="52">
        <v>4.1912837900497157</v>
      </c>
      <c r="H7" s="52">
        <v>12280.210157618214</v>
      </c>
      <c r="I7" s="52">
        <v>9.4979127154944045</v>
      </c>
      <c r="J7" s="52">
        <v>140240</v>
      </c>
    </row>
    <row r="8" spans="2:10">
      <c r="B8" s="51" t="s">
        <v>201</v>
      </c>
      <c r="C8" s="52">
        <v>2.9184966809056911</v>
      </c>
      <c r="D8" s="52">
        <v>10291.849668090568</v>
      </c>
      <c r="E8" s="52">
        <v>17.956332088870951</v>
      </c>
      <c r="F8" s="52">
        <v>16412.085789708552</v>
      </c>
      <c r="G8" s="52">
        <v>10.885484289012481</v>
      </c>
      <c r="H8" s="52">
        <v>16763.83925895211</v>
      </c>
      <c r="I8" s="52">
        <v>0</v>
      </c>
      <c r="J8" s="52">
        <v>0</v>
      </c>
    </row>
    <row r="9" spans="2:10">
      <c r="B9" s="51" t="s">
        <v>202</v>
      </c>
      <c r="C9" s="52">
        <v>4.2705236324582341</v>
      </c>
      <c r="D9" s="52">
        <v>10427.052363245823</v>
      </c>
      <c r="E9" s="52">
        <v>16.977100801067714</v>
      </c>
      <c r="F9" s="52">
        <v>16006.727826404724</v>
      </c>
      <c r="G9" s="52">
        <v>11.886258528558491</v>
      </c>
      <c r="H9" s="52">
        <v>17534.111201090232</v>
      </c>
      <c r="I9" s="52">
        <v>10.591125550384106</v>
      </c>
      <c r="J9" s="52">
        <v>187206.09532382042</v>
      </c>
    </row>
    <row r="10" spans="2:10">
      <c r="B10" s="51" t="s">
        <v>203</v>
      </c>
      <c r="C10" s="53">
        <v>142.36000000000001</v>
      </c>
      <c r="D10" s="54"/>
      <c r="E10" s="53">
        <v>105.72</v>
      </c>
      <c r="F10" s="54"/>
      <c r="G10" s="53">
        <v>114.2</v>
      </c>
      <c r="H10" s="54"/>
      <c r="I10" s="53">
        <v>10</v>
      </c>
      <c r="J10" s="54"/>
    </row>
    <row r="12" spans="2:10" ht="15.75">
      <c r="B12" s="45" t="s">
        <v>204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193</v>
      </c>
      <c r="C13" s="48" t="s">
        <v>194</v>
      </c>
      <c r="D13" s="48"/>
      <c r="E13" s="48" t="s">
        <v>195</v>
      </c>
      <c r="F13" s="48"/>
      <c r="G13" s="48" t="s">
        <v>196</v>
      </c>
      <c r="H13" s="48"/>
      <c r="I13" s="48" t="s">
        <v>197</v>
      </c>
      <c r="J13" s="48"/>
    </row>
    <row r="14" spans="2:10" ht="63.75">
      <c r="B14" s="49"/>
      <c r="C14" s="50" t="s">
        <v>198</v>
      </c>
      <c r="D14" s="50" t="s">
        <v>199</v>
      </c>
      <c r="E14" s="50" t="s">
        <v>198</v>
      </c>
      <c r="F14" s="50" t="s">
        <v>199</v>
      </c>
      <c r="G14" s="50" t="s">
        <v>198</v>
      </c>
      <c r="H14" s="50" t="s">
        <v>199</v>
      </c>
      <c r="I14" s="50" t="s">
        <v>198</v>
      </c>
      <c r="J14" s="50" t="s">
        <v>199</v>
      </c>
    </row>
    <row r="15" spans="2:10">
      <c r="B15" s="51" t="s">
        <v>200</v>
      </c>
      <c r="C15" s="52">
        <v>-1.4475108225108335</v>
      </c>
      <c r="D15" s="52">
        <v>9855.2489177489169</v>
      </c>
      <c r="E15" s="52">
        <v>9.9491619424285425</v>
      </c>
      <c r="F15" s="52">
        <v>13295.008668674147</v>
      </c>
      <c r="G15" s="52">
        <v>4.2856591211514417</v>
      </c>
      <c r="H15" s="52">
        <v>12335.958005249342</v>
      </c>
      <c r="I15" s="52">
        <v>8.4268390427078455</v>
      </c>
      <c r="J15" s="52">
        <v>22758.512964698533</v>
      </c>
    </row>
    <row r="16" spans="2:10">
      <c r="B16" s="51" t="s">
        <v>201</v>
      </c>
      <c r="C16" s="52">
        <v>2.9184966809056911</v>
      </c>
      <c r="D16" s="52">
        <v>10291.849668090568</v>
      </c>
      <c r="E16" s="52">
        <v>17.956332088870951</v>
      </c>
      <c r="F16" s="52">
        <v>16412.085789708552</v>
      </c>
      <c r="G16" s="52">
        <v>10.885484289012481</v>
      </c>
      <c r="H16" s="52">
        <v>16763.83925895211</v>
      </c>
      <c r="I16" s="52">
        <v>12.953116214919568</v>
      </c>
      <c r="J16" s="52">
        <v>34488.774852597584</v>
      </c>
    </row>
    <row r="17" spans="2:10">
      <c r="B17" s="51" t="s">
        <v>202</v>
      </c>
      <c r="C17" s="52">
        <v>4.2705236324582341</v>
      </c>
      <c r="D17" s="52">
        <v>10427.052363245823</v>
      </c>
      <c r="E17" s="52">
        <v>16.977100801067714</v>
      </c>
      <c r="F17" s="52">
        <v>16006.727826404724</v>
      </c>
      <c r="G17" s="52">
        <v>11.886258528558491</v>
      </c>
      <c r="H17" s="52">
        <v>17534.111201090232</v>
      </c>
      <c r="I17" s="52">
        <v>12.436075240682577</v>
      </c>
      <c r="J17" s="52">
        <v>32917.347421583596</v>
      </c>
    </row>
    <row r="18" spans="2:10">
      <c r="B18" s="51" t="s">
        <v>205</v>
      </c>
      <c r="C18" s="53">
        <v>147.84</v>
      </c>
      <c r="D18" s="54"/>
      <c r="E18" s="53">
        <v>109.59</v>
      </c>
      <c r="F18" s="54"/>
      <c r="G18" s="53">
        <v>118.11</v>
      </c>
      <c r="H18" s="54"/>
      <c r="I18" s="53">
        <v>64.02</v>
      </c>
      <c r="J18" s="54"/>
    </row>
    <row r="20" spans="2:10">
      <c r="B20" t="s">
        <v>206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2023-03-01T10:10:56Z</dcterms:created>
  <dcterms:modified xsi:type="dcterms:W3CDTF">2023-03-09T10:55:58Z</dcterms:modified>
</cp:coreProperties>
</file>