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ISF-Risk-O-Meter &amp; Performance" sheetId="1" r:id="rId1"/>
    <sheet name="TISF-Performance" sheetId="2" r:id="rId2"/>
  </sheets>
  <externalReferences>
    <externalReference r:id="rId3"/>
  </externalReferences>
  <definedNames>
    <definedName name="XDO_?CLASS_3?4?">'TISF-Risk-O-Meter &amp; Performance'!$C$8:$C$52</definedName>
    <definedName name="XDO_?FINAL_ISIN?7?">'TISF-Risk-O-Meter &amp; Performance'!$D$10:$D$52</definedName>
    <definedName name="XDO_?FINAL_ISIN?8?">'TISF-Risk-O-Meter &amp; Performance'!$D$10:$D$94</definedName>
    <definedName name="XDO_?FINAL_MV?7?">'TISF-Risk-O-Meter &amp; Performance'!$H$10:$H$52</definedName>
    <definedName name="XDO_?FINAL_MV?8?">'TISF-Risk-O-Meter &amp; Performance'!$H$10:$H$94</definedName>
    <definedName name="XDO_?FINAL_NAME?7?">'TISF-Risk-O-Meter &amp; Performance'!$C$10:$C$52</definedName>
    <definedName name="XDO_?FINAL_NAME?8?">'TISF-Risk-O-Meter &amp; Performance'!$C$10:$C$94</definedName>
    <definedName name="XDO_?FINAL_PER_NET?7?">'TISF-Risk-O-Meter &amp; Performance'!$I$10:$I$52</definedName>
    <definedName name="XDO_?FINAL_PER_NET?8?">'TISF-Risk-O-Meter &amp; Performance'!$I$10:$I$94</definedName>
    <definedName name="XDO_?FINAL_QUANTITE?7?">'TISF-Risk-O-Meter &amp; Performance'!$G$10:$G$52</definedName>
    <definedName name="XDO_?FINAL_QUANTITE?8?">'TISF-Risk-O-Meter &amp; Performance'!$G$10:$G$94</definedName>
    <definedName name="XDO_?IND_01?7?">'TISF-Risk-O-Meter &amp; Performance'!$F$10:$F$52</definedName>
    <definedName name="XDO_?IND_01?8?">'TISF-Risk-O-Meter &amp; Performance'!$F$10:$F$94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'TISF-Risk-O-Meter &amp; Performance'!#REF!</definedName>
    <definedName name="XDO_?NAMC?5?">[1]TNI!#REF!</definedName>
    <definedName name="XDO_?NAMC?6?">[1]TSS!#REF!</definedName>
    <definedName name="XDO_?NAMC?7?">[1]TTS!#REF!</definedName>
    <definedName name="XDO_?NAMCNAME?4?">'TISF-Risk-O-Meter &amp; Performance'!$C$2:$C$52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'TISF-Risk-O-Meter &amp; Performance'!#REF!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'TISF-Risk-O-Meter &amp; Performance'!#REF!</definedName>
    <definedName name="XDO_?NNPTF?5?">[1]TNI!#REF!</definedName>
    <definedName name="XDO_?NNPTF?6?">[1]TSS!#REF!</definedName>
    <definedName name="XDO_?NNPTF?7?">[1]TTS!#REF!</definedName>
    <definedName name="XDO_?NOVAL?7?">'TISF-Risk-O-Meter &amp; Performance'!$B$10:$B$52</definedName>
    <definedName name="XDO_?NOVAL?8?">'TISF-Risk-O-Meter &amp; Performance'!$B$10:$B$94</definedName>
    <definedName name="XDO_?NPTF?4?">'TISF-Risk-O-Meter &amp; Performance'!$D$2:$D$52</definedName>
    <definedName name="XDO_?RATING?7?">'TISF-Risk-O-Meter &amp; Performance'!$E$10:$E$52</definedName>
    <definedName name="XDO_?RATING?8?">'TISF-Risk-O-Meter &amp; Performance'!$E$10:$E$94</definedName>
    <definedName name="XDO_?REMARKS?7?">'TISF-Risk-O-Meter &amp; Performance'!$J$10:$J$52</definedName>
    <definedName name="XDO_?REMARKS?8?">'TISF-Risk-O-Meter &amp; Performance'!$J$10:$J$94</definedName>
    <definedName name="XDO_?TITL?4?">'TISF-Risk-O-Meter &amp; Performance'!$A$8:$A$52</definedName>
    <definedName name="XDO_GROUP_?G_2?4?">'TISF-Risk-O-Meter &amp; Performance'!$2:$97</definedName>
    <definedName name="XDO_GROUP_?G_3?4?">'TISF-Risk-O-Meter &amp; Performance'!$8:$96</definedName>
    <definedName name="XDO_GROUP_?G_4?7?">'TISF-Risk-O-Meter &amp; Performance'!$B$10:$IV$52</definedName>
    <definedName name="XDO_GROUP_?G_4?8?">'TISF-Risk-O-Meter &amp; Performance'!$B$94:$IV$94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7" i="1"/>
</calcChain>
</file>

<file path=xl/sharedStrings.xml><?xml version="1.0" encoding="utf-8"?>
<sst xmlns="http://schemas.openxmlformats.org/spreadsheetml/2006/main" count="283" uniqueCount="210">
  <si>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</si>
  <si>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</si>
  <si>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</si>
  <si>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</si>
  <si>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</si>
  <si>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</si>
  <si>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</si>
  <si>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</si>
  <si>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</si>
  <si>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</si>
  <si>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</si>
  <si>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</si>
  <si>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</si>
  <si>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</si>
  <si>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</si>
  <si>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</si>
  <si>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</si>
  <si>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</si>
  <si>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</si>
  <si>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</si>
  <si>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</si>
  <si>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</si>
  <si>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</si>
  <si>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100108</t>
  </si>
  <si>
    <t>Adani Ports and Special Economic Zone Ltd.</t>
  </si>
  <si>
    <t>INE742F01042</t>
  </si>
  <si>
    <t>Transport Infrastructure</t>
  </si>
  <si>
    <t>100161</t>
  </si>
  <si>
    <t>Cummins India Ltd.</t>
  </si>
  <si>
    <t>INE298A01020</t>
  </si>
  <si>
    <t>Industrial Products</t>
  </si>
  <si>
    <t>100095</t>
  </si>
  <si>
    <t>Bharti Airtel Ltd.</t>
  </si>
  <si>
    <t>INE397D01024</t>
  </si>
  <si>
    <t>Telecom - Services</t>
  </si>
  <si>
    <t>100654</t>
  </si>
  <si>
    <t>Automotive Axles Ltd.</t>
  </si>
  <si>
    <t>INE449A01011</t>
  </si>
  <si>
    <t>Auto Components</t>
  </si>
  <si>
    <t>100423</t>
  </si>
  <si>
    <t>Maharashtra Seamless Ltd.</t>
  </si>
  <si>
    <t>INE271B01025</t>
  </si>
  <si>
    <t>101152</t>
  </si>
  <si>
    <t>Sumitomo Chemical India Ltd.</t>
  </si>
  <si>
    <t>INE258G01013</t>
  </si>
  <si>
    <t>Fertilizers &amp; Agrochemicals</t>
  </si>
  <si>
    <t>100816</t>
  </si>
  <si>
    <t>APL Apollo Tubes Ltd.</t>
  </si>
  <si>
    <t>INE702C01027</t>
  </si>
  <si>
    <t>101348</t>
  </si>
  <si>
    <t>Ami Organics Ltd.</t>
  </si>
  <si>
    <t>INE00FF01017</t>
  </si>
  <si>
    <t>Pharmaceuticals &amp; Biotechnology</t>
  </si>
  <si>
    <t>100014</t>
  </si>
  <si>
    <t>Mahindra &amp; Mahindra Ltd.</t>
  </si>
  <si>
    <t>INE101A01026</t>
  </si>
  <si>
    <t>Automobiles</t>
  </si>
  <si>
    <t>100115</t>
  </si>
  <si>
    <t>Siemens Ltd.</t>
  </si>
  <si>
    <t>INE003A01024</t>
  </si>
  <si>
    <t>Electrical Equipment</t>
  </si>
  <si>
    <t>100747</t>
  </si>
  <si>
    <t>Mahindra Logistics Ltd.</t>
  </si>
  <si>
    <t>INE766P01016</t>
  </si>
  <si>
    <t>Transport Services</t>
  </si>
  <si>
    <t>101102</t>
  </si>
  <si>
    <t>ESAB India Ltd.</t>
  </si>
  <si>
    <t>INE284A01012</t>
  </si>
  <si>
    <t>100119</t>
  </si>
  <si>
    <t>Tata Motors Ltd.</t>
  </si>
  <si>
    <t>INE155A01022</t>
  </si>
  <si>
    <t>100315</t>
  </si>
  <si>
    <t>Prestige Estates Projects Ltd.</t>
  </si>
  <si>
    <t>INE811K01011</t>
  </si>
  <si>
    <t>Realty</t>
  </si>
  <si>
    <t>100302</t>
  </si>
  <si>
    <t>DLF Ltd.</t>
  </si>
  <si>
    <t>INE271C01023</t>
  </si>
  <si>
    <t>100052</t>
  </si>
  <si>
    <t>The Great Eastern Shipping Company Ltd.</t>
  </si>
  <si>
    <t>INE017A01032</t>
  </si>
  <si>
    <t>100553</t>
  </si>
  <si>
    <t>Kennametal India Ltd.</t>
  </si>
  <si>
    <t>INE717A01029</t>
  </si>
  <si>
    <t>Industrial Manufacturing</t>
  </si>
  <si>
    <t>100271</t>
  </si>
  <si>
    <t>Balkrishna Industries Ltd.</t>
  </si>
  <si>
    <t>INE787D01026</t>
  </si>
  <si>
    <t>100406</t>
  </si>
  <si>
    <t>KSB Ltd.</t>
  </si>
  <si>
    <t>INE999A01015</t>
  </si>
  <si>
    <t>100082</t>
  </si>
  <si>
    <t>Ultratech Cement Ltd.</t>
  </si>
  <si>
    <t>INE481G01011</t>
  </si>
  <si>
    <t>Cement &amp; Cement Products</t>
  </si>
  <si>
    <t>100446</t>
  </si>
  <si>
    <t>V.S.T Tillers Tractors Ltd.</t>
  </si>
  <si>
    <t>INE764D01017</t>
  </si>
  <si>
    <t>Agricultural, Commercial &amp; Construction Vehicles</t>
  </si>
  <si>
    <t>101412</t>
  </si>
  <si>
    <t>Punjab Chemicals &amp; Crop Protection Ltd.</t>
  </si>
  <si>
    <t>INE277B01014</t>
  </si>
  <si>
    <t>100016</t>
  </si>
  <si>
    <t>Gujarat Mineral Development Corporation Ltd.</t>
  </si>
  <si>
    <t>INE131A01031</t>
  </si>
  <si>
    <t>Minerals &amp; Mining</t>
  </si>
  <si>
    <t>100314</t>
  </si>
  <si>
    <t>SRF Ltd.</t>
  </si>
  <si>
    <t>INE647A01010</t>
  </si>
  <si>
    <t>Chemicals &amp; Petrochemicals</t>
  </si>
  <si>
    <t>100281</t>
  </si>
  <si>
    <t>Century Textiles &amp; Industries Ltd.</t>
  </si>
  <si>
    <t>INE055A01016</t>
  </si>
  <si>
    <t>Paper, Forest &amp; Jute Products</t>
  </si>
  <si>
    <t>100229</t>
  </si>
  <si>
    <t>NCC Ltd.</t>
  </si>
  <si>
    <t>INE868B01028</t>
  </si>
  <si>
    <t>100282</t>
  </si>
  <si>
    <t>Blue Star Ltd.</t>
  </si>
  <si>
    <t>INE472A01039</t>
  </si>
  <si>
    <t>Consumer Durables</t>
  </si>
  <si>
    <t>100560</t>
  </si>
  <si>
    <t>NESCO Ltd.</t>
  </si>
  <si>
    <t>INE317F01035</t>
  </si>
  <si>
    <t>Commercial Services &amp; Supplies</t>
  </si>
  <si>
    <t>100843</t>
  </si>
  <si>
    <t>Dalmia Bharat Ltd.</t>
  </si>
  <si>
    <t>INE00R701025</t>
  </si>
  <si>
    <t>100399</t>
  </si>
  <si>
    <t>Cholamandalam Investment &amp; Finance Co. Ltd.</t>
  </si>
  <si>
    <t>INE121A01024</t>
  </si>
  <si>
    <t>Finance</t>
  </si>
  <si>
    <t>100374</t>
  </si>
  <si>
    <t>CESC Ltd.</t>
  </si>
  <si>
    <t>INE486A01021</t>
  </si>
  <si>
    <t>Power</t>
  </si>
  <si>
    <t>100896</t>
  </si>
  <si>
    <t>Polycab India Ltd.</t>
  </si>
  <si>
    <t>INE455K01017</t>
  </si>
  <si>
    <t>100461</t>
  </si>
  <si>
    <t>Astral Limited</t>
  </si>
  <si>
    <t>INE006I01046</t>
  </si>
  <si>
    <t>100143</t>
  </si>
  <si>
    <t>Thermax Ltd.</t>
  </si>
  <si>
    <t>INE152A01029</t>
  </si>
  <si>
    <t>101564</t>
  </si>
  <si>
    <t>Borosil Renewables Ltd.</t>
  </si>
  <si>
    <t>INE666D01022</t>
  </si>
  <si>
    <t>100335</t>
  </si>
  <si>
    <t>Kajaria Ceramics Ltd.</t>
  </si>
  <si>
    <t>INE217B01036</t>
  </si>
  <si>
    <t>100273</t>
  </si>
  <si>
    <t>Havells India Ltd.</t>
  </si>
  <si>
    <t>INE176B01034</t>
  </si>
  <si>
    <t>100392</t>
  </si>
  <si>
    <t>Gujarat Narmada Valley Fertilizers &amp; Chemicals Ltd.</t>
  </si>
  <si>
    <t>INE113A01013</t>
  </si>
  <si>
    <t>100193</t>
  </si>
  <si>
    <t>JSW Steel Ltd.</t>
  </si>
  <si>
    <t>INE019A01038</t>
  </si>
  <si>
    <t>Ferrous Metals</t>
  </si>
  <si>
    <t>100718</t>
  </si>
  <si>
    <t>Network18 Media &amp; Investments Ltd.</t>
  </si>
  <si>
    <t>INE870H01013</t>
  </si>
  <si>
    <t>Entertainment</t>
  </si>
  <si>
    <t>100571</t>
  </si>
  <si>
    <t>KNR Constructions Ltd.</t>
  </si>
  <si>
    <t>INE634I01029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</si>
  <si>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</si>
  <si>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</si>
  <si>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</si>
  <si>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</si>
  <si>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</si>
  <si>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</si>
  <si>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</si>
  <si>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</si>
  <si>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</si>
  <si>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</si>
  <si>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</si>
  <si>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</si>
  <si>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</si>
  <si>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</si>
  <si>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</si>
  <si>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</si>
  <si>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</si>
  <si>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</si>
  <si>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</si>
  <si>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</si>
  <si>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</si>
  <si>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</si>
  <si>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</si>
  <si>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</si>
  <si>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</si>
  <si>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</si>
  <si>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</si>
  <si>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</si>
  <si>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</si>
  <si>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</si>
  <si>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</si>
  <si>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</si>
  <si>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</si>
  <si>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</si>
  <si>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</si>
  <si>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</si>
  <si>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</si>
  <si>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</si>
  <si>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</si>
  <si>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June 30, 2022 : 34.87)</t>
  </si>
  <si>
    <t>Taurus Infrastructure Fund - Direct Plan Growth Option</t>
  </si>
  <si>
    <t>NAV [Rs.] Per Unit (as on June 30, 2022 : 36.90)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</si>
</sst>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2423160</xdr:rowOff>
    </xdr:from>
    <xdr:to>
      <xdr:col>5</xdr:col>
      <xdr:colOff>89747</xdr:colOff>
      <xdr:row>0</xdr:row>
      <xdr:rowOff>4757928</xdr:rowOff>
    </xdr:to>
    <xdr:pic>
      <xdr:nvPicPr>
        <xdr:cNvPr id="2" name="Picture 1" descr="for half yearly - Taurus Infra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42316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Infrastrucre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une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3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79.8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44742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1710</v>
      </c>
      <c r="H10" s="32">
        <v>44.36</v>
      </c>
      <c r="I10" s="32">
        <v>9.42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1455</v>
      </c>
      <c r="H11" s="32">
        <v>22.66</v>
      </c>
      <c r="I11" s="32">
        <v>4.8099999999999996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3302</v>
      </c>
      <c r="H12" s="32">
        <v>22.17</v>
      </c>
      <c r="I12" s="32">
        <v>4.71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1887</v>
      </c>
      <c r="H13" s="32">
        <v>19.28</v>
      </c>
      <c r="I13" s="32">
        <v>4.09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2744</v>
      </c>
      <c r="H14" s="32">
        <v>18.77</v>
      </c>
      <c r="I14" s="32">
        <v>3.98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968</v>
      </c>
      <c r="H15" s="32">
        <v>15.32</v>
      </c>
      <c r="I15" s="32">
        <v>3.25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30</v>
      </c>
      <c r="G16" s="31">
        <v>2355</v>
      </c>
      <c r="H16" s="32">
        <v>14.87</v>
      </c>
      <c r="I16" s="32">
        <v>3.16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3097</v>
      </c>
      <c r="H17" s="32">
        <v>13.13</v>
      </c>
      <c r="I17" s="32">
        <v>2.79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30</v>
      </c>
      <c r="G18" s="31">
        <v>1540</v>
      </c>
      <c r="H18" s="32">
        <v>13.09</v>
      </c>
      <c r="I18" s="32">
        <v>2.78</v>
      </c>
      <c r="J18" s="33"/>
    </row>
    <row r="19" spans="2:10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1441</v>
      </c>
      <c r="H19" s="32">
        <v>12.63</v>
      </c>
      <c r="I19" s="32">
        <v>2.68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1149</v>
      </c>
      <c r="H20" s="32">
        <v>12.58</v>
      </c>
      <c r="I20" s="32">
        <v>2.67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518</v>
      </c>
      <c r="H21" s="32">
        <v>12.43</v>
      </c>
      <c r="I21" s="32">
        <v>2.64</v>
      </c>
      <c r="J21" s="33"/>
    </row>
    <row r="22" spans="2:10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2392</v>
      </c>
      <c r="H22" s="32">
        <v>11.27</v>
      </c>
      <c r="I22" s="32">
        <v>2.39</v>
      </c>
      <c r="J22" s="33"/>
    </row>
    <row r="23" spans="2:10">
      <c r="B23" s="1" t="s">
        <v>65</v>
      </c>
      <c r="C23" s="20" t="s">
        <v>66</v>
      </c>
      <c r="D23" s="29" t="s">
        <v>67</v>
      </c>
      <c r="E23" s="30"/>
      <c r="F23" s="30" t="s">
        <v>30</v>
      </c>
      <c r="G23" s="31">
        <v>317</v>
      </c>
      <c r="H23" s="32">
        <v>11.2</v>
      </c>
      <c r="I23" s="32">
        <v>2.38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56</v>
      </c>
      <c r="G24" s="31">
        <v>2642</v>
      </c>
      <c r="H24" s="32">
        <v>10.88</v>
      </c>
      <c r="I24" s="32">
        <v>2.31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2732</v>
      </c>
      <c r="H25" s="32">
        <v>10.56</v>
      </c>
      <c r="I25" s="32">
        <v>2.2400000000000002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74</v>
      </c>
      <c r="G26" s="31">
        <v>3290</v>
      </c>
      <c r="H26" s="32">
        <v>10.28</v>
      </c>
      <c r="I26" s="32">
        <v>2.1800000000000002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64</v>
      </c>
      <c r="G27" s="31">
        <v>2556</v>
      </c>
      <c r="H27" s="32">
        <v>10.11</v>
      </c>
      <c r="I27" s="32">
        <v>2.15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530</v>
      </c>
      <c r="H28" s="32">
        <v>9.9499999999999993</v>
      </c>
      <c r="I28" s="32">
        <v>2.11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38</v>
      </c>
      <c r="G29" s="31">
        <v>457</v>
      </c>
      <c r="H29" s="32">
        <v>9.85</v>
      </c>
      <c r="I29" s="32">
        <v>2.09</v>
      </c>
      <c r="J29" s="33"/>
    </row>
    <row r="30" spans="2:10">
      <c r="B30" s="1" t="s">
        <v>88</v>
      </c>
      <c r="C30" s="20" t="s">
        <v>89</v>
      </c>
      <c r="D30" s="29" t="s">
        <v>90</v>
      </c>
      <c r="E30" s="30"/>
      <c r="F30" s="30" t="s">
        <v>30</v>
      </c>
      <c r="G30" s="31">
        <v>642</v>
      </c>
      <c r="H30" s="32">
        <v>9.52</v>
      </c>
      <c r="I30" s="32">
        <v>2.02</v>
      </c>
      <c r="J30" s="33"/>
    </row>
    <row r="31" spans="2:10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168</v>
      </c>
      <c r="H31" s="32">
        <v>9.41</v>
      </c>
      <c r="I31" s="32">
        <v>2</v>
      </c>
      <c r="J31" s="33"/>
    </row>
    <row r="32" spans="2:10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364</v>
      </c>
      <c r="H32" s="32">
        <v>9.1999999999999993</v>
      </c>
      <c r="I32" s="32">
        <v>1.95</v>
      </c>
      <c r="J32" s="33"/>
    </row>
    <row r="33" spans="2:10">
      <c r="B33" s="1" t="s">
        <v>99</v>
      </c>
      <c r="C33" s="20" t="s">
        <v>100</v>
      </c>
      <c r="D33" s="29" t="s">
        <v>101</v>
      </c>
      <c r="E33" s="30"/>
      <c r="F33" s="30" t="s">
        <v>45</v>
      </c>
      <c r="G33" s="31">
        <v>774</v>
      </c>
      <c r="H33" s="32">
        <v>9.11</v>
      </c>
      <c r="I33" s="32">
        <v>1.93</v>
      </c>
      <c r="J33" s="33"/>
    </row>
    <row r="34" spans="2:10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6151</v>
      </c>
      <c r="H34" s="32">
        <v>8.31</v>
      </c>
      <c r="I34" s="32">
        <v>1.76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345</v>
      </c>
      <c r="H35" s="32">
        <v>7.76</v>
      </c>
      <c r="I35" s="32">
        <v>1.65</v>
      </c>
      <c r="J35" s="33"/>
    </row>
    <row r="36" spans="2:10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952</v>
      </c>
      <c r="H36" s="32">
        <v>7.64</v>
      </c>
      <c r="I36" s="32">
        <v>1.62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22</v>
      </c>
      <c r="G37" s="31">
        <v>13882</v>
      </c>
      <c r="H37" s="32">
        <v>7.52</v>
      </c>
      <c r="I37" s="32">
        <v>1.6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120</v>
      </c>
      <c r="G38" s="31">
        <v>814</v>
      </c>
      <c r="H38" s="32">
        <v>7.37</v>
      </c>
      <c r="I38" s="32">
        <v>1.56</v>
      </c>
      <c r="J38" s="33"/>
    </row>
    <row r="39" spans="2:10">
      <c r="B39" s="1" t="s">
        <v>121</v>
      </c>
      <c r="C39" s="20" t="s">
        <v>122</v>
      </c>
      <c r="D39" s="29" t="s">
        <v>123</v>
      </c>
      <c r="E39" s="30"/>
      <c r="F39" s="30" t="s">
        <v>124</v>
      </c>
      <c r="G39" s="31">
        <v>1338</v>
      </c>
      <c r="H39" s="32">
        <v>7.3</v>
      </c>
      <c r="I39" s="32">
        <v>1.55</v>
      </c>
      <c r="J39" s="33"/>
    </row>
    <row r="40" spans="2:10">
      <c r="B40" s="1" t="s">
        <v>125</v>
      </c>
      <c r="C40" s="20" t="s">
        <v>126</v>
      </c>
      <c r="D40" s="29" t="s">
        <v>127</v>
      </c>
      <c r="E40" s="30"/>
      <c r="F40" s="30" t="s">
        <v>94</v>
      </c>
      <c r="G40" s="31">
        <v>563</v>
      </c>
      <c r="H40" s="32">
        <v>7.23</v>
      </c>
      <c r="I40" s="32">
        <v>1.53</v>
      </c>
      <c r="J40" s="33"/>
    </row>
    <row r="41" spans="2:10">
      <c r="B41" s="1" t="s">
        <v>128</v>
      </c>
      <c r="C41" s="20" t="s">
        <v>129</v>
      </c>
      <c r="D41" s="29" t="s">
        <v>130</v>
      </c>
      <c r="E41" s="30"/>
      <c r="F41" s="30" t="s">
        <v>131</v>
      </c>
      <c r="G41" s="31">
        <v>1164</v>
      </c>
      <c r="H41" s="32">
        <v>7.21</v>
      </c>
      <c r="I41" s="32">
        <v>1.53</v>
      </c>
      <c r="J41" s="33"/>
    </row>
    <row r="42" spans="2:10">
      <c r="B42" s="1" t="s">
        <v>132</v>
      </c>
      <c r="C42" s="20" t="s">
        <v>133</v>
      </c>
      <c r="D42" s="29" t="s">
        <v>134</v>
      </c>
      <c r="E42" s="30"/>
      <c r="F42" s="30" t="s">
        <v>135</v>
      </c>
      <c r="G42" s="31">
        <v>9449</v>
      </c>
      <c r="H42" s="32">
        <v>6.73</v>
      </c>
      <c r="I42" s="32">
        <v>1.43</v>
      </c>
      <c r="J42" s="33"/>
    </row>
    <row r="43" spans="2:10">
      <c r="B43" s="1" t="s">
        <v>136</v>
      </c>
      <c r="C43" s="20" t="s">
        <v>137</v>
      </c>
      <c r="D43" s="29" t="s">
        <v>138</v>
      </c>
      <c r="E43" s="30"/>
      <c r="F43" s="30" t="s">
        <v>30</v>
      </c>
      <c r="G43" s="31">
        <v>306</v>
      </c>
      <c r="H43" s="32">
        <v>6.73</v>
      </c>
      <c r="I43" s="32">
        <v>1.43</v>
      </c>
      <c r="J43" s="33"/>
    </row>
    <row r="44" spans="2:10">
      <c r="B44" s="1" t="s">
        <v>139</v>
      </c>
      <c r="C44" s="20" t="s">
        <v>140</v>
      </c>
      <c r="D44" s="29" t="s">
        <v>141</v>
      </c>
      <c r="E44" s="30"/>
      <c r="F44" s="30" t="s">
        <v>30</v>
      </c>
      <c r="G44" s="31">
        <v>372</v>
      </c>
      <c r="H44" s="32">
        <v>6.16</v>
      </c>
      <c r="I44" s="32">
        <v>1.31</v>
      </c>
      <c r="J44" s="33"/>
    </row>
    <row r="45" spans="2:10">
      <c r="B45" s="1" t="s">
        <v>142</v>
      </c>
      <c r="C45" s="20" t="s">
        <v>143</v>
      </c>
      <c r="D45" s="29" t="s">
        <v>144</v>
      </c>
      <c r="E45" s="30"/>
      <c r="F45" s="30" t="s">
        <v>60</v>
      </c>
      <c r="G45" s="31">
        <v>289</v>
      </c>
      <c r="H45" s="32">
        <v>6.08</v>
      </c>
      <c r="I45" s="32">
        <v>1.29</v>
      </c>
      <c r="J45" s="33"/>
    </row>
    <row r="46" spans="2:10">
      <c r="B46" s="1" t="s">
        <v>145</v>
      </c>
      <c r="C46" s="20" t="s">
        <v>146</v>
      </c>
      <c r="D46" s="29" t="s">
        <v>147</v>
      </c>
      <c r="E46" s="30"/>
      <c r="F46" s="30" t="s">
        <v>30</v>
      </c>
      <c r="G46" s="31">
        <v>997</v>
      </c>
      <c r="H46" s="32">
        <v>6</v>
      </c>
      <c r="I46" s="32">
        <v>1.27</v>
      </c>
      <c r="J46" s="33"/>
    </row>
    <row r="47" spans="2:10">
      <c r="B47" s="1" t="s">
        <v>148</v>
      </c>
      <c r="C47" s="20" t="s">
        <v>149</v>
      </c>
      <c r="D47" s="29" t="s">
        <v>150</v>
      </c>
      <c r="E47" s="30"/>
      <c r="F47" s="30" t="s">
        <v>120</v>
      </c>
      <c r="G47" s="31">
        <v>594</v>
      </c>
      <c r="H47" s="32">
        <v>5.63</v>
      </c>
      <c r="I47" s="32">
        <v>1.19</v>
      </c>
      <c r="J47" s="33"/>
    </row>
    <row r="48" spans="2:10">
      <c r="B48" s="1" t="s">
        <v>151</v>
      </c>
      <c r="C48" s="20" t="s">
        <v>152</v>
      </c>
      <c r="D48" s="29" t="s">
        <v>153</v>
      </c>
      <c r="E48" s="30"/>
      <c r="F48" s="30" t="s">
        <v>120</v>
      </c>
      <c r="G48" s="31">
        <v>506</v>
      </c>
      <c r="H48" s="32">
        <v>5.56</v>
      </c>
      <c r="I48" s="32">
        <v>1.18</v>
      </c>
      <c r="J48" s="33"/>
    </row>
    <row r="49" spans="2:10">
      <c r="B49" s="1" t="s">
        <v>154</v>
      </c>
      <c r="C49" s="20" t="s">
        <v>155</v>
      </c>
      <c r="D49" s="29" t="s">
        <v>156</v>
      </c>
      <c r="E49" s="30"/>
      <c r="F49" s="30" t="s">
        <v>109</v>
      </c>
      <c r="G49" s="31">
        <v>966</v>
      </c>
      <c r="H49" s="32">
        <v>5.52</v>
      </c>
      <c r="I49" s="32">
        <v>1.17</v>
      </c>
      <c r="J49" s="33"/>
    </row>
    <row r="50" spans="2:10">
      <c r="B50" s="1" t="s">
        <v>157</v>
      </c>
      <c r="C50" s="20" t="s">
        <v>158</v>
      </c>
      <c r="D50" s="29" t="s">
        <v>159</v>
      </c>
      <c r="E50" s="30"/>
      <c r="F50" s="30" t="s">
        <v>160</v>
      </c>
      <c r="G50" s="31">
        <v>786</v>
      </c>
      <c r="H50" s="32">
        <v>4.43</v>
      </c>
      <c r="I50" s="32">
        <v>0.94</v>
      </c>
      <c r="J50" s="33"/>
    </row>
    <row r="51" spans="2:10">
      <c r="B51" s="1" t="s">
        <v>161</v>
      </c>
      <c r="C51" s="20" t="s">
        <v>162</v>
      </c>
      <c r="D51" s="29" t="s">
        <v>163</v>
      </c>
      <c r="E51" s="30"/>
      <c r="F51" s="30" t="s">
        <v>164</v>
      </c>
      <c r="G51" s="31">
        <v>6209</v>
      </c>
      <c r="H51" s="32">
        <v>4.28</v>
      </c>
      <c r="I51" s="32">
        <v>0.91</v>
      </c>
      <c r="J51" s="33"/>
    </row>
    <row r="52" spans="2:10">
      <c r="B52" s="1" t="s">
        <v>165</v>
      </c>
      <c r="C52" s="20" t="s">
        <v>166</v>
      </c>
      <c r="D52" s="29" t="s">
        <v>167</v>
      </c>
      <c r="E52" s="30"/>
      <c r="F52" s="30" t="s">
        <v>22</v>
      </c>
      <c r="G52" s="31">
        <v>1821</v>
      </c>
      <c r="H52" s="32">
        <v>4.24</v>
      </c>
      <c r="I52" s="32">
        <v>0.9</v>
      </c>
      <c r="J52" s="33"/>
    </row>
    <row r="53" spans="2:10">
      <c r="C53" s="28" t="s">
        <v>168</v>
      </c>
      <c r="D53" s="29"/>
      <c r="E53" s="30"/>
      <c r="F53" s="30"/>
      <c r="G53" s="31"/>
      <c r="H53" s="35">
        <v>464.33</v>
      </c>
      <c r="I53" s="35">
        <v>98.55</v>
      </c>
      <c r="J53" s="33"/>
    </row>
    <row r="54" spans="2:10">
      <c r="C54" s="20"/>
      <c r="D54" s="29"/>
      <c r="E54" s="30"/>
      <c r="F54" s="30"/>
      <c r="G54" s="31"/>
      <c r="H54" s="32"/>
      <c r="I54" s="32"/>
      <c r="J54" s="33"/>
    </row>
    <row r="55" spans="2:10">
      <c r="C55" s="28" t="s">
        <v>169</v>
      </c>
      <c r="D55" s="29"/>
      <c r="E55" s="30"/>
      <c r="F55" s="30"/>
      <c r="G55" s="31"/>
      <c r="H55" s="32" t="s">
        <v>170</v>
      </c>
      <c r="I55" s="32" t="s">
        <v>170</v>
      </c>
      <c r="J55" s="33"/>
    </row>
    <row r="56" spans="2:10">
      <c r="C56" s="20"/>
      <c r="D56" s="29"/>
      <c r="E56" s="30"/>
      <c r="F56" s="30"/>
      <c r="G56" s="31"/>
      <c r="H56" s="32"/>
      <c r="I56" s="32"/>
      <c r="J56" s="33"/>
    </row>
    <row r="57" spans="2:10">
      <c r="C57" s="28" t="s">
        <v>171</v>
      </c>
      <c r="D57" s="29"/>
      <c r="E57" s="30"/>
      <c r="F57" s="30"/>
      <c r="G57" s="31"/>
      <c r="H57" s="32" t="s">
        <v>170</v>
      </c>
      <c r="I57" s="32" t="s">
        <v>170</v>
      </c>
      <c r="J57" s="33"/>
    </row>
    <row r="58" spans="2:10">
      <c r="C58" s="20"/>
      <c r="D58" s="29"/>
      <c r="E58" s="30"/>
      <c r="F58" s="30"/>
      <c r="G58" s="31"/>
      <c r="H58" s="32"/>
      <c r="I58" s="32"/>
      <c r="J58" s="33"/>
    </row>
    <row r="59" spans="2:10">
      <c r="C59" s="28" t="s">
        <v>172</v>
      </c>
      <c r="D59" s="29"/>
      <c r="E59" s="30"/>
      <c r="F59" s="30"/>
      <c r="G59" s="31"/>
      <c r="H59" s="32"/>
      <c r="I59" s="32"/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173</v>
      </c>
      <c r="D61" s="29"/>
      <c r="E61" s="30"/>
      <c r="F61" s="30"/>
      <c r="G61" s="31"/>
      <c r="H61" s="32" t="s">
        <v>170</v>
      </c>
      <c r="I61" s="32" t="s">
        <v>170</v>
      </c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174</v>
      </c>
      <c r="D63" s="29"/>
      <c r="E63" s="30"/>
      <c r="F63" s="30"/>
      <c r="G63" s="31"/>
      <c r="H63" s="32" t="s">
        <v>170</v>
      </c>
      <c r="I63" s="32" t="s">
        <v>170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175</v>
      </c>
      <c r="D65" s="29"/>
      <c r="E65" s="30"/>
      <c r="F65" s="30"/>
      <c r="G65" s="31"/>
      <c r="H65" s="32" t="s">
        <v>170</v>
      </c>
      <c r="I65" s="32" t="s">
        <v>170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176</v>
      </c>
      <c r="D67" s="29"/>
      <c r="E67" s="30"/>
      <c r="F67" s="30"/>
      <c r="G67" s="31"/>
      <c r="H67" s="32" t="s">
        <v>170</v>
      </c>
      <c r="I67" s="32" t="s">
        <v>170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177</v>
      </c>
      <c r="D69" s="29"/>
      <c r="E69" s="30"/>
      <c r="F69" s="30"/>
      <c r="G69" s="31"/>
      <c r="H69" s="32" t="s">
        <v>170</v>
      </c>
      <c r="I69" s="32" t="s">
        <v>170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178</v>
      </c>
      <c r="D71" s="29"/>
      <c r="E71" s="30"/>
      <c r="F71" s="30"/>
      <c r="G71" s="31"/>
      <c r="H71" s="32"/>
      <c r="I71" s="32"/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179</v>
      </c>
      <c r="D73" s="29"/>
      <c r="E73" s="30"/>
      <c r="F73" s="30"/>
      <c r="G73" s="31"/>
      <c r="H73" s="32" t="s">
        <v>170</v>
      </c>
      <c r="I73" s="32" t="s">
        <v>170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180</v>
      </c>
      <c r="D75" s="29"/>
      <c r="E75" s="30"/>
      <c r="F75" s="30"/>
      <c r="G75" s="31"/>
      <c r="H75" s="32" t="s">
        <v>170</v>
      </c>
      <c r="I75" s="32" t="s">
        <v>170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181</v>
      </c>
      <c r="D77" s="29"/>
      <c r="E77" s="30"/>
      <c r="F77" s="30"/>
      <c r="G77" s="31"/>
      <c r="H77" s="32" t="s">
        <v>170</v>
      </c>
      <c r="I77" s="32" t="s">
        <v>170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182</v>
      </c>
      <c r="D79" s="29"/>
      <c r="E79" s="30"/>
      <c r="F79" s="30"/>
      <c r="G79" s="31"/>
      <c r="H79" s="32" t="s">
        <v>170</v>
      </c>
      <c r="I79" s="32" t="s">
        <v>170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183</v>
      </c>
      <c r="D81" s="29"/>
      <c r="E81" s="30"/>
      <c r="F81" s="30"/>
      <c r="G81" s="31"/>
      <c r="H81" s="32"/>
      <c r="I81" s="32"/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184</v>
      </c>
      <c r="D83" s="29"/>
      <c r="E83" s="30"/>
      <c r="F83" s="30"/>
      <c r="G83" s="31"/>
      <c r="H83" s="32" t="s">
        <v>170</v>
      </c>
      <c r="I83" s="32" t="s">
        <v>170</v>
      </c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C85" s="28" t="s">
        <v>185</v>
      </c>
      <c r="D85" s="29"/>
      <c r="E85" s="30"/>
      <c r="F85" s="30"/>
      <c r="G85" s="31"/>
      <c r="H85" s="32" t="s">
        <v>170</v>
      </c>
      <c r="I85" s="32" t="s">
        <v>170</v>
      </c>
      <c r="J85" s="33"/>
    </row>
    <row r="86" spans="1:10">
      <c r="C86" s="20"/>
      <c r="D86" s="29"/>
      <c r="E86" s="30"/>
      <c r="F86" s="30"/>
      <c r="G86" s="31"/>
      <c r="H86" s="32"/>
      <c r="I86" s="32"/>
      <c r="J86" s="33"/>
    </row>
    <row r="87" spans="1:10">
      <c r="C87" s="28" t="s">
        <v>186</v>
      </c>
      <c r="D87" s="29"/>
      <c r="E87" s="30"/>
      <c r="F87" s="30"/>
      <c r="G87" s="31"/>
      <c r="H87" s="32" t="s">
        <v>170</v>
      </c>
      <c r="I87" s="32" t="s">
        <v>170</v>
      </c>
      <c r="J87" s="33"/>
    </row>
    <row r="88" spans="1:10">
      <c r="C88" s="20"/>
      <c r="D88" s="29"/>
      <c r="E88" s="30"/>
      <c r="F88" s="30"/>
      <c r="G88" s="31"/>
      <c r="H88" s="32"/>
      <c r="I88" s="32"/>
      <c r="J88" s="33"/>
    </row>
    <row r="89" spans="1:10">
      <c r="C89" s="28" t="s">
        <v>187</v>
      </c>
      <c r="D89" s="29"/>
      <c r="E89" s="30"/>
      <c r="F89" s="30"/>
      <c r="G89" s="31"/>
      <c r="H89" s="32" t="s">
        <v>170</v>
      </c>
      <c r="I89" s="32" t="s">
        <v>170</v>
      </c>
      <c r="J89" s="33"/>
    </row>
    <row r="90" spans="1:10">
      <c r="C90" s="20"/>
      <c r="D90" s="29"/>
      <c r="E90" s="30"/>
      <c r="F90" s="30"/>
      <c r="G90" s="31"/>
      <c r="H90" s="32"/>
      <c r="I90" s="32"/>
      <c r="J90" s="33"/>
    </row>
    <row r="91" spans="1:10">
      <c r="C91" s="28" t="s">
        <v>188</v>
      </c>
      <c r="D91" s="29"/>
      <c r="E91" s="30"/>
      <c r="F91" s="30"/>
      <c r="G91" s="31"/>
      <c r="H91" s="32" t="s">
        <v>170</v>
      </c>
      <c r="I91" s="32" t="s">
        <v>170</v>
      </c>
      <c r="J91" s="33"/>
    </row>
    <row r="92" spans="1:10">
      <c r="C92" s="20"/>
      <c r="D92" s="29"/>
      <c r="E92" s="30"/>
      <c r="F92" s="30"/>
      <c r="G92" s="31"/>
      <c r="H92" s="32"/>
      <c r="I92" s="32"/>
      <c r="J92" s="33"/>
    </row>
    <row r="93" spans="1:10">
      <c r="A93" s="26"/>
      <c r="B93" s="27"/>
      <c r="C93" s="28" t="s">
        <v>189</v>
      </c>
      <c r="D93" s="29"/>
      <c r="E93" s="30"/>
      <c r="F93" s="30"/>
      <c r="G93" s="31"/>
      <c r="H93" s="32"/>
      <c r="I93" s="32"/>
      <c r="J93" s="33"/>
    </row>
    <row r="94" spans="1:10">
      <c r="B94" s="1"/>
      <c r="C94" s="20" t="s">
        <v>190</v>
      </c>
      <c r="D94" s="29"/>
      <c r="E94" s="30"/>
      <c r="F94" s="30"/>
      <c r="G94" s="31"/>
      <c r="H94" s="32">
        <v>6.67</v>
      </c>
      <c r="I94" s="32">
        <v>1.45</v>
      </c>
      <c r="J94" s="33"/>
    </row>
    <row r="95" spans="1:10">
      <c r="C95" s="28" t="s">
        <v>168</v>
      </c>
      <c r="D95" s="29"/>
      <c r="E95" s="30"/>
      <c r="F95" s="30"/>
      <c r="G95" s="31"/>
      <c r="H95" s="35">
        <v>6.67</v>
      </c>
      <c r="I95" s="35">
        <v>1.45</v>
      </c>
      <c r="J95" s="33"/>
    </row>
    <row r="96" spans="1:10">
      <c r="C96" s="20"/>
      <c r="D96" s="29"/>
      <c r="E96" s="30"/>
      <c r="F96" s="30"/>
      <c r="G96" s="31"/>
      <c r="H96" s="32"/>
      <c r="I96" s="32"/>
      <c r="J96" s="33"/>
    </row>
    <row r="97" spans="3:10" ht="13.8" thickBot="1">
      <c r="C97" s="36" t="s">
        <v>191</v>
      </c>
      <c r="D97" s="37"/>
      <c r="E97" s="38"/>
      <c r="F97" s="39"/>
      <c r="G97" s="40"/>
      <c r="H97" s="41">
        <v>471</v>
      </c>
      <c r="I97" s="41">
        <f>SUMIFS(I:I,C:C,"Total")</f>
        <v>100</v>
      </c>
      <c r="J97" s="42"/>
    </row>
    <row r="100" spans="3:10">
      <c r="C100" s="11" t="s">
        <v>192</v>
      </c>
    </row>
    <row r="101" spans="3:10">
      <c r="C101" s="2" t="s">
        <v>193</v>
      </c>
    </row>
    <row r="102" spans="3:10">
      <c r="C102" s="2" t="s">
        <v>194</v>
      </c>
    </row>
    <row r="103" spans="3:10">
      <c r="C103" s="2" t="s">
        <v>195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4" sqref="A4"/>
    </sheetView>
  </sheetViews>
  <sheetFormatPr defaultRowHeight="14.4"/>
  <cols>
    <col min="1" max="1" width="53.5546875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4" spans="1:9" ht="15.6">
      <c r="A4" s="43" t="s">
        <v>196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197</v>
      </c>
      <c r="B5" s="46" t="s">
        <v>198</v>
      </c>
      <c r="C5" s="46"/>
      <c r="D5" s="46" t="s">
        <v>199</v>
      </c>
      <c r="E5" s="46"/>
      <c r="F5" s="46" t="s">
        <v>200</v>
      </c>
      <c r="G5" s="46"/>
      <c r="H5" s="46" t="s">
        <v>201</v>
      </c>
      <c r="I5" s="46"/>
    </row>
    <row r="6" spans="1:9" ht="66">
      <c r="A6" s="47"/>
      <c r="B6" s="48" t="s">
        <v>202</v>
      </c>
      <c r="C6" s="48" t="s">
        <v>203</v>
      </c>
      <c r="D6" s="48" t="s">
        <v>202</v>
      </c>
      <c r="E6" s="48" t="s">
        <v>203</v>
      </c>
      <c r="F6" s="48" t="s">
        <v>202</v>
      </c>
      <c r="G6" s="48" t="s">
        <v>203</v>
      </c>
      <c r="H6" s="48" t="s">
        <v>202</v>
      </c>
      <c r="I6" s="48" t="s">
        <v>203</v>
      </c>
    </row>
    <row r="7" spans="1:9">
      <c r="A7" s="49" t="s">
        <v>204</v>
      </c>
      <c r="B7" s="50">
        <v>-2.3796192609182532</v>
      </c>
      <c r="C7" s="50">
        <v>9762.0380739081738</v>
      </c>
      <c r="D7" s="50">
        <v>12.010015305864252</v>
      </c>
      <c r="E7" s="50">
        <v>14066.155707946751</v>
      </c>
      <c r="F7" s="50">
        <v>9.6936448644534998</v>
      </c>
      <c r="G7" s="50">
        <v>15886.104783599088</v>
      </c>
      <c r="H7" s="50">
        <v>8.486374054578727</v>
      </c>
      <c r="I7" s="50">
        <v>34870</v>
      </c>
    </row>
    <row r="8" spans="1:9">
      <c r="A8" s="49" t="s">
        <v>205</v>
      </c>
      <c r="B8" s="50">
        <v>8.0714912983204101</v>
      </c>
      <c r="C8" s="50">
        <v>10807.149129832042</v>
      </c>
      <c r="D8" s="50">
        <v>12.971823163083185</v>
      </c>
      <c r="E8" s="50">
        <v>14418.178990295301</v>
      </c>
      <c r="F8" s="50">
        <v>9.514460589485175</v>
      </c>
      <c r="G8" s="50">
        <v>15752.784867574408</v>
      </c>
      <c r="H8" s="50">
        <v>4.5553852862626698</v>
      </c>
      <c r="I8" s="50">
        <v>19797.464249729434</v>
      </c>
    </row>
    <row r="9" spans="1:9">
      <c r="A9" s="49" t="s">
        <v>206</v>
      </c>
      <c r="B9" s="50">
        <v>1.662072435951667</v>
      </c>
      <c r="C9" s="50">
        <v>10166.207243595167</v>
      </c>
      <c r="D9" s="50">
        <v>11.545504890981984</v>
      </c>
      <c r="E9" s="50">
        <v>13878.93752284471</v>
      </c>
      <c r="F9" s="50">
        <v>12.030099818677375</v>
      </c>
      <c r="G9" s="50">
        <v>17647.110887766743</v>
      </c>
      <c r="H9" s="50">
        <v>11.498676718470403</v>
      </c>
      <c r="I9" s="50">
        <v>53053.730982968729</v>
      </c>
    </row>
    <row r="10" spans="1:9">
      <c r="A10" s="49" t="s">
        <v>207</v>
      </c>
      <c r="B10" s="51">
        <v>35.72</v>
      </c>
      <c r="C10" s="52"/>
      <c r="D10" s="51">
        <v>24.79</v>
      </c>
      <c r="E10" s="52"/>
      <c r="F10" s="51">
        <v>21.95</v>
      </c>
      <c r="G10" s="52"/>
      <c r="H10" s="51">
        <v>10</v>
      </c>
      <c r="I10" s="52"/>
    </row>
    <row r="12" spans="1:9" ht="15.6">
      <c r="A12" s="43" t="s">
        <v>208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197</v>
      </c>
      <c r="B13" s="46" t="s">
        <v>198</v>
      </c>
      <c r="C13" s="46"/>
      <c r="D13" s="46" t="s">
        <v>199</v>
      </c>
      <c r="E13" s="46"/>
      <c r="F13" s="46" t="s">
        <v>200</v>
      </c>
      <c r="G13" s="46"/>
      <c r="H13" s="46" t="s">
        <v>201</v>
      </c>
      <c r="I13" s="46"/>
    </row>
    <row r="14" spans="1:9" ht="66">
      <c r="A14" s="47"/>
      <c r="B14" s="48" t="s">
        <v>202</v>
      </c>
      <c r="C14" s="48" t="s">
        <v>203</v>
      </c>
      <c r="D14" s="48" t="s">
        <v>202</v>
      </c>
      <c r="E14" s="48" t="s">
        <v>203</v>
      </c>
      <c r="F14" s="48" t="s">
        <v>202</v>
      </c>
      <c r="G14" s="48" t="s">
        <v>203</v>
      </c>
      <c r="H14" s="48" t="s">
        <v>202</v>
      </c>
      <c r="I14" s="48" t="s">
        <v>203</v>
      </c>
    </row>
    <row r="15" spans="1:9">
      <c r="A15" s="49" t="s">
        <v>204</v>
      </c>
      <c r="B15" s="50">
        <v>-1.9920318725099584</v>
      </c>
      <c r="C15" s="50">
        <v>9800.7968127490039</v>
      </c>
      <c r="D15" s="50">
        <v>12.501405055659198</v>
      </c>
      <c r="E15" s="50">
        <v>14252.607184241018</v>
      </c>
      <c r="F15" s="50">
        <v>10.179434506312557</v>
      </c>
      <c r="G15" s="50">
        <v>16241.197183098593</v>
      </c>
      <c r="H15" s="50">
        <v>11.773106584538894</v>
      </c>
      <c r="I15" s="50">
        <v>28783.151326053041</v>
      </c>
    </row>
    <row r="16" spans="1:9">
      <c r="A16" s="49" t="s">
        <v>205</v>
      </c>
      <c r="B16" s="50">
        <v>8.0714912983204101</v>
      </c>
      <c r="C16" s="50">
        <v>10807.149129832042</v>
      </c>
      <c r="D16" s="50">
        <v>12.971823163083185</v>
      </c>
      <c r="E16" s="50">
        <v>14418.178990295301</v>
      </c>
      <c r="F16" s="50">
        <v>9.514460589485175</v>
      </c>
      <c r="G16" s="50">
        <v>15752.784867574408</v>
      </c>
      <c r="H16" s="50">
        <v>7.8149558936845054</v>
      </c>
      <c r="I16" s="50">
        <v>20436.467319783605</v>
      </c>
    </row>
    <row r="17" spans="1:9">
      <c r="A17" s="49" t="s">
        <v>206</v>
      </c>
      <c r="B17" s="50">
        <v>1.662072435951667</v>
      </c>
      <c r="C17" s="50">
        <v>10166.207243595167</v>
      </c>
      <c r="D17" s="50">
        <v>11.545504890981984</v>
      </c>
      <c r="E17" s="50">
        <v>13878.93752284471</v>
      </c>
      <c r="F17" s="50">
        <v>12.030099818677375</v>
      </c>
      <c r="G17" s="50">
        <v>17647.110887766743</v>
      </c>
      <c r="H17" s="50">
        <v>12.197658615772887</v>
      </c>
      <c r="I17" s="50">
        <v>29838.540182620949</v>
      </c>
    </row>
    <row r="18" spans="1:9">
      <c r="A18" s="49" t="s">
        <v>209</v>
      </c>
      <c r="B18" s="51">
        <v>37.65</v>
      </c>
      <c r="C18" s="52"/>
      <c r="D18" s="51">
        <v>25.89</v>
      </c>
      <c r="E18" s="52"/>
      <c r="F18" s="51">
        <v>22.72</v>
      </c>
      <c r="G18" s="52"/>
      <c r="H18" s="51">
        <v>12.82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TISF-Risk-O-Meter &amp; Performance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2022-07-03T09:32:47Z</dcterms:created>
  <dcterms:modified xsi:type="dcterms:W3CDTF">2022-07-06T11:01:39Z</dcterms:modified>
</cp:coreProperties>
</file>