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9. Dec 2025\Monthly Portfolio\Ops\"/>
    </mc:Choice>
  </mc:AlternateContent>
  <xr:revisionPtr revIDLastSave="0" documentId="13_ncr:1_{D7919253-3AA9-44EE-936F-80ACDC1E470B}" xr6:coauthVersionLast="47" xr6:coauthVersionMax="47" xr10:uidLastSave="{00000000-0000-0000-0000-000000000000}"/>
  <bookViews>
    <workbookView xWindow="-120" yWindow="-120" windowWidth="20730" windowHeight="11040" xr2:uid="{3D2B577D-17C5-4CDE-8532-450A64A6C147}"/>
  </bookViews>
  <sheets>
    <sheet name="TBF" sheetId="1" r:id="rId1"/>
    <sheet name="TBF Performance" sheetId="2" r:id="rId2"/>
  </sheets>
  <externalReferences>
    <externalReference r:id="rId3"/>
  </externalReferences>
  <definedNames>
    <definedName name="XDO_?AUM?">TBF!$H$13</definedName>
    <definedName name="XDO_?CLASS_3?">TBF!$C$8:$C$42</definedName>
    <definedName name="XDO_?CLASS_4?">TBF!$C$9</definedName>
    <definedName name="XDO_?CS_1?">TBF!$H$11</definedName>
    <definedName name="XDO_?CS_2?">TBF!$I$11</definedName>
    <definedName name="XDO_?FINAL_ISIN?">TBF!$D$10:$D$86</definedName>
    <definedName name="XDO_?FINAL_MV?">TBF!$H$10:$H$86</definedName>
    <definedName name="XDO_?FINAL_NAME?">TBF!$C$10:$C$86</definedName>
    <definedName name="XDO_?FINAL_PER_NET?">TBF!$I$10:$I$86</definedName>
    <definedName name="XDO_?FINAL_QUANTITE?">TBF!$G$10:$G$86</definedName>
    <definedName name="XDO_?IND_01?">TBF!$F$10:$F$86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TBF!$C$2:$C$42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TBF!$B$10:$B$86</definedName>
    <definedName name="XDO_?NPTF?">TBF!$D$2:$D$42</definedName>
    <definedName name="XDO_?RATING?">TBF!$E$10:$E$86</definedName>
    <definedName name="XDO_?REMARKS?">TBF!$J$10:$J$86</definedName>
    <definedName name="XDO_?TDATE?">TBF!$D$4</definedName>
    <definedName name="XDO_?TITL?">TBF!$A$8:$A$42</definedName>
    <definedName name="XDO_GROUP_?G_2?">TBF!$2:$89</definedName>
    <definedName name="XDO_GROUP_?G_3?">TBF!$8:$88</definedName>
    <definedName name="XDO_GROUP_?G_4?">TBF!$B$86:$IV$86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</calcChain>
</file>

<file path=xl/sharedStrings.xml><?xml version="1.0" encoding="utf-8"?>
<sst xmlns="http://schemas.openxmlformats.org/spreadsheetml/2006/main" count="275" uniqueCount="199">
  <si>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</si>
  <si>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</si>
  <si>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</si>
  <si>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</si>
  <si>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</si>
  <si>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</si>
  <si>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</si>
  <si>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</si>
  <si>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</si>
  <si>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</si>
  <si>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</si>
  <si>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</si>
  <si>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</si>
  <si>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</si>
  <si>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</si>
  <si>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</si>
  <si>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</si>
  <si>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</si>
  <si>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</si>
  <si>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</si>
  <si>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</si>
  <si>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</si>
  <si>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</si>
  <si>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100010</t>
  </si>
  <si>
    <t>State Bank of India</t>
  </si>
  <si>
    <t>INE062A01020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</si>
  <si>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</si>
  <si>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</si>
  <si>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</si>
  <si>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</si>
  <si>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</si>
  <si>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</si>
  <si>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</si>
  <si>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</si>
  <si>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</si>
  <si>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</si>
  <si>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</si>
  <si>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100155</t>
  </si>
  <si>
    <t>Divi's Laboratories Ltd.</t>
  </si>
  <si>
    <t>INE361B01024</t>
  </si>
  <si>
    <t>Pharmaceuticals &amp; Biotechnology</t>
  </si>
  <si>
    <t>100014</t>
  </si>
  <si>
    <t>Mahindra &amp; Mahindra Ltd.</t>
  </si>
  <si>
    <t>INE101A01026</t>
  </si>
  <si>
    <t>Automobiles</t>
  </si>
  <si>
    <t>101184</t>
  </si>
  <si>
    <t>Mazagon Dock Shipbuilders Ltd.</t>
  </si>
  <si>
    <t>INE249Z01020</t>
  </si>
  <si>
    <t>Industrial Manufacturing</t>
  </si>
  <si>
    <t>100024</t>
  </si>
  <si>
    <t>Axis Bank Ltd.</t>
  </si>
  <si>
    <t>INE238A01034</t>
  </si>
  <si>
    <t>102678</t>
  </si>
  <si>
    <t>TATA Capital Ltd.</t>
  </si>
  <si>
    <t>INE976I01016</t>
  </si>
  <si>
    <t>Finance</t>
  </si>
  <si>
    <t>100182</t>
  </si>
  <si>
    <t>Power Grid Corporation of India Ltd.</t>
  </si>
  <si>
    <t>INE752E01010</t>
  </si>
  <si>
    <t>Power</t>
  </si>
  <si>
    <t>100111</t>
  </si>
  <si>
    <t>Oil &amp; Natural Gas Corporation Ltd.</t>
  </si>
  <si>
    <t>INE213A01029</t>
  </si>
  <si>
    <t>Oil</t>
  </si>
  <si>
    <t>100153</t>
  </si>
  <si>
    <t>Cipla Ltd.</t>
  </si>
  <si>
    <t>INE059A01026</t>
  </si>
  <si>
    <t>100037</t>
  </si>
  <si>
    <t>HCL Technologies Ltd.</t>
  </si>
  <si>
    <t>INE860A01027</t>
  </si>
  <si>
    <t>IT - Software</t>
  </si>
  <si>
    <t>100125</t>
  </si>
  <si>
    <t>Bajaj Finance Ltd.</t>
  </si>
  <si>
    <t>INE296A01032</t>
  </si>
  <si>
    <t>100097</t>
  </si>
  <si>
    <t>Coal India Ltd.</t>
  </si>
  <si>
    <t>INE522F01014</t>
  </si>
  <si>
    <t>Consumable Fuels</t>
  </si>
  <si>
    <t>100169</t>
  </si>
  <si>
    <t>Indian Oil Corporation Ltd.</t>
  </si>
  <si>
    <t>INE242A01010</t>
  </si>
  <si>
    <t>100380</t>
  </si>
  <si>
    <t>Bajaj Finserv Ltd.</t>
  </si>
  <si>
    <t>INE918I01026</t>
  </si>
  <si>
    <t>100566</t>
  </si>
  <si>
    <t>Laurus Labs Ltd.</t>
  </si>
  <si>
    <t>INE947Q01028</t>
  </si>
  <si>
    <t>100083</t>
  </si>
  <si>
    <t>Samvardhana Motherson International Ltd.</t>
  </si>
  <si>
    <t>INE775A01035</t>
  </si>
  <si>
    <t>Auto Components</t>
  </si>
  <si>
    <t>100177</t>
  </si>
  <si>
    <t>Grasim Industries Ltd.</t>
  </si>
  <si>
    <t>INE047A01021</t>
  </si>
  <si>
    <t>Cement &amp; Cement Products</t>
  </si>
  <si>
    <t>100003</t>
  </si>
  <si>
    <t>Infosys Ltd.</t>
  </si>
  <si>
    <t>INE009A01021</t>
  </si>
  <si>
    <t>100194</t>
  </si>
  <si>
    <t>Power Finance Corporation Ltd.</t>
  </si>
  <si>
    <t>INE134E01011</t>
  </si>
  <si>
    <t>100005</t>
  </si>
  <si>
    <t>Larsen &amp; Toubro Ltd.</t>
  </si>
  <si>
    <t>INE018A01030</t>
  </si>
  <si>
    <t>Construction</t>
  </si>
  <si>
    <t>100092</t>
  </si>
  <si>
    <t>Bank of Baroda</t>
  </si>
  <si>
    <t>INE028A01039</t>
  </si>
  <si>
    <t>100106</t>
  </si>
  <si>
    <t>Maruti Suzuki India Ltd.</t>
  </si>
  <si>
    <t>INE585B01010</t>
  </si>
  <si>
    <t>100032</t>
  </si>
  <si>
    <t>Tata Consultancy Services Ltd.</t>
  </si>
  <si>
    <t>INE467B01029</t>
  </si>
  <si>
    <t>102644</t>
  </si>
  <si>
    <t>Vikram Solar Ltd.</t>
  </si>
  <si>
    <t>INE078V01014</t>
  </si>
  <si>
    <t>Electrical Equipment</t>
  </si>
  <si>
    <t>100008</t>
  </si>
  <si>
    <t>Sun Pharmaceutical Industries Ltd.</t>
  </si>
  <si>
    <t>INE044A01036</t>
  </si>
  <si>
    <t>100081</t>
  </si>
  <si>
    <t>Titan Company Ltd.</t>
  </si>
  <si>
    <t>INE280A01028</t>
  </si>
  <si>
    <t>Consumer Durables</t>
  </si>
  <si>
    <t>100292</t>
  </si>
  <si>
    <t>Steel Authority of India Ltd.</t>
  </si>
  <si>
    <t>INE114A01011</t>
  </si>
  <si>
    <t>Ferrous Metals</t>
  </si>
  <si>
    <t>100733</t>
  </si>
  <si>
    <t>General Insurance Corporation of India</t>
  </si>
  <si>
    <t>INE481Y01014</t>
  </si>
  <si>
    <t>Insurance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</si>
  <si>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</si>
  <si>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</si>
  <si>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</si>
  <si>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</si>
  <si>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</si>
  <si>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</si>
  <si>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</si>
  <si>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</si>
  <si>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</si>
  <si>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</si>
  <si>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</si>
  <si>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</si>
  <si>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</si>
  <si>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</si>
  <si>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</si>
  <si>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</si>
  <si>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</si>
  <si>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</si>
  <si>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</si>
  <si>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</si>
  <si>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</si>
  <si>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</si>
  <si>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</si>
  <si>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</si>
  <si>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</si>
  <si>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</si>
  <si>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</si>
  <si>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</si>
  <si>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</si>
  <si>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</si>
  <si>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 Total Value and percentage of illiquid equity shares is Nil.</t>
  </si>
  <si>
    <t>5. Net Assets Value per unit (in Rupees) are as follows:</t>
  </si>
  <si>
    <t>NAV per unit</t>
  </si>
  <si>
    <t>Plan/Option</t>
  </si>
  <si>
    <t>As on</t>
  </si>
  <si>
    <t>October 31, 2025</t>
  </si>
  <si>
    <t>November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</si>
  <si>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</si>
  <si>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</si>
  <si>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</si>
  <si>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</si>
  <si>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November 30,2025.</t>
  </si>
  <si>
    <t>7. The Scheme did not declare any bonus during the month ended as on  November 30,2025.</t>
  </si>
  <si>
    <t>8. Total outstanding exposure in derivative instruments as on  November 30,2025 is Nil</t>
  </si>
  <si>
    <t>9. Total investments in Foreign Securities /ADRs/GDRs /Overseas ETFs as at as on  November 30,2025 and its percentage to NAV is Nil.</t>
  </si>
  <si>
    <t>10. During the period, the portfolio turnover ratio is 0.93 times.</t>
  </si>
  <si>
    <t>      Portfolio Turnover Ratio = Lower of sales or purchase of securities divided by average AUM for 12 months ended as on  November 30,2025</t>
  </si>
  <si>
    <t>11. The Scheme did not invest in repo transactions of corporate debt securities during the month ended as on November 30,2025.</t>
  </si>
  <si>
    <t>12. The Scheme did not invest in credit default swaps during the month ended as on November 30,2025.</t>
  </si>
  <si>
    <t>13. There are Nil instances of deviation from the valuation principles/guidelines during the month ended as on November 30th, 2025</t>
  </si>
  <si>
    <t>Taurus Largecap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</si>
  <si>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</si>
  <si>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</si>
  <si>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</si>
  <si>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</si>
  <si>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</si>
  <si>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</si>
  <si>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</si>
  <si>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</si>
  <si>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</si>
  <si>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100 TRI (Benchmark)</t>
  </si>
  <si>
    <t>-</t>
  </si>
  <si>
    <t>Nifty 50 TRI (Additional Benchmark)</t>
  </si>
  <si>
    <t>NAV [Rs.] Per Unit (as on November 28,2025 :163.54)</t>
  </si>
  <si>
    <t>NAV [Rs.] Per Unit (as on November 28,2025 :173.13)</t>
  </si>
  <si>
    <t>Taurus Largecap Fund - Direct Plan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</si>
</sst>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_(\ #,##0.00_);_(\ \(#,##0.00\);_(\ \-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sz val="10"/>
      <color theme="1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5" fontId="11" fillId="0" borderId="24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7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vertical="top"/>
    </xf>
    <xf numFmtId="0" fontId="13" fillId="0" borderId="0" xfId="0" applyFont="1"/>
    <xf numFmtId="0" fontId="14" fillId="0" borderId="0" xfId="0" applyFont="1"/>
    <xf numFmtId="0" fontId="15" fillId="3" borderId="13" xfId="0" applyFont="1" applyFill="1" applyBorder="1"/>
    <xf numFmtId="0" fontId="15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5" fillId="0" borderId="13" xfId="0" applyFont="1" applyBorder="1"/>
    <xf numFmtId="168" fontId="1" fillId="0" borderId="13" xfId="1" applyNumberFormat="1" applyBorder="1" applyAlignment="1">
      <alignment horizontal="center"/>
    </xf>
    <xf numFmtId="0" fontId="16" fillId="0" borderId="13" xfId="0" applyFont="1" applyBorder="1"/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5" fillId="3" borderId="13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6DE90064-8421-49E1-B905-654676738DE2}"/>
    <cellStyle name="Hyperlink" xfId="2" builtinId="8"/>
    <cellStyle name="Normal" xfId="0" builtinId="0"/>
    <cellStyle name="Normal 2" xfId="4" xr:uid="{1F4842EB-51A0-46C8-BF49-0B03227438FE}"/>
    <cellStyle name="Style 1" xfId="3" xr:uid="{BD736DC7-65B2-4F8A-9E30-2784F2699B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337481</xdr:colOff>
      <xdr:row>0</xdr:row>
      <xdr:rowOff>1908048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E71E32-75E8-46E9-B27C-6E9AC7590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89648" cy="1908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Nov_2025\Final\TMF_Monthly_Portfolio_Report_Nov_25.xls" TargetMode="External"/><Relationship Id="rId1" Type="http://schemas.openxmlformats.org/officeDocument/2006/relationships/externalLinkPath" Target="file:///Q:\5.TMF\Reporting\Monthly%20Reports\Monthly%20Portfolio\2025-26\Nov_2025\Final\TMF_Monthly_Portfolio_Report_Nov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27330-9BAB-4CC9-A82B-5020DADBAB3C}">
  <sheetPr codeName="Sheet1"/>
  <dimension ref="A1:BB115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45991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43124</v>
      </c>
      <c r="H10" s="32">
        <v>434.26</v>
      </c>
      <c r="I10" s="32">
        <v>8.3000000000000007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103545</v>
      </c>
      <c r="H11" s="32">
        <v>418.74</v>
      </c>
      <c r="I11" s="32">
        <v>8.01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32804</v>
      </c>
      <c r="H12" s="32">
        <v>321.33</v>
      </c>
      <c r="I12" s="32">
        <v>6.14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18</v>
      </c>
      <c r="G13" s="31">
        <v>22452</v>
      </c>
      <c r="H13" s="32">
        <v>311.79000000000002</v>
      </c>
      <c r="I13" s="32">
        <v>5.96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18341</v>
      </c>
      <c r="H14" s="32">
        <v>287.38</v>
      </c>
      <c r="I14" s="32">
        <v>5.49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12154</v>
      </c>
      <c r="H15" s="32">
        <v>255.36</v>
      </c>
      <c r="I15" s="32">
        <v>4.88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3782</v>
      </c>
      <c r="H16" s="32">
        <v>245.03</v>
      </c>
      <c r="I16" s="32">
        <v>4.68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5680</v>
      </c>
      <c r="H17" s="32">
        <v>213.44</v>
      </c>
      <c r="I17" s="32">
        <v>4.08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7390</v>
      </c>
      <c r="H18" s="32">
        <v>198.01</v>
      </c>
      <c r="I18" s="32">
        <v>3.79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18</v>
      </c>
      <c r="G19" s="31">
        <v>14076</v>
      </c>
      <c r="H19" s="32">
        <v>180.21</v>
      </c>
      <c r="I19" s="32">
        <v>3.45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51463</v>
      </c>
      <c r="H20" s="32">
        <v>168.75</v>
      </c>
      <c r="I20" s="32">
        <v>3.23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58197</v>
      </c>
      <c r="H21" s="32">
        <v>157.07</v>
      </c>
      <c r="I21" s="32">
        <v>3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61238</v>
      </c>
      <c r="H22" s="32">
        <v>148.96</v>
      </c>
      <c r="I22" s="32">
        <v>2.85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40</v>
      </c>
      <c r="G23" s="31">
        <v>9475</v>
      </c>
      <c r="H23" s="32">
        <v>145.06</v>
      </c>
      <c r="I23" s="32">
        <v>2.77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7885</v>
      </c>
      <c r="H24" s="32">
        <v>128.35</v>
      </c>
      <c r="I24" s="32">
        <v>2.4500000000000002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55</v>
      </c>
      <c r="G25" s="31">
        <v>12075</v>
      </c>
      <c r="H25" s="32">
        <v>125.3</v>
      </c>
      <c r="I25" s="32">
        <v>2.4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32167</v>
      </c>
      <c r="H26" s="32">
        <v>120.9</v>
      </c>
      <c r="I26" s="32">
        <v>2.31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32</v>
      </c>
      <c r="G27" s="31">
        <v>74612</v>
      </c>
      <c r="H27" s="32">
        <v>120.68</v>
      </c>
      <c r="I27" s="32">
        <v>2.31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55</v>
      </c>
      <c r="G28" s="31">
        <v>5595</v>
      </c>
      <c r="H28" s="32">
        <v>117.18</v>
      </c>
      <c r="I28" s="32">
        <v>2.2400000000000002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40</v>
      </c>
      <c r="G29" s="31">
        <v>10562</v>
      </c>
      <c r="H29" s="32">
        <v>108.93</v>
      </c>
      <c r="I29" s="32">
        <v>2.08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86238</v>
      </c>
      <c r="H30" s="32">
        <v>100.29</v>
      </c>
      <c r="I30" s="32">
        <v>1.92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3430</v>
      </c>
      <c r="H31" s="32">
        <v>93.97</v>
      </c>
      <c r="I31" s="32">
        <v>1.8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70</v>
      </c>
      <c r="G32" s="31">
        <v>5821</v>
      </c>
      <c r="H32" s="32">
        <v>90.79</v>
      </c>
      <c r="I32" s="32">
        <v>1.74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55</v>
      </c>
      <c r="G33" s="31">
        <v>22408</v>
      </c>
      <c r="H33" s="32">
        <v>81.36</v>
      </c>
      <c r="I33" s="32">
        <v>1.56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1868</v>
      </c>
      <c r="H34" s="32">
        <v>76</v>
      </c>
      <c r="I34" s="32">
        <v>1.45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18</v>
      </c>
      <c r="G35" s="31">
        <v>25068</v>
      </c>
      <c r="H35" s="32">
        <v>72.66</v>
      </c>
      <c r="I35" s="32">
        <v>1.39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44</v>
      </c>
      <c r="G36" s="31">
        <v>443</v>
      </c>
      <c r="H36" s="32">
        <v>70.41</v>
      </c>
      <c r="I36" s="32">
        <v>1.35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70</v>
      </c>
      <c r="G37" s="31">
        <v>2100</v>
      </c>
      <c r="H37" s="32">
        <v>65.930000000000007</v>
      </c>
      <c r="I37" s="32">
        <v>1.26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22793</v>
      </c>
      <c r="H38" s="32">
        <v>59.65</v>
      </c>
      <c r="I38" s="32">
        <v>1.1399999999999999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40</v>
      </c>
      <c r="G39" s="31">
        <v>3074</v>
      </c>
      <c r="H39" s="32">
        <v>56.29</v>
      </c>
      <c r="I39" s="32">
        <v>1.08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124</v>
      </c>
      <c r="G40" s="31">
        <v>1393</v>
      </c>
      <c r="H40" s="32">
        <v>54.45</v>
      </c>
      <c r="I40" s="32">
        <v>1.04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38500</v>
      </c>
      <c r="H41" s="32">
        <v>51.92</v>
      </c>
      <c r="I41" s="32">
        <v>0.99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11705</v>
      </c>
      <c r="H42" s="32">
        <v>45.33</v>
      </c>
      <c r="I42" s="32">
        <v>0.87</v>
      </c>
      <c r="J42" s="33"/>
    </row>
    <row r="43" spans="2:10" x14ac:dyDescent="0.25">
      <c r="C43" s="28" t="s">
        <v>133</v>
      </c>
      <c r="D43" s="29"/>
      <c r="E43" s="30"/>
      <c r="F43" s="30"/>
      <c r="G43" s="31"/>
      <c r="H43" s="35">
        <v>5125.78</v>
      </c>
      <c r="I43" s="35">
        <v>98.01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134</v>
      </c>
      <c r="D45" s="29"/>
      <c r="E45" s="30"/>
      <c r="F45" s="30"/>
      <c r="G45" s="31"/>
      <c r="H45" s="32" t="s">
        <v>135</v>
      </c>
      <c r="I45" s="32" t="s">
        <v>135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136</v>
      </c>
      <c r="D47" s="29"/>
      <c r="E47" s="30"/>
      <c r="F47" s="30"/>
      <c r="G47" s="31"/>
      <c r="H47" s="32" t="s">
        <v>135</v>
      </c>
      <c r="I47" s="32" t="s">
        <v>135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137</v>
      </c>
      <c r="D49" s="29"/>
      <c r="E49" s="30"/>
      <c r="F49" s="30"/>
      <c r="G49" s="31"/>
      <c r="H49" s="32"/>
      <c r="I49" s="32"/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138</v>
      </c>
      <c r="D51" s="29"/>
      <c r="E51" s="30"/>
      <c r="F51" s="30"/>
      <c r="G51" s="31"/>
      <c r="H51" s="32" t="s">
        <v>135</v>
      </c>
      <c r="I51" s="32" t="s">
        <v>135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139</v>
      </c>
      <c r="D53" s="29"/>
      <c r="E53" s="30"/>
      <c r="F53" s="30"/>
      <c r="G53" s="31"/>
      <c r="H53" s="32" t="s">
        <v>135</v>
      </c>
      <c r="I53" s="32" t="s">
        <v>135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140</v>
      </c>
      <c r="D55" s="29"/>
      <c r="E55" s="30"/>
      <c r="F55" s="30"/>
      <c r="G55" s="31"/>
      <c r="H55" s="32" t="s">
        <v>135</v>
      </c>
      <c r="I55" s="32" t="s">
        <v>135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141</v>
      </c>
      <c r="D57" s="29"/>
      <c r="E57" s="30"/>
      <c r="F57" s="30"/>
      <c r="G57" s="31"/>
      <c r="H57" s="32" t="s">
        <v>135</v>
      </c>
      <c r="I57" s="32" t="s">
        <v>135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142</v>
      </c>
      <c r="D59" s="29"/>
      <c r="E59" s="30"/>
      <c r="F59" s="30"/>
      <c r="G59" s="31"/>
      <c r="H59" s="32" t="s">
        <v>135</v>
      </c>
      <c r="I59" s="32" t="s">
        <v>135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143</v>
      </c>
      <c r="D61" s="29"/>
      <c r="E61" s="30"/>
      <c r="F61" s="30"/>
      <c r="G61" s="31"/>
      <c r="H61" s="32"/>
      <c r="I61" s="32"/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144</v>
      </c>
      <c r="D63" s="29"/>
      <c r="E63" s="30"/>
      <c r="F63" s="30"/>
      <c r="G63" s="31"/>
      <c r="H63" s="32" t="s">
        <v>135</v>
      </c>
      <c r="I63" s="32" t="s">
        <v>135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145</v>
      </c>
      <c r="D65" s="29"/>
      <c r="E65" s="30"/>
      <c r="F65" s="30"/>
      <c r="G65" s="31"/>
      <c r="H65" s="32" t="s">
        <v>135</v>
      </c>
      <c r="I65" s="32" t="s">
        <v>135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146</v>
      </c>
      <c r="D67" s="29"/>
      <c r="E67" s="30"/>
      <c r="F67" s="30"/>
      <c r="G67" s="31"/>
      <c r="H67" s="32" t="s">
        <v>135</v>
      </c>
      <c r="I67" s="32" t="s">
        <v>135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147</v>
      </c>
      <c r="D69" s="29"/>
      <c r="E69" s="30"/>
      <c r="F69" s="30"/>
      <c r="G69" s="31"/>
      <c r="H69" s="32" t="s">
        <v>135</v>
      </c>
      <c r="I69" s="32" t="s">
        <v>135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148</v>
      </c>
      <c r="D71" s="29"/>
      <c r="E71" s="30"/>
      <c r="F71" s="30"/>
      <c r="G71" s="31"/>
      <c r="H71" s="32"/>
      <c r="I71" s="32"/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149</v>
      </c>
      <c r="D73" s="29"/>
      <c r="E73" s="30"/>
      <c r="F73" s="30"/>
      <c r="G73" s="31"/>
      <c r="H73" s="32" t="s">
        <v>135</v>
      </c>
      <c r="I73" s="32" t="s">
        <v>135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150</v>
      </c>
      <c r="D75" s="29"/>
      <c r="E75" s="30"/>
      <c r="F75" s="30"/>
      <c r="G75" s="31"/>
      <c r="H75" s="32" t="s">
        <v>135</v>
      </c>
      <c r="I75" s="32" t="s">
        <v>135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151</v>
      </c>
      <c r="D77" s="29"/>
      <c r="E77" s="30"/>
      <c r="F77" s="30"/>
      <c r="G77" s="31"/>
      <c r="H77" s="32" t="s">
        <v>135</v>
      </c>
      <c r="I77" s="32" t="s">
        <v>135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152</v>
      </c>
      <c r="D79" s="29"/>
      <c r="E79" s="30"/>
      <c r="F79" s="30"/>
      <c r="G79" s="31"/>
      <c r="H79" s="32" t="s">
        <v>135</v>
      </c>
      <c r="I79" s="32" t="s">
        <v>135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153</v>
      </c>
      <c r="D81" s="29"/>
      <c r="E81" s="30"/>
      <c r="F81" s="30"/>
      <c r="G81" s="31"/>
      <c r="H81" s="32" t="s">
        <v>135</v>
      </c>
      <c r="I81" s="32" t="s">
        <v>135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154</v>
      </c>
      <c r="D83" s="29"/>
      <c r="E83" s="30"/>
      <c r="F83" s="30"/>
      <c r="G83" s="31"/>
      <c r="H83" s="32" t="s">
        <v>135</v>
      </c>
      <c r="I83" s="32" t="s">
        <v>135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A85" s="26"/>
      <c r="B85" s="27"/>
      <c r="C85" s="28" t="s">
        <v>155</v>
      </c>
      <c r="D85" s="29"/>
      <c r="E85" s="30"/>
      <c r="F85" s="30"/>
      <c r="G85" s="31"/>
      <c r="H85" s="32"/>
      <c r="I85" s="32"/>
      <c r="J85" s="33"/>
    </row>
    <row r="86" spans="1:10" x14ac:dyDescent="0.25">
      <c r="B86" s="1"/>
      <c r="C86" s="20" t="s">
        <v>156</v>
      </c>
      <c r="D86" s="29"/>
      <c r="E86" s="30"/>
      <c r="F86" s="30"/>
      <c r="G86" s="31"/>
      <c r="H86" s="32">
        <v>104.6</v>
      </c>
      <c r="I86" s="32">
        <v>1.99</v>
      </c>
      <c r="J86" s="33"/>
    </row>
    <row r="87" spans="1:10" x14ac:dyDescent="0.25">
      <c r="C87" s="28" t="s">
        <v>133</v>
      </c>
      <c r="D87" s="29"/>
      <c r="E87" s="30"/>
      <c r="F87" s="30"/>
      <c r="G87" s="31"/>
      <c r="H87" s="35">
        <v>104.6</v>
      </c>
      <c r="I87" s="35">
        <v>1.99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ht="14.25" thickBot="1" x14ac:dyDescent="0.3">
      <c r="C89" s="36" t="s">
        <v>157</v>
      </c>
      <c r="D89" s="37"/>
      <c r="E89" s="38"/>
      <c r="F89" s="39"/>
      <c r="G89" s="40"/>
      <c r="H89" s="41">
        <v>5230.38</v>
      </c>
      <c r="I89" s="41">
        <f>SUMIFS(I:I,C:C,"Total")</f>
        <v>100</v>
      </c>
      <c r="J89" s="42"/>
    </row>
    <row r="92" spans="1:10" x14ac:dyDescent="0.25">
      <c r="C92" s="11" t="s">
        <v>158</v>
      </c>
    </row>
    <row r="93" spans="1:10" x14ac:dyDescent="0.25">
      <c r="C93" s="2" t="s">
        <v>159</v>
      </c>
    </row>
    <row r="94" spans="1:10" x14ac:dyDescent="0.25">
      <c r="C94" s="2" t="s">
        <v>160</v>
      </c>
    </row>
    <row r="95" spans="1:10" x14ac:dyDescent="0.25">
      <c r="C95" s="2" t="s">
        <v>161</v>
      </c>
    </row>
    <row r="96" spans="1:10" x14ac:dyDescent="0.25">
      <c r="C96" s="43" t="s">
        <v>162</v>
      </c>
    </row>
    <row r="97" spans="3:5" x14ac:dyDescent="0.25">
      <c r="C97" s="43" t="s">
        <v>163</v>
      </c>
    </row>
    <row r="98" spans="3:5" ht="14.25" thickBot="1" x14ac:dyDescent="0.3">
      <c r="C98" s="43" t="s">
        <v>164</v>
      </c>
    </row>
    <row r="99" spans="3:5" ht="14.25" thickBot="1" x14ac:dyDescent="0.3">
      <c r="C99" s="44"/>
      <c r="D99" s="64" t="s">
        <v>165</v>
      </c>
      <c r="E99" s="65"/>
    </row>
    <row r="100" spans="3:5" x14ac:dyDescent="0.25">
      <c r="C100" s="45" t="s">
        <v>166</v>
      </c>
      <c r="D100" s="46" t="s">
        <v>167</v>
      </c>
      <c r="E100" s="47" t="s">
        <v>167</v>
      </c>
    </row>
    <row r="101" spans="3:5" ht="14.25" thickBot="1" x14ac:dyDescent="0.3">
      <c r="C101" s="48"/>
      <c r="D101" s="49" t="s">
        <v>168</v>
      </c>
      <c r="E101" s="50" t="s">
        <v>169</v>
      </c>
    </row>
    <row r="102" spans="3:5" ht="14.25" thickBot="1" x14ac:dyDescent="0.3">
      <c r="C102" s="51" t="s">
        <v>170</v>
      </c>
      <c r="D102" s="52">
        <v>71.03</v>
      </c>
      <c r="E102" s="52">
        <v>71.63</v>
      </c>
    </row>
    <row r="103" spans="3:5" ht="14.25" thickBot="1" x14ac:dyDescent="0.3">
      <c r="C103" s="51" t="s">
        <v>171</v>
      </c>
      <c r="D103" s="52">
        <v>162.13999999999999</v>
      </c>
      <c r="E103" s="52">
        <v>163.51</v>
      </c>
    </row>
    <row r="104" spans="3:5" ht="14.25" thickBot="1" x14ac:dyDescent="0.3">
      <c r="C104" s="51" t="s">
        <v>172</v>
      </c>
      <c r="D104" s="52">
        <v>75.599999999999994</v>
      </c>
      <c r="E104" s="52">
        <v>76.25</v>
      </c>
    </row>
    <row r="105" spans="3:5" ht="14.25" thickBot="1" x14ac:dyDescent="0.3">
      <c r="C105" s="51" t="s">
        <v>173</v>
      </c>
      <c r="D105" s="52">
        <v>171.62</v>
      </c>
      <c r="E105" s="52">
        <v>173.1</v>
      </c>
    </row>
    <row r="106" spans="3:5" x14ac:dyDescent="0.25">
      <c r="C106" s="53"/>
      <c r="D106" s="53"/>
      <c r="E106" s="53"/>
    </row>
    <row r="107" spans="3:5" x14ac:dyDescent="0.25">
      <c r="C107" s="43" t="s">
        <v>174</v>
      </c>
      <c r="D107" s="43"/>
      <c r="E107" s="54"/>
    </row>
    <row r="108" spans="3:5" x14ac:dyDescent="0.25">
      <c r="C108" s="43" t="s">
        <v>175</v>
      </c>
      <c r="D108" s="43"/>
      <c r="E108" s="54"/>
    </row>
    <row r="109" spans="3:5" x14ac:dyDescent="0.25">
      <c r="C109" s="43" t="s">
        <v>176</v>
      </c>
      <c r="D109" s="43"/>
      <c r="E109" s="54"/>
    </row>
    <row r="110" spans="3:5" x14ac:dyDescent="0.25">
      <c r="C110" s="43" t="s">
        <v>177</v>
      </c>
      <c r="D110" s="43"/>
      <c r="E110" s="43"/>
    </row>
    <row r="111" spans="3:5" x14ac:dyDescent="0.25">
      <c r="C111" s="43" t="s">
        <v>178</v>
      </c>
      <c r="D111" s="54"/>
      <c r="E111" s="53"/>
    </row>
    <row r="112" spans="3:5" x14ac:dyDescent="0.25">
      <c r="C112" s="43" t="s">
        <v>179</v>
      </c>
      <c r="D112" s="43"/>
      <c r="E112" s="43"/>
    </row>
    <row r="113" spans="3:5" x14ac:dyDescent="0.25">
      <c r="C113" s="43" t="s">
        <v>180</v>
      </c>
      <c r="D113" s="43"/>
      <c r="E113" s="43"/>
    </row>
    <row r="114" spans="3:5" x14ac:dyDescent="0.25">
      <c r="C114" s="43" t="s">
        <v>181</v>
      </c>
      <c r="D114" s="43"/>
      <c r="E114" s="43"/>
    </row>
    <row r="115" spans="3:5" ht="15" x14ac:dyDescent="0.25">
      <c r="C115" s="43" t="s">
        <v>182</v>
      </c>
      <c r="D115"/>
      <c r="E115"/>
    </row>
  </sheetData>
  <mergeCells count="1">
    <mergeCell ref="D99:E99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54E1-EE87-4662-B3BA-0C1970FFC97E}">
  <dimension ref="C3:M17"/>
  <sheetViews>
    <sheetView workbookViewId="0"/>
  </sheetViews>
  <sheetFormatPr defaultRowHeight="15" x14ac:dyDescent="0.25"/>
  <cols>
    <col min="3" max="3" width="47.42578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5" t="s">
        <v>183</v>
      </c>
      <c r="D3" s="56"/>
      <c r="E3" s="56"/>
      <c r="F3" s="56"/>
      <c r="G3" s="56"/>
      <c r="H3" s="56"/>
      <c r="I3" s="56"/>
      <c r="J3" s="56"/>
      <c r="K3" s="56"/>
      <c r="L3" s="56"/>
      <c r="M3" s="56"/>
    </row>
    <row r="4" spans="3:13" x14ac:dyDescent="0.25">
      <c r="C4" s="57" t="s">
        <v>184</v>
      </c>
      <c r="D4" s="66" t="s">
        <v>185</v>
      </c>
      <c r="E4" s="66"/>
      <c r="F4" s="66" t="s">
        <v>186</v>
      </c>
      <c r="G4" s="66"/>
      <c r="H4" s="66" t="s">
        <v>187</v>
      </c>
      <c r="I4" s="66"/>
      <c r="J4" s="67" t="s">
        <v>188</v>
      </c>
      <c r="K4" s="68"/>
      <c r="L4" s="69" t="s">
        <v>189</v>
      </c>
      <c r="M4" s="69"/>
    </row>
    <row r="5" spans="3:13" ht="63.75" x14ac:dyDescent="0.25">
      <c r="C5" s="58"/>
      <c r="D5" s="59" t="s">
        <v>190</v>
      </c>
      <c r="E5" s="59" t="s">
        <v>191</v>
      </c>
      <c r="F5" s="59" t="s">
        <v>190</v>
      </c>
      <c r="G5" s="59" t="s">
        <v>191</v>
      </c>
      <c r="H5" s="59" t="s">
        <v>190</v>
      </c>
      <c r="I5" s="59" t="s">
        <v>191</v>
      </c>
      <c r="J5" s="59" t="s">
        <v>190</v>
      </c>
      <c r="K5" s="59" t="s">
        <v>191</v>
      </c>
      <c r="L5" s="60" t="s">
        <v>190</v>
      </c>
      <c r="M5" s="60" t="s">
        <v>191</v>
      </c>
    </row>
    <row r="6" spans="3:13" x14ac:dyDescent="0.25">
      <c r="C6" s="61" t="s">
        <v>192</v>
      </c>
      <c r="D6" s="62">
        <v>5.4893000000000001</v>
      </c>
      <c r="E6" s="62">
        <v>10548.926014319808</v>
      </c>
      <c r="F6" s="62">
        <v>14.2645</v>
      </c>
      <c r="G6" s="62">
        <v>14924.256251140718</v>
      </c>
      <c r="H6" s="62">
        <v>15.529299999999999</v>
      </c>
      <c r="I6" s="62">
        <v>20596.977329974809</v>
      </c>
      <c r="J6" s="62">
        <v>10.273400000000001</v>
      </c>
      <c r="K6" s="62">
        <v>26617.838541666668</v>
      </c>
      <c r="L6" s="62">
        <v>10.8362</v>
      </c>
      <c r="M6" s="62">
        <v>163540</v>
      </c>
    </row>
    <row r="7" spans="3:13" x14ac:dyDescent="0.25">
      <c r="C7" s="61" t="s">
        <v>193</v>
      </c>
      <c r="D7" s="62">
        <v>9.5140999999999991</v>
      </c>
      <c r="E7" s="62">
        <v>10951.41</v>
      </c>
      <c r="F7" s="62">
        <v>14.7066</v>
      </c>
      <c r="G7" s="62">
        <v>15092.640285712831</v>
      </c>
      <c r="H7" s="62">
        <v>17.505700000000001</v>
      </c>
      <c r="I7" s="62">
        <v>22402.406324296553</v>
      </c>
      <c r="J7" s="62">
        <v>14.48</v>
      </c>
      <c r="K7" s="62">
        <v>19662.924142595773</v>
      </c>
      <c r="L7" s="62" t="s">
        <v>194</v>
      </c>
      <c r="M7" s="62">
        <v>357437.68596498185</v>
      </c>
    </row>
    <row r="8" spans="3:13" x14ac:dyDescent="0.25">
      <c r="C8" s="61" t="s">
        <v>195</v>
      </c>
      <c r="D8" s="62">
        <v>10.9338</v>
      </c>
      <c r="E8" s="62">
        <v>11093.38</v>
      </c>
      <c r="F8" s="62">
        <v>13.4663</v>
      </c>
      <c r="G8" s="62">
        <v>14608.333661891722</v>
      </c>
      <c r="H8" s="62">
        <v>16.4649</v>
      </c>
      <c r="I8" s="62">
        <v>21427.686838804144</v>
      </c>
      <c r="J8" s="62">
        <v>14.057700000000001</v>
      </c>
      <c r="K8" s="62">
        <v>19302.921674483874</v>
      </c>
      <c r="L8" s="62">
        <v>12.632099999999999</v>
      </c>
      <c r="M8" s="62">
        <v>388721.21910059813</v>
      </c>
    </row>
    <row r="9" spans="3:13" x14ac:dyDescent="0.25">
      <c r="C9" s="61" t="s">
        <v>196</v>
      </c>
      <c r="D9" s="70">
        <v>155.03</v>
      </c>
      <c r="E9" s="71"/>
      <c r="F9" s="70">
        <v>109.58</v>
      </c>
      <c r="G9" s="71"/>
      <c r="H9" s="70">
        <v>79.400000000000006</v>
      </c>
      <c r="I9" s="71"/>
      <c r="J9" s="70">
        <v>61.44</v>
      </c>
      <c r="K9" s="71"/>
      <c r="L9" s="70">
        <v>10</v>
      </c>
      <c r="M9" s="71"/>
    </row>
    <row r="11" spans="3:13" ht="15.75" x14ac:dyDescent="0.25">
      <c r="C11" s="55" t="s">
        <v>198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2" spans="3:13" x14ac:dyDescent="0.25">
      <c r="C12" s="57" t="s">
        <v>184</v>
      </c>
      <c r="D12" s="66" t="s">
        <v>185</v>
      </c>
      <c r="E12" s="66"/>
      <c r="F12" s="66" t="s">
        <v>186</v>
      </c>
      <c r="G12" s="66"/>
      <c r="H12" s="66" t="s">
        <v>187</v>
      </c>
      <c r="I12" s="66"/>
      <c r="J12" s="67" t="s">
        <v>188</v>
      </c>
      <c r="K12" s="68"/>
      <c r="L12" s="69" t="s">
        <v>189</v>
      </c>
      <c r="M12" s="69"/>
    </row>
    <row r="13" spans="3:13" ht="63.75" x14ac:dyDescent="0.25">
      <c r="C13" s="58"/>
      <c r="D13" s="59" t="s">
        <v>190</v>
      </c>
      <c r="E13" s="59" t="s">
        <v>191</v>
      </c>
      <c r="F13" s="59" t="s">
        <v>190</v>
      </c>
      <c r="G13" s="59" t="s">
        <v>191</v>
      </c>
      <c r="H13" s="59" t="s">
        <v>190</v>
      </c>
      <c r="I13" s="59" t="s">
        <v>191</v>
      </c>
      <c r="J13" s="59" t="s">
        <v>190</v>
      </c>
      <c r="K13" s="59" t="s">
        <v>191</v>
      </c>
      <c r="L13" s="60" t="s">
        <v>190</v>
      </c>
      <c r="M13" s="60" t="s">
        <v>191</v>
      </c>
    </row>
    <row r="14" spans="3:13" x14ac:dyDescent="0.25">
      <c r="C14" s="61" t="s">
        <v>192</v>
      </c>
      <c r="D14" s="62">
        <v>5.6830999999999996</v>
      </c>
      <c r="E14" s="62">
        <v>10568.306678061286</v>
      </c>
      <c r="F14" s="62">
        <v>14.4078</v>
      </c>
      <c r="G14" s="62">
        <v>14980.531279743878</v>
      </c>
      <c r="H14" s="62">
        <v>15.652100000000001</v>
      </c>
      <c r="I14" s="62">
        <v>20706.853247219231</v>
      </c>
      <c r="J14" s="62">
        <v>10.7065</v>
      </c>
      <c r="K14" s="62">
        <v>27683.082826990725</v>
      </c>
      <c r="L14" s="62">
        <v>11.051</v>
      </c>
      <c r="M14" s="62">
        <v>38888.140161725067</v>
      </c>
    </row>
    <row r="15" spans="3:13" x14ac:dyDescent="0.25">
      <c r="C15" s="61" t="s">
        <v>193</v>
      </c>
      <c r="D15" s="62">
        <v>9.5140999999999991</v>
      </c>
      <c r="E15" s="62">
        <v>10951.41</v>
      </c>
      <c r="F15" s="62">
        <v>14.7066</v>
      </c>
      <c r="G15" s="62">
        <v>15092.640285712831</v>
      </c>
      <c r="H15" s="62">
        <v>17.505700000000001</v>
      </c>
      <c r="I15" s="62">
        <v>22402.406324296553</v>
      </c>
      <c r="J15" s="62">
        <v>14.48</v>
      </c>
      <c r="K15" s="62">
        <v>19662.924142595773</v>
      </c>
      <c r="L15" s="62">
        <v>13.897417000000001</v>
      </c>
      <c r="M15" s="62">
        <v>52186.859089261001</v>
      </c>
    </row>
    <row r="16" spans="3:13" x14ac:dyDescent="0.25">
      <c r="C16" s="61" t="s">
        <v>195</v>
      </c>
      <c r="D16" s="62">
        <v>10.9338</v>
      </c>
      <c r="E16" s="62">
        <v>11093.38</v>
      </c>
      <c r="F16" s="62">
        <v>13.4663</v>
      </c>
      <c r="G16" s="62">
        <v>14608.333661891722</v>
      </c>
      <c r="H16" s="62">
        <v>16.4649</v>
      </c>
      <c r="I16" s="62">
        <v>21427.686838804144</v>
      </c>
      <c r="J16" s="62">
        <v>14.057700000000001</v>
      </c>
      <c r="K16" s="62">
        <v>19302.921674483874</v>
      </c>
      <c r="L16" s="62">
        <v>13.4603</v>
      </c>
      <c r="M16" s="62">
        <v>51051.977131962507</v>
      </c>
    </row>
    <row r="17" spans="3:13" x14ac:dyDescent="0.25">
      <c r="C17" s="63" t="s">
        <v>197</v>
      </c>
      <c r="D17" s="70">
        <v>163.82</v>
      </c>
      <c r="E17" s="71"/>
      <c r="F17" s="70">
        <v>115.57</v>
      </c>
      <c r="G17" s="71"/>
      <c r="H17" s="70">
        <v>83.61</v>
      </c>
      <c r="I17" s="71"/>
      <c r="J17" s="70">
        <v>62.54</v>
      </c>
      <c r="K17" s="71"/>
      <c r="L17" s="70">
        <v>44.52</v>
      </c>
      <c r="M17" s="71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2025-12-04T10:43:51Z</dcterms:created>
  <dcterms:modified xsi:type="dcterms:W3CDTF">2025-12-05T12:34:11Z</dcterms:modified>
</cp:coreProperties>
</file>