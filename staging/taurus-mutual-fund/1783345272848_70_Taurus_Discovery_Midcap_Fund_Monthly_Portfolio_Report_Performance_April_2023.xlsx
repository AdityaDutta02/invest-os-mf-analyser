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Portfolio'!$C$8:$C$47</definedName>
    <definedName name="XDO_?FINAL_ISIN?3?">'TDF-Risk-O-Meter &amp; Portfolio'!$D$10:$D$47</definedName>
    <definedName name="XDO_?FINAL_ISIN?4?">'TDF-Risk-O-Meter &amp; Portfolio'!$D$10:$D$89</definedName>
    <definedName name="XDO_?FINAL_MV?3?">'TDF-Risk-O-Meter &amp; Portfolio'!$H$10:$H$47</definedName>
    <definedName name="XDO_?FINAL_MV?4?">'TDF-Risk-O-Meter &amp; Portfolio'!$H$10:$H$89</definedName>
    <definedName name="XDO_?FINAL_NAME?3?">'TDF-Risk-O-Meter &amp; Portfolio'!$C$10:$C$47</definedName>
    <definedName name="XDO_?FINAL_NAME?4?">'TDF-Risk-O-Meter &amp; Portfolio'!$C$10:$C$89</definedName>
    <definedName name="XDO_?FINAL_PER_NET?3?">'TDF-Risk-O-Meter &amp; Portfolio'!$I$10:$I$47</definedName>
    <definedName name="XDO_?FINAL_PER_NET?4?">'TDF-Risk-O-Meter &amp; Portfolio'!$I$10:$I$89</definedName>
    <definedName name="XDO_?FINAL_QUANTITE?3?">'TDF-Risk-O-Meter &amp; Portfolio'!$G$10:$G$47</definedName>
    <definedName name="XDO_?FINAL_QUANTITE?4?">'TDF-Risk-O-Meter &amp; Portfolio'!$G$10:$G$89</definedName>
    <definedName name="XDO_?IND_01?3?">'TDF-Risk-O-Meter &amp; Portfolio'!$F$10:$F$47</definedName>
    <definedName name="XDO_?IND_01?4?">'TDF-Risk-O-Meter &amp; Portfolio'!$F$10:$F$89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Portfolio'!$C$2:$C$47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Portfolio'!$B$10:$B$47</definedName>
    <definedName name="XDO_?NOVAL?4?">'TDF-Risk-O-Meter &amp; Portfolio'!$B$10:$B$89</definedName>
    <definedName name="XDO_?NPTF?2?">'TDF-Risk-O-Meter &amp; Portfolio'!$D$2:$D$47</definedName>
    <definedName name="XDO_?RATING?3?">'TDF-Risk-O-Meter &amp; Portfolio'!$E$10:$E$47</definedName>
    <definedName name="XDO_?RATING?4?">'TDF-Risk-O-Meter &amp; Portfolio'!$E$10:$E$89</definedName>
    <definedName name="XDO_?REMARKS?3?">'TDF-Risk-O-Meter &amp; Portfolio'!$J$10:$J$47</definedName>
    <definedName name="XDO_?REMARKS?4?">'TDF-Risk-O-Meter &amp; Portfolio'!$J$10:$J$89</definedName>
    <definedName name="XDO_?TITL?2?">'TDF-Risk-O-Meter &amp; Portfolio'!$A$8:$A$47</definedName>
    <definedName name="XDO_GROUP_?G_2?2?">'TDF-Risk-O-Meter &amp; Portfolio'!$2:$92</definedName>
    <definedName name="XDO_GROUP_?G_3?2?">'TDF-Risk-O-Meter &amp; Portfolio'!$8:$91</definedName>
    <definedName name="XDO_GROUP_?G_4?3?">'TDF-Risk-O-Meter &amp; Portfolio'!$B$10:$IV$47</definedName>
    <definedName name="XDO_GROUP_?G_4?4?">'TDF-Risk-O-Meter &amp; Portfolio'!$B$89:$IV$89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/>
</calcChain>
</file>

<file path=xl/sharedStrings.xml><?xml version="1.0" encoding="utf-8"?>
<sst xmlns="http://schemas.openxmlformats.org/spreadsheetml/2006/main" count="264" uniqueCount="192">
  <si>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</si>
  <si>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</si>
  <si>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</si>
  <si>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</si>
  <si>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</si>
  <si>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</si>
  <si>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</si>
  <si>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</si>
  <si>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</si>
  <si>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</si>
  <si>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</si>
  <si>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</si>
  <si>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</si>
  <si>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</si>
  <si>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</si>
  <si>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</si>
  <si>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</si>
  <si>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</si>
  <si>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</si>
  <si>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100281</t>
  </si>
  <si>
    <t>Century Textiles &amp; Industries Ltd.</t>
  </si>
  <si>
    <t>INE055A01016</t>
  </si>
  <si>
    <t>Paper, Forest &amp; Jute Products</t>
  </si>
  <si>
    <t>100719</t>
  </si>
  <si>
    <t>Mayur Uniquoters Ltd.</t>
  </si>
  <si>
    <t>INE040D01038</t>
  </si>
  <si>
    <t>Consumer Durables</t>
  </si>
  <si>
    <t>100740</t>
  </si>
  <si>
    <t>Sterlite Technologies Ltd.</t>
  </si>
  <si>
    <t>INE089C01029</t>
  </si>
  <si>
    <t>Telecom - Services</t>
  </si>
  <si>
    <t>100476</t>
  </si>
  <si>
    <t>Caplin Point Laboratories Ltd.</t>
  </si>
  <si>
    <t>INE475E01026</t>
  </si>
  <si>
    <t>101800</t>
  </si>
  <si>
    <t>Hindware Home Innovation Ltd.</t>
  </si>
  <si>
    <t>INE05AN01011</t>
  </si>
  <si>
    <t>100398</t>
  </si>
  <si>
    <t>Aditya Birla Fashion and Retail Ltd.</t>
  </si>
  <si>
    <t>INE647O01011</t>
  </si>
  <si>
    <t>Retailing</t>
  </si>
  <si>
    <t>101415</t>
  </si>
  <si>
    <t>Hindustan Oil Exploration Co. Ltd.</t>
  </si>
  <si>
    <t>INE345A01011</t>
  </si>
  <si>
    <t>Oil</t>
  </si>
  <si>
    <t>100570</t>
  </si>
  <si>
    <t>K.P.R. Mill Ltd.</t>
  </si>
  <si>
    <t>INE930H01031</t>
  </si>
  <si>
    <t>Textiles &amp; Apparels</t>
  </si>
  <si>
    <t>100055</t>
  </si>
  <si>
    <t>The Federal Bank Ltd.</t>
  </si>
  <si>
    <t>INE171A01029</t>
  </si>
  <si>
    <t>Banks</t>
  </si>
  <si>
    <t>100843</t>
  </si>
  <si>
    <t>Dalmia Bharat Ltd.</t>
  </si>
  <si>
    <t>INE00R701025</t>
  </si>
  <si>
    <t>Cement &amp; Cement Products</t>
  </si>
  <si>
    <t>100195</t>
  </si>
  <si>
    <t>REC Ltd.</t>
  </si>
  <si>
    <t>INE020B01018</t>
  </si>
  <si>
    <t>Finance</t>
  </si>
  <si>
    <t>100371</t>
  </si>
  <si>
    <t>Sun TV Network Ltd.</t>
  </si>
  <si>
    <t>INE424H01027</t>
  </si>
  <si>
    <t>Entertainment</t>
  </si>
  <si>
    <t>100461</t>
  </si>
  <si>
    <t>Astral Ltd.</t>
  </si>
  <si>
    <t>INE006I01046</t>
  </si>
  <si>
    <t>Industrial Products</t>
  </si>
  <si>
    <t>100234</t>
  </si>
  <si>
    <t>Coforge Ltd.</t>
  </si>
  <si>
    <t>INE591G01017</t>
  </si>
  <si>
    <t>IT - Software</t>
  </si>
  <si>
    <t>101152</t>
  </si>
  <si>
    <t>Sumitomo Chemical India Ltd.</t>
  </si>
  <si>
    <t>INE258G01013</t>
  </si>
  <si>
    <t>Fertilizers &amp; Agrochemicals</t>
  </si>
  <si>
    <t>100112</t>
  </si>
  <si>
    <t>Punjab National Bank</t>
  </si>
  <si>
    <t>INE160A01022</t>
  </si>
  <si>
    <t>100271</t>
  </si>
  <si>
    <t>Balkrishna Industries Ltd.</t>
  </si>
  <si>
    <t>INE787D01026</t>
  </si>
  <si>
    <t>Auto Components</t>
  </si>
  <si>
    <t>100088</t>
  </si>
  <si>
    <t>Bharat Heavy Electricals Ltd.</t>
  </si>
  <si>
    <t>INE257A01026</t>
  </si>
  <si>
    <t>Electrical Equipment</t>
  </si>
  <si>
    <t>101574</t>
  </si>
  <si>
    <t>Linde India Ltd.</t>
  </si>
  <si>
    <t>INE473A01011</t>
  </si>
  <si>
    <t>Chemicals &amp; Petrochemicals</t>
  </si>
  <si>
    <t>100222</t>
  </si>
  <si>
    <t>The Indian Hotels Company Ltd.</t>
  </si>
  <si>
    <t>INE053A01029</t>
  </si>
  <si>
    <t>Leisure Services</t>
  </si>
  <si>
    <t>100090</t>
  </si>
  <si>
    <t>Bharat Forge Ltd.</t>
  </si>
  <si>
    <t>INE465A01025</t>
  </si>
  <si>
    <t>100435</t>
  </si>
  <si>
    <t>Crompton Greaves Consumer Electricals Ltd.</t>
  </si>
  <si>
    <t>INE299U01018</t>
  </si>
  <si>
    <t>100116</t>
  </si>
  <si>
    <t>Sundaram Finance Ltd.</t>
  </si>
  <si>
    <t>INE660A01013</t>
  </si>
  <si>
    <t>100026</t>
  </si>
  <si>
    <t>Persistent Systems Ltd.</t>
  </si>
  <si>
    <t>INE262H01013</t>
  </si>
  <si>
    <t>100728</t>
  </si>
  <si>
    <t>Welspun Corp Ltd.</t>
  </si>
  <si>
    <t>INE191B01025</t>
  </si>
  <si>
    <t>100426</t>
  </si>
  <si>
    <t>Relaxo Footwears Ltd.</t>
  </si>
  <si>
    <t>INE131B01039</t>
  </si>
  <si>
    <t>100471</t>
  </si>
  <si>
    <t>Endurance Technologies Ltd.</t>
  </si>
  <si>
    <t>INE913H01037</t>
  </si>
  <si>
    <t>100068</t>
  </si>
  <si>
    <t>Kansai Nerolac Paints Ltd.</t>
  </si>
  <si>
    <t>INE531A01024</t>
  </si>
  <si>
    <t>100161</t>
  </si>
  <si>
    <t>Cummins India Ltd.</t>
  </si>
  <si>
    <t>INE298A01020</t>
  </si>
  <si>
    <t>100107</t>
  </si>
  <si>
    <t>Max Financial Services Ltd.</t>
  </si>
  <si>
    <t>INE180A01020</t>
  </si>
  <si>
    <t>Insurance</t>
  </si>
  <si>
    <t>100242</t>
  </si>
  <si>
    <t>Schaeffler India Ltd.</t>
  </si>
  <si>
    <t>INE513A01022</t>
  </si>
  <si>
    <t>100335</t>
  </si>
  <si>
    <t>Kajaria Ceramics Ltd.</t>
  </si>
  <si>
    <t>INE217B01036</t>
  </si>
  <si>
    <t>100143</t>
  </si>
  <si>
    <t>Thermax Ltd.</t>
  </si>
  <si>
    <t>INE152A01029</t>
  </si>
  <si>
    <t>100227</t>
  </si>
  <si>
    <t>Jubilant Foodworks Ltd.</t>
  </si>
  <si>
    <t>INE797F01020</t>
  </si>
  <si>
    <t>100042</t>
  </si>
  <si>
    <t>LIC Housing Finance Ltd.</t>
  </si>
  <si>
    <t>INE115A01026</t>
  </si>
  <si>
    <t>100144</t>
  </si>
  <si>
    <t>Voltas Ltd.</t>
  </si>
  <si>
    <t>INE226A01021</t>
  </si>
  <si>
    <t>100093</t>
  </si>
  <si>
    <t>Blue Dart Express Ltd.</t>
  </si>
  <si>
    <t>INE233B01017</t>
  </si>
  <si>
    <t>Transport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</si>
  <si>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</si>
  <si>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</si>
  <si>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</si>
  <si>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</si>
  <si>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</si>
  <si>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</si>
  <si>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</si>
  <si>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</si>
  <si>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</si>
  <si>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</si>
  <si>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</si>
  <si>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</si>
  <si>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</si>
  <si>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</si>
  <si>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</si>
  <si>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</si>
  <si>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</si>
  <si>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</si>
  <si>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</si>
  <si>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</si>
  <si>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</si>
  <si>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</si>
  <si>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</si>
  <si>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</si>
  <si>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</si>
  <si>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</si>
  <si>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</si>
  <si>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</si>
  <si>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</si>
  <si>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</si>
  <si>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</si>
  <si>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</si>
  <si>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</si>
  <si>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</si>
  <si>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</si>
  <si>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</si>
  <si>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</si>
  <si>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</si>
  <si>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</si>
  <si>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April 28, 2023 : 76.85)</t>
  </si>
  <si>
    <t>Taurus Discovery (Midcap) Fund-Direct Plan-Growth Option</t>
  </si>
  <si>
    <t>NAV [Rs.] Per Unit (as on April 28, 2023 : 80.43)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</si>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</sst>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>
      <selection activeCell="A3" sqref="A3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31" style="2" bestFit="1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1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51750</v>
      </c>
      <c r="H10" s="32">
        <v>549.48</v>
      </c>
      <c r="I10" s="32">
        <v>7.14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57000</v>
      </c>
      <c r="H11" s="32">
        <v>388</v>
      </c>
      <c r="I11" s="32">
        <v>5.04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65000</v>
      </c>
      <c r="H12" s="32">
        <v>331.14</v>
      </c>
      <c r="I12" s="32">
        <v>4.3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200000</v>
      </c>
      <c r="H13" s="32">
        <v>320.2</v>
      </c>
      <c r="I13" s="32">
        <v>4.16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46000</v>
      </c>
      <c r="H14" s="32">
        <v>311.93</v>
      </c>
      <c r="I14" s="32">
        <v>4.05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26</v>
      </c>
      <c r="G15" s="31">
        <v>80000</v>
      </c>
      <c r="H15" s="32">
        <v>309.32</v>
      </c>
      <c r="I15" s="32">
        <v>4.0199999999999996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135000</v>
      </c>
      <c r="H16" s="32">
        <v>300.64999999999998</v>
      </c>
      <c r="I16" s="32">
        <v>3.91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169000</v>
      </c>
      <c r="H17" s="32">
        <v>278.26</v>
      </c>
      <c r="I17" s="32">
        <v>3.62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44500</v>
      </c>
      <c r="H18" s="32">
        <v>266.39999999999998</v>
      </c>
      <c r="I18" s="32">
        <v>3.46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190000</v>
      </c>
      <c r="H19" s="32">
        <v>256.41000000000003</v>
      </c>
      <c r="I19" s="32">
        <v>3.33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12400</v>
      </c>
      <c r="H20" s="32">
        <v>247.4</v>
      </c>
      <c r="I20" s="32">
        <v>3.22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185000</v>
      </c>
      <c r="H21" s="32">
        <v>244.57</v>
      </c>
      <c r="I21" s="32">
        <v>3.18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55000</v>
      </c>
      <c r="H22" s="32">
        <v>237.41</v>
      </c>
      <c r="I22" s="32">
        <v>3.09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15333</v>
      </c>
      <c r="H23" s="32">
        <v>222.22</v>
      </c>
      <c r="I23" s="32">
        <v>2.89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5200</v>
      </c>
      <c r="H24" s="32">
        <v>217.52</v>
      </c>
      <c r="I24" s="32">
        <v>2.83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52500</v>
      </c>
      <c r="H25" s="32">
        <v>211.52</v>
      </c>
      <c r="I25" s="32">
        <v>2.75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52</v>
      </c>
      <c r="G26" s="31">
        <v>400000</v>
      </c>
      <c r="H26" s="32">
        <v>208.96</v>
      </c>
      <c r="I26" s="32">
        <v>2.72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10000</v>
      </c>
      <c r="H27" s="32">
        <v>208.24</v>
      </c>
      <c r="I27" s="32">
        <v>2.71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265000</v>
      </c>
      <c r="H28" s="32">
        <v>207.65</v>
      </c>
      <c r="I28" s="32">
        <v>2.7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91</v>
      </c>
      <c r="G29" s="31">
        <v>5000</v>
      </c>
      <c r="H29" s="32">
        <v>199.27</v>
      </c>
      <c r="I29" s="32">
        <v>2.59</v>
      </c>
      <c r="J29" s="33"/>
    </row>
    <row r="30" spans="2:10">
      <c r="B30" s="1" t="s">
        <v>92</v>
      </c>
      <c r="C30" s="20" t="s">
        <v>93</v>
      </c>
      <c r="D30" s="29" t="s">
        <v>94</v>
      </c>
      <c r="E30" s="30"/>
      <c r="F30" s="30" t="s">
        <v>95</v>
      </c>
      <c r="G30" s="31">
        <v>55000</v>
      </c>
      <c r="H30" s="32">
        <v>186.42</v>
      </c>
      <c r="I30" s="32">
        <v>2.42</v>
      </c>
      <c r="J30" s="33"/>
    </row>
    <row r="31" spans="2:10">
      <c r="B31" s="1" t="s">
        <v>96</v>
      </c>
      <c r="C31" s="20" t="s">
        <v>97</v>
      </c>
      <c r="D31" s="29" t="s">
        <v>98</v>
      </c>
      <c r="E31" s="30"/>
      <c r="F31" s="30" t="s">
        <v>68</v>
      </c>
      <c r="G31" s="31">
        <v>22750</v>
      </c>
      <c r="H31" s="32">
        <v>182.19</v>
      </c>
      <c r="I31" s="32">
        <v>2.37</v>
      </c>
      <c r="J31" s="33"/>
    </row>
    <row r="32" spans="2:10">
      <c r="B32" s="1" t="s">
        <v>99</v>
      </c>
      <c r="C32" s="20" t="s">
        <v>100</v>
      </c>
      <c r="D32" s="29" t="s">
        <v>101</v>
      </c>
      <c r="E32" s="30"/>
      <c r="F32" s="30" t="s">
        <v>26</v>
      </c>
      <c r="G32" s="31">
        <v>60000</v>
      </c>
      <c r="H32" s="32">
        <v>153.03</v>
      </c>
      <c r="I32" s="32">
        <v>1.99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60</v>
      </c>
      <c r="G33" s="31">
        <v>6500</v>
      </c>
      <c r="H33" s="32">
        <v>152.84</v>
      </c>
      <c r="I33" s="32">
        <v>1.99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72</v>
      </c>
      <c r="G34" s="31">
        <v>3000</v>
      </c>
      <c r="H34" s="32">
        <v>142.16999999999999</v>
      </c>
      <c r="I34" s="32">
        <v>1.85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68</v>
      </c>
      <c r="G35" s="31">
        <v>62000</v>
      </c>
      <c r="H35" s="32">
        <v>139.53</v>
      </c>
      <c r="I35" s="32">
        <v>1.81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26</v>
      </c>
      <c r="G36" s="31">
        <v>16000</v>
      </c>
      <c r="H36" s="32">
        <v>134.94</v>
      </c>
      <c r="I36" s="32">
        <v>1.75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83</v>
      </c>
      <c r="G37" s="31">
        <v>10000</v>
      </c>
      <c r="H37" s="32">
        <v>134.29</v>
      </c>
      <c r="I37" s="32">
        <v>1.75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26</v>
      </c>
      <c r="G38" s="31">
        <v>35000</v>
      </c>
      <c r="H38" s="32">
        <v>132.97</v>
      </c>
      <c r="I38" s="32">
        <v>1.73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68</v>
      </c>
      <c r="G39" s="31">
        <v>8000</v>
      </c>
      <c r="H39" s="32">
        <v>125.92</v>
      </c>
      <c r="I39" s="32">
        <v>1.64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17528</v>
      </c>
      <c r="H40" s="32">
        <v>112.12</v>
      </c>
      <c r="I40" s="32">
        <v>1.46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83</v>
      </c>
      <c r="G41" s="31">
        <v>3750</v>
      </c>
      <c r="H41" s="32">
        <v>104.01</v>
      </c>
      <c r="I41" s="32">
        <v>1.35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26</v>
      </c>
      <c r="G42" s="31">
        <v>9250</v>
      </c>
      <c r="H42" s="32">
        <v>101.09</v>
      </c>
      <c r="I42" s="32">
        <v>1.31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87</v>
      </c>
      <c r="G43" s="31">
        <v>4300</v>
      </c>
      <c r="H43" s="32">
        <v>98.47</v>
      </c>
      <c r="I43" s="32">
        <v>1.28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95</v>
      </c>
      <c r="G44" s="31">
        <v>21000</v>
      </c>
      <c r="H44" s="32">
        <v>93.75</v>
      </c>
      <c r="I44" s="32">
        <v>1.22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60</v>
      </c>
      <c r="G45" s="31">
        <v>25000</v>
      </c>
      <c r="H45" s="32">
        <v>86.05</v>
      </c>
      <c r="I45" s="32">
        <v>1.1200000000000001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26</v>
      </c>
      <c r="G46" s="31">
        <v>7250</v>
      </c>
      <c r="H46" s="32">
        <v>57.92</v>
      </c>
      <c r="I46" s="32">
        <v>0.75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280</v>
      </c>
      <c r="H47" s="32">
        <v>16.66</v>
      </c>
      <c r="I47" s="32">
        <v>0.22</v>
      </c>
      <c r="J47" s="33"/>
    </row>
    <row r="48" spans="2:10">
      <c r="C48" s="28" t="s">
        <v>149</v>
      </c>
      <c r="D48" s="29"/>
      <c r="E48" s="30"/>
      <c r="F48" s="30"/>
      <c r="G48" s="31"/>
      <c r="H48" s="35">
        <v>7670.92</v>
      </c>
      <c r="I48" s="35">
        <v>99.72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150</v>
      </c>
      <c r="D50" s="29"/>
      <c r="E50" s="30"/>
      <c r="F50" s="30"/>
      <c r="G50" s="31"/>
      <c r="H50" s="32" t="s">
        <v>151</v>
      </c>
      <c r="I50" s="32" t="s">
        <v>151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152</v>
      </c>
      <c r="D52" s="29"/>
      <c r="E52" s="30"/>
      <c r="F52" s="30"/>
      <c r="G52" s="31"/>
      <c r="H52" s="32" t="s">
        <v>151</v>
      </c>
      <c r="I52" s="32" t="s">
        <v>151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153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154</v>
      </c>
      <c r="D56" s="29"/>
      <c r="E56" s="30"/>
      <c r="F56" s="30"/>
      <c r="G56" s="31"/>
      <c r="H56" s="32" t="s">
        <v>151</v>
      </c>
      <c r="I56" s="32" t="s">
        <v>151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155</v>
      </c>
      <c r="D58" s="29"/>
      <c r="E58" s="30"/>
      <c r="F58" s="30"/>
      <c r="G58" s="31"/>
      <c r="H58" s="32" t="s">
        <v>151</v>
      </c>
      <c r="I58" s="32" t="s">
        <v>151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156</v>
      </c>
      <c r="D60" s="29"/>
      <c r="E60" s="30"/>
      <c r="F60" s="30"/>
      <c r="G60" s="31"/>
      <c r="H60" s="32" t="s">
        <v>151</v>
      </c>
      <c r="I60" s="32" t="s">
        <v>151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157</v>
      </c>
      <c r="D62" s="29"/>
      <c r="E62" s="30"/>
      <c r="F62" s="30"/>
      <c r="G62" s="31"/>
      <c r="H62" s="32" t="s">
        <v>151</v>
      </c>
      <c r="I62" s="32" t="s">
        <v>151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158</v>
      </c>
      <c r="D64" s="29"/>
      <c r="E64" s="30"/>
      <c r="F64" s="30"/>
      <c r="G64" s="31"/>
      <c r="H64" s="32" t="s">
        <v>151</v>
      </c>
      <c r="I64" s="32" t="s">
        <v>151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159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160</v>
      </c>
      <c r="D68" s="29"/>
      <c r="E68" s="30"/>
      <c r="F68" s="30"/>
      <c r="G68" s="31"/>
      <c r="H68" s="32" t="s">
        <v>151</v>
      </c>
      <c r="I68" s="32" t="s">
        <v>151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161</v>
      </c>
      <c r="D70" s="29"/>
      <c r="E70" s="30"/>
      <c r="F70" s="30"/>
      <c r="G70" s="31"/>
      <c r="H70" s="32" t="s">
        <v>151</v>
      </c>
      <c r="I70" s="32" t="s">
        <v>151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162</v>
      </c>
      <c r="D72" s="29"/>
      <c r="E72" s="30"/>
      <c r="F72" s="30"/>
      <c r="G72" s="31"/>
      <c r="H72" s="32" t="s">
        <v>151</v>
      </c>
      <c r="I72" s="32" t="s">
        <v>151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163</v>
      </c>
      <c r="D74" s="29"/>
      <c r="E74" s="30"/>
      <c r="F74" s="30"/>
      <c r="G74" s="31"/>
      <c r="H74" s="32" t="s">
        <v>151</v>
      </c>
      <c r="I74" s="32" t="s">
        <v>151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164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165</v>
      </c>
      <c r="D78" s="29"/>
      <c r="E78" s="30"/>
      <c r="F78" s="30"/>
      <c r="G78" s="31"/>
      <c r="H78" s="32" t="s">
        <v>151</v>
      </c>
      <c r="I78" s="32" t="s">
        <v>151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166</v>
      </c>
      <c r="D80" s="29"/>
      <c r="E80" s="30"/>
      <c r="F80" s="30"/>
      <c r="G80" s="31"/>
      <c r="H80" s="32" t="s">
        <v>151</v>
      </c>
      <c r="I80" s="32" t="s">
        <v>151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167</v>
      </c>
      <c r="D82" s="29"/>
      <c r="E82" s="30"/>
      <c r="F82" s="30"/>
      <c r="G82" s="31"/>
      <c r="H82" s="32" t="s">
        <v>151</v>
      </c>
      <c r="I82" s="32" t="s">
        <v>151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168</v>
      </c>
      <c r="D84" s="29"/>
      <c r="E84" s="30"/>
      <c r="F84" s="30"/>
      <c r="G84" s="31"/>
      <c r="H84" s="32" t="s">
        <v>151</v>
      </c>
      <c r="I84" s="32" t="s">
        <v>151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169</v>
      </c>
      <c r="D86" s="29"/>
      <c r="E86" s="30"/>
      <c r="F86" s="30"/>
      <c r="G86" s="31"/>
      <c r="H86" s="32" t="s">
        <v>151</v>
      </c>
      <c r="I86" s="32" t="s">
        <v>151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A88" s="26"/>
      <c r="B88" s="27"/>
      <c r="C88" s="28" t="s">
        <v>170</v>
      </c>
      <c r="D88" s="29"/>
      <c r="E88" s="30"/>
      <c r="F88" s="30"/>
      <c r="G88" s="31"/>
      <c r="H88" s="32"/>
      <c r="I88" s="32"/>
      <c r="J88" s="33"/>
    </row>
    <row r="89" spans="1:10">
      <c r="B89" s="1"/>
      <c r="C89" s="20" t="s">
        <v>171</v>
      </c>
      <c r="D89" s="29"/>
      <c r="E89" s="30"/>
      <c r="F89" s="30"/>
      <c r="G89" s="31"/>
      <c r="H89" s="32">
        <v>22.64</v>
      </c>
      <c r="I89" s="32">
        <v>0.27999999999999997</v>
      </c>
      <c r="J89" s="33"/>
    </row>
    <row r="90" spans="1:10">
      <c r="C90" s="28" t="s">
        <v>149</v>
      </c>
      <c r="D90" s="29"/>
      <c r="E90" s="30"/>
      <c r="F90" s="30"/>
      <c r="G90" s="31"/>
      <c r="H90" s="35">
        <v>22.64</v>
      </c>
      <c r="I90" s="35">
        <v>0.27999999999999997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 ht="13.5" thickBot="1">
      <c r="C92" s="36" t="s">
        <v>172</v>
      </c>
      <c r="D92" s="37"/>
      <c r="E92" s="38"/>
      <c r="F92" s="39"/>
      <c r="G92" s="40"/>
      <c r="H92" s="41">
        <v>7693.56</v>
      </c>
      <c r="I92" s="41">
        <f>SUMIFS(I:I,C:C,"Total")</f>
        <v>100</v>
      </c>
      <c r="J92" s="42"/>
    </row>
    <row r="95" spans="1:10">
      <c r="C95" s="11" t="s">
        <v>173</v>
      </c>
    </row>
    <row r="96" spans="1:10">
      <c r="C96" s="2" t="s">
        <v>174</v>
      </c>
    </row>
    <row r="97" spans="3:3">
      <c r="C97" s="2" t="s">
        <v>175</v>
      </c>
    </row>
    <row r="98" spans="3:3">
      <c r="C98" s="2" t="s">
        <v>176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/>
  </sheetViews>
  <sheetFormatPr defaultRowHeight="15"/>
  <cols>
    <col min="2" max="2" width="45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177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178</v>
      </c>
      <c r="C5" s="50" t="s">
        <v>179</v>
      </c>
      <c r="D5" s="50"/>
      <c r="E5" s="50" t="s">
        <v>180</v>
      </c>
      <c r="F5" s="50"/>
      <c r="G5" s="50" t="s">
        <v>181</v>
      </c>
      <c r="H5" s="50"/>
      <c r="I5" s="50" t="s">
        <v>182</v>
      </c>
      <c r="J5" s="50"/>
    </row>
    <row r="6" spans="2:10" ht="63.75">
      <c r="B6" s="46"/>
      <c r="C6" s="47" t="s">
        <v>183</v>
      </c>
      <c r="D6" s="47" t="s">
        <v>184</v>
      </c>
      <c r="E6" s="47" t="s">
        <v>183</v>
      </c>
      <c r="F6" s="47" t="s">
        <v>184</v>
      </c>
      <c r="G6" s="47" t="s">
        <v>183</v>
      </c>
      <c r="H6" s="47" t="s">
        <v>184</v>
      </c>
      <c r="I6" s="47" t="s">
        <v>183</v>
      </c>
      <c r="J6" s="47" t="s">
        <v>184</v>
      </c>
    </row>
    <row r="7" spans="2:10">
      <c r="B7" s="48" t="s">
        <v>185</v>
      </c>
      <c r="C7" s="49">
        <v>3.5714285714285587</v>
      </c>
      <c r="D7" s="49">
        <v>10357.142857142857</v>
      </c>
      <c r="E7" s="49">
        <v>24.636917680581604</v>
      </c>
      <c r="F7" s="49">
        <v>19338.198288877702</v>
      </c>
      <c r="G7" s="49">
        <v>10.208835384869541</v>
      </c>
      <c r="H7" s="49">
        <v>16254.230118443314</v>
      </c>
      <c r="I7" s="49">
        <v>7.3731113687623306</v>
      </c>
      <c r="J7" s="49">
        <v>76850</v>
      </c>
    </row>
    <row r="8" spans="2:10">
      <c r="B8" s="48" t="s">
        <v>186</v>
      </c>
      <c r="C8" s="49">
        <v>7.4362513569276922</v>
      </c>
      <c r="D8" s="49">
        <v>10743.62513569277</v>
      </c>
      <c r="E8" s="49">
        <v>33.546413837574242</v>
      </c>
      <c r="F8" s="49">
        <v>23817.528349249587</v>
      </c>
      <c r="G8" s="49">
        <v>12.017865101907589</v>
      </c>
      <c r="H8" s="49">
        <v>17637.476858569702</v>
      </c>
      <c r="I8" s="49">
        <v>0</v>
      </c>
      <c r="J8" s="49">
        <v>0</v>
      </c>
    </row>
    <row r="9" spans="2:10">
      <c r="B9" s="48" t="s">
        <v>187</v>
      </c>
      <c r="C9" s="49">
        <v>6.8929782767188641</v>
      </c>
      <c r="D9" s="49">
        <v>10689.297827671886</v>
      </c>
      <c r="E9" s="49">
        <v>23.783804099770322</v>
      </c>
      <c r="F9" s="49">
        <v>18966.686929372914</v>
      </c>
      <c r="G9" s="49">
        <v>12.312287809612998</v>
      </c>
      <c r="H9" s="49">
        <v>17870.48625225159</v>
      </c>
      <c r="I9" s="49">
        <v>10.687496736215119</v>
      </c>
      <c r="J9" s="49">
        <v>183652.90128148338</v>
      </c>
    </row>
    <row r="10" spans="2:10">
      <c r="B10" s="48" t="s">
        <v>188</v>
      </c>
      <c r="C10" s="51">
        <v>74.2</v>
      </c>
      <c r="D10" s="52"/>
      <c r="E10" s="51">
        <v>39.74</v>
      </c>
      <c r="F10" s="52"/>
      <c r="G10" s="51">
        <v>47.28</v>
      </c>
      <c r="H10" s="52"/>
      <c r="I10" s="51">
        <v>10</v>
      </c>
      <c r="J10" s="52"/>
    </row>
    <row r="12" spans="2:10" ht="15.75">
      <c r="B12" s="43" t="s">
        <v>189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178</v>
      </c>
      <c r="C13" s="50" t="s">
        <v>179</v>
      </c>
      <c r="D13" s="50"/>
      <c r="E13" s="50" t="s">
        <v>180</v>
      </c>
      <c r="F13" s="50"/>
      <c r="G13" s="50" t="s">
        <v>181</v>
      </c>
      <c r="H13" s="50"/>
      <c r="I13" s="50" t="s">
        <v>182</v>
      </c>
      <c r="J13" s="50"/>
    </row>
    <row r="14" spans="2:10" ht="63.75">
      <c r="B14" s="46"/>
      <c r="C14" s="47" t="s">
        <v>183</v>
      </c>
      <c r="D14" s="47" t="s">
        <v>184</v>
      </c>
      <c r="E14" s="47" t="s">
        <v>183</v>
      </c>
      <c r="F14" s="47" t="s">
        <v>184</v>
      </c>
      <c r="G14" s="47" t="s">
        <v>183</v>
      </c>
      <c r="H14" s="47" t="s">
        <v>184</v>
      </c>
      <c r="I14" s="47" t="s">
        <v>183</v>
      </c>
      <c r="J14" s="47" t="s">
        <v>184</v>
      </c>
    </row>
    <row r="15" spans="2:10">
      <c r="B15" s="48" t="s">
        <v>185</v>
      </c>
      <c r="C15" s="49">
        <v>3.914728682170554</v>
      </c>
      <c r="D15" s="49">
        <v>10391.472868217053</v>
      </c>
      <c r="E15" s="49">
        <v>25.081649247195315</v>
      </c>
      <c r="F15" s="49">
        <v>19545.565006075336</v>
      </c>
      <c r="G15" s="49">
        <v>10.661154928082507</v>
      </c>
      <c r="H15" s="49">
        <v>16590.346534653469</v>
      </c>
      <c r="I15" s="49">
        <v>15.783040736163656</v>
      </c>
      <c r="J15" s="49">
        <v>45415.019762845848</v>
      </c>
    </row>
    <row r="16" spans="2:10">
      <c r="B16" s="48" t="s">
        <v>186</v>
      </c>
      <c r="C16" s="49">
        <v>7.4362513569276922</v>
      </c>
      <c r="D16" s="49">
        <v>10743.62513569277</v>
      </c>
      <c r="E16" s="49">
        <v>33.546413837574242</v>
      </c>
      <c r="F16" s="49">
        <v>23817.528349249587</v>
      </c>
      <c r="G16" s="49">
        <v>12.017865101907589</v>
      </c>
      <c r="H16" s="49">
        <v>17637.476858569702</v>
      </c>
      <c r="I16" s="49">
        <v>16.728773615758552</v>
      </c>
      <c r="J16" s="49">
        <v>49394.781723472348</v>
      </c>
    </row>
    <row r="17" spans="2:10">
      <c r="B17" s="48" t="s">
        <v>187</v>
      </c>
      <c r="C17" s="49">
        <v>6.8929782767188641</v>
      </c>
      <c r="D17" s="49">
        <v>10689.297827671886</v>
      </c>
      <c r="E17" s="49">
        <v>23.783804099770322</v>
      </c>
      <c r="F17" s="49">
        <v>18966.686929372914</v>
      </c>
      <c r="G17" s="49">
        <v>12.312287809612998</v>
      </c>
      <c r="H17" s="49">
        <v>17870.48625225159</v>
      </c>
      <c r="I17" s="49">
        <v>12.70322181245751</v>
      </c>
      <c r="J17" s="49">
        <v>34379.216868257223</v>
      </c>
    </row>
    <row r="18" spans="2:10">
      <c r="B18" s="48" t="s">
        <v>190</v>
      </c>
      <c r="C18" s="51">
        <v>77.400000000000006</v>
      </c>
      <c r="D18" s="52"/>
      <c r="E18" s="51">
        <v>41.15</v>
      </c>
      <c r="F18" s="52"/>
      <c r="G18" s="51">
        <v>48.48</v>
      </c>
      <c r="H18" s="52"/>
      <c r="I18" s="51">
        <v>17.71</v>
      </c>
      <c r="J18" s="52"/>
    </row>
    <row r="20" spans="2:10">
      <c r="B20" t="s">
        <v>191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MADHURA SHINDE</cp:lastModifiedBy>
  <dcterms:created xsi:type="dcterms:W3CDTF">2023-05-05T11:20:25Z</dcterms:created>
  <dcterms:modified xsi:type="dcterms:W3CDTF">2023-05-10T04:20:58Z</dcterms:modified>
</cp:coreProperties>
</file>