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4BAAAE30-B638-444F-A324-9EDB3E8CE643}" xr6:coauthVersionLast="47" xr6:coauthVersionMax="47" xr10:uidLastSave="{00000000-0000-0000-0000-000000000000}"/>
  <bookViews>
    <workbookView xWindow="-120" yWindow="-120" windowWidth="20640" windowHeight="11040" xr2:uid="{FBE56694-3BB0-497C-8973-D8D5F12AC8E3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TBF!$C$8:$C$46</definedName>
    <definedName name="XDO_?CLASS_4?">TBF!$C$9</definedName>
    <definedName name="XDO_?CS_1?">TBF!$H$11</definedName>
    <definedName name="XDO_?CS_2?">TBF!$I$11</definedName>
    <definedName name="XDO_?FINAL_ISIN?">TBF!$D$10:$D$90</definedName>
    <definedName name="XDO_?FINAL_MV?">TBF!$H$10:$H$90</definedName>
    <definedName name="XDO_?FINAL_NAME?">TBF!$C$10:$C$90</definedName>
    <definedName name="XDO_?FINAL_PER_NET?">TBF!$I$10:$I$90</definedName>
    <definedName name="XDO_?FINAL_QUANTITE?">TBF!$G$10:$G$90</definedName>
    <definedName name="XDO_?IND_01?">TBF!$F$10:$F$90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TBF!$C$2:$C$46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TBF!$B$10:$B$90</definedName>
    <definedName name="XDO_?NPTF?">TBF!$D$2:$D$46</definedName>
    <definedName name="XDO_?RATING?">TBF!$E$10:$E$90</definedName>
    <definedName name="XDO_?REMARKS?">TBF!$J$10:$J$90</definedName>
    <definedName name="XDO_?TDATE?">TBF!$D$4</definedName>
    <definedName name="XDO_?TITL?">TBF!$A$8:$A$46</definedName>
    <definedName name="XDO_GROUP_?G_2?">TBF!$2:$93</definedName>
    <definedName name="XDO_GROUP_?G_3?">TBF!$8:$92</definedName>
    <definedName name="XDO_GROUP_?G_4?">TBF!$B$90:$IV$90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<sst xmlns="http://schemas.openxmlformats.org/spreadsheetml/2006/main" count="262" uniqueCount="192">
  <si>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</si>
  <si>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</si>
  <si>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</si>
  <si>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</si>
  <si>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</si>
  <si>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</si>
  <si>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</si>
  <si>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</si>
  <si>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</si>
  <si>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</si>
  <si>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</si>
  <si>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</si>
  <si>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</si>
  <si>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</si>
  <si>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</si>
  <si>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</si>
  <si>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</si>
  <si>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</si>
  <si>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</si>
  <si>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</si>
  <si>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</si>
  <si>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</si>
  <si>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</si>
  <si>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</si>
  <si>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</si>
  <si>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</si>
  <si>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</si>
  <si>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</si>
  <si>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</si>
  <si>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</si>
  <si>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</si>
  <si>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</si>
  <si>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</si>
  <si>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</si>
  <si>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</si>
  <si>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</si>
  <si>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</si>
  <si>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</si>
  <si>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</si>
  <si>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</si>
  <si>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</si>
  <si>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</si>
  <si>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</si>
  <si>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</si>
  <si>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</si>
  <si>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</si>
  <si>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</si>
  <si>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101178</t>
  </si>
  <si>
    <t>Computer Age Management Services Ltd.</t>
  </si>
  <si>
    <t>INE596I01012</t>
  </si>
  <si>
    <t>Capital Markets</t>
  </si>
  <si>
    <t>100005</t>
  </si>
  <si>
    <t>Larsen &amp; Toubro Ltd.</t>
  </si>
  <si>
    <t>INE018A01030</t>
  </si>
  <si>
    <t>Construction</t>
  </si>
  <si>
    <t>100104</t>
  </si>
  <si>
    <t>Kotak Mahindra Bank Ltd.</t>
  </si>
  <si>
    <t>INE237A01028</t>
  </si>
  <si>
    <t>100003</t>
  </si>
  <si>
    <t>Infosys Ltd.</t>
  </si>
  <si>
    <t>INE009A01021</t>
  </si>
  <si>
    <t>100181</t>
  </si>
  <si>
    <t>NTPC Ltd.</t>
  </si>
  <si>
    <t>INE733E01010</t>
  </si>
  <si>
    <t>Power</t>
  </si>
  <si>
    <t>100153</t>
  </si>
  <si>
    <t>Cipla Ltd.</t>
  </si>
  <si>
    <t>INE059A01026</t>
  </si>
  <si>
    <t>Pharmaceuticals &amp; Biotechnology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</si>
  <si>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</si>
  <si>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</si>
  <si>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</si>
  <si>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</si>
  <si>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</si>
  <si>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</si>
  <si>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</si>
  <si>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100830</t>
  </si>
  <si>
    <t>Varun Beverages Ltd.</t>
  </si>
  <si>
    <t>INE200M01021</t>
  </si>
  <si>
    <t>Beverages</t>
  </si>
  <si>
    <t>100008</t>
  </si>
  <si>
    <t>Sun Pharmaceutical Industries Ltd.</t>
  </si>
  <si>
    <t>INE044A01036</t>
  </si>
  <si>
    <t>100263</t>
  </si>
  <si>
    <t>BEML Ltd.</t>
  </si>
  <si>
    <t>INE258A01016</t>
  </si>
  <si>
    <t>Agricultural, Commercial &amp; Construction Vehicles</t>
  </si>
  <si>
    <t>100132</t>
  </si>
  <si>
    <t>Info Edge (India) Ltd.</t>
  </si>
  <si>
    <t>INE663F01024</t>
  </si>
  <si>
    <t>Retailing</t>
  </si>
  <si>
    <t>100150</t>
  </si>
  <si>
    <t>Apollo Hospitals Enterprise Ltd.</t>
  </si>
  <si>
    <t>INE437A01024</t>
  </si>
  <si>
    <t>Healthcare Services</t>
  </si>
  <si>
    <t>100080</t>
  </si>
  <si>
    <t>Dr. Reddy's Laboratories Ltd.</t>
  </si>
  <si>
    <t>INE089A01023</t>
  </si>
  <si>
    <t>100292</t>
  </si>
  <si>
    <t>Steel Authority of India Ltd.</t>
  </si>
  <si>
    <t>INE114A01011</t>
  </si>
  <si>
    <t>Ferrous Metals</t>
  </si>
  <si>
    <t>100302</t>
  </si>
  <si>
    <t>DLF Ltd.</t>
  </si>
  <si>
    <t>INE271C01023</t>
  </si>
  <si>
    <t>Realty</t>
  </si>
  <si>
    <t>101698</t>
  </si>
  <si>
    <t>Swan Energy Ltd.</t>
  </si>
  <si>
    <t>INE665A01038</t>
  </si>
  <si>
    <t>Diversified</t>
  </si>
  <si>
    <t>100119</t>
  </si>
  <si>
    <t>Tata Motors Ltd.</t>
  </si>
  <si>
    <t>INE155A01022</t>
  </si>
  <si>
    <t>100147</t>
  </si>
  <si>
    <t>Tech Mahindra Ltd.</t>
  </si>
  <si>
    <t>INE669C01036</t>
  </si>
  <si>
    <t>101434</t>
  </si>
  <si>
    <t>CMS Info Systems Ltd.</t>
  </si>
  <si>
    <t>INE925R01014</t>
  </si>
  <si>
    <t>Commercial Services &amp; Supplies</t>
  </si>
  <si>
    <t>100219</t>
  </si>
  <si>
    <t>Indraprastha Gas Ltd.</t>
  </si>
  <si>
    <t>INE203G01027</t>
  </si>
  <si>
    <t>Gas</t>
  </si>
  <si>
    <t>100184</t>
  </si>
  <si>
    <t>Tata Steel Ltd.</t>
  </si>
  <si>
    <t>INE081A01020</t>
  </si>
  <si>
    <t>100128</t>
  </si>
  <si>
    <t>Eicher Motors Ltd.</t>
  </si>
  <si>
    <t>INE066A01021</t>
  </si>
  <si>
    <t>100682</t>
  </si>
  <si>
    <t>ICICI Lombard General Insurance Company Ltd.</t>
  </si>
  <si>
    <t>INE765G01017</t>
  </si>
  <si>
    <t>Insurance</t>
  </si>
  <si>
    <t>100100</t>
  </si>
  <si>
    <t>Hindustan Petroleum Corporation Ltd.</t>
  </si>
  <si>
    <t>INE094A01015</t>
  </si>
  <si>
    <t>100081</t>
  </si>
  <si>
    <t>Titan Company Ltd.</t>
  </si>
  <si>
    <t>INE280A01028</t>
  </si>
  <si>
    <t>Consumer Durables</t>
  </si>
  <si>
    <t>101949</t>
  </si>
  <si>
    <t>Samhi Hotels Ltd.</t>
  </si>
  <si>
    <t>INE08U801020</t>
  </si>
  <si>
    <t>Leisure Services</t>
  </si>
  <si>
    <t>100111</t>
  </si>
  <si>
    <t>Oil &amp; Natural Gas Corporation Ltd.</t>
  </si>
  <si>
    <t>INE213A01029</t>
  </si>
  <si>
    <t>Oil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</si>
  <si>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</si>
  <si>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</si>
  <si>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</si>
  <si>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</si>
  <si>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</si>
  <si>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</si>
  <si>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</si>
  <si>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</si>
  <si>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</si>
  <si>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</si>
  <si>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</si>
  <si>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</si>
  <si>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</si>
  <si>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</si>
  <si>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</si>
  <si>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</si>
  <si>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</si>
  <si>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</si>
  <si>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</si>
  <si>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</si>
  <si>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</si>
  <si>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</si>
  <si>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</si>
  <si>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</si>
  <si>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</si>
  <si>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</si>
  <si>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</si>
  <si>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</si>
  <si>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</si>
  <si>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</si>
  <si>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</si>
  <si>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</si>
  <si>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</si>
  <si>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</si>
  <si>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</si>
  <si>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</si>
  <si>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</si>
  <si>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</si>
  <si>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</si>
  <si>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</si>
  <si>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May 31, 2024 : 146.28)</t>
  </si>
  <si>
    <t>Taurus Large cap Fund - Direct Plan Growth Option</t>
  </si>
  <si>
    <t>NAV [Rs.] Per Unit (as on May 31, 2024 : 154.49)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</si>
</sst>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598C505-7073-45DA-9696-91163B1B6B40}"/>
    <cellStyle name="Hyperlink" xfId="2" builtinId="8"/>
    <cellStyle name="Normal" xfId="0" builtinId="0"/>
    <cellStyle name="Normal 2" xfId="4" xr:uid="{F49DFAAB-835A-4F36-9650-D9518F2BFD8D}"/>
    <cellStyle name="Style 1" xfId="3" xr:uid="{0CD62910-DB96-40D5-9988-539A0FB8E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876692</xdr:colOff>
      <xdr:row>0</xdr:row>
      <xdr:rowOff>2053166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616004-D239-4C09-BEC1-F3C43641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628859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B520-ACF0-4126-B282-60597D4DF5BD}">
  <sheetPr codeName="Sheet1"/>
  <dimension ref="A1:BB99"/>
  <sheetViews>
    <sheetView showGridLines="0" tabSelected="1" zoomScale="90" zoomScaleNormal="90" workbookViewId="0">
      <selection activeCell="F1" sqref="F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367.39</v>
      </c>
      <c r="I10" s="32">
        <v>7.92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34404</v>
      </c>
      <c r="H11" s="32">
        <v>285.58999999999997</v>
      </c>
      <c r="I11" s="32">
        <v>6.15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57649</v>
      </c>
      <c r="H12" s="32">
        <v>283.2</v>
      </c>
      <c r="I12" s="32">
        <v>6.1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54880</v>
      </c>
      <c r="H13" s="32">
        <v>233.87</v>
      </c>
      <c r="I13" s="32">
        <v>5.04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19761</v>
      </c>
      <c r="H14" s="32">
        <v>229.57</v>
      </c>
      <c r="I14" s="32">
        <v>4.95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17307</v>
      </c>
      <c r="H15" s="32">
        <v>228.94</v>
      </c>
      <c r="I15" s="32">
        <v>4.93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19245</v>
      </c>
      <c r="H16" s="32">
        <v>215.48</v>
      </c>
      <c r="I16" s="32">
        <v>4.6399999999999997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8410</v>
      </c>
      <c r="H17" s="32">
        <v>210.79</v>
      </c>
      <c r="I17" s="32">
        <v>4.54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43</v>
      </c>
      <c r="G18" s="31">
        <v>1553</v>
      </c>
      <c r="H18" s="32">
        <v>192.53</v>
      </c>
      <c r="I18" s="32">
        <v>4.1500000000000004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3807</v>
      </c>
      <c r="H19" s="32">
        <v>132.44999999999999</v>
      </c>
      <c r="I19" s="32">
        <v>2.85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3299</v>
      </c>
      <c r="H20" s="32">
        <v>120.99</v>
      </c>
      <c r="I20" s="32">
        <v>2.61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7067</v>
      </c>
      <c r="H21" s="32">
        <v>118.7</v>
      </c>
      <c r="I21" s="32">
        <v>2.56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36</v>
      </c>
      <c r="G22" s="31">
        <v>8147</v>
      </c>
      <c r="H22" s="32">
        <v>114.57</v>
      </c>
      <c r="I22" s="32">
        <v>2.4700000000000002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31179</v>
      </c>
      <c r="H23" s="32">
        <v>111.9</v>
      </c>
      <c r="I23" s="32">
        <v>2.41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7725</v>
      </c>
      <c r="H24" s="32">
        <v>111.87</v>
      </c>
      <c r="I24" s="32">
        <v>2.41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3795</v>
      </c>
      <c r="H25" s="32">
        <v>108.52</v>
      </c>
      <c r="I25" s="32">
        <v>2.34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64</v>
      </c>
      <c r="G26" s="31">
        <v>33010</v>
      </c>
      <c r="H26" s="32">
        <v>102.3</v>
      </c>
      <c r="I26" s="32">
        <v>2.2000000000000002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7139</v>
      </c>
      <c r="H27" s="32">
        <v>101.77</v>
      </c>
      <c r="I27" s="32">
        <v>2.19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68</v>
      </c>
      <c r="G28" s="31">
        <v>6749</v>
      </c>
      <c r="H28" s="32">
        <v>98.55</v>
      </c>
      <c r="I28" s="32">
        <v>2.12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2206</v>
      </c>
      <c r="H29" s="32">
        <v>96.89</v>
      </c>
      <c r="I29" s="32">
        <v>2.09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1626</v>
      </c>
      <c r="H30" s="32">
        <v>92.54</v>
      </c>
      <c r="I30" s="32">
        <v>1.99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1517</v>
      </c>
      <c r="H31" s="32">
        <v>88.59</v>
      </c>
      <c r="I31" s="32">
        <v>1.91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68</v>
      </c>
      <c r="G32" s="31">
        <v>1505</v>
      </c>
      <c r="H32" s="32">
        <v>87.1</v>
      </c>
      <c r="I32" s="32">
        <v>1.88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53727</v>
      </c>
      <c r="H33" s="32">
        <v>85.1</v>
      </c>
      <c r="I33" s="32">
        <v>1.83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10345</v>
      </c>
      <c r="H34" s="32">
        <v>84.48</v>
      </c>
      <c r="I34" s="32">
        <v>1.82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14538</v>
      </c>
      <c r="H35" s="32">
        <v>83.56</v>
      </c>
      <c r="I35" s="32">
        <v>1.8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43</v>
      </c>
      <c r="G36" s="31">
        <v>8674</v>
      </c>
      <c r="H36" s="32">
        <v>80.05</v>
      </c>
      <c r="I36" s="32">
        <v>1.73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36</v>
      </c>
      <c r="G37" s="31">
        <v>5523</v>
      </c>
      <c r="H37" s="32">
        <v>67.87</v>
      </c>
      <c r="I37" s="32">
        <v>1.46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14716</v>
      </c>
      <c r="H38" s="32">
        <v>65.33</v>
      </c>
      <c r="I38" s="32">
        <v>1.41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12518</v>
      </c>
      <c r="H39" s="32">
        <v>55.5</v>
      </c>
      <c r="I39" s="32">
        <v>1.2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101</v>
      </c>
      <c r="G40" s="31">
        <v>32171</v>
      </c>
      <c r="H40" s="32">
        <v>53.77</v>
      </c>
      <c r="I40" s="32">
        <v>1.1599999999999999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43</v>
      </c>
      <c r="G41" s="31">
        <v>1012</v>
      </c>
      <c r="H41" s="32">
        <v>47.84</v>
      </c>
      <c r="I41" s="32">
        <v>1.03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2945</v>
      </c>
      <c r="H42" s="32">
        <v>46.51</v>
      </c>
      <c r="I42" s="32">
        <v>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72</v>
      </c>
      <c r="G43" s="31">
        <v>8566</v>
      </c>
      <c r="H43" s="32">
        <v>46</v>
      </c>
      <c r="I43" s="32">
        <v>0.99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1393</v>
      </c>
      <c r="H44" s="32">
        <v>45.17</v>
      </c>
      <c r="I44" s="32">
        <v>0.97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23360</v>
      </c>
      <c r="H45" s="32">
        <v>42.95</v>
      </c>
      <c r="I45" s="32">
        <v>0.93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7750</v>
      </c>
      <c r="H46" s="32">
        <v>20.5</v>
      </c>
      <c r="I46" s="32">
        <v>0.44</v>
      </c>
      <c r="J46" s="33"/>
    </row>
    <row r="47" spans="2:10" x14ac:dyDescent="0.25">
      <c r="C47" s="28" t="s">
        <v>149</v>
      </c>
      <c r="D47" s="29"/>
      <c r="E47" s="30"/>
      <c r="F47" s="30"/>
      <c r="G47" s="31"/>
      <c r="H47" s="35">
        <v>4558.7299999999996</v>
      </c>
      <c r="I47" s="35">
        <v>98.22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150</v>
      </c>
      <c r="D49" s="29"/>
      <c r="E49" s="30"/>
      <c r="F49" s="30"/>
      <c r="G49" s="31"/>
      <c r="H49" s="32" t="s">
        <v>151</v>
      </c>
      <c r="I49" s="32" t="s">
        <v>151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152</v>
      </c>
      <c r="D51" s="29"/>
      <c r="E51" s="30"/>
      <c r="F51" s="30"/>
      <c r="G51" s="31"/>
      <c r="H51" s="32" t="s">
        <v>151</v>
      </c>
      <c r="I51" s="32" t="s">
        <v>151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153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154</v>
      </c>
      <c r="D55" s="29"/>
      <c r="E55" s="30"/>
      <c r="F55" s="30"/>
      <c r="G55" s="31"/>
      <c r="H55" s="32" t="s">
        <v>151</v>
      </c>
      <c r="I55" s="32" t="s">
        <v>151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155</v>
      </c>
      <c r="D57" s="29"/>
      <c r="E57" s="30"/>
      <c r="F57" s="30"/>
      <c r="G57" s="31"/>
      <c r="H57" s="32" t="s">
        <v>151</v>
      </c>
      <c r="I57" s="32" t="s">
        <v>151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156</v>
      </c>
      <c r="D59" s="29"/>
      <c r="E59" s="30"/>
      <c r="F59" s="30"/>
      <c r="G59" s="31"/>
      <c r="H59" s="32" t="s">
        <v>151</v>
      </c>
      <c r="I59" s="32" t="s">
        <v>151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157</v>
      </c>
      <c r="D61" s="29"/>
      <c r="E61" s="30"/>
      <c r="F61" s="30"/>
      <c r="G61" s="31"/>
      <c r="H61" s="32" t="s">
        <v>151</v>
      </c>
      <c r="I61" s="32" t="s">
        <v>151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158</v>
      </c>
      <c r="D63" s="29"/>
      <c r="E63" s="30"/>
      <c r="F63" s="30"/>
      <c r="G63" s="31"/>
      <c r="H63" s="32" t="s">
        <v>151</v>
      </c>
      <c r="I63" s="32" t="s">
        <v>151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159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160</v>
      </c>
      <c r="D67" s="29"/>
      <c r="E67" s="30"/>
      <c r="F67" s="30"/>
      <c r="G67" s="31"/>
      <c r="H67" s="32" t="s">
        <v>151</v>
      </c>
      <c r="I67" s="32" t="s">
        <v>151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161</v>
      </c>
      <c r="D69" s="29"/>
      <c r="E69" s="30"/>
      <c r="F69" s="30"/>
      <c r="G69" s="31"/>
      <c r="H69" s="32" t="s">
        <v>151</v>
      </c>
      <c r="I69" s="32" t="s">
        <v>151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162</v>
      </c>
      <c r="D71" s="29"/>
      <c r="E71" s="30"/>
      <c r="F71" s="30"/>
      <c r="G71" s="31"/>
      <c r="H71" s="32" t="s">
        <v>151</v>
      </c>
      <c r="I71" s="32" t="s">
        <v>151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163</v>
      </c>
      <c r="D73" s="29"/>
      <c r="E73" s="30"/>
      <c r="F73" s="30"/>
      <c r="G73" s="31"/>
      <c r="H73" s="32" t="s">
        <v>151</v>
      </c>
      <c r="I73" s="32" t="s">
        <v>151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164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165</v>
      </c>
      <c r="D77" s="29"/>
      <c r="E77" s="30"/>
      <c r="F77" s="30"/>
      <c r="G77" s="31"/>
      <c r="H77" s="32" t="s">
        <v>151</v>
      </c>
      <c r="I77" s="32" t="s">
        <v>151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166</v>
      </c>
      <c r="D79" s="29"/>
      <c r="E79" s="30"/>
      <c r="F79" s="30"/>
      <c r="G79" s="31"/>
      <c r="H79" s="32" t="s">
        <v>151</v>
      </c>
      <c r="I79" s="32" t="s">
        <v>151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167</v>
      </c>
      <c r="D81" s="29"/>
      <c r="E81" s="30"/>
      <c r="F81" s="30"/>
      <c r="G81" s="31"/>
      <c r="H81" s="32" t="s">
        <v>151</v>
      </c>
      <c r="I81" s="32" t="s">
        <v>151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168</v>
      </c>
      <c r="D83" s="29"/>
      <c r="E83" s="30"/>
      <c r="F83" s="30"/>
      <c r="G83" s="31"/>
      <c r="H83" s="32" t="s">
        <v>151</v>
      </c>
      <c r="I83" s="32" t="s">
        <v>151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169</v>
      </c>
      <c r="D85" s="29"/>
      <c r="E85" s="30"/>
      <c r="F85" s="30"/>
      <c r="G85" s="31"/>
      <c r="H85" s="32" t="s">
        <v>151</v>
      </c>
      <c r="I85" s="32" t="s">
        <v>151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170</v>
      </c>
      <c r="D87" s="29"/>
      <c r="E87" s="30"/>
      <c r="F87" s="30"/>
      <c r="G87" s="31"/>
      <c r="H87" s="32" t="s">
        <v>151</v>
      </c>
      <c r="I87" s="32" t="s">
        <v>151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171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172</v>
      </c>
      <c r="D90" s="29"/>
      <c r="E90" s="30"/>
      <c r="F90" s="30"/>
      <c r="G90" s="31"/>
      <c r="H90" s="32">
        <v>81.39</v>
      </c>
      <c r="I90" s="32">
        <v>1.78</v>
      </c>
      <c r="J90" s="33"/>
    </row>
    <row r="91" spans="1:10" x14ac:dyDescent="0.25">
      <c r="C91" s="28" t="s">
        <v>149</v>
      </c>
      <c r="D91" s="29"/>
      <c r="E91" s="30"/>
      <c r="F91" s="30"/>
      <c r="G91" s="31"/>
      <c r="H91" s="35">
        <v>81.39</v>
      </c>
      <c r="I91" s="35">
        <v>1.78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173</v>
      </c>
      <c r="D93" s="37"/>
      <c r="E93" s="38"/>
      <c r="F93" s="39"/>
      <c r="G93" s="40"/>
      <c r="H93" s="41">
        <v>4640.12</v>
      </c>
      <c r="I93" s="41">
        <f>SUMIFS(I:I,C:C,"Total")</f>
        <v>100</v>
      </c>
      <c r="J93" s="42"/>
    </row>
    <row r="96" spans="1:10" x14ac:dyDescent="0.25">
      <c r="C96" s="11" t="s">
        <v>174</v>
      </c>
    </row>
    <row r="97" spans="3:3" x14ac:dyDescent="0.25">
      <c r="C97" s="2" t="s">
        <v>175</v>
      </c>
    </row>
    <row r="98" spans="3:3" x14ac:dyDescent="0.25">
      <c r="C98" s="2" t="s">
        <v>176</v>
      </c>
    </row>
    <row r="99" spans="3:3" x14ac:dyDescent="0.25">
      <c r="C99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4930-3607-4500-B7F7-EDC620C7AD6E}">
  <dimension ref="B4:J18"/>
  <sheetViews>
    <sheetView workbookViewId="0">
      <selection activeCell="B17" sqref="B17"/>
    </sheetView>
  </sheetViews>
  <sheetFormatPr defaultRowHeight="15" x14ac:dyDescent="0.25"/>
  <cols>
    <col min="2" max="2" width="60.710937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ht="15.75" x14ac:dyDescent="0.25">
      <c r="B4" s="43" t="s">
        <v>178</v>
      </c>
      <c r="C4" s="44"/>
      <c r="D4" s="45"/>
      <c r="E4" s="45"/>
      <c r="F4" s="45"/>
      <c r="G4" s="45"/>
      <c r="H4" s="45"/>
      <c r="I4" s="44"/>
      <c r="J4" s="45"/>
    </row>
    <row r="5" spans="2:10" x14ac:dyDescent="0.25">
      <c r="B5" s="46" t="s">
        <v>179</v>
      </c>
      <c r="C5" s="54" t="s">
        <v>180</v>
      </c>
      <c r="D5" s="54"/>
      <c r="E5" s="54" t="s">
        <v>181</v>
      </c>
      <c r="F5" s="54"/>
      <c r="G5" s="54" t="s">
        <v>182</v>
      </c>
      <c r="H5" s="54"/>
      <c r="I5" s="54" t="s">
        <v>183</v>
      </c>
      <c r="J5" s="54"/>
    </row>
    <row r="6" spans="2:10" ht="63.75" x14ac:dyDescent="0.25">
      <c r="B6" s="47"/>
      <c r="C6" s="48" t="s">
        <v>184</v>
      </c>
      <c r="D6" s="49" t="s">
        <v>185</v>
      </c>
      <c r="E6" s="49" t="s">
        <v>184</v>
      </c>
      <c r="F6" s="49" t="s">
        <v>185</v>
      </c>
      <c r="G6" s="49" t="s">
        <v>184</v>
      </c>
      <c r="H6" s="49" t="s">
        <v>185</v>
      </c>
      <c r="I6" s="48" t="s">
        <v>184</v>
      </c>
      <c r="J6" s="49" t="s">
        <v>185</v>
      </c>
    </row>
    <row r="7" spans="2:10" x14ac:dyDescent="0.25">
      <c r="B7" s="50" t="s">
        <v>186</v>
      </c>
      <c r="C7" s="51">
        <v>35.207366104607402</v>
      </c>
      <c r="D7" s="52">
        <v>13531.914893617022</v>
      </c>
      <c r="E7" s="52">
        <v>15.715740683884905</v>
      </c>
      <c r="F7" s="52">
        <v>15500.688778213414</v>
      </c>
      <c r="G7" s="52">
        <v>14.065728526741683</v>
      </c>
      <c r="H7" s="52">
        <v>19323.645970937912</v>
      </c>
      <c r="I7" s="51">
        <v>10.995641201212569</v>
      </c>
      <c r="J7" s="52">
        <v>146280</v>
      </c>
    </row>
    <row r="8" spans="2:10" x14ac:dyDescent="0.25">
      <c r="B8" s="50" t="s">
        <v>187</v>
      </c>
      <c r="C8" s="51">
        <v>27.273114639371098</v>
      </c>
      <c r="D8" s="52">
        <v>12727.311463937111</v>
      </c>
      <c r="E8" s="52">
        <v>16.090194209118948</v>
      </c>
      <c r="F8" s="52">
        <v>15645.397915458279</v>
      </c>
      <c r="G8" s="52">
        <v>16.093758678203063</v>
      </c>
      <c r="H8" s="52">
        <v>21088.435477022169</v>
      </c>
      <c r="I8" s="51">
        <v>12.494063320938785</v>
      </c>
      <c r="J8" s="52">
        <v>313882.15392859408</v>
      </c>
    </row>
    <row r="9" spans="2:10" x14ac:dyDescent="0.25">
      <c r="B9" s="50" t="s">
        <v>188</v>
      </c>
      <c r="C9" s="51">
        <v>22.949784121344742</v>
      </c>
      <c r="D9" s="52">
        <v>12294.978412134475</v>
      </c>
      <c r="E9" s="52">
        <v>14.435004186317201</v>
      </c>
      <c r="F9" s="52">
        <v>14985.687417269894</v>
      </c>
      <c r="G9" s="52">
        <v>14.934598718479863</v>
      </c>
      <c r="H9" s="52">
        <v>20056.443265752692</v>
      </c>
      <c r="I9" s="51">
        <v>12.446235859248844</v>
      </c>
      <c r="J9" s="52">
        <v>309998.96992436319</v>
      </c>
    </row>
    <row r="10" spans="2:10" x14ac:dyDescent="0.25">
      <c r="B10" s="50" t="s">
        <v>189</v>
      </c>
      <c r="C10" s="55">
        <v>108.1</v>
      </c>
      <c r="D10" s="56"/>
      <c r="E10" s="55">
        <v>94.37</v>
      </c>
      <c r="F10" s="56"/>
      <c r="G10" s="55">
        <v>75.7</v>
      </c>
      <c r="H10" s="56"/>
      <c r="I10" s="55">
        <v>10</v>
      </c>
      <c r="J10" s="56"/>
    </row>
    <row r="11" spans="2:10" x14ac:dyDescent="0.25">
      <c r="C11" s="53"/>
      <c r="I11" s="53"/>
    </row>
    <row r="12" spans="2:10" ht="15.75" x14ac:dyDescent="0.25">
      <c r="B12" s="43" t="s">
        <v>190</v>
      </c>
      <c r="C12" s="44"/>
      <c r="D12" s="45"/>
      <c r="E12" s="45"/>
      <c r="F12" s="45"/>
      <c r="G12" s="45"/>
      <c r="H12" s="45"/>
      <c r="I12" s="44"/>
      <c r="J12" s="45"/>
    </row>
    <row r="13" spans="2:10" x14ac:dyDescent="0.25">
      <c r="B13" s="46" t="s">
        <v>179</v>
      </c>
      <c r="C13" s="54" t="s">
        <v>180</v>
      </c>
      <c r="D13" s="54"/>
      <c r="E13" s="54" t="s">
        <v>181</v>
      </c>
      <c r="F13" s="54"/>
      <c r="G13" s="54" t="s">
        <v>182</v>
      </c>
      <c r="H13" s="54"/>
      <c r="I13" s="54" t="s">
        <v>183</v>
      </c>
      <c r="J13" s="54"/>
    </row>
    <row r="14" spans="2:10" ht="63.75" x14ac:dyDescent="0.25">
      <c r="B14" s="47"/>
      <c r="C14" s="48" t="s">
        <v>184</v>
      </c>
      <c r="D14" s="49" t="s">
        <v>185</v>
      </c>
      <c r="E14" s="49" t="s">
        <v>184</v>
      </c>
      <c r="F14" s="49" t="s">
        <v>185</v>
      </c>
      <c r="G14" s="49" t="s">
        <v>184</v>
      </c>
      <c r="H14" s="49" t="s">
        <v>185</v>
      </c>
      <c r="I14" s="48" t="s">
        <v>184</v>
      </c>
      <c r="J14" s="49" t="s">
        <v>185</v>
      </c>
    </row>
    <row r="15" spans="2:10" x14ac:dyDescent="0.25">
      <c r="B15" s="50" t="s">
        <v>186</v>
      </c>
      <c r="C15" s="51">
        <v>35.322189655547412</v>
      </c>
      <c r="D15" s="52">
        <v>13543.438239677393</v>
      </c>
      <c r="E15" s="52">
        <v>15.815103617946447</v>
      </c>
      <c r="F15" s="52">
        <v>15540.690071421388</v>
      </c>
      <c r="G15" s="52">
        <v>14.208404269126373</v>
      </c>
      <c r="H15" s="52">
        <v>19444.933920704847</v>
      </c>
      <c r="I15" s="51">
        <v>11.51427228177142</v>
      </c>
      <c r="J15" s="52">
        <v>34701.257861635218</v>
      </c>
    </row>
    <row r="16" spans="2:10" x14ac:dyDescent="0.25">
      <c r="B16" s="50" t="s">
        <v>187</v>
      </c>
      <c r="C16" s="51">
        <v>27.273114639371098</v>
      </c>
      <c r="D16" s="52">
        <v>12727.311463937111</v>
      </c>
      <c r="E16" s="52">
        <v>16.090194209118948</v>
      </c>
      <c r="F16" s="52">
        <v>15645.397915458279</v>
      </c>
      <c r="G16" s="52">
        <v>16.093758678203063</v>
      </c>
      <c r="H16" s="52">
        <v>21088.435477022169</v>
      </c>
      <c r="I16" s="51">
        <v>14.242947843575671</v>
      </c>
      <c r="J16" s="52">
        <v>45730.483111197362</v>
      </c>
    </row>
    <row r="17" spans="2:10" x14ac:dyDescent="0.25">
      <c r="B17" s="50" t="s">
        <v>188</v>
      </c>
      <c r="C17" s="51">
        <v>22.949784121344742</v>
      </c>
      <c r="D17" s="52">
        <v>12294.978412134475</v>
      </c>
      <c r="E17" s="52">
        <v>14.435004186317201</v>
      </c>
      <c r="F17" s="52">
        <v>14985.687417269894</v>
      </c>
      <c r="G17" s="52">
        <v>14.934598718479863</v>
      </c>
      <c r="H17" s="52">
        <v>20056.443265752692</v>
      </c>
      <c r="I17" s="51">
        <v>13.674352372784316</v>
      </c>
      <c r="J17" s="52">
        <v>43198.371004080254</v>
      </c>
    </row>
    <row r="18" spans="2:10" x14ac:dyDescent="0.25">
      <c r="B18" s="50" t="s">
        <v>191</v>
      </c>
      <c r="C18" s="55">
        <v>114.07</v>
      </c>
      <c r="D18" s="56"/>
      <c r="E18" s="55">
        <v>99.41</v>
      </c>
      <c r="F18" s="56"/>
      <c r="G18" s="55">
        <v>79.45</v>
      </c>
      <c r="H18" s="56"/>
      <c r="I18" s="55">
        <v>44.52</v>
      </c>
      <c r="J18" s="56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2024-06-01T09:56:34Z</dcterms:created>
  <dcterms:modified xsi:type="dcterms:W3CDTF">2024-06-07T12:23:01Z</dcterms:modified>
</cp:coreProperties>
</file>