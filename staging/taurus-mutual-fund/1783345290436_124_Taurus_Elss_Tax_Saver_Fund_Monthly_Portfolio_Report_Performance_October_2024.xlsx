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8. Nov 2024\Monthly Portfolio Oct 2024\Ops\"/>
    </mc:Choice>
  </mc:AlternateContent>
  <xr:revisionPtr revIDLastSave="0" documentId="13_ncr:1_{AB729A77-B8FA-469D-A9F9-C6B84DAAEA48}" xr6:coauthVersionLast="47" xr6:coauthVersionMax="47" xr10:uidLastSave="{00000000-0000-0000-0000-000000000000}"/>
  <bookViews>
    <workbookView xWindow="-120" yWindow="-120" windowWidth="20730" windowHeight="11040" xr2:uid="{BBE06956-0ABE-4098-A25C-D7273C5CD505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TTS!$C$8:$C$40</definedName>
    <definedName name="XDO_?FINAL_ISIN?16?">TTS!$D$10:$D$40</definedName>
    <definedName name="XDO_?FINAL_ISIN?17?">TTS!$D$10:$D$81</definedName>
    <definedName name="XDO_?FINAL_ISIN?18?">TTS!$D$10:$D$85</definedName>
    <definedName name="XDO_?FINAL_MV?16?">TTS!$H$10:$H$40</definedName>
    <definedName name="XDO_?FINAL_MV?17?">TTS!$H$10:$H$81</definedName>
    <definedName name="XDO_?FINAL_MV?18?">TTS!$H$10:$H$85</definedName>
    <definedName name="XDO_?FINAL_NAME?16?">TTS!$C$10:$C$40</definedName>
    <definedName name="XDO_?FINAL_NAME?17?">TTS!$C$10:$C$81</definedName>
    <definedName name="XDO_?FINAL_NAME?18?">TTS!$C$10:$C$85</definedName>
    <definedName name="XDO_?FINAL_PER_NET?16?">TTS!$I$10:$I$40</definedName>
    <definedName name="XDO_?FINAL_PER_NET?17?">TTS!$I$10:$I$81</definedName>
    <definedName name="XDO_?FINAL_PER_NET?18?">TTS!$I$10:$I$85</definedName>
    <definedName name="XDO_?FINAL_QUANTITE?16?">TTS!$G$10:$G$40</definedName>
    <definedName name="XDO_?FINAL_QUANTITE?17?">TTS!$G$10:$G$81</definedName>
    <definedName name="XDO_?FINAL_QUANTITE?18?">TTS!$G$10:$G$85</definedName>
    <definedName name="XDO_?IND_01?16?">TTS!$F$10:$F$40</definedName>
    <definedName name="XDO_?IND_01?17?">TTS!$F$10:$F$81</definedName>
    <definedName name="XDO_?IND_01?18?">TTS!$F$10:$F$85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6?">TTS!$B$10:$B$40</definedName>
    <definedName name="XDO_?NOVAL?17?">TTS!$B$10:$B$81</definedName>
    <definedName name="XDO_?NOVAL?18?">TTS!$B$10:$B$85</definedName>
    <definedName name="XDO_?NPTF?7?">TTS!$D$2:$D$40</definedName>
    <definedName name="XDO_?RATING?16?">TTS!$E$10:$E$40</definedName>
    <definedName name="XDO_?RATING?17?">TTS!$E$10:$E$81</definedName>
    <definedName name="XDO_?RATING?18?">TTS!$E$10:$E$85</definedName>
    <definedName name="XDO_?REMARKS?16?">TTS!$J$10:$J$40</definedName>
    <definedName name="XDO_?REMARKS?17?">TTS!$J$10:$J$81</definedName>
    <definedName name="XDO_?REMARKS?18?">TTS!$J$10:$J$85</definedName>
    <definedName name="XDO_?TITL?7?">TTS!$A$8:$A$40</definedName>
    <definedName name="XDO_GROUP_?G_2?7?">TTS!$2:$88</definedName>
    <definedName name="XDO_GROUP_?G_3?7?">TTS!$8:$87</definedName>
    <definedName name="XDO_GROUP_?G_4?16?">TTS!$B$10:$IV$40</definedName>
    <definedName name="XDO_GROUP_?G_4?17?">TTS!$B$81:$IV$81</definedName>
    <definedName name="XDO_GROUP_?G_4?18?">TTS!$B$85:$IV$85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<sst xmlns="http://schemas.openxmlformats.org/spreadsheetml/2006/main" count="263" uniqueCount="196">
  <si>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</si>
  <si>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</si>
  <si>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</si>
  <si>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</si>
  <si>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</si>
  <si>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</si>
  <si>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</si>
  <si>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</si>
  <si>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</si>
  <si>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</si>
  <si>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</si>
  <si>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</si>
  <si>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</si>
  <si>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</si>
  <si>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</si>
  <si>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</si>
  <si>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</si>
  <si>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</si>
  <si>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</si>
  <si>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</si>
  <si>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</si>
  <si>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</si>
  <si>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</si>
  <si>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</si>
  <si>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</si>
  <si>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</si>
  <si>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</si>
  <si>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</si>
  <si>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</si>
  <si>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</si>
  <si>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</si>
  <si>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</si>
  <si>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</si>
  <si>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</si>
  <si>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</si>
  <si>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</si>
  <si>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</si>
  <si>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100147</t>
  </si>
  <si>
    <t>Tech Mahindra Ltd.</t>
  </si>
  <si>
    <t>INE669C01036</t>
  </si>
  <si>
    <t>100097</t>
  </si>
  <si>
    <t>Coal India Ltd.</t>
  </si>
  <si>
    <t>INE522F01014</t>
  </si>
  <si>
    <t>Consumable Fuels</t>
  </si>
  <si>
    <t>100024</t>
  </si>
  <si>
    <t>Axis Bank Ltd.</t>
  </si>
  <si>
    <t>INE238A01034</t>
  </si>
  <si>
    <t>101698</t>
  </si>
  <si>
    <t>Swan Energy Ltd.</t>
  </si>
  <si>
    <t>INE665A01038</t>
  </si>
  <si>
    <t>Diversified</t>
  </si>
  <si>
    <t>100474</t>
  </si>
  <si>
    <t>Narayana Hrudayalaya Ltd.</t>
  </si>
  <si>
    <t>INE410P01011</t>
  </si>
  <si>
    <t>Healthcare Services</t>
  </si>
  <si>
    <t>100153</t>
  </si>
  <si>
    <t>Cipla Ltd.</t>
  </si>
  <si>
    <t>INE059A01026</t>
  </si>
  <si>
    <t>Pharmaceuticals &amp; Biotechnology</t>
  </si>
  <si>
    <t>100035</t>
  </si>
  <si>
    <t>NMDC Ltd.</t>
  </si>
  <si>
    <t>INE584A01023</t>
  </si>
  <si>
    <t>Minerals &amp; Mining</t>
  </si>
  <si>
    <t>101178</t>
  </si>
  <si>
    <t>Computer Age Management Services Ltd.</t>
  </si>
  <si>
    <t>INE596I01012</t>
  </si>
  <si>
    <t>Capital Markets</t>
  </si>
  <si>
    <t>100083</t>
  </si>
  <si>
    <t>Samvardhana Motherson International Ltd.</t>
  </si>
  <si>
    <t>INE775A01035</t>
  </si>
  <si>
    <t>Auto Components</t>
  </si>
  <si>
    <t>100292</t>
  </si>
  <si>
    <t>Steel Authority of India Ltd.</t>
  </si>
  <si>
    <t>INE114A01011</t>
  </si>
  <si>
    <t>Ferrous Metals</t>
  </si>
  <si>
    <t>101181</t>
  </si>
  <si>
    <t>UTI Asset Management Co. Ltd.</t>
  </si>
  <si>
    <t>INE094J01016</t>
  </si>
  <si>
    <t>100155</t>
  </si>
  <si>
    <t>Divi's Laboratories Ltd.</t>
  </si>
  <si>
    <t>INE361B01024</t>
  </si>
  <si>
    <t>100172</t>
  </si>
  <si>
    <t>ACC Ltd.</t>
  </si>
  <si>
    <t>INE012A01025</t>
  </si>
  <si>
    <t>Cement &amp; Cement Products</t>
  </si>
  <si>
    <t>100342</t>
  </si>
  <si>
    <t>Vardhman Textiles Ltd.</t>
  </si>
  <si>
    <t>INE825A01020</t>
  </si>
  <si>
    <t>Textiles &amp; Apparels</t>
  </si>
  <si>
    <t>100080</t>
  </si>
  <si>
    <t>Dr. Reddy's Laboratories Ltd.</t>
  </si>
  <si>
    <t>INE089A01031</t>
  </si>
  <si>
    <t>100219</t>
  </si>
  <si>
    <t>Indraprastha Gas Ltd.</t>
  </si>
  <si>
    <t>INE203G01027</t>
  </si>
  <si>
    <t>Gas</t>
  </si>
  <si>
    <t>100045</t>
  </si>
  <si>
    <t>Gujarat Pipavav Port Ltd.</t>
  </si>
  <si>
    <t>INE517F01014</t>
  </si>
  <si>
    <t>Transport Infrastructure</t>
  </si>
  <si>
    <t>102206</t>
  </si>
  <si>
    <t>Chemtech Industrial Valves Ltd.</t>
  </si>
  <si>
    <t>INE212P01011</t>
  </si>
  <si>
    <t>Industrial Manufacturing</t>
  </si>
  <si>
    <t>100399</t>
  </si>
  <si>
    <t>Cholamandalam Investment &amp; Finance Co. Ltd.</t>
  </si>
  <si>
    <t>INE121A01024</t>
  </si>
  <si>
    <t>100089</t>
  </si>
  <si>
    <t>Bharat Electronics Ltd.</t>
  </si>
  <si>
    <t>INE263A01024</t>
  </si>
  <si>
    <t>Aerospace &amp; Defense</t>
  </si>
  <si>
    <t>100056</t>
  </si>
  <si>
    <t>Supreme Industries Ltd.</t>
  </si>
  <si>
    <t>INE195A01028</t>
  </si>
  <si>
    <t>Industrial Products</t>
  </si>
  <si>
    <t>101949</t>
  </si>
  <si>
    <t>Samhi Hotels Ltd.</t>
  </si>
  <si>
    <t>INE08U801020</t>
  </si>
  <si>
    <t>Leisure Services</t>
  </si>
  <si>
    <t>100078</t>
  </si>
  <si>
    <t>Sanghi Industries Ltd.</t>
  </si>
  <si>
    <t>INE999B01013</t>
  </si>
  <si>
    <t>101214</t>
  </si>
  <si>
    <t>Antony Waste Handling Cell Ltd.</t>
  </si>
  <si>
    <t>INE01BK01022</t>
  </si>
  <si>
    <t>Other Utilities</t>
  </si>
  <si>
    <t>102182</t>
  </si>
  <si>
    <t>Advani Hotels &amp; Resorts (India) Ltd.</t>
  </si>
  <si>
    <t>INE199C01026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</si>
  <si>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</si>
  <si>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</si>
  <si>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</si>
  <si>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</si>
  <si>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</si>
  <si>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</si>
  <si>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</si>
  <si>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</si>
  <si>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</si>
  <si>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</si>
  <si>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</si>
  <si>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</si>
  <si>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</si>
  <si>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</si>
  <si>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</si>
  <si>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</si>
  <si>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</si>
  <si>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</si>
  <si>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</si>
  <si>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</si>
  <si>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</si>
  <si>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</si>
  <si>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411240100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</si>
  <si>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</si>
  <si>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</si>
  <si>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</si>
  <si>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</si>
  <si>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</si>
  <si>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</si>
  <si>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</si>
  <si>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</si>
  <si>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</si>
  <si>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</si>
  <si>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</si>
  <si>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</si>
  <si>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</si>
  <si>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</si>
  <si>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September 30, 2024</t>
  </si>
  <si>
    <t>October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</si>
  <si>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</si>
  <si>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</si>
  <si>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</si>
  <si>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</si>
  <si>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October 31, 2024.</t>
  </si>
  <si>
    <t>(7) The Scheme did not declare any bonus during the month ended As on  October 31, 2024.</t>
  </si>
  <si>
    <t>(8) Total outstanding exposure in derivative instruments as on As on  October 31, 2024 is Nil</t>
  </si>
  <si>
    <t>(9) Total investments in Foreign Securities /ADRs/GDRs /Overseas ETFs as at As on  October 31, 2024 and its percentage to NAV is Nil.</t>
  </si>
  <si>
    <t>(10) During the period, the portfolio turnover ratio is 0.57 times.</t>
  </si>
  <si>
    <t>      Portfolio Turnover Ratio = Lower of sales or purchase of securities divided by average AUM for 12 months ended As on  October 31, 2024</t>
  </si>
  <si>
    <t>(11) The Scheme did not invest in repo transactions of corporate debt securities during the month ended As on  October 31, 2024.</t>
  </si>
  <si>
    <t>(12) The Scheme did not invest in credit default swaps during the month ended As on  October 31, 2024.</t>
  </si>
  <si>
    <t>(13) There are Nil instances of deviation from the valuation principles/guidelines during the month ended as on October 31st, 2024.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</si>
  <si>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</si>
  <si>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</si>
  <si>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</si>
  <si>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</si>
  <si>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</si>
  <si>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</si>
  <si>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</si>
  <si>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</si>
  <si>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</si>
  <si>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</si>
  <si>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-</t>
  </si>
  <si>
    <t>Nifty 50 TRI (Additional Benchmark)</t>
  </si>
  <si>
    <t>NAV [Rs.] Per Unit (as on October 31,2024 :181.66)</t>
  </si>
  <si>
    <t>Taurus Elss Tax Saver Fund - Direct Plan Growth Option</t>
  </si>
  <si>
    <t>NAV [Rs.] Per Unit (as on October 31,2024 :197.15)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</si>
</sst>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2FAD16F2-5AE1-4D20-A278-E28CEE945E8C}"/>
    <cellStyle name="Hyperlink" xfId="2" builtinId="8"/>
    <cellStyle name="Normal" xfId="0" builtinId="0"/>
    <cellStyle name="Normal 2" xfId="4" xr:uid="{D0A5E05F-3DE1-41CD-984A-D39B54BC786A}"/>
    <cellStyle name="Style 1" xfId="3" xr:uid="{45C03112-6096-4181-A74B-3C39093A78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588388</xdr:colOff>
      <xdr:row>0</xdr:row>
      <xdr:rowOff>1997583</xdr:rowOff>
    </xdr:to>
    <xdr:pic>
      <xdr:nvPicPr>
        <xdr:cNvPr id="2" name="Picture 1" descr="Product Label - 18th Oct 2024 - ELSS.jpg">
          <a:extLst>
            <a:ext uri="{FF2B5EF4-FFF2-40B4-BE49-F238E27FC236}">
              <a16:creationId xmlns:a16="http://schemas.microsoft.com/office/drawing/2014/main" id="{6143BD0D-7B23-4CE4-B54C-C1BD62C1F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7340555" cy="19975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Oct_2024\Final%20Report\TMF_Monthly_Portfolio_Report_October%2024.xls" TargetMode="External"/><Relationship Id="rId1" Type="http://schemas.openxmlformats.org/officeDocument/2006/relationships/externalLinkPath" Target="file:///Q:\5.TMF\Reporting\Monthly%20Reports\Monthly%20Portfolio\2024-25\Oct_2024\Final%20Report\TMF_Monthly_Portfolio_Report_Octo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5BC5-160B-40CF-887F-7FC391F379EE}">
  <dimension ref="A1:BB11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45596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46969</v>
      </c>
      <c r="H10" s="32">
        <v>814.89</v>
      </c>
      <c r="I10" s="32">
        <v>10.220000000000001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40809</v>
      </c>
      <c r="H11" s="32">
        <v>721.48</v>
      </c>
      <c r="I11" s="32">
        <v>9.0500000000000007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533.46</v>
      </c>
      <c r="I12" s="32">
        <v>6.69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36000</v>
      </c>
      <c r="H13" s="32">
        <v>464.96</v>
      </c>
      <c r="I13" s="32">
        <v>5.83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80000</v>
      </c>
      <c r="H14" s="32">
        <v>390.8</v>
      </c>
      <c r="I14" s="32">
        <v>4.9000000000000004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21339</v>
      </c>
      <c r="H15" s="32">
        <v>374.96</v>
      </c>
      <c r="I15" s="32">
        <v>4.7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22</v>
      </c>
      <c r="G16" s="31">
        <v>22792</v>
      </c>
      <c r="H16" s="32">
        <v>366.55</v>
      </c>
      <c r="I16" s="32">
        <v>4.5999999999999996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80000</v>
      </c>
      <c r="H17" s="32">
        <v>361.84</v>
      </c>
      <c r="I17" s="32">
        <v>4.54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28650</v>
      </c>
      <c r="H18" s="32">
        <v>331.91</v>
      </c>
      <c r="I18" s="32">
        <v>4.16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45643</v>
      </c>
      <c r="H19" s="32">
        <v>228.22</v>
      </c>
      <c r="I19" s="32">
        <v>2.86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17513</v>
      </c>
      <c r="H20" s="32">
        <v>222.83</v>
      </c>
      <c r="I20" s="32">
        <v>2.79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13798</v>
      </c>
      <c r="H21" s="32">
        <v>214.31</v>
      </c>
      <c r="I21" s="32">
        <v>2.69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85000</v>
      </c>
      <c r="H22" s="32">
        <v>188.36</v>
      </c>
      <c r="I22" s="32">
        <v>2.36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4035</v>
      </c>
      <c r="H23" s="32">
        <v>179.2</v>
      </c>
      <c r="I23" s="32">
        <v>2.25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98565</v>
      </c>
      <c r="H24" s="32">
        <v>178.25</v>
      </c>
      <c r="I24" s="32">
        <v>2.2400000000000002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150110</v>
      </c>
      <c r="H25" s="32">
        <v>173.75</v>
      </c>
      <c r="I25" s="32">
        <v>2.1800000000000002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66</v>
      </c>
      <c r="G26" s="31">
        <v>12380</v>
      </c>
      <c r="H26" s="32">
        <v>165.48</v>
      </c>
      <c r="I26" s="32">
        <v>2.08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58</v>
      </c>
      <c r="G27" s="31">
        <v>2780</v>
      </c>
      <c r="H27" s="32">
        <v>163.85</v>
      </c>
      <c r="I27" s="32">
        <v>2.0499999999999998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6939</v>
      </c>
      <c r="H28" s="32">
        <v>160.97</v>
      </c>
      <c r="I28" s="32">
        <v>2.02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30000</v>
      </c>
      <c r="H29" s="32">
        <v>141.13999999999999</v>
      </c>
      <c r="I29" s="32">
        <v>1.77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58</v>
      </c>
      <c r="G30" s="31">
        <v>10435</v>
      </c>
      <c r="H30" s="32">
        <v>132.97</v>
      </c>
      <c r="I30" s="32">
        <v>1.67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31476</v>
      </c>
      <c r="H31" s="32">
        <v>132.25</v>
      </c>
      <c r="I31" s="32">
        <v>1.66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65655</v>
      </c>
      <c r="H32" s="32">
        <v>129.72999999999999</v>
      </c>
      <c r="I32" s="32">
        <v>1.63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50000</v>
      </c>
      <c r="H33" s="32">
        <v>123.5</v>
      </c>
      <c r="I33" s="32">
        <v>1.55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26</v>
      </c>
      <c r="G34" s="31">
        <v>9113</v>
      </c>
      <c r="H34" s="32">
        <v>116</v>
      </c>
      <c r="I34" s="32">
        <v>1.45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33677</v>
      </c>
      <c r="H35" s="32">
        <v>95.93</v>
      </c>
      <c r="I35" s="32">
        <v>1.2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2008</v>
      </c>
      <c r="H36" s="32">
        <v>86.24</v>
      </c>
      <c r="I36" s="32">
        <v>1.08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40067</v>
      </c>
      <c r="H37" s="32">
        <v>73.239999999999995</v>
      </c>
      <c r="I37" s="32">
        <v>0.92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84</v>
      </c>
      <c r="G38" s="31">
        <v>72548</v>
      </c>
      <c r="H38" s="32">
        <v>59.87</v>
      </c>
      <c r="I38" s="32">
        <v>0.75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4330</v>
      </c>
      <c r="H39" s="32">
        <v>35.01</v>
      </c>
      <c r="I39" s="32">
        <v>0.44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118</v>
      </c>
      <c r="G40" s="31">
        <v>44981</v>
      </c>
      <c r="H40" s="32">
        <v>30.19</v>
      </c>
      <c r="I40" s="32">
        <v>0.38</v>
      </c>
      <c r="J40" s="33"/>
    </row>
    <row r="41" spans="2:10" x14ac:dyDescent="0.25">
      <c r="C41" s="28" t="s">
        <v>129</v>
      </c>
      <c r="D41" s="29"/>
      <c r="E41" s="30"/>
      <c r="F41" s="30"/>
      <c r="G41" s="31"/>
      <c r="H41" s="35">
        <v>7392.14</v>
      </c>
      <c r="I41" s="35">
        <v>92.71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130</v>
      </c>
      <c r="D43" s="29"/>
      <c r="E43" s="30"/>
      <c r="F43" s="30"/>
      <c r="G43" s="31"/>
      <c r="H43" s="32" t="s">
        <v>131</v>
      </c>
      <c r="I43" s="32" t="s">
        <v>131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132</v>
      </c>
      <c r="D45" s="29"/>
      <c r="E45" s="30"/>
      <c r="F45" s="30"/>
      <c r="G45" s="31"/>
      <c r="H45" s="32" t="s">
        <v>131</v>
      </c>
      <c r="I45" s="32" t="s">
        <v>131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133</v>
      </c>
      <c r="D47" s="29"/>
      <c r="E47" s="30"/>
      <c r="F47" s="30"/>
      <c r="G47" s="31"/>
      <c r="H47" s="32"/>
      <c r="I47" s="32"/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134</v>
      </c>
      <c r="D49" s="29"/>
      <c r="E49" s="30"/>
      <c r="F49" s="30"/>
      <c r="G49" s="31"/>
      <c r="H49" s="32" t="s">
        <v>131</v>
      </c>
      <c r="I49" s="32" t="s">
        <v>131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135</v>
      </c>
      <c r="D51" s="29"/>
      <c r="E51" s="30"/>
      <c r="F51" s="30"/>
      <c r="G51" s="31"/>
      <c r="H51" s="32" t="s">
        <v>131</v>
      </c>
      <c r="I51" s="32" t="s">
        <v>131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136</v>
      </c>
      <c r="D53" s="29"/>
      <c r="E53" s="30"/>
      <c r="F53" s="30"/>
      <c r="G53" s="31"/>
      <c r="H53" s="32" t="s">
        <v>131</v>
      </c>
      <c r="I53" s="32" t="s">
        <v>131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137</v>
      </c>
      <c r="D55" s="29"/>
      <c r="E55" s="30"/>
      <c r="F55" s="30"/>
      <c r="G55" s="31"/>
      <c r="H55" s="32" t="s">
        <v>131</v>
      </c>
      <c r="I55" s="32" t="s">
        <v>131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138</v>
      </c>
      <c r="D57" s="29"/>
      <c r="E57" s="30"/>
      <c r="F57" s="30"/>
      <c r="G57" s="31"/>
      <c r="H57" s="32" t="s">
        <v>131</v>
      </c>
      <c r="I57" s="32" t="s">
        <v>131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139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140</v>
      </c>
      <c r="D61" s="29"/>
      <c r="E61" s="30"/>
      <c r="F61" s="30"/>
      <c r="G61" s="31"/>
      <c r="H61" s="32" t="s">
        <v>131</v>
      </c>
      <c r="I61" s="32" t="s">
        <v>131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141</v>
      </c>
      <c r="D63" s="29"/>
      <c r="E63" s="30"/>
      <c r="F63" s="30"/>
      <c r="G63" s="31"/>
      <c r="H63" s="32" t="s">
        <v>131</v>
      </c>
      <c r="I63" s="32" t="s">
        <v>131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142</v>
      </c>
      <c r="D65" s="29"/>
      <c r="E65" s="30"/>
      <c r="F65" s="30"/>
      <c r="G65" s="31"/>
      <c r="H65" s="32" t="s">
        <v>131</v>
      </c>
      <c r="I65" s="32" t="s">
        <v>131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143</v>
      </c>
      <c r="D67" s="29"/>
      <c r="E67" s="30"/>
      <c r="F67" s="30"/>
      <c r="G67" s="31"/>
      <c r="H67" s="32" t="s">
        <v>131</v>
      </c>
      <c r="I67" s="32" t="s">
        <v>131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144</v>
      </c>
      <c r="D69" s="29"/>
      <c r="E69" s="30"/>
      <c r="F69" s="30"/>
      <c r="G69" s="31"/>
      <c r="H69" s="32"/>
      <c r="I69" s="32"/>
      <c r="J69" s="33"/>
    </row>
    <row r="70" spans="1:10" x14ac:dyDescent="0.25">
      <c r="A70" s="27"/>
      <c r="B70" s="27"/>
      <c r="C70" s="28" t="s">
        <v>145</v>
      </c>
      <c r="D70" s="29"/>
      <c r="E70" s="30"/>
      <c r="F70" s="30"/>
      <c r="G70" s="31"/>
      <c r="H70" s="32" t="s">
        <v>131</v>
      </c>
      <c r="I70" s="32" t="s">
        <v>131</v>
      </c>
      <c r="J70" s="33"/>
    </row>
    <row r="71" spans="1:10" x14ac:dyDescent="0.25">
      <c r="A71" s="27"/>
      <c r="B71" s="27"/>
      <c r="C71" s="28"/>
      <c r="D71" s="29"/>
      <c r="E71" s="30"/>
      <c r="F71" s="30"/>
      <c r="G71" s="31"/>
      <c r="H71" s="32"/>
      <c r="I71" s="32"/>
      <c r="J71" s="33"/>
    </row>
    <row r="72" spans="1:10" x14ac:dyDescent="0.25">
      <c r="A72" s="27"/>
      <c r="B72" s="27"/>
      <c r="C72" s="28" t="s">
        <v>146</v>
      </c>
      <c r="D72" s="29"/>
      <c r="E72" s="30"/>
      <c r="F72" s="30"/>
      <c r="G72" s="31"/>
      <c r="H72" s="32" t="s">
        <v>131</v>
      </c>
      <c r="I72" s="32" t="s">
        <v>131</v>
      </c>
      <c r="J72" s="33"/>
    </row>
    <row r="73" spans="1:10" x14ac:dyDescent="0.25">
      <c r="A73" s="27"/>
      <c r="B73" s="27"/>
      <c r="C73" s="28"/>
      <c r="D73" s="29"/>
      <c r="E73" s="30"/>
      <c r="F73" s="30"/>
      <c r="G73" s="31"/>
      <c r="H73" s="32"/>
      <c r="I73" s="32"/>
      <c r="J73" s="33"/>
    </row>
    <row r="74" spans="1:10" x14ac:dyDescent="0.25">
      <c r="A74" s="27"/>
      <c r="B74" s="27"/>
      <c r="C74" s="28" t="s">
        <v>147</v>
      </c>
      <c r="D74" s="29"/>
      <c r="E74" s="30"/>
      <c r="F74" s="30"/>
      <c r="G74" s="31"/>
      <c r="H74" s="32" t="s">
        <v>131</v>
      </c>
      <c r="I74" s="32" t="s">
        <v>131</v>
      </c>
      <c r="J74" s="33"/>
    </row>
    <row r="75" spans="1:10" x14ac:dyDescent="0.25">
      <c r="A75" s="27"/>
      <c r="B75" s="27"/>
      <c r="C75" s="28"/>
      <c r="D75" s="29"/>
      <c r="E75" s="30"/>
      <c r="F75" s="30"/>
      <c r="G75" s="31"/>
      <c r="H75" s="32"/>
      <c r="I75" s="32"/>
      <c r="J75" s="33"/>
    </row>
    <row r="76" spans="1:10" x14ac:dyDescent="0.25">
      <c r="A76" s="27"/>
      <c r="B76" s="27"/>
      <c r="C76" s="28" t="s">
        <v>148</v>
      </c>
      <c r="D76" s="29"/>
      <c r="E76" s="30"/>
      <c r="F76" s="30"/>
      <c r="G76" s="31"/>
      <c r="H76" s="32" t="s">
        <v>131</v>
      </c>
      <c r="I76" s="32" t="s">
        <v>131</v>
      </c>
      <c r="J76" s="33"/>
    </row>
    <row r="77" spans="1:10" x14ac:dyDescent="0.25">
      <c r="A77" s="27"/>
      <c r="B77" s="27"/>
      <c r="C77" s="28"/>
      <c r="D77" s="29"/>
      <c r="E77" s="30"/>
      <c r="F77" s="30"/>
      <c r="G77" s="31"/>
      <c r="H77" s="32"/>
      <c r="I77" s="32"/>
      <c r="J77" s="33"/>
    </row>
    <row r="78" spans="1:10" x14ac:dyDescent="0.25">
      <c r="A78" s="27"/>
      <c r="B78" s="27"/>
      <c r="C78" s="28" t="s">
        <v>149</v>
      </c>
      <c r="D78" s="29"/>
      <c r="E78" s="30"/>
      <c r="F78" s="30"/>
      <c r="G78" s="31"/>
      <c r="H78" s="32" t="s">
        <v>131</v>
      </c>
      <c r="I78" s="32" t="s">
        <v>131</v>
      </c>
      <c r="J78" s="33"/>
    </row>
    <row r="79" spans="1:10" x14ac:dyDescent="0.25">
      <c r="A79" s="27"/>
      <c r="B79" s="27"/>
      <c r="C79" s="28"/>
      <c r="D79" s="29"/>
      <c r="E79" s="30"/>
      <c r="F79" s="30"/>
      <c r="G79" s="31"/>
      <c r="H79" s="32"/>
      <c r="I79" s="32"/>
      <c r="J79" s="33"/>
    </row>
    <row r="80" spans="1:10" x14ac:dyDescent="0.25">
      <c r="C80" s="34" t="s">
        <v>150</v>
      </c>
      <c r="D80" s="29"/>
      <c r="E80" s="30"/>
      <c r="F80" s="30"/>
      <c r="G80" s="31"/>
      <c r="H80" s="32"/>
      <c r="I80" s="32"/>
      <c r="J80" s="33"/>
    </row>
    <row r="81" spans="1:10" x14ac:dyDescent="0.25">
      <c r="B81" s="1" t="s">
        <v>151</v>
      </c>
      <c r="C81" s="20" t="s">
        <v>152</v>
      </c>
      <c r="D81" s="29"/>
      <c r="E81" s="30"/>
      <c r="F81" s="30"/>
      <c r="G81" s="31"/>
      <c r="H81" s="32">
        <v>199.9</v>
      </c>
      <c r="I81" s="32">
        <v>2.5099999999999998</v>
      </c>
      <c r="J81" s="33"/>
    </row>
    <row r="82" spans="1:10" x14ac:dyDescent="0.25">
      <c r="C82" s="28" t="s">
        <v>129</v>
      </c>
      <c r="D82" s="29"/>
      <c r="E82" s="30"/>
      <c r="F82" s="30"/>
      <c r="G82" s="31"/>
      <c r="H82" s="35">
        <v>199.9</v>
      </c>
      <c r="I82" s="35">
        <v>2.5099999999999998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153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154</v>
      </c>
      <c r="D85" s="29"/>
      <c r="E85" s="30"/>
      <c r="F85" s="30"/>
      <c r="G85" s="31"/>
      <c r="H85" s="32">
        <v>381.75</v>
      </c>
      <c r="I85" s="32">
        <v>4.78</v>
      </c>
      <c r="J85" s="33"/>
    </row>
    <row r="86" spans="1:10" x14ac:dyDescent="0.25">
      <c r="C86" s="28" t="s">
        <v>129</v>
      </c>
      <c r="D86" s="29"/>
      <c r="E86" s="30"/>
      <c r="F86" s="30"/>
      <c r="G86" s="31"/>
      <c r="H86" s="35">
        <v>381.75</v>
      </c>
      <c r="I86" s="35">
        <v>4.78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155</v>
      </c>
      <c r="D88" s="37"/>
      <c r="E88" s="38"/>
      <c r="F88" s="39"/>
      <c r="G88" s="40"/>
      <c r="H88" s="41">
        <v>7973.79</v>
      </c>
      <c r="I88" s="41">
        <f>SUMIFS(I:I,C:C,"Total")</f>
        <v>100</v>
      </c>
      <c r="J88" s="42"/>
    </row>
    <row r="91" spans="1:10" x14ac:dyDescent="0.25">
      <c r="C91" s="11" t="s">
        <v>156</v>
      </c>
    </row>
    <row r="92" spans="1:10" x14ac:dyDescent="0.25">
      <c r="C92" s="2" t="s">
        <v>157</v>
      </c>
    </row>
    <row r="93" spans="1:10" x14ac:dyDescent="0.25">
      <c r="C93" s="2" t="s">
        <v>158</v>
      </c>
    </row>
    <row r="94" spans="1:10" x14ac:dyDescent="0.25">
      <c r="C94" s="2" t="s">
        <v>159</v>
      </c>
    </row>
    <row r="95" spans="1:10" x14ac:dyDescent="0.25">
      <c r="C95" s="2" t="s">
        <v>160</v>
      </c>
    </row>
    <row r="96" spans="1:10" x14ac:dyDescent="0.25">
      <c r="C96" s="2" t="s">
        <v>161</v>
      </c>
    </row>
    <row r="97" spans="3:5" x14ac:dyDescent="0.25">
      <c r="C97" s="2" t="s">
        <v>162</v>
      </c>
    </row>
    <row r="98" spans="3:5" x14ac:dyDescent="0.25">
      <c r="D98" s="2" t="s">
        <v>163</v>
      </c>
    </row>
    <row r="99" spans="3:5" x14ac:dyDescent="0.25">
      <c r="C99" s="2" t="s">
        <v>164</v>
      </c>
      <c r="D99" s="2" t="s">
        <v>165</v>
      </c>
      <c r="E99" s="2" t="s">
        <v>165</v>
      </c>
    </row>
    <row r="100" spans="3:5" x14ac:dyDescent="0.25">
      <c r="D100" s="2" t="s">
        <v>166</v>
      </c>
      <c r="E100" s="2" t="s">
        <v>167</v>
      </c>
    </row>
    <row r="101" spans="3:5" x14ac:dyDescent="0.25">
      <c r="C101" s="2" t="s">
        <v>168</v>
      </c>
      <c r="D101" s="2">
        <v>88.83</v>
      </c>
      <c r="E101" s="2">
        <v>85.1</v>
      </c>
    </row>
    <row r="102" spans="3:5" x14ac:dyDescent="0.25">
      <c r="C102" s="2" t="s">
        <v>169</v>
      </c>
      <c r="D102" s="2">
        <v>189.62</v>
      </c>
      <c r="E102" s="2">
        <v>181.66</v>
      </c>
    </row>
    <row r="103" spans="3:5" x14ac:dyDescent="0.25">
      <c r="C103" s="2" t="s">
        <v>170</v>
      </c>
      <c r="D103" s="2">
        <v>94.8</v>
      </c>
      <c r="E103" s="2">
        <v>90.86</v>
      </c>
    </row>
    <row r="104" spans="3:5" x14ac:dyDescent="0.25">
      <c r="C104" s="2" t="s">
        <v>171</v>
      </c>
      <c r="D104" s="2">
        <v>205.7</v>
      </c>
      <c r="E104" s="2">
        <v>197.15</v>
      </c>
    </row>
    <row r="106" spans="3:5" x14ac:dyDescent="0.25">
      <c r="C106" s="2" t="s">
        <v>172</v>
      </c>
    </row>
    <row r="107" spans="3:5" x14ac:dyDescent="0.25">
      <c r="C107" s="2" t="s">
        <v>173</v>
      </c>
    </row>
    <row r="108" spans="3:5" x14ac:dyDescent="0.25">
      <c r="C108" s="2" t="s">
        <v>174</v>
      </c>
    </row>
    <row r="109" spans="3:5" x14ac:dyDescent="0.25">
      <c r="C109" s="2" t="s">
        <v>175</v>
      </c>
    </row>
    <row r="110" spans="3:5" x14ac:dyDescent="0.25">
      <c r="C110" s="2" t="s">
        <v>176</v>
      </c>
    </row>
    <row r="111" spans="3:5" x14ac:dyDescent="0.25">
      <c r="C111" s="2" t="s">
        <v>177</v>
      </c>
    </row>
    <row r="112" spans="3:5" x14ac:dyDescent="0.25">
      <c r="C112" s="2" t="s">
        <v>178</v>
      </c>
    </row>
    <row r="113" spans="3:3" x14ac:dyDescent="0.25">
      <c r="C113" s="2" t="s">
        <v>179</v>
      </c>
    </row>
    <row r="114" spans="3:3" x14ac:dyDescent="0.25">
      <c r="C114" s="2" t="s">
        <v>180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8C0B-55D6-4EF7-AABD-696277A3ECFB}">
  <dimension ref="C3:K17"/>
  <sheetViews>
    <sheetView workbookViewId="0"/>
  </sheetViews>
  <sheetFormatPr defaultRowHeight="15" x14ac:dyDescent="0.25"/>
  <cols>
    <col min="3" max="3" width="47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181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182</v>
      </c>
      <c r="D4" s="46" t="s">
        <v>183</v>
      </c>
      <c r="E4" s="46"/>
      <c r="F4" s="46" t="s">
        <v>184</v>
      </c>
      <c r="G4" s="46"/>
      <c r="H4" s="46" t="s">
        <v>185</v>
      </c>
      <c r="I4" s="46"/>
      <c r="J4" s="47" t="s">
        <v>186</v>
      </c>
      <c r="K4" s="47"/>
    </row>
    <row r="5" spans="3:11" ht="63.75" x14ac:dyDescent="0.25">
      <c r="C5" s="48"/>
      <c r="D5" s="49" t="s">
        <v>187</v>
      </c>
      <c r="E5" s="49" t="s">
        <v>188</v>
      </c>
      <c r="F5" s="49" t="s">
        <v>187</v>
      </c>
      <c r="G5" s="49" t="s">
        <v>188</v>
      </c>
      <c r="H5" s="49" t="s">
        <v>187</v>
      </c>
      <c r="I5" s="49" t="s">
        <v>188</v>
      </c>
      <c r="J5" s="50" t="s">
        <v>187</v>
      </c>
      <c r="K5" s="50" t="s">
        <v>188</v>
      </c>
    </row>
    <row r="6" spans="3:11" x14ac:dyDescent="0.25">
      <c r="C6" s="51" t="s">
        <v>189</v>
      </c>
      <c r="D6" s="52">
        <v>36.463299999999997</v>
      </c>
      <c r="E6" s="52">
        <v>13646.334134615385</v>
      </c>
      <c r="F6" s="52">
        <v>16.786799999999999</v>
      </c>
      <c r="G6" s="52">
        <v>15949.078138718172</v>
      </c>
      <c r="H6" s="52">
        <v>17.7911</v>
      </c>
      <c r="I6" s="52">
        <v>22696.151924037978</v>
      </c>
      <c r="J6" s="52">
        <v>12.296099999999999</v>
      </c>
      <c r="K6" s="52">
        <v>181660</v>
      </c>
    </row>
    <row r="7" spans="3:11" x14ac:dyDescent="0.25">
      <c r="C7" s="51" t="s">
        <v>190</v>
      </c>
      <c r="D7" s="52">
        <v>35.902500000000003</v>
      </c>
      <c r="E7" s="52">
        <v>13590.25</v>
      </c>
      <c r="F7" s="52">
        <v>15.64</v>
      </c>
      <c r="G7" s="52">
        <v>15464.085741440003</v>
      </c>
      <c r="H7" s="52">
        <v>19.829499999999999</v>
      </c>
      <c r="I7" s="52">
        <v>24706.92722069412</v>
      </c>
      <c r="J7" s="52" t="s">
        <v>191</v>
      </c>
      <c r="K7" s="52" t="s">
        <v>191</v>
      </c>
    </row>
    <row r="8" spans="3:11" x14ac:dyDescent="0.25">
      <c r="C8" s="51" t="s">
        <v>192</v>
      </c>
      <c r="D8" s="52">
        <v>28.3888</v>
      </c>
      <c r="E8" s="52">
        <v>12838.88</v>
      </c>
      <c r="F8" s="52">
        <v>12.3499</v>
      </c>
      <c r="G8" s="52">
        <v>14181.366161216205</v>
      </c>
      <c r="H8" s="52">
        <v>16.612400000000001</v>
      </c>
      <c r="I8" s="52">
        <v>21563.719221139781</v>
      </c>
      <c r="J8" s="52">
        <v>13.401400000000001</v>
      </c>
      <c r="K8" s="52">
        <v>365078.26830994431</v>
      </c>
    </row>
    <row r="9" spans="3:11" x14ac:dyDescent="0.25">
      <c r="C9" s="51" t="s">
        <v>193</v>
      </c>
      <c r="D9" s="53">
        <v>133.12</v>
      </c>
      <c r="E9" s="54"/>
      <c r="F9" s="53">
        <v>113.9</v>
      </c>
      <c r="G9" s="54"/>
      <c r="H9" s="53">
        <v>80.040000000000006</v>
      </c>
      <c r="I9" s="54"/>
      <c r="J9" s="53">
        <v>10</v>
      </c>
      <c r="K9" s="54"/>
    </row>
    <row r="11" spans="3:11" ht="15.75" x14ac:dyDescent="0.25">
      <c r="C11" s="43" t="s">
        <v>194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182</v>
      </c>
      <c r="D12" s="46" t="s">
        <v>183</v>
      </c>
      <c r="E12" s="46"/>
      <c r="F12" s="46" t="s">
        <v>184</v>
      </c>
      <c r="G12" s="46"/>
      <c r="H12" s="46" t="s">
        <v>185</v>
      </c>
      <c r="I12" s="46"/>
      <c r="J12" s="47" t="s">
        <v>186</v>
      </c>
      <c r="K12" s="47"/>
    </row>
    <row r="13" spans="3:11" ht="63.75" x14ac:dyDescent="0.25">
      <c r="C13" s="48"/>
      <c r="D13" s="49" t="s">
        <v>187</v>
      </c>
      <c r="E13" s="49" t="s">
        <v>188</v>
      </c>
      <c r="F13" s="49" t="s">
        <v>187</v>
      </c>
      <c r="G13" s="49" t="s">
        <v>188</v>
      </c>
      <c r="H13" s="49" t="s">
        <v>187</v>
      </c>
      <c r="I13" s="49" t="s">
        <v>188</v>
      </c>
      <c r="J13" s="50" t="s">
        <v>187</v>
      </c>
      <c r="K13" s="50" t="s">
        <v>188</v>
      </c>
    </row>
    <row r="14" spans="3:11" x14ac:dyDescent="0.25">
      <c r="C14" s="51" t="s">
        <v>189</v>
      </c>
      <c r="D14" s="52">
        <v>37.310200000000002</v>
      </c>
      <c r="E14" s="52">
        <v>13731.021033570134</v>
      </c>
      <c r="F14" s="52">
        <v>17.554400000000001</v>
      </c>
      <c r="G14" s="52">
        <v>16266.501650165017</v>
      </c>
      <c r="H14" s="52">
        <v>18.6084</v>
      </c>
      <c r="I14" s="52">
        <v>23495.41175068526</v>
      </c>
      <c r="J14" s="52">
        <v>14.6625</v>
      </c>
      <c r="K14" s="52">
        <v>50956.319462393381</v>
      </c>
    </row>
    <row r="15" spans="3:11" x14ac:dyDescent="0.25">
      <c r="C15" s="51" t="s">
        <v>190</v>
      </c>
      <c r="D15" s="52">
        <v>35.902500000000003</v>
      </c>
      <c r="E15" s="52">
        <v>13590.25</v>
      </c>
      <c r="F15" s="52">
        <v>15.64</v>
      </c>
      <c r="G15" s="52">
        <v>15464.085741440003</v>
      </c>
      <c r="H15" s="52">
        <v>19.829499999999999</v>
      </c>
      <c r="I15" s="52">
        <v>24706.92722069412</v>
      </c>
      <c r="J15" s="52">
        <v>15.3462</v>
      </c>
      <c r="K15" s="52">
        <v>54181.020020576412</v>
      </c>
    </row>
    <row r="16" spans="3:11" x14ac:dyDescent="0.25">
      <c r="C16" s="51" t="s">
        <v>192</v>
      </c>
      <c r="D16" s="52">
        <v>28.3888</v>
      </c>
      <c r="E16" s="52">
        <v>12838.88</v>
      </c>
      <c r="F16" s="52">
        <v>12.3499</v>
      </c>
      <c r="G16" s="52">
        <v>14181.366161216205</v>
      </c>
      <c r="H16" s="52">
        <v>16.612400000000001</v>
      </c>
      <c r="I16" s="52">
        <v>21563.719221139781</v>
      </c>
      <c r="J16" s="52">
        <v>13.903700000000001</v>
      </c>
      <c r="K16" s="52">
        <v>46683.143328670623</v>
      </c>
    </row>
    <row r="17" spans="3:11" x14ac:dyDescent="0.25">
      <c r="C17" s="51" t="s">
        <v>195</v>
      </c>
      <c r="D17" s="53">
        <v>143.58000000000001</v>
      </c>
      <c r="E17" s="54"/>
      <c r="F17" s="53">
        <v>121.2</v>
      </c>
      <c r="G17" s="54"/>
      <c r="H17" s="53">
        <v>83.91</v>
      </c>
      <c r="I17" s="54"/>
      <c r="J17" s="53">
        <v>38.69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XDO_?FINAL_ISIN?16?</vt:lpstr>
      <vt:lpstr>XDO_?FINAL_ISIN?17?</vt:lpstr>
      <vt:lpstr>XDO_?FINAL_ISIN?18?</vt:lpstr>
      <vt:lpstr>XDO_?FINAL_MV?16?</vt:lpstr>
      <vt:lpstr>XDO_?FINAL_MV?17?</vt:lpstr>
      <vt:lpstr>XDO_?FINAL_MV?18?</vt:lpstr>
      <vt:lpstr>XDO_?FINAL_NAME?16?</vt:lpstr>
      <vt:lpstr>XDO_?FINAL_NAME?17?</vt:lpstr>
      <vt:lpstr>XDO_?FINAL_NAME?18?</vt:lpstr>
      <vt:lpstr>XDO_?FINAL_PER_NET?16?</vt:lpstr>
      <vt:lpstr>XDO_?FINAL_PER_NET?17?</vt:lpstr>
      <vt:lpstr>XDO_?FINAL_PER_NET?18?</vt:lpstr>
      <vt:lpstr>XDO_?FINAL_QUANTITE?16?</vt:lpstr>
      <vt:lpstr>XDO_?FINAL_QUANTITE?17?</vt:lpstr>
      <vt:lpstr>XDO_?FINAL_QUANTITE?18?</vt:lpstr>
      <vt:lpstr>XDO_?IND_01?16?</vt:lpstr>
      <vt:lpstr>XDO_?IND_01?17?</vt:lpstr>
      <vt:lpstr>XDO_?IND_01?18?</vt:lpstr>
      <vt:lpstr>XDO_?NAMCNAME?7?</vt:lpstr>
      <vt:lpstr>XDO_?NOVAL?16?</vt:lpstr>
      <vt:lpstr>XDO_?NOVAL?17?</vt:lpstr>
      <vt:lpstr>XDO_?NOVAL?18?</vt:lpstr>
      <vt:lpstr>XDO_?NPTF?7?</vt:lpstr>
      <vt:lpstr>XDO_?RATING?16?</vt:lpstr>
      <vt:lpstr>XDO_?RATING?17?</vt:lpstr>
      <vt:lpstr>XDO_?RATING?18?</vt:lpstr>
      <vt:lpstr>XDO_?REMARKS?16?</vt:lpstr>
      <vt:lpstr>XDO_?REMARKS?17?</vt:lpstr>
      <vt:lpstr>XDO_?REMARKS?18?</vt:lpstr>
      <vt:lpstr>XDO_?TITL?7?</vt:lpstr>
      <vt:lpstr>XDO_GROUP_?G_2?7?</vt:lpstr>
      <vt:lpstr>XDO_GROUP_?G_3?7?</vt:lpstr>
      <vt:lpstr>XDO_GROUP_?G_4?16?</vt:lpstr>
      <vt:lpstr>XDO_GROUP_?G_4?17?</vt:lpstr>
      <vt:lpstr>XDO_GROUP_?G_4?18?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2024-11-06T11:46:42Z</dcterms:created>
  <dcterms:modified xsi:type="dcterms:W3CDTF">2024-11-07T05:48:27Z</dcterms:modified>
</cp:coreProperties>
</file>