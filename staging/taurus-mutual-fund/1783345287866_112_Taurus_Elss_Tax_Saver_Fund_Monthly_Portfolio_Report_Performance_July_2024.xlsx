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1EDC35B0-04CB-4404-8263-703C12AD294E}" xr6:coauthVersionLast="47" xr6:coauthVersionMax="47" xr10:uidLastSave="{00000000-0000-0000-0000-000000000000}"/>
  <bookViews>
    <workbookView xWindow="-120" yWindow="-120" windowWidth="20730" windowHeight="11040" xr2:uid="{B58CA4D2-2064-40DA-BE22-11EEDFDD449C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4?">TTS!$D$10:$D$41</definedName>
    <definedName name="XDO_?FINAL_ISIN?15?">TTS!$D$10:$D$85</definedName>
    <definedName name="XDO_?FINAL_MV?14?">TTS!$H$10:$H$41</definedName>
    <definedName name="XDO_?FINAL_MV?15?">TTS!$H$10:$H$85</definedName>
    <definedName name="XDO_?FINAL_NAME?14?">TTS!$C$10:$C$41</definedName>
    <definedName name="XDO_?FINAL_NAME?15?">TTS!$C$10:$C$85</definedName>
    <definedName name="XDO_?FINAL_PER_NET?14?">TTS!$I$10:$I$41</definedName>
    <definedName name="XDO_?FINAL_PER_NET?15?">TTS!$I$10:$I$85</definedName>
    <definedName name="XDO_?FINAL_QUANTITE?14?">TTS!$G$10:$G$41</definedName>
    <definedName name="XDO_?FINAL_QUANTITE?15?">TTS!$G$10:$G$85</definedName>
    <definedName name="XDO_?IND_01?14?">TTS!$F$10:$F$41</definedName>
    <definedName name="XDO_?IND_01?15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TTS!$B$10:$B$41</definedName>
    <definedName name="XDO_?NOVAL?15?">TTS!$B$10:$B$85</definedName>
    <definedName name="XDO_?NPTF?7?">TTS!$D$2:$D$41</definedName>
    <definedName name="XDO_?RATING?14?">TTS!$E$10:$E$41</definedName>
    <definedName name="XDO_?RATING?15?">TTS!$E$10:$E$85</definedName>
    <definedName name="XDO_?REMARKS?14?">TTS!$J$10:$J$41</definedName>
    <definedName name="XDO_?REMARKS?15?">TTS!$J$10:$J$85</definedName>
    <definedName name="XDO_?TITL?7?">TTS!$A$8:$A$41</definedName>
    <definedName name="XDO_GROUP_?G_2?7?">TTS!$2:$88</definedName>
    <definedName name="XDO_GROUP_?G_3?7?">TTS!$8:$87</definedName>
    <definedName name="XDO_GROUP_?G_4?14?">TTS!$B$10:$IV$41</definedName>
    <definedName name="XDO_GROUP_?G_4?15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<sst xmlns="http://schemas.openxmlformats.org/spreadsheetml/2006/main" count="242" uniqueCount="176">
  <si>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</si>
  <si>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</si>
  <si>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</si>
  <si>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</si>
  <si>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</si>
  <si>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</si>
  <si>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</si>
  <si>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</si>
  <si>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</si>
  <si>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</si>
  <si>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</si>
  <si>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</si>
  <si>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</si>
  <si>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</si>
  <si>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</si>
  <si>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</si>
  <si>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</si>
  <si>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</si>
  <si>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</si>
  <si>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</si>
  <si>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</si>
  <si>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</si>
  <si>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</si>
  <si>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</si>
  <si>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</si>
  <si>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</si>
  <si>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</si>
  <si>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</si>
  <si>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</si>
  <si>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</si>
  <si>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</si>
  <si>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</si>
  <si>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</si>
  <si>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</si>
  <si>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</si>
  <si>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</si>
  <si>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</si>
  <si>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</si>
  <si>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</si>
  <si>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</si>
  <si>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</si>
  <si>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</si>
  <si>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</si>
  <si>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</si>
  <si>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101698</t>
  </si>
  <si>
    <t>Swan Energy Ltd.</t>
  </si>
  <si>
    <t>INE665A01038</t>
  </si>
  <si>
    <t>Diversified</t>
  </si>
  <si>
    <t>100045</t>
  </si>
  <si>
    <t>Gujarat Pipavav Port Ltd.</t>
  </si>
  <si>
    <t>INE517F01014</t>
  </si>
  <si>
    <t>Transport Infrastructure</t>
  </si>
  <si>
    <t>100003</t>
  </si>
  <si>
    <t>Infosys Ltd.</t>
  </si>
  <si>
    <t>INE009A01021</t>
  </si>
  <si>
    <t>100474</t>
  </si>
  <si>
    <t>Narayana Hrudayalaya Ltd.</t>
  </si>
  <si>
    <t>INE410P01011</t>
  </si>
  <si>
    <t>Healthcare Services</t>
  </si>
  <si>
    <t>100292</t>
  </si>
  <si>
    <t>Steel Authority of India Ltd.</t>
  </si>
  <si>
    <t>INE114A01011</t>
  </si>
  <si>
    <t>Ferrous Metals</t>
  </si>
  <si>
    <t>101178</t>
  </si>
  <si>
    <t>Computer Age Management Services Ltd.</t>
  </si>
  <si>
    <t>INE596I01012</t>
  </si>
  <si>
    <t>Capital Markets</t>
  </si>
  <si>
    <t>100153</t>
  </si>
  <si>
    <t>Cipla Ltd.</t>
  </si>
  <si>
    <t>INE059A01026</t>
  </si>
  <si>
    <t>Pharmaceuticals &amp; Biotechnology</t>
  </si>
  <si>
    <t>100035</t>
  </si>
  <si>
    <t>NMDC Ltd.</t>
  </si>
  <si>
    <t>INE584A01023</t>
  </si>
  <si>
    <t>Minerals &amp; Mining</t>
  </si>
  <si>
    <t>101181</t>
  </si>
  <si>
    <t>UTI Asset Management Co. Ltd.</t>
  </si>
  <si>
    <t>INE094J01016</t>
  </si>
  <si>
    <t>100172</t>
  </si>
  <si>
    <t>ACC Ltd.</t>
  </si>
  <si>
    <t>INE012A01025</t>
  </si>
  <si>
    <t>Cement &amp; Cement Products</t>
  </si>
  <si>
    <t>100219</t>
  </si>
  <si>
    <t>Indraprastha Gas Ltd.</t>
  </si>
  <si>
    <t>INE203G01027</t>
  </si>
  <si>
    <t>Gas</t>
  </si>
  <si>
    <t>100342</t>
  </si>
  <si>
    <t>Vardhman Textiles Ltd.</t>
  </si>
  <si>
    <t>INE825A01020</t>
  </si>
  <si>
    <t>Textiles &amp; Apparels</t>
  </si>
  <si>
    <t>100080</t>
  </si>
  <si>
    <t>Dr. Reddy's Laboratories Ltd.</t>
  </si>
  <si>
    <t>INE089A01023</t>
  </si>
  <si>
    <t>100155</t>
  </si>
  <si>
    <t>Divi's Laboratories Ltd.</t>
  </si>
  <si>
    <t>INE361B01024</t>
  </si>
  <si>
    <t>100118</t>
  </si>
  <si>
    <t>Tata Chemicals Ltd.</t>
  </si>
  <si>
    <t>INE092A01019</t>
  </si>
  <si>
    <t>Chemicals &amp; Petrochemicals</t>
  </si>
  <si>
    <t>100811</t>
  </si>
  <si>
    <t>NOCIL Ltd.</t>
  </si>
  <si>
    <t>INE163A01018</t>
  </si>
  <si>
    <t>101687</t>
  </si>
  <si>
    <t>KRBL Ltd.</t>
  </si>
  <si>
    <t>INE001B01026</t>
  </si>
  <si>
    <t>Agricultural Food &amp; other Products</t>
  </si>
  <si>
    <t>100653</t>
  </si>
  <si>
    <t>Deepak Fertilizers and Petrochemicals Corporation Ltd.</t>
  </si>
  <si>
    <t>INE501A01019</t>
  </si>
  <si>
    <t>101949</t>
  </si>
  <si>
    <t>Samhi Hotels Ltd.</t>
  </si>
  <si>
    <t>INE08U801020</t>
  </si>
  <si>
    <t>Leisure Services</t>
  </si>
  <si>
    <t>101967</t>
  </si>
  <si>
    <t>Globus Spirits Ltd.</t>
  </si>
  <si>
    <t>INE615I01010</t>
  </si>
  <si>
    <t>Beverages</t>
  </si>
  <si>
    <t>100078</t>
  </si>
  <si>
    <t>Sanghi Industries Ltd.</t>
  </si>
  <si>
    <t>INE999B01013</t>
  </si>
  <si>
    <t>100096</t>
  </si>
  <si>
    <t>Container Corporation of India Ltd.</t>
  </si>
  <si>
    <t>INE111A01025</t>
  </si>
  <si>
    <t>Transport Services</t>
  </si>
  <si>
    <t>100273</t>
  </si>
  <si>
    <t>Havells India Ltd.</t>
  </si>
  <si>
    <t>INE176B01034</t>
  </si>
  <si>
    <t>Consumer Durables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</si>
  <si>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</si>
  <si>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</si>
  <si>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</si>
  <si>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</si>
  <si>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</si>
  <si>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</si>
  <si>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</si>
  <si>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</si>
  <si>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</si>
  <si>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</si>
  <si>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</si>
  <si>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</si>
  <si>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</si>
  <si>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</si>
  <si>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</si>
  <si>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</si>
  <si>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</si>
  <si>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</si>
  <si>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</si>
  <si>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</si>
  <si>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</si>
  <si>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</si>
  <si>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</si>
  <si>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</si>
  <si>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</si>
  <si>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</si>
  <si>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</si>
  <si>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</si>
  <si>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</si>
  <si>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</si>
  <si>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</si>
  <si>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</si>
  <si>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</si>
  <si>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</si>
  <si>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</si>
  <si>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</si>
  <si>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</si>
  <si>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</si>
  <si>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</si>
  <si>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</si>
  <si>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</si>
  <si>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</si>
  <si>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</si>
  <si>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Nifty 50 TRI (Additional Benchmark)</t>
  </si>
  <si>
    <t>NAV [Rs.] Per Unit (as on July 31, 2024 : 186.36)</t>
  </si>
  <si>
    <t>Taurus Elss Tax Saver Fund - Direct Plan Growth Option</t>
  </si>
  <si>
    <t>NAV [Rs.] Per Unit (as on July 31, 2024 : 201.97)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</si>
</sst>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8" fontId="1" fillId="0" borderId="19" xfId="1" applyNumberFormat="1" applyFill="1" applyBorder="1" applyAlignment="1">
      <alignment horizontal="center"/>
    </xf>
    <xf numFmtId="168" fontId="1" fillId="0" borderId="20" xfId="1" applyNumberFormat="1" applyFill="1" applyBorder="1" applyAlignment="1">
      <alignment horizontal="center"/>
    </xf>
  </cellXfs>
  <cellStyles count="6">
    <cellStyle name="Comma" xfId="1" builtinId="3"/>
    <cellStyle name="Comma 2" xfId="5" xr:uid="{3557E8D1-4A75-46BB-A124-2D46295DE3F3}"/>
    <cellStyle name="Hyperlink" xfId="2" builtinId="8"/>
    <cellStyle name="Normal" xfId="0" builtinId="0"/>
    <cellStyle name="Normal 2" xfId="4" xr:uid="{791E117C-5B3C-46FC-A2C8-F54C8AA4E128}"/>
    <cellStyle name="Style 1" xfId="3" xr:uid="{A0BC4911-2B4F-4688-BF28-775A070D6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1270001</xdr:colOff>
      <xdr:row>0</xdr:row>
      <xdr:rowOff>2022417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46131-CD4C-4686-BB24-0B7DE7624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445251" cy="202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09EF-2A4B-46F0-BB31-A601F6F47229}">
  <dimension ref="A1:BB94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46969</v>
      </c>
      <c r="H10" s="32">
        <v>759.51</v>
      </c>
      <c r="I10" s="32">
        <v>9.15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45743</v>
      </c>
      <c r="H11" s="32">
        <v>751.08</v>
      </c>
      <c r="I11" s="32">
        <v>9.0500000000000007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500.54</v>
      </c>
      <c r="I12" s="32">
        <v>6.03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36000</v>
      </c>
      <c r="H13" s="32">
        <v>437.33</v>
      </c>
      <c r="I13" s="32">
        <v>5.27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80000</v>
      </c>
      <c r="H14" s="32">
        <v>417.72</v>
      </c>
      <c r="I14" s="32">
        <v>5.03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35000</v>
      </c>
      <c r="H15" s="32">
        <v>408.17</v>
      </c>
      <c r="I15" s="32">
        <v>4.92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396.04</v>
      </c>
      <c r="I16" s="32">
        <v>4.7699999999999996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22792</v>
      </c>
      <c r="H17" s="32">
        <v>354.16</v>
      </c>
      <c r="I17" s="32">
        <v>4.2699999999999996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45643</v>
      </c>
      <c r="H18" s="32">
        <v>346.64</v>
      </c>
      <c r="I18" s="32">
        <v>4.18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148778</v>
      </c>
      <c r="H19" s="32">
        <v>342.64</v>
      </c>
      <c r="I19" s="32">
        <v>4.13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22</v>
      </c>
      <c r="G20" s="31">
        <v>18107</v>
      </c>
      <c r="H20" s="32">
        <v>338.25</v>
      </c>
      <c r="I20" s="32">
        <v>4.08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25000</v>
      </c>
      <c r="H21" s="32">
        <v>314.45999999999998</v>
      </c>
      <c r="I21" s="32">
        <v>3.79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150110</v>
      </c>
      <c r="H22" s="32">
        <v>229.52</v>
      </c>
      <c r="I22" s="32">
        <v>2.77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4950</v>
      </c>
      <c r="H23" s="32">
        <v>224.5</v>
      </c>
      <c r="I23" s="32">
        <v>2.71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13798</v>
      </c>
      <c r="H24" s="32">
        <v>213.02</v>
      </c>
      <c r="I24" s="32">
        <v>2.57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85000</v>
      </c>
      <c r="H25" s="32">
        <v>205.32</v>
      </c>
      <c r="I25" s="32">
        <v>2.4700000000000002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66</v>
      </c>
      <c r="G26" s="31">
        <v>19180</v>
      </c>
      <c r="H26" s="32">
        <v>198.78</v>
      </c>
      <c r="I26" s="32">
        <v>2.4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6939</v>
      </c>
      <c r="H27" s="32">
        <v>179.69</v>
      </c>
      <c r="I27" s="32">
        <v>2.17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31476</v>
      </c>
      <c r="H28" s="32">
        <v>172.49</v>
      </c>
      <c r="I28" s="32">
        <v>2.08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30000</v>
      </c>
      <c r="H29" s="32">
        <v>163.77000000000001</v>
      </c>
      <c r="I29" s="32">
        <v>1.97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70</v>
      </c>
      <c r="G30" s="31">
        <v>2087</v>
      </c>
      <c r="H30" s="32">
        <v>140.85</v>
      </c>
      <c r="I30" s="32">
        <v>1.7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70</v>
      </c>
      <c r="G31" s="31">
        <v>2780</v>
      </c>
      <c r="H31" s="32">
        <v>136.84</v>
      </c>
      <c r="I31" s="32">
        <v>1.65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12146</v>
      </c>
      <c r="H32" s="32">
        <v>135.91</v>
      </c>
      <c r="I32" s="32">
        <v>1.64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99</v>
      </c>
      <c r="G33" s="31">
        <v>38665</v>
      </c>
      <c r="H33" s="32">
        <v>127.85</v>
      </c>
      <c r="I33" s="32">
        <v>1.54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35662</v>
      </c>
      <c r="H34" s="32">
        <v>113.49</v>
      </c>
      <c r="I34" s="32">
        <v>1.37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99</v>
      </c>
      <c r="G35" s="31">
        <v>11444</v>
      </c>
      <c r="H35" s="32">
        <v>106.24</v>
      </c>
      <c r="I35" s="32">
        <v>1.28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54767</v>
      </c>
      <c r="H36" s="32">
        <v>100.14</v>
      </c>
      <c r="I36" s="32">
        <v>1.21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9499</v>
      </c>
      <c r="H37" s="32">
        <v>93.1</v>
      </c>
      <c r="I37" s="32">
        <v>1.1200000000000001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81</v>
      </c>
      <c r="G38" s="31">
        <v>72548</v>
      </c>
      <c r="H38" s="32">
        <v>69.5</v>
      </c>
      <c r="I38" s="32">
        <v>0.84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6500</v>
      </c>
      <c r="H39" s="32">
        <v>67.599999999999994</v>
      </c>
      <c r="I39" s="32">
        <v>0.81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3160</v>
      </c>
      <c r="H40" s="32">
        <v>58.47</v>
      </c>
      <c r="I40" s="32">
        <v>0.7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4330</v>
      </c>
      <c r="H41" s="32">
        <v>35.42</v>
      </c>
      <c r="I41" s="32">
        <v>0.43</v>
      </c>
      <c r="J41" s="33"/>
    </row>
    <row r="42" spans="2:10" x14ac:dyDescent="0.25">
      <c r="C42" s="28" t="s">
        <v>133</v>
      </c>
      <c r="D42" s="29"/>
      <c r="E42" s="30"/>
      <c r="F42" s="30"/>
      <c r="G42" s="31"/>
      <c r="H42" s="35">
        <v>8139.04</v>
      </c>
      <c r="I42" s="35">
        <v>98.1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134</v>
      </c>
      <c r="D44" s="29"/>
      <c r="E44" s="30"/>
      <c r="F44" s="30"/>
      <c r="G44" s="31"/>
      <c r="H44" s="32" t="s">
        <v>135</v>
      </c>
      <c r="I44" s="32" t="s">
        <v>135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136</v>
      </c>
      <c r="D46" s="29"/>
      <c r="E46" s="30"/>
      <c r="F46" s="30"/>
      <c r="G46" s="31"/>
      <c r="H46" s="32" t="s">
        <v>135</v>
      </c>
      <c r="I46" s="32" t="s">
        <v>135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137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138</v>
      </c>
      <c r="D50" s="29"/>
      <c r="E50" s="30"/>
      <c r="F50" s="30"/>
      <c r="G50" s="31"/>
      <c r="H50" s="32" t="s">
        <v>135</v>
      </c>
      <c r="I50" s="32" t="s">
        <v>135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139</v>
      </c>
      <c r="D52" s="29"/>
      <c r="E52" s="30"/>
      <c r="F52" s="30"/>
      <c r="G52" s="31"/>
      <c r="H52" s="32" t="s">
        <v>135</v>
      </c>
      <c r="I52" s="32" t="s">
        <v>135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140</v>
      </c>
      <c r="D54" s="29"/>
      <c r="E54" s="30"/>
      <c r="F54" s="30"/>
      <c r="G54" s="31"/>
      <c r="H54" s="32" t="s">
        <v>135</v>
      </c>
      <c r="I54" s="32" t="s">
        <v>135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141</v>
      </c>
      <c r="D56" s="29"/>
      <c r="E56" s="30"/>
      <c r="F56" s="30"/>
      <c r="G56" s="31"/>
      <c r="H56" s="32" t="s">
        <v>135</v>
      </c>
      <c r="I56" s="32" t="s">
        <v>135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142</v>
      </c>
      <c r="D58" s="29"/>
      <c r="E58" s="30"/>
      <c r="F58" s="30"/>
      <c r="G58" s="31"/>
      <c r="H58" s="32" t="s">
        <v>135</v>
      </c>
      <c r="I58" s="32" t="s">
        <v>135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143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144</v>
      </c>
      <c r="D62" s="29"/>
      <c r="E62" s="30"/>
      <c r="F62" s="30"/>
      <c r="G62" s="31"/>
      <c r="H62" s="32" t="s">
        <v>135</v>
      </c>
      <c r="I62" s="32" t="s">
        <v>135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145</v>
      </c>
      <c r="D64" s="29"/>
      <c r="E64" s="30"/>
      <c r="F64" s="30"/>
      <c r="G64" s="31"/>
      <c r="H64" s="32" t="s">
        <v>135</v>
      </c>
      <c r="I64" s="32" t="s">
        <v>135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146</v>
      </c>
      <c r="D66" s="29"/>
      <c r="E66" s="30"/>
      <c r="F66" s="30"/>
      <c r="G66" s="31"/>
      <c r="H66" s="32" t="s">
        <v>135</v>
      </c>
      <c r="I66" s="32" t="s">
        <v>135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147</v>
      </c>
      <c r="D68" s="29"/>
      <c r="E68" s="30"/>
      <c r="F68" s="30"/>
      <c r="G68" s="31"/>
      <c r="H68" s="32" t="s">
        <v>135</v>
      </c>
      <c r="I68" s="32" t="s">
        <v>135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148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149</v>
      </c>
      <c r="D72" s="29"/>
      <c r="E72" s="30"/>
      <c r="F72" s="30"/>
      <c r="G72" s="31"/>
      <c r="H72" s="32" t="s">
        <v>135</v>
      </c>
      <c r="I72" s="32" t="s">
        <v>135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150</v>
      </c>
      <c r="D74" s="29"/>
      <c r="E74" s="30"/>
      <c r="F74" s="30"/>
      <c r="G74" s="31"/>
      <c r="H74" s="32" t="s">
        <v>135</v>
      </c>
      <c r="I74" s="32" t="s">
        <v>135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151</v>
      </c>
      <c r="D76" s="29"/>
      <c r="E76" s="30"/>
      <c r="F76" s="30"/>
      <c r="G76" s="31"/>
      <c r="H76" s="32" t="s">
        <v>135</v>
      </c>
      <c r="I76" s="32" t="s">
        <v>135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152</v>
      </c>
      <c r="D78" s="29"/>
      <c r="E78" s="30"/>
      <c r="F78" s="30"/>
      <c r="G78" s="31"/>
      <c r="H78" s="32" t="s">
        <v>135</v>
      </c>
      <c r="I78" s="32" t="s">
        <v>135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153</v>
      </c>
      <c r="D80" s="29"/>
      <c r="E80" s="30"/>
      <c r="F80" s="30"/>
      <c r="G80" s="31"/>
      <c r="H80" s="32" t="s">
        <v>135</v>
      </c>
      <c r="I80" s="32" t="s">
        <v>135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154</v>
      </c>
      <c r="D82" s="29"/>
      <c r="E82" s="30"/>
      <c r="F82" s="30"/>
      <c r="G82" s="31"/>
      <c r="H82" s="32" t="s">
        <v>135</v>
      </c>
      <c r="I82" s="32" t="s">
        <v>135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155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156</v>
      </c>
      <c r="D85" s="29"/>
      <c r="E85" s="30"/>
      <c r="F85" s="30"/>
      <c r="G85" s="31"/>
      <c r="H85" s="32">
        <v>159.99</v>
      </c>
      <c r="I85" s="32">
        <v>1.9</v>
      </c>
      <c r="J85" s="33"/>
    </row>
    <row r="86" spans="1:10" x14ac:dyDescent="0.25">
      <c r="C86" s="28" t="s">
        <v>133</v>
      </c>
      <c r="D86" s="29"/>
      <c r="E86" s="30"/>
      <c r="F86" s="30"/>
      <c r="G86" s="31"/>
      <c r="H86" s="35">
        <v>159.99</v>
      </c>
      <c r="I86" s="35">
        <v>1.9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157</v>
      </c>
      <c r="D88" s="37"/>
      <c r="E88" s="38"/>
      <c r="F88" s="39"/>
      <c r="G88" s="40"/>
      <c r="H88" s="41">
        <v>8299.0300000000007</v>
      </c>
      <c r="I88" s="41">
        <f>SUMIFS(I:I,C:C,"Total")</f>
        <v>100</v>
      </c>
      <c r="J88" s="42"/>
    </row>
    <row r="91" spans="1:10" x14ac:dyDescent="0.25">
      <c r="C91" s="11" t="s">
        <v>158</v>
      </c>
    </row>
    <row r="92" spans="1:10" x14ac:dyDescent="0.25">
      <c r="C92" s="2" t="s">
        <v>159</v>
      </c>
    </row>
    <row r="93" spans="1:10" x14ac:dyDescent="0.25">
      <c r="C93" s="2" t="s">
        <v>160</v>
      </c>
    </row>
    <row r="94" spans="1:10" x14ac:dyDescent="0.25">
      <c r="C94" s="2" t="s">
        <v>161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DB38-91F6-4EDF-BAD3-15760EA10C5F}">
  <dimension ref="C4:K18"/>
  <sheetViews>
    <sheetView workbookViewId="0"/>
  </sheetViews>
  <sheetFormatPr defaultRowHeight="15" x14ac:dyDescent="0.25"/>
  <cols>
    <col min="3" max="3" width="66.14062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162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163</v>
      </c>
      <c r="D5" s="46" t="s">
        <v>164</v>
      </c>
      <c r="E5" s="46"/>
      <c r="F5" s="46" t="s">
        <v>165</v>
      </c>
      <c r="G5" s="46"/>
      <c r="H5" s="46" t="s">
        <v>166</v>
      </c>
      <c r="I5" s="46"/>
      <c r="J5" s="46" t="s">
        <v>167</v>
      </c>
      <c r="K5" s="46"/>
    </row>
    <row r="6" spans="3:11" ht="63.75" x14ac:dyDescent="0.25">
      <c r="C6" s="47"/>
      <c r="D6" s="48" t="s">
        <v>168</v>
      </c>
      <c r="E6" s="48" t="s">
        <v>169</v>
      </c>
      <c r="F6" s="48" t="s">
        <v>168</v>
      </c>
      <c r="G6" s="48" t="s">
        <v>169</v>
      </c>
      <c r="H6" s="48" t="s">
        <v>168</v>
      </c>
      <c r="I6" s="48" t="s">
        <v>169</v>
      </c>
      <c r="J6" s="48" t="s">
        <v>168</v>
      </c>
      <c r="K6" s="48" t="s">
        <v>169</v>
      </c>
    </row>
    <row r="7" spans="3:11" x14ac:dyDescent="0.25">
      <c r="C7" s="49" t="s">
        <v>170</v>
      </c>
      <c r="D7" s="50">
        <v>40.078171978352394</v>
      </c>
      <c r="E7" s="50">
        <v>14007.817197835238</v>
      </c>
      <c r="F7" s="50">
        <v>20.391489774905615</v>
      </c>
      <c r="G7" s="50">
        <v>17467.428999906271</v>
      </c>
      <c r="H7" s="50">
        <v>20.215559250501514</v>
      </c>
      <c r="I7" s="50">
        <v>25132.838840188808</v>
      </c>
      <c r="J7" s="50">
        <v>12.511947761554797</v>
      </c>
      <c r="K7" s="50">
        <v>186360</v>
      </c>
    </row>
    <row r="8" spans="3:11" x14ac:dyDescent="0.25">
      <c r="C8" s="49" t="s">
        <v>171</v>
      </c>
      <c r="D8" s="50">
        <v>38.940092221944035</v>
      </c>
      <c r="E8" s="50">
        <v>13894.009222194403</v>
      </c>
      <c r="F8" s="50">
        <v>21.043442296719526</v>
      </c>
      <c r="G8" s="50">
        <v>17734.69801146429</v>
      </c>
      <c r="H8" s="50">
        <v>22.514273579529998</v>
      </c>
      <c r="I8" s="50">
        <v>27601.548442024334</v>
      </c>
      <c r="J8" s="50">
        <v>0</v>
      </c>
      <c r="K8" s="50">
        <v>0</v>
      </c>
    </row>
    <row r="9" spans="3:11" x14ac:dyDescent="0.25">
      <c r="C9" s="49" t="s">
        <v>172</v>
      </c>
      <c r="D9" s="50">
        <v>27.841336154460539</v>
      </c>
      <c r="E9" s="50">
        <v>12784.133615446053</v>
      </c>
      <c r="F9" s="50">
        <v>17.860623990895984</v>
      </c>
      <c r="G9" s="50">
        <v>16372.168593280918</v>
      </c>
      <c r="H9" s="50">
        <v>18.898333952243519</v>
      </c>
      <c r="I9" s="50">
        <v>23761.773172097164</v>
      </c>
      <c r="J9" s="50">
        <v>13.41037236999969</v>
      </c>
      <c r="K9" s="50">
        <v>354481.33939569251</v>
      </c>
    </row>
    <row r="10" spans="3:11" x14ac:dyDescent="0.25">
      <c r="C10" s="49" t="s">
        <v>173</v>
      </c>
      <c r="D10" s="51">
        <v>133.04</v>
      </c>
      <c r="E10" s="52"/>
      <c r="F10" s="51">
        <v>106.69</v>
      </c>
      <c r="G10" s="52"/>
      <c r="H10" s="51">
        <v>74.150000000000006</v>
      </c>
      <c r="I10" s="52"/>
      <c r="J10" s="51">
        <v>10</v>
      </c>
      <c r="K10" s="52"/>
    </row>
    <row r="12" spans="3:11" ht="15.75" x14ac:dyDescent="0.25">
      <c r="C12" s="43" t="s">
        <v>174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163</v>
      </c>
      <c r="D13" s="46" t="s">
        <v>164</v>
      </c>
      <c r="E13" s="46"/>
      <c r="F13" s="46" t="s">
        <v>165</v>
      </c>
      <c r="G13" s="46"/>
      <c r="H13" s="46" t="s">
        <v>166</v>
      </c>
      <c r="I13" s="46"/>
      <c r="J13" s="46" t="s">
        <v>167</v>
      </c>
      <c r="K13" s="46"/>
    </row>
    <row r="14" spans="3:11" ht="63.75" x14ac:dyDescent="0.25">
      <c r="C14" s="47"/>
      <c r="D14" s="48" t="s">
        <v>168</v>
      </c>
      <c r="E14" s="48" t="s">
        <v>169</v>
      </c>
      <c r="F14" s="48" t="s">
        <v>168</v>
      </c>
      <c r="G14" s="48" t="s">
        <v>169</v>
      </c>
      <c r="H14" s="48" t="s">
        <v>168</v>
      </c>
      <c r="I14" s="48" t="s">
        <v>169</v>
      </c>
      <c r="J14" s="48" t="s">
        <v>168</v>
      </c>
      <c r="K14" s="48" t="s">
        <v>169</v>
      </c>
    </row>
    <row r="15" spans="3:11" x14ac:dyDescent="0.25">
      <c r="C15" s="49" t="s">
        <v>170</v>
      </c>
      <c r="D15" s="50">
        <v>40.981432360742723</v>
      </c>
      <c r="E15" s="50">
        <v>14098.143236074273</v>
      </c>
      <c r="F15" s="50">
        <v>21.204941634409447</v>
      </c>
      <c r="G15" s="50">
        <v>17824.552113670463</v>
      </c>
      <c r="H15" s="50">
        <v>21.048814415473615</v>
      </c>
      <c r="I15" s="50">
        <v>26017.003735669205</v>
      </c>
      <c r="J15" s="50">
        <v>15.330139187676405</v>
      </c>
      <c r="K15" s="50">
        <v>52202.119410700434</v>
      </c>
    </row>
    <row r="16" spans="3:11" x14ac:dyDescent="0.25">
      <c r="C16" s="49" t="s">
        <v>171</v>
      </c>
      <c r="D16" s="50">
        <v>38.940092221944035</v>
      </c>
      <c r="E16" s="50">
        <v>13894.009222194403</v>
      </c>
      <c r="F16" s="50">
        <v>21.043442296719526</v>
      </c>
      <c r="G16" s="50">
        <v>17734.69801146429</v>
      </c>
      <c r="H16" s="50">
        <v>22.514273579529998</v>
      </c>
      <c r="I16" s="50">
        <v>27601.548442024334</v>
      </c>
      <c r="J16" s="50">
        <v>16.133895138621135</v>
      </c>
      <c r="K16" s="50">
        <v>56576.289900397023</v>
      </c>
    </row>
    <row r="17" spans="3:11" x14ac:dyDescent="0.25">
      <c r="C17" s="49" t="s">
        <v>172</v>
      </c>
      <c r="D17" s="50">
        <v>27.841336154460539</v>
      </c>
      <c r="E17" s="50">
        <v>12784.133615446053</v>
      </c>
      <c r="F17" s="50">
        <v>17.860623990895984</v>
      </c>
      <c r="G17" s="50">
        <v>16372.168593280918</v>
      </c>
      <c r="H17" s="50">
        <v>18.898333952243519</v>
      </c>
      <c r="I17" s="50">
        <v>23761.773172097164</v>
      </c>
      <c r="J17" s="50">
        <v>14.560994497432155</v>
      </c>
      <c r="K17" s="50">
        <v>48307.867653401896</v>
      </c>
    </row>
    <row r="18" spans="3:11" x14ac:dyDescent="0.25">
      <c r="C18" s="49" t="s">
        <v>175</v>
      </c>
      <c r="D18" s="51">
        <v>143.26</v>
      </c>
      <c r="E18" s="52"/>
      <c r="F18" s="51">
        <v>113.31</v>
      </c>
      <c r="G18" s="52"/>
      <c r="H18" s="51">
        <v>77.63</v>
      </c>
      <c r="I18" s="52"/>
      <c r="J18" s="51">
        <v>38.69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2024-08-05T09:04:01Z</dcterms:created>
  <dcterms:modified xsi:type="dcterms:W3CDTF">2024-08-07T10:16:02Z</dcterms:modified>
</cp:coreProperties>
</file>