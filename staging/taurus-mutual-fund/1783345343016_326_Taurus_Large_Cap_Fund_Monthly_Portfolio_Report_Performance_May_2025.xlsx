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3. June 2025\Monthly Portfolio May 2025\Ops\"/>
    </mc:Choice>
  </mc:AlternateContent>
  <xr:revisionPtr revIDLastSave="0" documentId="13_ncr:1_{31153DE4-9818-4F3C-A338-C8B90128118E}" xr6:coauthVersionLast="47" xr6:coauthVersionMax="47" xr10:uidLastSave="{00000000-0000-0000-0000-000000000000}"/>
  <bookViews>
    <workbookView xWindow="-120" yWindow="-120" windowWidth="20730" windowHeight="11040" xr2:uid="{C3C0D824-2D61-4DBB-83A7-5CACB2ED13E8}"/>
  </bookViews>
  <sheets>
    <sheet name="TBF" sheetId="1" r:id="rId1"/>
    <sheet name="TBF Performance" sheetId="2" r:id="rId2"/>
  </sheets>
  <externalReferences>
    <externalReference r:id="rId3"/>
  </externalReferences>
  <definedNames>
    <definedName name="XDO_?AUM?">TBF!$H$13</definedName>
    <definedName name="XDO_?CLASS_3?">TBF!$C$8:$C$41</definedName>
    <definedName name="XDO_?CLASS_4?">TBF!$C$9</definedName>
    <definedName name="XDO_?CS_1?">TBF!$H$11</definedName>
    <definedName name="XDO_?CS_2?">TBF!$I$11</definedName>
    <definedName name="XDO_?FINAL_ISIN?">TBF!$D$10:$D$86</definedName>
    <definedName name="XDO_?FINAL_MV?">TBF!$H$10:$H$86</definedName>
    <definedName name="XDO_?FINAL_NAME?">TBF!$C$10:$C$86</definedName>
    <definedName name="XDO_?FINAL_PER_NET?">TBF!$I$10:$I$86</definedName>
    <definedName name="XDO_?FINAL_QUANTITE?">TBF!$G$10:$G$86</definedName>
    <definedName name="XDO_?IND_01?">TBF!$F$10:$F$86</definedName>
    <definedName name="XDO_?LONG_DESC?">TBF!$D$3</definedName>
    <definedName name="XDO_?NAMC?">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">TBF!$C$2:$C$41</definedName>
    <definedName name="XDO_?NDATE?">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">TBF!$B$10:$B$86</definedName>
    <definedName name="XDO_?NPTF?">TBF!$D$2:$D$41</definedName>
    <definedName name="XDO_?RATING?">TBF!$E$10:$E$86</definedName>
    <definedName name="XDO_?REMARKS?">TBF!$J$10:$J$86</definedName>
    <definedName name="XDO_?TDATE?">TBF!$D$4</definedName>
    <definedName name="XDO_?TITL?">TBF!$A$8:$A$41</definedName>
    <definedName name="XDO_GROUP_?G_2?">TBF!$2:$89</definedName>
    <definedName name="XDO_GROUP_?G_3?">TBF!$8:$88</definedName>
    <definedName name="XDO_GROUP_?G_4?">TBF!$B$86:$IV$86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9" i="1" l="1"/>
</calcChain>
</file>

<file path=xl/sharedStrings.xml><?xml version="1.0" encoding="utf-8"?>
<sst xmlns="http://schemas.openxmlformats.org/spreadsheetml/2006/main" count="265" uniqueCount="198">
  <si>
    <t>TAURUS MUTUAL FUND</t>
  </si>
  <si>
    <t>TBF</t>
  </si>
  <si>
    <t>SCHEME NAME :</t>
  </si>
  <si>
    <t>Taurus Large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</si>
  <si>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</si>
  <si>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</si>
  <si>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</si>
  <si>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</si>
  <si>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</si>
  <si>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</si>
  <si>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</si>
  <si>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</si>
  <si>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</si>
  <si>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</si>
  <si>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</si>
  <si>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100019</t>
  </si>
  <si>
    <t>ITC Ltd.</t>
  </si>
  <si>
    <t>INE154A01025</t>
  </si>
  <si>
    <t>Diversified FMCG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</si>
  <si>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</si>
  <si>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</si>
  <si>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</si>
  <si>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</si>
  <si>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</si>
  <si>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</si>
  <si>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</si>
  <si>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100014</t>
  </si>
  <si>
    <t>Mahindra &amp; Mahindra Ltd.</t>
  </si>
  <si>
    <t>INE101A01026</t>
  </si>
  <si>
    <t>Automobiles</t>
  </si>
  <si>
    <t>100169</t>
  </si>
  <si>
    <t>Indian Oil Corporation Ltd.</t>
  </si>
  <si>
    <t>INE242A01010</t>
  </si>
  <si>
    <t>Petroleum Products</t>
  </si>
  <si>
    <t>100010</t>
  </si>
  <si>
    <t>State Bank of India</t>
  </si>
  <si>
    <t>INE062A01020</t>
  </si>
  <si>
    <t>100002</t>
  </si>
  <si>
    <t>Reliance Industries Ltd.</t>
  </si>
  <si>
    <t>INE002A01018</t>
  </si>
  <si>
    <t>101313</t>
  </si>
  <si>
    <t>Eternal Ltd.</t>
  </si>
  <si>
    <t>INE758T01015</t>
  </si>
  <si>
    <t>Retailing</t>
  </si>
  <si>
    <t>100024</t>
  </si>
  <si>
    <t>Axis Bank Ltd.</t>
  </si>
  <si>
    <t>INE238A01034</t>
  </si>
  <si>
    <t>100182</t>
  </si>
  <si>
    <t>Power Grid Corporation of India Ltd.</t>
  </si>
  <si>
    <t>INE752E01010</t>
  </si>
  <si>
    <t>Power</t>
  </si>
  <si>
    <t>100380</t>
  </si>
  <si>
    <t>Bajaj Finserv Ltd.</t>
  </si>
  <si>
    <t>INE918I01026</t>
  </si>
  <si>
    <t>Finance</t>
  </si>
  <si>
    <t>100095</t>
  </si>
  <si>
    <t>Bharti Airtel Ltd.</t>
  </si>
  <si>
    <t>INE397D01024</t>
  </si>
  <si>
    <t>Telecom - Services</t>
  </si>
  <si>
    <t>100302</t>
  </si>
  <si>
    <t>DLF Ltd.</t>
  </si>
  <si>
    <t>INE271C01023</t>
  </si>
  <si>
    <t>Realty</t>
  </si>
  <si>
    <t>100153</t>
  </si>
  <si>
    <t>Cipla Ltd.</t>
  </si>
  <si>
    <t>INE059A01026</t>
  </si>
  <si>
    <t>Pharmaceuticals &amp; Biotechnology</t>
  </si>
  <si>
    <t>100759</t>
  </si>
  <si>
    <t>The New India Assurance Co. Ltd.</t>
  </si>
  <si>
    <t>INE470Y01017</t>
  </si>
  <si>
    <t>Insurance</t>
  </si>
  <si>
    <t>100097</t>
  </si>
  <si>
    <t>Coal India Ltd.</t>
  </si>
  <si>
    <t>INE522F01014</t>
  </si>
  <si>
    <t>Consumable Fuels</t>
  </si>
  <si>
    <t>100830</t>
  </si>
  <si>
    <t>Varun Beverages Ltd.</t>
  </si>
  <si>
    <t>INE200M01039</t>
  </si>
  <si>
    <t>Beverages</t>
  </si>
  <si>
    <t>100111</t>
  </si>
  <si>
    <t>Oil &amp; Natural Gas Corporation Ltd.</t>
  </si>
  <si>
    <t>INE213A01029</t>
  </si>
  <si>
    <t>Oil</t>
  </si>
  <si>
    <t>102520</t>
  </si>
  <si>
    <t>Transrail Lighting Ltd.</t>
  </si>
  <si>
    <t>INE454P01035</t>
  </si>
  <si>
    <t>Electrical Equipment</t>
  </si>
  <si>
    <t>100083</t>
  </si>
  <si>
    <t>Samvardhana Motherson International Ltd.</t>
  </si>
  <si>
    <t>INE775A01035</t>
  </si>
  <si>
    <t>Auto Components</t>
  </si>
  <si>
    <t>100008</t>
  </si>
  <si>
    <t>Sun Pharmaceutical Industries Ltd.</t>
  </si>
  <si>
    <t>INE044A01036</t>
  </si>
  <si>
    <t>100399</t>
  </si>
  <si>
    <t>Cholamandalam Investment &amp; Finance Co. Ltd.</t>
  </si>
  <si>
    <t>INE121A01024</t>
  </si>
  <si>
    <t>100566</t>
  </si>
  <si>
    <t>Laurus Labs Ltd.</t>
  </si>
  <si>
    <t>INE947Q01028</t>
  </si>
  <si>
    <t>100005</t>
  </si>
  <si>
    <t>Larsen &amp; Toubro Ltd.</t>
  </si>
  <si>
    <t>INE018A01030</t>
  </si>
  <si>
    <t>Construction</t>
  </si>
  <si>
    <t>102005</t>
  </si>
  <si>
    <t>Tata Technologies Ltd.</t>
  </si>
  <si>
    <t>INE142M01025</t>
  </si>
  <si>
    <t>IT - Services</t>
  </si>
  <si>
    <t>100003</t>
  </si>
  <si>
    <t>Infosys Ltd.</t>
  </si>
  <si>
    <t>INE009A01021</t>
  </si>
  <si>
    <t>IT - Software</t>
  </si>
  <si>
    <t>100037</t>
  </si>
  <si>
    <t>HCL Technologies Ltd.</t>
  </si>
  <si>
    <t>INE860A01027</t>
  </si>
  <si>
    <t>100106</t>
  </si>
  <si>
    <t>Maruti Suzuki India Ltd.</t>
  </si>
  <si>
    <t>INE585B01010</t>
  </si>
  <si>
    <t>100155</t>
  </si>
  <si>
    <t>Divi's Laboratories Ltd.</t>
  </si>
  <si>
    <t>INE361B01024</t>
  </si>
  <si>
    <t>100081</t>
  </si>
  <si>
    <t>Titan Company Ltd.</t>
  </si>
  <si>
    <t>INE280A01028</t>
  </si>
  <si>
    <t>Consumer Durables</t>
  </si>
  <si>
    <t>100011</t>
  </si>
  <si>
    <t>Wipro Ltd.</t>
  </si>
  <si>
    <t>INE075A01022</t>
  </si>
  <si>
    <t>100177</t>
  </si>
  <si>
    <t>Grasim Industries Ltd.</t>
  </si>
  <si>
    <t>INE047A01021</t>
  </si>
  <si>
    <t>Cement &amp; Cement Products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</si>
  <si>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</si>
  <si>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</si>
  <si>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</si>
  <si>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</si>
  <si>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</si>
  <si>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</si>
  <si>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</si>
  <si>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</si>
  <si>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</si>
  <si>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</si>
  <si>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</si>
  <si>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</si>
  <si>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</si>
  <si>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</si>
  <si>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</si>
  <si>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</si>
  <si>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</si>
  <si>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</si>
  <si>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</si>
  <si>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</si>
  <si>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</si>
  <si>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</si>
  <si>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206250100</t>
  </si>
  <si>
    <t>TREPS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</si>
  <si>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</si>
  <si>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</si>
  <si>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</si>
  <si>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</si>
  <si>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</si>
  <si>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</si>
  <si>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</si>
  <si>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 Total NPAs provided for and its percentage to NAV is Nil.</t>
  </si>
  <si>
    <t>4.  Total Value and percentage of illiquid equity shares is Nil.</t>
  </si>
  <si>
    <t>5.  Net Assets Value per unit (in Rupees) are as follows:</t>
  </si>
  <si>
    <t>NAV per unit</t>
  </si>
  <si>
    <t>Plan/Option</t>
  </si>
  <si>
    <t>As on</t>
  </si>
  <si>
    <t>April 30, 2025</t>
  </si>
  <si>
    <t>May 31,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</si>
  <si>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</si>
  <si>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</si>
  <si>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</si>
  <si>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</si>
  <si>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  May 31, 2025.</t>
  </si>
  <si>
    <t>7. The Scheme did not declare any bonus during the month ended As on  May 31, 2025.</t>
  </si>
  <si>
    <t>8. Total outstanding exposure in derivative instruments as on As on  May 31, 2025 is Nil</t>
  </si>
  <si>
    <t>9. Total investments in Foreign Securities /ADRs/GDRs /Overseas ETFs as at As on  May 31, 2025 and its percentage to NAV is Nil.</t>
  </si>
  <si>
    <t>10. During the period, the portfolio turnover ratio is 0.86 times.</t>
  </si>
  <si>
    <t>      Portfolio Turnover Ratio = Lower of sales or purchase of securities divided by average AUM for 12 months ended As on  May 31, 2025</t>
  </si>
  <si>
    <t>11. The Scheme did not invest in repo transactions of corporate debt securities during the month ended As on  May 31, 2025.</t>
  </si>
  <si>
    <t>12. The Scheme did not invest in credit default swaps during the month ended As on  May 31, 2025.</t>
  </si>
  <si>
    <t>13. There are Nil instances of deviation from the valuation principles/guidelines during the month ended as on May 31st, 2025.</t>
  </si>
  <si>
    <t>Taurus Largecap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</si>
  <si>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</si>
  <si>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</si>
  <si>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</si>
  <si>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</si>
  <si>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</si>
  <si>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</si>
  <si>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</si>
  <si>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</si>
  <si>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BSE 100 TRI (Benchmark)</t>
  </si>
  <si>
    <t>Nifty 50 TRI (Additional Benchmark)</t>
  </si>
  <si>
    <t>NAV [Rs.] Per Unit (as on May 30,2025 :154.03)</t>
  </si>
  <si>
    <t>Taurus Largecap Fund - Direct Plan Growth Option</t>
  </si>
  <si>
    <t>NAV [Rs.] Per Unit (as on May 30,2025 :162.91)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</si>
</sst>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1" fillId="0" borderId="13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  <xf numFmtId="0" fontId="14" fillId="0" borderId="13" xfId="0" applyFont="1" applyBorder="1"/>
  </cellXfs>
  <cellStyles count="6">
    <cellStyle name="Comma" xfId="1" builtinId="3"/>
    <cellStyle name="Comma 2" xfId="5" xr:uid="{8FB9FFB4-1327-40CE-BEFF-60C6DB8B6E05}"/>
    <cellStyle name="Hyperlink" xfId="2" builtinId="8"/>
    <cellStyle name="Normal" xfId="0" builtinId="0"/>
    <cellStyle name="Normal 2" xfId="4" xr:uid="{2699D1AE-68AC-4F1C-AEA0-96E64F005DEA}"/>
    <cellStyle name="Style 1" xfId="3" xr:uid="{D9C78A61-24BA-4E9F-9766-585A8C2C26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379814</xdr:colOff>
      <xdr:row>0</xdr:row>
      <xdr:rowOff>1908048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8A07DF-16F1-44E8-A81D-28E1907F8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0"/>
          <a:ext cx="7100231" cy="19080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May_2025\Final\TMF_Monthly_Portfolio_Report_May%2025.xls" TargetMode="External"/><Relationship Id="rId1" Type="http://schemas.openxmlformats.org/officeDocument/2006/relationships/externalLinkPath" Target="file:///Q:\5.TMF\Reporting\Monthly%20Reports\Monthly%20Portfolio\2025-26\May_2025\Final\TMF_Monthly_Portfolio_Report_May%20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5760E-A147-49BF-A8A9-0CFF833493CA}">
  <sheetPr codeName="Sheet1"/>
  <dimension ref="A1:BB115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62.28515625" style="2" customWidth="1"/>
    <col min="4" max="4" width="26" style="2" customWidth="1"/>
    <col min="5" max="5" width="12.5703125" style="2" bestFit="1" customWidth="1"/>
    <col min="6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114.5703125" style="2" bestFit="1" customWidth="1"/>
    <col min="260" max="260" width="26" style="2" customWidth="1"/>
    <col min="261" max="261" width="12.5703125" style="2" bestFit="1" customWidth="1"/>
    <col min="262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114.5703125" style="2" bestFit="1" customWidth="1"/>
    <col min="516" max="516" width="26" style="2" customWidth="1"/>
    <col min="517" max="517" width="12.5703125" style="2" bestFit="1" customWidth="1"/>
    <col min="518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114.5703125" style="2" bestFit="1" customWidth="1"/>
    <col min="772" max="772" width="26" style="2" customWidth="1"/>
    <col min="773" max="773" width="12.5703125" style="2" bestFit="1" customWidth="1"/>
    <col min="774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114.5703125" style="2" bestFit="1" customWidth="1"/>
    <col min="1028" max="1028" width="26" style="2" customWidth="1"/>
    <col min="1029" max="1029" width="12.5703125" style="2" bestFit="1" customWidth="1"/>
    <col min="1030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114.5703125" style="2" bestFit="1" customWidth="1"/>
    <col min="1284" max="1284" width="26" style="2" customWidth="1"/>
    <col min="1285" max="1285" width="12.5703125" style="2" bestFit="1" customWidth="1"/>
    <col min="1286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114.5703125" style="2" bestFit="1" customWidth="1"/>
    <col min="1540" max="1540" width="26" style="2" customWidth="1"/>
    <col min="1541" max="1541" width="12.5703125" style="2" bestFit="1" customWidth="1"/>
    <col min="1542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114.5703125" style="2" bestFit="1" customWidth="1"/>
    <col min="1796" max="1796" width="26" style="2" customWidth="1"/>
    <col min="1797" max="1797" width="12.5703125" style="2" bestFit="1" customWidth="1"/>
    <col min="1798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114.5703125" style="2" bestFit="1" customWidth="1"/>
    <col min="2052" max="2052" width="26" style="2" customWidth="1"/>
    <col min="2053" max="2053" width="12.5703125" style="2" bestFit="1" customWidth="1"/>
    <col min="2054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114.5703125" style="2" bestFit="1" customWidth="1"/>
    <col min="2308" max="2308" width="26" style="2" customWidth="1"/>
    <col min="2309" max="2309" width="12.5703125" style="2" bestFit="1" customWidth="1"/>
    <col min="2310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114.5703125" style="2" bestFit="1" customWidth="1"/>
    <col min="2564" max="2564" width="26" style="2" customWidth="1"/>
    <col min="2565" max="2565" width="12.5703125" style="2" bestFit="1" customWidth="1"/>
    <col min="2566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114.5703125" style="2" bestFit="1" customWidth="1"/>
    <col min="2820" max="2820" width="26" style="2" customWidth="1"/>
    <col min="2821" max="2821" width="12.5703125" style="2" bestFit="1" customWidth="1"/>
    <col min="2822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114.5703125" style="2" bestFit="1" customWidth="1"/>
    <col min="3076" max="3076" width="26" style="2" customWidth="1"/>
    <col min="3077" max="3077" width="12.5703125" style="2" bestFit="1" customWidth="1"/>
    <col min="3078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114.5703125" style="2" bestFit="1" customWidth="1"/>
    <col min="3332" max="3332" width="26" style="2" customWidth="1"/>
    <col min="3333" max="3333" width="12.5703125" style="2" bestFit="1" customWidth="1"/>
    <col min="3334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114.5703125" style="2" bestFit="1" customWidth="1"/>
    <col min="3588" max="3588" width="26" style="2" customWidth="1"/>
    <col min="3589" max="3589" width="12.5703125" style="2" bestFit="1" customWidth="1"/>
    <col min="3590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114.5703125" style="2" bestFit="1" customWidth="1"/>
    <col min="3844" max="3844" width="26" style="2" customWidth="1"/>
    <col min="3845" max="3845" width="12.5703125" style="2" bestFit="1" customWidth="1"/>
    <col min="3846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114.5703125" style="2" bestFit="1" customWidth="1"/>
    <col min="4100" max="4100" width="26" style="2" customWidth="1"/>
    <col min="4101" max="4101" width="12.5703125" style="2" bestFit="1" customWidth="1"/>
    <col min="4102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114.5703125" style="2" bestFit="1" customWidth="1"/>
    <col min="4356" max="4356" width="26" style="2" customWidth="1"/>
    <col min="4357" max="4357" width="12.5703125" style="2" bestFit="1" customWidth="1"/>
    <col min="4358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114.5703125" style="2" bestFit="1" customWidth="1"/>
    <col min="4612" max="4612" width="26" style="2" customWidth="1"/>
    <col min="4613" max="4613" width="12.5703125" style="2" bestFit="1" customWidth="1"/>
    <col min="4614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114.5703125" style="2" bestFit="1" customWidth="1"/>
    <col min="4868" max="4868" width="26" style="2" customWidth="1"/>
    <col min="4869" max="4869" width="12.5703125" style="2" bestFit="1" customWidth="1"/>
    <col min="4870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114.5703125" style="2" bestFit="1" customWidth="1"/>
    <col min="5124" max="5124" width="26" style="2" customWidth="1"/>
    <col min="5125" max="5125" width="12.5703125" style="2" bestFit="1" customWidth="1"/>
    <col min="5126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114.5703125" style="2" bestFit="1" customWidth="1"/>
    <col min="5380" max="5380" width="26" style="2" customWidth="1"/>
    <col min="5381" max="5381" width="12.5703125" style="2" bestFit="1" customWidth="1"/>
    <col min="5382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114.5703125" style="2" bestFit="1" customWidth="1"/>
    <col min="5636" max="5636" width="26" style="2" customWidth="1"/>
    <col min="5637" max="5637" width="12.5703125" style="2" bestFit="1" customWidth="1"/>
    <col min="5638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114.5703125" style="2" bestFit="1" customWidth="1"/>
    <col min="5892" max="5892" width="26" style="2" customWidth="1"/>
    <col min="5893" max="5893" width="12.5703125" style="2" bestFit="1" customWidth="1"/>
    <col min="5894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114.5703125" style="2" bestFit="1" customWidth="1"/>
    <col min="6148" max="6148" width="26" style="2" customWidth="1"/>
    <col min="6149" max="6149" width="12.5703125" style="2" bestFit="1" customWidth="1"/>
    <col min="6150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114.5703125" style="2" bestFit="1" customWidth="1"/>
    <col min="6404" max="6404" width="26" style="2" customWidth="1"/>
    <col min="6405" max="6405" width="12.5703125" style="2" bestFit="1" customWidth="1"/>
    <col min="6406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114.5703125" style="2" bestFit="1" customWidth="1"/>
    <col min="6660" max="6660" width="26" style="2" customWidth="1"/>
    <col min="6661" max="6661" width="12.5703125" style="2" bestFit="1" customWidth="1"/>
    <col min="6662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114.5703125" style="2" bestFit="1" customWidth="1"/>
    <col min="6916" max="6916" width="26" style="2" customWidth="1"/>
    <col min="6917" max="6917" width="12.5703125" style="2" bestFit="1" customWidth="1"/>
    <col min="6918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114.5703125" style="2" bestFit="1" customWidth="1"/>
    <col min="7172" max="7172" width="26" style="2" customWidth="1"/>
    <col min="7173" max="7173" width="12.5703125" style="2" bestFit="1" customWidth="1"/>
    <col min="7174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114.5703125" style="2" bestFit="1" customWidth="1"/>
    <col min="7428" max="7428" width="26" style="2" customWidth="1"/>
    <col min="7429" max="7429" width="12.5703125" style="2" bestFit="1" customWidth="1"/>
    <col min="7430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114.5703125" style="2" bestFit="1" customWidth="1"/>
    <col min="7684" max="7684" width="26" style="2" customWidth="1"/>
    <col min="7685" max="7685" width="12.5703125" style="2" bestFit="1" customWidth="1"/>
    <col min="7686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114.5703125" style="2" bestFit="1" customWidth="1"/>
    <col min="7940" max="7940" width="26" style="2" customWidth="1"/>
    <col min="7941" max="7941" width="12.5703125" style="2" bestFit="1" customWidth="1"/>
    <col min="7942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114.5703125" style="2" bestFit="1" customWidth="1"/>
    <col min="8196" max="8196" width="26" style="2" customWidth="1"/>
    <col min="8197" max="8197" width="12.5703125" style="2" bestFit="1" customWidth="1"/>
    <col min="8198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114.5703125" style="2" bestFit="1" customWidth="1"/>
    <col min="8452" max="8452" width="26" style="2" customWidth="1"/>
    <col min="8453" max="8453" width="12.5703125" style="2" bestFit="1" customWidth="1"/>
    <col min="8454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114.5703125" style="2" bestFit="1" customWidth="1"/>
    <col min="8708" max="8708" width="26" style="2" customWidth="1"/>
    <col min="8709" max="8709" width="12.5703125" style="2" bestFit="1" customWidth="1"/>
    <col min="8710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114.5703125" style="2" bestFit="1" customWidth="1"/>
    <col min="8964" max="8964" width="26" style="2" customWidth="1"/>
    <col min="8965" max="8965" width="12.5703125" style="2" bestFit="1" customWidth="1"/>
    <col min="8966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114.5703125" style="2" bestFit="1" customWidth="1"/>
    <col min="9220" max="9220" width="26" style="2" customWidth="1"/>
    <col min="9221" max="9221" width="12.5703125" style="2" bestFit="1" customWidth="1"/>
    <col min="9222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114.5703125" style="2" bestFit="1" customWidth="1"/>
    <col min="9476" max="9476" width="26" style="2" customWidth="1"/>
    <col min="9477" max="9477" width="12.5703125" style="2" bestFit="1" customWidth="1"/>
    <col min="9478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114.5703125" style="2" bestFit="1" customWidth="1"/>
    <col min="9732" max="9732" width="26" style="2" customWidth="1"/>
    <col min="9733" max="9733" width="12.5703125" style="2" bestFit="1" customWidth="1"/>
    <col min="9734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114.5703125" style="2" bestFit="1" customWidth="1"/>
    <col min="9988" max="9988" width="26" style="2" customWidth="1"/>
    <col min="9989" max="9989" width="12.5703125" style="2" bestFit="1" customWidth="1"/>
    <col min="9990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114.5703125" style="2" bestFit="1" customWidth="1"/>
    <col min="10244" max="10244" width="26" style="2" customWidth="1"/>
    <col min="10245" max="10245" width="12.5703125" style="2" bestFit="1" customWidth="1"/>
    <col min="10246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114.5703125" style="2" bestFit="1" customWidth="1"/>
    <col min="10500" max="10500" width="26" style="2" customWidth="1"/>
    <col min="10501" max="10501" width="12.5703125" style="2" bestFit="1" customWidth="1"/>
    <col min="10502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114.5703125" style="2" bestFit="1" customWidth="1"/>
    <col min="10756" max="10756" width="26" style="2" customWidth="1"/>
    <col min="10757" max="10757" width="12.5703125" style="2" bestFit="1" customWidth="1"/>
    <col min="10758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114.5703125" style="2" bestFit="1" customWidth="1"/>
    <col min="11012" max="11012" width="26" style="2" customWidth="1"/>
    <col min="11013" max="11013" width="12.5703125" style="2" bestFit="1" customWidth="1"/>
    <col min="11014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114.5703125" style="2" bestFit="1" customWidth="1"/>
    <col min="11268" max="11268" width="26" style="2" customWidth="1"/>
    <col min="11269" max="11269" width="12.5703125" style="2" bestFit="1" customWidth="1"/>
    <col min="11270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114.5703125" style="2" bestFit="1" customWidth="1"/>
    <col min="11524" max="11524" width="26" style="2" customWidth="1"/>
    <col min="11525" max="11525" width="12.5703125" style="2" bestFit="1" customWidth="1"/>
    <col min="11526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114.5703125" style="2" bestFit="1" customWidth="1"/>
    <col min="11780" max="11780" width="26" style="2" customWidth="1"/>
    <col min="11781" max="11781" width="12.5703125" style="2" bestFit="1" customWidth="1"/>
    <col min="11782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114.5703125" style="2" bestFit="1" customWidth="1"/>
    <col min="12036" max="12036" width="26" style="2" customWidth="1"/>
    <col min="12037" max="12037" width="12.5703125" style="2" bestFit="1" customWidth="1"/>
    <col min="12038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114.5703125" style="2" bestFit="1" customWidth="1"/>
    <col min="12292" max="12292" width="26" style="2" customWidth="1"/>
    <col min="12293" max="12293" width="12.5703125" style="2" bestFit="1" customWidth="1"/>
    <col min="12294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114.5703125" style="2" bestFit="1" customWidth="1"/>
    <col min="12548" max="12548" width="26" style="2" customWidth="1"/>
    <col min="12549" max="12549" width="12.5703125" style="2" bestFit="1" customWidth="1"/>
    <col min="12550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114.5703125" style="2" bestFit="1" customWidth="1"/>
    <col min="12804" max="12804" width="26" style="2" customWidth="1"/>
    <col min="12805" max="12805" width="12.5703125" style="2" bestFit="1" customWidth="1"/>
    <col min="12806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114.5703125" style="2" bestFit="1" customWidth="1"/>
    <col min="13060" max="13060" width="26" style="2" customWidth="1"/>
    <col min="13061" max="13061" width="12.5703125" style="2" bestFit="1" customWidth="1"/>
    <col min="13062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114.5703125" style="2" bestFit="1" customWidth="1"/>
    <col min="13316" max="13316" width="26" style="2" customWidth="1"/>
    <col min="13317" max="13317" width="12.5703125" style="2" bestFit="1" customWidth="1"/>
    <col min="13318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114.5703125" style="2" bestFit="1" customWidth="1"/>
    <col min="13572" max="13572" width="26" style="2" customWidth="1"/>
    <col min="13573" max="13573" width="12.5703125" style="2" bestFit="1" customWidth="1"/>
    <col min="13574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114.5703125" style="2" bestFit="1" customWidth="1"/>
    <col min="13828" max="13828" width="26" style="2" customWidth="1"/>
    <col min="13829" max="13829" width="12.5703125" style="2" bestFit="1" customWidth="1"/>
    <col min="13830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114.5703125" style="2" bestFit="1" customWidth="1"/>
    <col min="14084" max="14084" width="26" style="2" customWidth="1"/>
    <col min="14085" max="14085" width="12.5703125" style="2" bestFit="1" customWidth="1"/>
    <col min="14086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114.5703125" style="2" bestFit="1" customWidth="1"/>
    <col min="14340" max="14340" width="26" style="2" customWidth="1"/>
    <col min="14341" max="14341" width="12.5703125" style="2" bestFit="1" customWidth="1"/>
    <col min="14342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114.5703125" style="2" bestFit="1" customWidth="1"/>
    <col min="14596" max="14596" width="26" style="2" customWidth="1"/>
    <col min="14597" max="14597" width="12.5703125" style="2" bestFit="1" customWidth="1"/>
    <col min="14598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114.5703125" style="2" bestFit="1" customWidth="1"/>
    <col min="14852" max="14852" width="26" style="2" customWidth="1"/>
    <col min="14853" max="14853" width="12.5703125" style="2" bestFit="1" customWidth="1"/>
    <col min="14854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114.5703125" style="2" bestFit="1" customWidth="1"/>
    <col min="15108" max="15108" width="26" style="2" customWidth="1"/>
    <col min="15109" max="15109" width="12.5703125" style="2" bestFit="1" customWidth="1"/>
    <col min="15110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114.5703125" style="2" bestFit="1" customWidth="1"/>
    <col min="15364" max="15364" width="26" style="2" customWidth="1"/>
    <col min="15365" max="15365" width="12.5703125" style="2" bestFit="1" customWidth="1"/>
    <col min="15366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114.5703125" style="2" bestFit="1" customWidth="1"/>
    <col min="15620" max="15620" width="26" style="2" customWidth="1"/>
    <col min="15621" max="15621" width="12.5703125" style="2" bestFit="1" customWidth="1"/>
    <col min="15622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114.5703125" style="2" bestFit="1" customWidth="1"/>
    <col min="15876" max="15876" width="26" style="2" customWidth="1"/>
    <col min="15877" max="15877" width="12.5703125" style="2" bestFit="1" customWidth="1"/>
    <col min="15878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114.5703125" style="2" bestFit="1" customWidth="1"/>
    <col min="16132" max="16132" width="26" style="2" customWidth="1"/>
    <col min="16133" max="16133" width="12.5703125" style="2" bestFit="1" customWidth="1"/>
    <col min="16134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45808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103545</v>
      </c>
      <c r="H10" s="32">
        <v>432.71</v>
      </c>
      <c r="I10" s="32">
        <v>8.77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21562</v>
      </c>
      <c r="H11" s="32">
        <v>419.29</v>
      </c>
      <c r="I11" s="32">
        <v>8.5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22</v>
      </c>
      <c r="G12" s="31">
        <v>22452</v>
      </c>
      <c r="H12" s="32">
        <v>324.64</v>
      </c>
      <c r="I12" s="32">
        <v>6.58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9520</v>
      </c>
      <c r="H13" s="32">
        <v>283.55</v>
      </c>
      <c r="I13" s="32">
        <v>5.75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196230</v>
      </c>
      <c r="H14" s="32">
        <v>278.55</v>
      </c>
      <c r="I14" s="32">
        <v>5.65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22</v>
      </c>
      <c r="G15" s="31">
        <v>32804</v>
      </c>
      <c r="H15" s="32">
        <v>266.5</v>
      </c>
      <c r="I15" s="32">
        <v>5.4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33</v>
      </c>
      <c r="G16" s="31">
        <v>16131</v>
      </c>
      <c r="H16" s="32">
        <v>229.19</v>
      </c>
      <c r="I16" s="32">
        <v>4.6500000000000004</v>
      </c>
      <c r="J16" s="33"/>
    </row>
    <row r="17" spans="2:10" x14ac:dyDescent="0.25">
      <c r="B17" s="1" t="s">
        <v>40</v>
      </c>
      <c r="C17" s="20" t="s">
        <v>41</v>
      </c>
      <c r="D17" s="29" t="s">
        <v>42</v>
      </c>
      <c r="E17" s="30"/>
      <c r="F17" s="30" t="s">
        <v>43</v>
      </c>
      <c r="G17" s="31">
        <v>83623</v>
      </c>
      <c r="H17" s="32">
        <v>199.65</v>
      </c>
      <c r="I17" s="32">
        <v>4.05</v>
      </c>
      <c r="J17" s="33"/>
    </row>
    <row r="18" spans="2:10" x14ac:dyDescent="0.25">
      <c r="B18" s="1" t="s">
        <v>44</v>
      </c>
      <c r="C18" s="20" t="s">
        <v>45</v>
      </c>
      <c r="D18" s="29" t="s">
        <v>46</v>
      </c>
      <c r="E18" s="30"/>
      <c r="F18" s="30" t="s">
        <v>22</v>
      </c>
      <c r="G18" s="31">
        <v>14966</v>
      </c>
      <c r="H18" s="32">
        <v>178.4</v>
      </c>
      <c r="I18" s="32">
        <v>3.62</v>
      </c>
      <c r="J18" s="33"/>
    </row>
    <row r="19" spans="2:10" x14ac:dyDescent="0.25">
      <c r="B19" s="1" t="s">
        <v>47</v>
      </c>
      <c r="C19" s="20" t="s">
        <v>48</v>
      </c>
      <c r="D19" s="29" t="s">
        <v>49</v>
      </c>
      <c r="E19" s="30"/>
      <c r="F19" s="30" t="s">
        <v>50</v>
      </c>
      <c r="G19" s="31">
        <v>58197</v>
      </c>
      <c r="H19" s="32">
        <v>168.71</v>
      </c>
      <c r="I19" s="32">
        <v>3.42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54</v>
      </c>
      <c r="G20" s="31">
        <v>8025</v>
      </c>
      <c r="H20" s="32">
        <v>161.77000000000001</v>
      </c>
      <c r="I20" s="32">
        <v>3.28</v>
      </c>
      <c r="J20" s="33"/>
    </row>
    <row r="21" spans="2:10" x14ac:dyDescent="0.25">
      <c r="B21" s="1" t="s">
        <v>55</v>
      </c>
      <c r="C21" s="20" t="s">
        <v>56</v>
      </c>
      <c r="D21" s="29" t="s">
        <v>57</v>
      </c>
      <c r="E21" s="30"/>
      <c r="F21" s="30" t="s">
        <v>58</v>
      </c>
      <c r="G21" s="31">
        <v>8126</v>
      </c>
      <c r="H21" s="32">
        <v>150.88</v>
      </c>
      <c r="I21" s="32">
        <v>3.06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62</v>
      </c>
      <c r="G22" s="31">
        <v>18195</v>
      </c>
      <c r="H22" s="32">
        <v>145.06</v>
      </c>
      <c r="I22" s="32">
        <v>2.94</v>
      </c>
      <c r="J22" s="33"/>
    </row>
    <row r="23" spans="2:10" x14ac:dyDescent="0.25">
      <c r="B23" s="1" t="s">
        <v>63</v>
      </c>
      <c r="C23" s="20" t="s">
        <v>64</v>
      </c>
      <c r="D23" s="29" t="s">
        <v>65</v>
      </c>
      <c r="E23" s="30"/>
      <c r="F23" s="30" t="s">
        <v>66</v>
      </c>
      <c r="G23" s="31">
        <v>9475</v>
      </c>
      <c r="H23" s="32">
        <v>138.79</v>
      </c>
      <c r="I23" s="32">
        <v>2.81</v>
      </c>
      <c r="J23" s="33"/>
    </row>
    <row r="24" spans="2:10" x14ac:dyDescent="0.25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73035</v>
      </c>
      <c r="H24" s="32">
        <v>135.99</v>
      </c>
      <c r="I24" s="32">
        <v>2.76</v>
      </c>
      <c r="J24" s="33"/>
    </row>
    <row r="25" spans="2:10" x14ac:dyDescent="0.25">
      <c r="B25" s="1" t="s">
        <v>71</v>
      </c>
      <c r="C25" s="20" t="s">
        <v>72</v>
      </c>
      <c r="D25" s="29" t="s">
        <v>73</v>
      </c>
      <c r="E25" s="30"/>
      <c r="F25" s="30" t="s">
        <v>74</v>
      </c>
      <c r="G25" s="31">
        <v>32167</v>
      </c>
      <c r="H25" s="32">
        <v>127.78</v>
      </c>
      <c r="I25" s="32">
        <v>2.59</v>
      </c>
      <c r="J25" s="33"/>
    </row>
    <row r="26" spans="2:10" x14ac:dyDescent="0.25">
      <c r="B26" s="1" t="s">
        <v>75</v>
      </c>
      <c r="C26" s="20" t="s">
        <v>76</v>
      </c>
      <c r="D26" s="29" t="s">
        <v>77</v>
      </c>
      <c r="E26" s="30"/>
      <c r="F26" s="30" t="s">
        <v>78</v>
      </c>
      <c r="G26" s="31">
        <v>24495</v>
      </c>
      <c r="H26" s="32">
        <v>116.57</v>
      </c>
      <c r="I26" s="32">
        <v>2.36</v>
      </c>
      <c r="J26" s="33"/>
    </row>
    <row r="27" spans="2:10" x14ac:dyDescent="0.25">
      <c r="B27" s="1" t="s">
        <v>79</v>
      </c>
      <c r="C27" s="20" t="s">
        <v>80</v>
      </c>
      <c r="D27" s="29" t="s">
        <v>81</v>
      </c>
      <c r="E27" s="30"/>
      <c r="F27" s="30" t="s">
        <v>82</v>
      </c>
      <c r="G27" s="31">
        <v>42238</v>
      </c>
      <c r="H27" s="32">
        <v>101.14</v>
      </c>
      <c r="I27" s="32">
        <v>2.0499999999999998</v>
      </c>
      <c r="J27" s="33"/>
    </row>
    <row r="28" spans="2:10" x14ac:dyDescent="0.25">
      <c r="B28" s="1" t="s">
        <v>83</v>
      </c>
      <c r="C28" s="20" t="s">
        <v>84</v>
      </c>
      <c r="D28" s="29" t="s">
        <v>85</v>
      </c>
      <c r="E28" s="30"/>
      <c r="F28" s="30" t="s">
        <v>86</v>
      </c>
      <c r="G28" s="31">
        <v>16391</v>
      </c>
      <c r="H28" s="32">
        <v>99.76</v>
      </c>
      <c r="I28" s="32">
        <v>2.02</v>
      </c>
      <c r="J28" s="33"/>
    </row>
    <row r="29" spans="2:10" x14ac:dyDescent="0.25">
      <c r="B29" s="1" t="s">
        <v>87</v>
      </c>
      <c r="C29" s="20" t="s">
        <v>88</v>
      </c>
      <c r="D29" s="29" t="s">
        <v>89</v>
      </c>
      <c r="E29" s="30"/>
      <c r="F29" s="30" t="s">
        <v>90</v>
      </c>
      <c r="G29" s="31">
        <v>57492</v>
      </c>
      <c r="H29" s="32">
        <v>87.96</v>
      </c>
      <c r="I29" s="32">
        <v>1.78</v>
      </c>
      <c r="J29" s="33"/>
    </row>
    <row r="30" spans="2:10" x14ac:dyDescent="0.25">
      <c r="B30" s="1" t="s">
        <v>91</v>
      </c>
      <c r="C30" s="20" t="s">
        <v>92</v>
      </c>
      <c r="D30" s="29" t="s">
        <v>93</v>
      </c>
      <c r="E30" s="30"/>
      <c r="F30" s="30" t="s">
        <v>66</v>
      </c>
      <c r="G30" s="31">
        <v>5074</v>
      </c>
      <c r="H30" s="32">
        <v>85.16</v>
      </c>
      <c r="I30" s="32">
        <v>1.73</v>
      </c>
      <c r="J30" s="33"/>
    </row>
    <row r="31" spans="2:10" x14ac:dyDescent="0.25">
      <c r="B31" s="1" t="s">
        <v>94</v>
      </c>
      <c r="C31" s="20" t="s">
        <v>95</v>
      </c>
      <c r="D31" s="29" t="s">
        <v>96</v>
      </c>
      <c r="E31" s="30"/>
      <c r="F31" s="30" t="s">
        <v>54</v>
      </c>
      <c r="G31" s="31">
        <v>5188</v>
      </c>
      <c r="H31" s="32">
        <v>83.08</v>
      </c>
      <c r="I31" s="32">
        <v>1.68</v>
      </c>
      <c r="J31" s="33"/>
    </row>
    <row r="32" spans="2:10" x14ac:dyDescent="0.25">
      <c r="B32" s="1" t="s">
        <v>97</v>
      </c>
      <c r="C32" s="20" t="s">
        <v>98</v>
      </c>
      <c r="D32" s="29" t="s">
        <v>99</v>
      </c>
      <c r="E32" s="30"/>
      <c r="F32" s="30" t="s">
        <v>66</v>
      </c>
      <c r="G32" s="31">
        <v>11921</v>
      </c>
      <c r="H32" s="32">
        <v>72.61</v>
      </c>
      <c r="I32" s="32">
        <v>1.47</v>
      </c>
      <c r="J32" s="33"/>
    </row>
    <row r="33" spans="2:10" x14ac:dyDescent="0.25">
      <c r="B33" s="1" t="s">
        <v>100</v>
      </c>
      <c r="C33" s="20" t="s">
        <v>101</v>
      </c>
      <c r="D33" s="29" t="s">
        <v>102</v>
      </c>
      <c r="E33" s="30"/>
      <c r="F33" s="30" t="s">
        <v>103</v>
      </c>
      <c r="G33" s="31">
        <v>1868</v>
      </c>
      <c r="H33" s="32">
        <v>68.66</v>
      </c>
      <c r="I33" s="32">
        <v>1.39</v>
      </c>
      <c r="J33" s="33"/>
    </row>
    <row r="34" spans="2:10" x14ac:dyDescent="0.25">
      <c r="B34" s="1" t="s">
        <v>104</v>
      </c>
      <c r="C34" s="20" t="s">
        <v>105</v>
      </c>
      <c r="D34" s="29" t="s">
        <v>106</v>
      </c>
      <c r="E34" s="30"/>
      <c r="F34" s="30" t="s">
        <v>107</v>
      </c>
      <c r="G34" s="31">
        <v>8814</v>
      </c>
      <c r="H34" s="32">
        <v>68.14</v>
      </c>
      <c r="I34" s="32">
        <v>1.38</v>
      </c>
      <c r="J34" s="33"/>
    </row>
    <row r="35" spans="2:10" x14ac:dyDescent="0.25">
      <c r="B35" s="1" t="s">
        <v>108</v>
      </c>
      <c r="C35" s="20" t="s">
        <v>109</v>
      </c>
      <c r="D35" s="29" t="s">
        <v>110</v>
      </c>
      <c r="E35" s="30"/>
      <c r="F35" s="30" t="s">
        <v>111</v>
      </c>
      <c r="G35" s="31">
        <v>4339</v>
      </c>
      <c r="H35" s="32">
        <v>67.81</v>
      </c>
      <c r="I35" s="32">
        <v>1.38</v>
      </c>
      <c r="J35" s="33"/>
    </row>
    <row r="36" spans="2:10" x14ac:dyDescent="0.25">
      <c r="B36" s="1" t="s">
        <v>112</v>
      </c>
      <c r="C36" s="20" t="s">
        <v>113</v>
      </c>
      <c r="D36" s="29" t="s">
        <v>114</v>
      </c>
      <c r="E36" s="30"/>
      <c r="F36" s="30" t="s">
        <v>111</v>
      </c>
      <c r="G36" s="31">
        <v>3491</v>
      </c>
      <c r="H36" s="32">
        <v>57.17</v>
      </c>
      <c r="I36" s="32">
        <v>1.1599999999999999</v>
      </c>
      <c r="J36" s="33"/>
    </row>
    <row r="37" spans="2:10" x14ac:dyDescent="0.25">
      <c r="B37" s="1" t="s">
        <v>115</v>
      </c>
      <c r="C37" s="20" t="s">
        <v>116</v>
      </c>
      <c r="D37" s="29" t="s">
        <v>117</v>
      </c>
      <c r="E37" s="30"/>
      <c r="F37" s="30" t="s">
        <v>29</v>
      </c>
      <c r="G37" s="31">
        <v>443</v>
      </c>
      <c r="H37" s="32">
        <v>54.57</v>
      </c>
      <c r="I37" s="32">
        <v>1.1100000000000001</v>
      </c>
      <c r="J37" s="33"/>
    </row>
    <row r="38" spans="2:10" x14ac:dyDescent="0.25">
      <c r="B38" s="1" t="s">
        <v>118</v>
      </c>
      <c r="C38" s="20" t="s">
        <v>119</v>
      </c>
      <c r="D38" s="29" t="s">
        <v>120</v>
      </c>
      <c r="E38" s="30"/>
      <c r="F38" s="30" t="s">
        <v>66</v>
      </c>
      <c r="G38" s="31">
        <v>798</v>
      </c>
      <c r="H38" s="32">
        <v>52.76</v>
      </c>
      <c r="I38" s="32">
        <v>1.07</v>
      </c>
      <c r="J38" s="33"/>
    </row>
    <row r="39" spans="2:10" x14ac:dyDescent="0.25">
      <c r="B39" s="1" t="s">
        <v>121</v>
      </c>
      <c r="C39" s="20" t="s">
        <v>122</v>
      </c>
      <c r="D39" s="29" t="s">
        <v>123</v>
      </c>
      <c r="E39" s="30"/>
      <c r="F39" s="30" t="s">
        <v>124</v>
      </c>
      <c r="G39" s="31">
        <v>1393</v>
      </c>
      <c r="H39" s="32">
        <v>49.51</v>
      </c>
      <c r="I39" s="32">
        <v>1</v>
      </c>
      <c r="J39" s="33"/>
    </row>
    <row r="40" spans="2:10" x14ac:dyDescent="0.25">
      <c r="B40" s="1" t="s">
        <v>125</v>
      </c>
      <c r="C40" s="20" t="s">
        <v>126</v>
      </c>
      <c r="D40" s="29" t="s">
        <v>127</v>
      </c>
      <c r="E40" s="30"/>
      <c r="F40" s="30" t="s">
        <v>111</v>
      </c>
      <c r="G40" s="31">
        <v>18760</v>
      </c>
      <c r="H40" s="32">
        <v>46.84</v>
      </c>
      <c r="I40" s="32">
        <v>0.95</v>
      </c>
      <c r="J40" s="33"/>
    </row>
    <row r="41" spans="2:10" x14ac:dyDescent="0.25">
      <c r="B41" s="1" t="s">
        <v>128</v>
      </c>
      <c r="C41" s="20" t="s">
        <v>129</v>
      </c>
      <c r="D41" s="29" t="s">
        <v>130</v>
      </c>
      <c r="E41" s="30"/>
      <c r="F41" s="30" t="s">
        <v>131</v>
      </c>
      <c r="G41" s="31">
        <v>1707</v>
      </c>
      <c r="H41" s="32">
        <v>43.45</v>
      </c>
      <c r="I41" s="32">
        <v>0.88</v>
      </c>
      <c r="J41" s="33"/>
    </row>
    <row r="42" spans="2:10" x14ac:dyDescent="0.25">
      <c r="C42" s="28" t="s">
        <v>132</v>
      </c>
      <c r="D42" s="29"/>
      <c r="E42" s="30"/>
      <c r="F42" s="30"/>
      <c r="G42" s="31"/>
      <c r="H42" s="35">
        <v>4796.6499999999996</v>
      </c>
      <c r="I42" s="35">
        <v>97.24</v>
      </c>
      <c r="J42" s="33"/>
    </row>
    <row r="43" spans="2:10" x14ac:dyDescent="0.25">
      <c r="C43" s="20"/>
      <c r="D43" s="29"/>
      <c r="E43" s="30"/>
      <c r="F43" s="30"/>
      <c r="G43" s="31"/>
      <c r="H43" s="32"/>
      <c r="I43" s="32"/>
      <c r="J43" s="33"/>
    </row>
    <row r="44" spans="2:10" x14ac:dyDescent="0.25">
      <c r="C44" s="28" t="s">
        <v>133</v>
      </c>
      <c r="D44" s="29"/>
      <c r="E44" s="30"/>
      <c r="F44" s="30"/>
      <c r="G44" s="31"/>
      <c r="H44" s="32" t="s">
        <v>134</v>
      </c>
      <c r="I44" s="32" t="s">
        <v>134</v>
      </c>
      <c r="J44" s="33"/>
    </row>
    <row r="45" spans="2:10" x14ac:dyDescent="0.25">
      <c r="C45" s="20"/>
      <c r="D45" s="29"/>
      <c r="E45" s="30"/>
      <c r="F45" s="30"/>
      <c r="G45" s="31"/>
      <c r="H45" s="32"/>
      <c r="I45" s="32"/>
      <c r="J45" s="33"/>
    </row>
    <row r="46" spans="2:10" x14ac:dyDescent="0.25">
      <c r="C46" s="28" t="s">
        <v>135</v>
      </c>
      <c r="D46" s="29"/>
      <c r="E46" s="30"/>
      <c r="F46" s="30"/>
      <c r="G46" s="31"/>
      <c r="H46" s="32" t="s">
        <v>134</v>
      </c>
      <c r="I46" s="32" t="s">
        <v>134</v>
      </c>
      <c r="J46" s="33"/>
    </row>
    <row r="47" spans="2:10" x14ac:dyDescent="0.25">
      <c r="C47" s="20"/>
      <c r="D47" s="29"/>
      <c r="E47" s="30"/>
      <c r="F47" s="30"/>
      <c r="G47" s="31"/>
      <c r="H47" s="32"/>
      <c r="I47" s="32"/>
      <c r="J47" s="33"/>
    </row>
    <row r="48" spans="2:10" x14ac:dyDescent="0.25">
      <c r="C48" s="28" t="s">
        <v>136</v>
      </c>
      <c r="D48" s="29"/>
      <c r="E48" s="30"/>
      <c r="F48" s="30"/>
      <c r="G48" s="31"/>
      <c r="H48" s="32"/>
      <c r="I48" s="32"/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137</v>
      </c>
      <c r="D50" s="29"/>
      <c r="E50" s="30"/>
      <c r="F50" s="30"/>
      <c r="G50" s="31"/>
      <c r="H50" s="32" t="s">
        <v>134</v>
      </c>
      <c r="I50" s="32" t="s">
        <v>134</v>
      </c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138</v>
      </c>
      <c r="D52" s="29"/>
      <c r="E52" s="30"/>
      <c r="F52" s="30"/>
      <c r="G52" s="31"/>
      <c r="H52" s="32" t="s">
        <v>134</v>
      </c>
      <c r="I52" s="32" t="s">
        <v>134</v>
      </c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139</v>
      </c>
      <c r="D54" s="29"/>
      <c r="E54" s="30"/>
      <c r="F54" s="30"/>
      <c r="G54" s="31"/>
      <c r="H54" s="32" t="s">
        <v>134</v>
      </c>
      <c r="I54" s="32" t="s">
        <v>134</v>
      </c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140</v>
      </c>
      <c r="D56" s="29"/>
      <c r="E56" s="30"/>
      <c r="F56" s="30"/>
      <c r="G56" s="31"/>
      <c r="H56" s="32" t="s">
        <v>134</v>
      </c>
      <c r="I56" s="32" t="s">
        <v>134</v>
      </c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141</v>
      </c>
      <c r="D58" s="29"/>
      <c r="E58" s="30"/>
      <c r="F58" s="30"/>
      <c r="G58" s="31"/>
      <c r="H58" s="32" t="s">
        <v>134</v>
      </c>
      <c r="I58" s="32" t="s">
        <v>134</v>
      </c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142</v>
      </c>
      <c r="D60" s="29"/>
      <c r="E60" s="30"/>
      <c r="F60" s="30"/>
      <c r="G60" s="31"/>
      <c r="H60" s="32"/>
      <c r="I60" s="32"/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143</v>
      </c>
      <c r="D62" s="29"/>
      <c r="E62" s="30"/>
      <c r="F62" s="30"/>
      <c r="G62" s="31"/>
      <c r="H62" s="32" t="s">
        <v>134</v>
      </c>
      <c r="I62" s="32" t="s">
        <v>134</v>
      </c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144</v>
      </c>
      <c r="D64" s="29"/>
      <c r="E64" s="30"/>
      <c r="F64" s="30"/>
      <c r="G64" s="31"/>
      <c r="H64" s="32" t="s">
        <v>134</v>
      </c>
      <c r="I64" s="32" t="s">
        <v>134</v>
      </c>
      <c r="J64" s="33"/>
    </row>
    <row r="65" spans="1:10" x14ac:dyDescent="0.25">
      <c r="C65" s="20"/>
      <c r="D65" s="29"/>
      <c r="E65" s="30"/>
      <c r="F65" s="30"/>
      <c r="G65" s="31"/>
      <c r="H65" s="32"/>
      <c r="I65" s="32"/>
      <c r="J65" s="33"/>
    </row>
    <row r="66" spans="1:10" x14ac:dyDescent="0.25">
      <c r="C66" s="28" t="s">
        <v>145</v>
      </c>
      <c r="D66" s="29"/>
      <c r="E66" s="30"/>
      <c r="F66" s="30"/>
      <c r="G66" s="31"/>
      <c r="H66" s="32" t="s">
        <v>134</v>
      </c>
      <c r="I66" s="32" t="s">
        <v>134</v>
      </c>
      <c r="J66" s="33"/>
    </row>
    <row r="67" spans="1:10" x14ac:dyDescent="0.25">
      <c r="C67" s="20"/>
      <c r="D67" s="29"/>
      <c r="E67" s="30"/>
      <c r="F67" s="30"/>
      <c r="G67" s="31"/>
      <c r="H67" s="32"/>
      <c r="I67" s="32"/>
      <c r="J67" s="33"/>
    </row>
    <row r="68" spans="1:10" x14ac:dyDescent="0.25">
      <c r="C68" s="28" t="s">
        <v>146</v>
      </c>
      <c r="D68" s="29"/>
      <c r="E68" s="30"/>
      <c r="F68" s="30"/>
      <c r="G68" s="31"/>
      <c r="H68" s="32" t="s">
        <v>134</v>
      </c>
      <c r="I68" s="32" t="s">
        <v>134</v>
      </c>
      <c r="J68" s="33"/>
    </row>
    <row r="69" spans="1:10" x14ac:dyDescent="0.25">
      <c r="C69" s="20"/>
      <c r="D69" s="29"/>
      <c r="E69" s="30"/>
      <c r="F69" s="30"/>
      <c r="G69" s="31"/>
      <c r="H69" s="32"/>
      <c r="I69" s="32"/>
      <c r="J69" s="33"/>
    </row>
    <row r="70" spans="1:10" x14ac:dyDescent="0.25">
      <c r="A70" s="26"/>
      <c r="B70" s="27"/>
      <c r="C70" s="28" t="s">
        <v>147</v>
      </c>
      <c r="D70" s="29"/>
      <c r="E70" s="30"/>
      <c r="F70" s="30"/>
      <c r="G70" s="31"/>
      <c r="H70" s="32"/>
      <c r="I70" s="32"/>
      <c r="J70" s="33"/>
    </row>
    <row r="71" spans="1:10" x14ac:dyDescent="0.25">
      <c r="A71" s="27"/>
      <c r="B71" s="27"/>
      <c r="C71" s="28" t="s">
        <v>148</v>
      </c>
      <c r="D71" s="29"/>
      <c r="E71" s="30"/>
      <c r="F71" s="30"/>
      <c r="G71" s="31"/>
      <c r="H71" s="32" t="s">
        <v>134</v>
      </c>
      <c r="I71" s="32" t="s">
        <v>134</v>
      </c>
      <c r="J71" s="33"/>
    </row>
    <row r="72" spans="1:10" x14ac:dyDescent="0.25">
      <c r="A72" s="27"/>
      <c r="B72" s="27"/>
      <c r="C72" s="28"/>
      <c r="D72" s="29"/>
      <c r="E72" s="30"/>
      <c r="F72" s="30"/>
      <c r="G72" s="31"/>
      <c r="H72" s="32"/>
      <c r="I72" s="32"/>
      <c r="J72" s="33"/>
    </row>
    <row r="73" spans="1:10" x14ac:dyDescent="0.25">
      <c r="A73" s="27"/>
      <c r="B73" s="27"/>
      <c r="C73" s="28" t="s">
        <v>149</v>
      </c>
      <c r="D73" s="29"/>
      <c r="E73" s="30"/>
      <c r="F73" s="30"/>
      <c r="G73" s="31"/>
      <c r="H73" s="32" t="s">
        <v>134</v>
      </c>
      <c r="I73" s="32" t="s">
        <v>134</v>
      </c>
      <c r="J73" s="33"/>
    </row>
    <row r="74" spans="1:10" x14ac:dyDescent="0.25">
      <c r="A74" s="27"/>
      <c r="B74" s="27"/>
      <c r="C74" s="28"/>
      <c r="D74" s="29"/>
      <c r="E74" s="30"/>
      <c r="F74" s="30"/>
      <c r="G74" s="31"/>
      <c r="H74" s="32"/>
      <c r="I74" s="32"/>
      <c r="J74" s="33"/>
    </row>
    <row r="75" spans="1:10" x14ac:dyDescent="0.25">
      <c r="A75" s="27"/>
      <c r="B75" s="27"/>
      <c r="C75" s="28" t="s">
        <v>150</v>
      </c>
      <c r="D75" s="29"/>
      <c r="E75" s="30"/>
      <c r="F75" s="30"/>
      <c r="G75" s="31"/>
      <c r="H75" s="32" t="s">
        <v>134</v>
      </c>
      <c r="I75" s="32" t="s">
        <v>134</v>
      </c>
      <c r="J75" s="33"/>
    </row>
    <row r="76" spans="1:10" x14ac:dyDescent="0.25">
      <c r="A76" s="27"/>
      <c r="B76" s="27"/>
      <c r="C76" s="28"/>
      <c r="D76" s="29"/>
      <c r="E76" s="30"/>
      <c r="F76" s="30"/>
      <c r="G76" s="31"/>
      <c r="H76" s="32"/>
      <c r="I76" s="32"/>
      <c r="J76" s="33"/>
    </row>
    <row r="77" spans="1:10" x14ac:dyDescent="0.25">
      <c r="A77" s="27"/>
      <c r="B77" s="27"/>
      <c r="C77" s="28" t="s">
        <v>151</v>
      </c>
      <c r="D77" s="29"/>
      <c r="E77" s="30"/>
      <c r="F77" s="30"/>
      <c r="G77" s="31"/>
      <c r="H77" s="32" t="s">
        <v>134</v>
      </c>
      <c r="I77" s="32" t="s">
        <v>134</v>
      </c>
      <c r="J77" s="33"/>
    </row>
    <row r="78" spans="1:10" x14ac:dyDescent="0.25">
      <c r="A78" s="27"/>
      <c r="B78" s="27"/>
      <c r="C78" s="28"/>
      <c r="D78" s="29"/>
      <c r="E78" s="30"/>
      <c r="F78" s="30"/>
      <c r="G78" s="31"/>
      <c r="H78" s="32"/>
      <c r="I78" s="32"/>
      <c r="J78" s="33"/>
    </row>
    <row r="79" spans="1:10" x14ac:dyDescent="0.25">
      <c r="A79" s="27"/>
      <c r="B79" s="27"/>
      <c r="C79" s="28" t="s">
        <v>152</v>
      </c>
      <c r="D79" s="29"/>
      <c r="E79" s="30"/>
      <c r="F79" s="30"/>
      <c r="G79" s="31"/>
      <c r="H79" s="32" t="s">
        <v>134</v>
      </c>
      <c r="I79" s="32" t="s">
        <v>134</v>
      </c>
      <c r="J79" s="33"/>
    </row>
    <row r="80" spans="1:10" x14ac:dyDescent="0.25">
      <c r="A80" s="27"/>
      <c r="B80" s="27"/>
      <c r="C80" s="28"/>
      <c r="D80" s="29"/>
      <c r="E80" s="30"/>
      <c r="F80" s="30"/>
      <c r="G80" s="31"/>
      <c r="H80" s="32"/>
      <c r="I80" s="32"/>
      <c r="J80" s="33"/>
    </row>
    <row r="81" spans="1:10" x14ac:dyDescent="0.25">
      <c r="C81" s="34" t="s">
        <v>153</v>
      </c>
      <c r="D81" s="29"/>
      <c r="E81" s="30"/>
      <c r="F81" s="30"/>
      <c r="G81" s="31"/>
      <c r="H81" s="32"/>
      <c r="I81" s="32"/>
      <c r="J81" s="33"/>
    </row>
    <row r="82" spans="1:10" x14ac:dyDescent="0.25">
      <c r="B82" s="1" t="s">
        <v>154</v>
      </c>
      <c r="C82" s="20" t="s">
        <v>155</v>
      </c>
      <c r="D82" s="29"/>
      <c r="E82" s="30"/>
      <c r="F82" s="30"/>
      <c r="G82" s="31"/>
      <c r="H82" s="32">
        <v>99.98</v>
      </c>
      <c r="I82" s="32">
        <v>2.0299999999999998</v>
      </c>
      <c r="J82" s="33"/>
    </row>
    <row r="83" spans="1:10" x14ac:dyDescent="0.25">
      <c r="C83" s="28" t="s">
        <v>132</v>
      </c>
      <c r="D83" s="29"/>
      <c r="E83" s="30"/>
      <c r="F83" s="30"/>
      <c r="G83" s="31"/>
      <c r="H83" s="35">
        <v>99.98</v>
      </c>
      <c r="I83" s="35">
        <v>2.0299999999999998</v>
      </c>
      <c r="J83" s="33"/>
    </row>
    <row r="84" spans="1:10" x14ac:dyDescent="0.25">
      <c r="C84" s="20"/>
      <c r="D84" s="29"/>
      <c r="E84" s="30"/>
      <c r="F84" s="30"/>
      <c r="G84" s="31"/>
      <c r="H84" s="32"/>
      <c r="I84" s="32"/>
      <c r="J84" s="33"/>
    </row>
    <row r="85" spans="1:10" x14ac:dyDescent="0.25">
      <c r="A85" s="26"/>
      <c r="B85" s="27"/>
      <c r="C85" s="28" t="s">
        <v>156</v>
      </c>
      <c r="D85" s="29"/>
      <c r="E85" s="30"/>
      <c r="F85" s="30"/>
      <c r="G85" s="31"/>
      <c r="H85" s="32"/>
      <c r="I85" s="32"/>
      <c r="J85" s="33"/>
    </row>
    <row r="86" spans="1:10" x14ac:dyDescent="0.25">
      <c r="B86" s="1"/>
      <c r="C86" s="20" t="s">
        <v>157</v>
      </c>
      <c r="D86" s="29"/>
      <c r="E86" s="30"/>
      <c r="F86" s="30"/>
      <c r="G86" s="31"/>
      <c r="H86" s="32">
        <v>34.6</v>
      </c>
      <c r="I86" s="32">
        <v>0.73</v>
      </c>
      <c r="J86" s="33"/>
    </row>
    <row r="87" spans="1:10" x14ac:dyDescent="0.25">
      <c r="C87" s="28" t="s">
        <v>132</v>
      </c>
      <c r="D87" s="29"/>
      <c r="E87" s="30"/>
      <c r="F87" s="30"/>
      <c r="G87" s="31"/>
      <c r="H87" s="35">
        <v>34.6</v>
      </c>
      <c r="I87" s="35">
        <v>0.73</v>
      </c>
      <c r="J87" s="33"/>
    </row>
    <row r="88" spans="1:10" x14ac:dyDescent="0.25">
      <c r="C88" s="20"/>
      <c r="D88" s="29"/>
      <c r="E88" s="30"/>
      <c r="F88" s="30"/>
      <c r="G88" s="31"/>
      <c r="H88" s="32"/>
      <c r="I88" s="32"/>
      <c r="J88" s="33"/>
    </row>
    <row r="89" spans="1:10" ht="14.25" thickBot="1" x14ac:dyDescent="0.3">
      <c r="C89" s="36" t="s">
        <v>158</v>
      </c>
      <c r="D89" s="37"/>
      <c r="E89" s="38"/>
      <c r="F89" s="39"/>
      <c r="G89" s="40"/>
      <c r="H89" s="41">
        <v>4931.2299999999996</v>
      </c>
      <c r="I89" s="41">
        <f>SUMIFS(I:I,C:C,"Total")</f>
        <v>100</v>
      </c>
      <c r="J89" s="42"/>
    </row>
    <row r="92" spans="1:10" x14ac:dyDescent="0.25">
      <c r="C92" s="11" t="s">
        <v>159</v>
      </c>
    </row>
    <row r="93" spans="1:10" x14ac:dyDescent="0.25">
      <c r="C93" s="2" t="s">
        <v>160</v>
      </c>
    </row>
    <row r="94" spans="1:10" x14ac:dyDescent="0.25">
      <c r="C94" s="2" t="s">
        <v>161</v>
      </c>
    </row>
    <row r="95" spans="1:10" x14ac:dyDescent="0.25">
      <c r="C95" s="2" t="s">
        <v>162</v>
      </c>
    </row>
    <row r="96" spans="1:10" x14ac:dyDescent="0.25">
      <c r="C96" s="2" t="s">
        <v>163</v>
      </c>
    </row>
    <row r="97" spans="3:5" x14ac:dyDescent="0.25">
      <c r="C97" s="2" t="s">
        <v>164</v>
      </c>
    </row>
    <row r="98" spans="3:5" x14ac:dyDescent="0.25">
      <c r="C98" s="2" t="s">
        <v>165</v>
      </c>
    </row>
    <row r="99" spans="3:5" x14ac:dyDescent="0.25">
      <c r="D99" s="2" t="s">
        <v>166</v>
      </c>
    </row>
    <row r="100" spans="3:5" x14ac:dyDescent="0.25">
      <c r="C100" s="2" t="s">
        <v>167</v>
      </c>
      <c r="D100" s="2" t="s">
        <v>168</v>
      </c>
      <c r="E100" s="2" t="s">
        <v>168</v>
      </c>
    </row>
    <row r="101" spans="3:5" x14ac:dyDescent="0.25">
      <c r="D101" s="2" t="s">
        <v>169</v>
      </c>
      <c r="E101" s="2" t="s">
        <v>170</v>
      </c>
    </row>
    <row r="102" spans="3:5" x14ac:dyDescent="0.25">
      <c r="C102" s="2" t="s">
        <v>171</v>
      </c>
      <c r="D102" s="2">
        <v>66</v>
      </c>
      <c r="E102" s="2">
        <v>67.47</v>
      </c>
    </row>
    <row r="103" spans="3:5" x14ac:dyDescent="0.25">
      <c r="C103" s="2" t="s">
        <v>172</v>
      </c>
      <c r="D103" s="2">
        <v>150.66</v>
      </c>
      <c r="E103" s="2">
        <v>154.02000000000001</v>
      </c>
    </row>
    <row r="104" spans="3:5" x14ac:dyDescent="0.25">
      <c r="C104" s="2" t="s">
        <v>173</v>
      </c>
      <c r="D104" s="2">
        <v>70.180000000000007</v>
      </c>
      <c r="E104" s="2">
        <v>71.760000000000005</v>
      </c>
    </row>
    <row r="105" spans="3:5" x14ac:dyDescent="0.25">
      <c r="C105" s="2" t="s">
        <v>174</v>
      </c>
      <c r="D105" s="2">
        <v>159.33000000000001</v>
      </c>
      <c r="E105" s="2">
        <v>162.9</v>
      </c>
    </row>
    <row r="107" spans="3:5" x14ac:dyDescent="0.25">
      <c r="C107" s="2" t="s">
        <v>175</v>
      </c>
    </row>
    <row r="108" spans="3:5" x14ac:dyDescent="0.25">
      <c r="C108" s="2" t="s">
        <v>176</v>
      </c>
    </row>
    <row r="109" spans="3:5" x14ac:dyDescent="0.25">
      <c r="C109" s="2" t="s">
        <v>177</v>
      </c>
    </row>
    <row r="110" spans="3:5" x14ac:dyDescent="0.25">
      <c r="C110" s="2" t="s">
        <v>178</v>
      </c>
    </row>
    <row r="111" spans="3:5" x14ac:dyDescent="0.25">
      <c r="C111" s="2" t="s">
        <v>179</v>
      </c>
    </row>
    <row r="112" spans="3:5" x14ac:dyDescent="0.25">
      <c r="C112" s="2" t="s">
        <v>180</v>
      </c>
    </row>
    <row r="113" spans="3:3" x14ac:dyDescent="0.25">
      <c r="C113" s="2" t="s">
        <v>181</v>
      </c>
    </row>
    <row r="114" spans="3:3" x14ac:dyDescent="0.25">
      <c r="C114" s="2" t="s">
        <v>182</v>
      </c>
    </row>
    <row r="115" spans="3:3" x14ac:dyDescent="0.25">
      <c r="C115" s="2" t="s">
        <v>183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89AB9-C984-46B8-B5A0-CA16ABEC8ADD}">
  <dimension ref="C3:K17"/>
  <sheetViews>
    <sheetView workbookViewId="0"/>
  </sheetViews>
  <sheetFormatPr defaultRowHeight="15" x14ac:dyDescent="0.25"/>
  <cols>
    <col min="3" max="3" width="43.8554687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2" bestFit="1" customWidth="1"/>
  </cols>
  <sheetData>
    <row r="3" spans="3:11" ht="15.75" x14ac:dyDescent="0.25">
      <c r="C3" s="43" t="s">
        <v>184</v>
      </c>
      <c r="D3" s="44"/>
      <c r="E3" s="44"/>
      <c r="F3" s="44"/>
      <c r="G3" s="44"/>
      <c r="H3" s="44"/>
      <c r="I3" s="44"/>
      <c r="J3" s="44"/>
      <c r="K3" s="44"/>
    </row>
    <row r="4" spans="3:11" x14ac:dyDescent="0.25">
      <c r="C4" s="45" t="s">
        <v>185</v>
      </c>
      <c r="D4" s="46" t="s">
        <v>186</v>
      </c>
      <c r="E4" s="46"/>
      <c r="F4" s="46" t="s">
        <v>187</v>
      </c>
      <c r="G4" s="46"/>
      <c r="H4" s="46" t="s">
        <v>188</v>
      </c>
      <c r="I4" s="46"/>
      <c r="J4" s="47" t="s">
        <v>189</v>
      </c>
      <c r="K4" s="47"/>
    </row>
    <row r="5" spans="3:11" ht="63.75" x14ac:dyDescent="0.25">
      <c r="C5" s="48"/>
      <c r="D5" s="49" t="s">
        <v>190</v>
      </c>
      <c r="E5" s="49" t="s">
        <v>191</v>
      </c>
      <c r="F5" s="49" t="s">
        <v>190</v>
      </c>
      <c r="G5" s="49" t="s">
        <v>191</v>
      </c>
      <c r="H5" s="49" t="s">
        <v>190</v>
      </c>
      <c r="I5" s="49" t="s">
        <v>191</v>
      </c>
      <c r="J5" s="50" t="s">
        <v>190</v>
      </c>
      <c r="K5" s="50" t="s">
        <v>191</v>
      </c>
    </row>
    <row r="6" spans="3:11" x14ac:dyDescent="0.25">
      <c r="C6" s="51" t="s">
        <v>192</v>
      </c>
      <c r="D6" s="52">
        <v>5.4566999999999997</v>
      </c>
      <c r="E6" s="52">
        <v>10545.666164589895</v>
      </c>
      <c r="F6" s="52">
        <v>16.485900000000001</v>
      </c>
      <c r="G6" s="52">
        <v>15812.544913253259</v>
      </c>
      <c r="H6" s="52">
        <v>20.023</v>
      </c>
      <c r="I6" s="52">
        <v>24932.016833926838</v>
      </c>
      <c r="J6" s="52">
        <v>14.670904</v>
      </c>
      <c r="K6" s="52">
        <v>154030</v>
      </c>
    </row>
    <row r="7" spans="3:11" x14ac:dyDescent="0.25">
      <c r="C7" s="51" t="s">
        <v>193</v>
      </c>
      <c r="D7" s="52">
        <v>10.564380999999999</v>
      </c>
      <c r="E7" s="52">
        <v>11007.970000000001</v>
      </c>
      <c r="F7" s="52">
        <v>16.702707</v>
      </c>
      <c r="G7" s="52">
        <v>15016.861249702393</v>
      </c>
      <c r="H7" s="52">
        <v>23.305363</v>
      </c>
      <c r="I7" s="52">
        <v>28784.887490227149</v>
      </c>
      <c r="J7" s="52">
        <v>12.396599999999999</v>
      </c>
      <c r="K7" s="52">
        <v>343843.76197877107</v>
      </c>
    </row>
    <row r="8" spans="3:11" x14ac:dyDescent="0.25">
      <c r="C8" s="51" t="s">
        <v>194</v>
      </c>
      <c r="D8" s="52">
        <v>11.395300000000001</v>
      </c>
      <c r="E8" s="52">
        <v>11139.529999999999</v>
      </c>
      <c r="F8" s="52">
        <v>15.4278</v>
      </c>
      <c r="G8" s="52">
        <v>15379.111827226925</v>
      </c>
      <c r="H8" s="52">
        <v>22.29</v>
      </c>
      <c r="I8" s="52">
        <v>27349.835905743235</v>
      </c>
      <c r="J8" s="52">
        <v>12.612</v>
      </c>
      <c r="K8" s="52">
        <v>364360.76771982614</v>
      </c>
    </row>
    <row r="9" spans="3:11" x14ac:dyDescent="0.25">
      <c r="C9" s="51" t="s">
        <v>195</v>
      </c>
      <c r="D9" s="53">
        <v>146.06</v>
      </c>
      <c r="E9" s="54"/>
      <c r="F9" s="53">
        <v>97.41</v>
      </c>
      <c r="G9" s="54"/>
      <c r="H9" s="53">
        <v>61.78</v>
      </c>
      <c r="I9" s="54"/>
      <c r="J9" s="53">
        <v>10</v>
      </c>
      <c r="K9" s="54"/>
    </row>
    <row r="11" spans="3:11" ht="15.75" x14ac:dyDescent="0.25">
      <c r="C11" s="43" t="s">
        <v>196</v>
      </c>
      <c r="D11" s="44"/>
      <c r="E11" s="44"/>
      <c r="F11" s="44"/>
      <c r="G11" s="44"/>
      <c r="H11" s="44"/>
      <c r="I11" s="44"/>
      <c r="J11" s="44"/>
      <c r="K11" s="44"/>
    </row>
    <row r="12" spans="3:11" x14ac:dyDescent="0.25">
      <c r="C12" s="45" t="s">
        <v>185</v>
      </c>
      <c r="D12" s="46" t="s">
        <v>186</v>
      </c>
      <c r="E12" s="46"/>
      <c r="F12" s="46" t="s">
        <v>187</v>
      </c>
      <c r="G12" s="46"/>
      <c r="H12" s="46" t="s">
        <v>188</v>
      </c>
      <c r="I12" s="46"/>
      <c r="J12" s="47" t="s">
        <v>189</v>
      </c>
      <c r="K12" s="47"/>
    </row>
    <row r="13" spans="3:11" ht="63.75" x14ac:dyDescent="0.25">
      <c r="C13" s="48"/>
      <c r="D13" s="49" t="s">
        <v>190</v>
      </c>
      <c r="E13" s="49" t="s">
        <v>191</v>
      </c>
      <c r="F13" s="49" t="s">
        <v>190</v>
      </c>
      <c r="G13" s="49" t="s">
        <v>191</v>
      </c>
      <c r="H13" s="49" t="s">
        <v>190</v>
      </c>
      <c r="I13" s="49" t="s">
        <v>191</v>
      </c>
      <c r="J13" s="50" t="s">
        <v>190</v>
      </c>
      <c r="K13" s="50" t="s">
        <v>191</v>
      </c>
    </row>
    <row r="14" spans="3:11" x14ac:dyDescent="0.25">
      <c r="C14" s="51" t="s">
        <v>192</v>
      </c>
      <c r="D14" s="52">
        <v>5.6143000000000001</v>
      </c>
      <c r="E14" s="52">
        <v>10561.426256077795</v>
      </c>
      <c r="F14" s="52">
        <v>16.608799999999999</v>
      </c>
      <c r="G14" s="52">
        <v>15862.706913339824</v>
      </c>
      <c r="H14" s="52">
        <v>20.141400000000001</v>
      </c>
      <c r="I14" s="52">
        <v>25055.367579206399</v>
      </c>
      <c r="J14" s="52">
        <v>10.974299999999999</v>
      </c>
      <c r="K14" s="52">
        <v>36592.542677448335</v>
      </c>
    </row>
    <row r="15" spans="3:11" x14ac:dyDescent="0.25">
      <c r="C15" s="51" t="s">
        <v>193</v>
      </c>
      <c r="D15" s="52">
        <v>10.564380999999999</v>
      </c>
      <c r="E15" s="52">
        <v>11007.970000000001</v>
      </c>
      <c r="F15" s="52">
        <v>16.702707</v>
      </c>
      <c r="G15" s="52">
        <v>15016.861249702393</v>
      </c>
      <c r="H15" s="52">
        <v>23.305363</v>
      </c>
      <c r="I15" s="52">
        <v>28784.887490227149</v>
      </c>
      <c r="J15" s="52">
        <v>13.907864999999999</v>
      </c>
      <c r="K15" s="52">
        <v>50010.02009989506</v>
      </c>
    </row>
    <row r="16" spans="3:11" x14ac:dyDescent="0.25">
      <c r="C16" s="51" t="s">
        <v>194</v>
      </c>
      <c r="D16" s="52">
        <v>11.395300000000001</v>
      </c>
      <c r="E16" s="52">
        <v>11139.529999999999</v>
      </c>
      <c r="F16" s="52">
        <v>15.4278</v>
      </c>
      <c r="G16" s="52">
        <v>15379.111827226925</v>
      </c>
      <c r="H16" s="52">
        <v>22.29</v>
      </c>
      <c r="I16" s="52">
        <v>27349.835905743235</v>
      </c>
      <c r="J16" s="52">
        <v>13.4444</v>
      </c>
      <c r="K16" s="52">
        <v>47853.128653986911</v>
      </c>
    </row>
    <row r="17" spans="3:11" x14ac:dyDescent="0.25">
      <c r="C17" s="55" t="s">
        <v>197</v>
      </c>
      <c r="D17" s="53">
        <v>154.25</v>
      </c>
      <c r="E17" s="54"/>
      <c r="F17" s="53">
        <v>102.7</v>
      </c>
      <c r="G17" s="54"/>
      <c r="H17" s="53">
        <v>65.02</v>
      </c>
      <c r="I17" s="54"/>
      <c r="J17" s="53">
        <v>44.52</v>
      </c>
      <c r="K17" s="54"/>
    </row>
  </sheetData>
  <mergeCells count="16">
    <mergeCell ref="D12:E12"/>
    <mergeCell ref="F12:G12"/>
    <mergeCell ref="H12:I12"/>
    <mergeCell ref="J12:K12"/>
    <mergeCell ref="D17:E17"/>
    <mergeCell ref="F17:G17"/>
    <mergeCell ref="H17:I17"/>
    <mergeCell ref="J17:K17"/>
    <mergeCell ref="D4:E4"/>
    <mergeCell ref="F4:G4"/>
    <mergeCell ref="H4:I4"/>
    <mergeCell ref="J4:K4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22</vt:i4>
      </vt:variant>
    </vt:vector>
  </HeadingPairs>
  <TitlesOfParts>
    <vt:vector size="24" baseType="lpstr">
      <vt:lpstr>TBF</vt:lpstr>
      <vt:lpstr>TBF Performance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XDO_?IND_01?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XDO_GROUP_?G_2?</vt:lpstr>
      <vt:lpstr>XDO_GROUP_?G_3?</vt:lpstr>
      <vt:lpstr>XDO_GROUP_?G_4?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2025-06-05T08:07:11Z</dcterms:created>
  <dcterms:modified xsi:type="dcterms:W3CDTF">2025-06-06T05:54:55Z</dcterms:modified>
</cp:coreProperties>
</file>