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OCT 2023\Portfolio\SAHU\RE_ TMF_Monthly_Portfolio_Report_SEPT 23\"/>
    </mc:Choice>
  </mc:AlternateContent>
  <xr:revisionPtr revIDLastSave="0" documentId="13_ncr:1_{AE213A90-999F-48B4-AE48-6EC9ED29D4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Portfolio'!$C$8:$C$29</definedName>
    <definedName name="XDO_?FINAL_ISIN?1?">'TBFS - Risk-O-Meter &amp; Portfolio'!$D$10:$D$29</definedName>
    <definedName name="XDO_?FINAL_ISIN?2?">'TBFS - Risk-O-Meter &amp; Portfolio'!$D$10:$D$71</definedName>
    <definedName name="XDO_?FINAL_MV?1?">'TBFS - Risk-O-Meter &amp; Portfolio'!$H$10:$H$29</definedName>
    <definedName name="XDO_?FINAL_MV?2?">'TBFS - Risk-O-Meter &amp; Portfolio'!$H$10:$H$71</definedName>
    <definedName name="XDO_?FINAL_NAME?1?">'TBFS - Risk-O-Meter &amp; Portfolio'!$C$10:$C$29</definedName>
    <definedName name="XDO_?FINAL_NAME?2?">'TBFS - Risk-O-Meter &amp; Portfolio'!$C$10:$C$71</definedName>
    <definedName name="XDO_?FINAL_PER_NET?1?">'TBFS - Risk-O-Meter &amp; Portfolio'!$I$10:$I$29</definedName>
    <definedName name="XDO_?FINAL_PER_NET?2?">'TBFS - Risk-O-Meter &amp; Portfolio'!$I$10:$I$71</definedName>
    <definedName name="XDO_?FINAL_QUANTITE?1?">'TBFS - Risk-O-Meter &amp; Portfolio'!$G$10:$G$29</definedName>
    <definedName name="XDO_?FINAL_QUANTITE?2?">'TBFS - Risk-O-Meter &amp; Portfolio'!$G$10:$G$71</definedName>
    <definedName name="XDO_?IND_01?1?">'TBFS - Risk-O-Meter &amp; Portfolio'!$F$10:$F$29</definedName>
    <definedName name="XDO_?IND_01?2?">'TBFS - Risk-O-Meter &amp; Portfolio'!$F$10:$F$71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Portfolio'!$C$2:$C$29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Portfolio'!$B$10:$B$29</definedName>
    <definedName name="XDO_?NOVAL?2?">'TBFS - Risk-O-Meter &amp; Portfolio'!$B$10:$B$71</definedName>
    <definedName name="XDO_?NPTF?1?">'TBFS - Risk-O-Meter &amp; Portfolio'!$D$2:$D$29</definedName>
    <definedName name="XDO_?RATING?1?">'TBFS - Risk-O-Meter &amp; Portfolio'!$E$10:$E$29</definedName>
    <definedName name="XDO_?RATING?2?">'TBFS - Risk-O-Meter &amp; Portfolio'!$E$10:$E$71</definedName>
    <definedName name="XDO_?REMARKS?1?">'TBFS - Risk-O-Meter &amp; Portfolio'!$J$10:$J$29</definedName>
    <definedName name="XDO_?REMARKS?2?">'TBFS - Risk-O-Meter &amp; Portfolio'!$J$10:$J$71</definedName>
    <definedName name="XDO_?TITL?1?">'TBFS - Risk-O-Meter &amp; Portfolio'!$A$8:$A$29</definedName>
    <definedName name="XDO_GROUP_?G_2?1?">'TBFS - Risk-O-Meter &amp; Portfolio'!$2:$74</definedName>
    <definedName name="XDO_GROUP_?G_3?1?">'TBFS - Risk-O-Meter &amp; Portfolio'!$8:$73</definedName>
    <definedName name="XDO_GROUP_?G_4?1?">'TBFS - Risk-O-Meter &amp; Portfolio'!$B$10:$IV$29</definedName>
    <definedName name="XDO_GROUP_?G_4?2?">'TBFS - Risk-O-Meter &amp; Portfolio'!$B$71:$IV$71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</calcChain>
</file>

<file path=xl/sharedStrings.xml><?xml version="1.0" encoding="utf-8"?>
<sst xmlns="http://schemas.openxmlformats.org/spreadsheetml/2006/main" count="191" uniqueCount="121">
  <si>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</si>
  <si>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</si>
  <si>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</si>
  <si>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</si>
  <si>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</si>
  <si>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</si>
  <si>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</si>
  <si>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</si>
  <si>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</si>
  <si>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</si>
  <si>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</si>
  <si>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</si>
  <si>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</si>
  <si>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</si>
  <si>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</si>
  <si>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</si>
  <si>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</si>
  <si>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</si>
  <si>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</si>
  <si>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</si>
  <si>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</si>
  <si>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</si>
  <si>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</si>
  <si>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</si>
  <si>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</si>
  <si>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</si>
  <si>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</si>
  <si>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</si>
  <si>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</si>
  <si>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</si>
  <si>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</si>
  <si>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100013</t>
  </si>
  <si>
    <t>IndusInd Bank Ltd.</t>
  </si>
  <si>
    <t>INE095A01012</t>
  </si>
  <si>
    <t>100122</t>
  </si>
  <si>
    <t>Union Bank of India</t>
  </si>
  <si>
    <t>INE692A01016</t>
  </si>
  <si>
    <t>100399</t>
  </si>
  <si>
    <t>Cholamandalam Investment &amp; Finance Co. Ltd.</t>
  </si>
  <si>
    <t>INE121A01024</t>
  </si>
  <si>
    <t>Finance</t>
  </si>
  <si>
    <t>100092</t>
  </si>
  <si>
    <t>Bank of Baroda</t>
  </si>
  <si>
    <t>INE028A01039</t>
  </si>
  <si>
    <t>100055</t>
  </si>
  <si>
    <t>The Federal Bank Ltd.</t>
  </si>
  <si>
    <t>INE171A01029</t>
  </si>
  <si>
    <t>101550</t>
  </si>
  <si>
    <t>Life Insurance Corporation of India</t>
  </si>
  <si>
    <t>INE0J1Y01017</t>
  </si>
  <si>
    <t>Insurance</t>
  </si>
  <si>
    <t>100325</t>
  </si>
  <si>
    <t>Bajaj Holdings &amp; Investment Ltd.</t>
  </si>
  <si>
    <t>INE118A01012</t>
  </si>
  <si>
    <t>101293</t>
  </si>
  <si>
    <t>UCO Bank</t>
  </si>
  <si>
    <t>INE691A01018</t>
  </si>
  <si>
    <t>100361</t>
  </si>
  <si>
    <t>Bank of India</t>
  </si>
  <si>
    <t>INE084A01016</t>
  </si>
  <si>
    <t>101783</t>
  </si>
  <si>
    <t>Five Star Business Finance Ltd.</t>
  </si>
  <si>
    <t>INE128S01021</t>
  </si>
  <si>
    <t>101210</t>
  </si>
  <si>
    <t>Credit Access Grameen Ltd.</t>
  </si>
  <si>
    <t>INE741K01010</t>
  </si>
  <si>
    <t>101181</t>
  </si>
  <si>
    <t>UTI Asset Management Co. Ltd.</t>
  </si>
  <si>
    <t>INE094J01016</t>
  </si>
  <si>
    <t>Capital Markets</t>
  </si>
  <si>
    <t>100684</t>
  </si>
  <si>
    <t>SBI Life Insurance Co. Ltd.</t>
  </si>
  <si>
    <t>INE123W01016</t>
  </si>
  <si>
    <t>100774</t>
  </si>
  <si>
    <t>ICICI Securities Ltd.</t>
  </si>
  <si>
    <t>INE763G01038</t>
  </si>
  <si>
    <t>101178</t>
  </si>
  <si>
    <t>Computer Age Management Services Ltd.</t>
  </si>
  <si>
    <t>INE596I01012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</si>
  <si>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</si>
  <si>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</si>
  <si>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</si>
  <si>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</si>
  <si>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</si>
  <si>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</si>
  <si>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</si>
  <si>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</si>
  <si>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</si>
  <si>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</si>
  <si>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</si>
  <si>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</si>
  <si>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</si>
  <si>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</si>
  <si>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</si>
  <si>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</si>
  <si>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</si>
  <si>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</si>
  <si>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</si>
  <si>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</si>
  <si>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</si>
  <si>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</si>
  <si>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</si>
  <si>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</si>
  <si>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</si>
  <si>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</si>
  <si>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</si>
  <si>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</si>
  <si>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</si>
  <si>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</si>
  <si>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</si>
  <si>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</si>
  <si>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</si>
  <si>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</si>
  <si>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</si>
  <si>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</si>
  <si>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</si>
  <si>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</si>
  <si>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</si>
  <si>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September 29, 2023 : 42.23)</t>
  </si>
  <si>
    <t>Taurus Banking &amp; Financial Services Fund - Direct Plan Growth Option</t>
  </si>
  <si>
    <t>NAV [Rs.] Per Unit (as on September 29, 2023 : 46.55)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</si>
</sst>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banking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45199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167.92</v>
      </c>
      <c r="I10" s="32">
        <v>17.489999999999998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159.94</v>
      </c>
      <c r="I11" s="32">
        <v>16.66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9625</v>
      </c>
      <c r="H12" s="32">
        <v>99.79</v>
      </c>
      <c r="I12" s="32">
        <v>10.39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16568</v>
      </c>
      <c r="H13" s="32">
        <v>99.19</v>
      </c>
      <c r="I13" s="32">
        <v>10.33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4700</v>
      </c>
      <c r="H14" s="32">
        <v>81.58</v>
      </c>
      <c r="I14" s="32">
        <v>8.49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3250</v>
      </c>
      <c r="H15" s="32">
        <v>46.44</v>
      </c>
      <c r="I15" s="32">
        <v>4.84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35180</v>
      </c>
      <c r="H16" s="32">
        <v>37.4</v>
      </c>
      <c r="I16" s="32">
        <v>3.89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40</v>
      </c>
      <c r="G17" s="31">
        <v>2894</v>
      </c>
      <c r="H17" s="32">
        <v>35.24</v>
      </c>
      <c r="I17" s="32">
        <v>3.67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15383</v>
      </c>
      <c r="H18" s="32">
        <v>32.89</v>
      </c>
      <c r="I18" s="32">
        <v>3.42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19016</v>
      </c>
      <c r="H19" s="32">
        <v>27.98</v>
      </c>
      <c r="I19" s="32">
        <v>2.91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50</v>
      </c>
      <c r="G20" s="31">
        <v>4177</v>
      </c>
      <c r="H20" s="32">
        <v>27.13</v>
      </c>
      <c r="I20" s="32">
        <v>2.83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40</v>
      </c>
      <c r="G21" s="31">
        <v>346</v>
      </c>
      <c r="H21" s="32">
        <v>24.57</v>
      </c>
      <c r="I21" s="32">
        <v>2.56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18</v>
      </c>
      <c r="G22" s="31">
        <v>52064</v>
      </c>
      <c r="H22" s="32">
        <v>22.68</v>
      </c>
      <c r="I22" s="32">
        <v>2.36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18</v>
      </c>
      <c r="G23" s="31">
        <v>18957</v>
      </c>
      <c r="H23" s="32">
        <v>20.74</v>
      </c>
      <c r="I23" s="32">
        <v>2.16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40</v>
      </c>
      <c r="G24" s="31">
        <v>2653</v>
      </c>
      <c r="H24" s="32">
        <v>18.54</v>
      </c>
      <c r="I24" s="32">
        <v>1.93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40</v>
      </c>
      <c r="G25" s="31">
        <v>1182</v>
      </c>
      <c r="H25" s="32">
        <v>15.57</v>
      </c>
      <c r="I25" s="32">
        <v>1.62</v>
      </c>
      <c r="J25" s="33"/>
    </row>
    <row r="26" spans="2:10" x14ac:dyDescent="0.25">
      <c r="B26" s="1" t="s">
        <v>66</v>
      </c>
      <c r="C26" s="20" t="s">
        <v>67</v>
      </c>
      <c r="D26" s="29" t="s">
        <v>68</v>
      </c>
      <c r="E26" s="30"/>
      <c r="F26" s="30" t="s">
        <v>69</v>
      </c>
      <c r="G26" s="31">
        <v>1899</v>
      </c>
      <c r="H26" s="32">
        <v>14.92</v>
      </c>
      <c r="I26" s="32">
        <v>1.55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50</v>
      </c>
      <c r="G27" s="31">
        <v>796</v>
      </c>
      <c r="H27" s="32">
        <v>10.4</v>
      </c>
      <c r="I27" s="32">
        <v>1.08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69</v>
      </c>
      <c r="G28" s="31">
        <v>1237</v>
      </c>
      <c r="H28" s="32">
        <v>7.68</v>
      </c>
      <c r="I28" s="32">
        <v>0.8</v>
      </c>
      <c r="J28" s="33"/>
    </row>
    <row r="29" spans="2:10" x14ac:dyDescent="0.25">
      <c r="B29" s="1" t="s">
        <v>76</v>
      </c>
      <c r="C29" s="20" t="s">
        <v>77</v>
      </c>
      <c r="D29" s="29" t="s">
        <v>78</v>
      </c>
      <c r="E29" s="30"/>
      <c r="F29" s="30" t="s">
        <v>69</v>
      </c>
      <c r="G29" s="31">
        <v>194</v>
      </c>
      <c r="H29" s="32">
        <v>4.87</v>
      </c>
      <c r="I29" s="32">
        <v>0.51</v>
      </c>
      <c r="J29" s="33"/>
    </row>
    <row r="30" spans="2:10" x14ac:dyDescent="0.25">
      <c r="C30" s="28" t="s">
        <v>79</v>
      </c>
      <c r="D30" s="29"/>
      <c r="E30" s="30"/>
      <c r="F30" s="30"/>
      <c r="G30" s="31"/>
      <c r="H30" s="35">
        <v>955.47</v>
      </c>
      <c r="I30" s="35">
        <v>99.49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80</v>
      </c>
      <c r="D32" s="29"/>
      <c r="E32" s="30"/>
      <c r="F32" s="30"/>
      <c r="G32" s="31"/>
      <c r="H32" s="32" t="s">
        <v>81</v>
      </c>
      <c r="I32" s="32" t="s">
        <v>81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82</v>
      </c>
      <c r="D34" s="29"/>
      <c r="E34" s="30"/>
      <c r="F34" s="30"/>
      <c r="G34" s="31"/>
      <c r="H34" s="32" t="s">
        <v>81</v>
      </c>
      <c r="I34" s="32" t="s">
        <v>81</v>
      </c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83</v>
      </c>
      <c r="D36" s="29"/>
      <c r="E36" s="30"/>
      <c r="F36" s="30"/>
      <c r="G36" s="31"/>
      <c r="H36" s="32"/>
      <c r="I36" s="32"/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84</v>
      </c>
      <c r="D38" s="29"/>
      <c r="E38" s="30"/>
      <c r="F38" s="30"/>
      <c r="G38" s="31"/>
      <c r="H38" s="32" t="s">
        <v>81</v>
      </c>
      <c r="I38" s="32" t="s">
        <v>81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85</v>
      </c>
      <c r="D40" s="29"/>
      <c r="E40" s="30"/>
      <c r="F40" s="30"/>
      <c r="G40" s="31"/>
      <c r="H40" s="32" t="s">
        <v>81</v>
      </c>
      <c r="I40" s="32" t="s">
        <v>81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86</v>
      </c>
      <c r="D42" s="29"/>
      <c r="E42" s="30"/>
      <c r="F42" s="30"/>
      <c r="G42" s="31"/>
      <c r="H42" s="32" t="s">
        <v>81</v>
      </c>
      <c r="I42" s="32" t="s">
        <v>81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87</v>
      </c>
      <c r="D44" s="29"/>
      <c r="E44" s="30"/>
      <c r="F44" s="30"/>
      <c r="G44" s="31"/>
      <c r="H44" s="32" t="s">
        <v>81</v>
      </c>
      <c r="I44" s="32" t="s">
        <v>81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88</v>
      </c>
      <c r="D46" s="29"/>
      <c r="E46" s="30"/>
      <c r="F46" s="30"/>
      <c r="G46" s="31"/>
      <c r="H46" s="32" t="s">
        <v>81</v>
      </c>
      <c r="I46" s="32" t="s">
        <v>81</v>
      </c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89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90</v>
      </c>
      <c r="D50" s="29"/>
      <c r="E50" s="30"/>
      <c r="F50" s="30"/>
      <c r="G50" s="31"/>
      <c r="H50" s="32" t="s">
        <v>81</v>
      </c>
      <c r="I50" s="32" t="s">
        <v>81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91</v>
      </c>
      <c r="D52" s="29"/>
      <c r="E52" s="30"/>
      <c r="F52" s="30"/>
      <c r="G52" s="31"/>
      <c r="H52" s="32" t="s">
        <v>81</v>
      </c>
      <c r="I52" s="32" t="s">
        <v>81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92</v>
      </c>
      <c r="D54" s="29"/>
      <c r="E54" s="30"/>
      <c r="F54" s="30"/>
      <c r="G54" s="31"/>
      <c r="H54" s="32" t="s">
        <v>81</v>
      </c>
      <c r="I54" s="32" t="s">
        <v>81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93</v>
      </c>
      <c r="D56" s="29"/>
      <c r="E56" s="30"/>
      <c r="F56" s="30"/>
      <c r="G56" s="31"/>
      <c r="H56" s="32" t="s">
        <v>81</v>
      </c>
      <c r="I56" s="32" t="s">
        <v>81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94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95</v>
      </c>
      <c r="D60" s="29"/>
      <c r="E60" s="30"/>
      <c r="F60" s="30"/>
      <c r="G60" s="31"/>
      <c r="H60" s="32" t="s">
        <v>81</v>
      </c>
      <c r="I60" s="32" t="s">
        <v>81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96</v>
      </c>
      <c r="D62" s="29"/>
      <c r="E62" s="30"/>
      <c r="F62" s="30"/>
      <c r="G62" s="31"/>
      <c r="H62" s="32" t="s">
        <v>81</v>
      </c>
      <c r="I62" s="32" t="s">
        <v>81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97</v>
      </c>
      <c r="D64" s="29"/>
      <c r="E64" s="30"/>
      <c r="F64" s="30"/>
      <c r="G64" s="31"/>
      <c r="H64" s="32" t="s">
        <v>81</v>
      </c>
      <c r="I64" s="32" t="s">
        <v>81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98</v>
      </c>
      <c r="D66" s="29"/>
      <c r="E66" s="30"/>
      <c r="F66" s="30"/>
      <c r="G66" s="31"/>
      <c r="H66" s="32" t="s">
        <v>81</v>
      </c>
      <c r="I66" s="32" t="s">
        <v>81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99</v>
      </c>
      <c r="D68" s="29"/>
      <c r="E68" s="30"/>
      <c r="F68" s="30"/>
      <c r="G68" s="31"/>
      <c r="H68" s="32" t="s">
        <v>81</v>
      </c>
      <c r="I68" s="32" t="s">
        <v>81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100</v>
      </c>
      <c r="D70" s="29"/>
      <c r="E70" s="30"/>
      <c r="F70" s="30"/>
      <c r="G70" s="31"/>
      <c r="H70" s="32"/>
      <c r="I70" s="32"/>
      <c r="J70" s="33"/>
    </row>
    <row r="71" spans="1:10" x14ac:dyDescent="0.25">
      <c r="B71" s="1"/>
      <c r="C71" s="20" t="s">
        <v>101</v>
      </c>
      <c r="D71" s="29"/>
      <c r="E71" s="30"/>
      <c r="F71" s="30"/>
      <c r="G71" s="31"/>
      <c r="H71" s="32">
        <v>4.8499999999999996</v>
      </c>
      <c r="I71" s="32">
        <v>0.51</v>
      </c>
      <c r="J71" s="33"/>
    </row>
    <row r="72" spans="1:10" x14ac:dyDescent="0.25">
      <c r="C72" s="28" t="s">
        <v>79</v>
      </c>
      <c r="D72" s="29"/>
      <c r="E72" s="30"/>
      <c r="F72" s="30"/>
      <c r="G72" s="31"/>
      <c r="H72" s="35">
        <v>4.8499999999999996</v>
      </c>
      <c r="I72" s="35">
        <v>0.51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ht="14.25" thickBot="1" x14ac:dyDescent="0.3">
      <c r="C74" s="36" t="s">
        <v>102</v>
      </c>
      <c r="D74" s="37"/>
      <c r="E74" s="38"/>
      <c r="F74" s="39"/>
      <c r="G74" s="40"/>
      <c r="H74" s="41">
        <v>960.32</v>
      </c>
      <c r="I74" s="41">
        <f>SUMIFS(I:I,C:C,"Total")</f>
        <v>100</v>
      </c>
      <c r="J74" s="42"/>
    </row>
    <row r="77" spans="1:10" x14ac:dyDescent="0.25">
      <c r="C77" s="11" t="s">
        <v>103</v>
      </c>
    </row>
    <row r="78" spans="1:10" x14ac:dyDescent="0.25">
      <c r="C78" s="2" t="s">
        <v>104</v>
      </c>
    </row>
    <row r="79" spans="1:10" x14ac:dyDescent="0.25">
      <c r="C79" s="2" t="s">
        <v>105</v>
      </c>
    </row>
    <row r="80" spans="1:10" x14ac:dyDescent="0.25">
      <c r="C80" s="2" t="s">
        <v>106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18"/>
  <sheetViews>
    <sheetView workbookViewId="0"/>
  </sheetViews>
  <sheetFormatPr defaultRowHeight="15" x14ac:dyDescent="0.25"/>
  <cols>
    <col min="2" max="2" width="49.5703125" customWidth="1"/>
    <col min="4" max="4" width="10.85546875" bestFit="1" customWidth="1"/>
    <col min="5" max="5" width="7.2851562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 x14ac:dyDescent="0.25">
      <c r="B4" s="43" t="s">
        <v>107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108</v>
      </c>
      <c r="C5" s="50" t="s">
        <v>109</v>
      </c>
      <c r="D5" s="50"/>
      <c r="E5" s="50" t="s">
        <v>110</v>
      </c>
      <c r="F5" s="50"/>
      <c r="G5" s="50" t="s">
        <v>111</v>
      </c>
      <c r="H5" s="50"/>
      <c r="I5" s="50" t="s">
        <v>112</v>
      </c>
      <c r="J5" s="50"/>
    </row>
    <row r="6" spans="2:10" ht="63.75" x14ac:dyDescent="0.25">
      <c r="B6" s="46"/>
      <c r="C6" s="47" t="s">
        <v>113</v>
      </c>
      <c r="D6" s="47" t="s">
        <v>114</v>
      </c>
      <c r="E6" s="47" t="s">
        <v>113</v>
      </c>
      <c r="F6" s="47" t="s">
        <v>114</v>
      </c>
      <c r="G6" s="47" t="s">
        <v>113</v>
      </c>
      <c r="H6" s="47" t="s">
        <v>114</v>
      </c>
      <c r="I6" s="47" t="s">
        <v>113</v>
      </c>
      <c r="J6" s="47" t="s">
        <v>114</v>
      </c>
    </row>
    <row r="7" spans="2:10" x14ac:dyDescent="0.25">
      <c r="B7" s="48" t="s">
        <v>115</v>
      </c>
      <c r="C7" s="49">
        <v>20.279122757049262</v>
      </c>
      <c r="D7" s="49">
        <v>12027.912275704928</v>
      </c>
      <c r="E7" s="49">
        <v>25.475838967757582</v>
      </c>
      <c r="F7" s="49">
        <v>19742.870500233752</v>
      </c>
      <c r="G7" s="49">
        <v>14.080388763493335</v>
      </c>
      <c r="H7" s="49">
        <v>19336.080586080585</v>
      </c>
      <c r="I7" s="49">
        <v>13.514420235913093</v>
      </c>
      <c r="J7" s="49">
        <v>42230</v>
      </c>
    </row>
    <row r="8" spans="2:10" x14ac:dyDescent="0.25">
      <c r="B8" s="48" t="s">
        <v>116</v>
      </c>
      <c r="C8" s="49">
        <v>14.523414917514899</v>
      </c>
      <c r="D8" s="49">
        <v>11452.341491751489</v>
      </c>
      <c r="E8" s="49">
        <v>28.079720876878</v>
      </c>
      <c r="F8" s="49">
        <v>21010.728815275597</v>
      </c>
      <c r="G8" s="49">
        <v>12.870100522129935</v>
      </c>
      <c r="H8" s="49">
        <v>18318.696150593005</v>
      </c>
      <c r="I8" s="49">
        <v>15.537267962998191</v>
      </c>
      <c r="J8" s="49">
        <v>51597.194796184136</v>
      </c>
    </row>
    <row r="9" spans="2:10" x14ac:dyDescent="0.25">
      <c r="B9" s="48" t="s">
        <v>117</v>
      </c>
      <c r="C9" s="49">
        <v>16.061710449343856</v>
      </c>
      <c r="D9" s="49">
        <v>11606.171044934386</v>
      </c>
      <c r="E9" s="49">
        <v>21.888816626902386</v>
      </c>
      <c r="F9" s="49">
        <v>18108.87963047763</v>
      </c>
      <c r="G9" s="49">
        <v>13.753365408579876</v>
      </c>
      <c r="H9" s="49">
        <v>19046.767079692381</v>
      </c>
      <c r="I9" s="49">
        <v>14.512208181804764</v>
      </c>
      <c r="J9" s="49">
        <v>46628.674535508268</v>
      </c>
    </row>
    <row r="10" spans="2:10" x14ac:dyDescent="0.25">
      <c r="B10" s="48" t="s">
        <v>118</v>
      </c>
      <c r="C10" s="51">
        <v>35.11</v>
      </c>
      <c r="D10" s="52"/>
      <c r="E10" s="51">
        <v>21.39</v>
      </c>
      <c r="F10" s="52"/>
      <c r="G10" s="51">
        <v>21.84</v>
      </c>
      <c r="H10" s="52"/>
      <c r="I10" s="51">
        <v>10</v>
      </c>
      <c r="J10" s="52"/>
    </row>
    <row r="12" spans="2:10" ht="15.75" x14ac:dyDescent="0.25">
      <c r="B12" s="43" t="s">
        <v>119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108</v>
      </c>
      <c r="C13" s="50" t="s">
        <v>109</v>
      </c>
      <c r="D13" s="50"/>
      <c r="E13" s="50" t="s">
        <v>110</v>
      </c>
      <c r="F13" s="50"/>
      <c r="G13" s="50" t="s">
        <v>111</v>
      </c>
      <c r="H13" s="50"/>
      <c r="I13" s="50" t="s">
        <v>112</v>
      </c>
      <c r="J13" s="50"/>
    </row>
    <row r="14" spans="2:10" ht="63.75" x14ac:dyDescent="0.25">
      <c r="B14" s="46"/>
      <c r="C14" s="47" t="s">
        <v>113</v>
      </c>
      <c r="D14" s="47" t="s">
        <v>114</v>
      </c>
      <c r="E14" s="47" t="s">
        <v>113</v>
      </c>
      <c r="F14" s="47" t="s">
        <v>114</v>
      </c>
      <c r="G14" s="47" t="s">
        <v>113</v>
      </c>
      <c r="H14" s="47" t="s">
        <v>114</v>
      </c>
      <c r="I14" s="47" t="s">
        <v>113</v>
      </c>
      <c r="J14" s="47" t="s">
        <v>114</v>
      </c>
    </row>
    <row r="15" spans="2:10" x14ac:dyDescent="0.25">
      <c r="B15" s="48" t="s">
        <v>115</v>
      </c>
      <c r="C15" s="49">
        <v>21.192397813069519</v>
      </c>
      <c r="D15" s="49">
        <v>12119.239781306953</v>
      </c>
      <c r="E15" s="49">
        <v>26.464424177986533</v>
      </c>
      <c r="F15" s="49">
        <v>20212.765957446805</v>
      </c>
      <c r="G15" s="49">
        <v>14.966113002066495</v>
      </c>
      <c r="H15" s="49">
        <v>20099.309153713297</v>
      </c>
      <c r="I15" s="49">
        <v>12.094343804289709</v>
      </c>
      <c r="J15" s="49">
        <v>34102.564102564102</v>
      </c>
    </row>
    <row r="16" spans="2:10" x14ac:dyDescent="0.25">
      <c r="B16" s="48" t="s">
        <v>116</v>
      </c>
      <c r="C16" s="49">
        <v>14.523414917514899</v>
      </c>
      <c r="D16" s="49">
        <v>11452.341491751489</v>
      </c>
      <c r="E16" s="49">
        <v>28.079720876878</v>
      </c>
      <c r="F16" s="49">
        <v>21010.728815275597</v>
      </c>
      <c r="G16" s="49">
        <v>12.870100522129935</v>
      </c>
      <c r="H16" s="49">
        <v>18318.696150593005</v>
      </c>
      <c r="I16" s="49">
        <v>12.932239270139601</v>
      </c>
      <c r="J16" s="49">
        <v>36943.634088805258</v>
      </c>
    </row>
    <row r="17" spans="2:10" x14ac:dyDescent="0.25">
      <c r="B17" s="48" t="s">
        <v>117</v>
      </c>
      <c r="C17" s="49">
        <v>16.061710449343856</v>
      </c>
      <c r="D17" s="49">
        <v>11606.171044934386</v>
      </c>
      <c r="E17" s="49">
        <v>21.888816626902386</v>
      </c>
      <c r="F17" s="49">
        <v>18108.87963047763</v>
      </c>
      <c r="G17" s="49">
        <v>13.753365408579876</v>
      </c>
      <c r="H17" s="49">
        <v>19046.767079692381</v>
      </c>
      <c r="I17" s="49">
        <v>13.057595458837735</v>
      </c>
      <c r="J17" s="49">
        <v>37386.663309696094</v>
      </c>
    </row>
    <row r="18" spans="2:10" x14ac:dyDescent="0.25">
      <c r="B18" s="48" t="s">
        <v>120</v>
      </c>
      <c r="C18" s="51">
        <v>38.409999999999997</v>
      </c>
      <c r="D18" s="52"/>
      <c r="E18" s="51">
        <v>23.03</v>
      </c>
      <c r="F18" s="52"/>
      <c r="G18" s="51">
        <v>23.16</v>
      </c>
      <c r="H18" s="52"/>
      <c r="I18" s="51">
        <v>13.65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2023-10-03T07:24:32Z</dcterms:created>
  <dcterms:modified xsi:type="dcterms:W3CDTF">2023-10-09T12:36:53Z</dcterms:modified>
</cp:coreProperties>
</file>