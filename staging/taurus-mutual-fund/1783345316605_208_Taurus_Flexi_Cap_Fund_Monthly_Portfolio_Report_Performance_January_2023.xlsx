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0" windowHeight="11160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Portfolio'!$C$8:$C$50</definedName>
    <definedName name="XDO_?FINAL_ISIN?11?">'TSS-Risk-O-Meter &amp; Portfolio'!$D$10:$D$50</definedName>
    <definedName name="XDO_?FINAL_ISIN?12?">'TSS-Risk-O-Meter &amp; Portfolio'!$D$10:$D$54</definedName>
    <definedName name="XDO_?FINAL_ISIN?13?">'TSS-Risk-O-Meter &amp; Portfolio'!$D$10:$D$94</definedName>
    <definedName name="XDO_?FINAL_MV?11?">'TSS-Risk-O-Meter &amp; Portfolio'!$H$10:$H$50</definedName>
    <definedName name="XDO_?FINAL_MV?12?">'TSS-Risk-O-Meter &amp; Portfolio'!$H$10:$H$54</definedName>
    <definedName name="XDO_?FINAL_MV?13?">'TSS-Risk-O-Meter &amp; Portfolio'!$H$10:$H$94</definedName>
    <definedName name="XDO_?FINAL_NAME?11?">'TSS-Risk-O-Meter &amp; Portfolio'!$C$10:$C$50</definedName>
    <definedName name="XDO_?FINAL_NAME?12?">'TSS-Risk-O-Meter &amp; Portfolio'!$C$10:$C$54</definedName>
    <definedName name="XDO_?FINAL_NAME?13?">'TSS-Risk-O-Meter &amp; Portfolio'!$C$10:$C$94</definedName>
    <definedName name="XDO_?FINAL_PER_NET?11?">'TSS-Risk-O-Meter &amp; Portfolio'!$I$10:$I$50</definedName>
    <definedName name="XDO_?FINAL_PER_NET?12?">'TSS-Risk-O-Meter &amp; Portfolio'!$I$10:$I$54</definedName>
    <definedName name="XDO_?FINAL_PER_NET?13?">'TSS-Risk-O-Meter &amp; Portfolio'!$I$10:$I$94</definedName>
    <definedName name="XDO_?FINAL_QUANTITE?11?">'TSS-Risk-O-Meter &amp; Portfolio'!$G$10:$G$50</definedName>
    <definedName name="XDO_?FINAL_QUANTITE?12?">'TSS-Risk-O-Meter &amp; Portfolio'!$G$10:$G$54</definedName>
    <definedName name="XDO_?FINAL_QUANTITE?13?">'TSS-Risk-O-Meter &amp; Portfolio'!$G$10:$G$94</definedName>
    <definedName name="XDO_?IND_01?11?">'TSS-Risk-O-Meter &amp; Portfolio'!$F$10:$F$50</definedName>
    <definedName name="XDO_?IND_01?12?">'TSS-Risk-O-Meter &amp; Portfolio'!$F$10:$F$54</definedName>
    <definedName name="XDO_?IND_01?13?">'TSS-Risk-O-Meter &amp; Portfolio'!$F$10:$F$94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Portfolio'!$C$2:$C$50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Portfolio'!$B$10:$B$50</definedName>
    <definedName name="XDO_?NOVAL?12?">'TSS-Risk-O-Meter &amp; Portfolio'!$B$10:$B$54</definedName>
    <definedName name="XDO_?NOVAL?13?">'TSS-Risk-O-Meter &amp; Portfolio'!$B$10:$B$94</definedName>
    <definedName name="XDO_?NPTF?6?">'TSS-Risk-O-Meter &amp; Portfolio'!$D$2:$D$50</definedName>
    <definedName name="XDO_?RATING?11?">'TSS-Risk-O-Meter &amp; Portfolio'!$E$10:$E$50</definedName>
    <definedName name="XDO_?RATING?12?">'TSS-Risk-O-Meter &amp; Portfolio'!$E$10:$E$54</definedName>
    <definedName name="XDO_?RATING?13?">'TSS-Risk-O-Meter &amp; Portfolio'!$E$10:$E$94</definedName>
    <definedName name="XDO_?REMARKS?11?">'TSS-Risk-O-Meter &amp; Portfolio'!$J$10:$J$50</definedName>
    <definedName name="XDO_?REMARKS?12?">'TSS-Risk-O-Meter &amp; Portfolio'!$J$10:$J$54</definedName>
    <definedName name="XDO_?REMARKS?13?">'TSS-Risk-O-Meter &amp; Portfolio'!$J$10:$J$94</definedName>
    <definedName name="XDO_?TITL?6?">'TSS-Risk-O-Meter &amp; Portfolio'!$A$8:$A$50</definedName>
    <definedName name="XDO_GROUP_?G_2?6?">'TSS-Risk-O-Meter &amp; Portfolio'!$2:$97</definedName>
    <definedName name="XDO_GROUP_?G_3?6?">'TSS-Risk-O-Meter &amp; Portfolio'!$8:$96</definedName>
    <definedName name="XDO_GROUP_?G_4?11?">'TSS-Risk-O-Meter &amp; Portfolio'!$B$10:$IV$50</definedName>
    <definedName name="XDO_GROUP_?G_4?12?">'TSS-Risk-O-Meter &amp; Portfolio'!$B$54:$IV$54</definedName>
    <definedName name="XDO_GROUP_?G_4?13?">'TSS-Risk-O-Meter &amp; Portfolio'!$B$94:$IV$94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7" i="1"/>
</calcChain>
</file>

<file path=xl/sharedStrings.xml><?xml version="1.0" encoding="utf-8"?>
<sst xmlns="http://schemas.openxmlformats.org/spreadsheetml/2006/main" count="281" uniqueCount="207">
  <si>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</si>
  <si>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</si>
  <si>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</si>
  <si>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</si>
  <si>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</si>
  <si>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</si>
  <si>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</si>
  <si>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</si>
  <si>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</si>
  <si>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</si>
  <si>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</si>
  <si>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</si>
  <si>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</si>
  <si>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</si>
  <si>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</si>
  <si>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100183</t>
  </si>
  <si>
    <t>Vedanta Ltd.</t>
  </si>
  <si>
    <t>INE205A01025</t>
  </si>
  <si>
    <t>Diversified Metals</t>
  </si>
  <si>
    <t>100014</t>
  </si>
  <si>
    <t>Mahindra &amp; Mahindra Ltd.</t>
  </si>
  <si>
    <t>INE101A01026</t>
  </si>
  <si>
    <t>Automobiles</t>
  </si>
  <si>
    <t>100461</t>
  </si>
  <si>
    <t>Astral Limited</t>
  </si>
  <si>
    <t>INE006I01046</t>
  </si>
  <si>
    <t>Industrial Products</t>
  </si>
  <si>
    <t>100282</t>
  </si>
  <si>
    <t>Blue Star Ltd.</t>
  </si>
  <si>
    <t>INE472A01039</t>
  </si>
  <si>
    <t>Consumer Durables</t>
  </si>
  <si>
    <t>101617</t>
  </si>
  <si>
    <t>Macrotech Developers Ltd.</t>
  </si>
  <si>
    <t>INE670K01029</t>
  </si>
  <si>
    <t>Realty</t>
  </si>
  <si>
    <t>100314</t>
  </si>
  <si>
    <t>SRF Ltd.</t>
  </si>
  <si>
    <t>INE647A01010</t>
  </si>
  <si>
    <t>Chemicals &amp; Petrochemicals</t>
  </si>
  <si>
    <t>100654</t>
  </si>
  <si>
    <t>Automotive Axles Ltd.</t>
  </si>
  <si>
    <t>INE449A01011</t>
  </si>
  <si>
    <t>Auto Components</t>
  </si>
  <si>
    <t>100273</t>
  </si>
  <si>
    <t>Havells India Ltd.</t>
  </si>
  <si>
    <t>INE176B01034</t>
  </si>
  <si>
    <t>100418</t>
  </si>
  <si>
    <t>Adani Enterprises Ltd.</t>
  </si>
  <si>
    <t>INE423A01024</t>
  </si>
  <si>
    <t>Metals &amp; Minerals Trading</t>
  </si>
  <si>
    <t>100139</t>
  </si>
  <si>
    <t>UPL Ltd.</t>
  </si>
  <si>
    <t>INE628A01036</t>
  </si>
  <si>
    <t>Fertilizers &amp; Agrochemicals</t>
  </si>
  <si>
    <t>100335</t>
  </si>
  <si>
    <t>Kajaria Ceramics Ltd.</t>
  </si>
  <si>
    <t>INE217B01036</t>
  </si>
  <si>
    <t>100302</t>
  </si>
  <si>
    <t>DLF Ltd.</t>
  </si>
  <si>
    <t>INE271C01023</t>
  </si>
  <si>
    <t>100896</t>
  </si>
  <si>
    <t>Polycab India Ltd.</t>
  </si>
  <si>
    <t>INE455K01017</t>
  </si>
  <si>
    <t>100372</t>
  </si>
  <si>
    <t>Apollo Tyres Ltd.</t>
  </si>
  <si>
    <t>INE438A01022</t>
  </si>
  <si>
    <t>100012</t>
  </si>
  <si>
    <t>ICICI Bank Ltd.</t>
  </si>
  <si>
    <t>INE090A01021</t>
  </si>
  <si>
    <t>Banks</t>
  </si>
  <si>
    <t>100108</t>
  </si>
  <si>
    <t>Adani Ports and Special Economic Zone Ltd.</t>
  </si>
  <si>
    <t>INE742F01042</t>
  </si>
  <si>
    <t>Transport Infrastructure</t>
  </si>
  <si>
    <t>100255</t>
  </si>
  <si>
    <t>PNC Infratech Ltd.</t>
  </si>
  <si>
    <t>INE195J01029</t>
  </si>
  <si>
    <t>Construction</t>
  </si>
  <si>
    <t>100080</t>
  </si>
  <si>
    <t>Dr. Reddy's Laboratories Ltd.</t>
  </si>
  <si>
    <t>INE089A01023</t>
  </si>
  <si>
    <t>Pharmaceuticals &amp; Biotechnology</t>
  </si>
  <si>
    <t>100180</t>
  </si>
  <si>
    <t>Hindalco Industries Ltd.</t>
  </si>
  <si>
    <t>INE038A01020</t>
  </si>
  <si>
    <t>Non - Ferrous Metals</t>
  </si>
  <si>
    <t>100013</t>
  </si>
  <si>
    <t>IndusInd Bank Ltd.</t>
  </si>
  <si>
    <t>INE095A01012</t>
  </si>
  <si>
    <t>100315</t>
  </si>
  <si>
    <t>Prestige Estates Projects Ltd.</t>
  </si>
  <si>
    <t>INE811K01011</t>
  </si>
  <si>
    <t>100235</t>
  </si>
  <si>
    <t>CRISIL Ltd.</t>
  </si>
  <si>
    <t>INE007A01025</t>
  </si>
  <si>
    <t>Finance</t>
  </si>
  <si>
    <t>100178</t>
  </si>
  <si>
    <t>Ambuja Cements Ltd.</t>
  </si>
  <si>
    <t>INE079A01024</t>
  </si>
  <si>
    <t>Cement &amp; Cement Products</t>
  </si>
  <si>
    <t>101229</t>
  </si>
  <si>
    <t>Jubilant Ingrevia Ltd.</t>
  </si>
  <si>
    <t>INE0BY001018</t>
  </si>
  <si>
    <t>100104</t>
  </si>
  <si>
    <t>Kotak Mahindra Bank Ltd.</t>
  </si>
  <si>
    <t>INE237A01028</t>
  </si>
  <si>
    <t>100388</t>
  </si>
  <si>
    <t>Balrampur Chini Mills Ltd.</t>
  </si>
  <si>
    <t>INE119A01028</t>
  </si>
  <si>
    <t>Agricultural Food &amp; other Products</t>
  </si>
  <si>
    <t>100425</t>
  </si>
  <si>
    <t>Chambal Fertilisers and Chemicals Ltd.</t>
  </si>
  <si>
    <t>INE085A01013</t>
  </si>
  <si>
    <t>101306</t>
  </si>
  <si>
    <t>Apollo Pipes Ltd.</t>
  </si>
  <si>
    <t>INE126J01016</t>
  </si>
  <si>
    <t>100115</t>
  </si>
  <si>
    <t>Siemens Ltd.</t>
  </si>
  <si>
    <t>INE003A01024</t>
  </si>
  <si>
    <t>Electrical Equipment</t>
  </si>
  <si>
    <t>100027</t>
  </si>
  <si>
    <t>Pidilite Industries Ltd.</t>
  </si>
  <si>
    <t>INE318A01026</t>
  </si>
  <si>
    <t>100172</t>
  </si>
  <si>
    <t>ACC Ltd.</t>
  </si>
  <si>
    <t>INE012A01025</t>
  </si>
  <si>
    <t>100690</t>
  </si>
  <si>
    <t>IG Petrochemicals Ltd.</t>
  </si>
  <si>
    <t>INE204A01010</t>
  </si>
  <si>
    <t>101412</t>
  </si>
  <si>
    <t>Punjab Chemicals &amp; Crop Protection Ltd.</t>
  </si>
  <si>
    <t>INE277B01014</t>
  </si>
  <si>
    <t>100571</t>
  </si>
  <si>
    <t>KNR Constructions Ltd.</t>
  </si>
  <si>
    <t>INE634I01029</t>
  </si>
  <si>
    <t>100570</t>
  </si>
  <si>
    <t>K.P.R. Mill Ltd.</t>
  </si>
  <si>
    <t>INE930H01031</t>
  </si>
  <si>
    <t>Textiles &amp; Apparels</t>
  </si>
  <si>
    <t>100128</t>
  </si>
  <si>
    <t>Eicher Motors Ltd.</t>
  </si>
  <si>
    <t>INE066A01021</t>
  </si>
  <si>
    <t>100162</t>
  </si>
  <si>
    <t>Kirloskar Oil Engines Ltd.</t>
  </si>
  <si>
    <t>INE146L01010</t>
  </si>
  <si>
    <t>100821</t>
  </si>
  <si>
    <t>TTK Prestige Ltd.</t>
  </si>
  <si>
    <t>INE690A01028</t>
  </si>
  <si>
    <t>100431</t>
  </si>
  <si>
    <t>Atul Auto Ltd.</t>
  </si>
  <si>
    <t>INE951D01028</t>
  </si>
  <si>
    <t>Agricultural, Commercial &amp; Construction Vehicles</t>
  </si>
  <si>
    <t>100059</t>
  </si>
  <si>
    <t>Godrej Industries Ltd.</t>
  </si>
  <si>
    <t>INE233A01035</t>
  </si>
  <si>
    <t>Diversified</t>
  </si>
  <si>
    <t>100695</t>
  </si>
  <si>
    <t>Nilkamal Ltd.</t>
  </si>
  <si>
    <t>INE310A01015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</si>
  <si>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</si>
  <si>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</si>
  <si>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</si>
  <si>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</si>
  <si>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</si>
  <si>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</si>
  <si>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</si>
  <si>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</si>
  <si>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</si>
  <si>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</si>
  <si>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</si>
  <si>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</si>
  <si>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</si>
  <si>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</si>
  <si>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</si>
  <si>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</si>
  <si>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</si>
  <si>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</si>
  <si>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</si>
  <si>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</si>
  <si>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</si>
  <si>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</si>
  <si>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</si>
  <si>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</si>
  <si>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</si>
  <si>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</si>
  <si>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</si>
  <si>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</si>
  <si>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</si>
  <si>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</si>
  <si>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</si>
  <si>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</si>
  <si>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</si>
  <si>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</si>
  <si>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</si>
  <si>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</si>
  <si>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</si>
  <si>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</si>
  <si>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</si>
  <si>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</si>
  <si>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</si>
  <si>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</si>
  <si>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</si>
  <si>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</si>
  <si>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January 31, 2023 : 149.01)</t>
  </si>
  <si>
    <t>Taurus Flexi Cap Fund - Direct Plan Growth Option</t>
  </si>
  <si>
    <t>NAV [Rs.] Per Unit (as on January 31, 2023 : 154.81)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</si>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</sst>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40979</xdr:colOff>
      <xdr:row>0</xdr:row>
      <xdr:rowOff>1923288</xdr:rowOff>
    </xdr:to>
    <xdr:pic>
      <xdr:nvPicPr>
        <xdr:cNvPr id="2" name="Picture 1" descr="Felxi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793146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anuary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3"/>
  <sheetViews>
    <sheetView showGridLines="0" tabSelected="1" zoomScale="90" zoomScaleNormal="90" workbookViewId="0">
      <selection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2.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44957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372799</v>
      </c>
      <c r="H10" s="32">
        <v>1239.93</v>
      </c>
      <c r="I10" s="32">
        <v>5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85816</v>
      </c>
      <c r="H11" s="32">
        <v>1183.06</v>
      </c>
      <c r="I11" s="32">
        <v>4.7699999999999996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57400</v>
      </c>
      <c r="H12" s="32">
        <v>1178.77</v>
      </c>
      <c r="I12" s="32">
        <v>4.75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85534</v>
      </c>
      <c r="H13" s="32">
        <v>1050.6099999999999</v>
      </c>
      <c r="I13" s="32">
        <v>4.24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100955</v>
      </c>
      <c r="H14" s="32">
        <v>1031.46</v>
      </c>
      <c r="I14" s="32">
        <v>4.16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46378</v>
      </c>
      <c r="H15" s="32">
        <v>1012.01</v>
      </c>
      <c r="I15" s="32">
        <v>4.08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38110</v>
      </c>
      <c r="H16" s="32">
        <v>970.03</v>
      </c>
      <c r="I16" s="32">
        <v>3.91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30</v>
      </c>
      <c r="G17" s="31">
        <v>80696</v>
      </c>
      <c r="H17" s="32">
        <v>954.27</v>
      </c>
      <c r="I17" s="32">
        <v>3.85</v>
      </c>
      <c r="J17" s="33"/>
    </row>
    <row r="18" spans="2:10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28745</v>
      </c>
      <c r="H18" s="32">
        <v>855.16</v>
      </c>
      <c r="I18" s="32">
        <v>3.45</v>
      </c>
      <c r="J18" s="33"/>
    </row>
    <row r="19" spans="2:10">
      <c r="B19" s="1" t="s">
        <v>50</v>
      </c>
      <c r="C19" s="20" t="s">
        <v>51</v>
      </c>
      <c r="D19" s="29" t="s">
        <v>52</v>
      </c>
      <c r="E19" s="30"/>
      <c r="F19" s="30" t="s">
        <v>53</v>
      </c>
      <c r="G19" s="31">
        <v>112352</v>
      </c>
      <c r="H19" s="32">
        <v>850.79</v>
      </c>
      <c r="I19" s="32">
        <v>3.43</v>
      </c>
      <c r="J19" s="33"/>
    </row>
    <row r="20" spans="2:10">
      <c r="B20" s="1" t="s">
        <v>54</v>
      </c>
      <c r="C20" s="20" t="s">
        <v>55</v>
      </c>
      <c r="D20" s="29" t="s">
        <v>56</v>
      </c>
      <c r="E20" s="30"/>
      <c r="F20" s="30" t="s">
        <v>30</v>
      </c>
      <c r="G20" s="31">
        <v>78008</v>
      </c>
      <c r="H20" s="32">
        <v>820.8</v>
      </c>
      <c r="I20" s="32">
        <v>3.31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34</v>
      </c>
      <c r="G21" s="31">
        <v>218039</v>
      </c>
      <c r="H21" s="32">
        <v>777.09</v>
      </c>
      <c r="I21" s="32">
        <v>3.13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26</v>
      </c>
      <c r="G22" s="31">
        <v>25300</v>
      </c>
      <c r="H22" s="32">
        <v>738.89</v>
      </c>
      <c r="I22" s="32">
        <v>2.98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42</v>
      </c>
      <c r="G23" s="31">
        <v>229326</v>
      </c>
      <c r="H23" s="32">
        <v>736.82</v>
      </c>
      <c r="I23" s="32">
        <v>2.97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80669</v>
      </c>
      <c r="H24" s="32">
        <v>670.88</v>
      </c>
      <c r="I24" s="32">
        <v>2.7</v>
      </c>
      <c r="J24" s="33"/>
    </row>
    <row r="25" spans="2:10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106959</v>
      </c>
      <c r="H25" s="32">
        <v>655.44</v>
      </c>
      <c r="I25" s="32">
        <v>2.64</v>
      </c>
      <c r="J25" s="33"/>
    </row>
    <row r="26" spans="2:10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197904</v>
      </c>
      <c r="H26" s="32">
        <v>649.72</v>
      </c>
      <c r="I26" s="32">
        <v>2.62</v>
      </c>
      <c r="J26" s="33"/>
    </row>
    <row r="27" spans="2:10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14997</v>
      </c>
      <c r="H27" s="32">
        <v>648.47</v>
      </c>
      <c r="I27" s="32">
        <v>2.61</v>
      </c>
      <c r="J27" s="33"/>
    </row>
    <row r="28" spans="2:10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137722</v>
      </c>
      <c r="H28" s="32">
        <v>645.29999999999995</v>
      </c>
      <c r="I28" s="32">
        <v>2.6</v>
      </c>
      <c r="J28" s="33"/>
    </row>
    <row r="29" spans="2:10">
      <c r="B29" s="1" t="s">
        <v>86</v>
      </c>
      <c r="C29" s="20" t="s">
        <v>87</v>
      </c>
      <c r="D29" s="29" t="s">
        <v>88</v>
      </c>
      <c r="E29" s="30"/>
      <c r="F29" s="30" t="s">
        <v>69</v>
      </c>
      <c r="G29" s="31">
        <v>59483</v>
      </c>
      <c r="H29" s="32">
        <v>644.55999999999995</v>
      </c>
      <c r="I29" s="32">
        <v>2.6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34</v>
      </c>
      <c r="G30" s="31">
        <v>149240</v>
      </c>
      <c r="H30" s="32">
        <v>626.80999999999995</v>
      </c>
      <c r="I30" s="32">
        <v>2.5299999999999998</v>
      </c>
      <c r="J30" s="33"/>
    </row>
    <row r="31" spans="2:10">
      <c r="B31" s="1" t="s">
        <v>92</v>
      </c>
      <c r="C31" s="20" t="s">
        <v>93</v>
      </c>
      <c r="D31" s="29" t="s">
        <v>94</v>
      </c>
      <c r="E31" s="30"/>
      <c r="F31" s="30" t="s">
        <v>95</v>
      </c>
      <c r="G31" s="31">
        <v>19780</v>
      </c>
      <c r="H31" s="32">
        <v>621.84</v>
      </c>
      <c r="I31" s="32">
        <v>2.5099999999999998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150000</v>
      </c>
      <c r="H32" s="32">
        <v>601.5</v>
      </c>
      <c r="I32" s="32">
        <v>2.42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38</v>
      </c>
      <c r="G33" s="31">
        <v>92600</v>
      </c>
      <c r="H33" s="32">
        <v>452.4</v>
      </c>
      <c r="I33" s="32">
        <v>1.82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69</v>
      </c>
      <c r="G34" s="31">
        <v>25083</v>
      </c>
      <c r="H34" s="32">
        <v>434</v>
      </c>
      <c r="I34" s="32">
        <v>1.75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108600</v>
      </c>
      <c r="H35" s="32">
        <v>410.18</v>
      </c>
      <c r="I35" s="32">
        <v>1.65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53</v>
      </c>
      <c r="G36" s="31">
        <v>129773</v>
      </c>
      <c r="H36" s="32">
        <v>405.28</v>
      </c>
      <c r="I36" s="32">
        <v>1.63</v>
      </c>
      <c r="J36" s="33"/>
    </row>
    <row r="37" spans="2:10">
      <c r="B37" s="1" t="s">
        <v>113</v>
      </c>
      <c r="C37" s="20" t="s">
        <v>114</v>
      </c>
      <c r="D37" s="29" t="s">
        <v>115</v>
      </c>
      <c r="E37" s="30"/>
      <c r="F37" s="30" t="s">
        <v>26</v>
      </c>
      <c r="G37" s="31">
        <v>78601</v>
      </c>
      <c r="H37" s="32">
        <v>399.41</v>
      </c>
      <c r="I37" s="32">
        <v>1.61</v>
      </c>
      <c r="J37" s="33"/>
    </row>
    <row r="38" spans="2:10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11465</v>
      </c>
      <c r="H38" s="32">
        <v>335.86</v>
      </c>
      <c r="I38" s="32">
        <v>1.35</v>
      </c>
      <c r="J38" s="33"/>
    </row>
    <row r="39" spans="2:10">
      <c r="B39" s="1" t="s">
        <v>120</v>
      </c>
      <c r="C39" s="20" t="s">
        <v>121</v>
      </c>
      <c r="D39" s="29" t="s">
        <v>122</v>
      </c>
      <c r="E39" s="30"/>
      <c r="F39" s="30" t="s">
        <v>38</v>
      </c>
      <c r="G39" s="31">
        <v>14292</v>
      </c>
      <c r="H39" s="32">
        <v>325.93</v>
      </c>
      <c r="I39" s="32">
        <v>1.31</v>
      </c>
      <c r="J39" s="33"/>
    </row>
    <row r="40" spans="2:10">
      <c r="B40" s="1" t="s">
        <v>123</v>
      </c>
      <c r="C40" s="20" t="s">
        <v>124</v>
      </c>
      <c r="D40" s="29" t="s">
        <v>125</v>
      </c>
      <c r="E40" s="30"/>
      <c r="F40" s="30" t="s">
        <v>99</v>
      </c>
      <c r="G40" s="31">
        <v>16000</v>
      </c>
      <c r="H40" s="32">
        <v>315.10000000000002</v>
      </c>
      <c r="I40" s="32">
        <v>1.27</v>
      </c>
      <c r="J40" s="33"/>
    </row>
    <row r="41" spans="2:10">
      <c r="B41" s="1" t="s">
        <v>126</v>
      </c>
      <c r="C41" s="20" t="s">
        <v>127</v>
      </c>
      <c r="D41" s="29" t="s">
        <v>128</v>
      </c>
      <c r="E41" s="30"/>
      <c r="F41" s="30" t="s">
        <v>38</v>
      </c>
      <c r="G41" s="31">
        <v>64823</v>
      </c>
      <c r="H41" s="32">
        <v>313.58</v>
      </c>
      <c r="I41" s="32">
        <v>1.26</v>
      </c>
      <c r="J41" s="33"/>
    </row>
    <row r="42" spans="2:10">
      <c r="B42" s="1" t="s">
        <v>129</v>
      </c>
      <c r="C42" s="20" t="s">
        <v>130</v>
      </c>
      <c r="D42" s="29" t="s">
        <v>131</v>
      </c>
      <c r="E42" s="30"/>
      <c r="F42" s="30" t="s">
        <v>53</v>
      </c>
      <c r="G42" s="31">
        <v>32045</v>
      </c>
      <c r="H42" s="32">
        <v>305.89</v>
      </c>
      <c r="I42" s="32">
        <v>1.23</v>
      </c>
      <c r="J42" s="33"/>
    </row>
    <row r="43" spans="2:10">
      <c r="B43" s="1" t="s">
        <v>132</v>
      </c>
      <c r="C43" s="20" t="s">
        <v>133</v>
      </c>
      <c r="D43" s="29" t="s">
        <v>134</v>
      </c>
      <c r="E43" s="30"/>
      <c r="F43" s="30" t="s">
        <v>77</v>
      </c>
      <c r="G43" s="31">
        <v>103891</v>
      </c>
      <c r="H43" s="32">
        <v>256.70999999999998</v>
      </c>
      <c r="I43" s="32">
        <v>1.03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138</v>
      </c>
      <c r="G44" s="31">
        <v>46480</v>
      </c>
      <c r="H44" s="32">
        <v>245.72</v>
      </c>
      <c r="I44" s="32">
        <v>0.99</v>
      </c>
      <c r="J44" s="33"/>
    </row>
    <row r="45" spans="2:10">
      <c r="B45" s="1" t="s">
        <v>139</v>
      </c>
      <c r="C45" s="20" t="s">
        <v>140</v>
      </c>
      <c r="D45" s="29" t="s">
        <v>141</v>
      </c>
      <c r="E45" s="30"/>
      <c r="F45" s="30" t="s">
        <v>22</v>
      </c>
      <c r="G45" s="31">
        <v>7000</v>
      </c>
      <c r="H45" s="32">
        <v>228.63</v>
      </c>
      <c r="I45" s="32">
        <v>0.92</v>
      </c>
      <c r="J45" s="33"/>
    </row>
    <row r="46" spans="2:10">
      <c r="B46" s="1" t="s">
        <v>142</v>
      </c>
      <c r="C46" s="20" t="s">
        <v>143</v>
      </c>
      <c r="D46" s="29" t="s">
        <v>144</v>
      </c>
      <c r="E46" s="30"/>
      <c r="F46" s="30" t="s">
        <v>26</v>
      </c>
      <c r="G46" s="31">
        <v>58423</v>
      </c>
      <c r="H46" s="32">
        <v>182.28</v>
      </c>
      <c r="I46" s="32">
        <v>0.73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30</v>
      </c>
      <c r="G47" s="31">
        <v>22837</v>
      </c>
      <c r="H47" s="32">
        <v>178.37</v>
      </c>
      <c r="I47" s="32">
        <v>0.72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51790</v>
      </c>
      <c r="H48" s="32">
        <v>166.84</v>
      </c>
      <c r="I48" s="32">
        <v>0.67</v>
      </c>
      <c r="J48" s="33"/>
    </row>
    <row r="49" spans="2:10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14732</v>
      </c>
      <c r="H49" s="32">
        <v>63.24</v>
      </c>
      <c r="I49" s="32">
        <v>0.25</v>
      </c>
      <c r="J49" s="33"/>
    </row>
    <row r="50" spans="2:10">
      <c r="B50" s="1" t="s">
        <v>156</v>
      </c>
      <c r="C50" s="20" t="s">
        <v>157</v>
      </c>
      <c r="D50" s="29" t="s">
        <v>158</v>
      </c>
      <c r="E50" s="30"/>
      <c r="F50" s="30" t="s">
        <v>30</v>
      </c>
      <c r="G50" s="31">
        <v>1905</v>
      </c>
      <c r="H50" s="32">
        <v>35.83</v>
      </c>
      <c r="I50" s="32">
        <v>0.14000000000000001</v>
      </c>
      <c r="J50" s="33"/>
    </row>
    <row r="51" spans="2:10">
      <c r="C51" s="28" t="s">
        <v>159</v>
      </c>
      <c r="D51" s="29"/>
      <c r="E51" s="30"/>
      <c r="F51" s="30"/>
      <c r="G51" s="31"/>
      <c r="H51" s="35">
        <v>24219.46</v>
      </c>
      <c r="I51" s="35">
        <v>97.59</v>
      </c>
      <c r="J51" s="33"/>
    </row>
    <row r="52" spans="2:10">
      <c r="C52" s="20"/>
      <c r="D52" s="29"/>
      <c r="E52" s="30"/>
      <c r="F52" s="30"/>
      <c r="G52" s="31"/>
      <c r="H52" s="32"/>
      <c r="I52" s="32"/>
      <c r="J52" s="33"/>
    </row>
    <row r="53" spans="2:10">
      <c r="C53" s="34" t="s">
        <v>160</v>
      </c>
      <c r="D53" s="29"/>
      <c r="E53" s="30"/>
      <c r="F53" s="30"/>
      <c r="G53" s="31"/>
      <c r="H53" s="32"/>
      <c r="I53" s="32"/>
      <c r="J53" s="33"/>
    </row>
    <row r="54" spans="2:10">
      <c r="B54" s="1" t="s">
        <v>161</v>
      </c>
      <c r="C54" s="20" t="s">
        <v>162</v>
      </c>
      <c r="D54" s="29" t="s">
        <v>163</v>
      </c>
      <c r="E54" s="30"/>
      <c r="F54" s="30" t="s">
        <v>164</v>
      </c>
      <c r="G54" s="31">
        <v>189983</v>
      </c>
      <c r="H54" s="36">
        <v>0</v>
      </c>
      <c r="I54" s="32" t="s">
        <v>165</v>
      </c>
      <c r="J54" s="33"/>
    </row>
    <row r="55" spans="2:10">
      <c r="C55" s="28" t="s">
        <v>159</v>
      </c>
      <c r="D55" s="29"/>
      <c r="E55" s="30"/>
      <c r="F55" s="30"/>
      <c r="G55" s="31"/>
      <c r="H55" s="37">
        <v>0</v>
      </c>
      <c r="I55" s="35" t="s">
        <v>165</v>
      </c>
      <c r="J55" s="33"/>
    </row>
    <row r="56" spans="2:10">
      <c r="C56" s="20"/>
      <c r="D56" s="29"/>
      <c r="E56" s="30"/>
      <c r="F56" s="30"/>
      <c r="G56" s="31"/>
      <c r="H56" s="32"/>
      <c r="I56" s="32"/>
      <c r="J56" s="33"/>
    </row>
    <row r="57" spans="2:10">
      <c r="C57" s="28" t="s">
        <v>166</v>
      </c>
      <c r="D57" s="29"/>
      <c r="E57" s="30"/>
      <c r="F57" s="30"/>
      <c r="G57" s="31"/>
      <c r="H57" s="32" t="s">
        <v>167</v>
      </c>
      <c r="I57" s="32" t="s">
        <v>167</v>
      </c>
      <c r="J57" s="33"/>
    </row>
    <row r="58" spans="2:10">
      <c r="C58" s="20"/>
      <c r="D58" s="29"/>
      <c r="E58" s="30"/>
      <c r="F58" s="30"/>
      <c r="G58" s="31"/>
      <c r="H58" s="32"/>
      <c r="I58" s="32"/>
      <c r="J58" s="33"/>
    </row>
    <row r="59" spans="2:10">
      <c r="C59" s="28" t="s">
        <v>168</v>
      </c>
      <c r="D59" s="29"/>
      <c r="E59" s="30"/>
      <c r="F59" s="30"/>
      <c r="G59" s="31"/>
      <c r="H59" s="32"/>
      <c r="I59" s="32"/>
      <c r="J59" s="33"/>
    </row>
    <row r="60" spans="2:10">
      <c r="C60" s="20"/>
      <c r="D60" s="29"/>
      <c r="E60" s="30"/>
      <c r="F60" s="30"/>
      <c r="G60" s="31"/>
      <c r="H60" s="32"/>
      <c r="I60" s="32"/>
      <c r="J60" s="33"/>
    </row>
    <row r="61" spans="2:10">
      <c r="C61" s="28" t="s">
        <v>169</v>
      </c>
      <c r="D61" s="29"/>
      <c r="E61" s="30"/>
      <c r="F61" s="30"/>
      <c r="G61" s="31"/>
      <c r="H61" s="32" t="s">
        <v>167</v>
      </c>
      <c r="I61" s="32" t="s">
        <v>167</v>
      </c>
      <c r="J61" s="33"/>
    </row>
    <row r="62" spans="2:10">
      <c r="C62" s="20"/>
      <c r="D62" s="29"/>
      <c r="E62" s="30"/>
      <c r="F62" s="30"/>
      <c r="G62" s="31"/>
      <c r="H62" s="32"/>
      <c r="I62" s="32"/>
      <c r="J62" s="33"/>
    </row>
    <row r="63" spans="2:10">
      <c r="C63" s="28" t="s">
        <v>170</v>
      </c>
      <c r="D63" s="29"/>
      <c r="E63" s="30"/>
      <c r="F63" s="30"/>
      <c r="G63" s="31"/>
      <c r="H63" s="32" t="s">
        <v>167</v>
      </c>
      <c r="I63" s="32" t="s">
        <v>167</v>
      </c>
      <c r="J63" s="33"/>
    </row>
    <row r="64" spans="2:10">
      <c r="C64" s="20"/>
      <c r="D64" s="29"/>
      <c r="E64" s="30"/>
      <c r="F64" s="30"/>
      <c r="G64" s="31"/>
      <c r="H64" s="32"/>
      <c r="I64" s="32"/>
      <c r="J64" s="33"/>
    </row>
    <row r="65" spans="3:10">
      <c r="C65" s="28" t="s">
        <v>171</v>
      </c>
      <c r="D65" s="29"/>
      <c r="E65" s="30"/>
      <c r="F65" s="30"/>
      <c r="G65" s="31"/>
      <c r="H65" s="32" t="s">
        <v>167</v>
      </c>
      <c r="I65" s="32" t="s">
        <v>167</v>
      </c>
      <c r="J65" s="33"/>
    </row>
    <row r="66" spans="3:10">
      <c r="C66" s="20"/>
      <c r="D66" s="29"/>
      <c r="E66" s="30"/>
      <c r="F66" s="30"/>
      <c r="G66" s="31"/>
      <c r="H66" s="32"/>
      <c r="I66" s="32"/>
      <c r="J66" s="33"/>
    </row>
    <row r="67" spans="3:10">
      <c r="C67" s="28" t="s">
        <v>172</v>
      </c>
      <c r="D67" s="29"/>
      <c r="E67" s="30"/>
      <c r="F67" s="30"/>
      <c r="G67" s="31"/>
      <c r="H67" s="32" t="s">
        <v>167</v>
      </c>
      <c r="I67" s="32" t="s">
        <v>167</v>
      </c>
      <c r="J67" s="33"/>
    </row>
    <row r="68" spans="3:10">
      <c r="C68" s="20"/>
      <c r="D68" s="29"/>
      <c r="E68" s="30"/>
      <c r="F68" s="30"/>
      <c r="G68" s="31"/>
      <c r="H68" s="32"/>
      <c r="I68" s="32"/>
      <c r="J68" s="33"/>
    </row>
    <row r="69" spans="3:10">
      <c r="C69" s="28" t="s">
        <v>173</v>
      </c>
      <c r="D69" s="29"/>
      <c r="E69" s="30"/>
      <c r="F69" s="30"/>
      <c r="G69" s="31"/>
      <c r="H69" s="32" t="s">
        <v>167</v>
      </c>
      <c r="I69" s="32" t="s">
        <v>167</v>
      </c>
      <c r="J69" s="33"/>
    </row>
    <row r="70" spans="3:10">
      <c r="C70" s="20"/>
      <c r="D70" s="29"/>
      <c r="E70" s="30"/>
      <c r="F70" s="30"/>
      <c r="G70" s="31"/>
      <c r="H70" s="32"/>
      <c r="I70" s="32"/>
      <c r="J70" s="33"/>
    </row>
    <row r="71" spans="3:10">
      <c r="C71" s="28" t="s">
        <v>174</v>
      </c>
      <c r="D71" s="29"/>
      <c r="E71" s="30"/>
      <c r="F71" s="30"/>
      <c r="G71" s="31"/>
      <c r="H71" s="32"/>
      <c r="I71" s="32"/>
      <c r="J71" s="33"/>
    </row>
    <row r="72" spans="3:10">
      <c r="C72" s="20"/>
      <c r="D72" s="29"/>
      <c r="E72" s="30"/>
      <c r="F72" s="30"/>
      <c r="G72" s="31"/>
      <c r="H72" s="32"/>
      <c r="I72" s="32"/>
      <c r="J72" s="33"/>
    </row>
    <row r="73" spans="3:10">
      <c r="C73" s="28" t="s">
        <v>175</v>
      </c>
      <c r="D73" s="29"/>
      <c r="E73" s="30"/>
      <c r="F73" s="30"/>
      <c r="G73" s="31"/>
      <c r="H73" s="32" t="s">
        <v>167</v>
      </c>
      <c r="I73" s="32" t="s">
        <v>167</v>
      </c>
      <c r="J73" s="33"/>
    </row>
    <row r="74" spans="3:10">
      <c r="C74" s="20"/>
      <c r="D74" s="29"/>
      <c r="E74" s="30"/>
      <c r="F74" s="30"/>
      <c r="G74" s="31"/>
      <c r="H74" s="32"/>
      <c r="I74" s="32"/>
      <c r="J74" s="33"/>
    </row>
    <row r="75" spans="3:10">
      <c r="C75" s="28" t="s">
        <v>176</v>
      </c>
      <c r="D75" s="29"/>
      <c r="E75" s="30"/>
      <c r="F75" s="30"/>
      <c r="G75" s="31"/>
      <c r="H75" s="32" t="s">
        <v>167</v>
      </c>
      <c r="I75" s="32" t="s">
        <v>167</v>
      </c>
      <c r="J75" s="33"/>
    </row>
    <row r="76" spans="3:10">
      <c r="C76" s="20"/>
      <c r="D76" s="29"/>
      <c r="E76" s="30"/>
      <c r="F76" s="30"/>
      <c r="G76" s="31"/>
      <c r="H76" s="32"/>
      <c r="I76" s="32"/>
      <c r="J76" s="33"/>
    </row>
    <row r="77" spans="3:10">
      <c r="C77" s="28" t="s">
        <v>177</v>
      </c>
      <c r="D77" s="29"/>
      <c r="E77" s="30"/>
      <c r="F77" s="30"/>
      <c r="G77" s="31"/>
      <c r="H77" s="32" t="s">
        <v>167</v>
      </c>
      <c r="I77" s="32" t="s">
        <v>167</v>
      </c>
      <c r="J77" s="33"/>
    </row>
    <row r="78" spans="3:10">
      <c r="C78" s="20"/>
      <c r="D78" s="29"/>
      <c r="E78" s="30"/>
      <c r="F78" s="30"/>
      <c r="G78" s="31"/>
      <c r="H78" s="32"/>
      <c r="I78" s="32"/>
      <c r="J78" s="33"/>
    </row>
    <row r="79" spans="3:10">
      <c r="C79" s="28" t="s">
        <v>178</v>
      </c>
      <c r="D79" s="29"/>
      <c r="E79" s="30"/>
      <c r="F79" s="30"/>
      <c r="G79" s="31"/>
      <c r="H79" s="32" t="s">
        <v>167</v>
      </c>
      <c r="I79" s="32" t="s">
        <v>167</v>
      </c>
      <c r="J79" s="33"/>
    </row>
    <row r="80" spans="3:10">
      <c r="C80" s="20"/>
      <c r="D80" s="29"/>
      <c r="E80" s="30"/>
      <c r="F80" s="30"/>
      <c r="G80" s="31"/>
      <c r="H80" s="32"/>
      <c r="I80" s="32"/>
      <c r="J80" s="33"/>
    </row>
    <row r="81" spans="1:10">
      <c r="C81" s="28" t="s">
        <v>179</v>
      </c>
      <c r="D81" s="29"/>
      <c r="E81" s="30"/>
      <c r="F81" s="30"/>
      <c r="G81" s="31"/>
      <c r="H81" s="32"/>
      <c r="I81" s="32"/>
      <c r="J81" s="33"/>
    </row>
    <row r="82" spans="1:10">
      <c r="C82" s="20"/>
      <c r="D82" s="29"/>
      <c r="E82" s="30"/>
      <c r="F82" s="30"/>
      <c r="G82" s="31"/>
      <c r="H82" s="32"/>
      <c r="I82" s="32"/>
      <c r="J82" s="33"/>
    </row>
    <row r="83" spans="1:10">
      <c r="C83" s="28" t="s">
        <v>180</v>
      </c>
      <c r="D83" s="29"/>
      <c r="E83" s="30"/>
      <c r="F83" s="30"/>
      <c r="G83" s="31"/>
      <c r="H83" s="32" t="s">
        <v>167</v>
      </c>
      <c r="I83" s="32" t="s">
        <v>167</v>
      </c>
      <c r="J83" s="33"/>
    </row>
    <row r="84" spans="1:10">
      <c r="C84" s="20"/>
      <c r="D84" s="29"/>
      <c r="E84" s="30"/>
      <c r="F84" s="30"/>
      <c r="G84" s="31"/>
      <c r="H84" s="32"/>
      <c r="I84" s="32"/>
      <c r="J84" s="33"/>
    </row>
    <row r="85" spans="1:10">
      <c r="C85" s="28" t="s">
        <v>181</v>
      </c>
      <c r="D85" s="29"/>
      <c r="E85" s="30"/>
      <c r="F85" s="30"/>
      <c r="G85" s="31"/>
      <c r="H85" s="32" t="s">
        <v>167</v>
      </c>
      <c r="I85" s="32" t="s">
        <v>167</v>
      </c>
      <c r="J85" s="33"/>
    </row>
    <row r="86" spans="1:10">
      <c r="C86" s="20"/>
      <c r="D86" s="29"/>
      <c r="E86" s="30"/>
      <c r="F86" s="30"/>
      <c r="G86" s="31"/>
      <c r="H86" s="32"/>
      <c r="I86" s="32"/>
      <c r="J86" s="33"/>
    </row>
    <row r="87" spans="1:10">
      <c r="C87" s="28" t="s">
        <v>182</v>
      </c>
      <c r="D87" s="29"/>
      <c r="E87" s="30"/>
      <c r="F87" s="30"/>
      <c r="G87" s="31"/>
      <c r="H87" s="32" t="s">
        <v>167</v>
      </c>
      <c r="I87" s="32" t="s">
        <v>167</v>
      </c>
      <c r="J87" s="33"/>
    </row>
    <row r="88" spans="1:10">
      <c r="C88" s="20"/>
      <c r="D88" s="29"/>
      <c r="E88" s="30"/>
      <c r="F88" s="30"/>
      <c r="G88" s="31"/>
      <c r="H88" s="32"/>
      <c r="I88" s="32"/>
      <c r="J88" s="33"/>
    </row>
    <row r="89" spans="1:10">
      <c r="C89" s="28" t="s">
        <v>183</v>
      </c>
      <c r="D89" s="29"/>
      <c r="E89" s="30"/>
      <c r="F89" s="30"/>
      <c r="G89" s="31"/>
      <c r="H89" s="32" t="s">
        <v>167</v>
      </c>
      <c r="I89" s="32" t="s">
        <v>167</v>
      </c>
      <c r="J89" s="33"/>
    </row>
    <row r="90" spans="1:10">
      <c r="C90" s="20"/>
      <c r="D90" s="29"/>
      <c r="E90" s="30"/>
      <c r="F90" s="30"/>
      <c r="G90" s="31"/>
      <c r="H90" s="32"/>
      <c r="I90" s="32"/>
      <c r="J90" s="33"/>
    </row>
    <row r="91" spans="1:10">
      <c r="C91" s="28" t="s">
        <v>184</v>
      </c>
      <c r="D91" s="29"/>
      <c r="E91" s="30"/>
      <c r="F91" s="30"/>
      <c r="G91" s="31"/>
      <c r="H91" s="32" t="s">
        <v>167</v>
      </c>
      <c r="I91" s="32" t="s">
        <v>167</v>
      </c>
      <c r="J91" s="33"/>
    </row>
    <row r="92" spans="1:10">
      <c r="C92" s="20"/>
      <c r="D92" s="29"/>
      <c r="E92" s="30"/>
      <c r="F92" s="30"/>
      <c r="G92" s="31"/>
      <c r="H92" s="32"/>
      <c r="I92" s="32"/>
      <c r="J92" s="33"/>
    </row>
    <row r="93" spans="1:10">
      <c r="A93" s="26"/>
      <c r="B93" s="27"/>
      <c r="C93" s="28" t="s">
        <v>185</v>
      </c>
      <c r="D93" s="29"/>
      <c r="E93" s="30"/>
      <c r="F93" s="30"/>
      <c r="G93" s="31"/>
      <c r="H93" s="32"/>
      <c r="I93" s="32"/>
      <c r="J93" s="33"/>
    </row>
    <row r="94" spans="1:10">
      <c r="B94" s="1"/>
      <c r="C94" s="20" t="s">
        <v>186</v>
      </c>
      <c r="D94" s="29"/>
      <c r="E94" s="30"/>
      <c r="F94" s="30"/>
      <c r="G94" s="31"/>
      <c r="H94" s="32">
        <v>586.33000000000004</v>
      </c>
      <c r="I94" s="32">
        <v>2.4099999999999997</v>
      </c>
      <c r="J94" s="33"/>
    </row>
    <row r="95" spans="1:10">
      <c r="C95" s="28" t="s">
        <v>159</v>
      </c>
      <c r="D95" s="29"/>
      <c r="E95" s="30"/>
      <c r="F95" s="30"/>
      <c r="G95" s="31"/>
      <c r="H95" s="35">
        <v>586.33000000000004</v>
      </c>
      <c r="I95" s="35">
        <v>2.4099999999999997</v>
      </c>
      <c r="J95" s="33"/>
    </row>
    <row r="96" spans="1:10">
      <c r="C96" s="20"/>
      <c r="D96" s="29"/>
      <c r="E96" s="30"/>
      <c r="F96" s="30"/>
      <c r="G96" s="31"/>
      <c r="H96" s="32"/>
      <c r="I96" s="32"/>
      <c r="J96" s="33"/>
    </row>
    <row r="97" spans="3:10" ht="13.5" thickBot="1">
      <c r="C97" s="38" t="s">
        <v>187</v>
      </c>
      <c r="D97" s="39"/>
      <c r="E97" s="40"/>
      <c r="F97" s="41"/>
      <c r="G97" s="42"/>
      <c r="H97" s="43">
        <v>24805.79</v>
      </c>
      <c r="I97" s="43">
        <f>SUMIFS(I:I,C:C,"Total")</f>
        <v>100</v>
      </c>
      <c r="J97" s="44"/>
    </row>
    <row r="100" spans="3:10">
      <c r="C100" s="11" t="s">
        <v>188</v>
      </c>
    </row>
    <row r="101" spans="3:10">
      <c r="C101" s="2" t="s">
        <v>189</v>
      </c>
    </row>
    <row r="102" spans="3:10">
      <c r="C102" s="2" t="s">
        <v>190</v>
      </c>
    </row>
    <row r="103" spans="3:10">
      <c r="C103" s="2" t="s">
        <v>191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5"/>
  <cols>
    <col min="2" max="2" width="47.425781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1.85546875" bestFit="1" customWidth="1"/>
  </cols>
  <sheetData>
    <row r="4" spans="2:10" ht="15.75">
      <c r="B4" s="45" t="s">
        <v>192</v>
      </c>
      <c r="C4" s="46"/>
      <c r="D4" s="46"/>
      <c r="E4" s="46"/>
      <c r="F4" s="46"/>
      <c r="G4" s="46"/>
      <c r="H4" s="46"/>
      <c r="I4" s="46"/>
      <c r="J4" s="46"/>
    </row>
    <row r="5" spans="2:10">
      <c r="B5" s="47" t="s">
        <v>193</v>
      </c>
      <c r="C5" s="48" t="s">
        <v>194</v>
      </c>
      <c r="D5" s="48"/>
      <c r="E5" s="48" t="s">
        <v>195</v>
      </c>
      <c r="F5" s="48"/>
      <c r="G5" s="48" t="s">
        <v>196</v>
      </c>
      <c r="H5" s="48"/>
      <c r="I5" s="48" t="s">
        <v>197</v>
      </c>
      <c r="J5" s="48"/>
    </row>
    <row r="6" spans="2:10" ht="63.75">
      <c r="B6" s="49"/>
      <c r="C6" s="50" t="s">
        <v>198</v>
      </c>
      <c r="D6" s="50" t="s">
        <v>199</v>
      </c>
      <c r="E6" s="50" t="s">
        <v>198</v>
      </c>
      <c r="F6" s="50" t="s">
        <v>199</v>
      </c>
      <c r="G6" s="50" t="s">
        <v>198</v>
      </c>
      <c r="H6" s="50" t="s">
        <v>199</v>
      </c>
      <c r="I6" s="50" t="s">
        <v>198</v>
      </c>
      <c r="J6" s="50" t="s">
        <v>199</v>
      </c>
    </row>
    <row r="7" spans="2:10">
      <c r="B7" s="51" t="s">
        <v>200</v>
      </c>
      <c r="C7" s="52">
        <v>0.24892357373520468</v>
      </c>
      <c r="D7" s="52">
        <v>10024.892357373519</v>
      </c>
      <c r="E7" s="52">
        <v>9.9653893332171339</v>
      </c>
      <c r="F7" s="52">
        <v>13300.901544229224</v>
      </c>
      <c r="G7" s="52">
        <v>4.6401254384691448</v>
      </c>
      <c r="H7" s="52">
        <v>12547.153923880092</v>
      </c>
      <c r="I7" s="52">
        <v>9.7532830567095061</v>
      </c>
      <c r="J7" s="52">
        <v>149010</v>
      </c>
    </row>
    <row r="8" spans="2:10">
      <c r="B8" s="51" t="s">
        <v>201</v>
      </c>
      <c r="C8" s="52">
        <v>1.6557151413137294</v>
      </c>
      <c r="D8" s="52">
        <v>10165.571514131372</v>
      </c>
      <c r="E8" s="52">
        <v>16.455702313790987</v>
      </c>
      <c r="F8" s="52">
        <v>15793.641529167333</v>
      </c>
      <c r="G8" s="52">
        <v>10.538444634702881</v>
      </c>
      <c r="H8" s="52">
        <v>16503.146200224874</v>
      </c>
      <c r="I8" s="52">
        <v>0</v>
      </c>
      <c r="J8" s="52">
        <v>0</v>
      </c>
    </row>
    <row r="9" spans="2:10">
      <c r="B9" s="51" t="s">
        <v>202</v>
      </c>
      <c r="C9" s="52">
        <v>3.1786787667375416</v>
      </c>
      <c r="D9" s="52">
        <v>10317.867876673754</v>
      </c>
      <c r="E9" s="52">
        <v>15.20948157089097</v>
      </c>
      <c r="F9" s="52">
        <v>15292.013299900276</v>
      </c>
      <c r="G9" s="52">
        <v>11.250631257369781</v>
      </c>
      <c r="H9" s="52">
        <v>17041.680532244904</v>
      </c>
      <c r="I9" s="52">
        <v>10.695713837044218</v>
      </c>
      <c r="J9" s="52">
        <v>190933.22507734087</v>
      </c>
    </row>
    <row r="10" spans="2:10">
      <c r="B10" s="51" t="s">
        <v>203</v>
      </c>
      <c r="C10" s="53">
        <v>148.63999999999999</v>
      </c>
      <c r="D10" s="54"/>
      <c r="E10" s="53">
        <v>112.03</v>
      </c>
      <c r="F10" s="54"/>
      <c r="G10" s="53">
        <v>118.76</v>
      </c>
      <c r="H10" s="54"/>
      <c r="I10" s="53">
        <v>10</v>
      </c>
      <c r="J10" s="54"/>
    </row>
    <row r="12" spans="2:10" ht="15.75">
      <c r="B12" s="45" t="s">
        <v>204</v>
      </c>
      <c r="C12" s="46"/>
      <c r="D12" s="46"/>
      <c r="E12" s="46"/>
      <c r="F12" s="46"/>
      <c r="G12" s="46"/>
      <c r="H12" s="46"/>
      <c r="I12" s="46"/>
      <c r="J12" s="46"/>
    </row>
    <row r="13" spans="2:10">
      <c r="B13" s="47" t="s">
        <v>193</v>
      </c>
      <c r="C13" s="48" t="s">
        <v>194</v>
      </c>
      <c r="D13" s="48"/>
      <c r="E13" s="48" t="s">
        <v>195</v>
      </c>
      <c r="F13" s="48"/>
      <c r="G13" s="48" t="s">
        <v>196</v>
      </c>
      <c r="H13" s="48"/>
      <c r="I13" s="48" t="s">
        <v>197</v>
      </c>
      <c r="J13" s="48"/>
    </row>
    <row r="14" spans="2:10" ht="63.75">
      <c r="B14" s="49"/>
      <c r="C14" s="50" t="s">
        <v>198</v>
      </c>
      <c r="D14" s="50" t="s">
        <v>199</v>
      </c>
      <c r="E14" s="50" t="s">
        <v>198</v>
      </c>
      <c r="F14" s="50" t="s">
        <v>199</v>
      </c>
      <c r="G14" s="50" t="s">
        <v>198</v>
      </c>
      <c r="H14" s="50" t="s">
        <v>199</v>
      </c>
      <c r="I14" s="50" t="s">
        <v>198</v>
      </c>
      <c r="J14" s="50" t="s">
        <v>199</v>
      </c>
    </row>
    <row r="15" spans="2:10">
      <c r="B15" s="51" t="s">
        <v>200</v>
      </c>
      <c r="C15" s="52">
        <v>0.28502947463884265</v>
      </c>
      <c r="D15" s="52">
        <v>10028.502947463885</v>
      </c>
      <c r="E15" s="52">
        <v>10.050666465685619</v>
      </c>
      <c r="F15" s="52">
        <v>13331.898036513951</v>
      </c>
      <c r="G15" s="52">
        <v>4.7357561711383722</v>
      </c>
      <c r="H15" s="52">
        <v>12604.624653965153</v>
      </c>
      <c r="I15" s="52">
        <v>9.1478163394616452</v>
      </c>
      <c r="J15" s="52">
        <v>24181.505779443927</v>
      </c>
    </row>
    <row r="16" spans="2:10">
      <c r="B16" s="51" t="s">
        <v>201</v>
      </c>
      <c r="C16" s="52">
        <v>1.6557151413137294</v>
      </c>
      <c r="D16" s="52">
        <v>10165.571514131372</v>
      </c>
      <c r="E16" s="52">
        <v>16.455702313790987</v>
      </c>
      <c r="F16" s="52">
        <v>15793.641529167333</v>
      </c>
      <c r="G16" s="52">
        <v>10.538444634702881</v>
      </c>
      <c r="H16" s="52">
        <v>16503.146200224874</v>
      </c>
      <c r="I16" s="52">
        <v>13.370531971459144</v>
      </c>
      <c r="J16" s="52">
        <v>35463.365108015118</v>
      </c>
    </row>
    <row r="17" spans="2:10">
      <c r="B17" s="51" t="s">
        <v>202</v>
      </c>
      <c r="C17" s="52">
        <v>3.1786787667375416</v>
      </c>
      <c r="D17" s="52">
        <v>10317.867876673754</v>
      </c>
      <c r="E17" s="52">
        <v>15.20948157089097</v>
      </c>
      <c r="F17" s="52">
        <v>15292.013299900276</v>
      </c>
      <c r="G17" s="52">
        <v>11.250631257369781</v>
      </c>
      <c r="H17" s="52">
        <v>17041.680532244904</v>
      </c>
      <c r="I17" s="52">
        <v>12.75650757861635</v>
      </c>
      <c r="J17" s="52">
        <v>33572.793504487097</v>
      </c>
    </row>
    <row r="18" spans="2:10">
      <c r="B18" s="51" t="s">
        <v>205</v>
      </c>
      <c r="C18" s="53">
        <v>154.37</v>
      </c>
      <c r="D18" s="54"/>
      <c r="E18" s="53">
        <v>116.12</v>
      </c>
      <c r="F18" s="54"/>
      <c r="G18" s="53">
        <v>122.82</v>
      </c>
      <c r="H18" s="54"/>
      <c r="I18" s="53">
        <v>64.02</v>
      </c>
      <c r="J18" s="54"/>
    </row>
    <row r="20" spans="2:10">
      <c r="B20" t="s">
        <v>206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2023-02-02T04:50:18Z</dcterms:created>
  <dcterms:modified xsi:type="dcterms:W3CDTF">2023-02-09T07:13:27Z</dcterms:modified>
</cp:coreProperties>
</file>