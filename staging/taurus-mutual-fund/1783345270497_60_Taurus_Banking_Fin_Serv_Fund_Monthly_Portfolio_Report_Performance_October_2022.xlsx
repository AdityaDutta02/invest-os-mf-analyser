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Portfolio'!$C$8:$C$34</definedName>
    <definedName name="XDO_?FINAL_ISIN?1?">'TBFS - Risk-O-Meter &amp; Portfolio'!$D$10:$D$34</definedName>
    <definedName name="XDO_?FINAL_ISIN?2?">'TBFS - Risk-O-Meter &amp; Portfolio'!$D$10:$D$76</definedName>
    <definedName name="XDO_?FINAL_MV?1?">'TBFS - Risk-O-Meter &amp; Portfolio'!$H$10:$H$34</definedName>
    <definedName name="XDO_?FINAL_MV?2?">'TBFS - Risk-O-Meter &amp; Portfolio'!$H$10:$H$76</definedName>
    <definedName name="XDO_?FINAL_NAME?1?">'TBFS - Risk-O-Meter &amp; Portfolio'!$C$10:$C$34</definedName>
    <definedName name="XDO_?FINAL_NAME?2?">'TBFS - Risk-O-Meter &amp; Portfolio'!$C$10:$C$76</definedName>
    <definedName name="XDO_?FINAL_PER_NET?1?">'TBFS - Risk-O-Meter &amp; Portfolio'!$I$10:$I$34</definedName>
    <definedName name="XDO_?FINAL_PER_NET?2?">'TBFS - Risk-O-Meter &amp; Portfolio'!$I$10:$I$76</definedName>
    <definedName name="XDO_?FINAL_QUANTITE?1?">'TBFS - Risk-O-Meter &amp; Portfolio'!$G$10:$G$34</definedName>
    <definedName name="XDO_?FINAL_QUANTITE?2?">'TBFS - Risk-O-Meter &amp; Portfolio'!$G$10:$G$76</definedName>
    <definedName name="XDO_?IND_01?1?">'TBFS - Risk-O-Meter &amp; Portfolio'!$F$10:$F$34</definedName>
    <definedName name="XDO_?IND_01?2?">'TBFS - Risk-O-Meter &amp; Portfolio'!$F$10:$F$76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Portfolio'!$C$2:$C$34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Portfolio'!$B$10:$B$34</definedName>
    <definedName name="XDO_?NOVAL?2?">'TBFS - Risk-O-Meter &amp; Portfolio'!$B$10:$B$76</definedName>
    <definedName name="XDO_?NPTF?1?">'TBFS - Risk-O-Meter &amp; Portfolio'!$D$2:$D$34</definedName>
    <definedName name="XDO_?RATING?1?">'TBFS - Risk-O-Meter &amp; Portfolio'!$E$10:$E$34</definedName>
    <definedName name="XDO_?RATING?2?">'TBFS - Risk-O-Meter &amp; Portfolio'!$E$10:$E$76</definedName>
    <definedName name="XDO_?REMARKS?1?">'TBFS - Risk-O-Meter &amp; Portfolio'!$J$10:$J$34</definedName>
    <definedName name="XDO_?REMARKS?2?">'TBFS - Risk-O-Meter &amp; Portfolio'!$J$10:$J$76</definedName>
    <definedName name="XDO_?TITL?1?">'TBFS - Risk-O-Meter &amp; Portfolio'!$A$8:$A$34</definedName>
    <definedName name="XDO_GROUP_?G_2?1?">'TBFS - Risk-O-Meter &amp; Portfolio'!$2:$79</definedName>
    <definedName name="XDO_GROUP_?G_3?1?">'TBFS - Risk-O-Meter &amp; Portfolio'!$8:$78</definedName>
    <definedName name="XDO_GROUP_?G_4?1?">'TBFS - Risk-O-Meter &amp; Portfolio'!$B$10:$IV$34</definedName>
    <definedName name="XDO_GROUP_?G_4?2?">'TBFS - Risk-O-Meter &amp; Portfolio'!$B$76:$IV$76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1"/>
</calcChain>
</file>

<file path=xl/sharedStrings.xml><?xml version="1.0" encoding="utf-8"?>
<sst xmlns="http://schemas.openxmlformats.org/spreadsheetml/2006/main" count="211" uniqueCount="135">
  <si>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</si>
  <si>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</si>
  <si>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</si>
  <si>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</si>
  <si>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</si>
  <si>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</si>
  <si>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</si>
  <si>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</si>
  <si>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</si>
  <si>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</si>
  <si>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</si>
  <si>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</si>
  <si>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</si>
  <si>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</si>
  <si>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</si>
  <si>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</si>
  <si>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</si>
  <si>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</si>
  <si>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</si>
  <si>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</si>
  <si>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</si>
  <si>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</si>
  <si>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</si>
  <si>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</si>
  <si>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</si>
  <si>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100104</t>
  </si>
  <si>
    <t>Kotak Mahindra Bank Ltd.</t>
  </si>
  <si>
    <t>INE237A01028</t>
  </si>
  <si>
    <t>100024</t>
  </si>
  <si>
    <t>Axis Bank Ltd.</t>
  </si>
  <si>
    <t>INE238A01034</t>
  </si>
  <si>
    <t>100092</t>
  </si>
  <si>
    <t>Bank of Baroda</t>
  </si>
  <si>
    <t>INE028A01039</t>
  </si>
  <si>
    <t>100122</t>
  </si>
  <si>
    <t>Union Bank of India</t>
  </si>
  <si>
    <t>INE692A01016</t>
  </si>
  <si>
    <t>100125</t>
  </si>
  <si>
    <t>Bajaj Finance Ltd.</t>
  </si>
  <si>
    <t>INE296A01024</t>
  </si>
  <si>
    <t>Finance</t>
  </si>
  <si>
    <t>101228</t>
  </si>
  <si>
    <t>Home First Finance Company India Ltd.</t>
  </si>
  <si>
    <t>INE481N01025</t>
  </si>
  <si>
    <t>100191</t>
  </si>
  <si>
    <t>Canara Bank</t>
  </si>
  <si>
    <t>INE476A01014</t>
  </si>
  <si>
    <t>100294</t>
  </si>
  <si>
    <t>IIFL Finance Ltd.</t>
  </si>
  <si>
    <t>INE530B01024</t>
  </si>
  <si>
    <t>100055</t>
  </si>
  <si>
    <t>The Federal Bank Ltd.</t>
  </si>
  <si>
    <t>INE171A01029</t>
  </si>
  <si>
    <t>100399</t>
  </si>
  <si>
    <t>Cholamandalam Investment &amp; Finance Co. Ltd.</t>
  </si>
  <si>
    <t>INE121A01024</t>
  </si>
  <si>
    <t>100013</t>
  </si>
  <si>
    <t>IndusInd Bank Ltd.</t>
  </si>
  <si>
    <t>INE095A01012</t>
  </si>
  <si>
    <t>100505</t>
  </si>
  <si>
    <t>ICICI Prudential Life Insurance Company Ltd.</t>
  </si>
  <si>
    <t>INE726G01019</t>
  </si>
  <si>
    <t>Insurance</t>
  </si>
  <si>
    <t>100325</t>
  </si>
  <si>
    <t>Bajaj Holdings &amp; Investment Ltd.</t>
  </si>
  <si>
    <t>INE118A01012</t>
  </si>
  <si>
    <t>100231</t>
  </si>
  <si>
    <t>Muthoot Finance Ltd.</t>
  </si>
  <si>
    <t>INE414G01012</t>
  </si>
  <si>
    <t>100067</t>
  </si>
  <si>
    <t>DCB Bank Ltd.</t>
  </si>
  <si>
    <t>INE503A01015</t>
  </si>
  <si>
    <t>100036</t>
  </si>
  <si>
    <t>Mahindra &amp; Mahindra Financial Services Ltd.</t>
  </si>
  <si>
    <t>INE774D01024</t>
  </si>
  <si>
    <t>100042</t>
  </si>
  <si>
    <t>LIC Housing Finance Ltd.</t>
  </si>
  <si>
    <t>INE115A01026</t>
  </si>
  <si>
    <t>100941</t>
  </si>
  <si>
    <t>CSB Bank Ltd.</t>
  </si>
  <si>
    <t>INE679A01013</t>
  </si>
  <si>
    <t>100116</t>
  </si>
  <si>
    <t>Sundaram Finance Ltd.</t>
  </si>
  <si>
    <t>INE660A01013</t>
  </si>
  <si>
    <t>100114</t>
  </si>
  <si>
    <t>Shriram Transport Finance Company Ltd.</t>
  </si>
  <si>
    <t>INE721A01013</t>
  </si>
  <si>
    <t>100380</t>
  </si>
  <si>
    <t>Bajaj Finserv Ltd.</t>
  </si>
  <si>
    <t>INE918I01026</t>
  </si>
  <si>
    <t>100107</t>
  </si>
  <si>
    <t>Max Financial Services Ltd.</t>
  </si>
  <si>
    <t>INE180A01020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</si>
  <si>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</si>
  <si>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</si>
  <si>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</si>
  <si>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</si>
  <si>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</si>
  <si>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</si>
  <si>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</si>
  <si>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</si>
  <si>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</si>
  <si>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</si>
  <si>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</si>
  <si>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</si>
  <si>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</si>
  <si>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</si>
  <si>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</si>
  <si>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</si>
  <si>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</si>
  <si>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</si>
  <si>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</si>
  <si>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</si>
  <si>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</si>
  <si>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</si>
  <si>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</si>
  <si>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</si>
  <si>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</si>
  <si>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</si>
  <si>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</si>
  <si>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</si>
  <si>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</si>
  <si>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</si>
  <si>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</si>
  <si>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</si>
  <si>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</si>
  <si>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</si>
  <si>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</si>
  <si>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</si>
  <si>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</si>
  <si>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</si>
  <si>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</si>
  <si>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October 31, 2022 : 37.17)</t>
  </si>
  <si>
    <t>Taurus Banking &amp; Financial Services Fund - Direct Plan Growth Option</t>
  </si>
  <si>
    <t>NAV [Rs.] Per Unit (as on October 31, 2022 : 40.68)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</si>
</sst>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2340864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0</xdr:row>
      <xdr:rowOff>0</xdr:rowOff>
    </xdr:from>
    <xdr:to>
      <xdr:col>6</xdr:col>
      <xdr:colOff>745913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6050"/>
        <a:stretch>
          <a:fillRect/>
        </a:stretch>
      </xdr:blipFill>
      <xdr:spPr>
        <a:xfrm>
          <a:off x="6868583" y="0"/>
          <a:ext cx="2375747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Octo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5"/>
  <sheetViews>
    <sheetView showGridLines="0" tabSelected="1" zoomScale="90" zoomScaleNormal="90" workbookViewId="0"/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209.4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44865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19488</v>
      </c>
      <c r="H10" s="32">
        <v>177.06</v>
      </c>
      <c r="I10" s="32">
        <v>19.260000000000002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8400</v>
      </c>
      <c r="H11" s="32">
        <v>125.7</v>
      </c>
      <c r="I11" s="32">
        <v>13.67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17530</v>
      </c>
      <c r="H12" s="32">
        <v>100.59</v>
      </c>
      <c r="I12" s="32">
        <v>10.94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4971</v>
      </c>
      <c r="H13" s="32">
        <v>94.54</v>
      </c>
      <c r="I13" s="32">
        <v>10.28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7566</v>
      </c>
      <c r="H14" s="32">
        <v>68.540000000000006</v>
      </c>
      <c r="I14" s="32">
        <v>7.46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20239</v>
      </c>
      <c r="H15" s="32">
        <v>29.9</v>
      </c>
      <c r="I15" s="32">
        <v>3.25</v>
      </c>
      <c r="J15" s="33"/>
    </row>
    <row r="16" spans="1:54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48076</v>
      </c>
      <c r="H16" s="32">
        <v>25.89</v>
      </c>
      <c r="I16" s="32">
        <v>2.82</v>
      </c>
      <c r="J16" s="33"/>
    </row>
    <row r="17" spans="2:10">
      <c r="B17" s="1" t="s">
        <v>37</v>
      </c>
      <c r="C17" s="20" t="s">
        <v>38</v>
      </c>
      <c r="D17" s="29" t="s">
        <v>39</v>
      </c>
      <c r="E17" s="30"/>
      <c r="F17" s="30" t="s">
        <v>40</v>
      </c>
      <c r="G17" s="31">
        <v>361</v>
      </c>
      <c r="H17" s="32">
        <v>25.77</v>
      </c>
      <c r="I17" s="32">
        <v>2.8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40</v>
      </c>
      <c r="G18" s="31">
        <v>3487</v>
      </c>
      <c r="H18" s="32">
        <v>25.36</v>
      </c>
      <c r="I18" s="32">
        <v>2.76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8546</v>
      </c>
      <c r="H19" s="32">
        <v>24.8</v>
      </c>
      <c r="I19" s="32">
        <v>2.7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40</v>
      </c>
      <c r="G20" s="31">
        <v>4726</v>
      </c>
      <c r="H20" s="32">
        <v>19.829999999999998</v>
      </c>
      <c r="I20" s="32">
        <v>2.16</v>
      </c>
      <c r="J20" s="33"/>
    </row>
    <row r="21" spans="2:10">
      <c r="B21" s="1" t="s">
        <v>50</v>
      </c>
      <c r="C21" s="20" t="s">
        <v>51</v>
      </c>
      <c r="D21" s="29" t="s">
        <v>52</v>
      </c>
      <c r="E21" s="30"/>
      <c r="F21" s="30" t="s">
        <v>18</v>
      </c>
      <c r="G21" s="31">
        <v>14103</v>
      </c>
      <c r="H21" s="32">
        <v>18.54</v>
      </c>
      <c r="I21" s="32">
        <v>2.02</v>
      </c>
      <c r="J21" s="33"/>
    </row>
    <row r="22" spans="2:10">
      <c r="B22" s="1" t="s">
        <v>53</v>
      </c>
      <c r="C22" s="20" t="s">
        <v>54</v>
      </c>
      <c r="D22" s="29" t="s">
        <v>55</v>
      </c>
      <c r="E22" s="30"/>
      <c r="F22" s="30" t="s">
        <v>40</v>
      </c>
      <c r="G22" s="31">
        <v>2606</v>
      </c>
      <c r="H22" s="32">
        <v>18.489999999999998</v>
      </c>
      <c r="I22" s="32">
        <v>2.0099999999999998</v>
      </c>
      <c r="J22" s="33"/>
    </row>
    <row r="23" spans="2:10">
      <c r="B23" s="1" t="s">
        <v>56</v>
      </c>
      <c r="C23" s="20" t="s">
        <v>57</v>
      </c>
      <c r="D23" s="29" t="s">
        <v>58</v>
      </c>
      <c r="E23" s="30"/>
      <c r="F23" s="30" t="s">
        <v>18</v>
      </c>
      <c r="G23" s="31">
        <v>1387</v>
      </c>
      <c r="H23" s="32">
        <v>15.85</v>
      </c>
      <c r="I23" s="32">
        <v>1.72</v>
      </c>
      <c r="J23" s="33"/>
    </row>
    <row r="24" spans="2:10">
      <c r="B24" s="1" t="s">
        <v>59</v>
      </c>
      <c r="C24" s="20" t="s">
        <v>60</v>
      </c>
      <c r="D24" s="29" t="s">
        <v>61</v>
      </c>
      <c r="E24" s="30"/>
      <c r="F24" s="30" t="s">
        <v>62</v>
      </c>
      <c r="G24" s="31">
        <v>3010</v>
      </c>
      <c r="H24" s="32">
        <v>15.27</v>
      </c>
      <c r="I24" s="32">
        <v>1.66</v>
      </c>
      <c r="J24" s="33"/>
    </row>
    <row r="25" spans="2:10">
      <c r="B25" s="1" t="s">
        <v>63</v>
      </c>
      <c r="C25" s="20" t="s">
        <v>64</v>
      </c>
      <c r="D25" s="29" t="s">
        <v>65</v>
      </c>
      <c r="E25" s="30"/>
      <c r="F25" s="30" t="s">
        <v>40</v>
      </c>
      <c r="G25" s="31">
        <v>229</v>
      </c>
      <c r="H25" s="32">
        <v>15.26</v>
      </c>
      <c r="I25" s="32">
        <v>1.66</v>
      </c>
      <c r="J25" s="33"/>
    </row>
    <row r="26" spans="2:10">
      <c r="B26" s="1" t="s">
        <v>66</v>
      </c>
      <c r="C26" s="20" t="s">
        <v>67</v>
      </c>
      <c r="D26" s="29" t="s">
        <v>68</v>
      </c>
      <c r="E26" s="30"/>
      <c r="F26" s="30" t="s">
        <v>40</v>
      </c>
      <c r="G26" s="31">
        <v>1407</v>
      </c>
      <c r="H26" s="32">
        <v>14.69</v>
      </c>
      <c r="I26" s="32">
        <v>1.6</v>
      </c>
      <c r="J26" s="33"/>
    </row>
    <row r="27" spans="2:10">
      <c r="B27" s="1" t="s">
        <v>69</v>
      </c>
      <c r="C27" s="20" t="s">
        <v>70</v>
      </c>
      <c r="D27" s="29" t="s">
        <v>71</v>
      </c>
      <c r="E27" s="30"/>
      <c r="F27" s="30" t="s">
        <v>18</v>
      </c>
      <c r="G27" s="31">
        <v>12193</v>
      </c>
      <c r="H27" s="32">
        <v>13.16</v>
      </c>
      <c r="I27" s="32">
        <v>1.43</v>
      </c>
      <c r="J27" s="33"/>
    </row>
    <row r="28" spans="2:10">
      <c r="B28" s="1" t="s">
        <v>72</v>
      </c>
      <c r="C28" s="20" t="s">
        <v>73</v>
      </c>
      <c r="D28" s="29" t="s">
        <v>74</v>
      </c>
      <c r="E28" s="30"/>
      <c r="F28" s="30" t="s">
        <v>40</v>
      </c>
      <c r="G28" s="31">
        <v>6409</v>
      </c>
      <c r="H28" s="32">
        <v>12.94</v>
      </c>
      <c r="I28" s="32">
        <v>1.41</v>
      </c>
      <c r="J28" s="33"/>
    </row>
    <row r="29" spans="2:10">
      <c r="B29" s="1" t="s">
        <v>75</v>
      </c>
      <c r="C29" s="20" t="s">
        <v>76</v>
      </c>
      <c r="D29" s="29" t="s">
        <v>77</v>
      </c>
      <c r="E29" s="30"/>
      <c r="F29" s="30" t="s">
        <v>40</v>
      </c>
      <c r="G29" s="31">
        <v>3174</v>
      </c>
      <c r="H29" s="32">
        <v>12.85</v>
      </c>
      <c r="I29" s="32">
        <v>1.4</v>
      </c>
      <c r="J29" s="33"/>
    </row>
    <row r="30" spans="2:10">
      <c r="B30" s="1" t="s">
        <v>78</v>
      </c>
      <c r="C30" s="20" t="s">
        <v>79</v>
      </c>
      <c r="D30" s="29" t="s">
        <v>80</v>
      </c>
      <c r="E30" s="30"/>
      <c r="F30" s="30" t="s">
        <v>18</v>
      </c>
      <c r="G30" s="31">
        <v>5321</v>
      </c>
      <c r="H30" s="32">
        <v>12.07</v>
      </c>
      <c r="I30" s="32">
        <v>1.31</v>
      </c>
      <c r="J30" s="33"/>
    </row>
    <row r="31" spans="2:10">
      <c r="B31" s="1" t="s">
        <v>81</v>
      </c>
      <c r="C31" s="20" t="s">
        <v>82</v>
      </c>
      <c r="D31" s="29" t="s">
        <v>83</v>
      </c>
      <c r="E31" s="30"/>
      <c r="F31" s="30" t="s">
        <v>40</v>
      </c>
      <c r="G31" s="31">
        <v>456</v>
      </c>
      <c r="H31" s="32">
        <v>10.7</v>
      </c>
      <c r="I31" s="32">
        <v>1.1599999999999999</v>
      </c>
      <c r="J31" s="33"/>
    </row>
    <row r="32" spans="2:10">
      <c r="B32" s="1" t="s">
        <v>84</v>
      </c>
      <c r="C32" s="20" t="s">
        <v>85</v>
      </c>
      <c r="D32" s="29" t="s">
        <v>86</v>
      </c>
      <c r="E32" s="30"/>
      <c r="F32" s="30" t="s">
        <v>40</v>
      </c>
      <c r="G32" s="31">
        <v>813</v>
      </c>
      <c r="H32" s="32">
        <v>9.99</v>
      </c>
      <c r="I32" s="32">
        <v>1.0900000000000001</v>
      </c>
      <c r="J32" s="33"/>
    </row>
    <row r="33" spans="2:10">
      <c r="B33" s="1" t="s">
        <v>87</v>
      </c>
      <c r="C33" s="20" t="s">
        <v>88</v>
      </c>
      <c r="D33" s="29" t="s">
        <v>89</v>
      </c>
      <c r="E33" s="30"/>
      <c r="F33" s="30" t="s">
        <v>40</v>
      </c>
      <c r="G33" s="31">
        <v>554</v>
      </c>
      <c r="H33" s="32">
        <v>9.35</v>
      </c>
      <c r="I33" s="32">
        <v>1.02</v>
      </c>
      <c r="J33" s="33"/>
    </row>
    <row r="34" spans="2:10">
      <c r="B34" s="1" t="s">
        <v>90</v>
      </c>
      <c r="C34" s="20" t="s">
        <v>91</v>
      </c>
      <c r="D34" s="29" t="s">
        <v>92</v>
      </c>
      <c r="E34" s="30"/>
      <c r="F34" s="30" t="s">
        <v>62</v>
      </c>
      <c r="G34" s="31">
        <v>1137</v>
      </c>
      <c r="H34" s="32">
        <v>8.0500000000000007</v>
      </c>
      <c r="I34" s="32">
        <v>0.88</v>
      </c>
      <c r="J34" s="33"/>
    </row>
    <row r="35" spans="2:10">
      <c r="C35" s="28" t="s">
        <v>93</v>
      </c>
      <c r="D35" s="29"/>
      <c r="E35" s="30"/>
      <c r="F35" s="30"/>
      <c r="G35" s="31"/>
      <c r="H35" s="35">
        <v>905.19</v>
      </c>
      <c r="I35" s="35">
        <v>98.47</v>
      </c>
      <c r="J35" s="33"/>
    </row>
    <row r="36" spans="2:10">
      <c r="C36" s="20"/>
      <c r="D36" s="29"/>
      <c r="E36" s="30"/>
      <c r="F36" s="30"/>
      <c r="G36" s="31"/>
      <c r="H36" s="32"/>
      <c r="I36" s="32"/>
      <c r="J36" s="33"/>
    </row>
    <row r="37" spans="2:10">
      <c r="C37" s="28" t="s">
        <v>94</v>
      </c>
      <c r="D37" s="29"/>
      <c r="E37" s="30"/>
      <c r="F37" s="30"/>
      <c r="G37" s="31"/>
      <c r="H37" s="32" t="s">
        <v>95</v>
      </c>
      <c r="I37" s="32" t="s">
        <v>95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96</v>
      </c>
      <c r="D39" s="29"/>
      <c r="E39" s="30"/>
      <c r="F39" s="30"/>
      <c r="G39" s="31"/>
      <c r="H39" s="32" t="s">
        <v>95</v>
      </c>
      <c r="I39" s="32" t="s">
        <v>95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97</v>
      </c>
      <c r="D41" s="29"/>
      <c r="E41" s="30"/>
      <c r="F41" s="30"/>
      <c r="G41" s="31"/>
      <c r="H41" s="32"/>
      <c r="I41" s="32"/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98</v>
      </c>
      <c r="D43" s="29"/>
      <c r="E43" s="30"/>
      <c r="F43" s="30"/>
      <c r="G43" s="31"/>
      <c r="H43" s="32" t="s">
        <v>95</v>
      </c>
      <c r="I43" s="32" t="s">
        <v>95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99</v>
      </c>
      <c r="D45" s="29"/>
      <c r="E45" s="30"/>
      <c r="F45" s="30"/>
      <c r="G45" s="31"/>
      <c r="H45" s="32" t="s">
        <v>95</v>
      </c>
      <c r="I45" s="32" t="s">
        <v>95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100</v>
      </c>
      <c r="D47" s="29"/>
      <c r="E47" s="30"/>
      <c r="F47" s="30"/>
      <c r="G47" s="31"/>
      <c r="H47" s="32" t="s">
        <v>95</v>
      </c>
      <c r="I47" s="32" t="s">
        <v>95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101</v>
      </c>
      <c r="D49" s="29"/>
      <c r="E49" s="30"/>
      <c r="F49" s="30"/>
      <c r="G49" s="31"/>
      <c r="H49" s="32" t="s">
        <v>95</v>
      </c>
      <c r="I49" s="32" t="s">
        <v>95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102</v>
      </c>
      <c r="D51" s="29"/>
      <c r="E51" s="30"/>
      <c r="F51" s="30"/>
      <c r="G51" s="31"/>
      <c r="H51" s="32" t="s">
        <v>95</v>
      </c>
      <c r="I51" s="32" t="s">
        <v>95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103</v>
      </c>
      <c r="D53" s="29"/>
      <c r="E53" s="30"/>
      <c r="F53" s="30"/>
      <c r="G53" s="31"/>
      <c r="H53" s="32"/>
      <c r="I53" s="32"/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104</v>
      </c>
      <c r="D55" s="29"/>
      <c r="E55" s="30"/>
      <c r="F55" s="30"/>
      <c r="G55" s="31"/>
      <c r="H55" s="32" t="s">
        <v>95</v>
      </c>
      <c r="I55" s="32" t="s">
        <v>95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105</v>
      </c>
      <c r="D57" s="29"/>
      <c r="E57" s="30"/>
      <c r="F57" s="30"/>
      <c r="G57" s="31"/>
      <c r="H57" s="32" t="s">
        <v>95</v>
      </c>
      <c r="I57" s="32" t="s">
        <v>95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106</v>
      </c>
      <c r="D59" s="29"/>
      <c r="E59" s="30"/>
      <c r="F59" s="30"/>
      <c r="G59" s="31"/>
      <c r="H59" s="32" t="s">
        <v>95</v>
      </c>
      <c r="I59" s="32" t="s">
        <v>95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107</v>
      </c>
      <c r="D61" s="29"/>
      <c r="E61" s="30"/>
      <c r="F61" s="30"/>
      <c r="G61" s="31"/>
      <c r="H61" s="32" t="s">
        <v>95</v>
      </c>
      <c r="I61" s="32" t="s">
        <v>95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108</v>
      </c>
      <c r="D63" s="29"/>
      <c r="E63" s="30"/>
      <c r="F63" s="30"/>
      <c r="G63" s="31"/>
      <c r="H63" s="32"/>
      <c r="I63" s="32"/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109</v>
      </c>
      <c r="D65" s="29"/>
      <c r="E65" s="30"/>
      <c r="F65" s="30"/>
      <c r="G65" s="31"/>
      <c r="H65" s="32" t="s">
        <v>95</v>
      </c>
      <c r="I65" s="32" t="s">
        <v>95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110</v>
      </c>
      <c r="D67" s="29"/>
      <c r="E67" s="30"/>
      <c r="F67" s="30"/>
      <c r="G67" s="31"/>
      <c r="H67" s="32" t="s">
        <v>95</v>
      </c>
      <c r="I67" s="32" t="s">
        <v>95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111</v>
      </c>
      <c r="D69" s="29"/>
      <c r="E69" s="30"/>
      <c r="F69" s="30"/>
      <c r="G69" s="31"/>
      <c r="H69" s="32" t="s">
        <v>95</v>
      </c>
      <c r="I69" s="32" t="s">
        <v>95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112</v>
      </c>
      <c r="D71" s="29"/>
      <c r="E71" s="30"/>
      <c r="F71" s="30"/>
      <c r="G71" s="31"/>
      <c r="H71" s="32" t="s">
        <v>95</v>
      </c>
      <c r="I71" s="32" t="s">
        <v>95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113</v>
      </c>
      <c r="D73" s="29"/>
      <c r="E73" s="30"/>
      <c r="F73" s="30"/>
      <c r="G73" s="31"/>
      <c r="H73" s="32" t="s">
        <v>95</v>
      </c>
      <c r="I73" s="32" t="s">
        <v>95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A75" s="26"/>
      <c r="B75" s="27"/>
      <c r="C75" s="28" t="s">
        <v>114</v>
      </c>
      <c r="D75" s="29"/>
      <c r="E75" s="30"/>
      <c r="F75" s="30"/>
      <c r="G75" s="31"/>
      <c r="H75" s="32"/>
      <c r="I75" s="32"/>
      <c r="J75" s="33"/>
    </row>
    <row r="76" spans="1:10">
      <c r="B76" s="1"/>
      <c r="C76" s="20" t="s">
        <v>115</v>
      </c>
      <c r="D76" s="29"/>
      <c r="E76" s="30"/>
      <c r="F76" s="30"/>
      <c r="G76" s="31"/>
      <c r="H76" s="32">
        <v>14.02</v>
      </c>
      <c r="I76" s="32">
        <v>1.53</v>
      </c>
      <c r="J76" s="33"/>
    </row>
    <row r="77" spans="1:10">
      <c r="C77" s="28" t="s">
        <v>93</v>
      </c>
      <c r="D77" s="29"/>
      <c r="E77" s="30"/>
      <c r="F77" s="30"/>
      <c r="G77" s="31"/>
      <c r="H77" s="35">
        <v>14.02</v>
      </c>
      <c r="I77" s="35">
        <v>1.53</v>
      </c>
      <c r="J77" s="33"/>
    </row>
    <row r="78" spans="1:10">
      <c r="C78" s="20"/>
      <c r="D78" s="29"/>
      <c r="E78" s="30"/>
      <c r="F78" s="30"/>
      <c r="G78" s="31"/>
      <c r="H78" s="32"/>
      <c r="I78" s="32"/>
      <c r="J78" s="33"/>
    </row>
    <row r="79" spans="1:10" ht="13.5" thickBot="1">
      <c r="C79" s="36" t="s">
        <v>116</v>
      </c>
      <c r="D79" s="37"/>
      <c r="E79" s="38"/>
      <c r="F79" s="39"/>
      <c r="G79" s="40"/>
      <c r="H79" s="41">
        <v>919.21</v>
      </c>
      <c r="I79" s="41">
        <f>SUMIFS(I:I,C:C,"Total")</f>
        <v>100</v>
      </c>
      <c r="J79" s="42"/>
    </row>
    <row r="82" spans="3:3">
      <c r="C82" s="11" t="s">
        <v>117</v>
      </c>
    </row>
    <row r="83" spans="3:3">
      <c r="C83" s="2" t="s">
        <v>118</v>
      </c>
    </row>
    <row r="84" spans="3:3">
      <c r="C84" s="2" t="s">
        <v>119</v>
      </c>
    </row>
    <row r="85" spans="3:3">
      <c r="C85" s="2" t="s">
        <v>120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/>
  </sheetViews>
  <sheetFormatPr defaultRowHeight="15"/>
  <cols>
    <col min="1" max="1" width="44.28515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75">
      <c r="A4" s="43" t="s">
        <v>121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122</v>
      </c>
      <c r="B5" s="50" t="s">
        <v>123</v>
      </c>
      <c r="C5" s="50"/>
      <c r="D5" s="50" t="s">
        <v>124</v>
      </c>
      <c r="E5" s="50"/>
      <c r="F5" s="50" t="s">
        <v>125</v>
      </c>
      <c r="G5" s="50"/>
      <c r="H5" s="50" t="s">
        <v>126</v>
      </c>
      <c r="I5" s="50"/>
    </row>
    <row r="6" spans="1:9" ht="63.75">
      <c r="A6" s="46"/>
      <c r="B6" s="47" t="s">
        <v>127</v>
      </c>
      <c r="C6" s="47" t="s">
        <v>128</v>
      </c>
      <c r="D6" s="47" t="s">
        <v>127</v>
      </c>
      <c r="E6" s="47" t="s">
        <v>128</v>
      </c>
      <c r="F6" s="47" t="s">
        <v>127</v>
      </c>
      <c r="G6" s="47" t="s">
        <v>128</v>
      </c>
      <c r="H6" s="47" t="s">
        <v>127</v>
      </c>
      <c r="I6" s="47" t="s">
        <v>128</v>
      </c>
    </row>
    <row r="7" spans="1:9">
      <c r="A7" s="48" t="s">
        <v>129</v>
      </c>
      <c r="B7" s="49">
        <v>1.4385672512361891</v>
      </c>
      <c r="C7" s="49">
        <v>10144.650655021835</v>
      </c>
      <c r="D7" s="49">
        <v>10.55544996748492</v>
      </c>
      <c r="E7" s="49">
        <v>13516.363636363636</v>
      </c>
      <c r="F7" s="49">
        <v>10.841987631587324</v>
      </c>
      <c r="G7" s="49">
        <v>16735.704637550654</v>
      </c>
      <c r="H7" s="49">
        <v>13.384360412231612</v>
      </c>
      <c r="I7" s="49">
        <v>37170</v>
      </c>
    </row>
    <row r="8" spans="1:9">
      <c r="A8" s="48" t="s">
        <v>130</v>
      </c>
      <c r="B8" s="49">
        <v>6.8915951789987329</v>
      </c>
      <c r="C8" s="49">
        <v>10689.159517899874</v>
      </c>
      <c r="D8" s="49">
        <v>12.183258207929782</v>
      </c>
      <c r="E8" s="49">
        <v>14118.356631150586</v>
      </c>
      <c r="F8" s="49">
        <v>11.263219443384287</v>
      </c>
      <c r="G8" s="49">
        <v>17051.324180781416</v>
      </c>
      <c r="H8" s="49">
        <v>16.274462281033063</v>
      </c>
      <c r="I8" s="49">
        <v>48335.531474656513</v>
      </c>
    </row>
    <row r="9" spans="1:9">
      <c r="A9" s="48" t="s">
        <v>131</v>
      </c>
      <c r="B9" s="49">
        <v>3.3024534027818353</v>
      </c>
      <c r="C9" s="49">
        <v>10330.245340278183</v>
      </c>
      <c r="D9" s="49">
        <v>16.230902925925239</v>
      </c>
      <c r="E9" s="49">
        <v>15702.356556487057</v>
      </c>
      <c r="F9" s="49">
        <v>13.155552697674388</v>
      </c>
      <c r="G9" s="49">
        <v>18551.513690816424</v>
      </c>
      <c r="H9" s="49">
        <v>14.820172359131845</v>
      </c>
      <c r="I9" s="49">
        <v>42378.835980097443</v>
      </c>
    </row>
    <row r="10" spans="1:9">
      <c r="A10" s="48" t="s">
        <v>132</v>
      </c>
      <c r="B10" s="51">
        <v>36.64</v>
      </c>
      <c r="C10" s="52"/>
      <c r="D10" s="51">
        <v>27.5</v>
      </c>
      <c r="E10" s="52"/>
      <c r="F10" s="51">
        <v>22.21</v>
      </c>
      <c r="G10" s="52"/>
      <c r="H10" s="51">
        <v>10</v>
      </c>
      <c r="I10" s="52"/>
    </row>
    <row r="12" spans="1:9" ht="15.75">
      <c r="A12" s="43" t="s">
        <v>133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122</v>
      </c>
      <c r="B13" s="50" t="s">
        <v>123</v>
      </c>
      <c r="C13" s="50"/>
      <c r="D13" s="50" t="s">
        <v>124</v>
      </c>
      <c r="E13" s="50"/>
      <c r="F13" s="50" t="s">
        <v>125</v>
      </c>
      <c r="G13" s="50"/>
      <c r="H13" s="50" t="s">
        <v>126</v>
      </c>
      <c r="I13" s="50"/>
    </row>
    <row r="14" spans="1:9" ht="63.75">
      <c r="A14" s="46"/>
      <c r="B14" s="47" t="s">
        <v>127</v>
      </c>
      <c r="C14" s="47" t="s">
        <v>128</v>
      </c>
      <c r="D14" s="47" t="s">
        <v>127</v>
      </c>
      <c r="E14" s="47" t="s">
        <v>128</v>
      </c>
      <c r="F14" s="47" t="s">
        <v>127</v>
      </c>
      <c r="G14" s="47" t="s">
        <v>128</v>
      </c>
      <c r="H14" s="47" t="s">
        <v>127</v>
      </c>
      <c r="I14" s="47" t="s">
        <v>128</v>
      </c>
    </row>
    <row r="15" spans="1:9">
      <c r="A15" s="48" t="s">
        <v>129</v>
      </c>
      <c r="B15" s="49">
        <v>2.2244189915955559</v>
      </c>
      <c r="C15" s="49">
        <v>10223.674290022618</v>
      </c>
      <c r="D15" s="49">
        <v>11.383484972038339</v>
      </c>
      <c r="E15" s="49">
        <v>13822.62996941896</v>
      </c>
      <c r="F15" s="49">
        <v>11.726253205381564</v>
      </c>
      <c r="G15" s="49">
        <v>17414.383561643834</v>
      </c>
      <c r="H15" s="49">
        <v>11.742258469107792</v>
      </c>
      <c r="I15" s="49">
        <v>29802.197802197803</v>
      </c>
    </row>
    <row r="16" spans="1:9">
      <c r="A16" s="48" t="s">
        <v>130</v>
      </c>
      <c r="B16" s="49">
        <v>6.8915951789987329</v>
      </c>
      <c r="C16" s="49">
        <v>10689.159517899874</v>
      </c>
      <c r="D16" s="49">
        <v>12.183258207929782</v>
      </c>
      <c r="E16" s="49">
        <v>14118.356631150586</v>
      </c>
      <c r="F16" s="49">
        <v>11.263219443384287</v>
      </c>
      <c r="G16" s="49">
        <v>17051.324180781416</v>
      </c>
      <c r="H16" s="49">
        <v>13.454025046752282</v>
      </c>
      <c r="I16" s="49">
        <v>34608.883528475868</v>
      </c>
    </row>
    <row r="17" spans="1:9">
      <c r="A17" s="48" t="s">
        <v>131</v>
      </c>
      <c r="B17" s="49">
        <v>3.3024534027818353</v>
      </c>
      <c r="C17" s="49">
        <v>10330.245340278183</v>
      </c>
      <c r="D17" s="49">
        <v>16.230902925925239</v>
      </c>
      <c r="E17" s="49">
        <v>15702.356556487057</v>
      </c>
      <c r="F17" s="49">
        <v>13.155552697674388</v>
      </c>
      <c r="G17" s="49">
        <v>18551.513690816424</v>
      </c>
      <c r="H17" s="49">
        <v>13.242490358883362</v>
      </c>
      <c r="I17" s="49">
        <v>33979.411734169444</v>
      </c>
    </row>
    <row r="18" spans="1:9">
      <c r="A18" s="48" t="s">
        <v>134</v>
      </c>
      <c r="B18" s="51">
        <v>39.79</v>
      </c>
      <c r="C18" s="52"/>
      <c r="D18" s="51">
        <v>29.43</v>
      </c>
      <c r="E18" s="52"/>
      <c r="F18" s="51">
        <v>23.36</v>
      </c>
      <c r="G18" s="52"/>
      <c r="H18" s="51">
        <v>13.65</v>
      </c>
      <c r="I18" s="52"/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2022-11-01T16:51:50Z</dcterms:created>
  <dcterms:modified xsi:type="dcterms:W3CDTF">2022-11-09T10:51:14Z</dcterms:modified>
</cp:coreProperties>
</file>