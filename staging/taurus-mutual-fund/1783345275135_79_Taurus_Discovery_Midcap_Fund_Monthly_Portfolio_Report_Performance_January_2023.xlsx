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Portfolio'!$C$8:$C$46</definedName>
    <definedName name="XDO_?FINAL_ISIN?3?">'TDF-Risk-O-Meter &amp; Portfolio'!$D$10:$D$46</definedName>
    <definedName name="XDO_?FINAL_ISIN?4?">'TDF-Risk-O-Meter &amp; Portfolio'!$D$10:$D$88</definedName>
    <definedName name="XDO_?FINAL_MV?3?">'TDF-Risk-O-Meter &amp; Portfolio'!$H$10:$H$46</definedName>
    <definedName name="XDO_?FINAL_MV?4?">'TDF-Risk-O-Meter &amp; Portfolio'!$H$10:$H$88</definedName>
    <definedName name="XDO_?FINAL_NAME?3?">'TDF-Risk-O-Meter &amp; Portfolio'!$C$10:$C$46</definedName>
    <definedName name="XDO_?FINAL_NAME?4?">'TDF-Risk-O-Meter &amp; Portfolio'!$C$10:$C$88</definedName>
    <definedName name="XDO_?FINAL_PER_NET?3?">'TDF-Risk-O-Meter &amp; Portfolio'!$I$10:$I$46</definedName>
    <definedName name="XDO_?FINAL_PER_NET?4?">'TDF-Risk-O-Meter &amp; Portfolio'!$I$10:$I$88</definedName>
    <definedName name="XDO_?FINAL_QUANTITE?3?">'TDF-Risk-O-Meter &amp; Portfolio'!$G$10:$G$46</definedName>
    <definedName name="XDO_?FINAL_QUANTITE?4?">'TDF-Risk-O-Meter &amp; Portfolio'!$G$10:$G$88</definedName>
    <definedName name="XDO_?IND_01?3?">'TDF-Risk-O-Meter &amp; Portfolio'!$F$10:$F$46</definedName>
    <definedName name="XDO_?IND_01?4?">'TDF-Risk-O-Meter &amp; Portfolio'!$F$10:$F$88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Portfolio'!$C$2:$C$46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Portfolio'!$B$10:$B$46</definedName>
    <definedName name="XDO_?NOVAL?4?">'TDF-Risk-O-Meter &amp; Portfolio'!$B$10:$B$88</definedName>
    <definedName name="XDO_?NPTF?2?">'TDF-Risk-O-Meter &amp; Portfolio'!$D$2:$D$46</definedName>
    <definedName name="XDO_?RATING?3?">'TDF-Risk-O-Meter &amp; Portfolio'!$E$10:$E$46</definedName>
    <definedName name="XDO_?RATING?4?">'TDF-Risk-O-Meter &amp; Portfolio'!$E$10:$E$88</definedName>
    <definedName name="XDO_?REMARKS?3?">'TDF-Risk-O-Meter &amp; Portfolio'!$J$10:$J$46</definedName>
    <definedName name="XDO_?REMARKS?4?">'TDF-Risk-O-Meter &amp; Portfolio'!$J$10:$J$88</definedName>
    <definedName name="XDO_?TITL?2?">'TDF-Risk-O-Meter &amp; Portfolio'!$A$8:$A$46</definedName>
    <definedName name="XDO_GROUP_?G_2?2?">'TDF-Risk-O-Meter &amp; Portfolio'!$2:$91</definedName>
    <definedName name="XDO_GROUP_?G_3?2?">'TDF-Risk-O-Meter &amp; Portfolio'!$8:$90</definedName>
    <definedName name="XDO_GROUP_?G_4?3?">'TDF-Risk-O-Meter &amp; Portfolio'!$B$10:$IV$46</definedName>
    <definedName name="XDO_GROUP_?G_4?4?">'TDF-Risk-O-Meter &amp; Portfolio'!$B$88:$IV$88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/>
</calcChain>
</file>

<file path=xl/sharedStrings.xml><?xml version="1.0" encoding="utf-8"?>
<sst xmlns="http://schemas.openxmlformats.org/spreadsheetml/2006/main" count="260" uniqueCount="187">
  <si>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</si>
  <si>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</si>
  <si>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</si>
  <si>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</si>
  <si>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</si>
  <si>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</si>
  <si>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</si>
  <si>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</si>
  <si>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</si>
  <si>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</si>
  <si>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</si>
  <si>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</si>
  <si>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</si>
  <si>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</si>
  <si>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</si>
  <si>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</si>
  <si>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</si>
  <si>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</si>
  <si>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</si>
  <si>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100740</t>
  </si>
  <si>
    <t>Sterlite Technologies Ltd.</t>
  </si>
  <si>
    <t>INE089C01029</t>
  </si>
  <si>
    <t>Telecom - Services</t>
  </si>
  <si>
    <t>100281</t>
  </si>
  <si>
    <t>Century Textiles &amp; Industries Ltd.</t>
  </si>
  <si>
    <t>INE055A01016</t>
  </si>
  <si>
    <t>Paper, Forest &amp; Jute Products</t>
  </si>
  <si>
    <t>100398</t>
  </si>
  <si>
    <t>Aditya Birla Fashion and Retail Ltd.</t>
  </si>
  <si>
    <t>INE647O01011</t>
  </si>
  <si>
    <t>Retailing</t>
  </si>
  <si>
    <t>100476</t>
  </si>
  <si>
    <t>Caplin Point Laboratories Ltd.</t>
  </si>
  <si>
    <t>INE475E01026</t>
  </si>
  <si>
    <t>100719</t>
  </si>
  <si>
    <t>Mayur Uniquoters Ltd.</t>
  </si>
  <si>
    <t>INE040D01038</t>
  </si>
  <si>
    <t>Consumer Durables</t>
  </si>
  <si>
    <t>100461</t>
  </si>
  <si>
    <t>Astral Limited</t>
  </si>
  <si>
    <t>INE006I01046</t>
  </si>
  <si>
    <t>Industrial Products</t>
  </si>
  <si>
    <t>100055</t>
  </si>
  <si>
    <t>The Federal Bank Ltd.</t>
  </si>
  <si>
    <t>INE171A01029</t>
  </si>
  <si>
    <t>Banks</t>
  </si>
  <si>
    <t>100371</t>
  </si>
  <si>
    <t>Sun TV Network Ltd.</t>
  </si>
  <si>
    <t>INE424H01027</t>
  </si>
  <si>
    <t>Entertainment</t>
  </si>
  <si>
    <t>100570</t>
  </si>
  <si>
    <t>K.P.R. Mill Ltd.</t>
  </si>
  <si>
    <t>INE930H01031</t>
  </si>
  <si>
    <t>Textiles &amp; Apparels</t>
  </si>
  <si>
    <t>101574</t>
  </si>
  <si>
    <t>Linde India Ltd.</t>
  </si>
  <si>
    <t>INE473A01011</t>
  </si>
  <si>
    <t>Chemicals &amp; Petrochemicals</t>
  </si>
  <si>
    <t>100026</t>
  </si>
  <si>
    <t>Persistent Systems Ltd.</t>
  </si>
  <si>
    <t>INE262H01013</t>
  </si>
  <si>
    <t>IT - Software</t>
  </si>
  <si>
    <t>100843</t>
  </si>
  <si>
    <t>Dalmia Bharat Ltd.</t>
  </si>
  <si>
    <t>INE00R701025</t>
  </si>
  <si>
    <t>Cement &amp; Cement Products</t>
  </si>
  <si>
    <t>101152</t>
  </si>
  <si>
    <t>Sumitomo Chemical India Ltd.</t>
  </si>
  <si>
    <t>INE258G01013</t>
  </si>
  <si>
    <t>Fertilizers &amp; Agrochemicals</t>
  </si>
  <si>
    <t>100195</t>
  </si>
  <si>
    <t>REC Ltd.</t>
  </si>
  <si>
    <t>INE020B01018</t>
  </si>
  <si>
    <t>Finance</t>
  </si>
  <si>
    <t>100112</t>
  </si>
  <si>
    <t>Punjab National Bank</t>
  </si>
  <si>
    <t>INE160A01022</t>
  </si>
  <si>
    <t>100271</t>
  </si>
  <si>
    <t>Balkrishna Industries Ltd.</t>
  </si>
  <si>
    <t>INE787D01026</t>
  </si>
  <si>
    <t>Auto Components</t>
  </si>
  <si>
    <t>101415</t>
  </si>
  <si>
    <t>HINDUSTAN OIL EXPLORATION CO.LTD.</t>
  </si>
  <si>
    <t>INE345A01011</t>
  </si>
  <si>
    <t>Oil</t>
  </si>
  <si>
    <t>100234</t>
  </si>
  <si>
    <t>Coforge Ltd.</t>
  </si>
  <si>
    <t>INE591G01017</t>
  </si>
  <si>
    <t>100088</t>
  </si>
  <si>
    <t>Bharat Heavy Electricals Ltd.</t>
  </si>
  <si>
    <t>INE257A01026</t>
  </si>
  <si>
    <t>Electrical Equipment</t>
  </si>
  <si>
    <t>100161</t>
  </si>
  <si>
    <t>Cummins India Ltd.</t>
  </si>
  <si>
    <t>INE298A01020</t>
  </si>
  <si>
    <t>100435</t>
  </si>
  <si>
    <t>Crompton Greaves Consumer Electricals Ltd.</t>
  </si>
  <si>
    <t>INE299U01018</t>
  </si>
  <si>
    <t>101800</t>
  </si>
  <si>
    <t>Hindware Home Innovation Ltd.</t>
  </si>
  <si>
    <t>INE05AN01011</t>
  </si>
  <si>
    <t>100122</t>
  </si>
  <si>
    <t>Union Bank of India</t>
  </si>
  <si>
    <t>INE692A01016</t>
  </si>
  <si>
    <t>100090</t>
  </si>
  <si>
    <t>Bharat Forge Ltd.</t>
  </si>
  <si>
    <t>INE465A01025</t>
  </si>
  <si>
    <t>100068</t>
  </si>
  <si>
    <t>Kansai Nerolac Paints Ltd.</t>
  </si>
  <si>
    <t>INE531A01024</t>
  </si>
  <si>
    <t>100116</t>
  </si>
  <si>
    <t>Sundaram Finance Ltd.</t>
  </si>
  <si>
    <t>INE660A01013</t>
  </si>
  <si>
    <t>100222</t>
  </si>
  <si>
    <t>The Indian Hotels Company Ltd.</t>
  </si>
  <si>
    <t>INE053A01029</t>
  </si>
  <si>
    <t>Leisure Services</t>
  </si>
  <si>
    <t>100728</t>
  </si>
  <si>
    <t>Welspun Corp Ltd.</t>
  </si>
  <si>
    <t>INE191B01025</t>
  </si>
  <si>
    <t>100503</t>
  </si>
  <si>
    <t>Prism Johnson Ltd.</t>
  </si>
  <si>
    <t>INE010A01011</t>
  </si>
  <si>
    <t>100006</t>
  </si>
  <si>
    <t>HDFC Bank Ltd.</t>
  </si>
  <si>
    <t>INE040A01034</t>
  </si>
  <si>
    <t>100471</t>
  </si>
  <si>
    <t>Endurance Technologies Ltd.</t>
  </si>
  <si>
    <t>INE913H01037</t>
  </si>
  <si>
    <t>100426</t>
  </si>
  <si>
    <t>Relaxo Footwears Ltd.</t>
  </si>
  <si>
    <t>INE131B01039</t>
  </si>
  <si>
    <t>100335</t>
  </si>
  <si>
    <t>Kajaria Ceramics Ltd.</t>
  </si>
  <si>
    <t>INE217B01036</t>
  </si>
  <si>
    <t>100242</t>
  </si>
  <si>
    <t>Schaeffler India Ltd.</t>
  </si>
  <si>
    <t>INE513A01022</t>
  </si>
  <si>
    <t>100143</t>
  </si>
  <si>
    <t>Thermax Ltd.</t>
  </si>
  <si>
    <t>INE152A01029</t>
  </si>
  <si>
    <t>100227</t>
  </si>
  <si>
    <t>Jubilant Foodworks Ltd.</t>
  </si>
  <si>
    <t>INE797F01020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</si>
  <si>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</si>
  <si>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</si>
  <si>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</si>
  <si>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</si>
  <si>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</si>
  <si>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</si>
  <si>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</si>
  <si>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</si>
  <si>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</si>
  <si>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</si>
  <si>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</si>
  <si>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</si>
  <si>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</si>
  <si>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</si>
  <si>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</si>
  <si>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</si>
  <si>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</si>
  <si>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</si>
  <si>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</si>
  <si>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</si>
  <si>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</si>
  <si>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</si>
  <si>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</si>
  <si>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</si>
  <si>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</si>
  <si>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</si>
  <si>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</si>
  <si>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</si>
  <si>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</si>
  <si>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</si>
  <si>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</si>
  <si>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</si>
  <si>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</si>
  <si>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</si>
  <si>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</si>
  <si>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</si>
  <si>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</si>
  <si>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</si>
  <si>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</si>
  <si>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January 31, 2023 : 75.96)</t>
  </si>
  <si>
    <t>Taurus Discovery (Midcap) Fund-Direct Plan-Growth Option</t>
  </si>
  <si>
    <t>NAV [Rs.] Per Unit (as on January 31, 2023 : 79.43)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</si>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</sst>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Discover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7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44957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51750</v>
      </c>
      <c r="H10" s="32">
        <v>462.1</v>
      </c>
      <c r="I10" s="32">
        <v>6.06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205000</v>
      </c>
      <c r="H11" s="32">
        <v>372.18</v>
      </c>
      <c r="I11" s="32">
        <v>4.88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49250</v>
      </c>
      <c r="H12" s="32">
        <v>346.2</v>
      </c>
      <c r="I12" s="32">
        <v>4.54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133000</v>
      </c>
      <c r="H13" s="32">
        <v>341.28</v>
      </c>
      <c r="I13" s="32">
        <v>4.47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46000</v>
      </c>
      <c r="H14" s="32">
        <v>318.14</v>
      </c>
      <c r="I14" s="32">
        <v>4.17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65500</v>
      </c>
      <c r="H15" s="32">
        <v>271.24</v>
      </c>
      <c r="I15" s="32">
        <v>3.56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13200</v>
      </c>
      <c r="H16" s="32">
        <v>271.08</v>
      </c>
      <c r="I16" s="32">
        <v>3.55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190000</v>
      </c>
      <c r="H17" s="32">
        <v>255.55</v>
      </c>
      <c r="I17" s="32">
        <v>3.35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55000</v>
      </c>
      <c r="H18" s="32">
        <v>254.38</v>
      </c>
      <c r="I18" s="32">
        <v>3.33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47000</v>
      </c>
      <c r="H19" s="32">
        <v>248.47</v>
      </c>
      <c r="I19" s="32">
        <v>3.26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7000</v>
      </c>
      <c r="H20" s="32">
        <v>231.92</v>
      </c>
      <c r="I20" s="32">
        <v>3.04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4900</v>
      </c>
      <c r="H21" s="32">
        <v>229.45</v>
      </c>
      <c r="I21" s="32">
        <v>3.01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12950</v>
      </c>
      <c r="H22" s="32">
        <v>229</v>
      </c>
      <c r="I22" s="32">
        <v>3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50000</v>
      </c>
      <c r="H23" s="32">
        <v>227.23</v>
      </c>
      <c r="I23" s="32">
        <v>2.98</v>
      </c>
      <c r="J23" s="33"/>
    </row>
    <row r="24" spans="2:10">
      <c r="B24" s="1" t="s">
        <v>70</v>
      </c>
      <c r="C24" s="20" t="s">
        <v>71</v>
      </c>
      <c r="D24" s="29" t="s">
        <v>72</v>
      </c>
      <c r="E24" s="30"/>
      <c r="F24" s="30" t="s">
        <v>73</v>
      </c>
      <c r="G24" s="31">
        <v>185000</v>
      </c>
      <c r="H24" s="32">
        <v>225.15</v>
      </c>
      <c r="I24" s="32">
        <v>2.95</v>
      </c>
      <c r="J24" s="33"/>
    </row>
    <row r="25" spans="2:10">
      <c r="B25" s="1" t="s">
        <v>74</v>
      </c>
      <c r="C25" s="20" t="s">
        <v>75</v>
      </c>
      <c r="D25" s="29" t="s">
        <v>76</v>
      </c>
      <c r="E25" s="30"/>
      <c r="F25" s="30" t="s">
        <v>45</v>
      </c>
      <c r="G25" s="31">
        <v>415000</v>
      </c>
      <c r="H25" s="32">
        <v>222.44</v>
      </c>
      <c r="I25" s="32">
        <v>2.92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80</v>
      </c>
      <c r="G26" s="31">
        <v>10000</v>
      </c>
      <c r="H26" s="32">
        <v>221.93</v>
      </c>
      <c r="I26" s="32">
        <v>2.91</v>
      </c>
      <c r="J26" s="33"/>
    </row>
    <row r="27" spans="2:10">
      <c r="B27" s="1" t="s">
        <v>81</v>
      </c>
      <c r="C27" s="20" t="s">
        <v>82</v>
      </c>
      <c r="D27" s="29" t="s">
        <v>83</v>
      </c>
      <c r="E27" s="30"/>
      <c r="F27" s="30" t="s">
        <v>84</v>
      </c>
      <c r="G27" s="31">
        <v>169000</v>
      </c>
      <c r="H27" s="32">
        <v>219.95</v>
      </c>
      <c r="I27" s="32">
        <v>2.88</v>
      </c>
      <c r="J27" s="33"/>
    </row>
    <row r="28" spans="2:10">
      <c r="B28" s="1" t="s">
        <v>85</v>
      </c>
      <c r="C28" s="20" t="s">
        <v>86</v>
      </c>
      <c r="D28" s="29" t="s">
        <v>87</v>
      </c>
      <c r="E28" s="30"/>
      <c r="F28" s="30" t="s">
        <v>61</v>
      </c>
      <c r="G28" s="31">
        <v>5000</v>
      </c>
      <c r="H28" s="32">
        <v>218.8</v>
      </c>
      <c r="I28" s="32">
        <v>2.87</v>
      </c>
      <c r="J28" s="33"/>
    </row>
    <row r="29" spans="2:10">
      <c r="B29" s="1" t="s">
        <v>88</v>
      </c>
      <c r="C29" s="20" t="s">
        <v>89</v>
      </c>
      <c r="D29" s="29" t="s">
        <v>90</v>
      </c>
      <c r="E29" s="30"/>
      <c r="F29" s="30" t="s">
        <v>91</v>
      </c>
      <c r="G29" s="31">
        <v>270000</v>
      </c>
      <c r="H29" s="32">
        <v>211.95</v>
      </c>
      <c r="I29" s="32">
        <v>2.78</v>
      </c>
      <c r="J29" s="33"/>
    </row>
    <row r="30" spans="2:10">
      <c r="B30" s="1" t="s">
        <v>92</v>
      </c>
      <c r="C30" s="20" t="s">
        <v>93</v>
      </c>
      <c r="D30" s="29" t="s">
        <v>94</v>
      </c>
      <c r="E30" s="30"/>
      <c r="F30" s="30" t="s">
        <v>41</v>
      </c>
      <c r="G30" s="31">
        <v>14500</v>
      </c>
      <c r="H30" s="32">
        <v>207.97</v>
      </c>
      <c r="I30" s="32">
        <v>2.73</v>
      </c>
      <c r="J30" s="33"/>
    </row>
    <row r="31" spans="2:10">
      <c r="B31" s="1" t="s">
        <v>95</v>
      </c>
      <c r="C31" s="20" t="s">
        <v>96</v>
      </c>
      <c r="D31" s="29" t="s">
        <v>97</v>
      </c>
      <c r="E31" s="30"/>
      <c r="F31" s="30" t="s">
        <v>37</v>
      </c>
      <c r="G31" s="31">
        <v>60000</v>
      </c>
      <c r="H31" s="32">
        <v>198.39</v>
      </c>
      <c r="I31" s="32">
        <v>2.6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37</v>
      </c>
      <c r="G32" s="31">
        <v>47000</v>
      </c>
      <c r="H32" s="32">
        <v>196.11</v>
      </c>
      <c r="I32" s="32">
        <v>2.57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45</v>
      </c>
      <c r="G33" s="31">
        <v>235000</v>
      </c>
      <c r="H33" s="32">
        <v>184.24</v>
      </c>
      <c r="I33" s="32">
        <v>2.42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41</v>
      </c>
      <c r="G34" s="31">
        <v>21000</v>
      </c>
      <c r="H34" s="32">
        <v>183.79</v>
      </c>
      <c r="I34" s="32">
        <v>2.41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37</v>
      </c>
      <c r="G35" s="31">
        <v>39000</v>
      </c>
      <c r="H35" s="32">
        <v>165.11</v>
      </c>
      <c r="I35" s="32">
        <v>2.16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73</v>
      </c>
      <c r="G36" s="31">
        <v>6500</v>
      </c>
      <c r="H36" s="32">
        <v>147.83000000000001</v>
      </c>
      <c r="I36" s="32">
        <v>1.94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49000</v>
      </c>
      <c r="H37" s="32">
        <v>147.27000000000001</v>
      </c>
      <c r="I37" s="32">
        <v>1.93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41</v>
      </c>
      <c r="G38" s="31">
        <v>62000</v>
      </c>
      <c r="H38" s="32">
        <v>130.66999999999999</v>
      </c>
      <c r="I38" s="32">
        <v>1.71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65</v>
      </c>
      <c r="G39" s="31">
        <v>105000</v>
      </c>
      <c r="H39" s="32">
        <v>110.04</v>
      </c>
      <c r="I39" s="32">
        <v>1.44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45</v>
      </c>
      <c r="G40" s="31">
        <v>6500</v>
      </c>
      <c r="H40" s="32">
        <v>104.22</v>
      </c>
      <c r="I40" s="32">
        <v>1.37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80</v>
      </c>
      <c r="G41" s="31">
        <v>6800</v>
      </c>
      <c r="H41" s="32">
        <v>100.16</v>
      </c>
      <c r="I41" s="32">
        <v>1.31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37</v>
      </c>
      <c r="G42" s="31">
        <v>12000</v>
      </c>
      <c r="H42" s="32">
        <v>98.18</v>
      </c>
      <c r="I42" s="32">
        <v>1.29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37</v>
      </c>
      <c r="G43" s="31">
        <v>9250</v>
      </c>
      <c r="H43" s="32">
        <v>97.33</v>
      </c>
      <c r="I43" s="32">
        <v>1.28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80</v>
      </c>
      <c r="G44" s="31">
        <v>1500</v>
      </c>
      <c r="H44" s="32">
        <v>40.4</v>
      </c>
      <c r="I44" s="32">
        <v>0.53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91</v>
      </c>
      <c r="G45" s="31">
        <v>1750</v>
      </c>
      <c r="H45" s="32">
        <v>33.68</v>
      </c>
      <c r="I45" s="32">
        <v>0.44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116</v>
      </c>
      <c r="G46" s="31">
        <v>5750</v>
      </c>
      <c r="H46" s="32">
        <v>28.01</v>
      </c>
      <c r="I46" s="32">
        <v>0.37</v>
      </c>
      <c r="J46" s="33"/>
    </row>
    <row r="47" spans="2:10">
      <c r="C47" s="28" t="s">
        <v>144</v>
      </c>
      <c r="D47" s="29"/>
      <c r="E47" s="30"/>
      <c r="F47" s="30"/>
      <c r="G47" s="31"/>
      <c r="H47" s="35">
        <v>7551.84</v>
      </c>
      <c r="I47" s="35">
        <v>99.01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145</v>
      </c>
      <c r="D49" s="29"/>
      <c r="E49" s="30"/>
      <c r="F49" s="30"/>
      <c r="G49" s="31"/>
      <c r="H49" s="32" t="s">
        <v>146</v>
      </c>
      <c r="I49" s="32" t="s">
        <v>146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147</v>
      </c>
      <c r="D51" s="29"/>
      <c r="E51" s="30"/>
      <c r="F51" s="30"/>
      <c r="G51" s="31"/>
      <c r="H51" s="32" t="s">
        <v>146</v>
      </c>
      <c r="I51" s="32" t="s">
        <v>146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148</v>
      </c>
      <c r="D53" s="29"/>
      <c r="E53" s="30"/>
      <c r="F53" s="30"/>
      <c r="G53" s="31"/>
      <c r="H53" s="32"/>
      <c r="I53" s="32"/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149</v>
      </c>
      <c r="D55" s="29"/>
      <c r="E55" s="30"/>
      <c r="F55" s="30"/>
      <c r="G55" s="31"/>
      <c r="H55" s="32" t="s">
        <v>146</v>
      </c>
      <c r="I55" s="32" t="s">
        <v>146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150</v>
      </c>
      <c r="D57" s="29"/>
      <c r="E57" s="30"/>
      <c r="F57" s="30"/>
      <c r="G57" s="31"/>
      <c r="H57" s="32" t="s">
        <v>146</v>
      </c>
      <c r="I57" s="32" t="s">
        <v>146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151</v>
      </c>
      <c r="D59" s="29"/>
      <c r="E59" s="30"/>
      <c r="F59" s="30"/>
      <c r="G59" s="31"/>
      <c r="H59" s="32" t="s">
        <v>146</v>
      </c>
      <c r="I59" s="32" t="s">
        <v>146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152</v>
      </c>
      <c r="D61" s="29"/>
      <c r="E61" s="30"/>
      <c r="F61" s="30"/>
      <c r="G61" s="31"/>
      <c r="H61" s="32" t="s">
        <v>146</v>
      </c>
      <c r="I61" s="32" t="s">
        <v>146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153</v>
      </c>
      <c r="D63" s="29"/>
      <c r="E63" s="30"/>
      <c r="F63" s="30"/>
      <c r="G63" s="31"/>
      <c r="H63" s="32" t="s">
        <v>146</v>
      </c>
      <c r="I63" s="32" t="s">
        <v>146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154</v>
      </c>
      <c r="D65" s="29"/>
      <c r="E65" s="30"/>
      <c r="F65" s="30"/>
      <c r="G65" s="31"/>
      <c r="H65" s="32"/>
      <c r="I65" s="32"/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155</v>
      </c>
      <c r="D67" s="29"/>
      <c r="E67" s="30"/>
      <c r="F67" s="30"/>
      <c r="G67" s="31"/>
      <c r="H67" s="32" t="s">
        <v>146</v>
      </c>
      <c r="I67" s="32" t="s">
        <v>146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156</v>
      </c>
      <c r="D69" s="29"/>
      <c r="E69" s="30"/>
      <c r="F69" s="30"/>
      <c r="G69" s="31"/>
      <c r="H69" s="32" t="s">
        <v>146</v>
      </c>
      <c r="I69" s="32" t="s">
        <v>146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157</v>
      </c>
      <c r="D71" s="29"/>
      <c r="E71" s="30"/>
      <c r="F71" s="30"/>
      <c r="G71" s="31"/>
      <c r="H71" s="32" t="s">
        <v>146</v>
      </c>
      <c r="I71" s="32" t="s">
        <v>146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158</v>
      </c>
      <c r="D73" s="29"/>
      <c r="E73" s="30"/>
      <c r="F73" s="30"/>
      <c r="G73" s="31"/>
      <c r="H73" s="32" t="s">
        <v>146</v>
      </c>
      <c r="I73" s="32" t="s">
        <v>146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159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160</v>
      </c>
      <c r="D77" s="29"/>
      <c r="E77" s="30"/>
      <c r="F77" s="30"/>
      <c r="G77" s="31"/>
      <c r="H77" s="32" t="s">
        <v>146</v>
      </c>
      <c r="I77" s="32" t="s">
        <v>146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161</v>
      </c>
      <c r="D79" s="29"/>
      <c r="E79" s="30"/>
      <c r="F79" s="30"/>
      <c r="G79" s="31"/>
      <c r="H79" s="32" t="s">
        <v>146</v>
      </c>
      <c r="I79" s="32" t="s">
        <v>146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162</v>
      </c>
      <c r="D81" s="29"/>
      <c r="E81" s="30"/>
      <c r="F81" s="30"/>
      <c r="G81" s="31"/>
      <c r="H81" s="32" t="s">
        <v>146</v>
      </c>
      <c r="I81" s="32" t="s">
        <v>146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163</v>
      </c>
      <c r="D83" s="29"/>
      <c r="E83" s="30"/>
      <c r="F83" s="30"/>
      <c r="G83" s="31"/>
      <c r="H83" s="32" t="s">
        <v>146</v>
      </c>
      <c r="I83" s="32" t="s">
        <v>146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164</v>
      </c>
      <c r="D85" s="29"/>
      <c r="E85" s="30"/>
      <c r="F85" s="30"/>
      <c r="G85" s="31"/>
      <c r="H85" s="32" t="s">
        <v>146</v>
      </c>
      <c r="I85" s="32" t="s">
        <v>146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A87" s="26"/>
      <c r="B87" s="27"/>
      <c r="C87" s="28" t="s">
        <v>165</v>
      </c>
      <c r="D87" s="29"/>
      <c r="E87" s="30"/>
      <c r="F87" s="30"/>
      <c r="G87" s="31"/>
      <c r="H87" s="32"/>
      <c r="I87" s="32"/>
      <c r="J87" s="33"/>
    </row>
    <row r="88" spans="1:10">
      <c r="B88" s="1"/>
      <c r="C88" s="20" t="s">
        <v>166</v>
      </c>
      <c r="D88" s="29"/>
      <c r="E88" s="30"/>
      <c r="F88" s="30"/>
      <c r="G88" s="31"/>
      <c r="H88" s="32">
        <v>77.02</v>
      </c>
      <c r="I88" s="32">
        <v>0.99</v>
      </c>
      <c r="J88" s="33"/>
    </row>
    <row r="89" spans="1:10">
      <c r="C89" s="28" t="s">
        <v>144</v>
      </c>
      <c r="D89" s="29"/>
      <c r="E89" s="30"/>
      <c r="F89" s="30"/>
      <c r="G89" s="31"/>
      <c r="H89" s="35">
        <v>77.02</v>
      </c>
      <c r="I89" s="35">
        <v>0.99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 ht="13.5" thickBot="1">
      <c r="C91" s="36" t="s">
        <v>167</v>
      </c>
      <c r="D91" s="37"/>
      <c r="E91" s="38"/>
      <c r="F91" s="39"/>
      <c r="G91" s="40"/>
      <c r="H91" s="41">
        <v>7628.86</v>
      </c>
      <c r="I91" s="41">
        <f>SUMIFS(I:I,C:C,"Total")</f>
        <v>100</v>
      </c>
      <c r="J91" s="42"/>
    </row>
    <row r="94" spans="1:10">
      <c r="C94" s="11" t="s">
        <v>168</v>
      </c>
    </row>
    <row r="95" spans="1:10">
      <c r="C95" s="2" t="s">
        <v>169</v>
      </c>
    </row>
    <row r="96" spans="1:10">
      <c r="C96" s="2" t="s">
        <v>170</v>
      </c>
    </row>
    <row r="97" spans="3:3">
      <c r="C97" s="2" t="s">
        <v>171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172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173</v>
      </c>
      <c r="C5" s="50" t="s">
        <v>174</v>
      </c>
      <c r="D5" s="50"/>
      <c r="E5" s="50" t="s">
        <v>175</v>
      </c>
      <c r="F5" s="50"/>
      <c r="G5" s="50" t="s">
        <v>176</v>
      </c>
      <c r="H5" s="50"/>
      <c r="I5" s="50" t="s">
        <v>177</v>
      </c>
      <c r="J5" s="50"/>
    </row>
    <row r="6" spans="2:10" ht="63.75">
      <c r="B6" s="46"/>
      <c r="C6" s="47" t="s">
        <v>178</v>
      </c>
      <c r="D6" s="47" t="s">
        <v>179</v>
      </c>
      <c r="E6" s="47" t="s">
        <v>178</v>
      </c>
      <c r="F6" s="47" t="s">
        <v>179</v>
      </c>
      <c r="G6" s="47" t="s">
        <v>178</v>
      </c>
      <c r="H6" s="47" t="s">
        <v>179</v>
      </c>
      <c r="I6" s="47" t="s">
        <v>178</v>
      </c>
      <c r="J6" s="47" t="s">
        <v>179</v>
      </c>
    </row>
    <row r="7" spans="2:10">
      <c r="B7" s="48" t="s">
        <v>180</v>
      </c>
      <c r="C7" s="49">
        <v>4.6713517982637454</v>
      </c>
      <c r="D7" s="49">
        <v>10467.135179826375</v>
      </c>
      <c r="E7" s="49">
        <v>18.077182263134883</v>
      </c>
      <c r="F7" s="49">
        <v>16470.078057241979</v>
      </c>
      <c r="G7" s="49">
        <v>10.45936261394167</v>
      </c>
      <c r="H7" s="49">
        <v>16448.679081853614</v>
      </c>
      <c r="I7" s="49">
        <v>7.3931620074348503</v>
      </c>
      <c r="J7" s="49">
        <v>75960</v>
      </c>
    </row>
    <row r="8" spans="2:10">
      <c r="B8" s="48" t="s">
        <v>181</v>
      </c>
      <c r="C8" s="49">
        <v>2.5628888766250135</v>
      </c>
      <c r="D8" s="49">
        <v>10256.288887662502</v>
      </c>
      <c r="E8" s="49">
        <v>21.404858237568035</v>
      </c>
      <c r="F8" s="49">
        <v>17894.031541289798</v>
      </c>
      <c r="G8" s="49">
        <v>11.290304397804496</v>
      </c>
      <c r="H8" s="49">
        <v>17072.088420985703</v>
      </c>
      <c r="I8" s="49">
        <v>0</v>
      </c>
      <c r="J8" s="49">
        <v>0</v>
      </c>
    </row>
    <row r="9" spans="2:10">
      <c r="B9" s="48" t="s">
        <v>182</v>
      </c>
      <c r="C9" s="49">
        <v>3.1786787667375416</v>
      </c>
      <c r="D9" s="49">
        <v>10317.867876673754</v>
      </c>
      <c r="E9" s="49">
        <v>15.20948157089097</v>
      </c>
      <c r="F9" s="49">
        <v>15292.013299900276</v>
      </c>
      <c r="G9" s="49">
        <v>11.250631257369781</v>
      </c>
      <c r="H9" s="49">
        <v>17041.680532244904</v>
      </c>
      <c r="I9" s="49">
        <v>10.689313752267937</v>
      </c>
      <c r="J9" s="49">
        <v>179345.00013630762</v>
      </c>
    </row>
    <row r="10" spans="2:10">
      <c r="B10" s="48" t="s">
        <v>183</v>
      </c>
      <c r="C10" s="51">
        <v>72.569999999999993</v>
      </c>
      <c r="D10" s="52"/>
      <c r="E10" s="51">
        <v>46.12</v>
      </c>
      <c r="F10" s="52"/>
      <c r="G10" s="51">
        <v>46.18</v>
      </c>
      <c r="H10" s="52"/>
      <c r="I10" s="51">
        <v>10</v>
      </c>
      <c r="J10" s="52"/>
    </row>
    <row r="12" spans="2:10" ht="15.75">
      <c r="B12" s="43" t="s">
        <v>184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173</v>
      </c>
      <c r="C13" s="50" t="s">
        <v>174</v>
      </c>
      <c r="D13" s="50"/>
      <c r="E13" s="50" t="s">
        <v>175</v>
      </c>
      <c r="F13" s="50"/>
      <c r="G13" s="50" t="s">
        <v>176</v>
      </c>
      <c r="H13" s="50"/>
      <c r="I13" s="50" t="s">
        <v>177</v>
      </c>
      <c r="J13" s="50"/>
    </row>
    <row r="14" spans="2:10" ht="63.75">
      <c r="B14" s="46"/>
      <c r="C14" s="47" t="s">
        <v>178</v>
      </c>
      <c r="D14" s="47" t="s">
        <v>179</v>
      </c>
      <c r="E14" s="47" t="s">
        <v>178</v>
      </c>
      <c r="F14" s="47" t="s">
        <v>179</v>
      </c>
      <c r="G14" s="47" t="s">
        <v>178</v>
      </c>
      <c r="H14" s="47" t="s">
        <v>179</v>
      </c>
      <c r="I14" s="47" t="s">
        <v>178</v>
      </c>
      <c r="J14" s="47" t="s">
        <v>179</v>
      </c>
    </row>
    <row r="15" spans="2:10">
      <c r="B15" s="48" t="s">
        <v>180</v>
      </c>
      <c r="C15" s="49">
        <v>5.0105764145954579</v>
      </c>
      <c r="D15" s="49">
        <v>10501.057641459547</v>
      </c>
      <c r="E15" s="49">
        <v>18.501647184181301</v>
      </c>
      <c r="F15" s="49">
        <v>16648.501362397819</v>
      </c>
      <c r="G15" s="49">
        <v>10.912801579950182</v>
      </c>
      <c r="H15" s="49">
        <v>16789.262312407525</v>
      </c>
      <c r="I15" s="49">
        <v>16.040650563860016</v>
      </c>
      <c r="J15" s="49">
        <v>44850.367024280065</v>
      </c>
    </row>
    <row r="16" spans="2:10">
      <c r="B16" s="48" t="s">
        <v>181</v>
      </c>
      <c r="C16" s="49">
        <v>2.5628888766250135</v>
      </c>
      <c r="D16" s="49">
        <v>10256.288887662502</v>
      </c>
      <c r="E16" s="49">
        <v>21.404858237568035</v>
      </c>
      <c r="F16" s="49">
        <v>17894.031541289798</v>
      </c>
      <c r="G16" s="49">
        <v>11.290304397804496</v>
      </c>
      <c r="H16" s="49">
        <v>17072.088420985703</v>
      </c>
      <c r="I16" s="49">
        <v>16.802762900545698</v>
      </c>
      <c r="J16" s="49">
        <v>47912.061397710153</v>
      </c>
    </row>
    <row r="17" spans="2:10">
      <c r="B17" s="48" t="s">
        <v>182</v>
      </c>
      <c r="C17" s="49">
        <v>3.1786787667375416</v>
      </c>
      <c r="D17" s="49">
        <v>10317.867876673754</v>
      </c>
      <c r="E17" s="49">
        <v>15.20948157089097</v>
      </c>
      <c r="F17" s="49">
        <v>15292.013299900276</v>
      </c>
      <c r="G17" s="49">
        <v>11.250631257369781</v>
      </c>
      <c r="H17" s="49">
        <v>17041.680532244904</v>
      </c>
      <c r="I17" s="49">
        <v>12.75650757861635</v>
      </c>
      <c r="J17" s="49">
        <v>33572.793504487097</v>
      </c>
    </row>
    <row r="18" spans="2:10">
      <c r="B18" s="48" t="s">
        <v>185</v>
      </c>
      <c r="C18" s="51">
        <v>75.64</v>
      </c>
      <c r="D18" s="52"/>
      <c r="E18" s="51">
        <v>47.71</v>
      </c>
      <c r="F18" s="52"/>
      <c r="G18" s="51">
        <v>47.31</v>
      </c>
      <c r="H18" s="52"/>
      <c r="I18" s="51">
        <v>17.71</v>
      </c>
      <c r="J18" s="52"/>
    </row>
    <row r="20" spans="2:10">
      <c r="B20" t="s">
        <v>186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2023-02-02T04:50:15Z</dcterms:created>
  <dcterms:modified xsi:type="dcterms:W3CDTF">2023-02-09T07:06:46Z</dcterms:modified>
</cp:coreProperties>
</file>