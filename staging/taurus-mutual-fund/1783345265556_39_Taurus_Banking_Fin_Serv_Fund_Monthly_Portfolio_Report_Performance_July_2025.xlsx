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5. Aug 2025\Monthly Portfolio Jul 2025\Ops\"/>
    </mc:Choice>
  </mc:AlternateContent>
  <xr:revisionPtr revIDLastSave="0" documentId="13_ncr:1_{5469CABB-D367-4504-BEFB-A7A609B9F12C}" xr6:coauthVersionLast="47" xr6:coauthVersionMax="47" xr10:uidLastSave="{00000000-0000-0000-0000-000000000000}"/>
  <bookViews>
    <workbookView xWindow="-120" yWindow="-120" windowWidth="20730" windowHeight="11040" xr2:uid="{879B91F3-C892-4392-B5AB-6170DCA6ABC0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TBFS!$C$8:$C$25</definedName>
    <definedName name="XDO_?FINAL_ISIN?1?">TBFS!$D$10:$D$25</definedName>
    <definedName name="XDO_?FINAL_ISIN?2?">TBFS!$D$10:$D$69</definedName>
    <definedName name="XDO_?FINAL_MV?1?">TBFS!$H$10:$H$25</definedName>
    <definedName name="XDO_?FINAL_MV?2?">TBFS!$H$10:$H$69</definedName>
    <definedName name="XDO_?FINAL_NAME?1?">TBFS!$C$10:$C$25</definedName>
    <definedName name="XDO_?FINAL_NAME?2?">TBFS!$C$10:$C$69</definedName>
    <definedName name="XDO_?FINAL_PER_NET?1?">TBFS!$I$10:$I$25</definedName>
    <definedName name="XDO_?FINAL_PER_NET?2?">TBFS!$I$10:$I$69</definedName>
    <definedName name="XDO_?FINAL_QUANTITE?1?">TBFS!$G$10:$G$25</definedName>
    <definedName name="XDO_?FINAL_QUANTITE?2?">TBFS!$G$10:$G$69</definedName>
    <definedName name="XDO_?IND_01?1?">TBFS!$F$10:$F$25</definedName>
    <definedName name="XDO_?IND_01?2?">TBFS!$F$10:$F$69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TBFS!$C$2:$C$25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TBFS!$B$10:$B$25</definedName>
    <definedName name="XDO_?NOVAL?2?">TBFS!$B$10:$B$69</definedName>
    <definedName name="XDO_?NPTF?1?">TBFS!$D$2:$D$25</definedName>
    <definedName name="XDO_?RATING?1?">TBFS!$E$10:$E$25</definedName>
    <definedName name="XDO_?RATING?2?">TBFS!$E$10:$E$69</definedName>
    <definedName name="XDO_?REMARKS?1?">TBFS!$J$10:$J$25</definedName>
    <definedName name="XDO_?REMARKS?2?">TBFS!$J$10:$J$69</definedName>
    <definedName name="XDO_?TITL?1?">TBFS!$A$8:$A$25</definedName>
    <definedName name="XDO_GROUP_?G_2?1?">TBFS!$2:$72</definedName>
    <definedName name="XDO_GROUP_?G_3?1?">TBFS!$8:$71</definedName>
    <definedName name="XDO_GROUP_?G_4?1?">TBFS!$B$10:$IV$25</definedName>
    <definedName name="XDO_GROUP_?G_4?2?">TBFS!$B$69:$IV$69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1" l="1"/>
</calcChain>
</file>

<file path=xl/sharedStrings.xml><?xml version="1.0" encoding="utf-8"?>
<sst xmlns="http://schemas.openxmlformats.org/spreadsheetml/2006/main" count="200" uniqueCount="130">
  <si>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</si>
  <si>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</si>
  <si>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</si>
  <si>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</si>
  <si>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</si>
  <si>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</si>
  <si>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</si>
  <si>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</si>
  <si>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</si>
  <si>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</si>
  <si>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</si>
  <si>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</si>
  <si>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</si>
  <si>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</si>
  <si>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</si>
  <si>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</si>
  <si>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</si>
  <si>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</si>
  <si>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</si>
  <si>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</si>
  <si>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</si>
  <si>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</si>
  <si>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</si>
  <si>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</si>
  <si>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</si>
  <si>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</si>
  <si>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</si>
  <si>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</si>
  <si>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</si>
  <si>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</si>
  <si>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</si>
  <si>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100194</t>
  </si>
  <si>
    <t>Power Finance Corporation Ltd.</t>
  </si>
  <si>
    <t>INE134E01011</t>
  </si>
  <si>
    <t>Finance</t>
  </si>
  <si>
    <t>100325</t>
  </si>
  <si>
    <t>Bajaj Holdings &amp; Investment Ltd.</t>
  </si>
  <si>
    <t>INE118A01012</t>
  </si>
  <si>
    <t>100092</t>
  </si>
  <si>
    <t>Bank of Baroda</t>
  </si>
  <si>
    <t>INE028A01039</t>
  </si>
  <si>
    <t>100733</t>
  </si>
  <si>
    <t>General Insurance Corporation of India</t>
  </si>
  <si>
    <t>INE481Y01014</t>
  </si>
  <si>
    <t>Insurance</t>
  </si>
  <si>
    <t>100377</t>
  </si>
  <si>
    <t>The South Indian Bank Ltd.</t>
  </si>
  <si>
    <t>INE683A01023</t>
  </si>
  <si>
    <t>100114</t>
  </si>
  <si>
    <t>Shriram Finance Ltd.</t>
  </si>
  <si>
    <t>INE721A01047</t>
  </si>
  <si>
    <t>100191</t>
  </si>
  <si>
    <t>Canara Bank</t>
  </si>
  <si>
    <t>INE476A01022</t>
  </si>
  <si>
    <t>101210</t>
  </si>
  <si>
    <t>Credit Access Grameen Ltd.</t>
  </si>
  <si>
    <t>INE741K01010</t>
  </si>
  <si>
    <t>100122</t>
  </si>
  <si>
    <t>Union Bank of India</t>
  </si>
  <si>
    <t>INE692A01016</t>
  </si>
  <si>
    <t>101550</t>
  </si>
  <si>
    <t>Life Insurance Corporation of India</t>
  </si>
  <si>
    <t>INE0J1Y01017</t>
  </si>
  <si>
    <t>100453</t>
  </si>
  <si>
    <t>RBL Bank Ltd.</t>
  </si>
  <si>
    <t>INE976G01028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</si>
  <si>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</si>
  <si>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</si>
  <si>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</si>
  <si>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</si>
  <si>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</si>
  <si>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</si>
  <si>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</si>
  <si>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</si>
  <si>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</si>
  <si>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</si>
  <si>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</si>
  <si>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</si>
  <si>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</si>
  <si>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</si>
  <si>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</si>
  <si>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</si>
  <si>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</si>
  <si>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</si>
  <si>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</si>
  <si>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</si>
  <si>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</si>
  <si>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</si>
  <si>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</si>
  <si>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</si>
  <si>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</si>
  <si>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</si>
  <si>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</si>
  <si>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</si>
  <si>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</si>
  <si>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</si>
  <si>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</si>
  <si>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</si>
  <si>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</si>
  <si>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</si>
  <si>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</si>
  <si>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June 30, 2025</t>
  </si>
  <si>
    <t>July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</si>
  <si>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</si>
  <si>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</si>
  <si>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</si>
  <si>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</si>
  <si>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July 31, 2025.</t>
  </si>
  <si>
    <t>7. The Scheme did not declare any bonus during the month ended As on  July 31, 2025</t>
  </si>
  <si>
    <t>8. Total outstanding exposure in derivative instruments as on As on  July 31, 2025 is Nil</t>
  </si>
  <si>
    <t>9. Total investments in Foreign Securities /ADRs/GDRs /Overseas ETFs as at As on  July 31, 2025 and its percentage to NAV is Nil.</t>
  </si>
  <si>
    <t>10. During the period, the portfolio turnover ratio is 0.43 times.</t>
  </si>
  <si>
    <t>      Portfolio Turnover Ratio = Lower of sales or purchase of securities divided by average AUM for 12 months ended As on  July 31, 2025</t>
  </si>
  <si>
    <t>11. The Scheme did not invest in repo transactions of corporate debt securities during the month ended As on  July 31, 2025.</t>
  </si>
  <si>
    <t>12. The Scheme did not invest in credit default swaps during the month ended As on  July 31, 2025.</t>
  </si>
  <si>
    <t>13. There are Nil instances of deviation from the valuation principles/guidelines during the month ended as on July 31st, 2025.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</si>
  <si>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</si>
  <si>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</si>
  <si>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</si>
  <si>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</si>
  <si>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</si>
  <si>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</si>
  <si>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</si>
  <si>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</si>
  <si>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</si>
  <si>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Bankex Index TRI (Benchmark)</t>
  </si>
  <si>
    <t>Nifty 50 TRI (Additional Benchmark)</t>
  </si>
  <si>
    <t>NAV [Rs.] Per Unit (as on July 31,2025 :53.88)</t>
  </si>
  <si>
    <t>Taurus Banking &amp; Financial Services Fund - Direct Plan Growth Option</t>
  </si>
  <si>
    <t>NAV [Rs.] Per Unit (as on July 31,2025 :60.23)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</si>
</sst>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9C03D1B-6E9C-4E73-B6BA-1989620E31AC}"/>
    <cellStyle name="Hyperlink" xfId="2" builtinId="8"/>
    <cellStyle name="Normal" xfId="0" builtinId="0"/>
    <cellStyle name="Normal 2" xfId="4" xr:uid="{7FE1A9A3-D283-419D-BD7B-23C4D3921A94}"/>
    <cellStyle name="Style 1" xfId="3" xr:uid="{D13E9CE1-F664-440D-B676-9380933CF4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Banking.jpg">
          <a:extLst>
            <a:ext uri="{FF2B5EF4-FFF2-40B4-BE49-F238E27FC236}">
              <a16:creationId xmlns:a16="http://schemas.microsoft.com/office/drawing/2014/main" id="{2EEA3E6B-DC5C-4A81-B2B5-D9AD281C0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ul_2025\Final\TMF_Monthly_Portfolio_Report_Jul_25.xls" TargetMode="External"/><Relationship Id="rId1" Type="http://schemas.openxmlformats.org/officeDocument/2006/relationships/externalLinkPath" Target="file:///Q:\5.TMF\Reporting\Monthly%20Reports\Monthly%20Portfolio\2025-26\Jul_2025\Final\TMF_Monthly_Portfolio_Report_Jul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590F-0BA7-4BC5-A3F8-533ADB8DB751}">
  <dimension ref="A1:BB98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45869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17739</v>
      </c>
      <c r="H10" s="32">
        <v>262.82</v>
      </c>
      <c r="I10" s="32">
        <v>22.22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12948</v>
      </c>
      <c r="H11" s="32">
        <v>261.38</v>
      </c>
      <c r="I11" s="32">
        <v>22.1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16534</v>
      </c>
      <c r="H12" s="32">
        <v>131.69</v>
      </c>
      <c r="I12" s="32">
        <v>11.13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11341</v>
      </c>
      <c r="H13" s="32">
        <v>121.16</v>
      </c>
      <c r="I13" s="32">
        <v>10.24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5289</v>
      </c>
      <c r="H14" s="32">
        <v>104.65</v>
      </c>
      <c r="I14" s="32">
        <v>8.85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34</v>
      </c>
      <c r="G15" s="31">
        <v>14288</v>
      </c>
      <c r="H15" s="32">
        <v>58.58</v>
      </c>
      <c r="I15" s="32">
        <v>4.95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34</v>
      </c>
      <c r="G16" s="31">
        <v>300</v>
      </c>
      <c r="H16" s="32">
        <v>41.97</v>
      </c>
      <c r="I16" s="32">
        <v>3.55</v>
      </c>
      <c r="J16" s="33"/>
    </row>
    <row r="17" spans="2:10" x14ac:dyDescent="0.25">
      <c r="B17" s="1" t="s">
        <v>38</v>
      </c>
      <c r="C17" s="20" t="s">
        <v>39</v>
      </c>
      <c r="D17" s="29" t="s">
        <v>40</v>
      </c>
      <c r="E17" s="30"/>
      <c r="F17" s="30" t="s">
        <v>18</v>
      </c>
      <c r="G17" s="31">
        <v>10658</v>
      </c>
      <c r="H17" s="32">
        <v>25.35</v>
      </c>
      <c r="I17" s="32">
        <v>2.14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44</v>
      </c>
      <c r="G18" s="31">
        <v>5704</v>
      </c>
      <c r="H18" s="32">
        <v>22.37</v>
      </c>
      <c r="I18" s="32">
        <v>1.89</v>
      </c>
      <c r="J18" s="33"/>
    </row>
    <row r="19" spans="2:10" x14ac:dyDescent="0.25">
      <c r="B19" s="1" t="s">
        <v>45</v>
      </c>
      <c r="C19" s="20" t="s">
        <v>46</v>
      </c>
      <c r="D19" s="29" t="s">
        <v>47</v>
      </c>
      <c r="E19" s="30"/>
      <c r="F19" s="30" t="s">
        <v>18</v>
      </c>
      <c r="G19" s="31">
        <v>75000</v>
      </c>
      <c r="H19" s="32">
        <v>22.28</v>
      </c>
      <c r="I19" s="32">
        <v>1.88</v>
      </c>
      <c r="J19" s="33"/>
    </row>
    <row r="20" spans="2:10" x14ac:dyDescent="0.25">
      <c r="B20" s="1" t="s">
        <v>48</v>
      </c>
      <c r="C20" s="20" t="s">
        <v>49</v>
      </c>
      <c r="D20" s="29" t="s">
        <v>50</v>
      </c>
      <c r="E20" s="30"/>
      <c r="F20" s="30" t="s">
        <v>34</v>
      </c>
      <c r="G20" s="31">
        <v>3254</v>
      </c>
      <c r="H20" s="32">
        <v>20.53</v>
      </c>
      <c r="I20" s="32">
        <v>1.74</v>
      </c>
      <c r="J20" s="33"/>
    </row>
    <row r="21" spans="2:10" x14ac:dyDescent="0.25">
      <c r="B21" s="1" t="s">
        <v>51</v>
      </c>
      <c r="C21" s="20" t="s">
        <v>52</v>
      </c>
      <c r="D21" s="29" t="s">
        <v>53</v>
      </c>
      <c r="E21" s="30"/>
      <c r="F21" s="30" t="s">
        <v>18</v>
      </c>
      <c r="G21" s="31">
        <v>18875</v>
      </c>
      <c r="H21" s="32">
        <v>20.239999999999998</v>
      </c>
      <c r="I21" s="32">
        <v>1.71</v>
      </c>
      <c r="J21" s="33"/>
    </row>
    <row r="22" spans="2:10" x14ac:dyDescent="0.25">
      <c r="B22" s="1" t="s">
        <v>54</v>
      </c>
      <c r="C22" s="20" t="s">
        <v>55</v>
      </c>
      <c r="D22" s="29" t="s">
        <v>56</v>
      </c>
      <c r="E22" s="30"/>
      <c r="F22" s="30" t="s">
        <v>34</v>
      </c>
      <c r="G22" s="31">
        <v>1601</v>
      </c>
      <c r="H22" s="32">
        <v>19.98</v>
      </c>
      <c r="I22" s="32">
        <v>1.69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18</v>
      </c>
      <c r="G23" s="31">
        <v>10512</v>
      </c>
      <c r="H23" s="32">
        <v>13.77</v>
      </c>
      <c r="I23" s="32">
        <v>1.1599999999999999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44</v>
      </c>
      <c r="G24" s="31">
        <v>1393</v>
      </c>
      <c r="H24" s="32">
        <v>12.47</v>
      </c>
      <c r="I24" s="32">
        <v>1.05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18</v>
      </c>
      <c r="G25" s="31">
        <v>4025</v>
      </c>
      <c r="H25" s="32">
        <v>10.74</v>
      </c>
      <c r="I25" s="32">
        <v>0.91</v>
      </c>
      <c r="J25" s="33"/>
    </row>
    <row r="26" spans="2:10" x14ac:dyDescent="0.25">
      <c r="C26" s="28" t="s">
        <v>66</v>
      </c>
      <c r="D26" s="29"/>
      <c r="E26" s="30"/>
      <c r="F26" s="30"/>
      <c r="G26" s="31"/>
      <c r="H26" s="35">
        <v>1149.98</v>
      </c>
      <c r="I26" s="35">
        <v>97.21</v>
      </c>
      <c r="J26" s="33"/>
    </row>
    <row r="27" spans="2:10" x14ac:dyDescent="0.25">
      <c r="C27" s="20"/>
      <c r="D27" s="29"/>
      <c r="E27" s="30"/>
      <c r="F27" s="30"/>
      <c r="G27" s="31"/>
      <c r="H27" s="32"/>
      <c r="I27" s="32"/>
      <c r="J27" s="33"/>
    </row>
    <row r="28" spans="2:10" x14ac:dyDescent="0.25">
      <c r="C28" s="28" t="s">
        <v>67</v>
      </c>
      <c r="D28" s="29"/>
      <c r="E28" s="30"/>
      <c r="F28" s="30"/>
      <c r="G28" s="31"/>
      <c r="H28" s="32" t="s">
        <v>68</v>
      </c>
      <c r="I28" s="32" t="s">
        <v>68</v>
      </c>
      <c r="J28" s="33"/>
    </row>
    <row r="29" spans="2:10" x14ac:dyDescent="0.25">
      <c r="C29" s="20"/>
      <c r="D29" s="29"/>
      <c r="E29" s="30"/>
      <c r="F29" s="30"/>
      <c r="G29" s="31"/>
      <c r="H29" s="32"/>
      <c r="I29" s="32"/>
      <c r="J29" s="33"/>
    </row>
    <row r="30" spans="2:10" x14ac:dyDescent="0.25">
      <c r="C30" s="28" t="s">
        <v>69</v>
      </c>
      <c r="D30" s="29"/>
      <c r="E30" s="30"/>
      <c r="F30" s="30"/>
      <c r="G30" s="31"/>
      <c r="H30" s="32" t="s">
        <v>68</v>
      </c>
      <c r="I30" s="32" t="s">
        <v>68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70</v>
      </c>
      <c r="D32" s="29"/>
      <c r="E32" s="30"/>
      <c r="F32" s="30"/>
      <c r="G32" s="31"/>
      <c r="H32" s="32"/>
      <c r="I32" s="32"/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71</v>
      </c>
      <c r="D34" s="29"/>
      <c r="E34" s="30"/>
      <c r="F34" s="30"/>
      <c r="G34" s="31"/>
      <c r="H34" s="32" t="s">
        <v>68</v>
      </c>
      <c r="I34" s="32" t="s">
        <v>68</v>
      </c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72</v>
      </c>
      <c r="D36" s="29"/>
      <c r="E36" s="30"/>
      <c r="F36" s="30"/>
      <c r="G36" s="31"/>
      <c r="H36" s="32" t="s">
        <v>68</v>
      </c>
      <c r="I36" s="32" t="s">
        <v>68</v>
      </c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73</v>
      </c>
      <c r="D38" s="29"/>
      <c r="E38" s="30"/>
      <c r="F38" s="30"/>
      <c r="G38" s="31"/>
      <c r="H38" s="32" t="s">
        <v>68</v>
      </c>
      <c r="I38" s="32" t="s">
        <v>68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74</v>
      </c>
      <c r="D40" s="29"/>
      <c r="E40" s="30"/>
      <c r="F40" s="30"/>
      <c r="G40" s="31"/>
      <c r="H40" s="32" t="s">
        <v>68</v>
      </c>
      <c r="I40" s="32" t="s">
        <v>68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75</v>
      </c>
      <c r="D42" s="29"/>
      <c r="E42" s="30"/>
      <c r="F42" s="30"/>
      <c r="G42" s="31"/>
      <c r="H42" s="32" t="s">
        <v>68</v>
      </c>
      <c r="I42" s="32" t="s">
        <v>68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76</v>
      </c>
      <c r="D44" s="29"/>
      <c r="E44" s="30"/>
      <c r="F44" s="30"/>
      <c r="G44" s="31"/>
      <c r="H44" s="32"/>
      <c r="I44" s="32"/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77</v>
      </c>
      <c r="D46" s="29"/>
      <c r="E46" s="30"/>
      <c r="F46" s="30"/>
      <c r="G46" s="31"/>
      <c r="H46" s="32" t="s">
        <v>68</v>
      </c>
      <c r="I46" s="32" t="s">
        <v>68</v>
      </c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78</v>
      </c>
      <c r="D48" s="29"/>
      <c r="E48" s="30"/>
      <c r="F48" s="30"/>
      <c r="G48" s="31"/>
      <c r="H48" s="32" t="s">
        <v>68</v>
      </c>
      <c r="I48" s="32" t="s">
        <v>68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79</v>
      </c>
      <c r="D50" s="29"/>
      <c r="E50" s="30"/>
      <c r="F50" s="30"/>
      <c r="G50" s="31"/>
      <c r="H50" s="32" t="s">
        <v>68</v>
      </c>
      <c r="I50" s="32" t="s">
        <v>68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80</v>
      </c>
      <c r="D52" s="29"/>
      <c r="E52" s="30"/>
      <c r="F52" s="30"/>
      <c r="G52" s="31"/>
      <c r="H52" s="32" t="s">
        <v>68</v>
      </c>
      <c r="I52" s="32" t="s">
        <v>68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81</v>
      </c>
      <c r="D54" s="29"/>
      <c r="E54" s="30"/>
      <c r="F54" s="30"/>
      <c r="G54" s="31"/>
      <c r="H54" s="32"/>
      <c r="I54" s="32"/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82</v>
      </c>
      <c r="D56" s="29"/>
      <c r="E56" s="30"/>
      <c r="F56" s="30"/>
      <c r="G56" s="31"/>
      <c r="H56" s="32" t="s">
        <v>68</v>
      </c>
      <c r="I56" s="32" t="s">
        <v>68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83</v>
      </c>
      <c r="D58" s="29"/>
      <c r="E58" s="30"/>
      <c r="F58" s="30"/>
      <c r="G58" s="31"/>
      <c r="H58" s="32" t="s">
        <v>68</v>
      </c>
      <c r="I58" s="32" t="s">
        <v>68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84</v>
      </c>
      <c r="D60" s="29"/>
      <c r="E60" s="30"/>
      <c r="F60" s="30"/>
      <c r="G60" s="31"/>
      <c r="H60" s="32" t="s">
        <v>68</v>
      </c>
      <c r="I60" s="32" t="s">
        <v>68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85</v>
      </c>
      <c r="D62" s="29"/>
      <c r="E62" s="30"/>
      <c r="F62" s="30"/>
      <c r="G62" s="31"/>
      <c r="H62" s="32" t="s">
        <v>68</v>
      </c>
      <c r="I62" s="32" t="s">
        <v>68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86</v>
      </c>
      <c r="D64" s="29"/>
      <c r="E64" s="30"/>
      <c r="F64" s="30"/>
      <c r="G64" s="31"/>
      <c r="H64" s="32" t="s">
        <v>68</v>
      </c>
      <c r="I64" s="32" t="s">
        <v>68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87</v>
      </c>
      <c r="D66" s="29"/>
      <c r="E66" s="30"/>
      <c r="F66" s="30"/>
      <c r="G66" s="31"/>
      <c r="H66" s="32" t="s">
        <v>68</v>
      </c>
      <c r="I66" s="32" t="s">
        <v>68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A68" s="26"/>
      <c r="B68" s="27"/>
      <c r="C68" s="28" t="s">
        <v>88</v>
      </c>
      <c r="D68" s="29"/>
      <c r="E68" s="30"/>
      <c r="F68" s="30"/>
      <c r="G68" s="31"/>
      <c r="H68" s="32"/>
      <c r="I68" s="32"/>
      <c r="J68" s="33"/>
    </row>
    <row r="69" spans="1:10" x14ac:dyDescent="0.25">
      <c r="B69" s="1"/>
      <c r="C69" s="20" t="s">
        <v>89</v>
      </c>
      <c r="D69" s="29"/>
      <c r="E69" s="30"/>
      <c r="F69" s="30"/>
      <c r="G69" s="31"/>
      <c r="H69" s="32">
        <v>33</v>
      </c>
      <c r="I69" s="32">
        <v>2.79</v>
      </c>
      <c r="J69" s="33"/>
    </row>
    <row r="70" spans="1:10" x14ac:dyDescent="0.25">
      <c r="C70" s="28" t="s">
        <v>66</v>
      </c>
      <c r="D70" s="29"/>
      <c r="E70" s="30"/>
      <c r="F70" s="30"/>
      <c r="G70" s="31"/>
      <c r="H70" s="35">
        <v>33</v>
      </c>
      <c r="I70" s="35">
        <v>2.79</v>
      </c>
      <c r="J70" s="33"/>
    </row>
    <row r="71" spans="1:10" x14ac:dyDescent="0.25">
      <c r="C71" s="20"/>
      <c r="D71" s="29"/>
      <c r="E71" s="30"/>
      <c r="F71" s="30"/>
      <c r="G71" s="31"/>
      <c r="H71" s="32"/>
      <c r="I71" s="32"/>
      <c r="J71" s="33"/>
    </row>
    <row r="72" spans="1:10" ht="14.25" thickBot="1" x14ac:dyDescent="0.3">
      <c r="C72" s="36" t="s">
        <v>90</v>
      </c>
      <c r="D72" s="37"/>
      <c r="E72" s="38"/>
      <c r="F72" s="39"/>
      <c r="G72" s="40"/>
      <c r="H72" s="41">
        <v>1182.98</v>
      </c>
      <c r="I72" s="41">
        <f>SUMIFS(I:I,C:C,"Total")</f>
        <v>100</v>
      </c>
      <c r="J72" s="42"/>
    </row>
    <row r="75" spans="1:10" x14ac:dyDescent="0.25">
      <c r="C75" s="11" t="s">
        <v>91</v>
      </c>
    </row>
    <row r="76" spans="1:10" x14ac:dyDescent="0.25">
      <c r="C76" s="2" t="s">
        <v>92</v>
      </c>
    </row>
    <row r="77" spans="1:10" x14ac:dyDescent="0.25">
      <c r="C77" s="2" t="s">
        <v>93</v>
      </c>
    </row>
    <row r="78" spans="1:10" x14ac:dyDescent="0.25">
      <c r="C78" s="2" t="s">
        <v>94</v>
      </c>
    </row>
    <row r="79" spans="1:10" x14ac:dyDescent="0.25">
      <c r="C79" s="2" t="s">
        <v>95</v>
      </c>
    </row>
    <row r="80" spans="1:10" x14ac:dyDescent="0.25">
      <c r="C80" s="2" t="s">
        <v>96</v>
      </c>
    </row>
    <row r="81" spans="3:5" x14ac:dyDescent="0.25">
      <c r="C81" s="2" t="s">
        <v>97</v>
      </c>
    </row>
    <row r="82" spans="3:5" x14ac:dyDescent="0.25">
      <c r="D82" s="2" t="s">
        <v>98</v>
      </c>
    </row>
    <row r="83" spans="3:5" x14ac:dyDescent="0.25">
      <c r="C83" s="2" t="s">
        <v>99</v>
      </c>
      <c r="D83" s="2" t="s">
        <v>100</v>
      </c>
      <c r="E83" s="2" t="s">
        <v>100</v>
      </c>
    </row>
    <row r="84" spans="3:5" x14ac:dyDescent="0.25">
      <c r="D84" s="2" t="s">
        <v>101</v>
      </c>
      <c r="E84" s="2" t="s">
        <v>102</v>
      </c>
    </row>
    <row r="85" spans="3:5" x14ac:dyDescent="0.25">
      <c r="C85" s="2" t="s">
        <v>103</v>
      </c>
      <c r="D85" s="2">
        <v>49.48</v>
      </c>
      <c r="E85" s="2">
        <v>48.23</v>
      </c>
    </row>
    <row r="86" spans="3:5" x14ac:dyDescent="0.25">
      <c r="C86" s="2" t="s">
        <v>104</v>
      </c>
      <c r="D86" s="2">
        <v>55.27</v>
      </c>
      <c r="E86" s="2">
        <v>53.88</v>
      </c>
    </row>
    <row r="87" spans="3:5" x14ac:dyDescent="0.25">
      <c r="C87" s="2" t="s">
        <v>105</v>
      </c>
      <c r="D87" s="2">
        <v>61.03</v>
      </c>
      <c r="E87" s="2">
        <v>59.53</v>
      </c>
    </row>
    <row r="88" spans="3:5" x14ac:dyDescent="0.25">
      <c r="C88" s="2" t="s">
        <v>106</v>
      </c>
      <c r="D88" s="2">
        <v>61.74</v>
      </c>
      <c r="E88" s="2">
        <v>60.23</v>
      </c>
    </row>
    <row r="90" spans="3:5" x14ac:dyDescent="0.25">
      <c r="C90" s="2" t="s">
        <v>107</v>
      </c>
    </row>
    <row r="91" spans="3:5" x14ac:dyDescent="0.25">
      <c r="C91" s="2" t="s">
        <v>108</v>
      </c>
    </row>
    <row r="92" spans="3:5" x14ac:dyDescent="0.25">
      <c r="C92" s="2" t="s">
        <v>109</v>
      </c>
    </row>
    <row r="93" spans="3:5" x14ac:dyDescent="0.25">
      <c r="C93" s="2" t="s">
        <v>110</v>
      </c>
    </row>
    <row r="94" spans="3:5" x14ac:dyDescent="0.25">
      <c r="C94" s="2" t="s">
        <v>111</v>
      </c>
    </row>
    <row r="95" spans="3:5" x14ac:dyDescent="0.25">
      <c r="C95" s="2" t="s">
        <v>112</v>
      </c>
    </row>
    <row r="96" spans="3:5" x14ac:dyDescent="0.25">
      <c r="C96" s="2" t="s">
        <v>113</v>
      </c>
    </row>
    <row r="97" spans="3:3" x14ac:dyDescent="0.25">
      <c r="C97" s="2" t="s">
        <v>114</v>
      </c>
    </row>
    <row r="98" spans="3:3" x14ac:dyDescent="0.25">
      <c r="C98" s="2" t="s">
        <v>115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A9777-1BA8-4953-B604-A4B3899DEB07}">
  <dimension ref="C3:K17"/>
  <sheetViews>
    <sheetView workbookViewId="0"/>
  </sheetViews>
  <sheetFormatPr defaultRowHeight="15" x14ac:dyDescent="0.25"/>
  <cols>
    <col min="3" max="3" width="40.7109375" customWidth="1"/>
    <col min="4" max="4" width="6.8554687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116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117</v>
      </c>
      <c r="D4" s="46" t="s">
        <v>118</v>
      </c>
      <c r="E4" s="46"/>
      <c r="F4" s="46" t="s">
        <v>119</v>
      </c>
      <c r="G4" s="46"/>
      <c r="H4" s="46" t="s">
        <v>120</v>
      </c>
      <c r="I4" s="46"/>
      <c r="J4" s="47" t="s">
        <v>121</v>
      </c>
      <c r="K4" s="47"/>
    </row>
    <row r="5" spans="3:11" ht="63.75" x14ac:dyDescent="0.25">
      <c r="C5" s="48"/>
      <c r="D5" s="49" t="s">
        <v>122</v>
      </c>
      <c r="E5" s="49" t="s">
        <v>123</v>
      </c>
      <c r="F5" s="49" t="s">
        <v>122</v>
      </c>
      <c r="G5" s="49" t="s">
        <v>123</v>
      </c>
      <c r="H5" s="49" t="s">
        <v>122</v>
      </c>
      <c r="I5" s="49" t="s">
        <v>123</v>
      </c>
      <c r="J5" s="50" t="s">
        <v>122</v>
      </c>
      <c r="K5" s="50" t="s">
        <v>123</v>
      </c>
    </row>
    <row r="6" spans="3:11" x14ac:dyDescent="0.25">
      <c r="C6" s="51" t="s">
        <v>124</v>
      </c>
      <c r="D6" s="52">
        <v>5.6677999999999997</v>
      </c>
      <c r="E6" s="52">
        <v>10566.777799568543</v>
      </c>
      <c r="F6" s="52">
        <v>16.538</v>
      </c>
      <c r="G6" s="52">
        <v>15847.058823529413</v>
      </c>
      <c r="H6" s="52">
        <v>19.903099999999998</v>
      </c>
      <c r="I6" s="52">
        <v>24795.213989875749</v>
      </c>
      <c r="J6" s="52">
        <v>13.608599999999999</v>
      </c>
      <c r="K6" s="52">
        <v>53880</v>
      </c>
    </row>
    <row r="7" spans="3:11" x14ac:dyDescent="0.25">
      <c r="C7" s="51" t="s">
        <v>125</v>
      </c>
      <c r="D7" s="52">
        <v>6.4612613000000003</v>
      </c>
      <c r="E7" s="52">
        <v>10803.07</v>
      </c>
      <c r="F7" s="52">
        <v>13.873783</v>
      </c>
      <c r="G7" s="52">
        <v>17023.376944638265</v>
      </c>
      <c r="H7" s="52">
        <v>21.181581000000001</v>
      </c>
      <c r="I7" s="52">
        <v>26290.992601980066</v>
      </c>
      <c r="J7" s="52">
        <v>15.224788</v>
      </c>
      <c r="K7" s="52">
        <v>66629.950178568135</v>
      </c>
    </row>
    <row r="8" spans="3:11" x14ac:dyDescent="0.25">
      <c r="C8" s="51" t="s">
        <v>126</v>
      </c>
      <c r="D8" s="52">
        <v>0.53949999999999998</v>
      </c>
      <c r="E8" s="52">
        <v>10053.950000000001</v>
      </c>
      <c r="F8" s="52">
        <v>14.2911</v>
      </c>
      <c r="G8" s="52">
        <v>14929.224122774041</v>
      </c>
      <c r="H8" s="52">
        <v>18.876100000000001</v>
      </c>
      <c r="I8" s="52">
        <v>23739.564258033275</v>
      </c>
      <c r="J8" s="52">
        <v>14.5626</v>
      </c>
      <c r="K8" s="52">
        <v>60168.026981505071</v>
      </c>
    </row>
    <row r="9" spans="3:11" x14ac:dyDescent="0.25">
      <c r="C9" s="51" t="s">
        <v>127</v>
      </c>
      <c r="D9" s="53">
        <v>50.99</v>
      </c>
      <c r="E9" s="54"/>
      <c r="F9" s="53">
        <v>34</v>
      </c>
      <c r="G9" s="54"/>
      <c r="H9" s="53">
        <v>21.73</v>
      </c>
      <c r="I9" s="54"/>
      <c r="J9" s="53">
        <v>10</v>
      </c>
      <c r="K9" s="54"/>
    </row>
    <row r="11" spans="3:11" ht="15.75" x14ac:dyDescent="0.25">
      <c r="C11" s="43" t="s">
        <v>128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117</v>
      </c>
      <c r="D12" s="46" t="s">
        <v>118</v>
      </c>
      <c r="E12" s="46"/>
      <c r="F12" s="46" t="s">
        <v>119</v>
      </c>
      <c r="G12" s="46"/>
      <c r="H12" s="46" t="s">
        <v>120</v>
      </c>
      <c r="I12" s="46"/>
      <c r="J12" s="47" t="s">
        <v>121</v>
      </c>
      <c r="K12" s="47"/>
    </row>
    <row r="13" spans="3:11" ht="63.75" x14ac:dyDescent="0.25">
      <c r="C13" s="48"/>
      <c r="D13" s="49" t="s">
        <v>122</v>
      </c>
      <c r="E13" s="49" t="s">
        <v>123</v>
      </c>
      <c r="F13" s="49" t="s">
        <v>122</v>
      </c>
      <c r="G13" s="49" t="s">
        <v>123</v>
      </c>
      <c r="H13" s="49" t="s">
        <v>122</v>
      </c>
      <c r="I13" s="49" t="s">
        <v>123</v>
      </c>
      <c r="J13" s="50" t="s">
        <v>122</v>
      </c>
      <c r="K13" s="50" t="s">
        <v>123</v>
      </c>
    </row>
    <row r="14" spans="3:11" x14ac:dyDescent="0.25">
      <c r="C14" s="51" t="s">
        <v>124</v>
      </c>
      <c r="D14" s="52">
        <v>6.4886999999999997</v>
      </c>
      <c r="E14" s="52">
        <v>10648.868458274397</v>
      </c>
      <c r="F14" s="52">
        <v>17.435400000000001</v>
      </c>
      <c r="G14" s="52">
        <v>16217.016693591813</v>
      </c>
      <c r="H14" s="52">
        <v>20.843399999999999</v>
      </c>
      <c r="I14" s="52">
        <v>25783.390410958902</v>
      </c>
      <c r="J14" s="52">
        <v>12.380599999999999</v>
      </c>
      <c r="K14" s="52">
        <v>44124.542124542124</v>
      </c>
    </row>
    <row r="15" spans="3:11" x14ac:dyDescent="0.25">
      <c r="C15" s="51" t="s">
        <v>125</v>
      </c>
      <c r="D15" s="52">
        <v>6.4612613000000003</v>
      </c>
      <c r="E15" s="52">
        <v>10803.07</v>
      </c>
      <c r="F15" s="52">
        <v>13.873783</v>
      </c>
      <c r="G15" s="52">
        <v>17023.376944638265</v>
      </c>
      <c r="H15" s="52">
        <v>21.181581000000001</v>
      </c>
      <c r="I15" s="52">
        <v>26290.992601980066</v>
      </c>
      <c r="J15" s="52">
        <v>12.995104</v>
      </c>
      <c r="K15" s="52">
        <v>47630.593662326435</v>
      </c>
    </row>
    <row r="16" spans="3:11" x14ac:dyDescent="0.25">
      <c r="C16" s="51" t="s">
        <v>126</v>
      </c>
      <c r="D16" s="52">
        <v>0.53949999999999998</v>
      </c>
      <c r="E16" s="52">
        <v>10053.950000000001</v>
      </c>
      <c r="F16" s="52">
        <v>14.2911</v>
      </c>
      <c r="G16" s="52">
        <v>14929.224122774041</v>
      </c>
      <c r="H16" s="52">
        <v>18.876100000000001</v>
      </c>
      <c r="I16" s="52">
        <v>23739.564258033275</v>
      </c>
      <c r="J16" s="52">
        <v>13.2967</v>
      </c>
      <c r="K16" s="52">
        <v>48094.752817522967</v>
      </c>
    </row>
    <row r="17" spans="3:11" x14ac:dyDescent="0.25">
      <c r="C17" s="51" t="s">
        <v>129</v>
      </c>
      <c r="D17" s="53">
        <v>56.56</v>
      </c>
      <c r="E17" s="54"/>
      <c r="F17" s="53">
        <v>37.14</v>
      </c>
      <c r="G17" s="54"/>
      <c r="H17" s="53">
        <v>23.36</v>
      </c>
      <c r="I17" s="54"/>
      <c r="J17" s="53">
        <v>13.65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2025-08-06T10:37:43Z</dcterms:created>
  <dcterms:modified xsi:type="dcterms:W3CDTF">2025-08-07T07:41:00Z</dcterms:modified>
</cp:coreProperties>
</file>