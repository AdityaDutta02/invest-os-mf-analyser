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Performance'!$C$8:$C$51</definedName>
    <definedName name="XDO_?FINAL_ISIN?5?">'TEF-Risk-O-Meter &amp; Performance'!$D$10:$D$51</definedName>
    <definedName name="XDO_?FINAL_ISIN?6?">'TEF-Risk-O-Meter &amp; Performance'!$D$10:$D$93</definedName>
    <definedName name="XDO_?FINAL_MV?5?">'TEF-Risk-O-Meter &amp; Performance'!$H$10:$H$51</definedName>
    <definedName name="XDO_?FINAL_MV?6?">'TEF-Risk-O-Meter &amp; Performance'!$H$10:$H$93</definedName>
    <definedName name="XDO_?FINAL_NAME?5?">'TEF-Risk-O-Meter &amp; Performance'!$C$10:$C$51</definedName>
    <definedName name="XDO_?FINAL_NAME?6?">'TEF-Risk-O-Meter &amp; Performance'!$C$10:$C$93</definedName>
    <definedName name="XDO_?FINAL_PER_NET?5?">'TEF-Risk-O-Meter &amp; Performance'!$I$10:$I$51</definedName>
    <definedName name="XDO_?FINAL_PER_NET?6?">'TEF-Risk-O-Meter &amp; Performance'!$I$10:$I$93</definedName>
    <definedName name="XDO_?FINAL_QUANTITE?5?">'TEF-Risk-O-Meter &amp; Performance'!$G$10:$G$51</definedName>
    <definedName name="XDO_?FINAL_QUANTITE?6?">'TEF-Risk-O-Meter &amp; Performance'!$G$10:$G$93</definedName>
    <definedName name="XDO_?IND_01?5?">'TEF-Risk-O-Meter &amp; Performance'!$F$10:$F$51</definedName>
    <definedName name="XDO_?IND_01?6?">'TEF-Risk-O-Meter &amp; Performance'!$F$10:$F$93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Performance'!$C$2:$C$51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Performance'!$B$10:$B$51</definedName>
    <definedName name="XDO_?NOVAL?6?">'TEF-Risk-O-Meter &amp; Performance'!$B$10:$B$93</definedName>
    <definedName name="XDO_?NPTF?3?">'TEF-Risk-O-Meter &amp; Performance'!$D$2:$D$51</definedName>
    <definedName name="XDO_?RATING?5?">'TEF-Risk-O-Meter &amp; Performance'!$E$10:$E$51</definedName>
    <definedName name="XDO_?RATING?6?">'TEF-Risk-O-Meter &amp; Performance'!$E$10:$E$93</definedName>
    <definedName name="XDO_?REMARKS?5?">'TEF-Risk-O-Meter &amp; Performance'!$J$10:$J$51</definedName>
    <definedName name="XDO_?REMARKS?6?">'TEF-Risk-O-Meter &amp; Performance'!$J$10:$J$93</definedName>
    <definedName name="XDO_?TITL?3?">'TEF-Risk-O-Meter &amp; Performance'!$A$8:$A$51</definedName>
    <definedName name="XDO_GROUP_?G_2?3?">'TEF-Risk-O-Meter &amp; Performance'!$2:$96</definedName>
    <definedName name="XDO_GROUP_?G_3?3?">'TEF-Risk-O-Meter &amp; Performance'!$8:$95</definedName>
    <definedName name="XDO_GROUP_?G_4?5?">'TEF-Risk-O-Meter &amp; Performance'!$B$10:$IV$51</definedName>
    <definedName name="XDO_GROUP_?G_4?6?">'TEF-Risk-O-Meter &amp; Performance'!$B$93:$IV$93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6" i="1"/>
</calcChain>
</file>

<file path=xl/sharedStrings.xml><?xml version="1.0" encoding="utf-8"?>
<sst xmlns="http://schemas.openxmlformats.org/spreadsheetml/2006/main" count="279" uniqueCount="201">
  <si>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</si>
  <si>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</si>
  <si>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</si>
  <si>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</si>
  <si>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</si>
  <si>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</si>
  <si>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</si>
  <si>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</si>
  <si>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</si>
  <si>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</si>
  <si>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</si>
  <si>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</si>
  <si>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</si>
  <si>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</si>
  <si>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</si>
  <si>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</si>
  <si>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</si>
  <si>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</si>
  <si>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</si>
  <si>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</si>
  <si>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</si>
  <si>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</si>
  <si>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</si>
  <si>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100161</t>
  </si>
  <si>
    <t>Cummins India Ltd.</t>
  </si>
  <si>
    <t>INE298A01020</t>
  </si>
  <si>
    <t>Industrial Products</t>
  </si>
  <si>
    <t>100273</t>
  </si>
  <si>
    <t>Havells India Ltd.</t>
  </si>
  <si>
    <t>INE176B01034</t>
  </si>
  <si>
    <t>Consumer Durables</t>
  </si>
  <si>
    <t>100115</t>
  </si>
  <si>
    <t>Siemens Ltd.</t>
  </si>
  <si>
    <t>INE003A01024</t>
  </si>
  <si>
    <t>Electrical Equipment</t>
  </si>
  <si>
    <t>100570</t>
  </si>
  <si>
    <t>K.P.R. Mill Ltd.</t>
  </si>
  <si>
    <t>INE930H01031</t>
  </si>
  <si>
    <t>Textiles &amp; Apparels</t>
  </si>
  <si>
    <t>100235</t>
  </si>
  <si>
    <t>CRISIL Ltd.</t>
  </si>
  <si>
    <t>INE007A01025</t>
  </si>
  <si>
    <t>Finance</t>
  </si>
  <si>
    <t>100143</t>
  </si>
  <si>
    <t>Thermax Ltd.</t>
  </si>
  <si>
    <t>INE152A01029</t>
  </si>
  <si>
    <t>100008</t>
  </si>
  <si>
    <t>Sun Pharmaceutical Industries Ltd.</t>
  </si>
  <si>
    <t>INE044A01036</t>
  </si>
  <si>
    <t>Pharmaceuticals &amp; Biotechnology</t>
  </si>
  <si>
    <t>100843</t>
  </si>
  <si>
    <t>Dalmia Bharat Ltd.</t>
  </si>
  <si>
    <t>INE00R701025</t>
  </si>
  <si>
    <t>Cement &amp; Cement Products</t>
  </si>
  <si>
    <t>101081</t>
  </si>
  <si>
    <t>Suven Pharmaceuticals Ltd.</t>
  </si>
  <si>
    <t>INE03QK01018</t>
  </si>
  <si>
    <t>100032</t>
  </si>
  <si>
    <t>Tata Consultancy Services Ltd.</t>
  </si>
  <si>
    <t>INE467B01029</t>
  </si>
  <si>
    <t>100035</t>
  </si>
  <si>
    <t>NMDC Ltd.</t>
  </si>
  <si>
    <t>INE584A01023</t>
  </si>
  <si>
    <t>Minerals &amp; Mining</t>
  </si>
  <si>
    <t>100476</t>
  </si>
  <si>
    <t>Caplin Point Laboratories Ltd.</t>
  </si>
  <si>
    <t>INE475E01026</t>
  </si>
  <si>
    <t>100281</t>
  </si>
  <si>
    <t>Century Textiles &amp; Industries Ltd.</t>
  </si>
  <si>
    <t>INE055A01016</t>
  </si>
  <si>
    <t>Paper, Forest &amp; Jute Products</t>
  </si>
  <si>
    <t>100271</t>
  </si>
  <si>
    <t>Balkrishna Industries Ltd.</t>
  </si>
  <si>
    <t>INE787D01026</t>
  </si>
  <si>
    <t>Auto Components</t>
  </si>
  <si>
    <t>100571</t>
  </si>
  <si>
    <t>KNR Constructions Ltd.</t>
  </si>
  <si>
    <t>INE634I01029</t>
  </si>
  <si>
    <t>Construction</t>
  </si>
  <si>
    <t>101152</t>
  </si>
  <si>
    <t>Sumitomo Chemical India Ltd.</t>
  </si>
  <si>
    <t>INE258G01013</t>
  </si>
  <si>
    <t>Fertilizers &amp; Agrochemicals</t>
  </si>
  <si>
    <t>100821</t>
  </si>
  <si>
    <t>TTK Prestige Ltd.</t>
  </si>
  <si>
    <t>INE690A01028</t>
  </si>
  <si>
    <t>100816</t>
  </si>
  <si>
    <t>APL Apollo Tubes Ltd.</t>
  </si>
  <si>
    <t>INE702C01027</t>
  </si>
  <si>
    <t>100089</t>
  </si>
  <si>
    <t>Bharat Electronics Ltd.</t>
  </si>
  <si>
    <t>INE263A01024</t>
  </si>
  <si>
    <t>Aerospace &amp; Defense</t>
  </si>
  <si>
    <t>100260</t>
  </si>
  <si>
    <t>Solar Industries India Ltd.</t>
  </si>
  <si>
    <t>INE343H01029</t>
  </si>
  <si>
    <t>Chemicals &amp; Petrochemicals</t>
  </si>
  <si>
    <t>100707</t>
  </si>
  <si>
    <t>Cera Sanitaryware Ltd.</t>
  </si>
  <si>
    <t>INE739E01017</t>
  </si>
  <si>
    <t>100200</t>
  </si>
  <si>
    <t>Page Industries Ltd.</t>
  </si>
  <si>
    <t>INE761H01022</t>
  </si>
  <si>
    <t>100082</t>
  </si>
  <si>
    <t>Ultratech Cement Ltd.</t>
  </si>
  <si>
    <t>INE481G01011</t>
  </si>
  <si>
    <t>100282</t>
  </si>
  <si>
    <t>Blue Star Ltd.</t>
  </si>
  <si>
    <t>INE472A01039</t>
  </si>
  <si>
    <t>100382</t>
  </si>
  <si>
    <t>Fortis Healthcare Ltd.</t>
  </si>
  <si>
    <t>INE061F01013</t>
  </si>
  <si>
    <t>Healthcare Services</t>
  </si>
  <si>
    <t>100090</t>
  </si>
  <si>
    <t>Bharat Forge Ltd.</t>
  </si>
  <si>
    <t>INE465A01025</t>
  </si>
  <si>
    <t>100203</t>
  </si>
  <si>
    <t>Greaves Cotton Ltd.</t>
  </si>
  <si>
    <t>INE224A01026</t>
  </si>
  <si>
    <t>100406</t>
  </si>
  <si>
    <t>KSB Ltd.</t>
  </si>
  <si>
    <t>INE999A01015</t>
  </si>
  <si>
    <t>101521</t>
  </si>
  <si>
    <t>Lux Industries Ltd.</t>
  </si>
  <si>
    <t>INE150G01020</t>
  </si>
  <si>
    <t>100133</t>
  </si>
  <si>
    <t>Oracle Financial Services Software Ltd.</t>
  </si>
  <si>
    <t>INE881D01027</t>
  </si>
  <si>
    <t>100398</t>
  </si>
  <si>
    <t>Aditya Birla Fashion and Retail Ltd.</t>
  </si>
  <si>
    <t>INE647O01011</t>
  </si>
  <si>
    <t>Retailing</t>
  </si>
  <si>
    <t>100056</t>
  </si>
  <si>
    <t>Supreme Industries Ltd.</t>
  </si>
  <si>
    <t>INE195A01028</t>
  </si>
  <si>
    <t>100426</t>
  </si>
  <si>
    <t>Relaxo Footwears Ltd.</t>
  </si>
  <si>
    <t>INE131B01039</t>
  </si>
  <si>
    <t>100461</t>
  </si>
  <si>
    <t>Astral Limited</t>
  </si>
  <si>
    <t>INE006I01046</t>
  </si>
  <si>
    <t>100086</t>
  </si>
  <si>
    <t>Bata India Ltd.</t>
  </si>
  <si>
    <t>INE176A01028</t>
  </si>
  <si>
    <t>100442</t>
  </si>
  <si>
    <t>Coromandel International Ltd.</t>
  </si>
  <si>
    <t>INE169A01031</t>
  </si>
  <si>
    <t>100514</t>
  </si>
  <si>
    <t>Grindwell Norton Ltd.</t>
  </si>
  <si>
    <t>INE536A01023</t>
  </si>
  <si>
    <t>100145</t>
  </si>
  <si>
    <t>Atul Ltd.</t>
  </si>
  <si>
    <t>INE100A01010</t>
  </si>
  <si>
    <t>100140</t>
  </si>
  <si>
    <t>Shree Cement Ltd.</t>
  </si>
  <si>
    <t>INE070A01015</t>
  </si>
  <si>
    <t>100068</t>
  </si>
  <si>
    <t>Kansai Nerolac Paints Ltd.</t>
  </si>
  <si>
    <t>INE531A01024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</si>
  <si>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</si>
  <si>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</si>
  <si>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</si>
  <si>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</si>
  <si>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</si>
  <si>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</si>
  <si>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</si>
  <si>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</si>
  <si>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</si>
  <si>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</si>
  <si>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</si>
  <si>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</si>
  <si>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</si>
  <si>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</si>
  <si>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</si>
  <si>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</si>
  <si>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</si>
  <si>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</si>
  <si>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</si>
  <si>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</si>
  <si>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</si>
  <si>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</si>
  <si>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</si>
  <si>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</si>
  <si>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</si>
  <si>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</si>
  <si>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</si>
  <si>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</si>
  <si>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</si>
  <si>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</si>
  <si>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</si>
  <si>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</si>
  <si>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</si>
  <si>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</si>
  <si>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</si>
  <si>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</si>
  <si>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</si>
  <si>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</si>
  <si>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</si>
  <si>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April 29, 2022 : 83.97)</t>
  </si>
  <si>
    <t>Taurus Ethical Fund - Direct Plan Growth Option</t>
  </si>
  <si>
    <t>NAV [Rs.] Per Unit  (as on April 29, 2022 : 90.91)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</si>
</sst>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2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21767</v>
      </c>
      <c r="H10" s="32">
        <v>607.47</v>
      </c>
      <c r="I10" s="32">
        <v>7.71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22296</v>
      </c>
      <c r="H11" s="32">
        <v>349.58</v>
      </c>
      <c r="I11" s="32">
        <v>4.4400000000000004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29492</v>
      </c>
      <c r="H12" s="32">
        <v>303.77</v>
      </c>
      <c r="I12" s="32">
        <v>3.86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22807</v>
      </c>
      <c r="H13" s="32">
        <v>299.31</v>
      </c>
      <c r="I13" s="32">
        <v>3.8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12834</v>
      </c>
      <c r="H14" s="32">
        <v>291.29000000000002</v>
      </c>
      <c r="I14" s="32">
        <v>3.7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44843</v>
      </c>
      <c r="H15" s="32">
        <v>282.60000000000002</v>
      </c>
      <c r="I15" s="32">
        <v>3.59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7656</v>
      </c>
      <c r="H16" s="32">
        <v>282.14999999999998</v>
      </c>
      <c r="I16" s="32">
        <v>3.58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34</v>
      </c>
      <c r="G17" s="31">
        <v>13051</v>
      </c>
      <c r="H17" s="32">
        <v>276.88</v>
      </c>
      <c r="I17" s="32">
        <v>3.51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29418</v>
      </c>
      <c r="H18" s="32">
        <v>273.2</v>
      </c>
      <c r="I18" s="32">
        <v>3.47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17833</v>
      </c>
      <c r="H19" s="32">
        <v>270.76</v>
      </c>
      <c r="I19" s="32">
        <v>3.44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49</v>
      </c>
      <c r="G20" s="31">
        <v>44544</v>
      </c>
      <c r="H20" s="32">
        <v>268.14999999999998</v>
      </c>
      <c r="I20" s="32">
        <v>3.4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22</v>
      </c>
      <c r="G21" s="31">
        <v>7479</v>
      </c>
      <c r="H21" s="32">
        <v>265.51</v>
      </c>
      <c r="I21" s="32">
        <v>3.37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142597</v>
      </c>
      <c r="H22" s="32">
        <v>229.15</v>
      </c>
      <c r="I22" s="32">
        <v>2.91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49</v>
      </c>
      <c r="G23" s="31">
        <v>30097</v>
      </c>
      <c r="H23" s="32">
        <v>212.38</v>
      </c>
      <c r="I23" s="32">
        <v>2.7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22030</v>
      </c>
      <c r="H24" s="32">
        <v>184.15</v>
      </c>
      <c r="I24" s="32">
        <v>2.34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8315</v>
      </c>
      <c r="H25" s="32">
        <v>178.42</v>
      </c>
      <c r="I25" s="32">
        <v>2.2599999999999998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65609</v>
      </c>
      <c r="H26" s="32">
        <v>177.7</v>
      </c>
      <c r="I26" s="32">
        <v>2.2599999999999998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41311</v>
      </c>
      <c r="H27" s="32">
        <v>177.24</v>
      </c>
      <c r="I27" s="32">
        <v>2.25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30</v>
      </c>
      <c r="G28" s="31">
        <v>20820</v>
      </c>
      <c r="H28" s="32">
        <v>176.77</v>
      </c>
      <c r="I28" s="32">
        <v>2.2400000000000002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26</v>
      </c>
      <c r="G29" s="31">
        <v>16263</v>
      </c>
      <c r="H29" s="32">
        <v>166.59</v>
      </c>
      <c r="I29" s="32">
        <v>2.11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68290</v>
      </c>
      <c r="H30" s="32">
        <v>162.53</v>
      </c>
      <c r="I30" s="32">
        <v>2.06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5882</v>
      </c>
      <c r="H31" s="32">
        <v>162.29</v>
      </c>
      <c r="I31" s="32">
        <v>2.06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30</v>
      </c>
      <c r="G32" s="31">
        <v>3731</v>
      </c>
      <c r="H32" s="32">
        <v>156.33000000000001</v>
      </c>
      <c r="I32" s="32">
        <v>1.98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38</v>
      </c>
      <c r="G33" s="31">
        <v>340</v>
      </c>
      <c r="H33" s="32">
        <v>155.22</v>
      </c>
      <c r="I33" s="32">
        <v>1.97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53</v>
      </c>
      <c r="G34" s="31">
        <v>2313</v>
      </c>
      <c r="H34" s="32">
        <v>153.33000000000001</v>
      </c>
      <c r="I34" s="32">
        <v>1.95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30</v>
      </c>
      <c r="G35" s="31">
        <v>13239</v>
      </c>
      <c r="H35" s="32">
        <v>150.79</v>
      </c>
      <c r="I35" s="32">
        <v>1.91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55530</v>
      </c>
      <c r="H36" s="32">
        <v>148.13</v>
      </c>
      <c r="I36" s="32">
        <v>1.88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26</v>
      </c>
      <c r="G37" s="31">
        <v>20938</v>
      </c>
      <c r="H37" s="32">
        <v>146.83000000000001</v>
      </c>
      <c r="I37" s="32">
        <v>1.86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26</v>
      </c>
      <c r="G38" s="31">
        <v>81492</v>
      </c>
      <c r="H38" s="32">
        <v>135.11000000000001</v>
      </c>
      <c r="I38" s="32">
        <v>1.71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26</v>
      </c>
      <c r="G39" s="31">
        <v>9845</v>
      </c>
      <c r="H39" s="32">
        <v>130.34</v>
      </c>
      <c r="I39" s="32">
        <v>1.65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38</v>
      </c>
      <c r="G40" s="31">
        <v>5497</v>
      </c>
      <c r="H40" s="32">
        <v>127.38</v>
      </c>
      <c r="I40" s="32">
        <v>1.62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22</v>
      </c>
      <c r="G41" s="31">
        <v>3334</v>
      </c>
      <c r="H41" s="32">
        <v>118.73</v>
      </c>
      <c r="I41" s="32">
        <v>1.51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40144</v>
      </c>
      <c r="H42" s="32">
        <v>114.75</v>
      </c>
      <c r="I42" s="32">
        <v>1.46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26</v>
      </c>
      <c r="G43" s="31">
        <v>5369</v>
      </c>
      <c r="H43" s="32">
        <v>104.68</v>
      </c>
      <c r="I43" s="32">
        <v>1.33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30</v>
      </c>
      <c r="G44" s="31">
        <v>8067</v>
      </c>
      <c r="H44" s="32">
        <v>87.19</v>
      </c>
      <c r="I44" s="32">
        <v>1.1100000000000001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26</v>
      </c>
      <c r="G45" s="31">
        <v>3932</v>
      </c>
      <c r="H45" s="32">
        <v>84.66</v>
      </c>
      <c r="I45" s="32">
        <v>1.07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30</v>
      </c>
      <c r="G46" s="31">
        <v>4249</v>
      </c>
      <c r="H46" s="32">
        <v>82.8</v>
      </c>
      <c r="I46" s="32">
        <v>1.05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82</v>
      </c>
      <c r="G47" s="31">
        <v>8984</v>
      </c>
      <c r="H47" s="32">
        <v>80.31</v>
      </c>
      <c r="I47" s="32">
        <v>1.02</v>
      </c>
      <c r="J47" s="33"/>
    </row>
    <row r="48" spans="2:10">
      <c r="B48" s="1" t="s">
        <v>147</v>
      </c>
      <c r="C48" s="20" t="s">
        <v>148</v>
      </c>
      <c r="D48" s="29" t="s">
        <v>149</v>
      </c>
      <c r="E48" s="30"/>
      <c r="F48" s="30" t="s">
        <v>26</v>
      </c>
      <c r="G48" s="31">
        <v>4464</v>
      </c>
      <c r="H48" s="32">
        <v>76.569999999999993</v>
      </c>
      <c r="I48" s="32">
        <v>0.97</v>
      </c>
      <c r="J48" s="33"/>
    </row>
    <row r="49" spans="2:10">
      <c r="B49" s="1" t="s">
        <v>150</v>
      </c>
      <c r="C49" s="20" t="s">
        <v>151</v>
      </c>
      <c r="D49" s="29" t="s">
        <v>152</v>
      </c>
      <c r="E49" s="30"/>
      <c r="F49" s="30" t="s">
        <v>96</v>
      </c>
      <c r="G49" s="31">
        <v>663</v>
      </c>
      <c r="H49" s="32">
        <v>59.4</v>
      </c>
      <c r="I49" s="32">
        <v>0.75</v>
      </c>
      <c r="J49" s="33"/>
    </row>
    <row r="50" spans="2:10">
      <c r="B50" s="1" t="s">
        <v>153</v>
      </c>
      <c r="C50" s="20" t="s">
        <v>154</v>
      </c>
      <c r="D50" s="29" t="s">
        <v>155</v>
      </c>
      <c r="E50" s="30"/>
      <c r="F50" s="30" t="s">
        <v>53</v>
      </c>
      <c r="G50" s="31">
        <v>166</v>
      </c>
      <c r="H50" s="32">
        <v>43.25</v>
      </c>
      <c r="I50" s="32">
        <v>0.55000000000000004</v>
      </c>
      <c r="J50" s="33"/>
    </row>
    <row r="51" spans="2:10">
      <c r="B51" s="1" t="s">
        <v>156</v>
      </c>
      <c r="C51" s="20" t="s">
        <v>157</v>
      </c>
      <c r="D51" s="29" t="s">
        <v>158</v>
      </c>
      <c r="E51" s="30"/>
      <c r="F51" s="30" t="s">
        <v>30</v>
      </c>
      <c r="G51" s="31">
        <v>6544</v>
      </c>
      <c r="H51" s="32">
        <v>30.74</v>
      </c>
      <c r="I51" s="32">
        <v>0.39</v>
      </c>
      <c r="J51" s="33"/>
    </row>
    <row r="52" spans="2:10">
      <c r="C52" s="28" t="s">
        <v>159</v>
      </c>
      <c r="D52" s="29"/>
      <c r="E52" s="30"/>
      <c r="F52" s="30"/>
      <c r="G52" s="31"/>
      <c r="H52" s="35">
        <v>7784.43</v>
      </c>
      <c r="I52" s="35">
        <v>98.8</v>
      </c>
      <c r="J52" s="33"/>
    </row>
    <row r="53" spans="2:10">
      <c r="C53" s="20"/>
      <c r="D53" s="29"/>
      <c r="E53" s="30"/>
      <c r="F53" s="30"/>
      <c r="G53" s="31"/>
      <c r="H53" s="32"/>
      <c r="I53" s="32"/>
      <c r="J53" s="33"/>
    </row>
    <row r="54" spans="2:10">
      <c r="C54" s="28" t="s">
        <v>160</v>
      </c>
      <c r="D54" s="29"/>
      <c r="E54" s="30"/>
      <c r="F54" s="30"/>
      <c r="G54" s="31"/>
      <c r="H54" s="32" t="s">
        <v>161</v>
      </c>
      <c r="I54" s="32" t="s">
        <v>161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162</v>
      </c>
      <c r="D56" s="29"/>
      <c r="E56" s="30"/>
      <c r="F56" s="30"/>
      <c r="G56" s="31"/>
      <c r="H56" s="32" t="s">
        <v>161</v>
      </c>
      <c r="I56" s="32" t="s">
        <v>161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163</v>
      </c>
      <c r="D58" s="29"/>
      <c r="E58" s="30"/>
      <c r="F58" s="30"/>
      <c r="G58" s="31"/>
      <c r="H58" s="32"/>
      <c r="I58" s="32"/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164</v>
      </c>
      <c r="D60" s="29"/>
      <c r="E60" s="30"/>
      <c r="F60" s="30"/>
      <c r="G60" s="31"/>
      <c r="H60" s="32" t="s">
        <v>161</v>
      </c>
      <c r="I60" s="32" t="s">
        <v>161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165</v>
      </c>
      <c r="D62" s="29"/>
      <c r="E62" s="30"/>
      <c r="F62" s="30"/>
      <c r="G62" s="31"/>
      <c r="H62" s="32" t="s">
        <v>161</v>
      </c>
      <c r="I62" s="32" t="s">
        <v>161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166</v>
      </c>
      <c r="D64" s="29"/>
      <c r="E64" s="30"/>
      <c r="F64" s="30"/>
      <c r="G64" s="31"/>
      <c r="H64" s="32" t="s">
        <v>161</v>
      </c>
      <c r="I64" s="32" t="s">
        <v>161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167</v>
      </c>
      <c r="D66" s="29"/>
      <c r="E66" s="30"/>
      <c r="F66" s="30"/>
      <c r="G66" s="31"/>
      <c r="H66" s="32" t="s">
        <v>161</v>
      </c>
      <c r="I66" s="32" t="s">
        <v>161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168</v>
      </c>
      <c r="D68" s="29"/>
      <c r="E68" s="30"/>
      <c r="F68" s="30"/>
      <c r="G68" s="31"/>
      <c r="H68" s="32" t="s">
        <v>161</v>
      </c>
      <c r="I68" s="32" t="s">
        <v>161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169</v>
      </c>
      <c r="D70" s="29"/>
      <c r="E70" s="30"/>
      <c r="F70" s="30"/>
      <c r="G70" s="31"/>
      <c r="H70" s="32"/>
      <c r="I70" s="32"/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170</v>
      </c>
      <c r="D72" s="29"/>
      <c r="E72" s="30"/>
      <c r="F72" s="30"/>
      <c r="G72" s="31"/>
      <c r="H72" s="32" t="s">
        <v>161</v>
      </c>
      <c r="I72" s="32" t="s">
        <v>161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171</v>
      </c>
      <c r="D74" s="29"/>
      <c r="E74" s="30"/>
      <c r="F74" s="30"/>
      <c r="G74" s="31"/>
      <c r="H74" s="32" t="s">
        <v>161</v>
      </c>
      <c r="I74" s="32" t="s">
        <v>161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172</v>
      </c>
      <c r="D76" s="29"/>
      <c r="E76" s="30"/>
      <c r="F76" s="30"/>
      <c r="G76" s="31"/>
      <c r="H76" s="32" t="s">
        <v>161</v>
      </c>
      <c r="I76" s="32" t="s">
        <v>161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173</v>
      </c>
      <c r="D78" s="29"/>
      <c r="E78" s="30"/>
      <c r="F78" s="30"/>
      <c r="G78" s="31"/>
      <c r="H78" s="32" t="s">
        <v>161</v>
      </c>
      <c r="I78" s="32" t="s">
        <v>161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174</v>
      </c>
      <c r="D80" s="29"/>
      <c r="E80" s="30"/>
      <c r="F80" s="30"/>
      <c r="G80" s="31"/>
      <c r="H80" s="32"/>
      <c r="I80" s="32"/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175</v>
      </c>
      <c r="D82" s="29"/>
      <c r="E82" s="30"/>
      <c r="F82" s="30"/>
      <c r="G82" s="31"/>
      <c r="H82" s="32" t="s">
        <v>161</v>
      </c>
      <c r="I82" s="32" t="s">
        <v>161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176</v>
      </c>
      <c r="D84" s="29"/>
      <c r="E84" s="30"/>
      <c r="F84" s="30"/>
      <c r="G84" s="31"/>
      <c r="H84" s="32" t="s">
        <v>161</v>
      </c>
      <c r="I84" s="32" t="s">
        <v>161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177</v>
      </c>
      <c r="D86" s="29"/>
      <c r="E86" s="30"/>
      <c r="F86" s="30"/>
      <c r="G86" s="31"/>
      <c r="H86" s="32" t="s">
        <v>161</v>
      </c>
      <c r="I86" s="32" t="s">
        <v>161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178</v>
      </c>
      <c r="D88" s="29"/>
      <c r="E88" s="30"/>
      <c r="F88" s="30"/>
      <c r="G88" s="31"/>
      <c r="H88" s="32" t="s">
        <v>161</v>
      </c>
      <c r="I88" s="32" t="s">
        <v>161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179</v>
      </c>
      <c r="D90" s="29"/>
      <c r="E90" s="30"/>
      <c r="F90" s="30"/>
      <c r="G90" s="31"/>
      <c r="H90" s="32" t="s">
        <v>161</v>
      </c>
      <c r="I90" s="32" t="s">
        <v>161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A92" s="26"/>
      <c r="B92" s="27"/>
      <c r="C92" s="28" t="s">
        <v>180</v>
      </c>
      <c r="D92" s="29"/>
      <c r="E92" s="30"/>
      <c r="F92" s="30"/>
      <c r="G92" s="31"/>
      <c r="H92" s="32"/>
      <c r="I92" s="32"/>
      <c r="J92" s="33"/>
    </row>
    <row r="93" spans="1:10">
      <c r="B93" s="1"/>
      <c r="C93" s="20" t="s">
        <v>181</v>
      </c>
      <c r="D93" s="29"/>
      <c r="E93" s="30"/>
      <c r="F93" s="30"/>
      <c r="G93" s="31"/>
      <c r="H93" s="32">
        <v>94.16</v>
      </c>
      <c r="I93" s="32">
        <v>1.2</v>
      </c>
      <c r="J93" s="33"/>
    </row>
    <row r="94" spans="1:10">
      <c r="C94" s="28" t="s">
        <v>159</v>
      </c>
      <c r="D94" s="29"/>
      <c r="E94" s="30"/>
      <c r="F94" s="30"/>
      <c r="G94" s="31"/>
      <c r="H94" s="35">
        <v>94.16</v>
      </c>
      <c r="I94" s="35">
        <v>1.2</v>
      </c>
      <c r="J94" s="33"/>
    </row>
    <row r="95" spans="1:10">
      <c r="C95" s="20"/>
      <c r="D95" s="29"/>
      <c r="E95" s="30"/>
      <c r="F95" s="30"/>
      <c r="G95" s="31"/>
      <c r="H95" s="32"/>
      <c r="I95" s="32"/>
      <c r="J95" s="33"/>
    </row>
    <row r="96" spans="1:10" ht="13.8" thickBot="1">
      <c r="C96" s="36" t="s">
        <v>182</v>
      </c>
      <c r="D96" s="37"/>
      <c r="E96" s="38"/>
      <c r="F96" s="39"/>
      <c r="G96" s="40"/>
      <c r="H96" s="41">
        <v>7878.59</v>
      </c>
      <c r="I96" s="41">
        <f>SUMIFS(I:I,C:C,"Total")</f>
        <v>100</v>
      </c>
      <c r="J96" s="42"/>
    </row>
    <row r="99" spans="3:3">
      <c r="C99" s="11" t="s">
        <v>183</v>
      </c>
    </row>
    <row r="100" spans="3:3">
      <c r="C100" s="2" t="s">
        <v>184</v>
      </c>
    </row>
    <row r="101" spans="3:3">
      <c r="C101" s="2" t="s">
        <v>185</v>
      </c>
    </row>
    <row r="102" spans="3:3">
      <c r="C102" s="2" t="s">
        <v>186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4.55468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187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188</v>
      </c>
      <c r="B5" s="46" t="s">
        <v>189</v>
      </c>
      <c r="C5" s="46"/>
      <c r="D5" s="46" t="s">
        <v>190</v>
      </c>
      <c r="E5" s="46"/>
      <c r="F5" s="46" t="s">
        <v>191</v>
      </c>
      <c r="G5" s="46"/>
      <c r="H5" s="46" t="s">
        <v>192</v>
      </c>
      <c r="I5" s="46"/>
    </row>
    <row r="6" spans="1:9" ht="66">
      <c r="A6" s="47"/>
      <c r="B6" s="48" t="s">
        <v>193</v>
      </c>
      <c r="C6" s="48" t="s">
        <v>194</v>
      </c>
      <c r="D6" s="48" t="s">
        <v>193</v>
      </c>
      <c r="E6" s="48" t="s">
        <v>194</v>
      </c>
      <c r="F6" s="48" t="s">
        <v>193</v>
      </c>
      <c r="G6" s="48" t="s">
        <v>194</v>
      </c>
      <c r="H6" s="48" t="s">
        <v>193</v>
      </c>
      <c r="I6" s="48" t="s">
        <v>194</v>
      </c>
    </row>
    <row r="7" spans="1:9">
      <c r="A7" s="49" t="s">
        <v>195</v>
      </c>
      <c r="B7" s="50">
        <v>17.489855883587513</v>
      </c>
      <c r="C7" s="50">
        <v>11748.985588358752</v>
      </c>
      <c r="D7" s="50">
        <v>17.676028717698866</v>
      </c>
      <c r="E7" s="50">
        <v>16295.361925092178</v>
      </c>
      <c r="F7" s="50">
        <v>14.32685375524767</v>
      </c>
      <c r="G7" s="50">
        <v>19546.089385474861</v>
      </c>
      <c r="H7" s="50">
        <v>17.675015910517878</v>
      </c>
      <c r="I7" s="50">
        <v>83970</v>
      </c>
    </row>
    <row r="8" spans="1:9">
      <c r="A8" s="49" t="s">
        <v>196</v>
      </c>
      <c r="B8" s="50">
        <v>20.247961718190876</v>
      </c>
      <c r="C8" s="50">
        <v>12024.796171819087</v>
      </c>
      <c r="D8" s="50">
        <v>21.900901582043186</v>
      </c>
      <c r="E8" s="50">
        <v>18114.266507698943</v>
      </c>
      <c r="F8" s="50">
        <v>17.524259351085234</v>
      </c>
      <c r="G8" s="50">
        <v>22420.103571457617</v>
      </c>
      <c r="H8" s="50">
        <v>17.500856827282419</v>
      </c>
      <c r="I8" s="50">
        <v>82323.278977783601</v>
      </c>
    </row>
    <row r="9" spans="1:9">
      <c r="A9" s="49" t="s">
        <v>197</v>
      </c>
      <c r="B9" s="50">
        <v>18.238557925494668</v>
      </c>
      <c r="C9" s="50">
        <v>11823.855792549466</v>
      </c>
      <c r="D9" s="50">
        <v>14.671835507293384</v>
      </c>
      <c r="E9" s="50">
        <v>15078.921921285202</v>
      </c>
      <c r="F9" s="50">
        <v>14.338153723198266</v>
      </c>
      <c r="G9" s="50">
        <v>19541.409054914937</v>
      </c>
      <c r="H9" s="50">
        <v>14.884015358704183</v>
      </c>
      <c r="I9" s="50">
        <v>61329.206818161532</v>
      </c>
    </row>
    <row r="10" spans="1:9">
      <c r="A10" s="49" t="s">
        <v>198</v>
      </c>
      <c r="B10" s="51">
        <v>71.47</v>
      </c>
      <c r="C10" s="52"/>
      <c r="D10" s="51">
        <v>51.53</v>
      </c>
      <c r="E10" s="52"/>
      <c r="F10" s="51">
        <v>42.96</v>
      </c>
      <c r="G10" s="52"/>
      <c r="H10" s="51">
        <v>10</v>
      </c>
      <c r="I10" s="52"/>
    </row>
    <row r="12" spans="1:9" ht="15.6">
      <c r="A12" s="43" t="s">
        <v>199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188</v>
      </c>
      <c r="B13" s="46" t="s">
        <v>189</v>
      </c>
      <c r="C13" s="46"/>
      <c r="D13" s="46" t="s">
        <v>190</v>
      </c>
      <c r="E13" s="46"/>
      <c r="F13" s="46" t="s">
        <v>191</v>
      </c>
      <c r="G13" s="46"/>
      <c r="H13" s="46" t="s">
        <v>192</v>
      </c>
      <c r="I13" s="46"/>
    </row>
    <row r="14" spans="1:9" ht="66">
      <c r="A14" s="47"/>
      <c r="B14" s="48" t="s">
        <v>193</v>
      </c>
      <c r="C14" s="48" t="s">
        <v>194</v>
      </c>
      <c r="D14" s="48" t="s">
        <v>193</v>
      </c>
      <c r="E14" s="48" t="s">
        <v>194</v>
      </c>
      <c r="F14" s="48" t="s">
        <v>193</v>
      </c>
      <c r="G14" s="48" t="s">
        <v>194</v>
      </c>
      <c r="H14" s="48" t="s">
        <v>193</v>
      </c>
      <c r="I14" s="48" t="s">
        <v>194</v>
      </c>
    </row>
    <row r="15" spans="1:9">
      <c r="A15" s="49" t="s">
        <v>195</v>
      </c>
      <c r="B15" s="50">
        <v>18.681462140992178</v>
      </c>
      <c r="C15" s="50">
        <v>11868.146214099217</v>
      </c>
      <c r="D15" s="50">
        <v>18.836797806054118</v>
      </c>
      <c r="E15" s="50">
        <v>16782.351855270445</v>
      </c>
      <c r="F15" s="50">
        <v>15.408086859586255</v>
      </c>
      <c r="G15" s="50">
        <v>20489.069190894748</v>
      </c>
      <c r="H15" s="50">
        <v>15.627528528766078</v>
      </c>
      <c r="I15" s="50">
        <v>38751.065643648755</v>
      </c>
    </row>
    <row r="16" spans="1:9">
      <c r="A16" s="49" t="s">
        <v>196</v>
      </c>
      <c r="B16" s="50">
        <v>20.247961718190876</v>
      </c>
      <c r="C16" s="50">
        <v>12024.796171819087</v>
      </c>
      <c r="D16" s="50">
        <v>21.900901582043186</v>
      </c>
      <c r="E16" s="50">
        <v>18114.266507698943</v>
      </c>
      <c r="F16" s="50">
        <v>17.524259351085234</v>
      </c>
      <c r="G16" s="50">
        <v>22420.103571457617</v>
      </c>
      <c r="H16" s="50">
        <v>17.199074593843889</v>
      </c>
      <c r="I16" s="50">
        <v>43951.899364674398</v>
      </c>
    </row>
    <row r="17" spans="1:9">
      <c r="A17" s="49" t="s">
        <v>197</v>
      </c>
      <c r="B17" s="50">
        <v>18.238557925494668</v>
      </c>
      <c r="C17" s="50">
        <v>11823.855792549466</v>
      </c>
      <c r="D17" s="50">
        <v>14.671835507293384</v>
      </c>
      <c r="E17" s="50">
        <v>15078.921921285202</v>
      </c>
      <c r="F17" s="50">
        <v>14.338153723198266</v>
      </c>
      <c r="G17" s="50">
        <v>19541.409054914937</v>
      </c>
      <c r="H17" s="50">
        <v>13.340517997956191</v>
      </c>
      <c r="I17" s="50">
        <v>32162.278030328758</v>
      </c>
    </row>
    <row r="18" spans="1:9">
      <c r="A18" s="49" t="s">
        <v>200</v>
      </c>
      <c r="B18" s="51">
        <v>76.599999999999994</v>
      </c>
      <c r="C18" s="52"/>
      <c r="D18" s="51">
        <v>54.17</v>
      </c>
      <c r="E18" s="52"/>
      <c r="F18" s="51">
        <v>44.37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2022-05-01T15:11:39Z</dcterms:created>
  <dcterms:modified xsi:type="dcterms:W3CDTF">2022-05-06T05:13:37Z</dcterms:modified>
</cp:coreProperties>
</file>