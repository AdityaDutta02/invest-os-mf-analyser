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NOV 2023\Portfolio\OPS\TMF_Monthly_Portfolio_Report_Oct 23\"/>
    </mc:Choice>
  </mc:AlternateContent>
  <xr:revisionPtr revIDLastSave="0" documentId="13_ncr:1_{937EF866-A01E-408A-B528-A41689B75BCF}" xr6:coauthVersionLast="47" xr6:coauthVersionMax="47" xr10:uidLastSave="{00000000-0000-0000-0000-000000000000}"/>
  <bookViews>
    <workbookView xWindow="-120" yWindow="-120" windowWidth="20730" windowHeight="11160" xr2:uid="{7233CE02-804E-4151-9C53-FAB11EA0EF18}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Performance'!$C$8:$C$49</definedName>
    <definedName name="XDO_?FINAL_ISIN?5?">'TEF-Risk-O-Meter &amp; Performance'!$D$10:$D$49</definedName>
    <definedName name="XDO_?FINAL_ISIN?6?">'TEF-Risk-O-Meter &amp; Performance'!$D$10:$D$91</definedName>
    <definedName name="XDO_?FINAL_MV?5?">'TEF-Risk-O-Meter &amp; Performance'!$H$10:$H$49</definedName>
    <definedName name="XDO_?FINAL_MV?6?">'TEF-Risk-O-Meter &amp; Performance'!$H$10:$H$91</definedName>
    <definedName name="XDO_?FINAL_NAME?5?">'TEF-Risk-O-Meter &amp; Performance'!$C$10:$C$49</definedName>
    <definedName name="XDO_?FINAL_NAME?6?">'TEF-Risk-O-Meter &amp; Performance'!$C$10:$C$91</definedName>
    <definedName name="XDO_?FINAL_PER_NET?5?">'TEF-Risk-O-Meter &amp; Performance'!$I$10:$I$49</definedName>
    <definedName name="XDO_?FINAL_PER_NET?6?">'TEF-Risk-O-Meter &amp; Performance'!$I$10:$I$91</definedName>
    <definedName name="XDO_?FINAL_QUANTITE?5?">'TEF-Risk-O-Meter &amp; Performance'!$G$10:$G$49</definedName>
    <definedName name="XDO_?FINAL_QUANTITE?6?">'TEF-Risk-O-Meter &amp; Performance'!$G$10:$G$91</definedName>
    <definedName name="XDO_?IND_01?5?">'TEF-Risk-O-Meter &amp; Performance'!$F$10:$F$49</definedName>
    <definedName name="XDO_?IND_01?6?">'TEF-Risk-O-Meter &amp; Performance'!$F$10:$F$91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Performance'!$C$2:$C$49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Performance'!$B$10:$B$49</definedName>
    <definedName name="XDO_?NOVAL?6?">'TEF-Risk-O-Meter &amp; Performance'!$B$10:$B$91</definedName>
    <definedName name="XDO_?NPTF?3?">'TEF-Risk-O-Meter &amp; Performance'!$D$2:$D$49</definedName>
    <definedName name="XDO_?RATING?5?">'TEF-Risk-O-Meter &amp; Performance'!$E$10:$E$49</definedName>
    <definedName name="XDO_?RATING?6?">'TEF-Risk-O-Meter &amp; Performance'!$E$10:$E$91</definedName>
    <definedName name="XDO_?REMARKS?5?">'TEF-Risk-O-Meter &amp; Performance'!$J$10:$J$49</definedName>
    <definedName name="XDO_?REMARKS?6?">'TEF-Risk-O-Meter &amp; Performance'!$J$10:$J$91</definedName>
    <definedName name="XDO_?TITL?3?">'TEF-Risk-O-Meter &amp; Performance'!$A$8:$A$49</definedName>
    <definedName name="XDO_GROUP_?G_2?3?">'TEF-Risk-O-Meter &amp; Performance'!$2:$94</definedName>
    <definedName name="XDO_GROUP_?G_3?3?">'TEF-Risk-O-Meter &amp; Performance'!$8:$93</definedName>
    <definedName name="XDO_GROUP_?G_4?5?">'TEF-Risk-O-Meter &amp; Performance'!$B$10:$IV$49</definedName>
    <definedName name="XDO_GROUP_?G_4?6?">'TEF-Risk-O-Meter &amp; Performance'!$B$91:$IV$91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</calcChain>
</file>

<file path=xl/sharedStrings.xml><?xml version="1.0" encoding="utf-8"?>
<sst xmlns="http://schemas.openxmlformats.org/spreadsheetml/2006/main" count="271" uniqueCount="200">
  <si>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</si>
  <si>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</si>
  <si>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</si>
  <si>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</si>
  <si>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</si>
  <si>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</si>
  <si>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</si>
  <si>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</si>
  <si>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</si>
  <si>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</si>
  <si>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</si>
  <si>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</si>
  <si>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</si>
  <si>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</si>
  <si>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</si>
  <si>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</si>
  <si>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</si>
  <si>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</si>
  <si>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</si>
  <si>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</si>
  <si>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</si>
  <si>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</si>
  <si>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IT - Software</t>
  </si>
  <si>
    <t>100003</t>
  </si>
  <si>
    <t>Infosys Ltd.</t>
  </si>
  <si>
    <t>INE009A01021</t>
  </si>
  <si>
    <t>100032</t>
  </si>
  <si>
    <t>Tata Consultancy Services Ltd.</t>
  </si>
  <si>
    <t>INE467B01029</t>
  </si>
  <si>
    <t>101178</t>
  </si>
  <si>
    <t>Computer Age Management Services Ltd.</t>
  </si>
  <si>
    <t>INE596I01012</t>
  </si>
  <si>
    <t>Capital Markets</t>
  </si>
  <si>
    <t>100944</t>
  </si>
  <si>
    <t>Mishra Dhatu Nigam Ltd.</t>
  </si>
  <si>
    <t>INE099Z01011</t>
  </si>
  <si>
    <t>Aerospace &amp; Defense</t>
  </si>
  <si>
    <t>100147</t>
  </si>
  <si>
    <t>Tech Mahindra Ltd.</t>
  </si>
  <si>
    <t>INE669C01036</t>
  </si>
  <si>
    <t>100106</t>
  </si>
  <si>
    <t>Maruti Suzuki India Ltd.</t>
  </si>
  <si>
    <t>INE585B01010</t>
  </si>
  <si>
    <t>Automobiles</t>
  </si>
  <si>
    <t>100153</t>
  </si>
  <si>
    <t>Cipla Ltd.</t>
  </si>
  <si>
    <t>INE059A01026</t>
  </si>
  <si>
    <t>Pharmaceuticals &amp; Biotechnology</t>
  </si>
  <si>
    <t>100164</t>
  </si>
  <si>
    <t>Petronet LNG Ltd.</t>
  </si>
  <si>
    <t>INE347G01014</t>
  </si>
  <si>
    <t>Gas</t>
  </si>
  <si>
    <t>100474</t>
  </si>
  <si>
    <t>Narayana Hrudayalaya Ltd.</t>
  </si>
  <si>
    <t>INE410P01011</t>
  </si>
  <si>
    <t>Healthcare Services</t>
  </si>
  <si>
    <t>100027</t>
  </si>
  <si>
    <t>Pidilite Industries Ltd.</t>
  </si>
  <si>
    <t>INE318A01026</t>
  </si>
  <si>
    <t>Chemicals &amp; Petrochemicals</t>
  </si>
  <si>
    <t>100035</t>
  </si>
  <si>
    <t>NMDC Ltd.</t>
  </si>
  <si>
    <t>INE584A01023</t>
  </si>
  <si>
    <t>Minerals &amp; Mining</t>
  </si>
  <si>
    <t>100099</t>
  </si>
  <si>
    <t>Hindustan Unilever Ltd.</t>
  </si>
  <si>
    <t>INE030A01027</t>
  </si>
  <si>
    <t>Diversified FMCG</t>
  </si>
  <si>
    <t>100008</t>
  </si>
  <si>
    <t>Sun Pharmaceutical Industries Ltd.</t>
  </si>
  <si>
    <t>INE044A01036</t>
  </si>
  <si>
    <t>100020</t>
  </si>
  <si>
    <t>Tata Consumer Products Ltd.</t>
  </si>
  <si>
    <t>INE192A01025</t>
  </si>
  <si>
    <t>Agricultural Food &amp; other Products</t>
  </si>
  <si>
    <t>100442</t>
  </si>
  <si>
    <t>Coromandel International Ltd.</t>
  </si>
  <si>
    <t>INE169A01031</t>
  </si>
  <si>
    <t>Fertilizers &amp; Agrochemicals</t>
  </si>
  <si>
    <t>100089</t>
  </si>
  <si>
    <t>Bharat Electronics Ltd.</t>
  </si>
  <si>
    <t>INE263A01024</t>
  </si>
  <si>
    <t>100029</t>
  </si>
  <si>
    <t>Mphasis Ltd.</t>
  </si>
  <si>
    <t>INE356A01018</t>
  </si>
  <si>
    <t>100176</t>
  </si>
  <si>
    <t>GAIL (India) Ltd.</t>
  </si>
  <si>
    <t>INE129A01019</t>
  </si>
  <si>
    <t>100133</t>
  </si>
  <si>
    <t>Oracle Financial Services Software Ltd.</t>
  </si>
  <si>
    <t>INE881D01027</t>
  </si>
  <si>
    <t>100155</t>
  </si>
  <si>
    <t>Divi's Laboratories Ltd.</t>
  </si>
  <si>
    <t>INE361B01024</t>
  </si>
  <si>
    <t>100130</t>
  </si>
  <si>
    <t>Gujarat Gas Ltd.</t>
  </si>
  <si>
    <t>INE844O01030</t>
  </si>
  <si>
    <t>100163</t>
  </si>
  <si>
    <t>Bosch Ltd.</t>
  </si>
  <si>
    <t>INE323A01026</t>
  </si>
  <si>
    <t>Auto Components</t>
  </si>
  <si>
    <t>100293</t>
  </si>
  <si>
    <t>AIA Engineering Ltd.</t>
  </si>
  <si>
    <t>INE212H01026</t>
  </si>
  <si>
    <t>Industrial Products</t>
  </si>
  <si>
    <t>100096</t>
  </si>
  <si>
    <t>Container Corporation of India Ltd.</t>
  </si>
  <si>
    <t>INE111A01025</t>
  </si>
  <si>
    <t>Transport Services</t>
  </si>
  <si>
    <t>100172</t>
  </si>
  <si>
    <t>ACC Ltd.</t>
  </si>
  <si>
    <t>INE012A01025</t>
  </si>
  <si>
    <t>Cement &amp; Cement Products</t>
  </si>
  <si>
    <t>100018</t>
  </si>
  <si>
    <t>Tata Communications Ltd.</t>
  </si>
  <si>
    <t>INE151A01013</t>
  </si>
  <si>
    <t>Telecom - Services</t>
  </si>
  <si>
    <t>100534</t>
  </si>
  <si>
    <t>Sheela Foam Ltd.</t>
  </si>
  <si>
    <t>INE916U01025</t>
  </si>
  <si>
    <t>Consumer Durables</t>
  </si>
  <si>
    <t>100090</t>
  </si>
  <si>
    <t>Bharat Forge Ltd.</t>
  </si>
  <si>
    <t>INE465A01025</t>
  </si>
  <si>
    <t>100342</t>
  </si>
  <si>
    <t>Vardhman Textiles Ltd.</t>
  </si>
  <si>
    <t>INE825A01020</t>
  </si>
  <si>
    <t>Textiles &amp; Apparels</t>
  </si>
  <si>
    <t>100830</t>
  </si>
  <si>
    <t>Varun Beverages Ltd.</t>
  </si>
  <si>
    <t>INE200M01021</t>
  </si>
  <si>
    <t>Beverages</t>
  </si>
  <si>
    <t>100017</t>
  </si>
  <si>
    <t>National Aluminium Company Ltd.</t>
  </si>
  <si>
    <t>INE139A01034</t>
  </si>
  <si>
    <t>Non - Ferrous Metals</t>
  </si>
  <si>
    <t>100093</t>
  </si>
  <si>
    <t>Blue Dart Express Ltd.</t>
  </si>
  <si>
    <t>INE233B01017</t>
  </si>
  <si>
    <t>100045</t>
  </si>
  <si>
    <t>Gujarat Pipavav Port Ltd.</t>
  </si>
  <si>
    <t>INE517F01014</t>
  </si>
  <si>
    <t>Transport Infrastructure</t>
  </si>
  <si>
    <t>100473</t>
  </si>
  <si>
    <t>Aarti Industries Ltd.</t>
  </si>
  <si>
    <t>INE769A01020</t>
  </si>
  <si>
    <t>100080</t>
  </si>
  <si>
    <t>Dr. Reddy's Laboratories Ltd.</t>
  </si>
  <si>
    <t>INE089A01023</t>
  </si>
  <si>
    <t>101301</t>
  </si>
  <si>
    <t>Sona Blw Precision Forgings Ltd.</t>
  </si>
  <si>
    <t>INE073K01018</t>
  </si>
  <si>
    <t>100159</t>
  </si>
  <si>
    <t>Sanofi India Ltd.</t>
  </si>
  <si>
    <t>INE058A01010</t>
  </si>
  <si>
    <t>100514</t>
  </si>
  <si>
    <t>Grindwell Norton Ltd.</t>
  </si>
  <si>
    <t>INE536A01023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</si>
  <si>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</si>
  <si>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</si>
  <si>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</si>
  <si>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</si>
  <si>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</si>
  <si>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</si>
  <si>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</si>
  <si>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</si>
  <si>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</si>
  <si>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</si>
  <si>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</si>
  <si>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</si>
  <si>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</si>
  <si>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</si>
  <si>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</si>
  <si>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</si>
  <si>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</si>
  <si>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</si>
  <si>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</si>
  <si>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</si>
  <si>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</si>
  <si>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</si>
  <si>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</si>
  <si>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</si>
  <si>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</si>
  <si>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</si>
  <si>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</si>
  <si>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</si>
  <si>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</si>
  <si>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</si>
  <si>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</si>
  <si>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</si>
  <si>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</si>
  <si>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</si>
  <si>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</si>
  <si>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</si>
  <si>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</si>
  <si>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</si>
  <si>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</si>
  <si>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Taurus Ethical Fund - Direct Plan Growth Option</t>
  </si>
  <si>
    <t>NAV [Rs.] Per Unit (as on October 31, 2023 : 95.10)</t>
  </si>
  <si>
    <t>NAV [Rs.] Per Unit  (as on October 31, 2023 : 104.79)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</si>
</sst>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A68C979-CBF7-4839-AC9F-059CEAE1D6DB}"/>
    <cellStyle name="Hyperlink" xfId="2" builtinId="8"/>
    <cellStyle name="Normal" xfId="0" builtinId="0"/>
    <cellStyle name="Normal 2" xfId="4" xr:uid="{C6AF2CFA-C7E5-49A5-A970-8F3368EF9329}"/>
    <cellStyle name="Style 1" xfId="3" xr:uid="{B9E9E0EE-DC61-41E4-B2ED-BF1F0F0BD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1957917</xdr:rowOff>
    </xdr:to>
    <xdr:pic>
      <xdr:nvPicPr>
        <xdr:cNvPr id="2" name="Picture 1" descr="Ethical Prodcut label - 9th Dec 2022.jpg">
          <a:extLst>
            <a:ext uri="{FF2B5EF4-FFF2-40B4-BE49-F238E27FC236}">
              <a16:creationId xmlns:a16="http://schemas.microsoft.com/office/drawing/2014/main" id="{974F5AF8-09FA-41CC-A59E-D5883469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5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Oct%2023\Client%20Report\TMF_Monthly_Portfolio_Report_Oct%2023.xls" TargetMode="External"/><Relationship Id="rId1" Type="http://schemas.openxmlformats.org/officeDocument/2006/relationships/externalLinkPath" Target="TMF_Monthly_Portfolio_Report_Oc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AD45-7705-4734-9BEB-A672D90F2950}">
  <dimension ref="A1:BB10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45230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30367</v>
      </c>
      <c r="H10" s="32">
        <v>694.96</v>
      </c>
      <c r="I10" s="32">
        <v>6.1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53397</v>
      </c>
      <c r="H11" s="32">
        <v>681.8</v>
      </c>
      <c r="I11" s="32">
        <v>5.99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38815</v>
      </c>
      <c r="H12" s="32">
        <v>531.24</v>
      </c>
      <c r="I12" s="32">
        <v>4.67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15245</v>
      </c>
      <c r="H13" s="32">
        <v>513.48</v>
      </c>
      <c r="I13" s="32">
        <v>4.51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18650</v>
      </c>
      <c r="H14" s="32">
        <v>419.38</v>
      </c>
      <c r="I14" s="32">
        <v>3.68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104148</v>
      </c>
      <c r="H15" s="32">
        <v>411.54</v>
      </c>
      <c r="I15" s="32">
        <v>3.61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34086</v>
      </c>
      <c r="H16" s="32">
        <v>386.25</v>
      </c>
      <c r="I16" s="32">
        <v>3.39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3501</v>
      </c>
      <c r="H17" s="32">
        <v>363.79</v>
      </c>
      <c r="I17" s="32">
        <v>3.2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29372</v>
      </c>
      <c r="H18" s="32">
        <v>352.29</v>
      </c>
      <c r="I18" s="32">
        <v>3.09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151194</v>
      </c>
      <c r="H19" s="32">
        <v>301.70999999999998</v>
      </c>
      <c r="I19" s="32">
        <v>2.65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29770</v>
      </c>
      <c r="H20" s="32">
        <v>296.49</v>
      </c>
      <c r="I20" s="32">
        <v>2.6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11809</v>
      </c>
      <c r="H21" s="32">
        <v>290.29000000000002</v>
      </c>
      <c r="I21" s="32">
        <v>2.5499999999999998</v>
      </c>
      <c r="J21" s="33"/>
    </row>
    <row r="22" spans="2:10" x14ac:dyDescent="0.25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185166</v>
      </c>
      <c r="H22" s="32">
        <v>285.52999999999997</v>
      </c>
      <c r="I22" s="32">
        <v>2.5099999999999998</v>
      </c>
      <c r="J22" s="33"/>
    </row>
    <row r="23" spans="2:10" x14ac:dyDescent="0.25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11408</v>
      </c>
      <c r="H23" s="32">
        <v>283.37</v>
      </c>
      <c r="I23" s="32">
        <v>2.4900000000000002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47</v>
      </c>
      <c r="G24" s="31">
        <v>25000</v>
      </c>
      <c r="H24" s="32">
        <v>272.18</v>
      </c>
      <c r="I24" s="32">
        <v>2.39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28683</v>
      </c>
      <c r="H25" s="32">
        <v>258.32</v>
      </c>
      <c r="I25" s="32">
        <v>2.27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23768</v>
      </c>
      <c r="H26" s="32">
        <v>248.04</v>
      </c>
      <c r="I26" s="32">
        <v>2.1800000000000002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36</v>
      </c>
      <c r="G27" s="31">
        <v>182312</v>
      </c>
      <c r="H27" s="32">
        <v>243.02</v>
      </c>
      <c r="I27" s="32">
        <v>2.13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22</v>
      </c>
      <c r="G28" s="31">
        <v>11133</v>
      </c>
      <c r="H28" s="32">
        <v>236.57</v>
      </c>
      <c r="I28" s="32">
        <v>2.08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51</v>
      </c>
      <c r="G29" s="31">
        <v>177835</v>
      </c>
      <c r="H29" s="32">
        <v>212.6</v>
      </c>
      <c r="I29" s="32">
        <v>1.87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22</v>
      </c>
      <c r="G30" s="31">
        <v>5080</v>
      </c>
      <c r="H30" s="32">
        <v>196.79</v>
      </c>
      <c r="I30" s="32">
        <v>1.73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47</v>
      </c>
      <c r="G31" s="31">
        <v>5530</v>
      </c>
      <c r="H31" s="32">
        <v>187.35</v>
      </c>
      <c r="I31" s="32">
        <v>1.65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51</v>
      </c>
      <c r="G32" s="31">
        <v>44857</v>
      </c>
      <c r="H32" s="32">
        <v>183.85</v>
      </c>
      <c r="I32" s="32">
        <v>1.61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896</v>
      </c>
      <c r="H33" s="32">
        <v>174.45</v>
      </c>
      <c r="I33" s="32">
        <v>1.53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4614</v>
      </c>
      <c r="H34" s="32">
        <v>162.11000000000001</v>
      </c>
      <c r="I34" s="32">
        <v>1.42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22872</v>
      </c>
      <c r="H35" s="32">
        <v>157.47</v>
      </c>
      <c r="I35" s="32">
        <v>1.38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7622</v>
      </c>
      <c r="H36" s="32">
        <v>143.97</v>
      </c>
      <c r="I36" s="32">
        <v>1.26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8251</v>
      </c>
      <c r="H37" s="32">
        <v>137.26</v>
      </c>
      <c r="I37" s="32">
        <v>1.21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12488</v>
      </c>
      <c r="H38" s="32">
        <v>134.80000000000001</v>
      </c>
      <c r="I38" s="32">
        <v>1.18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104</v>
      </c>
      <c r="G39" s="31">
        <v>13000</v>
      </c>
      <c r="H39" s="32">
        <v>132.44999999999999</v>
      </c>
      <c r="I39" s="32">
        <v>1.1599999999999999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31552</v>
      </c>
      <c r="H40" s="32">
        <v>116.58</v>
      </c>
      <c r="I40" s="32">
        <v>1.02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11454</v>
      </c>
      <c r="H41" s="32">
        <v>104.18</v>
      </c>
      <c r="I41" s="32">
        <v>0.92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107000</v>
      </c>
      <c r="H42" s="32">
        <v>98.71</v>
      </c>
      <c r="I42" s="32">
        <v>0.87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108</v>
      </c>
      <c r="G43" s="31">
        <v>1439</v>
      </c>
      <c r="H43" s="32">
        <v>94.93</v>
      </c>
      <c r="I43" s="32">
        <v>0.83</v>
      </c>
      <c r="J43" s="33"/>
    </row>
    <row r="44" spans="2:10" x14ac:dyDescent="0.25">
      <c r="B44" s="1" t="s">
        <v>139</v>
      </c>
      <c r="C44" s="20" t="s">
        <v>140</v>
      </c>
      <c r="D44" s="29" t="s">
        <v>141</v>
      </c>
      <c r="E44" s="30"/>
      <c r="F44" s="30" t="s">
        <v>142</v>
      </c>
      <c r="G44" s="31">
        <v>72134</v>
      </c>
      <c r="H44" s="32">
        <v>87.97</v>
      </c>
      <c r="I44" s="32">
        <v>0.77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59</v>
      </c>
      <c r="G45" s="31">
        <v>18644</v>
      </c>
      <c r="H45" s="32">
        <v>84.67</v>
      </c>
      <c r="I45" s="32">
        <v>0.74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47</v>
      </c>
      <c r="G46" s="31">
        <v>1525</v>
      </c>
      <c r="H46" s="32">
        <v>81.77</v>
      </c>
      <c r="I46" s="32">
        <v>0.72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100</v>
      </c>
      <c r="G47" s="31">
        <v>14792</v>
      </c>
      <c r="H47" s="32">
        <v>80.05</v>
      </c>
      <c r="I47" s="32">
        <v>0.7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47</v>
      </c>
      <c r="G48" s="31">
        <v>600</v>
      </c>
      <c r="H48" s="32">
        <v>45.38</v>
      </c>
      <c r="I48" s="32">
        <v>0.4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104</v>
      </c>
      <c r="G49" s="31">
        <v>977</v>
      </c>
      <c r="H49" s="32">
        <v>20.94</v>
      </c>
      <c r="I49" s="32">
        <v>0.18</v>
      </c>
      <c r="J49" s="33"/>
    </row>
    <row r="50" spans="2:10" x14ac:dyDescent="0.25">
      <c r="C50" s="28" t="s">
        <v>158</v>
      </c>
      <c r="D50" s="29"/>
      <c r="E50" s="30"/>
      <c r="F50" s="30"/>
      <c r="G50" s="31"/>
      <c r="H50" s="35">
        <v>9708.5300000000007</v>
      </c>
      <c r="I50" s="35">
        <v>85.24</v>
      </c>
      <c r="J50" s="33"/>
    </row>
    <row r="51" spans="2:10" x14ac:dyDescent="0.25">
      <c r="C51" s="20"/>
      <c r="D51" s="29"/>
      <c r="E51" s="30"/>
      <c r="F51" s="30"/>
      <c r="G51" s="31"/>
      <c r="H51" s="32"/>
      <c r="I51" s="32"/>
      <c r="J51" s="33"/>
    </row>
    <row r="52" spans="2:10" x14ac:dyDescent="0.25">
      <c r="C52" s="28" t="s">
        <v>159</v>
      </c>
      <c r="D52" s="29"/>
      <c r="E52" s="30"/>
      <c r="F52" s="30"/>
      <c r="G52" s="31"/>
      <c r="H52" s="32" t="s">
        <v>160</v>
      </c>
      <c r="I52" s="32" t="s">
        <v>160</v>
      </c>
      <c r="J52" s="33"/>
    </row>
    <row r="53" spans="2:10" x14ac:dyDescent="0.25">
      <c r="C53" s="20"/>
      <c r="D53" s="29"/>
      <c r="E53" s="30"/>
      <c r="F53" s="30"/>
      <c r="G53" s="31"/>
      <c r="H53" s="32"/>
      <c r="I53" s="32"/>
      <c r="J53" s="33"/>
    </row>
    <row r="54" spans="2:10" x14ac:dyDescent="0.25">
      <c r="C54" s="28" t="s">
        <v>161</v>
      </c>
      <c r="D54" s="29"/>
      <c r="E54" s="30"/>
      <c r="F54" s="30"/>
      <c r="G54" s="31"/>
      <c r="H54" s="32" t="s">
        <v>160</v>
      </c>
      <c r="I54" s="32" t="s">
        <v>160</v>
      </c>
      <c r="J54" s="33"/>
    </row>
    <row r="55" spans="2:10" x14ac:dyDescent="0.25">
      <c r="C55" s="20"/>
      <c r="D55" s="29"/>
      <c r="E55" s="30"/>
      <c r="F55" s="30"/>
      <c r="G55" s="31"/>
      <c r="H55" s="32"/>
      <c r="I55" s="32"/>
      <c r="J55" s="33"/>
    </row>
    <row r="56" spans="2:10" x14ac:dyDescent="0.25">
      <c r="C56" s="28" t="s">
        <v>162</v>
      </c>
      <c r="D56" s="29"/>
      <c r="E56" s="30"/>
      <c r="F56" s="30"/>
      <c r="G56" s="31"/>
      <c r="H56" s="32"/>
      <c r="I56" s="32"/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28" t="s">
        <v>163</v>
      </c>
      <c r="D58" s="29"/>
      <c r="E58" s="30"/>
      <c r="F58" s="30"/>
      <c r="G58" s="31"/>
      <c r="H58" s="32" t="s">
        <v>160</v>
      </c>
      <c r="I58" s="32" t="s">
        <v>160</v>
      </c>
      <c r="J58" s="33"/>
    </row>
    <row r="59" spans="2:10" x14ac:dyDescent="0.25">
      <c r="C59" s="20"/>
      <c r="D59" s="29"/>
      <c r="E59" s="30"/>
      <c r="F59" s="30"/>
      <c r="G59" s="31"/>
      <c r="H59" s="32"/>
      <c r="I59" s="32"/>
      <c r="J59" s="33"/>
    </row>
    <row r="60" spans="2:10" x14ac:dyDescent="0.25">
      <c r="C60" s="28" t="s">
        <v>164</v>
      </c>
      <c r="D60" s="29"/>
      <c r="E60" s="30"/>
      <c r="F60" s="30"/>
      <c r="G60" s="31"/>
      <c r="H60" s="32" t="s">
        <v>160</v>
      </c>
      <c r="I60" s="32" t="s">
        <v>160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165</v>
      </c>
      <c r="D62" s="29"/>
      <c r="E62" s="30"/>
      <c r="F62" s="30"/>
      <c r="G62" s="31"/>
      <c r="H62" s="32" t="s">
        <v>160</v>
      </c>
      <c r="I62" s="32" t="s">
        <v>160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166</v>
      </c>
      <c r="D64" s="29"/>
      <c r="E64" s="30"/>
      <c r="F64" s="30"/>
      <c r="G64" s="31"/>
      <c r="H64" s="32" t="s">
        <v>160</v>
      </c>
      <c r="I64" s="32" t="s">
        <v>160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167</v>
      </c>
      <c r="D66" s="29"/>
      <c r="E66" s="30"/>
      <c r="F66" s="30"/>
      <c r="G66" s="31"/>
      <c r="H66" s="32" t="s">
        <v>160</v>
      </c>
      <c r="I66" s="32" t="s">
        <v>160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168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169</v>
      </c>
      <c r="D70" s="29"/>
      <c r="E70" s="30"/>
      <c r="F70" s="30"/>
      <c r="G70" s="31"/>
      <c r="H70" s="32" t="s">
        <v>160</v>
      </c>
      <c r="I70" s="32" t="s">
        <v>160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170</v>
      </c>
      <c r="D72" s="29"/>
      <c r="E72" s="30"/>
      <c r="F72" s="30"/>
      <c r="G72" s="31"/>
      <c r="H72" s="32" t="s">
        <v>160</v>
      </c>
      <c r="I72" s="32" t="s">
        <v>160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171</v>
      </c>
      <c r="D74" s="29"/>
      <c r="E74" s="30"/>
      <c r="F74" s="30"/>
      <c r="G74" s="31"/>
      <c r="H74" s="32" t="s">
        <v>160</v>
      </c>
      <c r="I74" s="32" t="s">
        <v>160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172</v>
      </c>
      <c r="D76" s="29"/>
      <c r="E76" s="30"/>
      <c r="F76" s="30"/>
      <c r="G76" s="31"/>
      <c r="H76" s="32" t="s">
        <v>160</v>
      </c>
      <c r="I76" s="32" t="s">
        <v>160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173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174</v>
      </c>
      <c r="D80" s="29"/>
      <c r="E80" s="30"/>
      <c r="F80" s="30"/>
      <c r="G80" s="31"/>
      <c r="H80" s="32" t="s">
        <v>160</v>
      </c>
      <c r="I80" s="32" t="s">
        <v>160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175</v>
      </c>
      <c r="D82" s="29"/>
      <c r="E82" s="30"/>
      <c r="F82" s="30"/>
      <c r="G82" s="31"/>
      <c r="H82" s="32" t="s">
        <v>160</v>
      </c>
      <c r="I82" s="32" t="s">
        <v>160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176</v>
      </c>
      <c r="D84" s="29"/>
      <c r="E84" s="30"/>
      <c r="F84" s="30"/>
      <c r="G84" s="31"/>
      <c r="H84" s="32" t="s">
        <v>160</v>
      </c>
      <c r="I84" s="32" t="s">
        <v>160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177</v>
      </c>
      <c r="D86" s="29"/>
      <c r="E86" s="30"/>
      <c r="F86" s="30"/>
      <c r="G86" s="31"/>
      <c r="H86" s="32" t="s">
        <v>160</v>
      </c>
      <c r="I86" s="32" t="s">
        <v>160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178</v>
      </c>
      <c r="D88" s="29"/>
      <c r="E88" s="30"/>
      <c r="F88" s="30"/>
      <c r="G88" s="31"/>
      <c r="H88" s="32" t="s">
        <v>160</v>
      </c>
      <c r="I88" s="32" t="s">
        <v>160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A90" s="26"/>
      <c r="B90" s="27"/>
      <c r="C90" s="28" t="s">
        <v>179</v>
      </c>
      <c r="D90" s="29"/>
      <c r="E90" s="30"/>
      <c r="F90" s="30"/>
      <c r="G90" s="31"/>
      <c r="H90" s="32"/>
      <c r="I90" s="32"/>
      <c r="J90" s="33"/>
    </row>
    <row r="91" spans="1:10" x14ac:dyDescent="0.25">
      <c r="B91" s="1"/>
      <c r="C91" s="20" t="s">
        <v>180</v>
      </c>
      <c r="D91" s="29"/>
      <c r="E91" s="30"/>
      <c r="F91" s="30"/>
      <c r="G91" s="31"/>
      <c r="H91" s="32">
        <v>1676.82</v>
      </c>
      <c r="I91" s="32">
        <v>14.76</v>
      </c>
      <c r="J91" s="33"/>
    </row>
    <row r="92" spans="1:10" x14ac:dyDescent="0.25">
      <c r="C92" s="28" t="s">
        <v>158</v>
      </c>
      <c r="D92" s="29"/>
      <c r="E92" s="30"/>
      <c r="F92" s="30"/>
      <c r="G92" s="31"/>
      <c r="H92" s="35">
        <v>1676.82</v>
      </c>
      <c r="I92" s="35">
        <v>14.76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ht="14.25" thickBot="1" x14ac:dyDescent="0.3">
      <c r="C94" s="36" t="s">
        <v>181</v>
      </c>
      <c r="D94" s="37"/>
      <c r="E94" s="38"/>
      <c r="F94" s="39"/>
      <c r="G94" s="40"/>
      <c r="H94" s="41">
        <v>11385.35</v>
      </c>
      <c r="I94" s="41">
        <f>SUMIFS(I:I,C:C,"Total")</f>
        <v>100</v>
      </c>
      <c r="J94" s="42"/>
    </row>
    <row r="97" spans="3:3" x14ac:dyDescent="0.25">
      <c r="C97" s="11" t="s">
        <v>182</v>
      </c>
    </row>
    <row r="98" spans="3:3" x14ac:dyDescent="0.25">
      <c r="C98" s="2" t="s">
        <v>183</v>
      </c>
    </row>
    <row r="99" spans="3:3" x14ac:dyDescent="0.25">
      <c r="C99" s="2" t="s">
        <v>184</v>
      </c>
    </row>
    <row r="100" spans="3:3" x14ac:dyDescent="0.25">
      <c r="C100" s="2" t="s">
        <v>185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6C8F-68D2-424E-95FB-C67A35C9F274}">
  <dimension ref="B4:J18"/>
  <sheetViews>
    <sheetView workbookViewId="0"/>
  </sheetViews>
  <sheetFormatPr defaultRowHeight="15" x14ac:dyDescent="0.25"/>
  <cols>
    <col min="2" max="2" width="57.140625" bestFit="1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 x14ac:dyDescent="0.25">
      <c r="B4" s="43" t="s">
        <v>186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187</v>
      </c>
      <c r="C5" s="46" t="s">
        <v>188</v>
      </c>
      <c r="D5" s="46"/>
      <c r="E5" s="46" t="s">
        <v>189</v>
      </c>
      <c r="F5" s="46"/>
      <c r="G5" s="46" t="s">
        <v>190</v>
      </c>
      <c r="H5" s="46"/>
      <c r="I5" s="46" t="s">
        <v>191</v>
      </c>
      <c r="J5" s="46"/>
    </row>
    <row r="6" spans="2:10" ht="63.75" x14ac:dyDescent="0.25">
      <c r="B6" s="47"/>
      <c r="C6" s="48" t="s">
        <v>192</v>
      </c>
      <c r="D6" s="48" t="s">
        <v>193</v>
      </c>
      <c r="E6" s="48" t="s">
        <v>192</v>
      </c>
      <c r="F6" s="48" t="s">
        <v>193</v>
      </c>
      <c r="G6" s="48" t="s">
        <v>192</v>
      </c>
      <c r="H6" s="48" t="s">
        <v>193</v>
      </c>
      <c r="I6" s="48" t="s">
        <v>192</v>
      </c>
      <c r="J6" s="48" t="s">
        <v>193</v>
      </c>
    </row>
    <row r="7" spans="2:10" x14ac:dyDescent="0.25">
      <c r="B7" s="49" t="s">
        <v>194</v>
      </c>
      <c r="C7" s="50">
        <v>8.2403824265877557</v>
      </c>
      <c r="D7" s="50">
        <v>10824.038242658775</v>
      </c>
      <c r="E7" s="50">
        <v>16.942353706695322</v>
      </c>
      <c r="F7" s="50">
        <v>15999.327052489905</v>
      </c>
      <c r="G7" s="50">
        <v>14.071316019709545</v>
      </c>
      <c r="H7" s="50">
        <v>19321.414059325478</v>
      </c>
      <c r="I7" s="50">
        <v>16.704281329585324</v>
      </c>
      <c r="J7" s="50">
        <v>95100</v>
      </c>
    </row>
    <row r="8" spans="2:10" x14ac:dyDescent="0.25">
      <c r="B8" s="49" t="s">
        <v>195</v>
      </c>
      <c r="C8" s="50">
        <v>4.8752365353911919</v>
      </c>
      <c r="D8" s="50">
        <v>10487.52365353912</v>
      </c>
      <c r="E8" s="50">
        <v>17.365962718464289</v>
      </c>
      <c r="F8" s="50">
        <v>16166.890489497566</v>
      </c>
      <c r="G8" s="50">
        <v>15.629797303425953</v>
      </c>
      <c r="H8" s="50">
        <v>20670.397181552384</v>
      </c>
      <c r="I8" s="50">
        <v>16.080049818365438</v>
      </c>
      <c r="J8" s="50">
        <v>87910.63327944593</v>
      </c>
    </row>
    <row r="9" spans="2:10" x14ac:dyDescent="0.25">
      <c r="B9" s="49" t="s">
        <v>196</v>
      </c>
      <c r="C9" s="50">
        <v>7.0085355178066466</v>
      </c>
      <c r="D9" s="50">
        <v>10700.853551780665</v>
      </c>
      <c r="E9" s="50">
        <v>19.272785240684787</v>
      </c>
      <c r="F9" s="50">
        <v>16967.743206865995</v>
      </c>
      <c r="G9" s="50">
        <v>14.2661924180016</v>
      </c>
      <c r="H9" s="50">
        <v>19479.992271038322</v>
      </c>
      <c r="I9" s="50">
        <v>14.261074674189533</v>
      </c>
      <c r="J9" s="50">
        <v>69830.67520174534</v>
      </c>
    </row>
    <row r="10" spans="2:10" x14ac:dyDescent="0.25">
      <c r="B10" s="49" t="s">
        <v>198</v>
      </c>
      <c r="C10" s="51">
        <v>87.86</v>
      </c>
      <c r="D10" s="52"/>
      <c r="E10" s="51">
        <v>59.44</v>
      </c>
      <c r="F10" s="52"/>
      <c r="G10" s="51">
        <v>49.22</v>
      </c>
      <c r="H10" s="52"/>
      <c r="I10" s="51">
        <v>10</v>
      </c>
      <c r="J10" s="52"/>
    </row>
    <row r="12" spans="2:10" ht="15.75" x14ac:dyDescent="0.25">
      <c r="B12" s="43" t="s">
        <v>197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187</v>
      </c>
      <c r="C13" s="46" t="s">
        <v>188</v>
      </c>
      <c r="D13" s="46"/>
      <c r="E13" s="46" t="s">
        <v>189</v>
      </c>
      <c r="F13" s="46"/>
      <c r="G13" s="46" t="s">
        <v>190</v>
      </c>
      <c r="H13" s="46"/>
      <c r="I13" s="46" t="s">
        <v>191</v>
      </c>
      <c r="J13" s="46"/>
    </row>
    <row r="14" spans="2:10" ht="63.75" x14ac:dyDescent="0.25">
      <c r="B14" s="47"/>
      <c r="C14" s="48" t="s">
        <v>192</v>
      </c>
      <c r="D14" s="48" t="s">
        <v>193</v>
      </c>
      <c r="E14" s="48" t="s">
        <v>192</v>
      </c>
      <c r="F14" s="48" t="s">
        <v>193</v>
      </c>
      <c r="G14" s="48" t="s">
        <v>192</v>
      </c>
      <c r="H14" s="48" t="s">
        <v>193</v>
      </c>
      <c r="I14" s="48" t="s">
        <v>192</v>
      </c>
      <c r="J14" s="48" t="s">
        <v>193</v>
      </c>
    </row>
    <row r="15" spans="2:10" x14ac:dyDescent="0.25">
      <c r="B15" s="49" t="s">
        <v>194</v>
      </c>
      <c r="C15" s="50">
        <v>9.6129707112970753</v>
      </c>
      <c r="D15" s="50">
        <v>10961.297071129709</v>
      </c>
      <c r="E15" s="50">
        <v>18.154211976070055</v>
      </c>
      <c r="F15" s="50">
        <v>16502.36220472441</v>
      </c>
      <c r="G15" s="50">
        <v>15.293198736447323</v>
      </c>
      <c r="H15" s="50">
        <v>20379.229871645275</v>
      </c>
      <c r="I15" s="50">
        <v>14.811820679841347</v>
      </c>
      <c r="J15" s="50">
        <v>44667.519181585674</v>
      </c>
    </row>
    <row r="16" spans="2:10" x14ac:dyDescent="0.25">
      <c r="B16" s="49" t="s">
        <v>195</v>
      </c>
      <c r="C16" s="50">
        <v>4.8752365353911919</v>
      </c>
      <c r="D16" s="50">
        <v>10487.52365353912</v>
      </c>
      <c r="E16" s="50">
        <v>17.365962718464289</v>
      </c>
      <c r="F16" s="50">
        <v>16166.890489497566</v>
      </c>
      <c r="G16" s="50">
        <v>15.629797303425953</v>
      </c>
      <c r="H16" s="50">
        <v>20670.397181552384</v>
      </c>
      <c r="I16" s="50">
        <v>15.337328140802441</v>
      </c>
      <c r="J16" s="50">
        <v>46933.389605962824</v>
      </c>
    </row>
    <row r="17" spans="2:10" x14ac:dyDescent="0.25">
      <c r="B17" s="49" t="s">
        <v>196</v>
      </c>
      <c r="C17" s="50">
        <v>7.0085355178066466</v>
      </c>
      <c r="D17" s="50">
        <v>10700.853551780665</v>
      </c>
      <c r="E17" s="50">
        <v>19.272785240684787</v>
      </c>
      <c r="F17" s="50">
        <v>16967.743206865995</v>
      </c>
      <c r="G17" s="50">
        <v>14.2661924180016</v>
      </c>
      <c r="H17" s="50">
        <v>19479.992271038322</v>
      </c>
      <c r="I17" s="50">
        <v>12.726145382760778</v>
      </c>
      <c r="J17" s="50">
        <v>36620.07471094605</v>
      </c>
    </row>
    <row r="18" spans="2:10" x14ac:dyDescent="0.25">
      <c r="B18" s="49" t="s">
        <v>199</v>
      </c>
      <c r="C18" s="51">
        <v>95.6</v>
      </c>
      <c r="D18" s="52"/>
      <c r="E18" s="51">
        <v>63.5</v>
      </c>
      <c r="F18" s="52"/>
      <c r="G18" s="51">
        <v>51.42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2023-11-04T02:36:42Z</dcterms:created>
  <dcterms:modified xsi:type="dcterms:W3CDTF">2023-11-06T06:18:36Z</dcterms:modified>
</cp:coreProperties>
</file>