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ortfolio" sheetId="2" r:id="rId2"/>
  </sheets>
  <externalReferences>
    <externalReference r:id="rId3"/>
  </externalReferences>
  <definedNames>
    <definedName name="XDO_?CLASS_3?4?">'TISF-Risk-O-Meter &amp; Performance'!$C$8:$C$52</definedName>
    <definedName name="XDO_?FINAL_ISIN?7?">'TISF-Risk-O-Meter &amp; Performance'!$D$10:$D$52</definedName>
    <definedName name="XDO_?FINAL_ISIN?8?">'TISF-Risk-O-Meter &amp; Performance'!$D$10:$D$94</definedName>
    <definedName name="XDO_?FINAL_MV?7?">'TISF-Risk-O-Meter &amp; Performance'!$H$10:$H$52</definedName>
    <definedName name="XDO_?FINAL_MV?8?">'TISF-Risk-O-Meter &amp; Performance'!$H$10:$H$94</definedName>
    <definedName name="XDO_?FINAL_NAME?7?">'TISF-Risk-O-Meter &amp; Performance'!$C$10:$C$52</definedName>
    <definedName name="XDO_?FINAL_NAME?8?">'TISF-Risk-O-Meter &amp; Performance'!$C$10:$C$94</definedName>
    <definedName name="XDO_?FINAL_PER_NET?7?">'TISF-Risk-O-Meter &amp; Performance'!$I$10:$I$52</definedName>
    <definedName name="XDO_?FINAL_PER_NET?8?">'TISF-Risk-O-Meter &amp; Performance'!$I$10:$I$94</definedName>
    <definedName name="XDO_?FINAL_QUANTITE?7?">'TISF-Risk-O-Meter &amp; Performance'!$G$10:$G$52</definedName>
    <definedName name="XDO_?FINAL_QUANTITE?8?">'TISF-Risk-O-Meter &amp; Performance'!$G$10:$G$94</definedName>
    <definedName name="XDO_?IND_01?7?">'TISF-Risk-O-Meter &amp; Performance'!$F$10:$F$52</definedName>
    <definedName name="XDO_?IND_01?8?">'TISF-Risk-O-Meter &amp; Performance'!$F$10:$F$94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Performance'!$B$10:$B$52</definedName>
    <definedName name="XDO_?NOVAL?8?">'TISF-Risk-O-Meter &amp; Performance'!$B$10:$B$94</definedName>
    <definedName name="XDO_?NPTF?4?">'TISF-Risk-O-Meter &amp; Performance'!$D$2:$D$52</definedName>
    <definedName name="XDO_?RATING?7?">'TISF-Risk-O-Meter &amp; Performance'!$E$10:$E$52</definedName>
    <definedName name="XDO_?RATING?8?">'TISF-Risk-O-Meter &amp; Performance'!$E$10:$E$94</definedName>
    <definedName name="XDO_?REMARKS?7?">'TISF-Risk-O-Meter &amp; Performance'!$J$10:$J$52</definedName>
    <definedName name="XDO_?REMARKS?8?">'TISF-Risk-O-Meter &amp; Performance'!$J$10:$J$94</definedName>
    <definedName name="XDO_?TITL?4?">'TISF-Risk-O-Meter &amp; Performance'!$A$8:$A$52</definedName>
    <definedName name="XDO_GROUP_?G_2?4?">'TISF-Risk-O-Meter &amp; Performance'!$2:$97</definedName>
    <definedName name="XDO_GROUP_?G_3?4?">'TISF-Risk-O-Meter &amp; Performance'!$8:$96</definedName>
    <definedName name="XDO_GROUP_?G_4?7?">'TISF-Risk-O-Meter &amp; Performance'!$B$10:$IV$52</definedName>
    <definedName name="XDO_GROUP_?G_4?8?">'TISF-Risk-O-Meter &amp; Performance'!$B$94:$IV$94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<sst xmlns="http://schemas.openxmlformats.org/spreadsheetml/2006/main" count="283" uniqueCount="208">
  <si>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</si>
  <si>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</si>
  <si>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</si>
  <si>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</si>
  <si>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</si>
  <si>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</si>
  <si>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</si>
  <si>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</si>
  <si>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</si>
  <si>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</si>
  <si>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</si>
  <si>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</si>
  <si>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</si>
  <si>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</si>
  <si>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</si>
  <si>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</si>
  <si>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</si>
  <si>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</si>
  <si>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</si>
  <si>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</si>
  <si>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</si>
  <si>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</si>
  <si>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</si>
  <si>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</si>
  <si>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</si>
  <si>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</si>
  <si>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</si>
  <si>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100108</t>
  </si>
  <si>
    <t>Adani Ports and Special Economic Zone Ltd.</t>
  </si>
  <si>
    <t>INE742F01042</t>
  </si>
  <si>
    <t>Transportation</t>
  </si>
  <si>
    <t>100182</t>
  </si>
  <si>
    <t>Power Grid Corporation of India Ltd.</t>
  </si>
  <si>
    <t>INE752E01010</t>
  </si>
  <si>
    <t>Power</t>
  </si>
  <si>
    <t>100571</t>
  </si>
  <si>
    <t>KNR Constructions Ltd.</t>
  </si>
  <si>
    <t>INE634I01029</t>
  </si>
  <si>
    <t>Construction</t>
  </si>
  <si>
    <t>100035</t>
  </si>
  <si>
    <t>NMDC Ltd.</t>
  </si>
  <si>
    <t>INE584A01023</t>
  </si>
  <si>
    <t>Minerals/Mining</t>
  </si>
  <si>
    <t>100816</t>
  </si>
  <si>
    <t>APL Apollo Tubes Ltd.</t>
  </si>
  <si>
    <t>INE702C01027</t>
  </si>
  <si>
    <t>Ferrous Metals</t>
  </si>
  <si>
    <t>100095</t>
  </si>
  <si>
    <t>Bharti Airtel Ltd.</t>
  </si>
  <si>
    <t>INE397D01024</t>
  </si>
  <si>
    <t>Telecom - Services</t>
  </si>
  <si>
    <t>100654</t>
  </si>
  <si>
    <t>Automotive Axles Ltd.</t>
  </si>
  <si>
    <t>INE449A01011</t>
  </si>
  <si>
    <t>Auto Ancillaries</t>
  </si>
  <si>
    <t>101415</t>
  </si>
  <si>
    <t>HINDUSTAN OIL EXPLORATION CO.LTD.</t>
  </si>
  <si>
    <t>INE345A01011</t>
  </si>
  <si>
    <t>Oil</t>
  </si>
  <si>
    <t>100143</t>
  </si>
  <si>
    <t>Thermax Ltd.</t>
  </si>
  <si>
    <t>INE152A01029</t>
  </si>
  <si>
    <t>Industrial Capital Goods</t>
  </si>
  <si>
    <t>100183</t>
  </si>
  <si>
    <t>Vedanta Ltd.</t>
  </si>
  <si>
    <t>INE205A01025</t>
  </si>
  <si>
    <t>Non - Ferrous Metals</t>
  </si>
  <si>
    <t>100374</t>
  </si>
  <si>
    <t>CESC Ltd.</t>
  </si>
  <si>
    <t>INE486A01021</t>
  </si>
  <si>
    <t>100315</t>
  </si>
  <si>
    <t>Prestige Estates Projects Ltd.</t>
  </si>
  <si>
    <t>INE811K01011</t>
  </si>
  <si>
    <t>101412</t>
  </si>
  <si>
    <t>Punjab Chemicals &amp; Crop Protection Ltd.</t>
  </si>
  <si>
    <t>INE277B01014</t>
  </si>
  <si>
    <t>Pesticides</t>
  </si>
  <si>
    <t>100115</t>
  </si>
  <si>
    <t>Siemens Ltd.</t>
  </si>
  <si>
    <t>INE003A01024</t>
  </si>
  <si>
    <t>100016</t>
  </si>
  <si>
    <t>Gujarat Mineral Development Corporation Ltd.</t>
  </si>
  <si>
    <t>INE131A01031</t>
  </si>
  <si>
    <t>100282</t>
  </si>
  <si>
    <t>Blue Star Ltd.</t>
  </si>
  <si>
    <t>INE472A01039</t>
  </si>
  <si>
    <t>Consumer Durables</t>
  </si>
  <si>
    <t>100378</t>
  </si>
  <si>
    <t>Jindal Steel &amp; Power Ltd.</t>
  </si>
  <si>
    <t>INE749A01030</t>
  </si>
  <si>
    <t>100161</t>
  </si>
  <si>
    <t>Cummins India Ltd.</t>
  </si>
  <si>
    <t>INE298A01020</t>
  </si>
  <si>
    <t>Industrial Products</t>
  </si>
  <si>
    <t>100446</t>
  </si>
  <si>
    <t>V.S.T Tillers Tractors Ltd.</t>
  </si>
  <si>
    <t>INE764D01017</t>
  </si>
  <si>
    <t>Auto</t>
  </si>
  <si>
    <t>100001</t>
  </si>
  <si>
    <t>Housing Development Finance Corporation Ltd.</t>
  </si>
  <si>
    <t>INE001A01036</t>
  </si>
  <si>
    <t>Finance</t>
  </si>
  <si>
    <t>100399</t>
  </si>
  <si>
    <t>Cholamandalam Investment &amp; Finance Co. Ltd.</t>
  </si>
  <si>
    <t>INE121A01024</t>
  </si>
  <si>
    <t>100461</t>
  </si>
  <si>
    <t>Astral Limited</t>
  </si>
  <si>
    <t>INE006I01046</t>
  </si>
  <si>
    <t>101348</t>
  </si>
  <si>
    <t>Ami Organics Ltd.</t>
  </si>
  <si>
    <t>INE00FF01017</t>
  </si>
  <si>
    <t>Pharmaceuticals</t>
  </si>
  <si>
    <t>100281</t>
  </si>
  <si>
    <t>Century Textiles &amp; Industries Ltd.</t>
  </si>
  <si>
    <t>INE055A01016</t>
  </si>
  <si>
    <t>Paper</t>
  </si>
  <si>
    <t>100096</t>
  </si>
  <si>
    <t>Container Corporation of India Ltd.</t>
  </si>
  <si>
    <t>INE111A01025</t>
  </si>
  <si>
    <t>100553</t>
  </si>
  <si>
    <t>Kennametal India Ltd.</t>
  </si>
  <si>
    <t>INE717A01029</t>
  </si>
  <si>
    <t>100665</t>
  </si>
  <si>
    <t>Aditya Birla Capital Ltd.</t>
  </si>
  <si>
    <t>INE674K01013</t>
  </si>
  <si>
    <t>100243</t>
  </si>
  <si>
    <t>Multi Commodity Exchange of India Ltd.</t>
  </si>
  <si>
    <t>INE745G01035</t>
  </si>
  <si>
    <t>Capital Markets</t>
  </si>
  <si>
    <t>100232</t>
  </si>
  <si>
    <t>Bharat Bijlee Ltd.</t>
  </si>
  <si>
    <t>INE464A01028</t>
  </si>
  <si>
    <t>100193</t>
  </si>
  <si>
    <t>JSW Steel Ltd.</t>
  </si>
  <si>
    <t>INE019A01038</t>
  </si>
  <si>
    <t>101152</t>
  </si>
  <si>
    <t>Sumitomo Chemical India Ltd.</t>
  </si>
  <si>
    <t>INE258G01013</t>
  </si>
  <si>
    <t>100168</t>
  </si>
  <si>
    <t>Escorts Ltd.</t>
  </si>
  <si>
    <t>INE042A01014</t>
  </si>
  <si>
    <t>100144</t>
  </si>
  <si>
    <t>Voltas Ltd.</t>
  </si>
  <si>
    <t>INE226A01021</t>
  </si>
  <si>
    <t>100271</t>
  </si>
  <si>
    <t>Balkrishna Industries Ltd.</t>
  </si>
  <si>
    <t>INE787D01026</t>
  </si>
  <si>
    <t>100151</t>
  </si>
  <si>
    <t>3M India Ltd.</t>
  </si>
  <si>
    <t>INE470A01017</t>
  </si>
  <si>
    <t>Consumer Non Durables</t>
  </si>
  <si>
    <t>100114</t>
  </si>
  <si>
    <t>Shriram Transport Finance Company Ltd.</t>
  </si>
  <si>
    <t>INE721A01013</t>
  </si>
  <si>
    <t>100218</t>
  </si>
  <si>
    <t>Godrej Properties Ltd.</t>
  </si>
  <si>
    <t>INE484J01027</t>
  </si>
  <si>
    <t>100090</t>
  </si>
  <si>
    <t>Bharat Forge Ltd.</t>
  </si>
  <si>
    <t>INE465A01025</t>
  </si>
  <si>
    <t>100365</t>
  </si>
  <si>
    <t>Ashok Leyland Ltd.</t>
  </si>
  <si>
    <t>INE208A01029</t>
  </si>
  <si>
    <t>100372</t>
  </si>
  <si>
    <t>Apollo Tyres Ltd.</t>
  </si>
  <si>
    <t>INE438A01022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</si>
  <si>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</si>
  <si>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</si>
  <si>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</si>
  <si>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</si>
  <si>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</si>
  <si>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</si>
  <si>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</si>
  <si>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</si>
  <si>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</si>
  <si>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</si>
  <si>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</si>
  <si>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</si>
  <si>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</si>
  <si>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</si>
  <si>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</si>
  <si>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</si>
  <si>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</si>
  <si>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</si>
  <si>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</si>
  <si>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</si>
  <si>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</si>
  <si>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</si>
  <si>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</si>
  <si>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</si>
  <si>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</si>
  <si>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</si>
  <si>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</si>
  <si>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</si>
  <si>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</si>
  <si>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</si>
  <si>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</si>
  <si>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</si>
  <si>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</si>
  <si>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</si>
  <si>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</si>
  <si>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</si>
  <si>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</si>
  <si>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</si>
  <si>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</si>
  <si>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February 28, 2022 : 37.14)</t>
  </si>
  <si>
    <t>Taurus Infrastructure Fund - Direct Plan Growth Option</t>
  </si>
  <si>
    <t>NAV [Rs.] Per Unit (as on February 28, 2022 : 39.26)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</si>
</sst>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44620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1897</v>
      </c>
      <c r="H10" s="32">
        <v>44.75</v>
      </c>
      <c r="I10" s="32">
        <v>8.89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2421</v>
      </c>
      <c r="H11" s="32">
        <v>43.99</v>
      </c>
      <c r="I11" s="32">
        <v>8.74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474</v>
      </c>
      <c r="H12" s="32">
        <v>31.14</v>
      </c>
      <c r="I12" s="32">
        <v>6.19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3302</v>
      </c>
      <c r="H13" s="32">
        <v>23.37</v>
      </c>
      <c r="I13" s="32">
        <v>4.6399999999999997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8766</v>
      </c>
      <c r="H14" s="32">
        <v>18.34</v>
      </c>
      <c r="I14" s="32">
        <v>3.64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5731</v>
      </c>
      <c r="H15" s="32">
        <v>17.760000000000002</v>
      </c>
      <c r="I15" s="32">
        <v>3.53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11628</v>
      </c>
      <c r="H16" s="32">
        <v>16.649999999999999</v>
      </c>
      <c r="I16" s="32">
        <v>3.31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1921</v>
      </c>
      <c r="H17" s="32">
        <v>16.350000000000001</v>
      </c>
      <c r="I17" s="32">
        <v>3.25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2352</v>
      </c>
      <c r="H18" s="32">
        <v>16.14</v>
      </c>
      <c r="I18" s="32">
        <v>3.21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968</v>
      </c>
      <c r="H19" s="32">
        <v>14.66</v>
      </c>
      <c r="I19" s="32">
        <v>2.91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6851</v>
      </c>
      <c r="H20" s="32">
        <v>13.28</v>
      </c>
      <c r="I20" s="32">
        <v>2.64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716</v>
      </c>
      <c r="H21" s="32">
        <v>13.01</v>
      </c>
      <c r="I21" s="32">
        <v>2.58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66</v>
      </c>
      <c r="G22" s="31">
        <v>3314</v>
      </c>
      <c r="H22" s="32">
        <v>12.61</v>
      </c>
      <c r="I22" s="32">
        <v>2.5</v>
      </c>
      <c r="J22" s="33"/>
    </row>
    <row r="23" spans="2:10">
      <c r="B23" s="1" t="s">
        <v>67</v>
      </c>
      <c r="C23" s="20" t="s">
        <v>68</v>
      </c>
      <c r="D23" s="29" t="s">
        <v>69</v>
      </c>
      <c r="E23" s="30"/>
      <c r="F23" s="30" t="s">
        <v>34</v>
      </c>
      <c r="G23" s="31">
        <v>15886</v>
      </c>
      <c r="H23" s="32">
        <v>12.43</v>
      </c>
      <c r="I23" s="32">
        <v>2.4700000000000002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38</v>
      </c>
      <c r="G24" s="31">
        <v>2732</v>
      </c>
      <c r="H24" s="32">
        <v>12.4</v>
      </c>
      <c r="I24" s="32">
        <v>2.46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774</v>
      </c>
      <c r="H25" s="32">
        <v>10.78</v>
      </c>
      <c r="I25" s="32">
        <v>2.14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62</v>
      </c>
      <c r="G26" s="31">
        <v>457</v>
      </c>
      <c r="H26" s="32">
        <v>10.73</v>
      </c>
      <c r="I26" s="32">
        <v>2.13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42</v>
      </c>
      <c r="G27" s="31">
        <v>7577</v>
      </c>
      <c r="H27" s="32">
        <v>10.050000000000001</v>
      </c>
      <c r="I27" s="32">
        <v>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858</v>
      </c>
      <c r="H28" s="32">
        <v>9.1999999999999993</v>
      </c>
      <c r="I28" s="32">
        <v>1.83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46</v>
      </c>
      <c r="G29" s="31">
        <v>2025</v>
      </c>
      <c r="H29" s="32">
        <v>8.6</v>
      </c>
      <c r="I29" s="32">
        <v>1.71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841</v>
      </c>
      <c r="H30" s="32">
        <v>8.0500000000000007</v>
      </c>
      <c r="I30" s="32">
        <v>1.6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297</v>
      </c>
      <c r="H31" s="32">
        <v>7.72</v>
      </c>
      <c r="I31" s="32">
        <v>1.53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326</v>
      </c>
      <c r="H32" s="32">
        <v>7.71</v>
      </c>
      <c r="I32" s="32">
        <v>1.53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101</v>
      </c>
      <c r="G33" s="31">
        <v>1084</v>
      </c>
      <c r="H33" s="32">
        <v>7.49</v>
      </c>
      <c r="I33" s="32">
        <v>1.49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93</v>
      </c>
      <c r="G34" s="31">
        <v>381</v>
      </c>
      <c r="H34" s="32">
        <v>7.4</v>
      </c>
      <c r="I34" s="32">
        <v>1.47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821</v>
      </c>
      <c r="H35" s="32">
        <v>7.12</v>
      </c>
      <c r="I35" s="32">
        <v>1.41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907</v>
      </c>
      <c r="H36" s="32">
        <v>6.95</v>
      </c>
      <c r="I36" s="32">
        <v>1.38</v>
      </c>
      <c r="J36" s="33"/>
    </row>
    <row r="37" spans="2:10">
      <c r="B37" s="1" t="s">
        <v>116</v>
      </c>
      <c r="C37" s="20" t="s">
        <v>117</v>
      </c>
      <c r="D37" s="29" t="s">
        <v>118</v>
      </c>
      <c r="E37" s="30"/>
      <c r="F37" s="30" t="s">
        <v>30</v>
      </c>
      <c r="G37" s="31">
        <v>1141</v>
      </c>
      <c r="H37" s="32">
        <v>6.83</v>
      </c>
      <c r="I37" s="32">
        <v>1.36</v>
      </c>
      <c r="J37" s="33"/>
    </row>
    <row r="38" spans="2:10">
      <c r="B38" s="1" t="s">
        <v>119</v>
      </c>
      <c r="C38" s="20" t="s">
        <v>120</v>
      </c>
      <c r="D38" s="29" t="s">
        <v>121</v>
      </c>
      <c r="E38" s="30"/>
      <c r="F38" s="30" t="s">
        <v>62</v>
      </c>
      <c r="G38" s="31">
        <v>344</v>
      </c>
      <c r="H38" s="32">
        <v>6.6</v>
      </c>
      <c r="I38" s="32">
        <v>1.31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101</v>
      </c>
      <c r="G39" s="31">
        <v>6209</v>
      </c>
      <c r="H39" s="32">
        <v>6.56</v>
      </c>
      <c r="I39" s="32">
        <v>1.3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506</v>
      </c>
      <c r="H40" s="32">
        <v>6.44</v>
      </c>
      <c r="I40" s="32">
        <v>1.28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62</v>
      </c>
      <c r="G41" s="31">
        <v>359</v>
      </c>
      <c r="H41" s="32">
        <v>6.2</v>
      </c>
      <c r="I41" s="32">
        <v>1.23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46</v>
      </c>
      <c r="G42" s="31">
        <v>933</v>
      </c>
      <c r="H42" s="32">
        <v>5.85</v>
      </c>
      <c r="I42" s="32">
        <v>1.1599999999999999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76</v>
      </c>
      <c r="G43" s="31">
        <v>1531</v>
      </c>
      <c r="H43" s="32">
        <v>5.77</v>
      </c>
      <c r="I43" s="32">
        <v>1.1499999999999999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97</v>
      </c>
      <c r="G44" s="31">
        <v>304</v>
      </c>
      <c r="H44" s="32">
        <v>5.63</v>
      </c>
      <c r="I44" s="32">
        <v>1.1200000000000001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86</v>
      </c>
      <c r="G45" s="31">
        <v>432</v>
      </c>
      <c r="H45" s="32">
        <v>5.45</v>
      </c>
      <c r="I45" s="32">
        <v>1.08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54</v>
      </c>
      <c r="G46" s="31">
        <v>297</v>
      </c>
      <c r="H46" s="32">
        <v>5.42</v>
      </c>
      <c r="I46" s="32">
        <v>1.08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25</v>
      </c>
      <c r="H47" s="32">
        <v>5.31</v>
      </c>
      <c r="I47" s="32">
        <v>1.05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101</v>
      </c>
      <c r="G48" s="31">
        <v>454</v>
      </c>
      <c r="H48" s="32">
        <v>5.0999999999999996</v>
      </c>
      <c r="I48" s="32">
        <v>1.01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38</v>
      </c>
      <c r="G49" s="31">
        <v>338</v>
      </c>
      <c r="H49" s="32">
        <v>5.07</v>
      </c>
      <c r="I49" s="32">
        <v>1.01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93</v>
      </c>
      <c r="G50" s="31">
        <v>747</v>
      </c>
      <c r="H50" s="32">
        <v>5.0599999999999996</v>
      </c>
      <c r="I50" s="32">
        <v>1.01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97</v>
      </c>
      <c r="G51" s="31">
        <v>3692</v>
      </c>
      <c r="H51" s="32">
        <v>4.38</v>
      </c>
      <c r="I51" s="32">
        <v>0.87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54</v>
      </c>
      <c r="G52" s="31">
        <v>1814</v>
      </c>
      <c r="H52" s="32">
        <v>3.35</v>
      </c>
      <c r="I52" s="32">
        <v>0.67</v>
      </c>
      <c r="J52" s="33"/>
    </row>
    <row r="53" spans="2:10">
      <c r="C53" s="28" t="s">
        <v>166</v>
      </c>
      <c r="D53" s="29"/>
      <c r="E53" s="30"/>
      <c r="F53" s="30"/>
      <c r="G53" s="31"/>
      <c r="H53" s="35">
        <v>497.7</v>
      </c>
      <c r="I53" s="35">
        <v>98.87</v>
      </c>
      <c r="J53" s="33"/>
    </row>
    <row r="54" spans="2:10">
      <c r="C54" s="20"/>
      <c r="D54" s="29"/>
      <c r="E54" s="30"/>
      <c r="F54" s="30"/>
      <c r="G54" s="31"/>
      <c r="H54" s="32"/>
      <c r="I54" s="32"/>
      <c r="J54" s="33"/>
    </row>
    <row r="55" spans="2:10">
      <c r="C55" s="28" t="s">
        <v>167</v>
      </c>
      <c r="D55" s="29"/>
      <c r="E55" s="30"/>
      <c r="F55" s="30"/>
      <c r="G55" s="31"/>
      <c r="H55" s="32" t="s">
        <v>168</v>
      </c>
      <c r="I55" s="32" t="s">
        <v>168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169</v>
      </c>
      <c r="D57" s="29"/>
      <c r="E57" s="30"/>
      <c r="F57" s="30"/>
      <c r="G57" s="31"/>
      <c r="H57" s="32" t="s">
        <v>168</v>
      </c>
      <c r="I57" s="32" t="s">
        <v>168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170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171</v>
      </c>
      <c r="D61" s="29"/>
      <c r="E61" s="30"/>
      <c r="F61" s="30"/>
      <c r="G61" s="31"/>
      <c r="H61" s="32" t="s">
        <v>168</v>
      </c>
      <c r="I61" s="32" t="s">
        <v>168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172</v>
      </c>
      <c r="D63" s="29"/>
      <c r="E63" s="30"/>
      <c r="F63" s="30"/>
      <c r="G63" s="31"/>
      <c r="H63" s="32" t="s">
        <v>168</v>
      </c>
      <c r="I63" s="32" t="s">
        <v>168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173</v>
      </c>
      <c r="D65" s="29"/>
      <c r="E65" s="30"/>
      <c r="F65" s="30"/>
      <c r="G65" s="31"/>
      <c r="H65" s="32" t="s">
        <v>168</v>
      </c>
      <c r="I65" s="32" t="s">
        <v>168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174</v>
      </c>
      <c r="D67" s="29"/>
      <c r="E67" s="30"/>
      <c r="F67" s="30"/>
      <c r="G67" s="31"/>
      <c r="H67" s="32" t="s">
        <v>168</v>
      </c>
      <c r="I67" s="32" t="s">
        <v>168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175</v>
      </c>
      <c r="D69" s="29"/>
      <c r="E69" s="30"/>
      <c r="F69" s="30"/>
      <c r="G69" s="31"/>
      <c r="H69" s="32" t="s">
        <v>168</v>
      </c>
      <c r="I69" s="32" t="s">
        <v>168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176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177</v>
      </c>
      <c r="D73" s="29"/>
      <c r="E73" s="30"/>
      <c r="F73" s="30"/>
      <c r="G73" s="31"/>
      <c r="H73" s="32" t="s">
        <v>168</v>
      </c>
      <c r="I73" s="32" t="s">
        <v>168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178</v>
      </c>
      <c r="D75" s="29"/>
      <c r="E75" s="30"/>
      <c r="F75" s="30"/>
      <c r="G75" s="31"/>
      <c r="H75" s="32" t="s">
        <v>168</v>
      </c>
      <c r="I75" s="32" t="s">
        <v>168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179</v>
      </c>
      <c r="D77" s="29"/>
      <c r="E77" s="30"/>
      <c r="F77" s="30"/>
      <c r="G77" s="31"/>
      <c r="H77" s="32" t="s">
        <v>168</v>
      </c>
      <c r="I77" s="32" t="s">
        <v>168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180</v>
      </c>
      <c r="D79" s="29"/>
      <c r="E79" s="30"/>
      <c r="F79" s="30"/>
      <c r="G79" s="31"/>
      <c r="H79" s="32" t="s">
        <v>168</v>
      </c>
      <c r="I79" s="32" t="s">
        <v>168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181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182</v>
      </c>
      <c r="D83" s="29"/>
      <c r="E83" s="30"/>
      <c r="F83" s="30"/>
      <c r="G83" s="31"/>
      <c r="H83" s="32" t="s">
        <v>168</v>
      </c>
      <c r="I83" s="32" t="s">
        <v>168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183</v>
      </c>
      <c r="D85" s="29"/>
      <c r="E85" s="30"/>
      <c r="F85" s="30"/>
      <c r="G85" s="31"/>
      <c r="H85" s="32" t="s">
        <v>168</v>
      </c>
      <c r="I85" s="32" t="s">
        <v>168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184</v>
      </c>
      <c r="D87" s="29"/>
      <c r="E87" s="30"/>
      <c r="F87" s="30"/>
      <c r="G87" s="31"/>
      <c r="H87" s="32" t="s">
        <v>168</v>
      </c>
      <c r="I87" s="32" t="s">
        <v>168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185</v>
      </c>
      <c r="D89" s="29"/>
      <c r="E89" s="30"/>
      <c r="F89" s="30"/>
      <c r="G89" s="31"/>
      <c r="H89" s="32" t="s">
        <v>168</v>
      </c>
      <c r="I89" s="32" t="s">
        <v>168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186</v>
      </c>
      <c r="D91" s="29"/>
      <c r="E91" s="30"/>
      <c r="F91" s="30"/>
      <c r="G91" s="31"/>
      <c r="H91" s="32" t="s">
        <v>168</v>
      </c>
      <c r="I91" s="32" t="s">
        <v>168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187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188</v>
      </c>
      <c r="D94" s="29"/>
      <c r="E94" s="30"/>
      <c r="F94" s="30"/>
      <c r="G94" s="31"/>
      <c r="H94" s="32">
        <v>5.64</v>
      </c>
      <c r="I94" s="32">
        <v>1.1300000000000001</v>
      </c>
      <c r="J94" s="33"/>
    </row>
    <row r="95" spans="1:10">
      <c r="C95" s="28" t="s">
        <v>166</v>
      </c>
      <c r="D95" s="29"/>
      <c r="E95" s="30"/>
      <c r="F95" s="30"/>
      <c r="G95" s="31"/>
      <c r="H95" s="35">
        <v>5.64</v>
      </c>
      <c r="I95" s="35">
        <v>1.1300000000000001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8" thickBot="1">
      <c r="C97" s="36" t="s">
        <v>189</v>
      </c>
      <c r="D97" s="37"/>
      <c r="E97" s="38"/>
      <c r="F97" s="39"/>
      <c r="G97" s="40"/>
      <c r="H97" s="41">
        <v>503.34</v>
      </c>
      <c r="I97" s="41">
        <f>SUMIFS(I:I,C:C,"Total")</f>
        <v>100</v>
      </c>
      <c r="J97" s="42"/>
    </row>
    <row r="100" spans="3:10">
      <c r="C100" s="11" t="s">
        <v>190</v>
      </c>
    </row>
    <row r="101" spans="3:10">
      <c r="C101" s="2" t="s">
        <v>191</v>
      </c>
    </row>
    <row r="102" spans="3:10">
      <c r="C102" s="2" t="s">
        <v>192</v>
      </c>
    </row>
    <row r="103" spans="3:10">
      <c r="C103" s="2" t="s">
        <v>193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4.4"/>
  <cols>
    <col min="2" max="2" width="46.218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194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195</v>
      </c>
      <c r="C5" s="46" t="s">
        <v>196</v>
      </c>
      <c r="D5" s="46"/>
      <c r="E5" s="46" t="s">
        <v>197</v>
      </c>
      <c r="F5" s="46"/>
      <c r="G5" s="46" t="s">
        <v>198</v>
      </c>
      <c r="H5" s="46"/>
      <c r="I5" s="46" t="s">
        <v>199</v>
      </c>
      <c r="J5" s="46"/>
    </row>
    <row r="6" spans="2:10" ht="66">
      <c r="B6" s="47"/>
      <c r="C6" s="48" t="s">
        <v>200</v>
      </c>
      <c r="D6" s="48" t="s">
        <v>201</v>
      </c>
      <c r="E6" s="48" t="s">
        <v>200</v>
      </c>
      <c r="F6" s="48" t="s">
        <v>201</v>
      </c>
      <c r="G6" s="48" t="s">
        <v>200</v>
      </c>
      <c r="H6" s="48" t="s">
        <v>201</v>
      </c>
      <c r="I6" s="48" t="s">
        <v>200</v>
      </c>
      <c r="J6" s="48" t="s">
        <v>201</v>
      </c>
    </row>
    <row r="7" spans="2:10">
      <c r="B7" s="49" t="s">
        <v>202</v>
      </c>
      <c r="C7" s="50">
        <v>20.656279742080443</v>
      </c>
      <c r="D7" s="50">
        <v>12078.048780487805</v>
      </c>
      <c r="E7" s="50">
        <v>17.319703548873132</v>
      </c>
      <c r="F7" s="50">
        <v>16154.849934754242</v>
      </c>
      <c r="G7" s="50">
        <v>12.384023604915196</v>
      </c>
      <c r="H7" s="50">
        <v>17933.365523901495</v>
      </c>
      <c r="I7" s="50">
        <v>9.1413848235308173</v>
      </c>
      <c r="J7" s="50">
        <v>37140</v>
      </c>
    </row>
    <row r="8" spans="2:10">
      <c r="B8" s="49" t="s">
        <v>203</v>
      </c>
      <c r="C8" s="50">
        <v>18.623280119739881</v>
      </c>
      <c r="D8" s="50">
        <v>11862.328011973988</v>
      </c>
      <c r="E8" s="50">
        <v>20.187809671383295</v>
      </c>
      <c r="F8" s="50">
        <v>17361.26082518429</v>
      </c>
      <c r="G8" s="50">
        <v>11.817350978189477</v>
      </c>
      <c r="H8" s="50">
        <v>17480.183875654362</v>
      </c>
      <c r="I8" s="50">
        <v>4.9149180544908688</v>
      </c>
      <c r="J8" s="50">
        <v>20535.325823270789</v>
      </c>
    </row>
    <row r="9" spans="2:10">
      <c r="B9" s="49" t="s">
        <v>204</v>
      </c>
      <c r="C9" s="50">
        <v>16.89271885634238</v>
      </c>
      <c r="D9" s="50">
        <v>11689.271885634238</v>
      </c>
      <c r="E9" s="50">
        <v>17.245435203917879</v>
      </c>
      <c r="F9" s="50">
        <v>16117.134459961315</v>
      </c>
      <c r="G9" s="50">
        <v>15.025443505265002</v>
      </c>
      <c r="H9" s="50">
        <v>20135.832147762078</v>
      </c>
      <c r="I9" s="50">
        <v>12.190325860624473</v>
      </c>
      <c r="J9" s="50">
        <v>56129.901173566504</v>
      </c>
    </row>
    <row r="10" spans="2:10">
      <c r="B10" s="49" t="s">
        <v>205</v>
      </c>
      <c r="C10" s="51">
        <v>30.75</v>
      </c>
      <c r="D10" s="52"/>
      <c r="E10" s="51">
        <v>22.99</v>
      </c>
      <c r="F10" s="52"/>
      <c r="G10" s="51">
        <v>20.71</v>
      </c>
      <c r="H10" s="52"/>
      <c r="I10" s="51">
        <v>10</v>
      </c>
      <c r="J10" s="52"/>
    </row>
    <row r="12" spans="2:10" ht="15.6">
      <c r="B12" s="43" t="s">
        <v>206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195</v>
      </c>
      <c r="C13" s="46" t="s">
        <v>196</v>
      </c>
      <c r="D13" s="46"/>
      <c r="E13" s="46" t="s">
        <v>197</v>
      </c>
      <c r="F13" s="46"/>
      <c r="G13" s="46" t="s">
        <v>198</v>
      </c>
      <c r="H13" s="46"/>
      <c r="I13" s="46" t="s">
        <v>199</v>
      </c>
      <c r="J13" s="46"/>
    </row>
    <row r="14" spans="2:10" ht="66">
      <c r="B14" s="47"/>
      <c r="C14" s="48" t="s">
        <v>200</v>
      </c>
      <c r="D14" s="48" t="s">
        <v>201</v>
      </c>
      <c r="E14" s="48" t="s">
        <v>200</v>
      </c>
      <c r="F14" s="48" t="s">
        <v>201</v>
      </c>
      <c r="G14" s="48" t="s">
        <v>200</v>
      </c>
      <c r="H14" s="48" t="s">
        <v>201</v>
      </c>
      <c r="I14" s="48" t="s">
        <v>200</v>
      </c>
      <c r="J14" s="48" t="s">
        <v>201</v>
      </c>
    </row>
    <row r="15" spans="2:10">
      <c r="B15" s="49" t="s">
        <v>202</v>
      </c>
      <c r="C15" s="50">
        <v>21.194896997509272</v>
      </c>
      <c r="D15" s="50">
        <v>12132.262051915946</v>
      </c>
      <c r="E15" s="50">
        <v>17.777103178135413</v>
      </c>
      <c r="F15" s="50">
        <v>16344.712739383845</v>
      </c>
      <c r="G15" s="50">
        <v>12.906518233117325</v>
      </c>
      <c r="H15" s="50">
        <v>18354.371201496026</v>
      </c>
      <c r="I15" s="50">
        <v>12.989525526438793</v>
      </c>
      <c r="J15" s="50">
        <v>30624.024960998438</v>
      </c>
    </row>
    <row r="16" spans="2:10">
      <c r="B16" s="49" t="s">
        <v>203</v>
      </c>
      <c r="C16" s="50">
        <v>18.623280119739881</v>
      </c>
      <c r="D16" s="50">
        <v>11862.328011973988</v>
      </c>
      <c r="E16" s="50">
        <v>20.187809671383295</v>
      </c>
      <c r="F16" s="50">
        <v>17361.26082518429</v>
      </c>
      <c r="G16" s="50">
        <v>11.817350978189477</v>
      </c>
      <c r="H16" s="50">
        <v>17480.183875654362</v>
      </c>
      <c r="I16" s="50">
        <v>8.5439053993097591</v>
      </c>
      <c r="J16" s="50">
        <v>21198.344230220224</v>
      </c>
    </row>
    <row r="17" spans="2:10">
      <c r="B17" s="49" t="s">
        <v>204</v>
      </c>
      <c r="C17" s="50">
        <v>16.89271885634238</v>
      </c>
      <c r="D17" s="50">
        <v>11689.271885634238</v>
      </c>
      <c r="E17" s="50">
        <v>17.245435203917879</v>
      </c>
      <c r="F17" s="50">
        <v>16117.134459961315</v>
      </c>
      <c r="G17" s="50">
        <v>15.025443505265002</v>
      </c>
      <c r="H17" s="50">
        <v>20135.832147762078</v>
      </c>
      <c r="I17" s="50">
        <v>13.364911548990355</v>
      </c>
      <c r="J17" s="50">
        <v>31569.178205734821</v>
      </c>
    </row>
    <row r="18" spans="2:10">
      <c r="B18" s="49" t="s">
        <v>207</v>
      </c>
      <c r="C18" s="51">
        <v>32.36</v>
      </c>
      <c r="D18" s="52"/>
      <c r="E18" s="51">
        <v>24.02</v>
      </c>
      <c r="F18" s="52"/>
      <c r="G18" s="51">
        <v>21.39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2022-03-01T07:09:40Z</dcterms:created>
  <dcterms:modified xsi:type="dcterms:W3CDTF">2022-03-07T03:25:34Z</dcterms:modified>
</cp:coreProperties>
</file>