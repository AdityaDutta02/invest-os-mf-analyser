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DF-Risk-O-Meter &amp; Portfolio" sheetId="1" r:id="rId1"/>
    <sheet name="TDF - Perfromance" sheetId="2" r:id="rId2"/>
  </sheets>
  <externalReferences>
    <externalReference r:id="rId3"/>
  </externalReferences>
  <definedNames>
    <definedName name="XDO_?CLASS_3?2?">'TDF-Risk-O-Meter &amp; Portfolio'!$C$8:$C$51</definedName>
    <definedName name="XDO_?FINAL_ISIN?3?">'TDF-Risk-O-Meter &amp; Portfolio'!$D$10:$D$51</definedName>
    <definedName name="XDO_?FINAL_ISIN?4?">'TDF-Risk-O-Meter &amp; Portfolio'!$D$10:$D$93</definedName>
    <definedName name="XDO_?FINAL_MV?3?">'TDF-Risk-O-Meter &amp; Portfolio'!$H$10:$H$51</definedName>
    <definedName name="XDO_?FINAL_MV?4?">'TDF-Risk-O-Meter &amp; Portfolio'!$H$10:$H$93</definedName>
    <definedName name="XDO_?FINAL_NAME?3?">'TDF-Risk-O-Meter &amp; Portfolio'!$C$10:$C$51</definedName>
    <definedName name="XDO_?FINAL_NAME?4?">'TDF-Risk-O-Meter &amp; Portfolio'!$C$10:$C$93</definedName>
    <definedName name="XDO_?FINAL_PER_NET?3?">'TDF-Risk-O-Meter &amp; Portfolio'!$I$10:$I$51</definedName>
    <definedName name="XDO_?FINAL_PER_NET?4?">'TDF-Risk-O-Meter &amp; Portfolio'!$I$10:$I$93</definedName>
    <definedName name="XDO_?FINAL_QUANTITE?3?">'TDF-Risk-O-Meter &amp; Portfolio'!$G$10:$G$51</definedName>
    <definedName name="XDO_?FINAL_QUANTITE?4?">'TDF-Risk-O-Meter &amp; Portfolio'!$G$10:$G$93</definedName>
    <definedName name="XDO_?IND_01?3?">'TDF-Risk-O-Meter &amp; Portfolio'!$F$10:$F$51</definedName>
    <definedName name="XDO_?IND_01?4?">'TDF-Risk-O-Meter &amp; Portfolio'!$F$10:$F$93</definedName>
    <definedName name="XDO_?NAMC?">[1]TBF!#REF!</definedName>
    <definedName name="XDO_?NAMC?1?">[1]TBFS!#REF!</definedName>
    <definedName name="XDO_?NAMC?2?">'TDF-Risk-O-Meter &amp; Portfolio'!#REF!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'TDF-Risk-O-Meter &amp; Portfolio'!$C$2:$C$51</definedName>
    <definedName name="XDO_?NDATE?">[1]TBF!#REF!</definedName>
    <definedName name="XDO_?NDATE?1?">[1]TBFS!#REF!</definedName>
    <definedName name="XDO_?NDATE?2?">'TDF-Risk-O-Meter &amp; Portfolio'!#REF!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'TDF-Risk-O-Meter &amp; Portfolio'!#REF!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'TDF-Risk-O-Meter &amp; Portfolio'!$B$10:$B$51</definedName>
    <definedName name="XDO_?NOVAL?4?">'TDF-Risk-O-Meter &amp; Portfolio'!$B$10:$B$93</definedName>
    <definedName name="XDO_?NPTF?2?">'TDF-Risk-O-Meter &amp; Portfolio'!$D$2:$D$51</definedName>
    <definedName name="XDO_?RATING?3?">'TDF-Risk-O-Meter &amp; Portfolio'!$E$10:$E$51</definedName>
    <definedName name="XDO_?RATING?4?">'TDF-Risk-O-Meter &amp; Portfolio'!$E$10:$E$93</definedName>
    <definedName name="XDO_?REMARKS?3?">'TDF-Risk-O-Meter &amp; Portfolio'!$J$10:$J$51</definedName>
    <definedName name="XDO_?REMARKS?4?">'TDF-Risk-O-Meter &amp; Portfolio'!$J$10:$J$93</definedName>
    <definedName name="XDO_?TITL?2?">'TDF-Risk-O-Meter &amp; Portfolio'!$A$8:$A$51</definedName>
    <definedName name="XDO_GROUP_?G_2?2?">'TDF-Risk-O-Meter &amp; Portfolio'!$2:$96</definedName>
    <definedName name="XDO_GROUP_?G_3?2?">'TDF-Risk-O-Meter &amp; Portfolio'!$8:$95</definedName>
    <definedName name="XDO_GROUP_?G_4?3?">'TDF-Risk-O-Meter &amp; Portfolio'!$B$10:$IV$51</definedName>
    <definedName name="XDO_GROUP_?G_4?4?">'TDF-Risk-O-Meter &amp; Portfolio'!$B$93:$IV$93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6" i="1"/>
</calcChain>
</file>

<file path=xl/sharedStrings.xml><?xml version="1.0" encoding="utf-8"?>
<sst xmlns="http://schemas.openxmlformats.org/spreadsheetml/2006/main" count="280" uniqueCount="205">
  <si>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</si>
  <si>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</si>
  <si>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</si>
  <si>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</si>
  <si>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</si>
  <si>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</si>
  <si>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</si>
  <si>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</si>
  <si>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</si>
  <si>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</si>
  <si>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</si>
  <si>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</si>
  <si>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</si>
  <si>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</si>
  <si>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</si>
  <si>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101348</t>
  </si>
  <si>
    <t>Ami Organics Ltd.</t>
  </si>
  <si>
    <t>INE00FF01017</t>
  </si>
  <si>
    <t>Pharmaceuticals &amp; Biotechnology</t>
  </si>
  <si>
    <t>100281</t>
  </si>
  <si>
    <t>Century Textiles &amp; Industries Ltd.</t>
  </si>
  <si>
    <t>INE055A01016</t>
  </si>
  <si>
    <t>Paper, Forest &amp; Jute Products</t>
  </si>
  <si>
    <t>100665</t>
  </si>
  <si>
    <t>Aditya Birla Capital Ltd.</t>
  </si>
  <si>
    <t>INE674K01013</t>
  </si>
  <si>
    <t>Insurance</t>
  </si>
  <si>
    <t>101412</t>
  </si>
  <si>
    <t>Punjab Chemicals &amp; Crop Protection Ltd.</t>
  </si>
  <si>
    <t>INE277B01014</t>
  </si>
  <si>
    <t>Fertilizers &amp; Agrochemicals</t>
  </si>
  <si>
    <t>100271</t>
  </si>
  <si>
    <t>Balkrishna Industries Ltd.</t>
  </si>
  <si>
    <t>INE787D01026</t>
  </si>
  <si>
    <t>Auto Components</t>
  </si>
  <si>
    <t>100476</t>
  </si>
  <si>
    <t>Caplin Point Laboratories Ltd.</t>
  </si>
  <si>
    <t>INE475E01026</t>
  </si>
  <si>
    <t>100055</t>
  </si>
  <si>
    <t>The Federal Bank Ltd.</t>
  </si>
  <si>
    <t>INE171A01029</t>
  </si>
  <si>
    <t>Banks</t>
  </si>
  <si>
    <t>100843</t>
  </si>
  <si>
    <t>Dalmia Bharat Ltd.</t>
  </si>
  <si>
    <t>INE00R701025</t>
  </si>
  <si>
    <t>Cement &amp; Cement Products</t>
  </si>
  <si>
    <t>100398</t>
  </si>
  <si>
    <t>Aditya Birla Fashion and Retail Ltd.</t>
  </si>
  <si>
    <t>INE647O01011</t>
  </si>
  <si>
    <t>Retailing</t>
  </si>
  <si>
    <t>100325</t>
  </si>
  <si>
    <t>Bajaj Holdings &amp; Investment Ltd.</t>
  </si>
  <si>
    <t>INE118A01012</t>
  </si>
  <si>
    <t>Finance</t>
  </si>
  <si>
    <t>101152</t>
  </si>
  <si>
    <t>Sumitomo Chemical India Ltd.</t>
  </si>
  <si>
    <t>INE258G01013</t>
  </si>
  <si>
    <t>101415</t>
  </si>
  <si>
    <t>HINDUSTAN OIL EXPLORATION CO.LTD.</t>
  </si>
  <si>
    <t>INE345A01011</t>
  </si>
  <si>
    <t>Oil</t>
  </si>
  <si>
    <t>100161</t>
  </si>
  <si>
    <t>Cummins India Ltd.</t>
  </si>
  <si>
    <t>INE298A01020</t>
  </si>
  <si>
    <t>Industrial Products</t>
  </si>
  <si>
    <t>101522</t>
  </si>
  <si>
    <t>Hariom Pipe Industries Ltd.</t>
  </si>
  <si>
    <t>INE00EV01017</t>
  </si>
  <si>
    <t>100371</t>
  </si>
  <si>
    <t>Sun TV Network Ltd.</t>
  </si>
  <si>
    <t>INE424H01027</t>
  </si>
  <si>
    <t>Entertainment</t>
  </si>
  <si>
    <t>100423</t>
  </si>
  <si>
    <t>Maharashtra Seamless Ltd.</t>
  </si>
  <si>
    <t>INE271B01025</t>
  </si>
  <si>
    <t>100399</t>
  </si>
  <si>
    <t>Cholamandalam Investment &amp; Finance Co. Ltd.</t>
  </si>
  <si>
    <t>INE121A01024</t>
  </si>
  <si>
    <t>100090</t>
  </si>
  <si>
    <t>Bharat Forge Ltd.</t>
  </si>
  <si>
    <t>INE465A01025</t>
  </si>
  <si>
    <t>100035</t>
  </si>
  <si>
    <t>NMDC Ltd.</t>
  </si>
  <si>
    <t>INE584A01023</t>
  </si>
  <si>
    <t>Minerals &amp; Mining</t>
  </si>
  <si>
    <t>100050</t>
  </si>
  <si>
    <t>Trent Ltd.</t>
  </si>
  <si>
    <t>INE849A01020</t>
  </si>
  <si>
    <t>100435</t>
  </si>
  <si>
    <t>Crompton Greaves Consumer Electricals Ltd.</t>
  </si>
  <si>
    <t>INE299U01018</t>
  </si>
  <si>
    <t>Consumer Durables</t>
  </si>
  <si>
    <t>100088</t>
  </si>
  <si>
    <t>Bharat Heavy Electricals Ltd.</t>
  </si>
  <si>
    <t>INE257A01026</t>
  </si>
  <si>
    <t>Electrical Equipment</t>
  </si>
  <si>
    <t>100235</t>
  </si>
  <si>
    <t>CRISIL Ltd.</t>
  </si>
  <si>
    <t>INE007A01025</t>
  </si>
  <si>
    <t>100122</t>
  </si>
  <si>
    <t>Union Bank of India</t>
  </si>
  <si>
    <t>INE692A01016</t>
  </si>
  <si>
    <t>100143</t>
  </si>
  <si>
    <t>Thermax Ltd.</t>
  </si>
  <si>
    <t>INE152A01029</t>
  </si>
  <si>
    <t>100260</t>
  </si>
  <si>
    <t>Solar Industries India Ltd.</t>
  </si>
  <si>
    <t>INE343H01029</t>
  </si>
  <si>
    <t>Chemicals &amp; Petrochemicals</t>
  </si>
  <si>
    <t>100016</t>
  </si>
  <si>
    <t>Gujarat Mineral Development Corporation Ltd.</t>
  </si>
  <si>
    <t>INE131A01031</t>
  </si>
  <si>
    <t>100284</t>
  </si>
  <si>
    <t>Dr. Lal Path labs Ltd.</t>
  </si>
  <si>
    <t>INE600L01024</t>
  </si>
  <si>
    <t>Healthcare Services</t>
  </si>
  <si>
    <t>100234</t>
  </si>
  <si>
    <t>Coforge Ltd.</t>
  </si>
  <si>
    <t>INE591G01017</t>
  </si>
  <si>
    <t>IT - Software</t>
  </si>
  <si>
    <t>100461</t>
  </si>
  <si>
    <t>Astral Limited</t>
  </si>
  <si>
    <t>INE006I01046</t>
  </si>
  <si>
    <t>100116</t>
  </si>
  <si>
    <t>Sundaram Finance Ltd.</t>
  </si>
  <si>
    <t>INE660A01013</t>
  </si>
  <si>
    <t>100144</t>
  </si>
  <si>
    <t>Voltas Ltd.</t>
  </si>
  <si>
    <t>INE226A01021</t>
  </si>
  <si>
    <t>100026</t>
  </si>
  <si>
    <t>Persistent Systems Ltd.</t>
  </si>
  <si>
    <t>INE262H01013</t>
  </si>
  <si>
    <t>100718</t>
  </si>
  <si>
    <t>Network18 Media &amp; Investments Ltd.</t>
  </si>
  <si>
    <t>INE870H01013</t>
  </si>
  <si>
    <t>100114</t>
  </si>
  <si>
    <t>Shriram Transport Finance Company Ltd.</t>
  </si>
  <si>
    <t>INE721A01013</t>
  </si>
  <si>
    <t>100056</t>
  </si>
  <si>
    <t>Supreme Industries Ltd.</t>
  </si>
  <si>
    <t>INE195A01028</t>
  </si>
  <si>
    <t>100315</t>
  </si>
  <si>
    <t>Prestige Estates Projects Ltd.</t>
  </si>
  <si>
    <t>INE811K01011</t>
  </si>
  <si>
    <t>Realty</t>
  </si>
  <si>
    <t>100068</t>
  </si>
  <si>
    <t>Kansai Nerolac Paints Ltd.</t>
  </si>
  <si>
    <t>INE531A01024</t>
  </si>
  <si>
    <t>100104</t>
  </si>
  <si>
    <t>Kotak Mahindra Bank Ltd.</t>
  </si>
  <si>
    <t>INE237A01028</t>
  </si>
  <si>
    <t>101493</t>
  </si>
  <si>
    <t>Meghmani Finechem Ltd.</t>
  </si>
  <si>
    <t>INE071N01016</t>
  </si>
  <si>
    <t>100059</t>
  </si>
  <si>
    <t>Godrej Industries Ltd.</t>
  </si>
  <si>
    <t>INE233A01035</t>
  </si>
  <si>
    <t>Food Products</t>
  </si>
  <si>
    <t>100378</t>
  </si>
  <si>
    <t>Jindal Steel &amp; Power Ltd.</t>
  </si>
  <si>
    <t>INE749A01030</t>
  </si>
  <si>
    <t>Ferrous Metals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</si>
  <si>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</si>
  <si>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</si>
  <si>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</si>
  <si>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</si>
  <si>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</si>
  <si>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</si>
  <si>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</si>
  <si>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</si>
  <si>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</si>
  <si>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</si>
  <si>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</si>
  <si>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</si>
  <si>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</si>
  <si>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</si>
  <si>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</si>
  <si>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</si>
  <si>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</si>
  <si>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</si>
  <si>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</si>
  <si>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</si>
  <si>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</si>
  <si>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</si>
  <si>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</si>
  <si>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</si>
  <si>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</si>
  <si>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</si>
  <si>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</si>
  <si>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</si>
  <si>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</si>
  <si>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</si>
  <si>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</si>
  <si>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</si>
  <si>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</si>
  <si>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</si>
  <si>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</si>
  <si>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</si>
  <si>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</si>
  <si>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</si>
  <si>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</si>
  <si>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June 30, 2022 : 64.60)</t>
  </si>
  <si>
    <t>Taurus Discovery (Midcap) Fund-Direct Plan-Growth Option</t>
  </si>
  <si>
    <t>NAV [Rs.] Per Unit (as on June 30, 2022 : 67.42)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</si>
  <si>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Nifty Midcap 150 TRI is not available for inception date of Taurus Discovery (Midcap)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</si>
</sst>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0</xdr:row>
      <xdr:rowOff>0</xdr:rowOff>
    </xdr:from>
    <xdr:to>
      <xdr:col>5</xdr:col>
      <xdr:colOff>115147</xdr:colOff>
      <xdr:row>0</xdr:row>
      <xdr:rowOff>2167128</xdr:rowOff>
    </xdr:to>
    <xdr:pic>
      <xdr:nvPicPr>
        <xdr:cNvPr id="2" name="Picture 1" descr="Taurus Discovery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320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2184400</xdr:rowOff>
    </xdr:from>
    <xdr:to>
      <xdr:col>5</xdr:col>
      <xdr:colOff>89747</xdr:colOff>
      <xdr:row>0</xdr:row>
      <xdr:rowOff>4473448</xdr:rowOff>
    </xdr:to>
    <xdr:pic>
      <xdr:nvPicPr>
        <xdr:cNvPr id="3" name="Picture 2" descr="for half yearly - Taurus Discovery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2184400"/>
          <a:ext cx="7040880" cy="228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une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2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9.2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44742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34631</v>
      </c>
      <c r="H10" s="32">
        <v>303.58999999999997</v>
      </c>
      <c r="I10" s="32">
        <v>4.53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36741</v>
      </c>
      <c r="H11" s="32">
        <v>294.86</v>
      </c>
      <c r="I11" s="32">
        <v>4.4000000000000004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273065</v>
      </c>
      <c r="H12" s="32">
        <v>243.98</v>
      </c>
      <c r="I12" s="32">
        <v>3.64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20468</v>
      </c>
      <c r="H13" s="32">
        <v>240.99</v>
      </c>
      <c r="I13" s="32">
        <v>3.59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11133</v>
      </c>
      <c r="H14" s="32">
        <v>240.01</v>
      </c>
      <c r="I14" s="32">
        <v>3.58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18</v>
      </c>
      <c r="G15" s="31">
        <v>32584</v>
      </c>
      <c r="H15" s="32">
        <v>231.43</v>
      </c>
      <c r="I15" s="32">
        <v>3.45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250942</v>
      </c>
      <c r="H16" s="32">
        <v>226.48</v>
      </c>
      <c r="I16" s="32">
        <v>3.38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16973</v>
      </c>
      <c r="H17" s="32">
        <v>217.82</v>
      </c>
      <c r="I17" s="32">
        <v>3.25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92000</v>
      </c>
      <c r="H18" s="32">
        <v>217.3</v>
      </c>
      <c r="I18" s="32">
        <v>3.24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4672</v>
      </c>
      <c r="H19" s="32">
        <v>216.19</v>
      </c>
      <c r="I19" s="32">
        <v>3.22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30</v>
      </c>
      <c r="G20" s="31">
        <v>50292</v>
      </c>
      <c r="H20" s="32">
        <v>213.14</v>
      </c>
      <c r="I20" s="32">
        <v>3.18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114000</v>
      </c>
      <c r="H21" s="32">
        <v>213.07</v>
      </c>
      <c r="I21" s="32">
        <v>3.18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20253</v>
      </c>
      <c r="H22" s="32">
        <v>206.89</v>
      </c>
      <c r="I22" s="32">
        <v>3.08</v>
      </c>
      <c r="J22" s="33"/>
    </row>
    <row r="23" spans="2:10">
      <c r="B23" s="1" t="s">
        <v>65</v>
      </c>
      <c r="C23" s="20" t="s">
        <v>66</v>
      </c>
      <c r="D23" s="29" t="s">
        <v>67</v>
      </c>
      <c r="E23" s="30"/>
      <c r="F23" s="30" t="s">
        <v>64</v>
      </c>
      <c r="G23" s="31">
        <v>107955</v>
      </c>
      <c r="H23" s="32">
        <v>206.73</v>
      </c>
      <c r="I23" s="32">
        <v>3.08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44936</v>
      </c>
      <c r="H24" s="32">
        <v>185.36</v>
      </c>
      <c r="I24" s="32">
        <v>2.76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64</v>
      </c>
      <c r="G25" s="31">
        <v>29000</v>
      </c>
      <c r="H25" s="32">
        <v>183.06</v>
      </c>
      <c r="I25" s="32">
        <v>2.73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53</v>
      </c>
      <c r="G26" s="31">
        <v>29200</v>
      </c>
      <c r="H26" s="32">
        <v>180.95</v>
      </c>
      <c r="I26" s="32">
        <v>2.7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64</v>
      </c>
      <c r="G27" s="31">
        <v>27260</v>
      </c>
      <c r="H27" s="32">
        <v>177.67</v>
      </c>
      <c r="I27" s="32">
        <v>2.65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154991</v>
      </c>
      <c r="H28" s="32">
        <v>167.31</v>
      </c>
      <c r="I28" s="32">
        <v>2.4900000000000002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49</v>
      </c>
      <c r="G29" s="31">
        <v>14600</v>
      </c>
      <c r="H29" s="32">
        <v>156.87</v>
      </c>
      <c r="I29" s="32">
        <v>2.34</v>
      </c>
      <c r="J29" s="33"/>
    </row>
    <row r="30" spans="2:10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46000</v>
      </c>
      <c r="H30" s="32">
        <v>156.58000000000001</v>
      </c>
      <c r="I30" s="32">
        <v>2.33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321096</v>
      </c>
      <c r="H31" s="32">
        <v>144.49</v>
      </c>
      <c r="I31" s="32">
        <v>2.15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53</v>
      </c>
      <c r="G32" s="31">
        <v>4323</v>
      </c>
      <c r="H32" s="32">
        <v>142.16</v>
      </c>
      <c r="I32" s="32">
        <v>2.12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41</v>
      </c>
      <c r="G33" s="31">
        <v>410517</v>
      </c>
      <c r="H33" s="32">
        <v>140.6</v>
      </c>
      <c r="I33" s="32">
        <v>2.1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95</v>
      </c>
      <c r="G34" s="31">
        <v>6500</v>
      </c>
      <c r="H34" s="32">
        <v>136.66</v>
      </c>
      <c r="I34" s="32">
        <v>2.04</v>
      </c>
      <c r="J34" s="33"/>
    </row>
    <row r="35" spans="2:10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4951</v>
      </c>
      <c r="H35" s="32">
        <v>135.80000000000001</v>
      </c>
      <c r="I35" s="32">
        <v>2.02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84</v>
      </c>
      <c r="G36" s="31">
        <v>96365</v>
      </c>
      <c r="H36" s="32">
        <v>130.24</v>
      </c>
      <c r="I36" s="32">
        <v>1.94</v>
      </c>
      <c r="J36" s="33"/>
    </row>
    <row r="37" spans="2:10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6007</v>
      </c>
      <c r="H37" s="32">
        <v>129.87</v>
      </c>
      <c r="I37" s="32">
        <v>1.94</v>
      </c>
      <c r="J37" s="33"/>
    </row>
    <row r="38" spans="2:10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3460</v>
      </c>
      <c r="H38" s="32">
        <v>122.49</v>
      </c>
      <c r="I38" s="32">
        <v>1.83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64</v>
      </c>
      <c r="G39" s="31">
        <v>7097</v>
      </c>
      <c r="H39" s="32">
        <v>117.5</v>
      </c>
      <c r="I39" s="32">
        <v>1.75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53</v>
      </c>
      <c r="G40" s="31">
        <v>6385</v>
      </c>
      <c r="H40" s="32">
        <v>112.87</v>
      </c>
      <c r="I40" s="32">
        <v>1.68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91</v>
      </c>
      <c r="G41" s="31">
        <v>11035</v>
      </c>
      <c r="H41" s="32">
        <v>107.35</v>
      </c>
      <c r="I41" s="32">
        <v>1.6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119</v>
      </c>
      <c r="G42" s="31">
        <v>3036</v>
      </c>
      <c r="H42" s="32">
        <v>103.54</v>
      </c>
      <c r="I42" s="32">
        <v>1.54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71</v>
      </c>
      <c r="G43" s="31">
        <v>149599</v>
      </c>
      <c r="H43" s="32">
        <v>103.15</v>
      </c>
      <c r="I43" s="32">
        <v>1.54</v>
      </c>
      <c r="J43" s="33"/>
    </row>
    <row r="44" spans="2:10">
      <c r="B44" s="1" t="s">
        <v>135</v>
      </c>
      <c r="C44" s="20" t="s">
        <v>136</v>
      </c>
      <c r="D44" s="29" t="s">
        <v>137</v>
      </c>
      <c r="E44" s="30"/>
      <c r="F44" s="30" t="s">
        <v>53</v>
      </c>
      <c r="G44" s="31">
        <v>7600</v>
      </c>
      <c r="H44" s="32">
        <v>97.55</v>
      </c>
      <c r="I44" s="32">
        <v>1.45</v>
      </c>
      <c r="J44" s="33"/>
    </row>
    <row r="45" spans="2:10">
      <c r="B45" s="1" t="s">
        <v>138</v>
      </c>
      <c r="C45" s="20" t="s">
        <v>139</v>
      </c>
      <c r="D45" s="29" t="s">
        <v>140</v>
      </c>
      <c r="E45" s="30"/>
      <c r="F45" s="30" t="s">
        <v>64</v>
      </c>
      <c r="G45" s="31">
        <v>5250</v>
      </c>
      <c r="H45" s="32">
        <v>92.74</v>
      </c>
      <c r="I45" s="32">
        <v>1.38</v>
      </c>
      <c r="J45" s="33"/>
    </row>
    <row r="46" spans="2:10">
      <c r="B46" s="1" t="s">
        <v>141</v>
      </c>
      <c r="C46" s="20" t="s">
        <v>142</v>
      </c>
      <c r="D46" s="29" t="s">
        <v>143</v>
      </c>
      <c r="E46" s="30"/>
      <c r="F46" s="30" t="s">
        <v>144</v>
      </c>
      <c r="G46" s="31">
        <v>23988</v>
      </c>
      <c r="H46" s="32">
        <v>92.73</v>
      </c>
      <c r="I46" s="32">
        <v>1.38</v>
      </c>
      <c r="J46" s="33"/>
    </row>
    <row r="47" spans="2:10">
      <c r="B47" s="1" t="s">
        <v>145</v>
      </c>
      <c r="C47" s="20" t="s">
        <v>146</v>
      </c>
      <c r="D47" s="29" t="s">
        <v>147</v>
      </c>
      <c r="E47" s="30"/>
      <c r="F47" s="30" t="s">
        <v>91</v>
      </c>
      <c r="G47" s="31">
        <v>24905</v>
      </c>
      <c r="H47" s="32">
        <v>92.1</v>
      </c>
      <c r="I47" s="32">
        <v>1.37</v>
      </c>
      <c r="J47" s="33"/>
    </row>
    <row r="48" spans="2:10">
      <c r="B48" s="1" t="s">
        <v>148</v>
      </c>
      <c r="C48" s="20" t="s">
        <v>149</v>
      </c>
      <c r="D48" s="29" t="s">
        <v>150</v>
      </c>
      <c r="E48" s="30"/>
      <c r="F48" s="30" t="s">
        <v>41</v>
      </c>
      <c r="G48" s="31">
        <v>5066</v>
      </c>
      <c r="H48" s="32">
        <v>84.14</v>
      </c>
      <c r="I48" s="32">
        <v>1.25</v>
      </c>
      <c r="J48" s="33"/>
    </row>
    <row r="49" spans="2:10">
      <c r="B49" s="1" t="s">
        <v>151</v>
      </c>
      <c r="C49" s="20" t="s">
        <v>152</v>
      </c>
      <c r="D49" s="29" t="s">
        <v>153</v>
      </c>
      <c r="E49" s="30"/>
      <c r="F49" s="30" t="s">
        <v>108</v>
      </c>
      <c r="G49" s="31">
        <v>5124</v>
      </c>
      <c r="H49" s="32">
        <v>65.02</v>
      </c>
      <c r="I49" s="32">
        <v>0.97</v>
      </c>
      <c r="J49" s="33"/>
    </row>
    <row r="50" spans="2:10">
      <c r="B50" s="1" t="s">
        <v>154</v>
      </c>
      <c r="C50" s="20" t="s">
        <v>155</v>
      </c>
      <c r="D50" s="29" t="s">
        <v>156</v>
      </c>
      <c r="E50" s="30"/>
      <c r="F50" s="30" t="s">
        <v>157</v>
      </c>
      <c r="G50" s="31">
        <v>5844</v>
      </c>
      <c r="H50" s="32">
        <v>25.3</v>
      </c>
      <c r="I50" s="32">
        <v>0.38</v>
      </c>
      <c r="J50" s="33"/>
    </row>
    <row r="51" spans="2:10">
      <c r="B51" s="1" t="s">
        <v>158</v>
      </c>
      <c r="C51" s="20" t="s">
        <v>159</v>
      </c>
      <c r="D51" s="29" t="s">
        <v>160</v>
      </c>
      <c r="E51" s="30"/>
      <c r="F51" s="30" t="s">
        <v>161</v>
      </c>
      <c r="G51" s="31">
        <v>4000</v>
      </c>
      <c r="H51" s="32">
        <v>13.16</v>
      </c>
      <c r="I51" s="32">
        <v>0.2</v>
      </c>
      <c r="J51" s="33"/>
    </row>
    <row r="52" spans="2:10">
      <c r="C52" s="28" t="s">
        <v>162</v>
      </c>
      <c r="D52" s="29"/>
      <c r="E52" s="30"/>
      <c r="F52" s="30"/>
      <c r="G52" s="31"/>
      <c r="H52" s="35">
        <v>6669.74</v>
      </c>
      <c r="I52" s="35">
        <v>99.43</v>
      </c>
      <c r="J52" s="33"/>
    </row>
    <row r="53" spans="2:10">
      <c r="C53" s="20"/>
      <c r="D53" s="29"/>
      <c r="E53" s="30"/>
      <c r="F53" s="30"/>
      <c r="G53" s="31"/>
      <c r="H53" s="32"/>
      <c r="I53" s="32"/>
      <c r="J53" s="33"/>
    </row>
    <row r="54" spans="2:10">
      <c r="C54" s="28" t="s">
        <v>163</v>
      </c>
      <c r="D54" s="29"/>
      <c r="E54" s="30"/>
      <c r="F54" s="30"/>
      <c r="G54" s="31"/>
      <c r="H54" s="32" t="s">
        <v>164</v>
      </c>
      <c r="I54" s="32" t="s">
        <v>164</v>
      </c>
      <c r="J54" s="33"/>
    </row>
    <row r="55" spans="2:10">
      <c r="C55" s="20"/>
      <c r="D55" s="29"/>
      <c r="E55" s="30"/>
      <c r="F55" s="30"/>
      <c r="G55" s="31"/>
      <c r="H55" s="32"/>
      <c r="I55" s="32"/>
      <c r="J55" s="33"/>
    </row>
    <row r="56" spans="2:10">
      <c r="C56" s="28" t="s">
        <v>165</v>
      </c>
      <c r="D56" s="29"/>
      <c r="E56" s="30"/>
      <c r="F56" s="30"/>
      <c r="G56" s="31"/>
      <c r="H56" s="32" t="s">
        <v>164</v>
      </c>
      <c r="I56" s="32" t="s">
        <v>164</v>
      </c>
      <c r="J56" s="33"/>
    </row>
    <row r="57" spans="2:10">
      <c r="C57" s="20"/>
      <c r="D57" s="29"/>
      <c r="E57" s="30"/>
      <c r="F57" s="30"/>
      <c r="G57" s="31"/>
      <c r="H57" s="32"/>
      <c r="I57" s="32"/>
      <c r="J57" s="33"/>
    </row>
    <row r="58" spans="2:10">
      <c r="C58" s="28" t="s">
        <v>166</v>
      </c>
      <c r="D58" s="29"/>
      <c r="E58" s="30"/>
      <c r="F58" s="30"/>
      <c r="G58" s="31"/>
      <c r="H58" s="32"/>
      <c r="I58" s="32"/>
      <c r="J58" s="33"/>
    </row>
    <row r="59" spans="2:10">
      <c r="C59" s="20"/>
      <c r="D59" s="29"/>
      <c r="E59" s="30"/>
      <c r="F59" s="30"/>
      <c r="G59" s="31"/>
      <c r="H59" s="32"/>
      <c r="I59" s="32"/>
      <c r="J59" s="33"/>
    </row>
    <row r="60" spans="2:10">
      <c r="C60" s="28" t="s">
        <v>167</v>
      </c>
      <c r="D60" s="29"/>
      <c r="E60" s="30"/>
      <c r="F60" s="30"/>
      <c r="G60" s="31"/>
      <c r="H60" s="32" t="s">
        <v>164</v>
      </c>
      <c r="I60" s="32" t="s">
        <v>164</v>
      </c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168</v>
      </c>
      <c r="D62" s="29"/>
      <c r="E62" s="30"/>
      <c r="F62" s="30"/>
      <c r="G62" s="31"/>
      <c r="H62" s="32" t="s">
        <v>164</v>
      </c>
      <c r="I62" s="32" t="s">
        <v>164</v>
      </c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169</v>
      </c>
      <c r="D64" s="29"/>
      <c r="E64" s="30"/>
      <c r="F64" s="30"/>
      <c r="G64" s="31"/>
      <c r="H64" s="32" t="s">
        <v>164</v>
      </c>
      <c r="I64" s="32" t="s">
        <v>164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170</v>
      </c>
      <c r="D66" s="29"/>
      <c r="E66" s="30"/>
      <c r="F66" s="30"/>
      <c r="G66" s="31"/>
      <c r="H66" s="32" t="s">
        <v>164</v>
      </c>
      <c r="I66" s="32" t="s">
        <v>164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171</v>
      </c>
      <c r="D68" s="29"/>
      <c r="E68" s="30"/>
      <c r="F68" s="30"/>
      <c r="G68" s="31"/>
      <c r="H68" s="32" t="s">
        <v>164</v>
      </c>
      <c r="I68" s="32" t="s">
        <v>164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172</v>
      </c>
      <c r="D70" s="29"/>
      <c r="E70" s="30"/>
      <c r="F70" s="30"/>
      <c r="G70" s="31"/>
      <c r="H70" s="32"/>
      <c r="I70" s="32"/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173</v>
      </c>
      <c r="D72" s="29"/>
      <c r="E72" s="30"/>
      <c r="F72" s="30"/>
      <c r="G72" s="31"/>
      <c r="H72" s="32" t="s">
        <v>164</v>
      </c>
      <c r="I72" s="32" t="s">
        <v>164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174</v>
      </c>
      <c r="D74" s="29"/>
      <c r="E74" s="30"/>
      <c r="F74" s="30"/>
      <c r="G74" s="31"/>
      <c r="H74" s="32" t="s">
        <v>164</v>
      </c>
      <c r="I74" s="32" t="s">
        <v>164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175</v>
      </c>
      <c r="D76" s="29"/>
      <c r="E76" s="30"/>
      <c r="F76" s="30"/>
      <c r="G76" s="31"/>
      <c r="H76" s="32" t="s">
        <v>164</v>
      </c>
      <c r="I76" s="32" t="s">
        <v>164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176</v>
      </c>
      <c r="D78" s="29"/>
      <c r="E78" s="30"/>
      <c r="F78" s="30"/>
      <c r="G78" s="31"/>
      <c r="H78" s="32" t="s">
        <v>164</v>
      </c>
      <c r="I78" s="32" t="s">
        <v>164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177</v>
      </c>
      <c r="D80" s="29"/>
      <c r="E80" s="30"/>
      <c r="F80" s="30"/>
      <c r="G80" s="31"/>
      <c r="H80" s="32"/>
      <c r="I80" s="32"/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178</v>
      </c>
      <c r="D82" s="29"/>
      <c r="E82" s="30"/>
      <c r="F82" s="30"/>
      <c r="G82" s="31"/>
      <c r="H82" s="32" t="s">
        <v>164</v>
      </c>
      <c r="I82" s="32" t="s">
        <v>164</v>
      </c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179</v>
      </c>
      <c r="D84" s="29"/>
      <c r="E84" s="30"/>
      <c r="F84" s="30"/>
      <c r="G84" s="31"/>
      <c r="H84" s="32" t="s">
        <v>164</v>
      </c>
      <c r="I84" s="32" t="s">
        <v>164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180</v>
      </c>
      <c r="D86" s="29"/>
      <c r="E86" s="30"/>
      <c r="F86" s="30"/>
      <c r="G86" s="31"/>
      <c r="H86" s="32" t="s">
        <v>164</v>
      </c>
      <c r="I86" s="32" t="s">
        <v>164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C88" s="28" t="s">
        <v>181</v>
      </c>
      <c r="D88" s="29"/>
      <c r="E88" s="30"/>
      <c r="F88" s="30"/>
      <c r="G88" s="31"/>
      <c r="H88" s="32" t="s">
        <v>164</v>
      </c>
      <c r="I88" s="32" t="s">
        <v>164</v>
      </c>
      <c r="J88" s="33"/>
    </row>
    <row r="89" spans="1:10">
      <c r="C89" s="20"/>
      <c r="D89" s="29"/>
      <c r="E89" s="30"/>
      <c r="F89" s="30"/>
      <c r="G89" s="31"/>
      <c r="H89" s="32"/>
      <c r="I89" s="32"/>
      <c r="J89" s="33"/>
    </row>
    <row r="90" spans="1:10">
      <c r="C90" s="28" t="s">
        <v>182</v>
      </c>
      <c r="D90" s="29"/>
      <c r="E90" s="30"/>
      <c r="F90" s="30"/>
      <c r="G90" s="31"/>
      <c r="H90" s="32" t="s">
        <v>164</v>
      </c>
      <c r="I90" s="32" t="s">
        <v>164</v>
      </c>
      <c r="J90" s="33"/>
    </row>
    <row r="91" spans="1:10">
      <c r="C91" s="20"/>
      <c r="D91" s="29"/>
      <c r="E91" s="30"/>
      <c r="F91" s="30"/>
      <c r="G91" s="31"/>
      <c r="H91" s="32"/>
      <c r="I91" s="32"/>
      <c r="J91" s="33"/>
    </row>
    <row r="92" spans="1:10">
      <c r="A92" s="26"/>
      <c r="B92" s="27"/>
      <c r="C92" s="28" t="s">
        <v>183</v>
      </c>
      <c r="D92" s="29"/>
      <c r="E92" s="30"/>
      <c r="F92" s="30"/>
      <c r="G92" s="31"/>
      <c r="H92" s="32"/>
      <c r="I92" s="32"/>
      <c r="J92" s="33"/>
    </row>
    <row r="93" spans="1:10">
      <c r="B93" s="1"/>
      <c r="C93" s="20" t="s">
        <v>184</v>
      </c>
      <c r="D93" s="29"/>
      <c r="E93" s="30"/>
      <c r="F93" s="30"/>
      <c r="G93" s="31"/>
      <c r="H93" s="32">
        <v>37.47</v>
      </c>
      <c r="I93" s="32">
        <v>0.57000000000000006</v>
      </c>
      <c r="J93" s="33"/>
    </row>
    <row r="94" spans="1:10">
      <c r="C94" s="28" t="s">
        <v>162</v>
      </c>
      <c r="D94" s="29"/>
      <c r="E94" s="30"/>
      <c r="F94" s="30"/>
      <c r="G94" s="31"/>
      <c r="H94" s="35">
        <v>37.47</v>
      </c>
      <c r="I94" s="35">
        <v>0.57000000000000006</v>
      </c>
      <c r="J94" s="33"/>
    </row>
    <row r="95" spans="1:10">
      <c r="C95" s="20"/>
      <c r="D95" s="29"/>
      <c r="E95" s="30"/>
      <c r="F95" s="30"/>
      <c r="G95" s="31"/>
      <c r="H95" s="32"/>
      <c r="I95" s="32"/>
      <c r="J95" s="33"/>
    </row>
    <row r="96" spans="1:10" ht="13.8" thickBot="1">
      <c r="C96" s="36" t="s">
        <v>185</v>
      </c>
      <c r="D96" s="37"/>
      <c r="E96" s="38"/>
      <c r="F96" s="39"/>
      <c r="G96" s="40"/>
      <c r="H96" s="41">
        <v>6707.21</v>
      </c>
      <c r="I96" s="41">
        <f>SUMIFS(I:I,C:C,"Total")</f>
        <v>100</v>
      </c>
      <c r="J96" s="42"/>
    </row>
    <row r="99" spans="3:3">
      <c r="C99" s="11" t="s">
        <v>186</v>
      </c>
    </row>
    <row r="100" spans="3:3">
      <c r="C100" s="2" t="s">
        <v>187</v>
      </c>
    </row>
    <row r="101" spans="3:3">
      <c r="C101" s="2" t="s">
        <v>188</v>
      </c>
    </row>
    <row r="102" spans="3:3">
      <c r="C102" s="2" t="s">
        <v>189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20"/>
  <sheetViews>
    <sheetView workbookViewId="0">
      <selection activeCell="A4" sqref="A4"/>
    </sheetView>
  </sheetViews>
  <sheetFormatPr defaultRowHeight="14.4"/>
  <cols>
    <col min="1" max="1" width="44.7773437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3" t="s">
        <v>190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191</v>
      </c>
      <c r="B5" s="46" t="s">
        <v>192</v>
      </c>
      <c r="C5" s="46"/>
      <c r="D5" s="46" t="s">
        <v>193</v>
      </c>
      <c r="E5" s="46"/>
      <c r="F5" s="46" t="s">
        <v>194</v>
      </c>
      <c r="G5" s="46"/>
      <c r="H5" s="46" t="s">
        <v>195</v>
      </c>
      <c r="I5" s="46"/>
    </row>
    <row r="6" spans="1:9" ht="66">
      <c r="A6" s="47"/>
      <c r="B6" s="48" t="s">
        <v>196</v>
      </c>
      <c r="C6" s="48" t="s">
        <v>197</v>
      </c>
      <c r="D6" s="48" t="s">
        <v>196</v>
      </c>
      <c r="E6" s="48" t="s">
        <v>197</v>
      </c>
      <c r="F6" s="48" t="s">
        <v>196</v>
      </c>
      <c r="G6" s="48" t="s">
        <v>197</v>
      </c>
      <c r="H6" s="48" t="s">
        <v>196</v>
      </c>
      <c r="I6" s="48" t="s">
        <v>197</v>
      </c>
    </row>
    <row r="7" spans="1:9">
      <c r="A7" s="49" t="s">
        <v>198</v>
      </c>
      <c r="B7" s="50">
        <v>-5.9953434225844093</v>
      </c>
      <c r="C7" s="50">
        <v>9400.465657741559</v>
      </c>
      <c r="D7" s="50">
        <v>14.898167643769856</v>
      </c>
      <c r="E7" s="50">
        <v>15185.707569346498</v>
      </c>
      <c r="F7" s="50">
        <v>10.427721141187906</v>
      </c>
      <c r="G7" s="50">
        <v>16425.120772946859</v>
      </c>
      <c r="H7" s="50">
        <v>6.9313126378068413</v>
      </c>
      <c r="I7" s="50">
        <v>64599.999999999993</v>
      </c>
    </row>
    <row r="8" spans="1:9">
      <c r="A8" s="49" t="s">
        <v>199</v>
      </c>
      <c r="B8" s="50">
        <v>-0.38209328434374301</v>
      </c>
      <c r="C8" s="50">
        <v>9961.7906715656263</v>
      </c>
      <c r="D8" s="50">
        <v>17.635582136565063</v>
      </c>
      <c r="E8" s="50">
        <v>16278.56499947999</v>
      </c>
      <c r="F8" s="50">
        <v>11.991087425813941</v>
      </c>
      <c r="G8" s="50">
        <v>17616.4058938868</v>
      </c>
      <c r="H8" s="50">
        <v>0</v>
      </c>
      <c r="I8" s="50">
        <v>0</v>
      </c>
    </row>
    <row r="9" spans="1:9">
      <c r="A9" s="49" t="s">
        <v>200</v>
      </c>
      <c r="B9" s="50">
        <v>1.662072435951667</v>
      </c>
      <c r="C9" s="50">
        <v>10166.207243595167</v>
      </c>
      <c r="D9" s="50">
        <v>11.545504890981984</v>
      </c>
      <c r="E9" s="50">
        <v>13878.93752284471</v>
      </c>
      <c r="F9" s="50">
        <v>12.030099818677375</v>
      </c>
      <c r="G9" s="50">
        <v>17647.110887766743</v>
      </c>
      <c r="H9" s="50">
        <v>10.45856506949281</v>
      </c>
      <c r="I9" s="50">
        <v>159397.62618220021</v>
      </c>
    </row>
    <row r="10" spans="1:9">
      <c r="A10" s="49" t="s">
        <v>201</v>
      </c>
      <c r="B10" s="51">
        <v>68.72</v>
      </c>
      <c r="C10" s="52"/>
      <c r="D10" s="51">
        <v>42.54</v>
      </c>
      <c r="E10" s="52"/>
      <c r="F10" s="51">
        <v>39.33</v>
      </c>
      <c r="G10" s="52"/>
      <c r="H10" s="51">
        <v>10</v>
      </c>
      <c r="I10" s="52"/>
    </row>
    <row r="12" spans="1:9" ht="15.6">
      <c r="A12" s="43" t="s">
        <v>202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191</v>
      </c>
      <c r="B13" s="46" t="s">
        <v>192</v>
      </c>
      <c r="C13" s="46"/>
      <c r="D13" s="46" t="s">
        <v>193</v>
      </c>
      <c r="E13" s="46"/>
      <c r="F13" s="46" t="s">
        <v>194</v>
      </c>
      <c r="G13" s="46"/>
      <c r="H13" s="46" t="s">
        <v>195</v>
      </c>
      <c r="I13" s="46"/>
    </row>
    <row r="14" spans="1:9" ht="66">
      <c r="A14" s="47"/>
      <c r="B14" s="48" t="s">
        <v>196</v>
      </c>
      <c r="C14" s="48" t="s">
        <v>197</v>
      </c>
      <c r="D14" s="48" t="s">
        <v>196</v>
      </c>
      <c r="E14" s="48" t="s">
        <v>197</v>
      </c>
      <c r="F14" s="48" t="s">
        <v>196</v>
      </c>
      <c r="G14" s="48" t="s">
        <v>197</v>
      </c>
      <c r="H14" s="48" t="s">
        <v>196</v>
      </c>
      <c r="I14" s="48" t="s">
        <v>197</v>
      </c>
    </row>
    <row r="15" spans="1:9">
      <c r="A15" s="49" t="s">
        <v>198</v>
      </c>
      <c r="B15" s="50">
        <v>-5.6667133062823556</v>
      </c>
      <c r="C15" s="50">
        <v>9433.3286693717655</v>
      </c>
      <c r="D15" s="50">
        <v>15.337695955658637</v>
      </c>
      <c r="E15" s="50">
        <v>15361.130097972204</v>
      </c>
      <c r="F15" s="50">
        <v>10.883353159374165</v>
      </c>
      <c r="G15" s="50">
        <v>16766.973389704053</v>
      </c>
      <c r="H15" s="50">
        <v>15.11222931472409</v>
      </c>
      <c r="I15" s="50">
        <v>38068.88763410502</v>
      </c>
    </row>
    <row r="16" spans="1:9">
      <c r="A16" s="49" t="s">
        <v>199</v>
      </c>
      <c r="B16" s="50">
        <v>-0.38209328434374301</v>
      </c>
      <c r="C16" s="50">
        <v>9961.7906715656263</v>
      </c>
      <c r="D16" s="50">
        <v>17.635582136565063</v>
      </c>
      <c r="E16" s="50">
        <v>16278.56499947999</v>
      </c>
      <c r="F16" s="50">
        <v>11.991087425813941</v>
      </c>
      <c r="G16" s="50">
        <v>17616.4058938868</v>
      </c>
      <c r="H16" s="50">
        <v>16.101900077092381</v>
      </c>
      <c r="I16" s="50">
        <v>41293.794124646367</v>
      </c>
    </row>
    <row r="17" spans="1:9">
      <c r="A17" s="49" t="s">
        <v>200</v>
      </c>
      <c r="B17" s="50">
        <v>1.662072435951667</v>
      </c>
      <c r="C17" s="50">
        <v>10166.207243595167</v>
      </c>
      <c r="D17" s="50">
        <v>11.545504890981984</v>
      </c>
      <c r="E17" s="50">
        <v>13878.93752284471</v>
      </c>
      <c r="F17" s="50">
        <v>12.030099818677375</v>
      </c>
      <c r="G17" s="50">
        <v>17647.110887766743</v>
      </c>
      <c r="H17" s="50">
        <v>12.197658615772887</v>
      </c>
      <c r="I17" s="50">
        <v>29838.540182620949</v>
      </c>
    </row>
    <row r="18" spans="1:9">
      <c r="A18" s="49" t="s">
        <v>203</v>
      </c>
      <c r="B18" s="51">
        <v>71.47</v>
      </c>
      <c r="C18" s="52"/>
      <c r="D18" s="51">
        <v>43.89</v>
      </c>
      <c r="E18" s="52"/>
      <c r="F18" s="51">
        <v>40.21</v>
      </c>
      <c r="G18" s="52"/>
      <c r="H18" s="51">
        <v>17.71</v>
      </c>
      <c r="I18" s="52"/>
    </row>
    <row r="20" spans="1:9">
      <c r="A20" t="s">
        <v>204</v>
      </c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 - Perfromance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2022-07-03T09:32:46Z</dcterms:created>
  <dcterms:modified xsi:type="dcterms:W3CDTF">2022-07-06T10:59:42Z</dcterms:modified>
</cp:coreProperties>
</file>