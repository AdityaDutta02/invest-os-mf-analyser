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Portfolio'!$C$8:$C$48</definedName>
    <definedName name="XDO_?FINAL_ISIN?3?">'TDF-Risk-O-Meter &amp; Portfolio'!$D$10:$D$48</definedName>
    <definedName name="XDO_?FINAL_ISIN?4?">'TDF-Risk-O-Meter &amp; Portfolio'!$D$10:$D$90</definedName>
    <definedName name="XDO_?FINAL_MV?3?">'TDF-Risk-O-Meter &amp; Portfolio'!$H$10:$H$48</definedName>
    <definedName name="XDO_?FINAL_MV?4?">'TDF-Risk-O-Meter &amp; Portfolio'!$H$10:$H$90</definedName>
    <definedName name="XDO_?FINAL_NAME?3?">'TDF-Risk-O-Meter &amp; Portfolio'!$C$10:$C$48</definedName>
    <definedName name="XDO_?FINAL_NAME?4?">'TDF-Risk-O-Meter &amp; Portfolio'!$C$10:$C$90</definedName>
    <definedName name="XDO_?FINAL_PER_NET?3?">'TDF-Risk-O-Meter &amp; Portfolio'!$I$10:$I$48</definedName>
    <definedName name="XDO_?FINAL_PER_NET?4?">'TDF-Risk-O-Meter &amp; Portfolio'!$I$10:$I$90</definedName>
    <definedName name="XDO_?FINAL_QUANTITE?3?">'TDF-Risk-O-Meter &amp; Portfolio'!$G$10:$G$48</definedName>
    <definedName name="XDO_?FINAL_QUANTITE?4?">'TDF-Risk-O-Meter &amp; Portfolio'!$G$10:$G$90</definedName>
    <definedName name="XDO_?IND_01?3?">'TDF-Risk-O-Meter &amp; Portfolio'!$F$10:$F$48</definedName>
    <definedName name="XDO_?IND_01?4?">'TDF-Risk-O-Meter &amp; Portfolio'!$F$10:$F$90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Portfolio'!$C$2:$C$48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Portfolio'!$B$10:$B$48</definedName>
    <definedName name="XDO_?NOVAL?4?">'TDF-Risk-O-Meter &amp; Portfolio'!$B$10:$B$90</definedName>
    <definedName name="XDO_?NPTF?2?">'TDF-Risk-O-Meter &amp; Portfolio'!$D$2:$D$48</definedName>
    <definedName name="XDO_?RATING?3?">'TDF-Risk-O-Meter &amp; Portfolio'!$E$10:$E$48</definedName>
    <definedName name="XDO_?RATING?4?">'TDF-Risk-O-Meter &amp; Portfolio'!$E$10:$E$90</definedName>
    <definedName name="XDO_?REMARKS?3?">'TDF-Risk-O-Meter &amp; Portfolio'!$J$10:$J$48</definedName>
    <definedName name="XDO_?REMARKS?4?">'TDF-Risk-O-Meter &amp; Portfolio'!$J$10:$J$90</definedName>
    <definedName name="XDO_?TITL?2?">'TDF-Risk-O-Meter &amp; Portfolio'!$A$8:$A$48</definedName>
    <definedName name="XDO_GROUP_?G_2?2?">'TDF-Risk-O-Meter &amp; Portfolio'!$2:$93</definedName>
    <definedName name="XDO_GROUP_?G_3?2?">'TDF-Risk-O-Meter &amp; Portfolio'!$8:$92</definedName>
    <definedName name="XDO_GROUP_?G_4?3?">'TDF-Risk-O-Meter &amp; Portfolio'!$B$10:$IV$48</definedName>
    <definedName name="XDO_GROUP_?G_4?4?">'TDF-Risk-O-Meter &amp; Portfolio'!$B$90:$IV$90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1"/>
</calcChain>
</file>

<file path=xl/sharedStrings.xml><?xml version="1.0" encoding="utf-8"?>
<sst xmlns="http://schemas.openxmlformats.org/spreadsheetml/2006/main" count="268" uniqueCount="195">
  <si>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</si>
  <si>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</si>
  <si>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</si>
  <si>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</si>
  <si>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</si>
  <si>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</si>
  <si>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</si>
  <si>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</si>
  <si>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</si>
  <si>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</si>
  <si>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</si>
  <si>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</si>
  <si>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</si>
  <si>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</si>
  <si>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</si>
  <si>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101348</t>
  </si>
  <si>
    <t>Ami Organics Ltd.</t>
  </si>
  <si>
    <t>INE00FF01017</t>
  </si>
  <si>
    <t>Pharmaceuticals &amp; Biotechnology</t>
  </si>
  <si>
    <t>100281</t>
  </si>
  <si>
    <t>Century Textiles &amp; Industries Ltd.</t>
  </si>
  <si>
    <t>INE055A01016</t>
  </si>
  <si>
    <t>Paper, Forest &amp; Jute Products</t>
  </si>
  <si>
    <t>100740</t>
  </si>
  <si>
    <t>Sterlite Technologies Ltd.</t>
  </si>
  <si>
    <t>INE089C01029</t>
  </si>
  <si>
    <t>Telecom - Services</t>
  </si>
  <si>
    <t>100398</t>
  </si>
  <si>
    <t>Aditya Birla Fashion and Retail Ltd.</t>
  </si>
  <si>
    <t>INE647O01011</t>
  </si>
  <si>
    <t>Retailing</t>
  </si>
  <si>
    <t>100122</t>
  </si>
  <si>
    <t>Union Bank of India</t>
  </si>
  <si>
    <t>INE692A01016</t>
  </si>
  <si>
    <t>Banks</t>
  </si>
  <si>
    <t>100476</t>
  </si>
  <si>
    <t>Caplin Point Laboratories Ltd.</t>
  </si>
  <si>
    <t>INE475E01026</t>
  </si>
  <si>
    <t>101522</t>
  </si>
  <si>
    <t>Hariom Pipe Industries Ltd.</t>
  </si>
  <si>
    <t>INE00EV01017</t>
  </si>
  <si>
    <t>Industrial Products</t>
  </si>
  <si>
    <t>100055</t>
  </si>
  <si>
    <t>The Federal Bank Ltd.</t>
  </si>
  <si>
    <t>INE171A01029</t>
  </si>
  <si>
    <t>100843</t>
  </si>
  <si>
    <t>Dalmia Bharat Ltd.</t>
  </si>
  <si>
    <t>INE00R701025</t>
  </si>
  <si>
    <t>Cement &amp; Cement Products</t>
  </si>
  <si>
    <t>100088</t>
  </si>
  <si>
    <t>Bharat Heavy Electricals Ltd.</t>
  </si>
  <si>
    <t>INE257A01026</t>
  </si>
  <si>
    <t>Electrical Equipment</t>
  </si>
  <si>
    <t>100461</t>
  </si>
  <si>
    <t>Astral Limited</t>
  </si>
  <si>
    <t>INE006I01046</t>
  </si>
  <si>
    <t>100371</t>
  </si>
  <si>
    <t>Sun TV Network Ltd.</t>
  </si>
  <si>
    <t>INE424H01027</t>
  </si>
  <si>
    <t>Entertainment</t>
  </si>
  <si>
    <t>100719</t>
  </si>
  <si>
    <t>Mayur Uniquoters Ltd.</t>
  </si>
  <si>
    <t>INE040D01038</t>
  </si>
  <si>
    <t>Consumer Durables</t>
  </si>
  <si>
    <t>100570</t>
  </si>
  <si>
    <t>K.P.R. Mill Ltd.</t>
  </si>
  <si>
    <t>INE930H01031</t>
  </si>
  <si>
    <t>Textiles &amp; Apparels</t>
  </si>
  <si>
    <t>100112</t>
  </si>
  <si>
    <t>Punjab National Bank</t>
  </si>
  <si>
    <t>INE160A01022</t>
  </si>
  <si>
    <t>101152</t>
  </si>
  <si>
    <t>Sumitomo Chemical India Ltd.</t>
  </si>
  <si>
    <t>INE258G01013</t>
  </si>
  <si>
    <t>Fertilizers &amp; Agrochemicals</t>
  </si>
  <si>
    <t>100026</t>
  </si>
  <si>
    <t>Persistent Systems Ltd.</t>
  </si>
  <si>
    <t>INE262H01013</t>
  </si>
  <si>
    <t>IT - Software</t>
  </si>
  <si>
    <t>100234</t>
  </si>
  <si>
    <t>Coforge Ltd.</t>
  </si>
  <si>
    <t>INE591G01017</t>
  </si>
  <si>
    <t>101415</t>
  </si>
  <si>
    <t>HINDUSTAN OIL EXPLORATION CO.LTD.</t>
  </si>
  <si>
    <t>INE345A01011</t>
  </si>
  <si>
    <t>Oil</t>
  </si>
  <si>
    <t>100271</t>
  </si>
  <si>
    <t>Balkrishna Industries Ltd.</t>
  </si>
  <si>
    <t>INE787D01026</t>
  </si>
  <si>
    <t>Auto Components</t>
  </si>
  <si>
    <t>100161</t>
  </si>
  <si>
    <t>Cummins India Ltd.</t>
  </si>
  <si>
    <t>INE298A01020</t>
  </si>
  <si>
    <t>100435</t>
  </si>
  <si>
    <t>Crompton Greaves Consumer Electricals Ltd.</t>
  </si>
  <si>
    <t>INE299U01018</t>
  </si>
  <si>
    <t>100090</t>
  </si>
  <si>
    <t>Bharat Forge Ltd.</t>
  </si>
  <si>
    <t>INE465A01025</t>
  </si>
  <si>
    <t>100116</t>
  </si>
  <si>
    <t>Sundaram Finance Ltd.</t>
  </si>
  <si>
    <t>INE660A01013</t>
  </si>
  <si>
    <t>Finance</t>
  </si>
  <si>
    <t>100068</t>
  </si>
  <si>
    <t>Kansai Nerolac Paints Ltd.</t>
  </si>
  <si>
    <t>INE531A01024</t>
  </si>
  <si>
    <t>101574</t>
  </si>
  <si>
    <t>Linde India Ltd.</t>
  </si>
  <si>
    <t>INE473A01011</t>
  </si>
  <si>
    <t>Chemicals &amp; Petrochemicals</t>
  </si>
  <si>
    <t>100050</t>
  </si>
  <si>
    <t>Trent Ltd.</t>
  </si>
  <si>
    <t>INE849A01020</t>
  </si>
  <si>
    <t>100163</t>
  </si>
  <si>
    <t>Bosch Ltd.</t>
  </si>
  <si>
    <t>INE323A01026</t>
  </si>
  <si>
    <t>100728</t>
  </si>
  <si>
    <t>Welspun Corp Ltd.</t>
  </si>
  <si>
    <t>INE191B01025</t>
  </si>
  <si>
    <t>100104</t>
  </si>
  <si>
    <t>Kotak Mahindra Bank Ltd.</t>
  </si>
  <si>
    <t>INE237A01028</t>
  </si>
  <si>
    <t>100284</t>
  </si>
  <si>
    <t>Dr. Lal Path labs Ltd.</t>
  </si>
  <si>
    <t>INE600L01024</t>
  </si>
  <si>
    <t>Healthcare Services</t>
  </si>
  <si>
    <t>100471</t>
  </si>
  <si>
    <t>Endurance Technologies Ltd.</t>
  </si>
  <si>
    <t>INE913H01037</t>
  </si>
  <si>
    <t>101412</t>
  </si>
  <si>
    <t>Punjab Chemicals &amp; Crop Protection Ltd.</t>
  </si>
  <si>
    <t>INE277B01014</t>
  </si>
  <si>
    <t>100222</t>
  </si>
  <si>
    <t>The Indian Hotels Company Ltd.</t>
  </si>
  <si>
    <t>INE053A01029</t>
  </si>
  <si>
    <t>Leisure Services</t>
  </si>
  <si>
    <t>100335</t>
  </si>
  <si>
    <t>Kajaria Ceramics Ltd.</t>
  </si>
  <si>
    <t>INE217B01036</t>
  </si>
  <si>
    <t>100260</t>
  </si>
  <si>
    <t>Solar Industries India Ltd.</t>
  </si>
  <si>
    <t>INE343H01029</t>
  </si>
  <si>
    <t>100446</t>
  </si>
  <si>
    <t>V.S.T Tillers Tractors Ltd.</t>
  </si>
  <si>
    <t>INE764D01017</t>
  </si>
  <si>
    <t>Agricultural, Commercial &amp; Construction Vehicles</t>
  </si>
  <si>
    <t>100006</t>
  </si>
  <si>
    <t>HDFC Bank Ltd.</t>
  </si>
  <si>
    <t>INE040A01034</t>
  </si>
  <si>
    <t>100227</t>
  </si>
  <si>
    <t>Jubilant Foodworks Ltd.</t>
  </si>
  <si>
    <t>INE797F01020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</si>
  <si>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</si>
  <si>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</si>
  <si>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</si>
  <si>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</si>
  <si>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</si>
  <si>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</si>
  <si>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</si>
  <si>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</si>
  <si>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</si>
  <si>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</si>
  <si>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</si>
  <si>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</si>
  <si>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</si>
  <si>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</si>
  <si>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</si>
  <si>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</si>
  <si>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</si>
  <si>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</si>
  <si>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</si>
  <si>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</si>
  <si>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</si>
  <si>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</si>
  <si>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</si>
  <si>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</si>
  <si>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</si>
  <si>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</si>
  <si>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</si>
  <si>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</si>
  <si>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</si>
  <si>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</si>
  <si>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</si>
  <si>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</si>
  <si>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</si>
  <si>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</si>
  <si>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</si>
  <si>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</si>
  <si>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</si>
  <si>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</si>
  <si>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</si>
  <si>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November 30, 2022 : 78.41)</t>
  </si>
  <si>
    <t>Taurus Discovery (Midcap) Fund-Direct Plan-Growth Option</t>
  </si>
  <si>
    <t>NAV [Rs.] Per Unit (as on November 30, 2022 : 81.95)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</si>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</sst>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169334</xdr:colOff>
      <xdr:row>0</xdr:row>
      <xdr:rowOff>127000</xdr:rowOff>
    </xdr:from>
    <xdr:to>
      <xdr:col>5</xdr:col>
      <xdr:colOff>32513</xdr:colOff>
      <xdr:row>0</xdr:row>
      <xdr:rowOff>2050288</xdr:rowOff>
    </xdr:to>
    <xdr:pic>
      <xdr:nvPicPr>
        <xdr:cNvPr id="2" name="Picture 1" descr="Discovery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4" y="127000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Nov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9"/>
  <sheetViews>
    <sheetView showGridLines="0" tabSelected="1" zoomScale="90" zoomScaleNormal="90" workbookViewId="0">
      <selection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67.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44895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49250</v>
      </c>
      <c r="H10" s="32">
        <v>479.74</v>
      </c>
      <c r="I10" s="32">
        <v>6.04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44750</v>
      </c>
      <c r="H11" s="32">
        <v>362.09</v>
      </c>
      <c r="I11" s="32">
        <v>4.5599999999999996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200000</v>
      </c>
      <c r="H12" s="32">
        <v>354.7</v>
      </c>
      <c r="I12" s="32">
        <v>4.46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110000</v>
      </c>
      <c r="H13" s="32">
        <v>345.95</v>
      </c>
      <c r="I13" s="32">
        <v>4.3499999999999996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415000</v>
      </c>
      <c r="H14" s="32">
        <v>338.85</v>
      </c>
      <c r="I14" s="32">
        <v>4.2699999999999996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18</v>
      </c>
      <c r="G15" s="31">
        <v>40000</v>
      </c>
      <c r="H15" s="32">
        <v>301.83999999999997</v>
      </c>
      <c r="I15" s="32">
        <v>3.8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95000</v>
      </c>
      <c r="H16" s="32">
        <v>300.44</v>
      </c>
      <c r="I16" s="32">
        <v>3.78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34</v>
      </c>
      <c r="G17" s="31">
        <v>210000</v>
      </c>
      <c r="H17" s="32">
        <v>275.94</v>
      </c>
      <c r="I17" s="32">
        <v>3.47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15000</v>
      </c>
      <c r="H18" s="32">
        <v>272.92</v>
      </c>
      <c r="I18" s="32">
        <v>3.44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321096</v>
      </c>
      <c r="H19" s="32">
        <v>268.60000000000002</v>
      </c>
      <c r="I19" s="32">
        <v>3.38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41</v>
      </c>
      <c r="G20" s="31">
        <v>14000</v>
      </c>
      <c r="H20" s="32">
        <v>263.98</v>
      </c>
      <c r="I20" s="32">
        <v>3.32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52000</v>
      </c>
      <c r="H21" s="32">
        <v>255.58</v>
      </c>
      <c r="I21" s="32">
        <v>3.22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56000</v>
      </c>
      <c r="H22" s="32">
        <v>255.33</v>
      </c>
      <c r="I22" s="32">
        <v>3.21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45000</v>
      </c>
      <c r="H23" s="32">
        <v>251.39</v>
      </c>
      <c r="I23" s="32">
        <v>3.16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34</v>
      </c>
      <c r="G24" s="31">
        <v>470000</v>
      </c>
      <c r="H24" s="32">
        <v>241.11</v>
      </c>
      <c r="I24" s="32">
        <v>3.03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50000</v>
      </c>
      <c r="H25" s="32">
        <v>236.73</v>
      </c>
      <c r="I25" s="32">
        <v>2.98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5600</v>
      </c>
      <c r="H26" s="32">
        <v>232.75</v>
      </c>
      <c r="I26" s="32">
        <v>2.93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78</v>
      </c>
      <c r="G27" s="31">
        <v>5750</v>
      </c>
      <c r="H27" s="32">
        <v>231.96</v>
      </c>
      <c r="I27" s="32">
        <v>2.92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156500</v>
      </c>
      <c r="H28" s="32">
        <v>224.73</v>
      </c>
      <c r="I28" s="32">
        <v>2.83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11000</v>
      </c>
      <c r="H29" s="32">
        <v>224.63</v>
      </c>
      <c r="I29" s="32">
        <v>2.83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41</v>
      </c>
      <c r="G30" s="31">
        <v>15500</v>
      </c>
      <c r="H30" s="32">
        <v>219.15</v>
      </c>
      <c r="I30" s="32">
        <v>2.76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63</v>
      </c>
      <c r="G31" s="31">
        <v>60000</v>
      </c>
      <c r="H31" s="32">
        <v>217.77</v>
      </c>
      <c r="I31" s="32">
        <v>2.74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41</v>
      </c>
      <c r="G32" s="31">
        <v>21000</v>
      </c>
      <c r="H32" s="32">
        <v>180.38</v>
      </c>
      <c r="I32" s="32">
        <v>2.27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7900</v>
      </c>
      <c r="H33" s="32">
        <v>175.82</v>
      </c>
      <c r="I33" s="32">
        <v>2.21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63</v>
      </c>
      <c r="G34" s="31">
        <v>39000</v>
      </c>
      <c r="H34" s="32">
        <v>175.4</v>
      </c>
      <c r="I34" s="32">
        <v>2.21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5700</v>
      </c>
      <c r="H35" s="32">
        <v>174.31</v>
      </c>
      <c r="I35" s="32">
        <v>2.19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30</v>
      </c>
      <c r="G36" s="31">
        <v>11000</v>
      </c>
      <c r="H36" s="32">
        <v>161.88999999999999</v>
      </c>
      <c r="I36" s="32">
        <v>2.04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89</v>
      </c>
      <c r="G37" s="31">
        <v>875</v>
      </c>
      <c r="H37" s="32">
        <v>148.78</v>
      </c>
      <c r="I37" s="32">
        <v>1.87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41</v>
      </c>
      <c r="G38" s="31">
        <v>49000</v>
      </c>
      <c r="H38" s="32">
        <v>122.75</v>
      </c>
      <c r="I38" s="32">
        <v>1.55</v>
      </c>
      <c r="J38" s="33"/>
    </row>
    <row r="39" spans="2:10">
      <c r="B39" s="1" t="s">
        <v>119</v>
      </c>
      <c r="C39" s="20" t="s">
        <v>120</v>
      </c>
      <c r="D39" s="29" t="s">
        <v>121</v>
      </c>
      <c r="E39" s="30"/>
      <c r="F39" s="30" t="s">
        <v>34</v>
      </c>
      <c r="G39" s="31">
        <v>6250</v>
      </c>
      <c r="H39" s="32">
        <v>121.6</v>
      </c>
      <c r="I39" s="32">
        <v>1.53</v>
      </c>
      <c r="J39" s="33"/>
    </row>
    <row r="40" spans="2:10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4025</v>
      </c>
      <c r="H40" s="32">
        <v>98.44</v>
      </c>
      <c r="I40" s="32">
        <v>1.24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89</v>
      </c>
      <c r="G41" s="31">
        <v>6000</v>
      </c>
      <c r="H41" s="32">
        <v>91.39</v>
      </c>
      <c r="I41" s="32">
        <v>1.1499999999999999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74</v>
      </c>
      <c r="G42" s="31">
        <v>7000</v>
      </c>
      <c r="H42" s="32">
        <v>82.42</v>
      </c>
      <c r="I42" s="32">
        <v>1.04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135</v>
      </c>
      <c r="G43" s="31">
        <v>24000</v>
      </c>
      <c r="H43" s="32">
        <v>77.03</v>
      </c>
      <c r="I43" s="32">
        <v>0.97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63</v>
      </c>
      <c r="G44" s="31">
        <v>6000</v>
      </c>
      <c r="H44" s="32">
        <v>69.05</v>
      </c>
      <c r="I44" s="32">
        <v>0.87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109</v>
      </c>
      <c r="G45" s="31">
        <v>1300</v>
      </c>
      <c r="H45" s="32">
        <v>50.3</v>
      </c>
      <c r="I45" s="32">
        <v>0.63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145</v>
      </c>
      <c r="G46" s="31">
        <v>1200</v>
      </c>
      <c r="H46" s="32">
        <v>28.67</v>
      </c>
      <c r="I46" s="32">
        <v>0.36</v>
      </c>
      <c r="J46" s="33"/>
    </row>
    <row r="47" spans="2:10">
      <c r="B47" s="1" t="s">
        <v>146</v>
      </c>
      <c r="C47" s="20" t="s">
        <v>147</v>
      </c>
      <c r="D47" s="29" t="s">
        <v>148</v>
      </c>
      <c r="E47" s="30"/>
      <c r="F47" s="30" t="s">
        <v>34</v>
      </c>
      <c r="G47" s="31">
        <v>600</v>
      </c>
      <c r="H47" s="32">
        <v>9.65</v>
      </c>
      <c r="I47" s="32">
        <v>0.12</v>
      </c>
      <c r="J47" s="33"/>
    </row>
    <row r="48" spans="2:10">
      <c r="B48" s="1" t="s">
        <v>149</v>
      </c>
      <c r="C48" s="20" t="s">
        <v>150</v>
      </c>
      <c r="D48" s="29" t="s">
        <v>151</v>
      </c>
      <c r="E48" s="30"/>
      <c r="F48" s="30" t="s">
        <v>135</v>
      </c>
      <c r="G48" s="31">
        <v>1100</v>
      </c>
      <c r="H48" s="32">
        <v>6.02</v>
      </c>
      <c r="I48" s="32">
        <v>0.08</v>
      </c>
      <c r="J48" s="33"/>
    </row>
    <row r="49" spans="3:10">
      <c r="C49" s="28" t="s">
        <v>152</v>
      </c>
      <c r="D49" s="29"/>
      <c r="E49" s="30"/>
      <c r="F49" s="30"/>
      <c r="G49" s="31"/>
      <c r="H49" s="35">
        <v>7930.08</v>
      </c>
      <c r="I49" s="35">
        <v>99.81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153</v>
      </c>
      <c r="D51" s="29"/>
      <c r="E51" s="30"/>
      <c r="F51" s="30"/>
      <c r="G51" s="31"/>
      <c r="H51" s="32" t="s">
        <v>154</v>
      </c>
      <c r="I51" s="32" t="s">
        <v>154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155</v>
      </c>
      <c r="D53" s="29"/>
      <c r="E53" s="30"/>
      <c r="F53" s="30"/>
      <c r="G53" s="31"/>
      <c r="H53" s="32" t="s">
        <v>154</v>
      </c>
      <c r="I53" s="32" t="s">
        <v>154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156</v>
      </c>
      <c r="D55" s="29"/>
      <c r="E55" s="30"/>
      <c r="F55" s="30"/>
      <c r="G55" s="31"/>
      <c r="H55" s="32"/>
      <c r="I55" s="32"/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157</v>
      </c>
      <c r="D57" s="29"/>
      <c r="E57" s="30"/>
      <c r="F57" s="30"/>
      <c r="G57" s="31"/>
      <c r="H57" s="32" t="s">
        <v>154</v>
      </c>
      <c r="I57" s="32" t="s">
        <v>154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158</v>
      </c>
      <c r="D59" s="29"/>
      <c r="E59" s="30"/>
      <c r="F59" s="30"/>
      <c r="G59" s="31"/>
      <c r="H59" s="32" t="s">
        <v>154</v>
      </c>
      <c r="I59" s="32" t="s">
        <v>154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159</v>
      </c>
      <c r="D61" s="29"/>
      <c r="E61" s="30"/>
      <c r="F61" s="30"/>
      <c r="G61" s="31"/>
      <c r="H61" s="32" t="s">
        <v>154</v>
      </c>
      <c r="I61" s="32" t="s">
        <v>154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160</v>
      </c>
      <c r="D63" s="29"/>
      <c r="E63" s="30"/>
      <c r="F63" s="30"/>
      <c r="G63" s="31"/>
      <c r="H63" s="32" t="s">
        <v>154</v>
      </c>
      <c r="I63" s="32" t="s">
        <v>154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161</v>
      </c>
      <c r="D65" s="29"/>
      <c r="E65" s="30"/>
      <c r="F65" s="30"/>
      <c r="G65" s="31"/>
      <c r="H65" s="32" t="s">
        <v>154</v>
      </c>
      <c r="I65" s="32" t="s">
        <v>154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162</v>
      </c>
      <c r="D67" s="29"/>
      <c r="E67" s="30"/>
      <c r="F67" s="30"/>
      <c r="G67" s="31"/>
      <c r="H67" s="32"/>
      <c r="I67" s="32"/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163</v>
      </c>
      <c r="D69" s="29"/>
      <c r="E69" s="30"/>
      <c r="F69" s="30"/>
      <c r="G69" s="31"/>
      <c r="H69" s="32" t="s">
        <v>154</v>
      </c>
      <c r="I69" s="32" t="s">
        <v>154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164</v>
      </c>
      <c r="D71" s="29"/>
      <c r="E71" s="30"/>
      <c r="F71" s="30"/>
      <c r="G71" s="31"/>
      <c r="H71" s="32" t="s">
        <v>154</v>
      </c>
      <c r="I71" s="32" t="s">
        <v>154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165</v>
      </c>
      <c r="D73" s="29"/>
      <c r="E73" s="30"/>
      <c r="F73" s="30"/>
      <c r="G73" s="31"/>
      <c r="H73" s="32" t="s">
        <v>154</v>
      </c>
      <c r="I73" s="32" t="s">
        <v>154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166</v>
      </c>
      <c r="D75" s="29"/>
      <c r="E75" s="30"/>
      <c r="F75" s="30"/>
      <c r="G75" s="31"/>
      <c r="H75" s="32" t="s">
        <v>154</v>
      </c>
      <c r="I75" s="32" t="s">
        <v>154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167</v>
      </c>
      <c r="D77" s="29"/>
      <c r="E77" s="30"/>
      <c r="F77" s="30"/>
      <c r="G77" s="31"/>
      <c r="H77" s="32"/>
      <c r="I77" s="32"/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168</v>
      </c>
      <c r="D79" s="29"/>
      <c r="E79" s="30"/>
      <c r="F79" s="30"/>
      <c r="G79" s="31"/>
      <c r="H79" s="32" t="s">
        <v>154</v>
      </c>
      <c r="I79" s="32" t="s">
        <v>154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169</v>
      </c>
      <c r="D81" s="29"/>
      <c r="E81" s="30"/>
      <c r="F81" s="30"/>
      <c r="G81" s="31"/>
      <c r="H81" s="32" t="s">
        <v>154</v>
      </c>
      <c r="I81" s="32" t="s">
        <v>154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170</v>
      </c>
      <c r="D83" s="29"/>
      <c r="E83" s="30"/>
      <c r="F83" s="30"/>
      <c r="G83" s="31"/>
      <c r="H83" s="32" t="s">
        <v>154</v>
      </c>
      <c r="I83" s="32" t="s">
        <v>154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171</v>
      </c>
      <c r="D85" s="29"/>
      <c r="E85" s="30"/>
      <c r="F85" s="30"/>
      <c r="G85" s="31"/>
      <c r="H85" s="32" t="s">
        <v>154</v>
      </c>
      <c r="I85" s="32" t="s">
        <v>154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172</v>
      </c>
      <c r="D87" s="29"/>
      <c r="E87" s="30"/>
      <c r="F87" s="30"/>
      <c r="G87" s="31"/>
      <c r="H87" s="32" t="s">
        <v>154</v>
      </c>
      <c r="I87" s="32" t="s">
        <v>154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A89" s="26"/>
      <c r="B89" s="27"/>
      <c r="C89" s="28" t="s">
        <v>173</v>
      </c>
      <c r="D89" s="29"/>
      <c r="E89" s="30"/>
      <c r="F89" s="30"/>
      <c r="G89" s="31"/>
      <c r="H89" s="32"/>
      <c r="I89" s="32"/>
      <c r="J89" s="33"/>
    </row>
    <row r="90" spans="1:10">
      <c r="B90" s="1"/>
      <c r="C90" s="20" t="s">
        <v>174</v>
      </c>
      <c r="D90" s="29"/>
      <c r="E90" s="30"/>
      <c r="F90" s="30"/>
      <c r="G90" s="31"/>
      <c r="H90" s="32">
        <v>14.31</v>
      </c>
      <c r="I90" s="32">
        <v>0.19</v>
      </c>
      <c r="J90" s="33"/>
    </row>
    <row r="91" spans="1:10">
      <c r="C91" s="28" t="s">
        <v>152</v>
      </c>
      <c r="D91" s="29"/>
      <c r="E91" s="30"/>
      <c r="F91" s="30"/>
      <c r="G91" s="31"/>
      <c r="H91" s="35">
        <v>14.31</v>
      </c>
      <c r="I91" s="35">
        <v>0.19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 ht="13.8" thickBot="1">
      <c r="C93" s="36" t="s">
        <v>175</v>
      </c>
      <c r="D93" s="37"/>
      <c r="E93" s="38"/>
      <c r="F93" s="39"/>
      <c r="G93" s="40"/>
      <c r="H93" s="41">
        <v>7944.39</v>
      </c>
      <c r="I93" s="41">
        <f>SUMIFS(I:I,C:C,"Total")</f>
        <v>100</v>
      </c>
      <c r="J93" s="42"/>
    </row>
    <row r="96" spans="1:10">
      <c r="C96" s="11" t="s">
        <v>176</v>
      </c>
    </row>
    <row r="97" spans="3:3">
      <c r="C97" s="2" t="s">
        <v>177</v>
      </c>
    </row>
    <row r="98" spans="3:3">
      <c r="C98" s="2" t="s">
        <v>178</v>
      </c>
    </row>
    <row r="99" spans="3:3">
      <c r="C99" s="2" t="s">
        <v>179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4.4"/>
  <cols>
    <col min="2" max="2" width="48.109375" customWidth="1"/>
    <col min="4" max="4" width="11" bestFit="1" customWidth="1"/>
    <col min="6" max="6" width="11" bestFit="1" customWidth="1"/>
    <col min="8" max="8" width="11" bestFit="1" customWidth="1"/>
    <col min="10" max="10" width="12" bestFit="1" customWidth="1"/>
  </cols>
  <sheetData>
    <row r="4" spans="2:10" ht="15.6">
      <c r="B4" s="43" t="s">
        <v>180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181</v>
      </c>
      <c r="C5" s="46" t="s">
        <v>182</v>
      </c>
      <c r="D5" s="46"/>
      <c r="E5" s="46" t="s">
        <v>183</v>
      </c>
      <c r="F5" s="46"/>
      <c r="G5" s="46" t="s">
        <v>184</v>
      </c>
      <c r="H5" s="46"/>
      <c r="I5" s="46" t="s">
        <v>185</v>
      </c>
      <c r="J5" s="46"/>
    </row>
    <row r="6" spans="2:10" ht="66">
      <c r="B6" s="47"/>
      <c r="C6" s="48" t="s">
        <v>186</v>
      </c>
      <c r="D6" s="48" t="s">
        <v>187</v>
      </c>
      <c r="E6" s="48" t="s">
        <v>186</v>
      </c>
      <c r="F6" s="48" t="s">
        <v>187</v>
      </c>
      <c r="G6" s="48" t="s">
        <v>186</v>
      </c>
      <c r="H6" s="48" t="s">
        <v>187</v>
      </c>
      <c r="I6" s="48" t="s">
        <v>186</v>
      </c>
      <c r="J6" s="48" t="s">
        <v>187</v>
      </c>
    </row>
    <row r="7" spans="2:10">
      <c r="B7" s="49" t="s">
        <v>188</v>
      </c>
      <c r="C7" s="50">
        <v>9.58770090845562</v>
      </c>
      <c r="D7" s="50">
        <v>10958.770090845563</v>
      </c>
      <c r="E7" s="50">
        <v>21.70397132328814</v>
      </c>
      <c r="F7" s="50">
        <v>18046.029919447639</v>
      </c>
      <c r="G7" s="50">
        <v>11.83369822795064</v>
      </c>
      <c r="H7" s="50">
        <v>17498.326266458378</v>
      </c>
      <c r="I7" s="50">
        <v>7.5599830943989366</v>
      </c>
      <c r="J7" s="50">
        <v>78410</v>
      </c>
    </row>
    <row r="8" spans="2:10">
      <c r="B8" s="49" t="s">
        <v>189</v>
      </c>
      <c r="C8" s="50">
        <v>8.7449117118595154</v>
      </c>
      <c r="D8" s="50">
        <v>10874.491171185951</v>
      </c>
      <c r="E8" s="50">
        <v>25.244228556010096</v>
      </c>
      <c r="F8" s="50">
        <v>19645.955959759565</v>
      </c>
      <c r="G8" s="50">
        <v>12.863748830778388</v>
      </c>
      <c r="H8" s="50">
        <v>18313.542367237635</v>
      </c>
      <c r="I8" s="50">
        <v>0</v>
      </c>
      <c r="J8" s="50">
        <v>0</v>
      </c>
    </row>
    <row r="9" spans="2:10">
      <c r="B9" s="49" t="s">
        <v>190</v>
      </c>
      <c r="C9" s="50">
        <v>11.931290069610267</v>
      </c>
      <c r="D9" s="50">
        <v>11193.129006961026</v>
      </c>
      <c r="E9" s="50">
        <v>17.224616227246557</v>
      </c>
      <c r="F9" s="50">
        <v>16108.550347465627</v>
      </c>
      <c r="G9" s="50">
        <v>14.315814346076849</v>
      </c>
      <c r="H9" s="50">
        <v>19522.326520255341</v>
      </c>
      <c r="I9" s="50">
        <v>10.992582182250409</v>
      </c>
      <c r="J9" s="50">
        <v>190445.79827902772</v>
      </c>
    </row>
    <row r="10" spans="2:10">
      <c r="B10" s="49" t="s">
        <v>191</v>
      </c>
      <c r="C10" s="51">
        <v>71.55</v>
      </c>
      <c r="D10" s="52"/>
      <c r="E10" s="51">
        <v>43.45</v>
      </c>
      <c r="F10" s="52"/>
      <c r="G10" s="51">
        <v>44.81</v>
      </c>
      <c r="H10" s="52"/>
      <c r="I10" s="51">
        <v>10</v>
      </c>
      <c r="J10" s="52"/>
    </row>
    <row r="12" spans="2:10" ht="15.6">
      <c r="B12" s="43" t="s">
        <v>192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181</v>
      </c>
      <c r="C13" s="46" t="s">
        <v>182</v>
      </c>
      <c r="D13" s="46"/>
      <c r="E13" s="46" t="s">
        <v>183</v>
      </c>
      <c r="F13" s="46"/>
      <c r="G13" s="46" t="s">
        <v>184</v>
      </c>
      <c r="H13" s="46"/>
      <c r="I13" s="46" t="s">
        <v>185</v>
      </c>
      <c r="J13" s="46"/>
    </row>
    <row r="14" spans="2:10" ht="66">
      <c r="B14" s="47"/>
      <c r="C14" s="48" t="s">
        <v>186</v>
      </c>
      <c r="D14" s="48" t="s">
        <v>187</v>
      </c>
      <c r="E14" s="48" t="s">
        <v>186</v>
      </c>
      <c r="F14" s="48" t="s">
        <v>187</v>
      </c>
      <c r="G14" s="48" t="s">
        <v>186</v>
      </c>
      <c r="H14" s="48" t="s">
        <v>187</v>
      </c>
      <c r="I14" s="48" t="s">
        <v>186</v>
      </c>
      <c r="J14" s="48" t="s">
        <v>187</v>
      </c>
    </row>
    <row r="15" spans="2:10">
      <c r="B15" s="49" t="s">
        <v>188</v>
      </c>
      <c r="C15" s="50">
        <v>9.9557225278411376</v>
      </c>
      <c r="D15" s="50">
        <v>10995.572252784115</v>
      </c>
      <c r="E15" s="50">
        <v>22.154619356153905</v>
      </c>
      <c r="F15" s="50">
        <v>18247.606323758631</v>
      </c>
      <c r="G15" s="50">
        <v>12.294249402491864</v>
      </c>
      <c r="H15" s="50">
        <v>17861.813426329554</v>
      </c>
      <c r="I15" s="50">
        <v>16.703644434370691</v>
      </c>
      <c r="J15" s="50">
        <v>46273.291925465834</v>
      </c>
    </row>
    <row r="16" spans="2:10">
      <c r="B16" s="49" t="s">
        <v>189</v>
      </c>
      <c r="C16" s="50">
        <v>8.7449117118595154</v>
      </c>
      <c r="D16" s="50">
        <v>10874.491171185951</v>
      </c>
      <c r="E16" s="50">
        <v>25.244228556010096</v>
      </c>
      <c r="F16" s="50">
        <v>19645.955959759565</v>
      </c>
      <c r="G16" s="50">
        <v>12.863748830778388</v>
      </c>
      <c r="H16" s="50">
        <v>18313.542367237635</v>
      </c>
      <c r="I16" s="50">
        <v>17.606746654917636</v>
      </c>
      <c r="J16" s="50">
        <v>49949.760702292486</v>
      </c>
    </row>
    <row r="17" spans="2:10">
      <c r="B17" s="49" t="s">
        <v>190</v>
      </c>
      <c r="C17" s="50">
        <v>11.931290069610267</v>
      </c>
      <c r="D17" s="50">
        <v>11193.129006961026</v>
      </c>
      <c r="E17" s="50">
        <v>17.224616227246557</v>
      </c>
      <c r="F17" s="50">
        <v>16108.550347465627</v>
      </c>
      <c r="G17" s="50">
        <v>14.315814346076849</v>
      </c>
      <c r="H17" s="50">
        <v>19522.326520255341</v>
      </c>
      <c r="I17" s="50">
        <v>13.674958569647577</v>
      </c>
      <c r="J17" s="50">
        <v>35651.093608266827</v>
      </c>
    </row>
    <row r="18" spans="2:10">
      <c r="B18" s="49" t="s">
        <v>193</v>
      </c>
      <c r="C18" s="51">
        <v>74.53</v>
      </c>
      <c r="D18" s="52"/>
      <c r="E18" s="51">
        <v>44.91</v>
      </c>
      <c r="F18" s="52"/>
      <c r="G18" s="51">
        <v>45.88</v>
      </c>
      <c r="H18" s="52"/>
      <c r="I18" s="51">
        <v>17.71</v>
      </c>
      <c r="J18" s="52"/>
    </row>
    <row r="20" spans="2:10">
      <c r="B20" t="s">
        <v>194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2022-12-01T10:12:25Z</dcterms:created>
  <dcterms:modified xsi:type="dcterms:W3CDTF">2022-12-09T06:22:02Z</dcterms:modified>
</cp:coreProperties>
</file>