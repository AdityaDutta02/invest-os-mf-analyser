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 - Copy\To upload on HDFC CMS portal\"/>
    </mc:Choice>
  </mc:AlternateContent>
  <xr:revisionPtr revIDLastSave="0" documentId="13_ncr:1_{25824421-2A27-48B5-B0E3-DD680B91822B}" xr6:coauthVersionLast="36" xr6:coauthVersionMax="36" xr10:uidLastSave="{00000000-0000-0000-0000-000000000000}"/>
  <bookViews>
    <workbookView xWindow="0" yWindow="0" windowWidth="19200" windowHeight="7050" xr2:uid="{00000000-000D-0000-FFFF-FFFF00000000}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1" hidden="1">DerivativeHDFCRETHDP!$B$8:$H$13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localSheetId="1" hidden="1">_xll.Formula.SK(#REF!,)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localSheetId="1" hidden="1">_xll.Formula.SK(#REF!,)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_xll.Formula.SK([5]Hyperlinks!$A$2,1)</definedName>
    <definedName name="SheetKraftFormula118" localSheetId="1" hidden="1">_xll.Formula.SK(#REF!,)</definedName>
    <definedName name="SheetKraftFormula118" hidden="1">_xll.Formula.SK([5]Hyperlinks!$C$3,)</definedName>
    <definedName name="SheetKraftFormula119" hidden="1">_xll.Formula.SK('[6]NCA Rows'!$R$5,1)</definedName>
    <definedName name="SheetKraftFormula12" localSheetId="1" hidden="1">_xll.Formula.SK(#REF!,)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_xll.Formula.SK([2]Stack!$BA$6,1)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localSheetId="1" hidden="1">_xll.Formula.SK(#REF!,)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localSheetId="1" hidden="1">_xll.Formula.SK(#REF!,)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Data'!$BI$9,1)</definedName>
    <definedName name="SheetKraftFormula149" hidden="1">_xll.Formula.SK([3]Template_Formula!$A$15,1)</definedName>
    <definedName name="SheetKraftFormula15" localSheetId="1" hidden="1">_xll.Formula.SK(#REF!,)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localSheetId="1" hidden="1">_xll.Formula.SK(#REF!,)</definedName>
    <definedName name="SheetKraftFormula17" hidden="1">_xll.Formula.SK(#REF!,)</definedName>
    <definedName name="SheetKraftFormula170" localSheetId="1" hidden="1">_xll.Formula.SK(#REF!,1)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localSheetId="1" hidden="1">_xll.Formula.SK(#REF!,)</definedName>
    <definedName name="SheetKraftFormula18" hidden="1">_xll.Formula.SK(#REF!,)</definedName>
    <definedName name="SheetKraftFormula180" localSheetId="1" hidden="1">_xll.Formula.SK(#REF!,)</definedName>
    <definedName name="SheetKraftFormula180" hidden="1">_xll.Formula.SK(#REF!,)</definedName>
    <definedName name="SheetKraftFormula181" localSheetId="1" hidden="1">_xll.Formula.SK(#REF!,)</definedName>
    <definedName name="SheetKraftFormula181" hidden="1">_xll.Formula.SK(#REF!,)</definedName>
    <definedName name="SheetKraftFormula182" localSheetId="1" hidden="1">_xll.Formula.SK(#REF!,)</definedName>
    <definedName name="SheetKraftFormula182" hidden="1">_xll.Formula.SK(#REF!,)</definedName>
    <definedName name="SheetKraftFormula183" localSheetId="1" hidden="1">_xll.Formula.SK(#REF!,)</definedName>
    <definedName name="SheetKraftFormula183" hidden="1">_xll.Formula.SK(#REF!,)</definedName>
    <definedName name="SheetKraftFormula184" localSheetId="1" hidden="1">_xll.Formula.SK(#REF!,)</definedName>
    <definedName name="SheetKraftFormula184" hidden="1">_xll.Formula.SK(#REF!,)</definedName>
    <definedName name="SheetKraftFormula185" localSheetId="1" hidden="1">_xll.Formula.SK(#REF!,)</definedName>
    <definedName name="SheetKraftFormula185" hidden="1">_xll.Formula.SK(#REF!,)</definedName>
    <definedName name="SheetKraftFormula186" localSheetId="1" hidden="1">_xll.Formula.SK(#REF!,)</definedName>
    <definedName name="SheetKraftFormula186" hidden="1">_xll.Formula.SK(#REF!,)</definedName>
    <definedName name="SheetKraftFormula187" localSheetId="1" hidden="1">_xll.Formula.SK(#REF!,)</definedName>
    <definedName name="SheetKraftFormula187" hidden="1">_xll.Formula.SK(#REF!,)</definedName>
    <definedName name="SheetKraftFormula188" localSheetId="1" hidden="1">_xll.Formula.SK(#REF!,)</definedName>
    <definedName name="SheetKraftFormula188" hidden="1">_xll.Formula.SK(#REF!,)</definedName>
    <definedName name="SheetKraftFormula189" localSheetId="1" hidden="1">_xll.Formula.SK(#REF!,1)</definedName>
    <definedName name="SheetKraftFormula189" hidden="1">_xll.Formula.SK(#REF!,1)</definedName>
    <definedName name="SheetKraftFormula19" localSheetId="1" hidden="1">_xll.Formula.SK(#REF!,)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localSheetId="1" hidden="1">_xll.Formula.SK(#REF!,1)</definedName>
    <definedName name="SheetKraftFormula193" hidden="1">_xll.Formula.SK([5]Hyperlinks!$C$2,1)</definedName>
    <definedName name="SheetKraftFormula194" localSheetId="1" hidden="1">_xll.Formula.SK(#REF!,1)</definedName>
    <definedName name="SheetKraftFormula194" hidden="1">_xll.Formula.SK([5]Hyperlinks!$A$3,1)</definedName>
    <definedName name="SheetKraftFormula195" localSheetId="1" hidden="1">_xll.Formula.SK('[11]Scheme Master'!#REF!,1)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localSheetId="1" hidden="1">_xll.Formula.SK(#REF!,)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localSheetId="1" hidden="1">_xll.Formula.SK(#REF!,1)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localSheetId="1" hidden="1">_xll.Formula.SK(#REF!,1)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localSheetId="1" hidden="1">_xll.Formula.SK(#REF!,1)</definedName>
    <definedName name="SheetKraftFormula228" hidden="1">_xll.Formula.SK([5]Hyperlinks!$B$2,1)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_xll.Formula.SK('[4]Asset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_xll.Formula.SK([2]Stack!$AX$1,1)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_xll.Formula.SK([2]Stack!$D$5,1)</definedName>
    <definedName name="SheetKraftFormula35" hidden="1">_xll.Formula.SK('[15]NCA Calc, Repo'!$V$8,1)</definedName>
    <definedName name="SheetKraftFormula350" hidden="1">_xll.Formula.SK([2]Stack!$BE$6,1)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_xll.Formula.SK([2]Stack!$C$5,1)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localSheetId="1" hidden="1">_xll.Formula.SK(#REF!,1)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_xll.Formula.SK([2]Stack!$FM$5,1)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_xll.Formula.SK([2]Stack!$FN$5,1)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_xll.Formula.SK([2]Stack!$B$5,1)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_xll.Formula.SK([2]Stack!$FO$5,1)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_xll.Formula.SK([2]Stack!$FP$5,1)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_xll.Formula.SK([2]Stack!$DD$5,1)</definedName>
    <definedName name="SheetKraftFormula519" hidden="1">_xll.Formula.SK('[8]Notes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_xll.Formula.SK([2]Stack!$FV$5,1)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_xll.Formula.SK('[4]Asset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localSheetId="1" hidden="1">_xll.Formula.SK(#REF!,1)</definedName>
    <definedName name="SheetKraftFormula68" hidden="1">_xll.Formula.SK(#REF!,1)</definedName>
    <definedName name="SheetKraftFormula69" localSheetId="1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localSheetId="1" hidden="1">_xll.Formula.SK(#REF!,)</definedName>
    <definedName name="SheetKraftFormula70" hidden="1">_xll.Formula.SK(#REF!,)</definedName>
    <definedName name="SheetKraftFormula71" localSheetId="1" hidden="1">_xll.Formula.SK(#REF!,)</definedName>
    <definedName name="SheetKraftFormula71" hidden="1">_xll.Formula.SK(#REF!,)</definedName>
    <definedName name="SheetKraftFormula72" localSheetId="1" hidden="1">_xll.Formula.SK(#REF!,1)</definedName>
    <definedName name="SheetKraftFormula72" hidden="1">_xll.Formula.SK(#REF!,1)</definedName>
    <definedName name="SheetKraftFormula73" localSheetId="1" hidden="1">_xll.Formula.SK(#REF!,1)</definedName>
    <definedName name="SheetKraftFormula73" hidden="1">_xll.Formula.SK(#REF!,1)</definedName>
    <definedName name="SheetKraftFormula74" localSheetId="1" hidden="1">_xll.Formula.SK(#REF!,1)</definedName>
    <definedName name="SheetKraftFormula74" hidden="1">_xll.Formula.SK(#REF!,1)</definedName>
    <definedName name="SheetKraftFormula75" localSheetId="1" hidden="1">_xll.Formula.SK(#REF!,1)</definedName>
    <definedName name="SheetKraftFormula75" hidden="1">_xll.Formula.SK(#REF!,1)</definedName>
    <definedName name="SheetKraftFormula76" localSheetId="1" hidden="1">_xll.Formula.SK(#REF!,1)</definedName>
    <definedName name="SheetKraftFormula76" hidden="1">_xll.Formula.SK(#REF!,1)</definedName>
    <definedName name="SheetKraftFormula77" localSheetId="1" hidden="1">_xll.Formula.SK(#REF!,1)</definedName>
    <definedName name="SheetKraftFormula77" hidden="1">_xll.Formula.SK(#REF!,1)</definedName>
    <definedName name="SheetKraftFormula78" localSheetId="1" hidden="1">_xll.Formula.SK(#REF!,)</definedName>
    <definedName name="SheetKraftFormula78" hidden="1">_xll.Formula.SK(#REF!,)</definedName>
    <definedName name="SheetKraftFormula79" localSheetId="1" hidden="1">_xll.Formula.SK(#REF!,1)</definedName>
    <definedName name="SheetKraftFormula79" hidden="1">_xll.Formula.SK(#REF!,1)</definedName>
    <definedName name="SheetKraftFormula8" hidden="1">_xll.Formula.SK('[17]Security Master'!$V$9,1)</definedName>
    <definedName name="SheetKraftFormula80" localSheetId="1" hidden="1">_xll.Formula.SK(#REF!,1)</definedName>
    <definedName name="SheetKraftFormula80" hidden="1">_xll.Formula.SK(#REF!,1)</definedName>
    <definedName name="SheetKraftFormula81" localSheetId="1" hidden="1">_xll.Formula.SK(#REF!,)</definedName>
    <definedName name="SheetKraftFormula81" hidden="1">_xll.Formula.SK(#REF!,)</definedName>
    <definedName name="SheetKraftFormula82" localSheetId="1" hidden="1">_xll.Formula.SK(#REF!,)</definedName>
    <definedName name="SheetKraftFormula82" hidden="1">_xll.Formula.SK(#REF!,)</definedName>
    <definedName name="SheetKraftFormula83" localSheetId="1" hidden="1">_xll.Formula.SK(#REF!,1)</definedName>
    <definedName name="SheetKraftFormula83" hidden="1">_xll.Formula.SK(#REF!,1)</definedName>
    <definedName name="SheetKraftFormula84" localSheetId="1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INDEX([10]Inputs!$B$1,,)</definedName>
    <definedName name="SheetKraftInput2" hidden="1">INDEX([10]Inputs!$F$2,,)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H9" i="2"/>
  <c r="H13" i="2" s="1"/>
  <c r="H10" i="2"/>
  <c r="H11" i="2"/>
  <c r="H12" i="2"/>
</calcChain>
</file>

<file path=xl/sharedStrings.xml><?xml version="1.0" encoding="utf-8"?>
<sst xmlns="http://schemas.openxmlformats.org/spreadsheetml/2006/main" count="551" uniqueCount="220">
  <si>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</si>
  <si>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</si>
  <si>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</si>
  <si>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</si>
  <si>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</si>
  <si>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</si>
  <si>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</si>
  <si>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</si>
  <si>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</si>
  <si>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</si>
  <si>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</si>
  <si>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</si>
  <si>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</si>
  <si>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</si>
  <si>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</si>
  <si>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</si>
  <si>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</si>
  <si>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</si>
  <si>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</si>
  <si>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INE089A01023</t>
  </si>
  <si>
    <t/>
  </si>
  <si>
    <t>Dr Reddys Laboratories Ltd.</t>
  </si>
  <si>
    <t>Pharmaceuticals &amp; Biotechnology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</si>
  <si>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</si>
  <si>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</si>
  <si>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</si>
  <si>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</si>
  <si>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</si>
  <si>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</si>
  <si>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</si>
  <si>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</si>
  <si>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</si>
  <si>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</si>
  <si>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</si>
  <si>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</si>
  <si>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</si>
  <si>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</si>
  <si>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</si>
  <si>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</si>
  <si>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</si>
  <si>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</si>
  <si>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</si>
  <si>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</si>
  <si>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</si>
  <si>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INE009A01021</t>
  </si>
  <si>
    <t>Infosys Limited</t>
  </si>
  <si>
    <t>INE154A01025</t>
  </si>
  <si>
    <t>ITC Ltd.</t>
  </si>
  <si>
    <t>Diversified FMCG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</si>
  <si>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</si>
  <si>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</si>
  <si>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</si>
  <si>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</si>
  <si>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</si>
  <si>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</si>
  <si>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INE765G01017</t>
  </si>
  <si>
    <t>ICICI Lombard General Insurance Co</t>
  </si>
  <si>
    <t>Insurance</t>
  </si>
  <si>
    <t>INE066F01020</t>
  </si>
  <si>
    <t>Hindustan Aeronautics Limited</t>
  </si>
  <si>
    <t>Aerospace &amp; Defense</t>
  </si>
  <si>
    <t>INE585B01010</t>
  </si>
  <si>
    <t>Maruti Suzuki India Limited</t>
  </si>
  <si>
    <t>Automobiles</t>
  </si>
  <si>
    <t>INE688A01022</t>
  </si>
  <si>
    <t>Transport Corporation of India Ltd.</t>
  </si>
  <si>
    <t>Transport Services</t>
  </si>
  <si>
    <t>INE685A01028</t>
  </si>
  <si>
    <t>Torrent Pharmaceuticals Ltd.</t>
  </si>
  <si>
    <t>INE235A01022</t>
  </si>
  <si>
    <t>Finolex Cables Ltd.</t>
  </si>
  <si>
    <t>Industrial Products</t>
  </si>
  <si>
    <t>INE123W01016</t>
  </si>
  <si>
    <t>SBI Life Insurance Company Ltd.</t>
  </si>
  <si>
    <t>INE386A01015</t>
  </si>
  <si>
    <t>Vesuvius India Ltd.</t>
  </si>
  <si>
    <t>INE462A01022</t>
  </si>
  <si>
    <t>Bayer Cropscience Ltd</t>
  </si>
  <si>
    <t>Fertilizers &amp; Agrochemicals</t>
  </si>
  <si>
    <t>INE474Q01031</t>
  </si>
  <si>
    <t>Global Health Limited</t>
  </si>
  <si>
    <t>Healthcare Services</t>
  </si>
  <si>
    <t>INE517F01014</t>
  </si>
  <si>
    <t>Gujarat Pipavav Port Ltd.</t>
  </si>
  <si>
    <t>Transport Infrastructure</t>
  </si>
  <si>
    <t>INE246F01010</t>
  </si>
  <si>
    <t>Gujarat State Petronet Ltd.</t>
  </si>
  <si>
    <t>Gas</t>
  </si>
  <si>
    <t>INE220B01022</t>
  </si>
  <si>
    <t>Kalpataru Projects International Ltd</t>
  </si>
  <si>
    <t>INE225D01027</t>
  </si>
  <si>
    <t>Symphony Ltd.</t>
  </si>
  <si>
    <t>Consumer Durables</t>
  </si>
  <si>
    <t>INE752E01010</t>
  </si>
  <si>
    <t>Power Grid Corporation of India Ltd.</t>
  </si>
  <si>
    <t>Power</t>
  </si>
  <si>
    <t>INE079J01017</t>
  </si>
  <si>
    <t>Gateway Distriparks Limited</t>
  </si>
  <si>
    <t>INE491A01021</t>
  </si>
  <si>
    <t>City Union Bank Ltd.</t>
  </si>
  <si>
    <t>INE094A01015</t>
  </si>
  <si>
    <t>Hindustan Petroleum Corp. Ltd.</t>
  </si>
  <si>
    <t>INE533A01012</t>
  </si>
  <si>
    <t>Goodyear India Ltd.</t>
  </si>
  <si>
    <t>Auto Components</t>
  </si>
  <si>
    <t>INE901L01018</t>
  </si>
  <si>
    <t>Alembic Pharmaceuticals Limited</t>
  </si>
  <si>
    <t>INE119A01028</t>
  </si>
  <si>
    <t>Balrampur Chini Mills Ltd.</t>
  </si>
  <si>
    <t>Agricultural Food &amp; Other Products</t>
  </si>
  <si>
    <t>INE162B01018</t>
  </si>
  <si>
    <t>Lumax Industries Ltd</t>
  </si>
  <si>
    <t>INE334A01023</t>
  </si>
  <si>
    <t>STERLING TOOLS LIMITED</t>
  </si>
  <si>
    <t>INE294Z01018</t>
  </si>
  <si>
    <t>The Anup Engineering Limited</t>
  </si>
  <si>
    <t>Industrial Manufacturing</t>
  </si>
  <si>
    <t>INE058A01010</t>
  </si>
  <si>
    <t>Sanofi India Limited</t>
  </si>
  <si>
    <t>INE891D01026</t>
  </si>
  <si>
    <t>Redington Ltd.</t>
  </si>
  <si>
    <t>Commercial Services &amp; Supplies</t>
  </si>
  <si>
    <t>INE070I01018</t>
  </si>
  <si>
    <t>Insecticides (India) Ltd.</t>
  </si>
  <si>
    <t>INE191H01014</t>
  </si>
  <si>
    <t>PVR LIMITED</t>
  </si>
  <si>
    <t>Entertainment</t>
  </si>
  <si>
    <t>INE772T01024</t>
  </si>
  <si>
    <t>Popular Vehicles and Services Limited</t>
  </si>
  <si>
    <t>INE321D01016</t>
  </si>
  <si>
    <t>Oriental Carbon &amp; Chemicals Ltd.</t>
  </si>
  <si>
    <t>Chemicals &amp; Petrochemicals</t>
  </si>
  <si>
    <t>Sub Total</t>
  </si>
  <si>
    <t>(b) Unlisted</t>
  </si>
  <si>
    <t>INA000000012</t>
  </si>
  <si>
    <t>Sanofi  Consumer Healthcare India Limited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</si>
  <si>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</si>
  <si>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</si>
  <si>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</si>
  <si>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</si>
  <si>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</si>
  <si>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</si>
  <si>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</si>
  <si>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</si>
  <si>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</si>
  <si>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</si>
  <si>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</si>
  <si>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</si>
  <si>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</si>
  <si>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</si>
  <si>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</si>
  <si>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</si>
  <si>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</si>
  <si>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</si>
  <si>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</si>
  <si>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</si>
  <si>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</si>
  <si>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</si>
  <si>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</si>
  <si>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</si>
  <si>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</si>
  <si>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</si>
  <si>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</si>
  <si>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</si>
  <si>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</si>
  <si>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</si>
  <si>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</si>
  <si>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</si>
  <si>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</si>
  <si>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</si>
  <si>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</si>
  <si>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</si>
  <si>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</si>
  <si>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</si>
  <si>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</si>
  <si>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</si>
  <si>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</si>
  <si>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</si>
  <si>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</si>
  <si>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</si>
  <si>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</si>
  <si>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</si>
  <si>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</si>
  <si>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</si>
  <si>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</si>
  <si>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</si>
  <si>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</si>
  <si>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</si>
  <si>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</si>
  <si>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</si>
  <si>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</si>
  <si>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</si>
  <si>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</si>
  <si>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</si>
  <si>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</si>
  <si>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</si>
  <si>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</si>
  <si>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</si>
  <si>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</si>
  <si>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6) Annualised Portfolio YTM : 7.46%</t>
  </si>
  <si>
    <t>7) Macaulay Duration : 1983.3 Days</t>
  </si>
  <si>
    <t>8) Residual Maturity (Average Portfolio Maturity-other than equity investments) : 3204.35 Days</t>
  </si>
  <si>
    <t>9) IDCW stands for Income Distribution cum Capital Withdrawal</t>
  </si>
  <si>
    <t>10) Riskometer based on Scheme Portfolio and Portfolio Benchmark "NIFTY 50 Hybrid Composite Debt 15:85 Index" as on Jun 30, 2024</t>
  </si>
  <si>
    <t>Scheme Riskometer:</t>
  </si>
  <si>
    <t>Benchmark Riskometer:</t>
  </si>
  <si>
    <t>Larsen &amp; Toubro Ltd.</t>
  </si>
  <si>
    <t>Dr. Reddy's Laboratories Ltd.</t>
  </si>
  <si>
    <t>HDFC Retirement Savings Fund - Hybrid-Debt Plan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</si>
  <si>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</si>
  <si>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</si>
  <si>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</si>
  <si>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</si>
  <si>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</si>
  <si>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</si>
  <si>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</si>
  <si>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Scheme Name</t>
  </si>
  <si>
    <t>Disclosure regarding Derivative positions pursuant to SEBI Circular no. CIR/IMD/DF/11/2010 dated August 18, 2010.</t>
  </si>
  <si>
    <t>DERIVATIVE DISCLOSURE -  HDFC Retirement Savings Fund - Hybrid-Debt Plan</t>
  </si>
  <si>
    <t>5) Total outstanding exposure in Derivative Instruments as on Jun 30, 2024 : Rs. (2784.37)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</si>
</sst>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theme="1"/>
      <name val="Franklin Gothic Book"/>
      <family val="2"/>
    </font>
    <font>
      <b/>
      <sz val="10"/>
      <name val="Arial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3" fillId="0" borderId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165" fontId="13" fillId="0" borderId="0" xfId="1" applyNumberFormat="1" applyFont="1" applyFill="1" applyBorder="1" applyAlignment="1"/>
    <xf numFmtId="43" fontId="13" fillId="0" borderId="0" xfId="1" applyNumberFormat="1" applyFont="1" applyFill="1" applyBorder="1" applyAlignment="1"/>
    <xf numFmtId="15" fontId="13" fillId="0" borderId="0" xfId="2" quotePrefix="1" applyNumberFormat="1" applyFont="1" applyFill="1" applyBorder="1" applyAlignment="1"/>
    <xf numFmtId="165" fontId="13" fillId="0" borderId="1" xfId="2" applyFont="1" applyFill="1" applyBorder="1" applyAlignment="1"/>
    <xf numFmtId="165" fontId="14" fillId="0" borderId="1" xfId="2" applyFont="1" applyFill="1" applyBorder="1" applyAlignment="1">
      <alignment horizontal="right" vertical="top"/>
    </xf>
    <xf numFmtId="166" fontId="14" fillId="0" borderId="1" xfId="3" applyNumberFormat="1" applyFont="1" applyFill="1" applyBorder="1" applyAlignment="1">
      <alignment horizontal="right" vertical="center"/>
    </xf>
    <xf numFmtId="0" fontId="13" fillId="0" borderId="1" xfId="1" applyFont="1" applyFill="1" applyBorder="1" applyAlignment="1"/>
    <xf numFmtId="0" fontId="13" fillId="0" borderId="2" xfId="1" applyFont="1" applyFill="1" applyBorder="1" applyAlignment="1">
      <alignment vertical="top"/>
    </xf>
    <xf numFmtId="0" fontId="13" fillId="0" borderId="3" xfId="1" applyFont="1" applyFill="1" applyBorder="1" applyAlignment="1">
      <alignment vertical="top"/>
    </xf>
    <xf numFmtId="0" fontId="13" fillId="0" borderId="4" xfId="1" applyFont="1" applyFill="1" applyBorder="1" applyAlignment="1">
      <alignment vertical="top"/>
    </xf>
    <xf numFmtId="165" fontId="15" fillId="0" borderId="1" xfId="2" applyFont="1" applyBorder="1" applyAlignment="1">
      <alignment vertical="center" wrapText="1"/>
    </xf>
    <xf numFmtId="0" fontId="16" fillId="0" borderId="1" xfId="1" applyFont="1" applyFill="1" applyBorder="1" applyAlignment="1">
      <alignment wrapText="1"/>
    </xf>
    <xf numFmtId="0" fontId="16" fillId="0" borderId="1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/>
    </xf>
    <xf numFmtId="0" fontId="16" fillId="0" borderId="0" xfId="1" applyFont="1" applyFill="1" applyBorder="1" applyAlignment="1">
      <alignment horizontal="left"/>
    </xf>
    <xf numFmtId="0" fontId="17" fillId="0" borderId="0" xfId="1" applyFont="1" applyFill="1" applyBorder="1" applyAlignment="1">
      <alignment horizontal="left" vertical="justify"/>
    </xf>
  </cellXfs>
  <cellStyles count="4">
    <cellStyle name="Comma 2" xfId="2" xr:uid="{00000000-0005-0000-0000-000000000000}"/>
    <cellStyle name="Comma 2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498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44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4-25/June%202024/Monthly%20Portfolio/Portofolios/Split/Monthly%20Portfolios%20for%20June%202024%20-%20Debt%20Spli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4-25/June%202024/Fortnightly%2030062024/Derivative%20Exposure/equity%20derivative%20disclosure%20June%2024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HDFCRETHDP"/>
      <sheetName val="DerivativeHDFCAR"/>
      <sheetName val="DerivativeHDFCGR"/>
      <sheetName val="DerivativeHDFCMY."/>
      <sheetName val="DerivativeMY2005"/>
      <sheetName val="HDFCRETHDP"/>
      <sheetName val="HDFCCS"/>
      <sheetName val="Option HDFCEQ"/>
      <sheetName val="DerivativeHDFCBKEXTF"/>
    </sheetNames>
    <sheetDataSet>
      <sheetData sheetId="0"/>
      <sheetData sheetId="1"/>
      <sheetData sheetId="2"/>
      <sheetData sheetId="3">
        <row r="7">
          <cell r="A7" t="str">
            <v>A.  Hedging Positions through Futures as on  June 30, 2024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tabSelected="1" workbookViewId="0">
      <selection activeCell="D5" sqref="D5"/>
    </sheetView>
  </sheetViews>
  <sheetFormatPr defaultColWidth="8.7109375"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8.7109375" style="3"/>
  </cols>
  <sheetData>
    <row r="1" spans="1:12" ht="47.25" customHeight="1" x14ac:dyDescent="0.3">
      <c r="A1" s="45" t="s">
        <v>0</v>
      </c>
      <c r="B1" s="45" t="s">
        <v>0</v>
      </c>
      <c r="C1" s="45" t="s">
        <v>0</v>
      </c>
      <c r="D1" s="45" t="s">
        <v>0</v>
      </c>
      <c r="E1" s="45" t="s">
        <v>0</v>
      </c>
      <c r="F1" s="45" t="s">
        <v>0</v>
      </c>
      <c r="G1" s="45" t="s">
        <v>0</v>
      </c>
      <c r="H1" s="45" t="s">
        <v>0</v>
      </c>
      <c r="I1" s="45" t="s">
        <v>0</v>
      </c>
      <c r="J1" s="45" t="s">
        <v>0</v>
      </c>
      <c r="K1" s="1" t="s">
        <v>1</v>
      </c>
      <c r="L1" s="2" t="s">
        <v>2</v>
      </c>
    </row>
    <row r="2" spans="1:12" x14ac:dyDescent="0.25">
      <c r="A2" s="46" t="s">
        <v>3</v>
      </c>
      <c r="B2" s="46" t="s">
        <v>3</v>
      </c>
      <c r="C2" s="46" t="s">
        <v>3</v>
      </c>
      <c r="D2" s="46" t="s">
        <v>3</v>
      </c>
      <c r="E2" s="46" t="s">
        <v>3</v>
      </c>
      <c r="F2" s="46" t="s">
        <v>3</v>
      </c>
      <c r="G2" s="46" t="s">
        <v>3</v>
      </c>
      <c r="H2" s="46" t="s">
        <v>3</v>
      </c>
      <c r="I2" s="46" t="s">
        <v>3</v>
      </c>
      <c r="J2" s="46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21500</v>
      </c>
      <c r="G9" s="13">
        <v>1376.51</v>
      </c>
      <c r="H9" s="13">
        <v>8.6300000000000008</v>
      </c>
      <c r="I9" s="14" t="s">
        <v>20</v>
      </c>
      <c r="J9" s="14" t="s">
        <v>20</v>
      </c>
      <c r="K9" s="15">
        <v>8</v>
      </c>
      <c r="L9" s="16">
        <v>0.6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32977</v>
      </c>
      <c r="G10" s="13">
        <v>1287.47</v>
      </c>
      <c r="H10" s="13">
        <v>8.07</v>
      </c>
      <c r="I10" s="14" t="s">
        <v>20</v>
      </c>
      <c r="J10" s="14" t="s">
        <v>20</v>
      </c>
      <c r="K10" s="15">
        <v>7.58</v>
      </c>
      <c r="L10" s="16">
        <v>0.53</v>
      </c>
    </row>
    <row r="11" spans="1:12" x14ac:dyDescent="0.25">
      <c r="A11" s="10" t="s">
        <v>20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11900</v>
      </c>
      <c r="G11" s="13">
        <v>422.27</v>
      </c>
      <c r="H11" s="13">
        <v>2.65</v>
      </c>
      <c r="I11" s="14" t="s">
        <v>20</v>
      </c>
      <c r="J11" s="14" t="s">
        <v>20</v>
      </c>
      <c r="K11" s="15">
        <v>1.88</v>
      </c>
      <c r="L11" s="16">
        <v>0.78</v>
      </c>
    </row>
    <row r="12" spans="1:12" x14ac:dyDescent="0.25">
      <c r="A12" s="10" t="s">
        <v>20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21900</v>
      </c>
      <c r="G12" s="13">
        <v>368.75</v>
      </c>
      <c r="H12" s="13">
        <v>2.31</v>
      </c>
      <c r="I12" s="14" t="s">
        <v>20</v>
      </c>
      <c r="J12" s="14" t="s">
        <v>20</v>
      </c>
      <c r="K12" s="15">
        <v>0</v>
      </c>
      <c r="L12" s="16">
        <v>2.31</v>
      </c>
    </row>
    <row r="13" spans="1:12" x14ac:dyDescent="0.25">
      <c r="A13" s="10" t="s">
        <v>20</v>
      </c>
      <c r="B13" s="11" t="s">
        <v>32</v>
      </c>
      <c r="C13" s="11" t="s">
        <v>20</v>
      </c>
      <c r="D13" s="11" t="s">
        <v>33</v>
      </c>
      <c r="E13" s="11" t="s">
        <v>31</v>
      </c>
      <c r="F13" s="12">
        <v>30000</v>
      </c>
      <c r="G13" s="13">
        <v>359.88</v>
      </c>
      <c r="H13" s="13">
        <v>2.2599999999999998</v>
      </c>
      <c r="I13" s="14" t="s">
        <v>20</v>
      </c>
      <c r="J13" s="14" t="s">
        <v>20</v>
      </c>
      <c r="K13" s="15">
        <v>0</v>
      </c>
      <c r="L13" s="16">
        <v>2.2599999999999998</v>
      </c>
    </row>
    <row r="14" spans="1:12" x14ac:dyDescent="0.25">
      <c r="A14" s="10" t="s">
        <v>20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13000</v>
      </c>
      <c r="G14" s="13">
        <v>187.73</v>
      </c>
      <c r="H14" s="13">
        <v>1.18</v>
      </c>
      <c r="I14" s="14" t="s">
        <v>20</v>
      </c>
      <c r="J14" s="14" t="s">
        <v>20</v>
      </c>
      <c r="K14" s="15">
        <v>0</v>
      </c>
      <c r="L14" s="16">
        <v>1.18</v>
      </c>
    </row>
    <row r="15" spans="1:12" x14ac:dyDescent="0.25">
      <c r="A15" s="10" t="s">
        <v>20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6000</v>
      </c>
      <c r="G15" s="13">
        <v>187.85</v>
      </c>
      <c r="H15" s="13">
        <v>1.18</v>
      </c>
      <c r="I15" s="14" t="s">
        <v>20</v>
      </c>
      <c r="J15" s="14" t="s">
        <v>20</v>
      </c>
      <c r="K15" s="15">
        <v>0</v>
      </c>
      <c r="L15" s="16">
        <v>1.18</v>
      </c>
    </row>
    <row r="16" spans="1:12" x14ac:dyDescent="0.25">
      <c r="A16" s="10" t="s">
        <v>20</v>
      </c>
      <c r="B16" s="11" t="s">
        <v>40</v>
      </c>
      <c r="C16" s="11" t="s">
        <v>20</v>
      </c>
      <c r="D16" s="11" t="s">
        <v>41</v>
      </c>
      <c r="E16" s="11" t="s">
        <v>31</v>
      </c>
      <c r="F16" s="12">
        <v>19500</v>
      </c>
      <c r="G16" s="13">
        <v>165.55</v>
      </c>
      <c r="H16" s="13">
        <v>1.04</v>
      </c>
      <c r="I16" s="14" t="s">
        <v>20</v>
      </c>
      <c r="J16" s="14" t="s">
        <v>20</v>
      </c>
      <c r="K16" s="15">
        <v>0</v>
      </c>
      <c r="L16" s="16">
        <v>1.04</v>
      </c>
    </row>
    <row r="17" spans="1:12" x14ac:dyDescent="0.25">
      <c r="A17" s="10" t="s">
        <v>20</v>
      </c>
      <c r="B17" s="11" t="s">
        <v>42</v>
      </c>
      <c r="C17" s="11" t="s">
        <v>20</v>
      </c>
      <c r="D17" s="11" t="s">
        <v>43</v>
      </c>
      <c r="E17" s="11" t="s">
        <v>31</v>
      </c>
      <c r="F17" s="12">
        <v>13000</v>
      </c>
      <c r="G17" s="13">
        <v>164.48</v>
      </c>
      <c r="H17" s="13">
        <v>1.03</v>
      </c>
      <c r="I17" s="14" t="s">
        <v>20</v>
      </c>
      <c r="J17" s="14" t="s">
        <v>20</v>
      </c>
      <c r="K17" s="15">
        <v>0</v>
      </c>
      <c r="L17" s="16">
        <v>1.03</v>
      </c>
    </row>
    <row r="18" spans="1:12" x14ac:dyDescent="0.25">
      <c r="A18" s="10" t="s">
        <v>20</v>
      </c>
      <c r="B18" s="11" t="s">
        <v>44</v>
      </c>
      <c r="C18" s="11" t="s">
        <v>20</v>
      </c>
      <c r="D18" s="11" t="s">
        <v>45</v>
      </c>
      <c r="E18" s="11" t="s">
        <v>25</v>
      </c>
      <c r="F18" s="12">
        <v>10000</v>
      </c>
      <c r="G18" s="13">
        <v>156.68</v>
      </c>
      <c r="H18" s="13">
        <v>0.98</v>
      </c>
      <c r="I18" s="14" t="s">
        <v>20</v>
      </c>
      <c r="J18" s="14" t="s">
        <v>20</v>
      </c>
      <c r="K18" s="15">
        <v>0</v>
      </c>
      <c r="L18" s="16">
        <v>0.98</v>
      </c>
    </row>
    <row r="19" spans="1:12" x14ac:dyDescent="0.25">
      <c r="A19" s="10" t="s">
        <v>20</v>
      </c>
      <c r="B19" s="11" t="s">
        <v>46</v>
      </c>
      <c r="C19" s="11" t="s">
        <v>20</v>
      </c>
      <c r="D19" s="11" t="s">
        <v>47</v>
      </c>
      <c r="E19" s="11" t="s">
        <v>48</v>
      </c>
      <c r="F19" s="12">
        <v>30000</v>
      </c>
      <c r="G19" s="13">
        <v>127.47</v>
      </c>
      <c r="H19" s="13">
        <v>0.8</v>
      </c>
      <c r="I19" s="14" t="s">
        <v>20</v>
      </c>
      <c r="J19" s="14" t="s">
        <v>20</v>
      </c>
      <c r="K19" s="15">
        <v>0</v>
      </c>
      <c r="L19" s="16">
        <v>0.8</v>
      </c>
    </row>
    <row r="20" spans="1:12" x14ac:dyDescent="0.25">
      <c r="A20" s="10" t="s">
        <v>20</v>
      </c>
      <c r="B20" s="11" t="s">
        <v>49</v>
      </c>
      <c r="C20" s="11" t="s">
        <v>20</v>
      </c>
      <c r="D20" s="11" t="s">
        <v>50</v>
      </c>
      <c r="E20" s="11" t="s">
        <v>51</v>
      </c>
      <c r="F20" s="12">
        <v>9500</v>
      </c>
      <c r="G20" s="13">
        <v>121.27</v>
      </c>
      <c r="H20" s="13">
        <v>0.76</v>
      </c>
      <c r="I20" s="14" t="s">
        <v>20</v>
      </c>
      <c r="J20" s="14" t="s">
        <v>20</v>
      </c>
      <c r="K20" s="15">
        <v>0</v>
      </c>
      <c r="L20" s="16">
        <v>0.76</v>
      </c>
    </row>
    <row r="21" spans="1:12" x14ac:dyDescent="0.25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54</v>
      </c>
      <c r="F21" s="12">
        <v>1000</v>
      </c>
      <c r="G21" s="13">
        <v>110.04</v>
      </c>
      <c r="H21" s="13">
        <v>0.69</v>
      </c>
      <c r="I21" s="14" t="s">
        <v>20</v>
      </c>
      <c r="J21" s="14" t="s">
        <v>20</v>
      </c>
      <c r="K21" s="15">
        <v>0</v>
      </c>
      <c r="L21" s="16">
        <v>0.69</v>
      </c>
    </row>
    <row r="22" spans="1:12" x14ac:dyDescent="0.2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57</v>
      </c>
      <c r="F22" s="12">
        <v>6000</v>
      </c>
      <c r="G22" s="13">
        <v>107.37</v>
      </c>
      <c r="H22" s="13">
        <v>0.67</v>
      </c>
      <c r="I22" s="14" t="s">
        <v>20</v>
      </c>
      <c r="J22" s="14" t="s">
        <v>20</v>
      </c>
      <c r="K22" s="15">
        <v>0</v>
      </c>
      <c r="L22" s="16">
        <v>0.67</v>
      </c>
    </row>
    <row r="23" spans="1:12" x14ac:dyDescent="0.25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60</v>
      </c>
      <c r="F23" s="12">
        <v>2000</v>
      </c>
      <c r="G23" s="13">
        <v>105.29</v>
      </c>
      <c r="H23" s="13">
        <v>0.66</v>
      </c>
      <c r="I23" s="14" t="s">
        <v>20</v>
      </c>
      <c r="J23" s="14" t="s">
        <v>20</v>
      </c>
      <c r="K23" s="15">
        <v>0</v>
      </c>
      <c r="L23" s="16">
        <v>0.66</v>
      </c>
    </row>
    <row r="24" spans="1:12" x14ac:dyDescent="0.2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63</v>
      </c>
      <c r="F24" s="12">
        <v>800</v>
      </c>
      <c r="G24" s="13">
        <v>96.27</v>
      </c>
      <c r="H24" s="13">
        <v>0.6</v>
      </c>
      <c r="I24" s="14" t="s">
        <v>20</v>
      </c>
      <c r="J24" s="14" t="s">
        <v>20</v>
      </c>
      <c r="K24" s="15">
        <v>0</v>
      </c>
      <c r="L24" s="16">
        <v>0.6</v>
      </c>
    </row>
    <row r="25" spans="1:12" x14ac:dyDescent="0.25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66</v>
      </c>
      <c r="F25" s="12">
        <v>10000</v>
      </c>
      <c r="G25" s="13">
        <v>90.41</v>
      </c>
      <c r="H25" s="13">
        <v>0.56999999999999995</v>
      </c>
      <c r="I25" s="14" t="s">
        <v>20</v>
      </c>
      <c r="J25" s="14" t="s">
        <v>20</v>
      </c>
      <c r="K25" s="15">
        <v>0</v>
      </c>
      <c r="L25" s="16">
        <v>0.56999999999999995</v>
      </c>
    </row>
    <row r="26" spans="1:12" x14ac:dyDescent="0.25">
      <c r="A26" s="10" t="s">
        <v>20</v>
      </c>
      <c r="B26" s="11" t="s">
        <v>67</v>
      </c>
      <c r="C26" s="11" t="s">
        <v>20</v>
      </c>
      <c r="D26" s="11" t="s">
        <v>68</v>
      </c>
      <c r="E26" s="11" t="s">
        <v>22</v>
      </c>
      <c r="F26" s="12">
        <v>3000</v>
      </c>
      <c r="G26" s="13">
        <v>83.74</v>
      </c>
      <c r="H26" s="13">
        <v>0.53</v>
      </c>
      <c r="I26" s="14" t="s">
        <v>20</v>
      </c>
      <c r="J26" s="14" t="s">
        <v>20</v>
      </c>
      <c r="K26" s="15">
        <v>0</v>
      </c>
      <c r="L26" s="16">
        <v>0.53</v>
      </c>
    </row>
    <row r="27" spans="1:12" x14ac:dyDescent="0.25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71</v>
      </c>
      <c r="F27" s="12">
        <v>5000</v>
      </c>
      <c r="G27" s="13">
        <v>77.97</v>
      </c>
      <c r="H27" s="13">
        <v>0.49</v>
      </c>
      <c r="I27" s="14" t="s">
        <v>20</v>
      </c>
      <c r="J27" s="14" t="s">
        <v>20</v>
      </c>
      <c r="K27" s="15">
        <v>0</v>
      </c>
      <c r="L27" s="16">
        <v>0.49</v>
      </c>
    </row>
    <row r="28" spans="1:12" x14ac:dyDescent="0.25">
      <c r="A28" s="10" t="s">
        <v>20</v>
      </c>
      <c r="B28" s="11" t="s">
        <v>72</v>
      </c>
      <c r="C28" s="11" t="s">
        <v>20</v>
      </c>
      <c r="D28" s="11" t="s">
        <v>73</v>
      </c>
      <c r="E28" s="11" t="s">
        <v>57</v>
      </c>
      <c r="F28" s="12">
        <v>5000</v>
      </c>
      <c r="G28" s="13">
        <v>74.599999999999994</v>
      </c>
      <c r="H28" s="13">
        <v>0.47</v>
      </c>
      <c r="I28" s="14" t="s">
        <v>20</v>
      </c>
      <c r="J28" s="14" t="s">
        <v>20</v>
      </c>
      <c r="K28" s="15">
        <v>0</v>
      </c>
      <c r="L28" s="16">
        <v>0.47</v>
      </c>
    </row>
    <row r="29" spans="1:12" x14ac:dyDescent="0.25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71</v>
      </c>
      <c r="F29" s="12">
        <v>1500</v>
      </c>
      <c r="G29" s="13">
        <v>75.510000000000005</v>
      </c>
      <c r="H29" s="13">
        <v>0.47</v>
      </c>
      <c r="I29" s="14" t="s">
        <v>20</v>
      </c>
      <c r="J29" s="14" t="s">
        <v>20</v>
      </c>
      <c r="K29" s="15">
        <v>0</v>
      </c>
      <c r="L29" s="16">
        <v>0.47</v>
      </c>
    </row>
    <row r="30" spans="1:12" x14ac:dyDescent="0.25">
      <c r="A30" s="10" t="s">
        <v>20</v>
      </c>
      <c r="B30" s="11" t="s">
        <v>76</v>
      </c>
      <c r="C30" s="11" t="s">
        <v>20</v>
      </c>
      <c r="D30" s="11" t="s">
        <v>77</v>
      </c>
      <c r="E30" s="11" t="s">
        <v>78</v>
      </c>
      <c r="F30" s="12">
        <v>1100</v>
      </c>
      <c r="G30" s="13">
        <v>73.84</v>
      </c>
      <c r="H30" s="13">
        <v>0.46</v>
      </c>
      <c r="I30" s="14" t="s">
        <v>20</v>
      </c>
      <c r="J30" s="14" t="s">
        <v>20</v>
      </c>
      <c r="K30" s="15">
        <v>0</v>
      </c>
      <c r="L30" s="16">
        <v>0.46</v>
      </c>
    </row>
    <row r="31" spans="1:12" x14ac:dyDescent="0.25">
      <c r="A31" s="10" t="s">
        <v>20</v>
      </c>
      <c r="B31" s="11" t="s">
        <v>79</v>
      </c>
      <c r="C31" s="11" t="s">
        <v>20</v>
      </c>
      <c r="D31" s="11" t="s">
        <v>80</v>
      </c>
      <c r="E31" s="11" t="s">
        <v>81</v>
      </c>
      <c r="F31" s="12">
        <v>5000</v>
      </c>
      <c r="G31" s="13">
        <v>65.42</v>
      </c>
      <c r="H31" s="13">
        <v>0.41</v>
      </c>
      <c r="I31" s="14" t="s">
        <v>20</v>
      </c>
      <c r="J31" s="14" t="s">
        <v>20</v>
      </c>
      <c r="K31" s="15">
        <v>0</v>
      </c>
      <c r="L31" s="16">
        <v>0.41</v>
      </c>
    </row>
    <row r="32" spans="1:12" x14ac:dyDescent="0.25">
      <c r="A32" s="10" t="s">
        <v>20</v>
      </c>
      <c r="B32" s="11" t="s">
        <v>82</v>
      </c>
      <c r="C32" s="11" t="s">
        <v>20</v>
      </c>
      <c r="D32" s="11" t="s">
        <v>83</v>
      </c>
      <c r="E32" s="11" t="s">
        <v>84</v>
      </c>
      <c r="F32" s="12">
        <v>30000</v>
      </c>
      <c r="G32" s="13">
        <v>62.76</v>
      </c>
      <c r="H32" s="13">
        <v>0.39</v>
      </c>
      <c r="I32" s="14" t="s">
        <v>20</v>
      </c>
      <c r="J32" s="14" t="s">
        <v>20</v>
      </c>
      <c r="K32" s="15">
        <v>0</v>
      </c>
      <c r="L32" s="16">
        <v>0.39</v>
      </c>
    </row>
    <row r="33" spans="1:12" x14ac:dyDescent="0.25">
      <c r="A33" s="10" t="s">
        <v>20</v>
      </c>
      <c r="B33" s="11" t="s">
        <v>85</v>
      </c>
      <c r="C33" s="11" t="s">
        <v>20</v>
      </c>
      <c r="D33" s="11" t="s">
        <v>86</v>
      </c>
      <c r="E33" s="11" t="s">
        <v>87</v>
      </c>
      <c r="F33" s="12">
        <v>20000</v>
      </c>
      <c r="G33" s="13">
        <v>59.31</v>
      </c>
      <c r="H33" s="13">
        <v>0.37</v>
      </c>
      <c r="I33" s="14" t="s">
        <v>20</v>
      </c>
      <c r="J33" s="14" t="s">
        <v>20</v>
      </c>
      <c r="K33" s="15">
        <v>0</v>
      </c>
      <c r="L33" s="16">
        <v>0.37</v>
      </c>
    </row>
    <row r="34" spans="1:12" x14ac:dyDescent="0.25">
      <c r="A34" s="10" t="s">
        <v>20</v>
      </c>
      <c r="B34" s="11" t="s">
        <v>88</v>
      </c>
      <c r="C34" s="11" t="s">
        <v>20</v>
      </c>
      <c r="D34" s="11" t="s">
        <v>89</v>
      </c>
      <c r="E34" s="11" t="s">
        <v>28</v>
      </c>
      <c r="F34" s="12">
        <v>5015</v>
      </c>
      <c r="G34" s="13">
        <v>58.96</v>
      </c>
      <c r="H34" s="13">
        <v>0.37</v>
      </c>
      <c r="I34" s="14" t="s">
        <v>20</v>
      </c>
      <c r="J34" s="14" t="s">
        <v>20</v>
      </c>
      <c r="K34" s="15">
        <v>0</v>
      </c>
      <c r="L34" s="16">
        <v>0.37</v>
      </c>
    </row>
    <row r="35" spans="1:12" x14ac:dyDescent="0.25">
      <c r="A35" s="10" t="s">
        <v>20</v>
      </c>
      <c r="B35" s="11" t="s">
        <v>90</v>
      </c>
      <c r="C35" s="11" t="s">
        <v>20</v>
      </c>
      <c r="D35" s="11" t="s">
        <v>91</v>
      </c>
      <c r="E35" s="11" t="s">
        <v>92</v>
      </c>
      <c r="F35" s="12">
        <v>4938</v>
      </c>
      <c r="G35" s="13">
        <v>58.02</v>
      </c>
      <c r="H35" s="13">
        <v>0.36</v>
      </c>
      <c r="I35" s="14" t="s">
        <v>20</v>
      </c>
      <c r="J35" s="14" t="s">
        <v>20</v>
      </c>
      <c r="K35" s="15">
        <v>0</v>
      </c>
      <c r="L35" s="16">
        <v>0.36</v>
      </c>
    </row>
    <row r="36" spans="1:12" x14ac:dyDescent="0.25">
      <c r="A36" s="10" t="s">
        <v>20</v>
      </c>
      <c r="B36" s="11" t="s">
        <v>93</v>
      </c>
      <c r="C36" s="11" t="s">
        <v>20</v>
      </c>
      <c r="D36" s="11" t="s">
        <v>94</v>
      </c>
      <c r="E36" s="11" t="s">
        <v>95</v>
      </c>
      <c r="F36" s="12">
        <v>16000</v>
      </c>
      <c r="G36" s="13">
        <v>52.95</v>
      </c>
      <c r="H36" s="13">
        <v>0.33</v>
      </c>
      <c r="I36" s="14" t="s">
        <v>20</v>
      </c>
      <c r="J36" s="14" t="s">
        <v>20</v>
      </c>
      <c r="K36" s="15">
        <v>0</v>
      </c>
      <c r="L36" s="16">
        <v>0.33</v>
      </c>
    </row>
    <row r="37" spans="1:12" x14ac:dyDescent="0.25">
      <c r="A37" s="10" t="s">
        <v>20</v>
      </c>
      <c r="B37" s="11" t="s">
        <v>96</v>
      </c>
      <c r="C37" s="11" t="s">
        <v>20</v>
      </c>
      <c r="D37" s="11" t="s">
        <v>97</v>
      </c>
      <c r="E37" s="11" t="s">
        <v>66</v>
      </c>
      <c r="F37" s="12">
        <v>50000</v>
      </c>
      <c r="G37" s="13">
        <v>51.27</v>
      </c>
      <c r="H37" s="13">
        <v>0.32</v>
      </c>
      <c r="I37" s="14" t="s">
        <v>20</v>
      </c>
      <c r="J37" s="14" t="s">
        <v>20</v>
      </c>
      <c r="K37" s="15">
        <v>0</v>
      </c>
      <c r="L37" s="16">
        <v>0.32</v>
      </c>
    </row>
    <row r="38" spans="1:12" x14ac:dyDescent="0.25">
      <c r="A38" s="10" t="s">
        <v>20</v>
      </c>
      <c r="B38" s="11" t="s">
        <v>98</v>
      </c>
      <c r="C38" s="11" t="s">
        <v>20</v>
      </c>
      <c r="D38" s="11" t="s">
        <v>99</v>
      </c>
      <c r="E38" s="11" t="s">
        <v>31</v>
      </c>
      <c r="F38" s="12">
        <v>30000</v>
      </c>
      <c r="G38" s="13">
        <v>50.12</v>
      </c>
      <c r="H38" s="13">
        <v>0.31</v>
      </c>
      <c r="I38" s="14" t="s">
        <v>20</v>
      </c>
      <c r="J38" s="14" t="s">
        <v>20</v>
      </c>
      <c r="K38" s="15">
        <v>0</v>
      </c>
      <c r="L38" s="16">
        <v>0.31</v>
      </c>
    </row>
    <row r="39" spans="1:12" x14ac:dyDescent="0.25">
      <c r="A39" s="10" t="s">
        <v>20</v>
      </c>
      <c r="B39" s="11" t="s">
        <v>100</v>
      </c>
      <c r="C39" s="11" t="s">
        <v>20</v>
      </c>
      <c r="D39" s="11" t="s">
        <v>101</v>
      </c>
      <c r="E39" s="11" t="s">
        <v>39</v>
      </c>
      <c r="F39" s="12">
        <v>15000</v>
      </c>
      <c r="G39" s="13">
        <v>49.82</v>
      </c>
      <c r="H39" s="13">
        <v>0.31</v>
      </c>
      <c r="I39" s="14" t="s">
        <v>20</v>
      </c>
      <c r="J39" s="14" t="s">
        <v>20</v>
      </c>
      <c r="K39" s="15">
        <v>0</v>
      </c>
      <c r="L39" s="16">
        <v>0.31</v>
      </c>
    </row>
    <row r="40" spans="1:12" x14ac:dyDescent="0.25">
      <c r="A40" s="10" t="s">
        <v>20</v>
      </c>
      <c r="B40" s="11" t="s">
        <v>102</v>
      </c>
      <c r="C40" s="11" t="s">
        <v>20</v>
      </c>
      <c r="D40" s="11" t="s">
        <v>103</v>
      </c>
      <c r="E40" s="11" t="s">
        <v>104</v>
      </c>
      <c r="F40" s="12">
        <v>4000</v>
      </c>
      <c r="G40" s="13">
        <v>47.95</v>
      </c>
      <c r="H40" s="13">
        <v>0.3</v>
      </c>
      <c r="I40" s="14" t="s">
        <v>20</v>
      </c>
      <c r="J40" s="14" t="s">
        <v>20</v>
      </c>
      <c r="K40" s="15">
        <v>0</v>
      </c>
      <c r="L40" s="16">
        <v>0.3</v>
      </c>
    </row>
    <row r="41" spans="1:12" x14ac:dyDescent="0.25">
      <c r="A41" s="10" t="s">
        <v>20</v>
      </c>
      <c r="B41" s="11" t="s">
        <v>105</v>
      </c>
      <c r="C41" s="11" t="s">
        <v>20</v>
      </c>
      <c r="D41" s="11" t="s">
        <v>106</v>
      </c>
      <c r="E41" s="11" t="s">
        <v>22</v>
      </c>
      <c r="F41" s="12">
        <v>5000</v>
      </c>
      <c r="G41" s="13">
        <v>43.83</v>
      </c>
      <c r="H41" s="13">
        <v>0.27</v>
      </c>
      <c r="I41" s="14" t="s">
        <v>20</v>
      </c>
      <c r="J41" s="14" t="s">
        <v>20</v>
      </c>
      <c r="K41" s="15">
        <v>0</v>
      </c>
      <c r="L41" s="16">
        <v>0.27</v>
      </c>
    </row>
    <row r="42" spans="1:12" x14ac:dyDescent="0.25">
      <c r="A42" s="10" t="s">
        <v>20</v>
      </c>
      <c r="B42" s="11" t="s">
        <v>107</v>
      </c>
      <c r="C42" s="11" t="s">
        <v>20</v>
      </c>
      <c r="D42" s="11" t="s">
        <v>108</v>
      </c>
      <c r="E42" s="11" t="s">
        <v>109</v>
      </c>
      <c r="F42" s="12">
        <v>10000</v>
      </c>
      <c r="G42" s="13">
        <v>42.97</v>
      </c>
      <c r="H42" s="13">
        <v>0.27</v>
      </c>
      <c r="I42" s="14" t="s">
        <v>20</v>
      </c>
      <c r="J42" s="14" t="s">
        <v>20</v>
      </c>
      <c r="K42" s="15">
        <v>0</v>
      </c>
      <c r="L42" s="16">
        <v>0.27</v>
      </c>
    </row>
    <row r="43" spans="1:12" x14ac:dyDescent="0.25">
      <c r="A43" s="10" t="s">
        <v>20</v>
      </c>
      <c r="B43" s="11" t="s">
        <v>110</v>
      </c>
      <c r="C43" s="11" t="s">
        <v>20</v>
      </c>
      <c r="D43" s="11" t="s">
        <v>111</v>
      </c>
      <c r="E43" s="11" t="s">
        <v>104</v>
      </c>
      <c r="F43" s="12">
        <v>1500</v>
      </c>
      <c r="G43" s="13">
        <v>41.7</v>
      </c>
      <c r="H43" s="13">
        <v>0.26</v>
      </c>
      <c r="I43" s="14" t="s">
        <v>20</v>
      </c>
      <c r="J43" s="14" t="s">
        <v>20</v>
      </c>
      <c r="K43" s="15">
        <v>0</v>
      </c>
      <c r="L43" s="16">
        <v>0.26</v>
      </c>
    </row>
    <row r="44" spans="1:12" x14ac:dyDescent="0.25">
      <c r="A44" s="10" t="s">
        <v>20</v>
      </c>
      <c r="B44" s="11" t="s">
        <v>112</v>
      </c>
      <c r="C44" s="11" t="s">
        <v>20</v>
      </c>
      <c r="D44" s="11" t="s">
        <v>113</v>
      </c>
      <c r="E44" s="11" t="s">
        <v>104</v>
      </c>
      <c r="F44" s="12">
        <v>10000</v>
      </c>
      <c r="G44" s="13">
        <v>36.799999999999997</v>
      </c>
      <c r="H44" s="13">
        <v>0.23</v>
      </c>
      <c r="I44" s="14" t="s">
        <v>20</v>
      </c>
      <c r="J44" s="14" t="s">
        <v>20</v>
      </c>
      <c r="K44" s="15">
        <v>0</v>
      </c>
      <c r="L44" s="16">
        <v>0.23</v>
      </c>
    </row>
    <row r="45" spans="1:12" x14ac:dyDescent="0.25">
      <c r="A45" s="10" t="s">
        <v>20</v>
      </c>
      <c r="B45" s="11" t="s">
        <v>114</v>
      </c>
      <c r="C45" s="11" t="s">
        <v>20</v>
      </c>
      <c r="D45" s="11" t="s">
        <v>115</v>
      </c>
      <c r="E45" s="11" t="s">
        <v>116</v>
      </c>
      <c r="F45" s="12">
        <v>2000</v>
      </c>
      <c r="G45" s="13">
        <v>36.39</v>
      </c>
      <c r="H45" s="13">
        <v>0.23</v>
      </c>
      <c r="I45" s="14" t="s">
        <v>20</v>
      </c>
      <c r="J45" s="14" t="s">
        <v>20</v>
      </c>
      <c r="K45" s="15">
        <v>0</v>
      </c>
      <c r="L45" s="16">
        <v>0.23</v>
      </c>
    </row>
    <row r="46" spans="1:12" x14ac:dyDescent="0.25">
      <c r="A46" s="10" t="s">
        <v>20</v>
      </c>
      <c r="B46" s="11" t="s">
        <v>117</v>
      </c>
      <c r="C46" s="11" t="s">
        <v>20</v>
      </c>
      <c r="D46" s="11" t="s">
        <v>118</v>
      </c>
      <c r="E46" s="11" t="s">
        <v>22</v>
      </c>
      <c r="F46" s="12">
        <v>492</v>
      </c>
      <c r="G46" s="13">
        <v>31.98</v>
      </c>
      <c r="H46" s="13">
        <v>0.2</v>
      </c>
      <c r="I46" s="14" t="s">
        <v>20</v>
      </c>
      <c r="J46" s="14" t="s">
        <v>20</v>
      </c>
      <c r="K46" s="15">
        <v>0</v>
      </c>
      <c r="L46" s="16">
        <v>0.2</v>
      </c>
    </row>
    <row r="47" spans="1:12" x14ac:dyDescent="0.25">
      <c r="A47" s="10" t="s">
        <v>20</v>
      </c>
      <c r="B47" s="11" t="s">
        <v>119</v>
      </c>
      <c r="C47" s="11" t="s">
        <v>20</v>
      </c>
      <c r="D47" s="11" t="s">
        <v>120</v>
      </c>
      <c r="E47" s="11" t="s">
        <v>121</v>
      </c>
      <c r="F47" s="12">
        <v>14000</v>
      </c>
      <c r="G47" s="13">
        <v>29.99</v>
      </c>
      <c r="H47" s="13">
        <v>0.19</v>
      </c>
      <c r="I47" s="14" t="s">
        <v>20</v>
      </c>
      <c r="J47" s="14" t="s">
        <v>20</v>
      </c>
      <c r="K47" s="15">
        <v>0</v>
      </c>
      <c r="L47" s="16">
        <v>0.19</v>
      </c>
    </row>
    <row r="48" spans="1:12" x14ac:dyDescent="0.25">
      <c r="A48" s="10" t="s">
        <v>20</v>
      </c>
      <c r="B48" s="11" t="s">
        <v>122</v>
      </c>
      <c r="C48" s="11" t="s">
        <v>20</v>
      </c>
      <c r="D48" s="11" t="s">
        <v>123</v>
      </c>
      <c r="E48" s="11" t="s">
        <v>78</v>
      </c>
      <c r="F48" s="12">
        <v>4200</v>
      </c>
      <c r="G48" s="13">
        <v>29.09</v>
      </c>
      <c r="H48" s="13">
        <v>0.18</v>
      </c>
      <c r="I48" s="14" t="s">
        <v>20</v>
      </c>
      <c r="J48" s="14" t="s">
        <v>20</v>
      </c>
      <c r="K48" s="15">
        <v>0</v>
      </c>
      <c r="L48" s="16">
        <v>0.18</v>
      </c>
    </row>
    <row r="49" spans="1:12" x14ac:dyDescent="0.25">
      <c r="A49" s="10" t="s">
        <v>20</v>
      </c>
      <c r="B49" s="11" t="s">
        <v>124</v>
      </c>
      <c r="C49" s="11" t="s">
        <v>20</v>
      </c>
      <c r="D49" s="11" t="s">
        <v>125</v>
      </c>
      <c r="E49" s="11" t="s">
        <v>126</v>
      </c>
      <c r="F49" s="12">
        <v>2000</v>
      </c>
      <c r="G49" s="13">
        <v>28.55</v>
      </c>
      <c r="H49" s="13">
        <v>0.18</v>
      </c>
      <c r="I49" s="14" t="s">
        <v>20</v>
      </c>
      <c r="J49" s="14" t="s">
        <v>20</v>
      </c>
      <c r="K49" s="15">
        <v>0</v>
      </c>
      <c r="L49" s="16">
        <v>0.18</v>
      </c>
    </row>
    <row r="50" spans="1:12" x14ac:dyDescent="0.25">
      <c r="A50" s="10" t="s">
        <v>20</v>
      </c>
      <c r="B50" s="11" t="s">
        <v>127</v>
      </c>
      <c r="C50" s="11" t="s">
        <v>20</v>
      </c>
      <c r="D50" s="11" t="s">
        <v>128</v>
      </c>
      <c r="E50" s="11" t="s">
        <v>63</v>
      </c>
      <c r="F50" s="12">
        <v>10050</v>
      </c>
      <c r="G50" s="13">
        <v>24.02</v>
      </c>
      <c r="H50" s="13">
        <v>0.15</v>
      </c>
      <c r="I50" s="14" t="s">
        <v>20</v>
      </c>
      <c r="J50" s="14" t="s">
        <v>20</v>
      </c>
      <c r="K50" s="15">
        <v>0</v>
      </c>
      <c r="L50" s="16">
        <v>0.15</v>
      </c>
    </row>
    <row r="51" spans="1:12" x14ac:dyDescent="0.25">
      <c r="A51" s="10" t="s">
        <v>20</v>
      </c>
      <c r="B51" s="11" t="s">
        <v>129</v>
      </c>
      <c r="C51" s="11" t="s">
        <v>20</v>
      </c>
      <c r="D51" s="11" t="s">
        <v>130</v>
      </c>
      <c r="E51" s="11" t="s">
        <v>131</v>
      </c>
      <c r="F51" s="12">
        <v>2600</v>
      </c>
      <c r="G51" s="13">
        <v>21.05</v>
      </c>
      <c r="H51" s="13">
        <v>0.13</v>
      </c>
      <c r="I51" s="14" t="s">
        <v>20</v>
      </c>
      <c r="J51" s="14" t="s">
        <v>20</v>
      </c>
      <c r="K51" s="15">
        <v>0</v>
      </c>
      <c r="L51" s="16">
        <v>0.13</v>
      </c>
    </row>
    <row r="52" spans="1:12" x14ac:dyDescent="0.25">
      <c r="A52" s="17"/>
      <c r="B52" s="9" t="s">
        <v>132</v>
      </c>
      <c r="C52" s="17"/>
      <c r="D52" s="17"/>
      <c r="E52" s="17"/>
      <c r="F52" s="17"/>
      <c r="G52" s="18">
        <v>6743.9000000000033</v>
      </c>
      <c r="H52" s="18">
        <v>42.26</v>
      </c>
      <c r="I52" s="17"/>
      <c r="J52" s="17"/>
      <c r="K52" s="17"/>
      <c r="L52" s="17"/>
    </row>
    <row r="53" spans="1:12" x14ac:dyDescent="0.25">
      <c r="A53" s="8"/>
      <c r="B53" s="9" t="s">
        <v>133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25">
      <c r="A54" s="8"/>
      <c r="B54" s="9" t="s">
        <v>17</v>
      </c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5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22</v>
      </c>
      <c r="F55" s="12">
        <v>492</v>
      </c>
      <c r="G55" s="13">
        <v>18.559999999999999</v>
      </c>
      <c r="H55" s="13">
        <v>0.12</v>
      </c>
      <c r="I55" s="14" t="s">
        <v>20</v>
      </c>
      <c r="J55" s="14" t="s">
        <v>20</v>
      </c>
      <c r="K55" s="15">
        <v>0</v>
      </c>
      <c r="L55" s="16">
        <v>0.12</v>
      </c>
    </row>
    <row r="56" spans="1:12" x14ac:dyDescent="0.25">
      <c r="A56" s="17"/>
      <c r="B56" s="9" t="s">
        <v>132</v>
      </c>
      <c r="C56" s="17"/>
      <c r="D56" s="17"/>
      <c r="E56" s="17"/>
      <c r="F56" s="17"/>
      <c r="G56" s="18">
        <v>18.559999999999999</v>
      </c>
      <c r="H56" s="18">
        <v>0.12</v>
      </c>
      <c r="I56" s="17"/>
      <c r="J56" s="17"/>
      <c r="K56" s="17"/>
      <c r="L56" s="17"/>
    </row>
    <row r="57" spans="1:12" x14ac:dyDescent="0.25">
      <c r="A57" s="8"/>
      <c r="B57" s="9" t="s">
        <v>136</v>
      </c>
      <c r="C57" s="8"/>
      <c r="D57" s="8"/>
      <c r="E57" s="8"/>
      <c r="F57" s="8"/>
      <c r="G57" s="19">
        <v>6762.4600000000037</v>
      </c>
      <c r="H57" s="19">
        <v>42.379999999999995</v>
      </c>
      <c r="I57" s="8"/>
      <c r="J57" s="8"/>
      <c r="K57" s="8"/>
      <c r="L57" s="8"/>
    </row>
    <row r="58" spans="1:12" x14ac:dyDescent="0.25">
      <c r="A58" s="8"/>
      <c r="B58" s="9" t="s">
        <v>137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25">
      <c r="A59" s="8"/>
      <c r="B59" s="9" t="s">
        <v>16</v>
      </c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x14ac:dyDescent="0.25">
      <c r="A60" s="8"/>
      <c r="B60" s="9" t="s">
        <v>138</v>
      </c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10" t="s">
        <v>18</v>
      </c>
      <c r="B61" s="11" t="s">
        <v>139</v>
      </c>
      <c r="C61" s="11">
        <v>6.67</v>
      </c>
      <c r="D61" s="11" t="s">
        <v>140</v>
      </c>
      <c r="E61" s="11" t="s">
        <v>141</v>
      </c>
      <c r="F61" s="12">
        <v>1500000</v>
      </c>
      <c r="G61" s="13">
        <v>1430.26</v>
      </c>
      <c r="H61" s="13">
        <v>8.9700000000000006</v>
      </c>
      <c r="I61" s="14">
        <v>7.1848000000000001</v>
      </c>
      <c r="J61" s="14" t="s">
        <v>20</v>
      </c>
      <c r="K61" s="15" t="s">
        <v>20</v>
      </c>
      <c r="L61" s="16" t="s">
        <v>20</v>
      </c>
    </row>
    <row r="62" spans="1:12" x14ac:dyDescent="0.25">
      <c r="A62" s="10" t="s">
        <v>18</v>
      </c>
      <c r="B62" s="11" t="s">
        <v>142</v>
      </c>
      <c r="C62" s="11">
        <v>6.19</v>
      </c>
      <c r="D62" s="11" t="s">
        <v>143</v>
      </c>
      <c r="E62" s="11" t="s">
        <v>141</v>
      </c>
      <c r="F62" s="12">
        <v>1000000</v>
      </c>
      <c r="G62" s="13">
        <v>937</v>
      </c>
      <c r="H62" s="13">
        <v>5.88</v>
      </c>
      <c r="I62" s="14">
        <v>7.1896000000000004</v>
      </c>
      <c r="J62" s="14" t="s">
        <v>20</v>
      </c>
      <c r="K62" s="15" t="s">
        <v>20</v>
      </c>
      <c r="L62" s="16" t="s">
        <v>20</v>
      </c>
    </row>
    <row r="63" spans="1:12" x14ac:dyDescent="0.25">
      <c r="A63" s="10" t="s">
        <v>18</v>
      </c>
      <c r="B63" s="11" t="s">
        <v>144</v>
      </c>
      <c r="C63" s="11">
        <v>7.57</v>
      </c>
      <c r="D63" s="11" t="s">
        <v>145</v>
      </c>
      <c r="E63" s="11" t="s">
        <v>141</v>
      </c>
      <c r="F63" s="12">
        <v>750000</v>
      </c>
      <c r="G63" s="13">
        <v>774.49</v>
      </c>
      <c r="H63" s="13">
        <v>4.8600000000000003</v>
      </c>
      <c r="I63" s="14">
        <v>7.1961000000000004</v>
      </c>
      <c r="J63" s="14" t="s">
        <v>20</v>
      </c>
      <c r="K63" s="15" t="s">
        <v>20</v>
      </c>
      <c r="L63" s="16" t="s">
        <v>20</v>
      </c>
    </row>
    <row r="64" spans="1:12" x14ac:dyDescent="0.25">
      <c r="A64" s="10" t="s">
        <v>18</v>
      </c>
      <c r="B64" s="11" t="s">
        <v>146</v>
      </c>
      <c r="C64" s="11">
        <v>8.9700000000000006</v>
      </c>
      <c r="D64" s="11" t="s">
        <v>147</v>
      </c>
      <c r="E64" s="11" t="s">
        <v>141</v>
      </c>
      <c r="F64" s="12">
        <v>550000</v>
      </c>
      <c r="G64" s="13">
        <v>603.94000000000005</v>
      </c>
      <c r="H64" s="13">
        <v>3.79</v>
      </c>
      <c r="I64" s="14">
        <v>7.1688999999999998</v>
      </c>
      <c r="J64" s="14" t="s">
        <v>20</v>
      </c>
      <c r="K64" s="15" t="s">
        <v>20</v>
      </c>
      <c r="L64" s="16" t="s">
        <v>20</v>
      </c>
    </row>
    <row r="65" spans="1:12" x14ac:dyDescent="0.25">
      <c r="A65" s="10" t="s">
        <v>18</v>
      </c>
      <c r="B65" s="11" t="s">
        <v>148</v>
      </c>
      <c r="C65" s="11">
        <v>7.5</v>
      </c>
      <c r="D65" s="11" t="s">
        <v>149</v>
      </c>
      <c r="E65" s="11" t="s">
        <v>141</v>
      </c>
      <c r="F65" s="12">
        <v>500000</v>
      </c>
      <c r="G65" s="13">
        <v>515.66</v>
      </c>
      <c r="H65" s="13">
        <v>3.23</v>
      </c>
      <c r="I65" s="14">
        <v>7.1843000000000004</v>
      </c>
      <c r="J65" s="14" t="s">
        <v>20</v>
      </c>
      <c r="K65" s="15" t="s">
        <v>20</v>
      </c>
      <c r="L65" s="16" t="s">
        <v>20</v>
      </c>
    </row>
    <row r="66" spans="1:12" x14ac:dyDescent="0.25">
      <c r="A66" s="10" t="s">
        <v>20</v>
      </c>
      <c r="B66" s="11" t="s">
        <v>150</v>
      </c>
      <c r="C66" s="11">
        <v>7.54</v>
      </c>
      <c r="D66" s="11" t="s">
        <v>151</v>
      </c>
      <c r="E66" s="11" t="s">
        <v>141</v>
      </c>
      <c r="F66" s="12">
        <v>15000</v>
      </c>
      <c r="G66" s="13">
        <v>15.59</v>
      </c>
      <c r="H66" s="13">
        <v>0.1</v>
      </c>
      <c r="I66" s="14">
        <v>7.1722999999999999</v>
      </c>
      <c r="J66" s="14" t="s">
        <v>20</v>
      </c>
      <c r="K66" s="15" t="s">
        <v>20</v>
      </c>
      <c r="L66" s="16" t="s">
        <v>20</v>
      </c>
    </row>
    <row r="67" spans="1:12" x14ac:dyDescent="0.25">
      <c r="A67" s="8"/>
      <c r="B67" s="9" t="s">
        <v>152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25">
      <c r="A68" s="10" t="s">
        <v>18</v>
      </c>
      <c r="B68" s="11" t="s">
        <v>153</v>
      </c>
      <c r="C68" s="11">
        <v>8.35</v>
      </c>
      <c r="D68" s="11" t="s">
        <v>154</v>
      </c>
      <c r="E68" s="11" t="s">
        <v>155</v>
      </c>
      <c r="F68" s="12">
        <v>100</v>
      </c>
      <c r="G68" s="13">
        <v>1004.94</v>
      </c>
      <c r="H68" s="13">
        <v>6.3</v>
      </c>
      <c r="I68" s="14">
        <v>8.2550000000000008</v>
      </c>
      <c r="J68" s="14" t="s">
        <v>20</v>
      </c>
      <c r="K68" s="15" t="s">
        <v>20</v>
      </c>
      <c r="L68" s="16" t="s">
        <v>20</v>
      </c>
    </row>
    <row r="69" spans="1:12" x14ac:dyDescent="0.25">
      <c r="A69" s="10" t="s">
        <v>18</v>
      </c>
      <c r="B69" s="11" t="s">
        <v>156</v>
      </c>
      <c r="C69" s="11">
        <v>7.7504999999999997</v>
      </c>
      <c r="D69" s="11" t="s">
        <v>157</v>
      </c>
      <c r="E69" s="11" t="s">
        <v>158</v>
      </c>
      <c r="F69" s="12">
        <v>100</v>
      </c>
      <c r="G69" s="13">
        <v>988.03</v>
      </c>
      <c r="H69" s="13">
        <v>6.2</v>
      </c>
      <c r="I69" s="14">
        <v>8.6349999999999998</v>
      </c>
      <c r="J69" s="14" t="s">
        <v>20</v>
      </c>
      <c r="K69" s="15" t="s">
        <v>20</v>
      </c>
      <c r="L69" s="16" t="s">
        <v>20</v>
      </c>
    </row>
    <row r="70" spans="1:12" x14ac:dyDescent="0.25">
      <c r="A70" s="10" t="s">
        <v>18</v>
      </c>
      <c r="B70" s="11" t="s">
        <v>159</v>
      </c>
      <c r="C70" s="11">
        <v>8.4</v>
      </c>
      <c r="D70" s="11" t="s">
        <v>160</v>
      </c>
      <c r="E70" s="11" t="s">
        <v>161</v>
      </c>
      <c r="F70" s="12">
        <v>50</v>
      </c>
      <c r="G70" s="13">
        <v>516.1</v>
      </c>
      <c r="H70" s="13">
        <v>3.24</v>
      </c>
      <c r="I70" s="14">
        <v>7.5250000000000004</v>
      </c>
      <c r="J70" s="14" t="s">
        <v>20</v>
      </c>
      <c r="K70" s="15" t="s">
        <v>20</v>
      </c>
      <c r="L70" s="16" t="s">
        <v>20</v>
      </c>
    </row>
    <row r="71" spans="1:12" x14ac:dyDescent="0.25">
      <c r="A71" s="10" t="s">
        <v>20</v>
      </c>
      <c r="B71" s="11" t="s">
        <v>162</v>
      </c>
      <c r="C71" s="11">
        <v>6.83</v>
      </c>
      <c r="D71" s="11" t="s">
        <v>163</v>
      </c>
      <c r="E71" s="11" t="s">
        <v>161</v>
      </c>
      <c r="F71" s="12">
        <v>50</v>
      </c>
      <c r="G71" s="13">
        <v>473.2</v>
      </c>
      <c r="H71" s="13">
        <v>2.97</v>
      </c>
      <c r="I71" s="14">
        <v>7.9</v>
      </c>
      <c r="J71" s="14" t="s">
        <v>20</v>
      </c>
      <c r="K71" s="15" t="s">
        <v>20</v>
      </c>
      <c r="L71" s="16" t="s">
        <v>20</v>
      </c>
    </row>
    <row r="72" spans="1:12" x14ac:dyDescent="0.25">
      <c r="A72" s="10" t="s">
        <v>20</v>
      </c>
      <c r="B72" s="11" t="s">
        <v>164</v>
      </c>
      <c r="C72" s="11">
        <v>9.1</v>
      </c>
      <c r="D72" s="11" t="s">
        <v>165</v>
      </c>
      <c r="E72" s="11" t="s">
        <v>161</v>
      </c>
      <c r="F72" s="12">
        <v>10</v>
      </c>
      <c r="G72" s="13">
        <v>105.01</v>
      </c>
      <c r="H72" s="13">
        <v>0.66</v>
      </c>
      <c r="I72" s="14">
        <v>7.7750000000000004</v>
      </c>
      <c r="J72" s="14" t="s">
        <v>20</v>
      </c>
      <c r="K72" s="15" t="s">
        <v>20</v>
      </c>
      <c r="L72" s="16" t="s">
        <v>20</v>
      </c>
    </row>
    <row r="73" spans="1:12" x14ac:dyDescent="0.25">
      <c r="A73" s="17"/>
      <c r="B73" s="9" t="s">
        <v>132</v>
      </c>
      <c r="C73" s="17"/>
      <c r="D73" s="17"/>
      <c r="E73" s="17"/>
      <c r="F73" s="17"/>
      <c r="G73" s="18">
        <v>7364.2200000000012</v>
      </c>
      <c r="H73" s="18">
        <v>46.2</v>
      </c>
      <c r="I73" s="17"/>
      <c r="J73" s="17"/>
      <c r="K73" s="17"/>
      <c r="L73" s="17"/>
    </row>
    <row r="74" spans="1:12" x14ac:dyDescent="0.25">
      <c r="A74" s="8"/>
      <c r="B74" s="9" t="s">
        <v>136</v>
      </c>
      <c r="C74" s="8"/>
      <c r="D74" s="8"/>
      <c r="E74" s="8"/>
      <c r="F74" s="8"/>
      <c r="G74" s="19">
        <v>7364.2200000000012</v>
      </c>
      <c r="H74" s="19">
        <v>46.2</v>
      </c>
      <c r="I74" s="8"/>
      <c r="J74" s="8"/>
      <c r="K74" s="8"/>
      <c r="L74" s="8"/>
    </row>
    <row r="75" spans="1:12" x14ac:dyDescent="0.25">
      <c r="A75" s="8"/>
      <c r="B75" s="9" t="s">
        <v>166</v>
      </c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x14ac:dyDescent="0.25">
      <c r="A76" s="8"/>
      <c r="B76" s="9" t="s">
        <v>167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25">
      <c r="A77" s="10" t="s">
        <v>20</v>
      </c>
      <c r="B77" s="11" t="s">
        <v>20</v>
      </c>
      <c r="C77" s="11" t="s">
        <v>20</v>
      </c>
      <c r="D77" s="11" t="s">
        <v>167</v>
      </c>
      <c r="E77" s="11" t="s">
        <v>20</v>
      </c>
      <c r="F77" s="12" t="s">
        <v>20</v>
      </c>
      <c r="G77" s="13">
        <v>1199.3900000000001</v>
      </c>
      <c r="H77" s="13">
        <v>7.52</v>
      </c>
      <c r="I77" s="14">
        <v>6.7210999999999999</v>
      </c>
      <c r="J77" s="14" t="s">
        <v>20</v>
      </c>
      <c r="K77" s="15" t="s">
        <v>20</v>
      </c>
      <c r="L77" s="16" t="s">
        <v>20</v>
      </c>
    </row>
    <row r="78" spans="1:12" x14ac:dyDescent="0.25">
      <c r="A78" s="17"/>
      <c r="B78" s="9" t="s">
        <v>132</v>
      </c>
      <c r="C78" s="17"/>
      <c r="D78" s="17"/>
      <c r="E78" s="17"/>
      <c r="F78" s="17"/>
      <c r="G78" s="18">
        <v>1199.3900000000001</v>
      </c>
      <c r="H78" s="18">
        <v>7.52</v>
      </c>
      <c r="I78" s="17"/>
      <c r="J78" s="17"/>
      <c r="K78" s="17"/>
      <c r="L78" s="17"/>
    </row>
    <row r="79" spans="1:12" x14ac:dyDescent="0.25">
      <c r="A79" s="8"/>
      <c r="B79" s="9" t="s">
        <v>136</v>
      </c>
      <c r="C79" s="8"/>
      <c r="D79" s="8"/>
      <c r="E79" s="8"/>
      <c r="F79" s="8"/>
      <c r="G79" s="19">
        <v>1199.3900000000001</v>
      </c>
      <c r="H79" s="19">
        <v>7.52</v>
      </c>
      <c r="I79" s="8"/>
      <c r="J79" s="8"/>
      <c r="K79" s="8"/>
      <c r="L79" s="8"/>
    </row>
    <row r="80" spans="1:12" x14ac:dyDescent="0.25">
      <c r="A80" s="8"/>
      <c r="B80" s="9" t="s">
        <v>168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x14ac:dyDescent="0.25">
      <c r="A81" s="8"/>
      <c r="B81" s="9" t="s">
        <v>169</v>
      </c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x14ac:dyDescent="0.25">
      <c r="A82" s="10" t="s">
        <v>20</v>
      </c>
      <c r="B82" s="11" t="s">
        <v>20</v>
      </c>
      <c r="C82" s="11" t="s">
        <v>20</v>
      </c>
      <c r="D82" s="11" t="s">
        <v>169</v>
      </c>
      <c r="E82" s="11" t="s">
        <v>20</v>
      </c>
      <c r="F82" s="12" t="s">
        <v>20</v>
      </c>
      <c r="G82" s="13">
        <v>619.44000000000005</v>
      </c>
      <c r="H82" s="13">
        <v>3.9</v>
      </c>
      <c r="I82" s="14" t="s">
        <v>20</v>
      </c>
      <c r="J82" s="14" t="s">
        <v>20</v>
      </c>
      <c r="K82" s="15" t="s">
        <v>20</v>
      </c>
      <c r="L82" s="16" t="s">
        <v>20</v>
      </c>
    </row>
    <row r="83" spans="1:12" x14ac:dyDescent="0.25">
      <c r="A83" s="17"/>
      <c r="B83" s="9" t="s">
        <v>132</v>
      </c>
      <c r="C83" s="17"/>
      <c r="D83" s="17"/>
      <c r="E83" s="17"/>
      <c r="F83" s="17"/>
      <c r="G83" s="18">
        <v>619.44000000000005</v>
      </c>
      <c r="H83" s="18">
        <v>3.9</v>
      </c>
      <c r="I83" s="17"/>
      <c r="J83" s="17"/>
      <c r="K83" s="17"/>
      <c r="L83" s="17"/>
    </row>
    <row r="84" spans="1:12" x14ac:dyDescent="0.25">
      <c r="A84" s="8"/>
      <c r="B84" s="9" t="s">
        <v>136</v>
      </c>
      <c r="C84" s="8"/>
      <c r="D84" s="8"/>
      <c r="E84" s="8"/>
      <c r="F84" s="8"/>
      <c r="G84" s="19">
        <v>619.44000000000005</v>
      </c>
      <c r="H84" s="19">
        <v>3.9</v>
      </c>
      <c r="I84" s="8"/>
      <c r="J84" s="8"/>
      <c r="K84" s="8"/>
      <c r="L84" s="8"/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4"/>
      <c r="B86" s="20" t="s">
        <v>170</v>
      </c>
      <c r="C86" s="4"/>
      <c r="D86" s="4"/>
      <c r="E86" s="4"/>
      <c r="F86" s="4"/>
      <c r="G86" s="21">
        <v>15945.510000000006</v>
      </c>
      <c r="H86" s="21">
        <v>99.999999999999986</v>
      </c>
      <c r="I86" s="4"/>
      <c r="J86" s="4"/>
      <c r="K86" s="4"/>
      <c r="L86" s="4"/>
    </row>
    <row r="87" spans="1:12" x14ac:dyDescent="0.25">
      <c r="A87" s="10" t="s">
        <v>18</v>
      </c>
      <c r="B87" s="47" t="s">
        <v>171</v>
      </c>
      <c r="C87" s="47" t="s">
        <v>171</v>
      </c>
      <c r="D87" s="47" t="s">
        <v>171</v>
      </c>
      <c r="E87" s="47" t="s">
        <v>171</v>
      </c>
      <c r="F87" s="47" t="s">
        <v>171</v>
      </c>
      <c r="G87" s="11"/>
      <c r="H87" s="11"/>
      <c r="I87" s="11"/>
      <c r="J87" s="11"/>
      <c r="K87" s="11"/>
      <c r="L87" s="11"/>
    </row>
    <row r="88" spans="1:12" x14ac:dyDescent="0.25">
      <c r="A88" s="11"/>
      <c r="B88" s="44" t="s">
        <v>172</v>
      </c>
      <c r="C88" s="44" t="s">
        <v>172</v>
      </c>
      <c r="D88" s="44" t="s">
        <v>172</v>
      </c>
      <c r="E88" s="44" t="s">
        <v>172</v>
      </c>
      <c r="F88" s="44" t="s">
        <v>172</v>
      </c>
      <c r="G88" s="11"/>
      <c r="H88" s="11"/>
      <c r="I88" s="11"/>
      <c r="J88" s="11"/>
      <c r="K88" s="11"/>
      <c r="L88" s="11"/>
    </row>
    <row r="89" spans="1:12" x14ac:dyDescent="0.25">
      <c r="A89" s="11"/>
      <c r="B89" s="44" t="s">
        <v>173</v>
      </c>
      <c r="C89" s="44" t="s">
        <v>173</v>
      </c>
      <c r="D89" s="44" t="s">
        <v>173</v>
      </c>
      <c r="E89" s="44" t="s">
        <v>173</v>
      </c>
      <c r="F89" s="44" t="s">
        <v>173</v>
      </c>
      <c r="G89" s="11"/>
      <c r="H89" s="11"/>
      <c r="I89" s="11"/>
      <c r="J89" s="11"/>
      <c r="K89" s="11"/>
      <c r="L89" s="11"/>
    </row>
    <row r="90" spans="1:12" x14ac:dyDescent="0.25">
      <c r="A90" s="11"/>
      <c r="B90" s="44" t="s">
        <v>174</v>
      </c>
      <c r="C90" s="44" t="s">
        <v>174</v>
      </c>
      <c r="D90" s="44" t="s">
        <v>174</v>
      </c>
      <c r="E90" s="44" t="s">
        <v>174</v>
      </c>
      <c r="F90" s="44" t="s">
        <v>174</v>
      </c>
      <c r="G90" s="11"/>
      <c r="H90" s="11"/>
      <c r="I90" s="11"/>
      <c r="J90" s="11"/>
      <c r="K90" s="11"/>
      <c r="L90" s="11"/>
    </row>
    <row r="91" spans="1:12" x14ac:dyDescent="0.25">
      <c r="A91" s="11"/>
      <c r="B91" s="44" t="s">
        <v>175</v>
      </c>
      <c r="C91" s="44" t="s">
        <v>175</v>
      </c>
      <c r="D91" s="44" t="s">
        <v>175</v>
      </c>
      <c r="E91" s="44" t="s">
        <v>175</v>
      </c>
      <c r="F91" s="44" t="s">
        <v>175</v>
      </c>
      <c r="G91" s="11"/>
      <c r="H91" s="11"/>
      <c r="I91" s="11"/>
      <c r="J91" s="11"/>
      <c r="K91" s="11"/>
      <c r="L91" s="11"/>
    </row>
    <row r="92" spans="1:12" x14ac:dyDescent="0.25">
      <c r="A92" s="11"/>
      <c r="B92" s="44" t="s">
        <v>176</v>
      </c>
      <c r="C92" s="44" t="s">
        <v>176</v>
      </c>
      <c r="D92" s="44" t="s">
        <v>176</v>
      </c>
      <c r="E92" s="44" t="s">
        <v>176</v>
      </c>
      <c r="F92" s="44" t="s">
        <v>176</v>
      </c>
      <c r="G92" s="11"/>
      <c r="H92" s="11"/>
      <c r="I92" s="11"/>
      <c r="J92" s="11"/>
      <c r="K92" s="11"/>
      <c r="L92" s="11"/>
    </row>
    <row r="93" spans="1:12" x14ac:dyDescent="0.25">
      <c r="A93" s="11"/>
      <c r="B93" s="44" t="s">
        <v>177</v>
      </c>
      <c r="C93" s="44" t="s">
        <v>177</v>
      </c>
      <c r="D93" s="44" t="s">
        <v>177</v>
      </c>
      <c r="E93" s="44" t="s">
        <v>177</v>
      </c>
      <c r="F93" s="44" t="s">
        <v>177</v>
      </c>
      <c r="G93" s="11"/>
      <c r="H93" s="11"/>
      <c r="I93" s="11"/>
      <c r="J93" s="11"/>
      <c r="K93" s="11"/>
      <c r="L93" s="11"/>
    </row>
    <row r="94" spans="1:12" x14ac:dyDescent="0.25">
      <c r="A94" s="11"/>
      <c r="B94" s="44" t="s">
        <v>178</v>
      </c>
      <c r="C94" s="44" t="s">
        <v>178</v>
      </c>
      <c r="D94" s="44" t="s">
        <v>178</v>
      </c>
      <c r="E94" s="44" t="s">
        <v>178</v>
      </c>
      <c r="F94" s="44" t="s">
        <v>178</v>
      </c>
      <c r="G94" s="11"/>
      <c r="H94" s="11"/>
      <c r="I94" s="11"/>
      <c r="J94" s="11"/>
      <c r="K94" s="11"/>
      <c r="L94" s="11"/>
    </row>
    <row r="95" spans="1:12" x14ac:dyDescent="0.25">
      <c r="A95" s="11"/>
      <c r="B95" s="11"/>
      <c r="C95" s="11"/>
      <c r="D95" s="11"/>
      <c r="E95" s="11"/>
      <c r="F95" s="11"/>
      <c r="G95" s="11"/>
      <c r="H95" s="11"/>
    </row>
    <row r="96" spans="1:12" x14ac:dyDescent="0.25">
      <c r="A96" s="22"/>
      <c r="B96" s="22" t="s">
        <v>179</v>
      </c>
      <c r="C96" s="22"/>
      <c r="D96" s="22"/>
      <c r="E96" s="11"/>
      <c r="F96" s="11"/>
      <c r="G96" s="11"/>
      <c r="H96" s="11"/>
    </row>
    <row r="97" spans="1:8" x14ac:dyDescent="0.25">
      <c r="A97" s="22"/>
      <c r="B97" s="23" t="s">
        <v>17</v>
      </c>
      <c r="C97" s="23"/>
      <c r="D97" s="24">
        <v>24.920000000000005</v>
      </c>
      <c r="E97" s="11"/>
      <c r="F97" s="11"/>
      <c r="G97" s="11"/>
      <c r="H97" s="11"/>
    </row>
    <row r="98" spans="1:8" x14ac:dyDescent="0.25">
      <c r="A98" s="22"/>
      <c r="B98" s="23" t="s">
        <v>180</v>
      </c>
      <c r="C98" s="23"/>
      <c r="D98" s="24">
        <v>17.46</v>
      </c>
      <c r="E98" s="11"/>
      <c r="F98" s="11"/>
      <c r="G98" s="11"/>
      <c r="H98" s="11"/>
    </row>
    <row r="99" spans="1:8" x14ac:dyDescent="0.25">
      <c r="A99" s="22"/>
      <c r="B99" s="23" t="s">
        <v>181</v>
      </c>
      <c r="C99" s="23"/>
      <c r="D99" s="24">
        <v>26.830000000000002</v>
      </c>
      <c r="E99" s="11"/>
      <c r="F99" s="11"/>
      <c r="G99" s="11"/>
      <c r="H99" s="11"/>
    </row>
    <row r="100" spans="1:8" x14ac:dyDescent="0.25">
      <c r="A100" s="22"/>
      <c r="B100" s="23" t="s">
        <v>182</v>
      </c>
      <c r="C100" s="23"/>
      <c r="D100" s="24">
        <v>19.37</v>
      </c>
      <c r="E100" s="11"/>
      <c r="F100" s="11"/>
      <c r="G100" s="11"/>
      <c r="H100" s="11"/>
    </row>
    <row r="101" spans="1:8" x14ac:dyDescent="0.25">
      <c r="A101" s="22"/>
      <c r="B101" s="23" t="s">
        <v>183</v>
      </c>
      <c r="C101" s="23"/>
      <c r="D101" s="24">
        <v>11.42</v>
      </c>
      <c r="E101" s="11"/>
      <c r="F101" s="11"/>
      <c r="G101" s="11"/>
      <c r="H101" s="11"/>
    </row>
    <row r="102" spans="1:8" x14ac:dyDescent="0.25">
      <c r="A102" s="22"/>
      <c r="B102" s="22" t="s">
        <v>184</v>
      </c>
      <c r="C102" s="22"/>
      <c r="D102" s="22"/>
      <c r="E102" s="11"/>
      <c r="F102" s="11"/>
      <c r="G102" s="11"/>
      <c r="H102" s="11"/>
    </row>
    <row r="103" spans="1:8" x14ac:dyDescent="0.25">
      <c r="A103" s="22"/>
      <c r="B103" s="23" t="s">
        <v>17</v>
      </c>
      <c r="C103" s="23"/>
      <c r="D103" s="24">
        <v>42.38</v>
      </c>
      <c r="E103" s="11"/>
      <c r="F103" s="11"/>
      <c r="G103" s="11"/>
      <c r="H103" s="11"/>
    </row>
    <row r="104" spans="1:8" x14ac:dyDescent="0.25">
      <c r="A104" s="22"/>
      <c r="B104" s="23" t="s">
        <v>141</v>
      </c>
      <c r="C104" s="23"/>
      <c r="D104" s="24">
        <v>26.830000000000002</v>
      </c>
      <c r="E104" s="11"/>
      <c r="F104" s="11"/>
      <c r="G104" s="11"/>
      <c r="H104" s="11"/>
    </row>
    <row r="105" spans="1:8" x14ac:dyDescent="0.25">
      <c r="A105" s="22"/>
      <c r="B105" s="23" t="s">
        <v>185</v>
      </c>
      <c r="C105" s="23"/>
      <c r="D105" s="24">
        <v>6.870000000000001</v>
      </c>
      <c r="E105" s="11"/>
      <c r="F105" s="11"/>
      <c r="G105" s="11"/>
      <c r="H105" s="11"/>
    </row>
    <row r="106" spans="1:8" x14ac:dyDescent="0.25">
      <c r="A106" s="22"/>
      <c r="B106" s="23" t="s">
        <v>186</v>
      </c>
      <c r="C106" s="23"/>
      <c r="D106" s="24">
        <v>12.5</v>
      </c>
      <c r="E106" s="11"/>
      <c r="F106" s="11"/>
      <c r="G106" s="11"/>
      <c r="H106" s="11"/>
    </row>
    <row r="107" spans="1:8" x14ac:dyDescent="0.25">
      <c r="A107" s="22"/>
      <c r="B107" s="23" t="s">
        <v>183</v>
      </c>
      <c r="C107" s="23"/>
      <c r="D107" s="24">
        <v>11.42</v>
      </c>
      <c r="E107" s="11"/>
      <c r="F107" s="11"/>
      <c r="G107" s="11"/>
      <c r="H107" s="11"/>
    </row>
    <row r="108" spans="1:8" x14ac:dyDescent="0.25">
      <c r="A108" s="25"/>
      <c r="B108" s="25"/>
      <c r="C108" s="25"/>
      <c r="D108" s="25"/>
      <c r="E108" s="25"/>
      <c r="F108" s="25"/>
      <c r="G108" s="25"/>
      <c r="H108" s="25"/>
    </row>
    <row r="109" spans="1:8" x14ac:dyDescent="0.25">
      <c r="A109" s="25"/>
      <c r="B109" s="8" t="s">
        <v>187</v>
      </c>
      <c r="C109" s="25"/>
      <c r="D109" s="25"/>
      <c r="E109" s="25"/>
      <c r="F109" s="25"/>
      <c r="G109" s="25"/>
      <c r="H109" s="25"/>
    </row>
    <row r="110" spans="1:8" x14ac:dyDescent="0.25">
      <c r="A110" s="11"/>
      <c r="B110" s="11" t="s">
        <v>188</v>
      </c>
      <c r="C110" s="11"/>
      <c r="D110" s="11"/>
      <c r="E110" s="11"/>
      <c r="F110" s="11"/>
      <c r="G110" s="11"/>
      <c r="H110" s="25"/>
    </row>
    <row r="111" spans="1:8" x14ac:dyDescent="0.25">
      <c r="A111" s="11"/>
      <c r="B111" s="26" t="s">
        <v>189</v>
      </c>
      <c r="C111" s="27" t="s">
        <v>190</v>
      </c>
      <c r="D111" s="26" t="s">
        <v>191</v>
      </c>
      <c r="E111" s="11"/>
      <c r="F111" s="11"/>
      <c r="G111" s="11"/>
      <c r="H111" s="25"/>
    </row>
    <row r="112" spans="1:8" x14ac:dyDescent="0.25">
      <c r="A112" s="11"/>
      <c r="B112" s="8" t="s">
        <v>192</v>
      </c>
      <c r="C112" s="14">
        <v>20.280200000000001</v>
      </c>
      <c r="D112" s="14">
        <v>19.902100000000001</v>
      </c>
      <c r="E112" s="11"/>
      <c r="F112" s="11"/>
      <c r="G112" s="11"/>
      <c r="H112" s="25"/>
    </row>
    <row r="113" spans="1:8" x14ac:dyDescent="0.25">
      <c r="A113" s="11"/>
      <c r="B113" s="8" t="s">
        <v>193</v>
      </c>
      <c r="C113" s="14">
        <v>22.612300000000001</v>
      </c>
      <c r="D113" s="14">
        <v>22.172000000000001</v>
      </c>
      <c r="E113" s="11"/>
      <c r="F113" s="11"/>
      <c r="G113" s="11"/>
      <c r="H113" s="25"/>
    </row>
    <row r="114" spans="1:8" x14ac:dyDescent="0.25">
      <c r="A114" s="11"/>
      <c r="B114" s="8" t="s">
        <v>20</v>
      </c>
      <c r="C114" s="11"/>
      <c r="D114" s="11"/>
      <c r="E114" s="11"/>
      <c r="F114" s="11"/>
      <c r="G114" s="11"/>
      <c r="H114" s="25"/>
    </row>
    <row r="115" spans="1:8" x14ac:dyDescent="0.25">
      <c r="A115" s="11"/>
      <c r="B115" s="11"/>
      <c r="C115" s="11"/>
      <c r="D115" s="11"/>
      <c r="E115" s="11"/>
      <c r="F115" s="11"/>
      <c r="G115" s="11"/>
      <c r="H115" s="25"/>
    </row>
    <row r="116" spans="1:8" x14ac:dyDescent="0.25">
      <c r="A116" s="11"/>
      <c r="B116" s="11" t="s">
        <v>194</v>
      </c>
      <c r="C116" s="11"/>
      <c r="D116" s="11"/>
      <c r="E116" s="11"/>
      <c r="F116" s="11"/>
      <c r="G116" s="11"/>
      <c r="H116" s="25"/>
    </row>
    <row r="117" spans="1:8" x14ac:dyDescent="0.25">
      <c r="A117" s="11"/>
      <c r="B117" s="11"/>
      <c r="C117" s="11"/>
      <c r="D117" s="11"/>
      <c r="E117" s="11"/>
      <c r="F117" s="11"/>
      <c r="G117" s="11"/>
      <c r="H117" s="25"/>
    </row>
    <row r="118" spans="1:8" x14ac:dyDescent="0.25">
      <c r="A118" s="11"/>
      <c r="B118" s="11" t="s">
        <v>195</v>
      </c>
      <c r="C118" s="11"/>
      <c r="D118" s="11"/>
      <c r="E118" s="11"/>
      <c r="F118" s="11"/>
      <c r="G118" s="11"/>
      <c r="H118" s="25"/>
    </row>
    <row r="119" spans="1:8" x14ac:dyDescent="0.25">
      <c r="A119" s="25"/>
      <c r="B119" s="25"/>
      <c r="C119" s="25"/>
      <c r="D119" s="25"/>
      <c r="E119" s="25"/>
      <c r="F119" s="25"/>
      <c r="G119" s="25"/>
      <c r="H119" s="25"/>
    </row>
    <row r="120" spans="1:8" x14ac:dyDescent="0.25">
      <c r="A120" s="11"/>
      <c r="B120" s="11" t="s">
        <v>196</v>
      </c>
      <c r="C120" s="11"/>
      <c r="D120" s="11"/>
      <c r="E120" s="11"/>
      <c r="F120" s="11"/>
      <c r="G120" s="11"/>
      <c r="H120" s="11"/>
    </row>
    <row r="121" spans="1:8" x14ac:dyDescent="0.25">
      <c r="A121" s="11"/>
      <c r="B121" s="11" t="s">
        <v>197</v>
      </c>
      <c r="C121" s="11"/>
      <c r="D121" s="11"/>
      <c r="E121" s="11"/>
      <c r="F121" s="11"/>
      <c r="G121" s="11"/>
      <c r="H121" s="25"/>
    </row>
    <row r="122" spans="1:8" x14ac:dyDescent="0.25">
      <c r="A122" s="11"/>
      <c r="B122" s="11" t="s">
        <v>198</v>
      </c>
      <c r="C122" s="11"/>
      <c r="D122" s="11"/>
      <c r="E122" s="11"/>
      <c r="F122" s="11"/>
      <c r="G122" s="11"/>
      <c r="H122" s="25"/>
    </row>
    <row r="123" spans="1:8" x14ac:dyDescent="0.25">
      <c r="A123" s="11"/>
      <c r="B123" s="11" t="s">
        <v>219</v>
      </c>
      <c r="C123" s="11"/>
      <c r="D123" s="11"/>
      <c r="E123" s="11"/>
      <c r="F123" s="11"/>
      <c r="G123" s="11"/>
      <c r="H123" s="25"/>
    </row>
    <row r="124" spans="1:8" x14ac:dyDescent="0.25">
      <c r="A124" s="11"/>
      <c r="B124" s="11" t="s">
        <v>199</v>
      </c>
      <c r="C124" s="11"/>
      <c r="D124" s="11"/>
      <c r="E124" s="11"/>
      <c r="F124" s="11"/>
      <c r="G124" s="11"/>
      <c r="H124" s="25"/>
    </row>
    <row r="125" spans="1:8" x14ac:dyDescent="0.25">
      <c r="A125" s="11"/>
      <c r="B125" s="11" t="s">
        <v>200</v>
      </c>
      <c r="C125" s="11"/>
      <c r="D125" s="11"/>
      <c r="E125" s="11"/>
      <c r="F125" s="11"/>
      <c r="G125" s="11"/>
      <c r="H125" s="25"/>
    </row>
    <row r="126" spans="1:8" x14ac:dyDescent="0.25">
      <c r="A126" s="11"/>
      <c r="B126" s="11" t="s">
        <v>201</v>
      </c>
      <c r="C126" s="11"/>
      <c r="D126" s="11"/>
      <c r="E126" s="11"/>
      <c r="F126" s="11"/>
      <c r="G126" s="11"/>
      <c r="H126" s="25"/>
    </row>
    <row r="127" spans="1:8" x14ac:dyDescent="0.25">
      <c r="A127" s="11"/>
      <c r="B127" s="11" t="s">
        <v>202</v>
      </c>
      <c r="C127" s="11"/>
      <c r="D127" s="11"/>
      <c r="E127" s="11"/>
      <c r="F127" s="11"/>
      <c r="G127" s="11"/>
      <c r="H127" s="25"/>
    </row>
    <row r="128" spans="1:8" x14ac:dyDescent="0.25">
      <c r="A128" s="11"/>
      <c r="B128" s="11" t="s">
        <v>203</v>
      </c>
      <c r="C128" s="11"/>
      <c r="D128" s="11"/>
      <c r="E128" s="11"/>
      <c r="F128" s="11"/>
      <c r="G128" s="11"/>
      <c r="H128" s="25"/>
    </row>
    <row r="130" spans="2:2" x14ac:dyDescent="0.25">
      <c r="B130" s="28" t="s">
        <v>204</v>
      </c>
    </row>
    <row r="146" spans="2:2" x14ac:dyDescent="0.25">
      <c r="B146" s="28" t="s">
        <v>205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6"/>
  <sheetViews>
    <sheetView workbookViewId="0"/>
  </sheetViews>
  <sheetFormatPr defaultColWidth="9.140625" defaultRowHeight="12.75" x14ac:dyDescent="0.2"/>
  <cols>
    <col min="1" max="1" width="46.5703125" style="29" customWidth="1"/>
    <col min="2" max="2" width="41.28515625" style="29" bestFit="1" customWidth="1"/>
    <col min="3" max="3" width="32.42578125" style="29" customWidth="1"/>
    <col min="4" max="4" width="22.7109375" style="29" customWidth="1"/>
    <col min="5" max="5" width="18.7109375" style="29" customWidth="1"/>
    <col min="6" max="6" width="16.140625" style="29" customWidth="1"/>
    <col min="7" max="7" width="13.7109375" style="29" customWidth="1"/>
    <col min="8" max="8" width="38.5703125" style="29" customWidth="1"/>
    <col min="9" max="9" width="16.140625" style="29" customWidth="1"/>
    <col min="10" max="10" width="11.7109375" style="29" customWidth="1"/>
    <col min="11" max="11" width="12.7109375" style="29" customWidth="1"/>
    <col min="12" max="12" width="27.28515625" style="29" customWidth="1"/>
    <col min="13" max="14" width="9.140625" style="29" customWidth="1"/>
    <col min="15" max="15" width="10.7109375" style="29" customWidth="1"/>
    <col min="16" max="16384" width="9.140625" style="29"/>
  </cols>
  <sheetData>
    <row r="2" spans="1:9" x14ac:dyDescent="0.2">
      <c r="G2" s="43"/>
    </row>
    <row r="3" spans="1:9" x14ac:dyDescent="0.2">
      <c r="A3" s="48" t="s">
        <v>218</v>
      </c>
      <c r="B3" s="48"/>
      <c r="C3" s="48"/>
      <c r="D3" s="48"/>
      <c r="E3" s="48"/>
      <c r="F3" s="48"/>
      <c r="G3" s="48"/>
    </row>
    <row r="5" spans="1:9" x14ac:dyDescent="0.2">
      <c r="A5" s="29" t="s">
        <v>217</v>
      </c>
    </row>
    <row r="7" spans="1:9" ht="12.75" customHeight="1" x14ac:dyDescent="0.2">
      <c r="A7" s="49" t="str">
        <f>+[35]DerivativeHDFCMY.!A7</f>
        <v>A.  Hedging Positions through Futures as on  June 30, 2024</v>
      </c>
      <c r="B7" s="49"/>
      <c r="C7" s="49"/>
      <c r="D7" s="49"/>
      <c r="E7" s="49"/>
      <c r="F7" s="49"/>
    </row>
    <row r="8" spans="1:9" ht="38.25" x14ac:dyDescent="0.2">
      <c r="A8" s="42" t="s">
        <v>216</v>
      </c>
      <c r="B8" s="41" t="s">
        <v>215</v>
      </c>
      <c r="C8" s="41" t="s">
        <v>214</v>
      </c>
      <c r="D8" s="41" t="s">
        <v>213</v>
      </c>
      <c r="E8" s="41" t="s">
        <v>212</v>
      </c>
      <c r="F8" s="41" t="s">
        <v>211</v>
      </c>
      <c r="G8" s="41" t="s">
        <v>210</v>
      </c>
      <c r="H8" s="40" t="s">
        <v>209</v>
      </c>
    </row>
    <row r="9" spans="1:9" x14ac:dyDescent="0.2">
      <c r="A9" s="39" t="s">
        <v>208</v>
      </c>
      <c r="B9" s="36" t="s">
        <v>207</v>
      </c>
      <c r="C9" s="36" t="s">
        <v>22</v>
      </c>
      <c r="D9" s="35">
        <v>-20000</v>
      </c>
      <c r="E9" s="34">
        <v>6043.5271000000002</v>
      </c>
      <c r="F9" s="33">
        <v>6381.55</v>
      </c>
      <c r="G9" s="33">
        <v>226.89685</v>
      </c>
      <c r="H9" s="33">
        <f>(D9*F9)/100000</f>
        <v>-1276.31</v>
      </c>
      <c r="I9" s="32"/>
    </row>
    <row r="10" spans="1:9" x14ac:dyDescent="0.2">
      <c r="A10" s="38"/>
      <c r="B10" s="36" t="s">
        <v>206</v>
      </c>
      <c r="C10" s="36" t="s">
        <v>28</v>
      </c>
      <c r="D10" s="35">
        <v>-8400</v>
      </c>
      <c r="E10" s="34">
        <v>3625.2053000000001</v>
      </c>
      <c r="F10" s="33">
        <v>3573.15</v>
      </c>
      <c r="G10" s="33">
        <v>54.832700999999993</v>
      </c>
      <c r="H10" s="33">
        <f>(D10*F10)/100000</f>
        <v>-300.14460000000003</v>
      </c>
      <c r="I10" s="32"/>
    </row>
    <row r="11" spans="1:9" x14ac:dyDescent="0.2">
      <c r="A11" s="38"/>
      <c r="B11" s="36" t="s">
        <v>24</v>
      </c>
      <c r="C11" s="36" t="s">
        <v>25</v>
      </c>
      <c r="D11" s="35">
        <v>-30800</v>
      </c>
      <c r="E11" s="34">
        <v>3873.0605</v>
      </c>
      <c r="F11" s="33">
        <v>3921.8</v>
      </c>
      <c r="G11" s="33">
        <v>213.40488399999998</v>
      </c>
      <c r="H11" s="33">
        <f>(D11*F11)/100000</f>
        <v>-1207.9143999999999</v>
      </c>
      <c r="I11" s="32"/>
    </row>
    <row r="12" spans="1:9" x14ac:dyDescent="0.2">
      <c r="A12" s="38"/>
      <c r="B12" s="36"/>
      <c r="C12" s="36"/>
      <c r="D12" s="35"/>
      <c r="E12" s="34"/>
      <c r="F12" s="33"/>
      <c r="G12" s="33"/>
      <c r="H12" s="33">
        <f>(D12*F12)/100000</f>
        <v>0</v>
      </c>
      <c r="I12" s="32"/>
    </row>
    <row r="13" spans="1:9" x14ac:dyDescent="0.2">
      <c r="A13" s="37"/>
      <c r="B13" s="36"/>
      <c r="C13" s="36"/>
      <c r="D13" s="35"/>
      <c r="E13" s="34"/>
      <c r="F13" s="33"/>
      <c r="G13" s="33"/>
      <c r="H13" s="33">
        <f>SUM(H9:H12)</f>
        <v>-2784.3689999999997</v>
      </c>
      <c r="I13" s="32"/>
    </row>
    <row r="14" spans="1:9" x14ac:dyDescent="0.2">
      <c r="I14" s="30"/>
    </row>
    <row r="15" spans="1:9" x14ac:dyDescent="0.2">
      <c r="H15" s="31"/>
    </row>
    <row r="16" spans="1:9" x14ac:dyDescent="0.2">
      <c r="H16" s="30"/>
    </row>
  </sheetData>
  <mergeCells count="2">
    <mergeCell ref="A3:G3"/>
    <mergeCell ref="A7:F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Perugu Veeranarayana</cp:lastModifiedBy>
  <dcterms:created xsi:type="dcterms:W3CDTF">2024-07-09T07:33:15Z</dcterms:created>
  <dcterms:modified xsi:type="dcterms:W3CDTF">2024-07-10T07:06:31Z</dcterms:modified>
</cp:coreProperties>
</file>