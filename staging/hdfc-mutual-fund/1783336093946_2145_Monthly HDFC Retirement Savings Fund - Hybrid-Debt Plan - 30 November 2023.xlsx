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  <c r="A7" i="2"/>
</calcChain>
</file>

<file path=xl/sharedStrings.xml><?xml version="1.0" encoding="utf-8"?>
<sst xmlns="http://schemas.openxmlformats.org/spreadsheetml/2006/main" count="573" uniqueCount="226">
  <si>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</si>
  <si>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</si>
  <si>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</si>
  <si>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</si>
  <si>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</si>
  <si>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</si>
  <si>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</si>
  <si>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</si>
  <si>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</si>
  <si>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</si>
  <si>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</si>
  <si>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</si>
  <si>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</si>
  <si>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</si>
  <si>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</si>
  <si>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</si>
  <si>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</si>
  <si>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</si>
  <si>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</si>
  <si>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</si>
  <si>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</si>
  <si>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</si>
  <si>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</si>
  <si>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</si>
  <si>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</si>
  <si>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</si>
  <si>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</si>
  <si>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</si>
  <si>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</si>
  <si>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</si>
  <si>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</si>
  <si>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</si>
  <si>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</si>
  <si>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</si>
  <si>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</si>
  <si>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</si>
  <si>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</si>
  <si>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</si>
  <si>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</si>
  <si>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INE002A01018</t>
  </si>
  <si>
    <t>Reliance Industries Ltd.</t>
  </si>
  <si>
    <t>Petroleum Products</t>
  </si>
  <si>
    <t>INE238A01034</t>
  </si>
  <si>
    <t>Axis Bank Ltd.</t>
  </si>
  <si>
    <t>INE154A01025</t>
  </si>
  <si>
    <t>ITC Ltd.</t>
  </si>
  <si>
    <t>Diversified FMCG</t>
  </si>
  <si>
    <t>INE062A01020</t>
  </si>
  <si>
    <t>State Bank of India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</si>
  <si>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</si>
  <si>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</si>
  <si>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</si>
  <si>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</si>
  <si>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</si>
  <si>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</si>
  <si>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</si>
  <si>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</si>
  <si>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</si>
  <si>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</si>
  <si>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</si>
  <si>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</si>
  <si>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INE474Q01031</t>
  </si>
  <si>
    <t>Global Health Limited</t>
  </si>
  <si>
    <t>Healthcare Services</t>
  </si>
  <si>
    <t>INE585B01010</t>
  </si>
  <si>
    <t>Maruti Suzuki India Limited</t>
  </si>
  <si>
    <t>Automobiles</t>
  </si>
  <si>
    <t>INE685A01028</t>
  </si>
  <si>
    <t>Torrent Pharmaceuticals Ltd.</t>
  </si>
  <si>
    <t>INE123W01016</t>
  </si>
  <si>
    <t>SBI Life Insurance Company Ltd.</t>
  </si>
  <si>
    <t>INE066F01020</t>
  </si>
  <si>
    <t>Hindustan Aeronautics Limited</t>
  </si>
  <si>
    <t>Aerospace &amp; Defense</t>
  </si>
  <si>
    <t>INE094A01015</t>
  </si>
  <si>
    <t>Hindustan Petroleum Corp. Ltd.</t>
  </si>
  <si>
    <t>INE235A01022</t>
  </si>
  <si>
    <t>Finolex Cables Ltd.</t>
  </si>
  <si>
    <t>INE294Z01018</t>
  </si>
  <si>
    <t>The Anup Engineering Limited</t>
  </si>
  <si>
    <t>Industrial Manufacturing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</si>
  <si>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</si>
  <si>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</si>
  <si>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</si>
  <si>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</si>
  <si>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</si>
  <si>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</si>
  <si>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INE208A01029</t>
  </si>
  <si>
    <t>Ashok Leyland  Ltd</t>
  </si>
  <si>
    <t>Agricultural, Commercial &amp; Construction Vehicles</t>
  </si>
  <si>
    <t>INE540H01012</t>
  </si>
  <si>
    <t>Voltamp Transformers Ltd.</t>
  </si>
  <si>
    <t>Electrical Equipment</t>
  </si>
  <si>
    <t>INE079J01017</t>
  </si>
  <si>
    <t>Gateway Distriparks Limited</t>
  </si>
  <si>
    <t>INE533A01012</t>
  </si>
  <si>
    <t>Goodyear India Ltd.</t>
  </si>
  <si>
    <t>Auto Components</t>
  </si>
  <si>
    <t>INE372A01015</t>
  </si>
  <si>
    <t>Apar Industries Limited</t>
  </si>
  <si>
    <t>INE119A01028</t>
  </si>
  <si>
    <t>Balrampur Chini Mills Ltd.</t>
  </si>
  <si>
    <t>Agricultural Food &amp; Other Products</t>
  </si>
  <si>
    <t>INE491A01021</t>
  </si>
  <si>
    <t>City Union Bank Ltd.</t>
  </si>
  <si>
    <t>INE517F01014</t>
  </si>
  <si>
    <t>Gujarat Pipavav Port Ltd.</t>
  </si>
  <si>
    <t>Transport Infrastructure</t>
  </si>
  <si>
    <t>INE225D01027</t>
  </si>
  <si>
    <t>Symphony Ltd.</t>
  </si>
  <si>
    <t>Consumer Durables</t>
  </si>
  <si>
    <t>INE162B01018</t>
  </si>
  <si>
    <t>Lumax Industries Ltd</t>
  </si>
  <si>
    <t>INE058A01010</t>
  </si>
  <si>
    <t>Sanofi India Limited</t>
  </si>
  <si>
    <t>INE349A01021</t>
  </si>
  <si>
    <t>NRB Bearing Ltd.</t>
  </si>
  <si>
    <t>INE220B01022</t>
  </si>
  <si>
    <t>Kalpataru Projects International Ltd</t>
  </si>
  <si>
    <t>INE752E01010</t>
  </si>
  <si>
    <t>Power Grid Corporation of India Ltd.</t>
  </si>
  <si>
    <t>Power</t>
  </si>
  <si>
    <t>INE191H01014</t>
  </si>
  <si>
    <t>PVR LIMITED</t>
  </si>
  <si>
    <t>Entertainment</t>
  </si>
  <si>
    <t>INE334A01023</t>
  </si>
  <si>
    <t>STERLING TOOLS LIMITED</t>
  </si>
  <si>
    <t>INE070I01018</t>
  </si>
  <si>
    <t>Insecticides (India) Ltd.</t>
  </si>
  <si>
    <t>INE901L01018</t>
  </si>
  <si>
    <t>Alembic Pharmaceuticals Limited</t>
  </si>
  <si>
    <t>INE891D01026</t>
  </si>
  <si>
    <t>Redington Ltd.</t>
  </si>
  <si>
    <t>Commercial Services &amp; Supplies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</si>
  <si>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</si>
  <si>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</si>
  <si>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</si>
  <si>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</si>
  <si>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</si>
  <si>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</si>
  <si>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</si>
  <si>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</si>
  <si>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</si>
  <si>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</si>
  <si>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</si>
  <si>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160934^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</si>
  <si>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</si>
  <si>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</si>
  <si>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</si>
  <si>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</si>
  <si>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</si>
  <si>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</si>
  <si>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</si>
  <si>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</si>
  <si>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</si>
  <si>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</si>
  <si>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</si>
  <si>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</si>
  <si>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</si>
  <si>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</si>
  <si>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</si>
  <si>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</si>
  <si>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</si>
  <si>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</si>
  <si>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</si>
  <si>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</si>
  <si>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</si>
  <si>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</si>
  <si>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</si>
  <si>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</si>
  <si>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</si>
  <si>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</si>
  <si>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</si>
  <si>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</si>
  <si>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</si>
  <si>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</si>
  <si>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</si>
  <si>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</si>
  <si>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</si>
  <si>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</si>
  <si>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</si>
  <si>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</si>
  <si>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</si>
  <si>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</si>
  <si>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</si>
  <si>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</si>
  <si>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</si>
  <si>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</si>
  <si>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</si>
  <si>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</si>
  <si>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</si>
  <si>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</si>
  <si>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</si>
  <si>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</si>
  <si>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</si>
  <si>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</si>
  <si>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</si>
  <si>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</si>
  <si>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</si>
  <si>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</si>
  <si>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</si>
  <si>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</si>
  <si>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</si>
  <si>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</si>
  <si>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</si>
  <si>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Rs.(2668.87)Lacs</t>
  </si>
  <si>
    <t>6) Annualised Portfolio YTM : 7.73%</t>
  </si>
  <si>
    <t>7) Macaulay Duration : 2045.97 Days</t>
  </si>
  <si>
    <t>8) Residual Maturity (Average Portfolio Maturity-other than equity investments) : 3399.17 Days</t>
  </si>
  <si>
    <t>9) IDCW stands for Income Distribution cum Capital Withdrawal</t>
  </si>
  <si>
    <t>10) Riskometer based on Scheme Portfolio and Portfolio Benchmark "NIFTY 50 Hybrid Composite Debt 15:85 Index" as on Nov 30, 2023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</si>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</sst>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5" fontId="13" fillId="0" borderId="1" xfId="2" applyFont="1" applyFill="1" applyBorder="1" applyAlignment="1"/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50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98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ramnas1\Mfoper\MONTHLY%20FACT%20SHEETS\2023-24\Nov%202023\Monthly\Portfolios\equity%20derivative%20disclosure%20NOV%2023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MY."/>
      <sheetName val="DerivativeHDFCGR"/>
      <sheetName val="DerivativeMY2005"/>
      <sheetName val="HDFCRETHDP"/>
    </sheetNames>
    <sheetDataSet>
      <sheetData sheetId="0"/>
      <sheetData sheetId="1">
        <row r="7">
          <cell r="A7" t="str">
            <v>A.  Hedging Positions through Futures as on  November 30, 2023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4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3.5" customHeight="1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24250</v>
      </c>
      <c r="G9" s="13">
        <v>1403.63</v>
      </c>
      <c r="H9" s="13">
        <v>9.14</v>
      </c>
      <c r="I9" s="14" t="s">
        <v>20</v>
      </c>
      <c r="J9" s="14" t="s">
        <v>20</v>
      </c>
      <c r="K9" s="15">
        <v>8.6199999999999992</v>
      </c>
      <c r="L9" s="16">
        <v>0.56999999999999995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33300</v>
      </c>
      <c r="G10" s="13">
        <v>1161.3699999999999</v>
      </c>
      <c r="H10" s="13">
        <v>7.56</v>
      </c>
      <c r="I10" s="14" t="s">
        <v>20</v>
      </c>
      <c r="J10" s="14" t="s">
        <v>20</v>
      </c>
      <c r="K10" s="15">
        <v>7.05</v>
      </c>
      <c r="L10" s="16">
        <v>0.56999999999999995</v>
      </c>
    </row>
    <row r="11" spans="1:12">
      <c r="A11" s="10" t="s">
        <v>20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14400</v>
      </c>
      <c r="G11" s="13">
        <v>447.72</v>
      </c>
      <c r="H11" s="13">
        <v>2.92</v>
      </c>
      <c r="I11" s="14" t="s">
        <v>20</v>
      </c>
      <c r="J11" s="14" t="s">
        <v>20</v>
      </c>
      <c r="K11" s="15">
        <v>1.71</v>
      </c>
      <c r="L11" s="16">
        <v>1.21</v>
      </c>
    </row>
    <row r="12" spans="1:12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21900</v>
      </c>
      <c r="G12" s="13">
        <v>341.38</v>
      </c>
      <c r="H12" s="13">
        <v>2.2200000000000002</v>
      </c>
      <c r="I12" s="14" t="s">
        <v>20</v>
      </c>
      <c r="J12" s="14" t="s">
        <v>20</v>
      </c>
      <c r="K12" s="15">
        <v>0</v>
      </c>
      <c r="L12" s="16">
        <v>2.2200000000000002</v>
      </c>
    </row>
    <row r="13" spans="1:12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30000</v>
      </c>
      <c r="G13" s="13">
        <v>280.49</v>
      </c>
      <c r="H13" s="13">
        <v>1.83</v>
      </c>
      <c r="I13" s="14" t="s">
        <v>20</v>
      </c>
      <c r="J13" s="14" t="s">
        <v>20</v>
      </c>
      <c r="K13" s="15">
        <v>0</v>
      </c>
      <c r="L13" s="16">
        <v>1.83</v>
      </c>
    </row>
    <row r="14" spans="1:12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16500</v>
      </c>
      <c r="G14" s="13">
        <v>167.43</v>
      </c>
      <c r="H14" s="13">
        <v>1.0900000000000001</v>
      </c>
      <c r="I14" s="14" t="s">
        <v>20</v>
      </c>
      <c r="J14" s="14" t="s">
        <v>20</v>
      </c>
      <c r="K14" s="15">
        <v>0</v>
      </c>
      <c r="L14" s="16">
        <v>1.0900000000000001</v>
      </c>
    </row>
    <row r="15" spans="1:12">
      <c r="A15" s="10" t="s">
        <v>20</v>
      </c>
      <c r="B15" s="11" t="s">
        <v>37</v>
      </c>
      <c r="C15" s="11" t="s">
        <v>20</v>
      </c>
      <c r="D15" s="11" t="s">
        <v>38</v>
      </c>
      <c r="E15" s="11" t="s">
        <v>25</v>
      </c>
      <c r="F15" s="12">
        <v>11000</v>
      </c>
      <c r="G15" s="13">
        <v>160.07</v>
      </c>
      <c r="H15" s="13">
        <v>1.04</v>
      </c>
      <c r="I15" s="14" t="s">
        <v>20</v>
      </c>
      <c r="J15" s="14" t="s">
        <v>20</v>
      </c>
      <c r="K15" s="15">
        <v>0</v>
      </c>
      <c r="L15" s="16">
        <v>1.04</v>
      </c>
    </row>
    <row r="16" spans="1:12">
      <c r="A16" s="10" t="s">
        <v>20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6000</v>
      </c>
      <c r="G16" s="13">
        <v>142.65</v>
      </c>
      <c r="H16" s="13">
        <v>0.93</v>
      </c>
      <c r="I16" s="14" t="s">
        <v>20</v>
      </c>
      <c r="J16" s="14" t="s">
        <v>20</v>
      </c>
      <c r="K16" s="15">
        <v>0</v>
      </c>
      <c r="L16" s="16">
        <v>0.93</v>
      </c>
    </row>
    <row r="17" spans="1:12">
      <c r="A17" s="10" t="s">
        <v>20</v>
      </c>
      <c r="B17" s="11" t="s">
        <v>42</v>
      </c>
      <c r="C17" s="11" t="s">
        <v>20</v>
      </c>
      <c r="D17" s="11" t="s">
        <v>43</v>
      </c>
      <c r="E17" s="11" t="s">
        <v>31</v>
      </c>
      <c r="F17" s="12">
        <v>13000</v>
      </c>
      <c r="G17" s="13">
        <v>139.65</v>
      </c>
      <c r="H17" s="13">
        <v>0.91</v>
      </c>
      <c r="I17" s="14" t="s">
        <v>20</v>
      </c>
      <c r="J17" s="14" t="s">
        <v>20</v>
      </c>
      <c r="K17" s="15">
        <v>0</v>
      </c>
      <c r="L17" s="16">
        <v>0.91</v>
      </c>
    </row>
    <row r="18" spans="1:12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46</v>
      </c>
      <c r="F18" s="12">
        <v>30000</v>
      </c>
      <c r="G18" s="13">
        <v>130.74</v>
      </c>
      <c r="H18" s="13">
        <v>0.85</v>
      </c>
      <c r="I18" s="14" t="s">
        <v>20</v>
      </c>
      <c r="J18" s="14" t="s">
        <v>20</v>
      </c>
      <c r="K18" s="15">
        <v>0</v>
      </c>
      <c r="L18" s="16">
        <v>0.85</v>
      </c>
    </row>
    <row r="19" spans="1:12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31</v>
      </c>
      <c r="F19" s="12">
        <v>21000</v>
      </c>
      <c r="G19" s="13">
        <v>118.6</v>
      </c>
      <c r="H19" s="13">
        <v>0.77</v>
      </c>
      <c r="I19" s="14" t="s">
        <v>20</v>
      </c>
      <c r="J19" s="14" t="s">
        <v>20</v>
      </c>
      <c r="K19" s="15">
        <v>0</v>
      </c>
      <c r="L19" s="16">
        <v>0.77</v>
      </c>
    </row>
    <row r="20" spans="1:12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3000</v>
      </c>
      <c r="G20" s="13">
        <v>113.31</v>
      </c>
      <c r="H20" s="13">
        <v>0.74</v>
      </c>
      <c r="I20" s="14" t="s">
        <v>20</v>
      </c>
      <c r="J20" s="14" t="s">
        <v>20</v>
      </c>
      <c r="K20" s="15">
        <v>0</v>
      </c>
      <c r="L20" s="16">
        <v>0.74</v>
      </c>
    </row>
    <row r="21" spans="1:12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9500</v>
      </c>
      <c r="G21" s="13">
        <v>99.64</v>
      </c>
      <c r="H21" s="13">
        <v>0.65</v>
      </c>
      <c r="I21" s="14" t="s">
        <v>20</v>
      </c>
      <c r="J21" s="14" t="s">
        <v>20</v>
      </c>
      <c r="K21" s="15">
        <v>0</v>
      </c>
      <c r="L21" s="16">
        <v>0.65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6000</v>
      </c>
      <c r="G22" s="13">
        <v>88.8</v>
      </c>
      <c r="H22" s="13">
        <v>0.57999999999999996</v>
      </c>
      <c r="I22" s="14" t="s">
        <v>20</v>
      </c>
      <c r="J22" s="14" t="s">
        <v>20</v>
      </c>
      <c r="K22" s="15">
        <v>0</v>
      </c>
      <c r="L22" s="16">
        <v>0.57999999999999996</v>
      </c>
    </row>
    <row r="23" spans="1:12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10000</v>
      </c>
      <c r="G23" s="13">
        <v>85.93</v>
      </c>
      <c r="H23" s="13">
        <v>0.56000000000000005</v>
      </c>
      <c r="I23" s="14" t="s">
        <v>20</v>
      </c>
      <c r="J23" s="14" t="s">
        <v>20</v>
      </c>
      <c r="K23" s="15">
        <v>0</v>
      </c>
      <c r="L23" s="16">
        <v>0.56000000000000005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8844</v>
      </c>
      <c r="G24" s="13">
        <v>84.67</v>
      </c>
      <c r="H24" s="13">
        <v>0.55000000000000004</v>
      </c>
      <c r="I24" s="14" t="s">
        <v>20</v>
      </c>
      <c r="J24" s="14" t="s">
        <v>20</v>
      </c>
      <c r="K24" s="15">
        <v>0</v>
      </c>
      <c r="L24" s="16">
        <v>0.55000000000000004</v>
      </c>
    </row>
    <row r="25" spans="1:12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800</v>
      </c>
      <c r="G25" s="13">
        <v>84.87</v>
      </c>
      <c r="H25" s="13">
        <v>0.55000000000000004</v>
      </c>
      <c r="I25" s="14" t="s">
        <v>20</v>
      </c>
      <c r="J25" s="14" t="s">
        <v>20</v>
      </c>
      <c r="K25" s="15">
        <v>0</v>
      </c>
      <c r="L25" s="16">
        <v>0.55000000000000004</v>
      </c>
    </row>
    <row r="26" spans="1:12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22</v>
      </c>
      <c r="F26" s="12">
        <v>4000</v>
      </c>
      <c r="G26" s="13">
        <v>85.06</v>
      </c>
      <c r="H26" s="13">
        <v>0.55000000000000004</v>
      </c>
      <c r="I26" s="14" t="s">
        <v>20</v>
      </c>
      <c r="J26" s="14" t="s">
        <v>20</v>
      </c>
      <c r="K26" s="15">
        <v>0</v>
      </c>
      <c r="L26" s="16">
        <v>0.55000000000000004</v>
      </c>
    </row>
    <row r="27" spans="1:12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57</v>
      </c>
      <c r="F27" s="12">
        <v>5000</v>
      </c>
      <c r="G27" s="13">
        <v>71.760000000000005</v>
      </c>
      <c r="H27" s="13">
        <v>0.47</v>
      </c>
      <c r="I27" s="14" t="s">
        <v>20</v>
      </c>
      <c r="J27" s="14" t="s">
        <v>20</v>
      </c>
      <c r="K27" s="15">
        <v>0</v>
      </c>
      <c r="L27" s="16">
        <v>0.47</v>
      </c>
    </row>
    <row r="28" spans="1:12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3000</v>
      </c>
      <c r="G28" s="13">
        <v>71.39</v>
      </c>
      <c r="H28" s="13">
        <v>0.46</v>
      </c>
      <c r="I28" s="14" t="s">
        <v>20</v>
      </c>
      <c r="J28" s="14" t="s">
        <v>20</v>
      </c>
      <c r="K28" s="15">
        <v>0</v>
      </c>
      <c r="L28" s="16">
        <v>0.46</v>
      </c>
    </row>
    <row r="29" spans="1:12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41</v>
      </c>
      <c r="F29" s="12">
        <v>20000</v>
      </c>
      <c r="G29" s="13">
        <v>69.48</v>
      </c>
      <c r="H29" s="13">
        <v>0.45</v>
      </c>
      <c r="I29" s="14" t="s">
        <v>20</v>
      </c>
      <c r="J29" s="14" t="s">
        <v>20</v>
      </c>
      <c r="K29" s="15">
        <v>0</v>
      </c>
      <c r="L29" s="16">
        <v>0.45</v>
      </c>
    </row>
    <row r="30" spans="1:12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51</v>
      </c>
      <c r="F30" s="12">
        <v>7000</v>
      </c>
      <c r="G30" s="13">
        <v>67.650000000000006</v>
      </c>
      <c r="H30" s="13">
        <v>0.44</v>
      </c>
      <c r="I30" s="14" t="s">
        <v>20</v>
      </c>
      <c r="J30" s="14" t="s">
        <v>20</v>
      </c>
      <c r="K30" s="15">
        <v>0</v>
      </c>
      <c r="L30" s="16">
        <v>0.44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80</v>
      </c>
      <c r="F31" s="12">
        <v>2500</v>
      </c>
      <c r="G31" s="13">
        <v>63.69</v>
      </c>
      <c r="H31" s="13">
        <v>0.41</v>
      </c>
      <c r="I31" s="14" t="s">
        <v>20</v>
      </c>
      <c r="J31" s="14" t="s">
        <v>20</v>
      </c>
      <c r="K31" s="15">
        <v>0</v>
      </c>
      <c r="L31" s="16">
        <v>0.41</v>
      </c>
    </row>
    <row r="32" spans="1:12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83</v>
      </c>
      <c r="F32" s="12">
        <v>1100</v>
      </c>
      <c r="G32" s="13">
        <v>59.11</v>
      </c>
      <c r="H32" s="13">
        <v>0.38</v>
      </c>
      <c r="I32" s="14" t="s">
        <v>20</v>
      </c>
      <c r="J32" s="14" t="s">
        <v>20</v>
      </c>
      <c r="K32" s="15">
        <v>0</v>
      </c>
      <c r="L32" s="16">
        <v>0.38</v>
      </c>
    </row>
    <row r="33" spans="1:12">
      <c r="A33" s="10" t="s">
        <v>20</v>
      </c>
      <c r="B33" s="11" t="s">
        <v>84</v>
      </c>
      <c r="C33" s="11" t="s">
        <v>20</v>
      </c>
      <c r="D33" s="11" t="s">
        <v>85</v>
      </c>
      <c r="E33" s="11" t="s">
        <v>86</v>
      </c>
      <c r="F33" s="12">
        <v>20000</v>
      </c>
      <c r="G33" s="13">
        <v>57.7</v>
      </c>
      <c r="H33" s="13">
        <v>0.38</v>
      </c>
      <c r="I33" s="14" t="s">
        <v>20</v>
      </c>
      <c r="J33" s="14" t="s">
        <v>20</v>
      </c>
      <c r="K33" s="15">
        <v>0</v>
      </c>
      <c r="L33" s="16">
        <v>0.38</v>
      </c>
    </row>
    <row r="34" spans="1:12">
      <c r="A34" s="10" t="s">
        <v>20</v>
      </c>
      <c r="B34" s="11" t="s">
        <v>87</v>
      </c>
      <c r="C34" s="11" t="s">
        <v>20</v>
      </c>
      <c r="D34" s="11" t="s">
        <v>88</v>
      </c>
      <c r="E34" s="11" t="s">
        <v>89</v>
      </c>
      <c r="F34" s="12">
        <v>30000</v>
      </c>
      <c r="G34" s="13">
        <v>54.95</v>
      </c>
      <c r="H34" s="13">
        <v>0.36</v>
      </c>
      <c r="I34" s="14" t="s">
        <v>20</v>
      </c>
      <c r="J34" s="14" t="s">
        <v>20</v>
      </c>
      <c r="K34" s="15">
        <v>0</v>
      </c>
      <c r="L34" s="16">
        <v>0.36</v>
      </c>
    </row>
    <row r="35" spans="1:12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92</v>
      </c>
      <c r="F35" s="12">
        <v>1000</v>
      </c>
      <c r="G35" s="13">
        <v>55.03</v>
      </c>
      <c r="H35" s="13">
        <v>0.36</v>
      </c>
      <c r="I35" s="14" t="s">
        <v>20</v>
      </c>
      <c r="J35" s="14" t="s">
        <v>20</v>
      </c>
      <c r="K35" s="15">
        <v>0</v>
      </c>
      <c r="L35" s="16">
        <v>0.36</v>
      </c>
    </row>
    <row r="36" spans="1:12">
      <c r="A36" s="10" t="s">
        <v>20</v>
      </c>
      <c r="B36" s="11" t="s">
        <v>93</v>
      </c>
      <c r="C36" s="11" t="s">
        <v>20</v>
      </c>
      <c r="D36" s="11" t="s">
        <v>94</v>
      </c>
      <c r="E36" s="11" t="s">
        <v>60</v>
      </c>
      <c r="F36" s="12">
        <v>50000</v>
      </c>
      <c r="G36" s="13">
        <v>51.6</v>
      </c>
      <c r="H36" s="13">
        <v>0.34</v>
      </c>
      <c r="I36" s="14" t="s">
        <v>20</v>
      </c>
      <c r="J36" s="14" t="s">
        <v>20</v>
      </c>
      <c r="K36" s="15">
        <v>0</v>
      </c>
      <c r="L36" s="16">
        <v>0.34</v>
      </c>
    </row>
    <row r="37" spans="1:12">
      <c r="A37" s="10" t="s">
        <v>20</v>
      </c>
      <c r="B37" s="11" t="s">
        <v>95</v>
      </c>
      <c r="C37" s="11" t="s">
        <v>20</v>
      </c>
      <c r="D37" s="11" t="s">
        <v>96</v>
      </c>
      <c r="E37" s="11" t="s">
        <v>97</v>
      </c>
      <c r="F37" s="12">
        <v>4000</v>
      </c>
      <c r="G37" s="13">
        <v>52.49</v>
      </c>
      <c r="H37" s="13">
        <v>0.34</v>
      </c>
      <c r="I37" s="14" t="s">
        <v>20</v>
      </c>
      <c r="J37" s="14" t="s">
        <v>20</v>
      </c>
      <c r="K37" s="15">
        <v>0</v>
      </c>
      <c r="L37" s="16">
        <v>0.34</v>
      </c>
    </row>
    <row r="38" spans="1:12">
      <c r="A38" s="10" t="s">
        <v>20</v>
      </c>
      <c r="B38" s="11" t="s">
        <v>98</v>
      </c>
      <c r="C38" s="11" t="s">
        <v>20</v>
      </c>
      <c r="D38" s="11" t="s">
        <v>99</v>
      </c>
      <c r="E38" s="11" t="s">
        <v>92</v>
      </c>
      <c r="F38" s="12">
        <v>900</v>
      </c>
      <c r="G38" s="13">
        <v>50.23</v>
      </c>
      <c r="H38" s="13">
        <v>0.33</v>
      </c>
      <c r="I38" s="14" t="s">
        <v>20</v>
      </c>
      <c r="J38" s="14" t="s">
        <v>20</v>
      </c>
      <c r="K38" s="15">
        <v>0</v>
      </c>
      <c r="L38" s="16">
        <v>0.33</v>
      </c>
    </row>
    <row r="39" spans="1:12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102</v>
      </c>
      <c r="F39" s="12">
        <v>10000</v>
      </c>
      <c r="G39" s="13">
        <v>47.31</v>
      </c>
      <c r="H39" s="13">
        <v>0.31</v>
      </c>
      <c r="I39" s="14" t="s">
        <v>20</v>
      </c>
      <c r="J39" s="14" t="s">
        <v>20</v>
      </c>
      <c r="K39" s="15">
        <v>0</v>
      </c>
      <c r="L39" s="16">
        <v>0.31</v>
      </c>
    </row>
    <row r="40" spans="1:12">
      <c r="A40" s="10" t="s">
        <v>20</v>
      </c>
      <c r="B40" s="11" t="s">
        <v>103</v>
      </c>
      <c r="C40" s="11" t="s">
        <v>20</v>
      </c>
      <c r="D40" s="11" t="s">
        <v>104</v>
      </c>
      <c r="E40" s="11" t="s">
        <v>31</v>
      </c>
      <c r="F40" s="12">
        <v>30000</v>
      </c>
      <c r="G40" s="13">
        <v>43.91</v>
      </c>
      <c r="H40" s="13">
        <v>0.28999999999999998</v>
      </c>
      <c r="I40" s="14" t="s">
        <v>20</v>
      </c>
      <c r="J40" s="14" t="s">
        <v>20</v>
      </c>
      <c r="K40" s="15">
        <v>0</v>
      </c>
      <c r="L40" s="16">
        <v>0.28999999999999998</v>
      </c>
    </row>
    <row r="41" spans="1:12">
      <c r="A41" s="10" t="s">
        <v>20</v>
      </c>
      <c r="B41" s="11" t="s">
        <v>105</v>
      </c>
      <c r="C41" s="11" t="s">
        <v>20</v>
      </c>
      <c r="D41" s="11" t="s">
        <v>106</v>
      </c>
      <c r="E41" s="11" t="s">
        <v>107</v>
      </c>
      <c r="F41" s="12">
        <v>30000</v>
      </c>
      <c r="G41" s="13">
        <v>42.3</v>
      </c>
      <c r="H41" s="13">
        <v>0.28000000000000003</v>
      </c>
      <c r="I41" s="14" t="s">
        <v>20</v>
      </c>
      <c r="J41" s="14" t="s">
        <v>20</v>
      </c>
      <c r="K41" s="15">
        <v>0</v>
      </c>
      <c r="L41" s="16">
        <v>0.28000000000000003</v>
      </c>
    </row>
    <row r="42" spans="1:12">
      <c r="A42" s="10" t="s">
        <v>20</v>
      </c>
      <c r="B42" s="11" t="s">
        <v>108</v>
      </c>
      <c r="C42" s="11" t="s">
        <v>20</v>
      </c>
      <c r="D42" s="11" t="s">
        <v>109</v>
      </c>
      <c r="E42" s="11" t="s">
        <v>110</v>
      </c>
      <c r="F42" s="12">
        <v>4938</v>
      </c>
      <c r="G42" s="13">
        <v>42.57</v>
      </c>
      <c r="H42" s="13">
        <v>0.28000000000000003</v>
      </c>
      <c r="I42" s="14" t="s">
        <v>20</v>
      </c>
      <c r="J42" s="14" t="s">
        <v>20</v>
      </c>
      <c r="K42" s="15">
        <v>0</v>
      </c>
      <c r="L42" s="16">
        <v>0.28000000000000003</v>
      </c>
    </row>
    <row r="43" spans="1:12">
      <c r="A43" s="10" t="s">
        <v>20</v>
      </c>
      <c r="B43" s="11" t="s">
        <v>111</v>
      </c>
      <c r="C43" s="11" t="s">
        <v>20</v>
      </c>
      <c r="D43" s="11" t="s">
        <v>112</v>
      </c>
      <c r="E43" s="11" t="s">
        <v>97</v>
      </c>
      <c r="F43" s="12">
        <v>1500</v>
      </c>
      <c r="G43" s="13">
        <v>41.22</v>
      </c>
      <c r="H43" s="13">
        <v>0.27</v>
      </c>
      <c r="I43" s="14" t="s">
        <v>20</v>
      </c>
      <c r="J43" s="14" t="s">
        <v>20</v>
      </c>
      <c r="K43" s="15">
        <v>0</v>
      </c>
      <c r="L43" s="16">
        <v>0.27</v>
      </c>
    </row>
    <row r="44" spans="1:12">
      <c r="A44" s="10" t="s">
        <v>20</v>
      </c>
      <c r="B44" s="11" t="s">
        <v>113</v>
      </c>
      <c r="C44" s="11" t="s">
        <v>20</v>
      </c>
      <c r="D44" s="11" t="s">
        <v>114</v>
      </c>
      <c r="E44" s="11" t="s">
        <v>22</v>
      </c>
      <c r="F44" s="12">
        <v>492</v>
      </c>
      <c r="G44" s="13">
        <v>39.58</v>
      </c>
      <c r="H44" s="13">
        <v>0.26</v>
      </c>
      <c r="I44" s="14" t="s">
        <v>20</v>
      </c>
      <c r="J44" s="14" t="s">
        <v>20</v>
      </c>
      <c r="K44" s="15">
        <v>0</v>
      </c>
      <c r="L44" s="16">
        <v>0.26</v>
      </c>
    </row>
    <row r="45" spans="1:12">
      <c r="A45" s="10" t="s">
        <v>20</v>
      </c>
      <c r="B45" s="11" t="s">
        <v>115</v>
      </c>
      <c r="C45" s="11" t="s">
        <v>20</v>
      </c>
      <c r="D45" s="11" t="s">
        <v>116</v>
      </c>
      <c r="E45" s="11" t="s">
        <v>97</v>
      </c>
      <c r="F45" s="12">
        <v>13000</v>
      </c>
      <c r="G45" s="13">
        <v>35.950000000000003</v>
      </c>
      <c r="H45" s="13">
        <v>0.23</v>
      </c>
      <c r="I45" s="14" t="s">
        <v>20</v>
      </c>
      <c r="J45" s="14" t="s">
        <v>20</v>
      </c>
      <c r="K45" s="15">
        <v>0</v>
      </c>
      <c r="L45" s="16">
        <v>0.23</v>
      </c>
    </row>
    <row r="46" spans="1:12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28</v>
      </c>
      <c r="F46" s="12">
        <v>5015</v>
      </c>
      <c r="G46" s="13">
        <v>33.26</v>
      </c>
      <c r="H46" s="13">
        <v>0.22</v>
      </c>
      <c r="I46" s="14" t="s">
        <v>20</v>
      </c>
      <c r="J46" s="14" t="s">
        <v>20</v>
      </c>
      <c r="K46" s="15">
        <v>0</v>
      </c>
      <c r="L46" s="16">
        <v>0.22</v>
      </c>
    </row>
    <row r="47" spans="1:12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16000</v>
      </c>
      <c r="G47" s="13">
        <v>33.43</v>
      </c>
      <c r="H47" s="13">
        <v>0.22</v>
      </c>
      <c r="I47" s="14" t="s">
        <v>20</v>
      </c>
      <c r="J47" s="14" t="s">
        <v>20</v>
      </c>
      <c r="K47" s="15">
        <v>0</v>
      </c>
      <c r="L47" s="16">
        <v>0.22</v>
      </c>
    </row>
    <row r="48" spans="1:12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124</v>
      </c>
      <c r="F48" s="12">
        <v>2000</v>
      </c>
      <c r="G48" s="13">
        <v>34.35</v>
      </c>
      <c r="H48" s="13">
        <v>0.22</v>
      </c>
      <c r="I48" s="14" t="s">
        <v>20</v>
      </c>
      <c r="J48" s="14" t="s">
        <v>20</v>
      </c>
      <c r="K48" s="15">
        <v>0</v>
      </c>
      <c r="L48" s="16">
        <v>0.22</v>
      </c>
    </row>
    <row r="49" spans="1:12">
      <c r="A49" s="10" t="s">
        <v>20</v>
      </c>
      <c r="B49" s="11" t="s">
        <v>125</v>
      </c>
      <c r="C49" s="11" t="s">
        <v>20</v>
      </c>
      <c r="D49" s="11" t="s">
        <v>126</v>
      </c>
      <c r="E49" s="11" t="s">
        <v>97</v>
      </c>
      <c r="F49" s="12">
        <v>10000</v>
      </c>
      <c r="G49" s="13">
        <v>34.549999999999997</v>
      </c>
      <c r="H49" s="13">
        <v>0.22</v>
      </c>
      <c r="I49" s="14" t="s">
        <v>20</v>
      </c>
      <c r="J49" s="14" t="s">
        <v>20</v>
      </c>
      <c r="K49" s="15">
        <v>0</v>
      </c>
      <c r="L49" s="16">
        <v>0.22</v>
      </c>
    </row>
    <row r="50" spans="1:12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83</v>
      </c>
      <c r="F50" s="12">
        <v>4200</v>
      </c>
      <c r="G50" s="13">
        <v>27.73</v>
      </c>
      <c r="H50" s="13">
        <v>0.18</v>
      </c>
      <c r="I50" s="14" t="s">
        <v>20</v>
      </c>
      <c r="J50" s="14" t="s">
        <v>20</v>
      </c>
      <c r="K50" s="15">
        <v>0</v>
      </c>
      <c r="L50" s="16">
        <v>0.18</v>
      </c>
    </row>
    <row r="51" spans="1:12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22</v>
      </c>
      <c r="F51" s="12">
        <v>3000</v>
      </c>
      <c r="G51" s="13">
        <v>22.37</v>
      </c>
      <c r="H51" s="13">
        <v>0.15</v>
      </c>
      <c r="I51" s="14" t="s">
        <v>20</v>
      </c>
      <c r="J51" s="14" t="s">
        <v>20</v>
      </c>
      <c r="K51" s="15">
        <v>0</v>
      </c>
      <c r="L51" s="16">
        <v>0.15</v>
      </c>
    </row>
    <row r="52" spans="1:12">
      <c r="A52" s="10" t="s">
        <v>20</v>
      </c>
      <c r="B52" s="11" t="s">
        <v>131</v>
      </c>
      <c r="C52" s="11" t="s">
        <v>20</v>
      </c>
      <c r="D52" s="11" t="s">
        <v>132</v>
      </c>
      <c r="E52" s="11" t="s">
        <v>133</v>
      </c>
      <c r="F52" s="12">
        <v>14000</v>
      </c>
      <c r="G52" s="13">
        <v>22.5</v>
      </c>
      <c r="H52" s="13">
        <v>0.15</v>
      </c>
      <c r="I52" s="14" t="s">
        <v>20</v>
      </c>
      <c r="J52" s="14" t="s">
        <v>20</v>
      </c>
      <c r="K52" s="15">
        <v>0</v>
      </c>
      <c r="L52" s="16">
        <v>0.15</v>
      </c>
    </row>
    <row r="53" spans="1:12">
      <c r="A53" s="10" t="s">
        <v>20</v>
      </c>
      <c r="B53" s="11" t="s">
        <v>134</v>
      </c>
      <c r="C53" s="11" t="s">
        <v>20</v>
      </c>
      <c r="D53" s="11" t="s">
        <v>135</v>
      </c>
      <c r="E53" s="11" t="s">
        <v>136</v>
      </c>
      <c r="F53" s="12">
        <v>2600</v>
      </c>
      <c r="G53" s="13">
        <v>19.670000000000002</v>
      </c>
      <c r="H53" s="13">
        <v>0.13</v>
      </c>
      <c r="I53" s="14" t="s">
        <v>20</v>
      </c>
      <c r="J53" s="14" t="s">
        <v>20</v>
      </c>
      <c r="K53" s="15">
        <v>0</v>
      </c>
      <c r="L53" s="16">
        <v>0.13</v>
      </c>
    </row>
    <row r="54" spans="1:12">
      <c r="A54" s="17"/>
      <c r="B54" s="9" t="s">
        <v>137</v>
      </c>
      <c r="C54" s="17"/>
      <c r="D54" s="17"/>
      <c r="E54" s="17"/>
      <c r="F54" s="17"/>
      <c r="G54" s="18">
        <v>6381.79</v>
      </c>
      <c r="H54" s="18">
        <v>41.569999999999986</v>
      </c>
      <c r="I54" s="17"/>
      <c r="J54" s="17"/>
      <c r="K54" s="17"/>
      <c r="L54" s="17"/>
    </row>
    <row r="55" spans="1:12">
      <c r="A55" s="8"/>
      <c r="B55" s="9" t="s">
        <v>138</v>
      </c>
      <c r="C55" s="8"/>
      <c r="D55" s="8"/>
      <c r="E55" s="8"/>
      <c r="F55" s="8"/>
      <c r="G55" s="19">
        <v>6381.79</v>
      </c>
      <c r="H55" s="19">
        <v>41.569999999999986</v>
      </c>
      <c r="I55" s="8"/>
      <c r="J55" s="8"/>
      <c r="K55" s="8"/>
      <c r="L55" s="8"/>
    </row>
    <row r="56" spans="1:12">
      <c r="A56" s="8"/>
      <c r="B56" s="9" t="s">
        <v>139</v>
      </c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>
      <c r="A57" s="8"/>
      <c r="B57" s="9" t="s">
        <v>16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>
      <c r="A58" s="8"/>
      <c r="B58" s="9" t="s">
        <v>140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>
      <c r="A59" s="10" t="s">
        <v>18</v>
      </c>
      <c r="B59" s="11" t="s">
        <v>141</v>
      </c>
      <c r="C59" s="11">
        <v>6.67</v>
      </c>
      <c r="D59" s="11" t="s">
        <v>142</v>
      </c>
      <c r="E59" s="11" t="s">
        <v>143</v>
      </c>
      <c r="F59" s="12">
        <v>1500000</v>
      </c>
      <c r="G59" s="13">
        <v>1359.99</v>
      </c>
      <c r="H59" s="13">
        <v>8.86</v>
      </c>
      <c r="I59" s="14">
        <v>7.6185999999999998</v>
      </c>
      <c r="J59" s="14" t="s">
        <v>20</v>
      </c>
      <c r="K59" s="15" t="s">
        <v>20</v>
      </c>
      <c r="L59" s="16" t="s">
        <v>20</v>
      </c>
    </row>
    <row r="60" spans="1:12">
      <c r="A60" s="10" t="s">
        <v>18</v>
      </c>
      <c r="B60" s="11" t="s">
        <v>144</v>
      </c>
      <c r="C60" s="11">
        <v>6.19</v>
      </c>
      <c r="D60" s="11" t="s">
        <v>145</v>
      </c>
      <c r="E60" s="11" t="s">
        <v>143</v>
      </c>
      <c r="F60" s="12">
        <v>1000000</v>
      </c>
      <c r="G60" s="13">
        <v>911.15</v>
      </c>
      <c r="H60" s="13">
        <v>5.93</v>
      </c>
      <c r="I60" s="14">
        <v>7.5346000000000002</v>
      </c>
      <c r="J60" s="14" t="s">
        <v>20</v>
      </c>
      <c r="K60" s="15" t="s">
        <v>20</v>
      </c>
      <c r="L60" s="16" t="s">
        <v>20</v>
      </c>
    </row>
    <row r="61" spans="1:12">
      <c r="A61" s="10" t="s">
        <v>18</v>
      </c>
      <c r="B61" s="11" t="s">
        <v>146</v>
      </c>
      <c r="C61" s="11">
        <v>7.57</v>
      </c>
      <c r="D61" s="11" t="s">
        <v>147</v>
      </c>
      <c r="E61" s="11" t="s">
        <v>143</v>
      </c>
      <c r="F61" s="12">
        <v>750000</v>
      </c>
      <c r="G61" s="13">
        <v>762.75</v>
      </c>
      <c r="H61" s="13">
        <v>4.97</v>
      </c>
      <c r="I61" s="14">
        <v>7.4524999999999997</v>
      </c>
      <c r="J61" s="14" t="s">
        <v>20</v>
      </c>
      <c r="K61" s="15" t="s">
        <v>20</v>
      </c>
      <c r="L61" s="16" t="s">
        <v>20</v>
      </c>
    </row>
    <row r="62" spans="1:12">
      <c r="A62" s="10" t="s">
        <v>18</v>
      </c>
      <c r="B62" s="11" t="s">
        <v>148</v>
      </c>
      <c r="C62" s="11">
        <v>8.9700000000000006</v>
      </c>
      <c r="D62" s="11" t="s">
        <v>149</v>
      </c>
      <c r="E62" s="11" t="s">
        <v>143</v>
      </c>
      <c r="F62" s="12">
        <v>550000</v>
      </c>
      <c r="G62" s="13">
        <v>598.91999999999996</v>
      </c>
      <c r="H62" s="13">
        <v>3.9</v>
      </c>
      <c r="I62" s="14">
        <v>7.4588999999999999</v>
      </c>
      <c r="J62" s="14" t="s">
        <v>20</v>
      </c>
      <c r="K62" s="15" t="s">
        <v>20</v>
      </c>
      <c r="L62" s="16" t="s">
        <v>20</v>
      </c>
    </row>
    <row r="63" spans="1:12">
      <c r="A63" s="10" t="s">
        <v>18</v>
      </c>
      <c r="B63" s="11" t="s">
        <v>150</v>
      </c>
      <c r="C63" s="11">
        <v>7.5</v>
      </c>
      <c r="D63" s="11" t="s">
        <v>151</v>
      </c>
      <c r="E63" s="11" t="s">
        <v>143</v>
      </c>
      <c r="F63" s="12">
        <v>500000</v>
      </c>
      <c r="G63" s="13">
        <v>503.63</v>
      </c>
      <c r="H63" s="13">
        <v>3.28</v>
      </c>
      <c r="I63" s="14">
        <v>7.5353000000000003</v>
      </c>
      <c r="J63" s="14" t="s">
        <v>20</v>
      </c>
      <c r="K63" s="15" t="s">
        <v>20</v>
      </c>
      <c r="L63" s="16" t="s">
        <v>20</v>
      </c>
    </row>
    <row r="64" spans="1:12">
      <c r="A64" s="10" t="s">
        <v>20</v>
      </c>
      <c r="B64" s="11" t="s">
        <v>152</v>
      </c>
      <c r="C64" s="11">
        <v>7.54</v>
      </c>
      <c r="D64" s="11" t="s">
        <v>153</v>
      </c>
      <c r="E64" s="11" t="s">
        <v>143</v>
      </c>
      <c r="F64" s="12">
        <v>15000</v>
      </c>
      <c r="G64" s="13">
        <v>15.18</v>
      </c>
      <c r="H64" s="13">
        <v>0.1</v>
      </c>
      <c r="I64" s="14">
        <v>7.5279999999999996</v>
      </c>
      <c r="J64" s="14" t="s">
        <v>20</v>
      </c>
      <c r="K64" s="15" t="s">
        <v>20</v>
      </c>
      <c r="L64" s="16" t="s">
        <v>20</v>
      </c>
    </row>
    <row r="65" spans="1:12">
      <c r="A65" s="8"/>
      <c r="B65" s="9" t="s">
        <v>154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>
      <c r="A66" s="10" t="s">
        <v>18</v>
      </c>
      <c r="B66" s="11" t="s">
        <v>155</v>
      </c>
      <c r="C66" s="11">
        <v>8.35</v>
      </c>
      <c r="D66" s="11" t="s">
        <v>156</v>
      </c>
      <c r="E66" s="11" t="s">
        <v>157</v>
      </c>
      <c r="F66" s="12">
        <v>100</v>
      </c>
      <c r="G66" s="13">
        <v>992.57</v>
      </c>
      <c r="H66" s="13">
        <v>6.46</v>
      </c>
      <c r="I66" s="14">
        <v>8.4649999999999999</v>
      </c>
      <c r="J66" s="14" t="s">
        <v>20</v>
      </c>
      <c r="K66" s="15" t="s">
        <v>20</v>
      </c>
      <c r="L66" s="16" t="s">
        <v>20</v>
      </c>
    </row>
    <row r="67" spans="1:12">
      <c r="A67" s="10" t="s">
        <v>18</v>
      </c>
      <c r="B67" s="11" t="s">
        <v>158</v>
      </c>
      <c r="C67" s="11">
        <v>7.7504999999999997</v>
      </c>
      <c r="D67" s="11" t="s">
        <v>159</v>
      </c>
      <c r="E67" s="11" t="s">
        <v>160</v>
      </c>
      <c r="F67" s="12">
        <v>100</v>
      </c>
      <c r="G67" s="13">
        <v>979.51</v>
      </c>
      <c r="H67" s="13">
        <v>6.38</v>
      </c>
      <c r="I67" s="14">
        <v>8.9149999999999991</v>
      </c>
      <c r="J67" s="14" t="s">
        <v>20</v>
      </c>
      <c r="K67" s="15" t="s">
        <v>20</v>
      </c>
      <c r="L67" s="16" t="s">
        <v>20</v>
      </c>
    </row>
    <row r="68" spans="1:12">
      <c r="A68" s="10" t="s">
        <v>18</v>
      </c>
      <c r="B68" s="11" t="s">
        <v>161</v>
      </c>
      <c r="C68" s="11">
        <v>8.4</v>
      </c>
      <c r="D68" s="11" t="s">
        <v>162</v>
      </c>
      <c r="E68" s="11" t="s">
        <v>163</v>
      </c>
      <c r="F68" s="12">
        <v>50</v>
      </c>
      <c r="G68" s="13">
        <v>515.80999999999995</v>
      </c>
      <c r="H68" s="13">
        <v>3.36</v>
      </c>
      <c r="I68" s="14">
        <v>7.63</v>
      </c>
      <c r="J68" s="14" t="s">
        <v>20</v>
      </c>
      <c r="K68" s="15" t="s">
        <v>20</v>
      </c>
      <c r="L68" s="16" t="s">
        <v>20</v>
      </c>
    </row>
    <row r="69" spans="1:12">
      <c r="A69" s="10" t="s">
        <v>20</v>
      </c>
      <c r="B69" s="11" t="s">
        <v>164</v>
      </c>
      <c r="C69" s="11">
        <v>6.83</v>
      </c>
      <c r="D69" s="11" t="s">
        <v>165</v>
      </c>
      <c r="E69" s="11" t="s">
        <v>163</v>
      </c>
      <c r="F69" s="12">
        <v>50</v>
      </c>
      <c r="G69" s="13">
        <v>470.85</v>
      </c>
      <c r="H69" s="13">
        <v>3.07</v>
      </c>
      <c r="I69" s="14">
        <v>7.93</v>
      </c>
      <c r="J69" s="14" t="s">
        <v>20</v>
      </c>
      <c r="K69" s="15" t="s">
        <v>20</v>
      </c>
      <c r="L69" s="16" t="s">
        <v>20</v>
      </c>
    </row>
    <row r="70" spans="1:12">
      <c r="A70" s="10" t="s">
        <v>20</v>
      </c>
      <c r="B70" s="11" t="s">
        <v>166</v>
      </c>
      <c r="C70" s="11">
        <v>9.25</v>
      </c>
      <c r="D70" s="11" t="s">
        <v>167</v>
      </c>
      <c r="E70" s="11" t="s">
        <v>163</v>
      </c>
      <c r="F70" s="12">
        <v>19</v>
      </c>
      <c r="G70" s="13">
        <v>191.29</v>
      </c>
      <c r="H70" s="13">
        <v>1.25</v>
      </c>
      <c r="I70" s="14">
        <v>7.63</v>
      </c>
      <c r="J70" s="14" t="s">
        <v>20</v>
      </c>
      <c r="K70" s="15" t="s">
        <v>20</v>
      </c>
      <c r="L70" s="16" t="s">
        <v>20</v>
      </c>
    </row>
    <row r="71" spans="1:12">
      <c r="A71" s="10" t="s">
        <v>20</v>
      </c>
      <c r="B71" s="11" t="s">
        <v>168</v>
      </c>
      <c r="C71" s="11">
        <v>9.1</v>
      </c>
      <c r="D71" s="11" t="s">
        <v>169</v>
      </c>
      <c r="E71" s="11" t="s">
        <v>163</v>
      </c>
      <c r="F71" s="12">
        <v>10</v>
      </c>
      <c r="G71" s="13">
        <v>105.13</v>
      </c>
      <c r="H71" s="13">
        <v>0.68</v>
      </c>
      <c r="I71" s="14">
        <v>7.8650000000000002</v>
      </c>
      <c r="J71" s="14" t="s">
        <v>20</v>
      </c>
      <c r="K71" s="15" t="s">
        <v>20</v>
      </c>
      <c r="L71" s="16" t="s">
        <v>20</v>
      </c>
    </row>
    <row r="72" spans="1:12">
      <c r="A72" s="17"/>
      <c r="B72" s="9" t="s">
        <v>137</v>
      </c>
      <c r="C72" s="17"/>
      <c r="D72" s="17"/>
      <c r="E72" s="17"/>
      <c r="F72" s="17"/>
      <c r="G72" s="18">
        <v>7406.7800000000007</v>
      </c>
      <c r="H72" s="18">
        <v>48.24</v>
      </c>
      <c r="I72" s="17"/>
      <c r="J72" s="17"/>
      <c r="K72" s="17"/>
      <c r="L72" s="17"/>
    </row>
    <row r="73" spans="1:12">
      <c r="A73" s="8"/>
      <c r="B73" s="9" t="s">
        <v>138</v>
      </c>
      <c r="C73" s="8"/>
      <c r="D73" s="8"/>
      <c r="E73" s="8"/>
      <c r="F73" s="8"/>
      <c r="G73" s="19">
        <v>7406.7800000000007</v>
      </c>
      <c r="H73" s="19">
        <v>48.24</v>
      </c>
      <c r="I73" s="8"/>
      <c r="J73" s="8"/>
      <c r="K73" s="8"/>
      <c r="L73" s="8"/>
    </row>
    <row r="74" spans="1:12">
      <c r="A74" s="8"/>
      <c r="B74" s="9" t="s">
        <v>170</v>
      </c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8"/>
      <c r="B75" s="9" t="s">
        <v>171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10" t="s">
        <v>20</v>
      </c>
      <c r="B76" s="11" t="s">
        <v>20</v>
      </c>
      <c r="C76" s="11" t="s">
        <v>20</v>
      </c>
      <c r="D76" s="11" t="s">
        <v>171</v>
      </c>
      <c r="E76" s="11" t="s">
        <v>20</v>
      </c>
      <c r="F76" s="12" t="s">
        <v>20</v>
      </c>
      <c r="G76" s="13">
        <v>634.92999999999995</v>
      </c>
      <c r="H76" s="13">
        <v>4.13</v>
      </c>
      <c r="I76" s="14">
        <v>6.7535999999999996</v>
      </c>
      <c r="J76" s="14" t="s">
        <v>20</v>
      </c>
      <c r="K76" s="15" t="s">
        <v>20</v>
      </c>
      <c r="L76" s="16" t="s">
        <v>20</v>
      </c>
    </row>
    <row r="77" spans="1:12">
      <c r="A77" s="8"/>
      <c r="B77" s="9" t="s">
        <v>172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10" t="s">
        <v>20</v>
      </c>
      <c r="B78" s="11" t="s">
        <v>20</v>
      </c>
      <c r="C78" s="11" t="s">
        <v>20</v>
      </c>
      <c r="D78" s="11" t="s">
        <v>172</v>
      </c>
      <c r="E78" s="11" t="s">
        <v>20</v>
      </c>
      <c r="F78" s="12" t="s">
        <v>20</v>
      </c>
      <c r="G78" s="13">
        <v>227.53</v>
      </c>
      <c r="H78" s="13">
        <v>1.48</v>
      </c>
      <c r="I78" s="14">
        <v>6.8680000000000003</v>
      </c>
      <c r="J78" s="14" t="s">
        <v>20</v>
      </c>
      <c r="K78" s="15" t="s">
        <v>20</v>
      </c>
      <c r="L78" s="16" t="s">
        <v>20</v>
      </c>
    </row>
    <row r="79" spans="1:12">
      <c r="A79" s="17"/>
      <c r="B79" s="9" t="s">
        <v>137</v>
      </c>
      <c r="C79" s="17"/>
      <c r="D79" s="17"/>
      <c r="E79" s="17"/>
      <c r="F79" s="17"/>
      <c r="G79" s="18">
        <v>862.45999999999992</v>
      </c>
      <c r="H79" s="18">
        <v>5.6099999999999994</v>
      </c>
      <c r="I79" s="17"/>
      <c r="J79" s="17"/>
      <c r="K79" s="17"/>
      <c r="L79" s="17"/>
    </row>
    <row r="80" spans="1:12">
      <c r="A80" s="8"/>
      <c r="B80" s="9" t="s">
        <v>138</v>
      </c>
      <c r="C80" s="8"/>
      <c r="D80" s="8"/>
      <c r="E80" s="8"/>
      <c r="F80" s="8"/>
      <c r="G80" s="19">
        <v>862.45999999999992</v>
      </c>
      <c r="H80" s="19">
        <v>5.6099999999999994</v>
      </c>
      <c r="I80" s="8"/>
      <c r="J80" s="8"/>
      <c r="K80" s="8"/>
      <c r="L80" s="8"/>
    </row>
    <row r="81" spans="1:12">
      <c r="A81" s="8"/>
      <c r="B81" s="9" t="s">
        <v>173</v>
      </c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8"/>
      <c r="B82" s="9" t="s">
        <v>174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10" t="s">
        <v>20</v>
      </c>
      <c r="B83" s="11" t="s">
        <v>20</v>
      </c>
      <c r="C83" s="11" t="s">
        <v>20</v>
      </c>
      <c r="D83" s="11" t="s">
        <v>174</v>
      </c>
      <c r="E83" s="11" t="s">
        <v>20</v>
      </c>
      <c r="F83" s="12" t="s">
        <v>20</v>
      </c>
      <c r="G83" s="13">
        <v>704.99</v>
      </c>
      <c r="H83" s="13">
        <v>4.58</v>
      </c>
      <c r="I83" s="14" t="s">
        <v>20</v>
      </c>
      <c r="J83" s="14" t="s">
        <v>20</v>
      </c>
      <c r="K83" s="15" t="s">
        <v>20</v>
      </c>
      <c r="L83" s="16" t="s">
        <v>20</v>
      </c>
    </row>
    <row r="84" spans="1:12">
      <c r="A84" s="17"/>
      <c r="B84" s="9" t="s">
        <v>137</v>
      </c>
      <c r="C84" s="17"/>
      <c r="D84" s="17"/>
      <c r="E84" s="17"/>
      <c r="F84" s="17"/>
      <c r="G84" s="18">
        <v>704.99</v>
      </c>
      <c r="H84" s="18">
        <v>4.58</v>
      </c>
      <c r="I84" s="17"/>
      <c r="J84" s="17"/>
      <c r="K84" s="17"/>
      <c r="L84" s="17"/>
    </row>
    <row r="85" spans="1:12">
      <c r="A85" s="8"/>
      <c r="B85" s="9" t="s">
        <v>138</v>
      </c>
      <c r="C85" s="8"/>
      <c r="D85" s="8"/>
      <c r="E85" s="8"/>
      <c r="F85" s="8"/>
      <c r="G85" s="19">
        <v>704.99</v>
      </c>
      <c r="H85" s="19">
        <v>4.58</v>
      </c>
      <c r="I85" s="8"/>
      <c r="J85" s="8"/>
      <c r="K85" s="8"/>
      <c r="L85" s="8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20" t="s">
        <v>175</v>
      </c>
      <c r="C87" s="4"/>
      <c r="D87" s="4"/>
      <c r="E87" s="4"/>
      <c r="F87" s="4"/>
      <c r="G87" s="21">
        <v>15356.02</v>
      </c>
      <c r="H87" s="21">
        <v>99.999999999999972</v>
      </c>
      <c r="I87" s="4"/>
      <c r="J87" s="4"/>
      <c r="K87" s="4"/>
      <c r="L87" s="4"/>
    </row>
    <row r="88" spans="1:12">
      <c r="A88" s="10" t="s">
        <v>18</v>
      </c>
      <c r="B88" s="32" t="s">
        <v>176</v>
      </c>
      <c r="C88" s="32" t="s">
        <v>176</v>
      </c>
      <c r="D88" s="32" t="s">
        <v>176</v>
      </c>
      <c r="E88" s="32" t="s">
        <v>176</v>
      </c>
      <c r="F88" s="32" t="s">
        <v>176</v>
      </c>
      <c r="G88" s="11"/>
      <c r="H88" s="11"/>
      <c r="I88" s="11"/>
      <c r="J88" s="11"/>
      <c r="K88" s="11"/>
      <c r="L88" s="11"/>
    </row>
    <row r="89" spans="1:12">
      <c r="A89" s="11"/>
      <c r="B89" s="29" t="s">
        <v>177</v>
      </c>
      <c r="C89" s="29" t="s">
        <v>177</v>
      </c>
      <c r="D89" s="29" t="s">
        <v>177</v>
      </c>
      <c r="E89" s="29" t="s">
        <v>177</v>
      </c>
      <c r="F89" s="29" t="s">
        <v>177</v>
      </c>
      <c r="G89" s="11"/>
      <c r="H89" s="11"/>
      <c r="I89" s="11"/>
      <c r="J89" s="11"/>
      <c r="K89" s="11"/>
      <c r="L89" s="11"/>
    </row>
    <row r="90" spans="1:12">
      <c r="A90" s="11"/>
      <c r="B90" s="29" t="s">
        <v>178</v>
      </c>
      <c r="C90" s="29" t="s">
        <v>178</v>
      </c>
      <c r="D90" s="29" t="s">
        <v>178</v>
      </c>
      <c r="E90" s="29" t="s">
        <v>178</v>
      </c>
      <c r="F90" s="29" t="s">
        <v>178</v>
      </c>
      <c r="G90" s="11"/>
      <c r="H90" s="11"/>
      <c r="I90" s="11"/>
      <c r="J90" s="11"/>
      <c r="K90" s="11"/>
      <c r="L90" s="11"/>
    </row>
    <row r="91" spans="1:12">
      <c r="A91" s="11"/>
      <c r="B91" s="29" t="s">
        <v>179</v>
      </c>
      <c r="C91" s="29" t="s">
        <v>179</v>
      </c>
      <c r="D91" s="29" t="s">
        <v>179</v>
      </c>
      <c r="E91" s="29" t="s">
        <v>179</v>
      </c>
      <c r="F91" s="29" t="s">
        <v>179</v>
      </c>
      <c r="G91" s="11"/>
      <c r="H91" s="11"/>
      <c r="I91" s="11"/>
      <c r="J91" s="11"/>
      <c r="K91" s="11"/>
      <c r="L91" s="11"/>
    </row>
    <row r="92" spans="1:12">
      <c r="A92" s="11"/>
      <c r="B92" s="29" t="s">
        <v>180</v>
      </c>
      <c r="C92" s="29" t="s">
        <v>180</v>
      </c>
      <c r="D92" s="29" t="s">
        <v>180</v>
      </c>
      <c r="E92" s="29" t="s">
        <v>180</v>
      </c>
      <c r="F92" s="29" t="s">
        <v>180</v>
      </c>
      <c r="G92" s="11"/>
      <c r="H92" s="11"/>
      <c r="I92" s="11"/>
      <c r="J92" s="11"/>
      <c r="K92" s="11"/>
      <c r="L92" s="11"/>
    </row>
    <row r="93" spans="1:12">
      <c r="A93" s="11"/>
      <c r="B93" s="29" t="s">
        <v>181</v>
      </c>
      <c r="C93" s="29" t="s">
        <v>181</v>
      </c>
      <c r="D93" s="29" t="s">
        <v>181</v>
      </c>
      <c r="E93" s="29" t="s">
        <v>181</v>
      </c>
      <c r="F93" s="29" t="s">
        <v>181</v>
      </c>
      <c r="G93" s="11"/>
      <c r="H93" s="11"/>
      <c r="I93" s="11"/>
      <c r="J93" s="11"/>
      <c r="K93" s="11"/>
      <c r="L93" s="11"/>
    </row>
    <row r="94" spans="1:12">
      <c r="A94" s="11"/>
      <c r="B94" s="29" t="s">
        <v>182</v>
      </c>
      <c r="C94" s="29" t="s">
        <v>182</v>
      </c>
      <c r="D94" s="29" t="s">
        <v>182</v>
      </c>
      <c r="E94" s="29" t="s">
        <v>182</v>
      </c>
      <c r="F94" s="29" t="s">
        <v>182</v>
      </c>
      <c r="G94" s="11"/>
      <c r="H94" s="11"/>
      <c r="I94" s="11"/>
      <c r="J94" s="11"/>
      <c r="K94" s="11"/>
      <c r="L94" s="11"/>
    </row>
    <row r="95" spans="1:12">
      <c r="A95" s="11"/>
      <c r="B95" s="29" t="s">
        <v>183</v>
      </c>
      <c r="C95" s="29" t="s">
        <v>183</v>
      </c>
      <c r="D95" s="29" t="s">
        <v>183</v>
      </c>
      <c r="E95" s="29" t="s">
        <v>183</v>
      </c>
      <c r="F95" s="29" t="s">
        <v>183</v>
      </c>
      <c r="G95" s="11"/>
      <c r="H95" s="11"/>
      <c r="I95" s="11"/>
      <c r="J95" s="11"/>
      <c r="K95" s="11"/>
      <c r="L95" s="11"/>
    </row>
    <row r="96" spans="1:12">
      <c r="A96" s="11"/>
      <c r="B96" s="11"/>
      <c r="C96" s="11"/>
      <c r="D96" s="11"/>
      <c r="E96" s="11"/>
      <c r="F96" s="11"/>
      <c r="G96" s="11"/>
      <c r="H96" s="11"/>
    </row>
    <row r="97" spans="1:8">
      <c r="A97" s="22"/>
      <c r="B97" s="22" t="s">
        <v>184</v>
      </c>
      <c r="C97" s="22"/>
      <c r="D97" s="22"/>
      <c r="E97" s="11"/>
      <c r="F97" s="11"/>
      <c r="G97" s="11"/>
      <c r="H97" s="11"/>
    </row>
    <row r="98" spans="1:8">
      <c r="A98" s="22"/>
      <c r="B98" s="23" t="s">
        <v>17</v>
      </c>
      <c r="C98" s="23"/>
      <c r="D98" s="24">
        <v>24.189999999999998</v>
      </c>
      <c r="E98" s="11"/>
      <c r="F98" s="11"/>
      <c r="G98" s="11"/>
      <c r="H98" s="11"/>
    </row>
    <row r="99" spans="1:8">
      <c r="A99" s="22"/>
      <c r="B99" s="23" t="s">
        <v>185</v>
      </c>
      <c r="C99" s="23"/>
      <c r="D99" s="24">
        <v>17.38</v>
      </c>
      <c r="E99" s="11"/>
      <c r="F99" s="11"/>
      <c r="G99" s="11"/>
      <c r="H99" s="11"/>
    </row>
    <row r="100" spans="1:8">
      <c r="A100" s="22"/>
      <c r="B100" s="23" t="s">
        <v>186</v>
      </c>
      <c r="C100" s="23"/>
      <c r="D100" s="24">
        <v>27.04</v>
      </c>
      <c r="E100" s="11"/>
      <c r="F100" s="11"/>
      <c r="G100" s="11"/>
      <c r="H100" s="11"/>
    </row>
    <row r="101" spans="1:8">
      <c r="A101" s="22"/>
      <c r="B101" s="23" t="s">
        <v>187</v>
      </c>
      <c r="C101" s="23"/>
      <c r="D101" s="24">
        <v>21.2</v>
      </c>
      <c r="E101" s="11"/>
      <c r="F101" s="11"/>
      <c r="G101" s="11"/>
      <c r="H101" s="11"/>
    </row>
    <row r="102" spans="1:8">
      <c r="A102" s="22"/>
      <c r="B102" s="23" t="s">
        <v>188</v>
      </c>
      <c r="C102" s="23"/>
      <c r="D102" s="24">
        <v>10.190000000000001</v>
      </c>
      <c r="E102" s="11"/>
      <c r="F102" s="11"/>
      <c r="G102" s="11"/>
      <c r="H102" s="11"/>
    </row>
    <row r="103" spans="1:8">
      <c r="A103" s="22"/>
      <c r="B103" s="22" t="s">
        <v>189</v>
      </c>
      <c r="C103" s="22"/>
      <c r="D103" s="22"/>
      <c r="E103" s="11"/>
      <c r="F103" s="11"/>
      <c r="G103" s="11"/>
      <c r="H103" s="11"/>
    </row>
    <row r="104" spans="1:8">
      <c r="A104" s="22"/>
      <c r="B104" s="23" t="s">
        <v>17</v>
      </c>
      <c r="C104" s="23"/>
      <c r="D104" s="24">
        <v>41.569999999999993</v>
      </c>
      <c r="E104" s="11"/>
      <c r="F104" s="11"/>
      <c r="G104" s="11"/>
      <c r="H104" s="11"/>
    </row>
    <row r="105" spans="1:8">
      <c r="A105" s="22"/>
      <c r="B105" s="23" t="s">
        <v>143</v>
      </c>
      <c r="C105" s="23"/>
      <c r="D105" s="24">
        <v>27.04</v>
      </c>
      <c r="E105" s="11"/>
      <c r="F105" s="11"/>
      <c r="G105" s="11"/>
      <c r="H105" s="11"/>
    </row>
    <row r="106" spans="1:8">
      <c r="A106" s="22"/>
      <c r="B106" s="23" t="s">
        <v>190</v>
      </c>
      <c r="C106" s="23"/>
      <c r="D106" s="24">
        <v>8.36</v>
      </c>
      <c r="E106" s="11"/>
      <c r="F106" s="11"/>
      <c r="G106" s="11"/>
      <c r="H106" s="11"/>
    </row>
    <row r="107" spans="1:8">
      <c r="A107" s="22"/>
      <c r="B107" s="23" t="s">
        <v>191</v>
      </c>
      <c r="C107" s="23"/>
      <c r="D107" s="24">
        <v>6.46</v>
      </c>
      <c r="E107" s="11"/>
      <c r="F107" s="11"/>
      <c r="G107" s="11"/>
      <c r="H107" s="11"/>
    </row>
    <row r="108" spans="1:8">
      <c r="A108" s="22"/>
      <c r="B108" s="23" t="s">
        <v>192</v>
      </c>
      <c r="C108" s="23"/>
      <c r="D108" s="24">
        <v>6.38</v>
      </c>
      <c r="E108" s="11"/>
      <c r="F108" s="11"/>
      <c r="G108" s="11"/>
      <c r="H108" s="11"/>
    </row>
    <row r="109" spans="1:8">
      <c r="A109" s="22"/>
      <c r="B109" s="23" t="s">
        <v>188</v>
      </c>
      <c r="C109" s="23"/>
      <c r="D109" s="24">
        <v>10.190000000000001</v>
      </c>
      <c r="E109" s="11"/>
      <c r="F109" s="11"/>
      <c r="G109" s="11"/>
      <c r="H109" s="11"/>
    </row>
    <row r="110" spans="1:8">
      <c r="A110" s="25"/>
      <c r="B110" s="25"/>
      <c r="C110" s="25"/>
      <c r="D110" s="25"/>
      <c r="E110" s="25"/>
      <c r="F110" s="25"/>
      <c r="G110" s="25"/>
      <c r="H110" s="25"/>
    </row>
    <row r="111" spans="1:8">
      <c r="A111" s="25"/>
      <c r="B111" s="8" t="s">
        <v>193</v>
      </c>
      <c r="C111" s="25"/>
      <c r="D111" s="25"/>
      <c r="E111" s="25"/>
      <c r="F111" s="25"/>
      <c r="G111" s="25"/>
      <c r="H111" s="25"/>
    </row>
    <row r="112" spans="1:8">
      <c r="A112" s="11"/>
      <c r="B112" s="11" t="s">
        <v>194</v>
      </c>
      <c r="C112" s="11"/>
      <c r="D112" s="11"/>
      <c r="E112" s="11"/>
      <c r="F112" s="11"/>
      <c r="G112" s="11"/>
      <c r="H112" s="25"/>
    </row>
    <row r="113" spans="1:8">
      <c r="A113" s="11"/>
      <c r="B113" s="26" t="s">
        <v>195</v>
      </c>
      <c r="C113" s="27" t="s">
        <v>196</v>
      </c>
      <c r="D113" s="26" t="s">
        <v>197</v>
      </c>
      <c r="E113" s="11"/>
      <c r="F113" s="11"/>
      <c r="G113" s="11"/>
      <c r="H113" s="25"/>
    </row>
    <row r="114" spans="1:8">
      <c r="A114" s="11"/>
      <c r="B114" s="8" t="s">
        <v>198</v>
      </c>
      <c r="C114" s="14">
        <v>18.651</v>
      </c>
      <c r="D114" s="14">
        <v>18.266300000000001</v>
      </c>
      <c r="E114" s="11"/>
      <c r="F114" s="11"/>
      <c r="G114" s="11"/>
      <c r="H114" s="25"/>
    </row>
    <row r="115" spans="1:8">
      <c r="A115" s="11"/>
      <c r="B115" s="8" t="s">
        <v>199</v>
      </c>
      <c r="C115" s="14">
        <v>20.6601</v>
      </c>
      <c r="D115" s="14">
        <v>20.214400000000001</v>
      </c>
      <c r="E115" s="11"/>
      <c r="F115" s="11"/>
      <c r="G115" s="11"/>
      <c r="H115" s="25"/>
    </row>
    <row r="116" spans="1:8">
      <c r="A116" s="11"/>
      <c r="B116" s="8" t="s">
        <v>20</v>
      </c>
      <c r="C116" s="11"/>
      <c r="D116" s="11"/>
      <c r="E116" s="11"/>
      <c r="F116" s="11"/>
      <c r="G116" s="11"/>
      <c r="H116" s="25"/>
    </row>
    <row r="117" spans="1:8">
      <c r="A117" s="11"/>
      <c r="B117" s="11"/>
      <c r="C117" s="11"/>
      <c r="D117" s="11"/>
      <c r="E117" s="11"/>
      <c r="F117" s="11"/>
      <c r="G117" s="11"/>
      <c r="H117" s="25"/>
    </row>
    <row r="118" spans="1:8">
      <c r="A118" s="11"/>
      <c r="B118" s="11" t="s">
        <v>200</v>
      </c>
      <c r="C118" s="11"/>
      <c r="D118" s="11"/>
      <c r="E118" s="11"/>
      <c r="F118" s="11"/>
      <c r="G118" s="11"/>
      <c r="H118" s="25"/>
    </row>
    <row r="119" spans="1:8">
      <c r="A119" s="11"/>
      <c r="B119" s="11"/>
      <c r="C119" s="11"/>
      <c r="D119" s="11"/>
      <c r="E119" s="11"/>
      <c r="F119" s="11"/>
      <c r="G119" s="11"/>
      <c r="H119" s="25"/>
    </row>
    <row r="120" spans="1:8">
      <c r="A120" s="11"/>
      <c r="B120" s="11" t="s">
        <v>201</v>
      </c>
      <c r="C120" s="11"/>
      <c r="D120" s="11"/>
      <c r="E120" s="11"/>
      <c r="F120" s="11"/>
      <c r="G120" s="11"/>
      <c r="H120" s="25"/>
    </row>
    <row r="121" spans="1:8">
      <c r="A121" s="25"/>
      <c r="B121" s="25"/>
      <c r="C121" s="25"/>
      <c r="D121" s="25"/>
      <c r="E121" s="25"/>
      <c r="F121" s="25"/>
      <c r="G121" s="25"/>
      <c r="H121" s="25"/>
    </row>
    <row r="122" spans="1:8">
      <c r="A122" s="11"/>
      <c r="B122" s="11" t="s">
        <v>202</v>
      </c>
      <c r="C122" s="11"/>
      <c r="D122" s="11"/>
      <c r="E122" s="11"/>
      <c r="F122" s="11"/>
      <c r="G122" s="11"/>
      <c r="H122" s="11"/>
    </row>
    <row r="123" spans="1:8">
      <c r="A123" s="11"/>
      <c r="B123" s="11" t="s">
        <v>203</v>
      </c>
      <c r="C123" s="11"/>
      <c r="D123" s="11"/>
      <c r="E123" s="11"/>
      <c r="F123" s="11"/>
      <c r="G123" s="11"/>
      <c r="H123" s="25"/>
    </row>
    <row r="124" spans="1:8">
      <c r="A124" s="11"/>
      <c r="B124" s="11" t="s">
        <v>204</v>
      </c>
      <c r="C124" s="11"/>
      <c r="D124" s="11"/>
      <c r="E124" s="11"/>
      <c r="F124" s="11"/>
      <c r="G124" s="11"/>
      <c r="H124" s="25"/>
    </row>
    <row r="125" spans="1:8">
      <c r="A125" s="11"/>
      <c r="B125" s="11" t="s">
        <v>205</v>
      </c>
      <c r="C125" s="11"/>
      <c r="D125" s="11"/>
      <c r="E125" s="11"/>
      <c r="F125" s="11"/>
      <c r="G125" s="11"/>
      <c r="H125" s="25"/>
    </row>
    <row r="126" spans="1:8">
      <c r="A126" s="11"/>
      <c r="B126" s="11" t="s">
        <v>206</v>
      </c>
      <c r="C126" s="11"/>
      <c r="D126" s="11"/>
      <c r="E126" s="11"/>
      <c r="F126" s="11"/>
      <c r="G126" s="11"/>
      <c r="H126" s="25"/>
    </row>
    <row r="127" spans="1:8">
      <c r="A127" s="11"/>
      <c r="B127" s="11" t="s">
        <v>207</v>
      </c>
      <c r="C127" s="11"/>
      <c r="D127" s="11"/>
      <c r="E127" s="11"/>
      <c r="F127" s="11"/>
      <c r="G127" s="11"/>
      <c r="H127" s="25"/>
    </row>
    <row r="128" spans="1:8">
      <c r="A128" s="11"/>
      <c r="B128" s="11" t="s">
        <v>208</v>
      </c>
      <c r="C128" s="11"/>
      <c r="D128" s="11"/>
      <c r="E128" s="11"/>
      <c r="F128" s="11"/>
      <c r="G128" s="11"/>
      <c r="H128" s="25"/>
    </row>
    <row r="129" spans="1:8">
      <c r="A129" s="11"/>
      <c r="B129" s="11" t="s">
        <v>209</v>
      </c>
      <c r="C129" s="11"/>
      <c r="D129" s="11"/>
      <c r="E129" s="11"/>
      <c r="F129" s="11"/>
      <c r="G129" s="11"/>
      <c r="H129" s="25"/>
    </row>
    <row r="130" spans="1:8">
      <c r="A130" s="11"/>
      <c r="B130" s="11" t="s">
        <v>210</v>
      </c>
      <c r="C130" s="11"/>
      <c r="D130" s="11"/>
      <c r="E130" s="11"/>
      <c r="F130" s="11"/>
      <c r="G130" s="11"/>
      <c r="H130" s="25"/>
    </row>
    <row r="132" spans="1:8">
      <c r="B132" s="28" t="s">
        <v>211</v>
      </c>
    </row>
    <row r="148" spans="2:2">
      <c r="B148" s="28" t="s">
        <v>212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/>
  </sheetViews>
  <sheetFormatPr defaultColWidth="9.140625" defaultRowHeight="12.75"/>
  <cols>
    <col min="1" max="1" width="56.14062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9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8">
      <c r="G2" s="34"/>
    </row>
    <row r="3" spans="1:8">
      <c r="A3" s="35" t="s">
        <v>213</v>
      </c>
      <c r="B3" s="35"/>
      <c r="C3" s="35"/>
      <c r="D3" s="35"/>
      <c r="E3" s="35"/>
      <c r="F3" s="35"/>
      <c r="G3" s="35"/>
    </row>
    <row r="5" spans="1:8">
      <c r="A5" s="33" t="s">
        <v>214</v>
      </c>
    </row>
    <row r="7" spans="1:8" ht="12.75" customHeight="1">
      <c r="A7" s="36" t="str">
        <f>+[34]DerivativeHDFCMY.!A7</f>
        <v>A.  Hedging Positions through Futures as on  November 30, 2023</v>
      </c>
      <c r="B7" s="36"/>
      <c r="C7" s="36"/>
      <c r="D7" s="36"/>
      <c r="E7" s="36"/>
      <c r="F7" s="36"/>
    </row>
    <row r="8" spans="1:8" ht="38.25">
      <c r="A8" s="37" t="s">
        <v>215</v>
      </c>
      <c r="B8" s="38" t="s">
        <v>216</v>
      </c>
      <c r="C8" s="38" t="s">
        <v>217</v>
      </c>
      <c r="D8" s="38" t="s">
        <v>218</v>
      </c>
      <c r="E8" s="38" t="s">
        <v>219</v>
      </c>
      <c r="F8" s="38" t="s">
        <v>220</v>
      </c>
      <c r="G8" s="38" t="s">
        <v>221</v>
      </c>
      <c r="H8" s="39" t="s">
        <v>222</v>
      </c>
    </row>
    <row r="9" spans="1:8">
      <c r="A9" s="40" t="s">
        <v>223</v>
      </c>
      <c r="B9" s="41" t="s">
        <v>224</v>
      </c>
      <c r="C9" s="41" t="s">
        <v>22</v>
      </c>
      <c r="D9" s="42">
        <v>-22750</v>
      </c>
      <c r="E9" s="43">
        <v>5712.9758000000002</v>
      </c>
      <c r="F9" s="44">
        <v>5818.85</v>
      </c>
      <c r="G9" s="44">
        <v>233.72331940000001</v>
      </c>
      <c r="H9" s="45">
        <f>(D9*F9)/100000</f>
        <v>-1323.7883750000001</v>
      </c>
    </row>
    <row r="10" spans="1:8">
      <c r="A10" s="46"/>
      <c r="B10" s="41" t="s">
        <v>225</v>
      </c>
      <c r="C10" s="41" t="s">
        <v>28</v>
      </c>
      <c r="D10" s="42">
        <v>-8400</v>
      </c>
      <c r="E10" s="43">
        <v>3087.2642000000001</v>
      </c>
      <c r="F10" s="44">
        <v>3127.25</v>
      </c>
      <c r="G10" s="44">
        <v>46.384925999999993</v>
      </c>
      <c r="H10" s="45">
        <f t="shared" ref="H10:H12" si="0">(D10*F10)/100000</f>
        <v>-262.68900000000002</v>
      </c>
    </row>
    <row r="11" spans="1:8">
      <c r="A11" s="46"/>
      <c r="B11" s="41" t="s">
        <v>24</v>
      </c>
      <c r="C11" s="41" t="s">
        <v>25</v>
      </c>
      <c r="D11" s="42">
        <v>-30800</v>
      </c>
      <c r="E11" s="43">
        <v>3523.6750000000002</v>
      </c>
      <c r="F11" s="44">
        <v>3514.25</v>
      </c>
      <c r="G11" s="44">
        <v>190.76911699999999</v>
      </c>
      <c r="H11" s="45">
        <f t="shared" si="0"/>
        <v>-1082.3889999999999</v>
      </c>
    </row>
    <row r="12" spans="1:8">
      <c r="A12" s="47"/>
      <c r="B12" s="41"/>
      <c r="C12" s="41"/>
      <c r="D12" s="42"/>
      <c r="E12" s="43"/>
      <c r="F12" s="44"/>
      <c r="G12" s="44"/>
      <c r="H12" s="45">
        <f t="shared" si="0"/>
        <v>0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2023-12-07T08:18:50Z</dcterms:created>
  <dcterms:modified xsi:type="dcterms:W3CDTF">2023-12-07T08:25:10Z</dcterms:modified>
</cp:coreProperties>
</file>