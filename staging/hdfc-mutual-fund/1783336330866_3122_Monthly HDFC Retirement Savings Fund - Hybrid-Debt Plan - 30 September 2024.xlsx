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 activeTab="1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1" hidden="1">DerivativeHDFCRETHDP!$A$8:$K$9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I9" i="2"/>
  <c r="H9" i="2"/>
  <c r="H13" i="2" s="1"/>
</calcChain>
</file>

<file path=xl/sharedStrings.xml><?xml version="1.0" encoding="utf-8"?>
<sst xmlns="http://schemas.openxmlformats.org/spreadsheetml/2006/main" count="548" uniqueCount="220">
  <si>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</si>
  <si>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</si>
  <si>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</si>
  <si>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</si>
  <si>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</si>
  <si>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</si>
  <si>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</si>
  <si>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</si>
  <si>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</si>
  <si>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</si>
  <si>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</si>
  <si>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</si>
  <si>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</si>
  <si>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</si>
  <si>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</si>
  <si>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</si>
  <si>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</si>
  <si>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</si>
  <si>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</si>
  <si>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</si>
  <si>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</si>
  <si>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</si>
  <si>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</si>
  <si>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</si>
  <si>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</si>
  <si>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</si>
  <si>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</si>
  <si>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</si>
  <si>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</si>
  <si>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</si>
  <si>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</si>
  <si>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</si>
  <si>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</si>
  <si>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</si>
  <si>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</si>
  <si>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</si>
  <si>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</si>
  <si>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</si>
  <si>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</si>
  <si>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</si>
  <si>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</si>
  <si>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INE154A01025</t>
  </si>
  <si>
    <t>ITC Ltd.</t>
  </si>
  <si>
    <t>Diversified FMCG</t>
  </si>
  <si>
    <t>INE062A01020</t>
  </si>
  <si>
    <t>State Bank of India</t>
  </si>
  <si>
    <t>INE765G01017</t>
  </si>
  <si>
    <t>ICICI Lombard General Insurance Co</t>
  </si>
  <si>
    <t>Insurance</t>
  </si>
  <si>
    <t>INE540H01012</t>
  </si>
  <si>
    <t>Voltamp Transformers Ltd.</t>
  </si>
  <si>
    <t>Electrical Equipment</t>
  </si>
  <si>
    <t>INE688A01022</t>
  </si>
  <si>
    <t>Transport Corporation of India Ltd.</t>
  </si>
  <si>
    <t>Transport Services</t>
  </si>
  <si>
    <t>INE585B01010</t>
  </si>
  <si>
    <t>Maruti Suzuki India Limited</t>
  </si>
  <si>
    <t>Automobiles</t>
  </si>
  <si>
    <t>INE089A01023</t>
  </si>
  <si>
    <t>Dr Reddys Laboratories Ltd.</t>
  </si>
  <si>
    <t>Pharmaceuticals &amp; Biotechnology</t>
  </si>
  <si>
    <t>INE123W01016</t>
  </si>
  <si>
    <t>SBI Life Insurance Company Ltd.</t>
  </si>
  <si>
    <t>INE246F01010</t>
  </si>
  <si>
    <t>Gujarat State Petronet Ltd.</t>
  </si>
  <si>
    <t>Gas</t>
  </si>
  <si>
    <t>INE386A01015</t>
  </si>
  <si>
    <t>Vesuvius India Ltd.</t>
  </si>
  <si>
    <t>Industrial Products</t>
  </si>
  <si>
    <t>INE854D01024</t>
  </si>
  <si>
    <t>United Spirits Limited</t>
  </si>
  <si>
    <t>Beverages</t>
  </si>
  <si>
    <t>INE225D01027</t>
  </si>
  <si>
    <t>Symphony Ltd.</t>
  </si>
  <si>
    <t>Consumer Durables</t>
  </si>
  <si>
    <t>INE462A01022</t>
  </si>
  <si>
    <t>Bayer Cropscience Ltd</t>
  </si>
  <si>
    <t>Fertilizers &amp; Agrochemicals</t>
  </si>
  <si>
    <t>INE235A01022</t>
  </si>
  <si>
    <t>Finolex Cables Ltd.</t>
  </si>
  <si>
    <t>INE220B01022</t>
  </si>
  <si>
    <t>Kalpataru Projects International Ltd</t>
  </si>
  <si>
    <t>INE685A01028</t>
  </si>
  <si>
    <t>Torrent Pharmaceuticals Ltd.</t>
  </si>
  <si>
    <t>INE066F01020</t>
  </si>
  <si>
    <t>Hindustan Aeronautics Limited</t>
  </si>
  <si>
    <t>Aerospace &amp; Defense</t>
  </si>
  <si>
    <t>INE119A01028</t>
  </si>
  <si>
    <t>Balrampur Chini Mills Ltd.</t>
  </si>
  <si>
    <t>Agricultural Food &amp; Other Products</t>
  </si>
  <si>
    <t>INE517F01014</t>
  </si>
  <si>
    <t>Gujarat Pipavav Port Ltd.</t>
  </si>
  <si>
    <t>Transport Infrastructure</t>
  </si>
  <si>
    <t>INE094A01015</t>
  </si>
  <si>
    <t>Hindustan Petroleum Corp. Ltd.</t>
  </si>
  <si>
    <t>INE901L01018</t>
  </si>
  <si>
    <t>Alembic Pharmaceuticals Limited</t>
  </si>
  <si>
    <t>INE752E01010</t>
  </si>
  <si>
    <t>Power Grid Corporation of India Ltd.</t>
  </si>
  <si>
    <t>Power</t>
  </si>
  <si>
    <t>INE079J01017</t>
  </si>
  <si>
    <t>Gateway Distriparks Limited</t>
  </si>
  <si>
    <t>INE491A01021</t>
  </si>
  <si>
    <t>City Union Bank Ltd.</t>
  </si>
  <si>
    <t>INE533A01012</t>
  </si>
  <si>
    <t>Goodyear India Ltd.</t>
  </si>
  <si>
    <t>Auto Components</t>
  </si>
  <si>
    <t>INE294Z01018</t>
  </si>
  <si>
    <t>The Anup Engineering Limited</t>
  </si>
  <si>
    <t>Industrial Manufacturing</t>
  </si>
  <si>
    <t>INE474Q01031</t>
  </si>
  <si>
    <t>Global Health Limited</t>
  </si>
  <si>
    <t>Healthcare Services</t>
  </si>
  <si>
    <t>INE162B01018</t>
  </si>
  <si>
    <t>Lumax Industries Ltd</t>
  </si>
  <si>
    <t>INE070I01018</t>
  </si>
  <si>
    <t>Insecticides (India) Ltd.</t>
  </si>
  <si>
    <t>INE891D01026</t>
  </si>
  <si>
    <t>Redington Ltd.</t>
  </si>
  <si>
    <t>Commercial Services &amp; Supplies</t>
  </si>
  <si>
    <t>INE058A01010</t>
  </si>
  <si>
    <t>Sanofi India Limited</t>
  </si>
  <si>
    <t>INE191H01014</t>
  </si>
  <si>
    <t>PVR LIMITED</t>
  </si>
  <si>
    <t>Entertainment</t>
  </si>
  <si>
    <t>INE0UOS01011</t>
  </si>
  <si>
    <t>Sanofi  Consumer Healthcare India Limited</t>
  </si>
  <si>
    <t>INE772T01024</t>
  </si>
  <si>
    <t>Popular Vehicles and Services Limited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</si>
  <si>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</si>
  <si>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</si>
  <si>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</si>
  <si>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</si>
  <si>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</si>
  <si>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</si>
  <si>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</si>
  <si>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</si>
  <si>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</si>
  <si>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</si>
  <si>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</si>
  <si>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</si>
  <si>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</si>
  <si>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</si>
  <si>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</si>
  <si>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</t>
  </si>
  <si>
    <t>IN0020110055</t>
  </si>
  <si>
    <t>8.97% GOI MAT 051230</t>
  </si>
  <si>
    <t>IN0020040039</t>
  </si>
  <si>
    <t>7.5% GOI MAT 100834</t>
  </si>
  <si>
    <t>IN0020220029</t>
  </si>
  <si>
    <t>7.54% GOI MAT 230536^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</si>
  <si>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</si>
  <si>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</si>
  <si>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</si>
  <si>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</si>
  <si>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</si>
  <si>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</si>
  <si>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NA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</si>
  <si>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</si>
  <si>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</si>
  <si>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</si>
  <si>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</si>
  <si>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</si>
  <si>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</si>
  <si>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</si>
  <si>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</si>
  <si>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</si>
  <si>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</si>
  <si>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</si>
  <si>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</si>
  <si>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</si>
  <si>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</si>
  <si>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</si>
  <si>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</si>
  <si>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</si>
  <si>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</si>
  <si>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</si>
  <si>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</si>
  <si>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</si>
  <si>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</si>
  <si>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</si>
  <si>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</si>
  <si>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</si>
  <si>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</si>
  <si>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</si>
  <si>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</si>
  <si>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Below Investment Grade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</si>
  <si>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</si>
  <si>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</si>
  <si>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</si>
  <si>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</si>
  <si>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</si>
  <si>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</si>
  <si>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</si>
  <si>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</si>
  <si>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</si>
  <si>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</si>
  <si>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</si>
  <si>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</si>
  <si>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Rs.(1921.52)Lacs</t>
  </si>
  <si>
    <t>6) Annualised Portfolio YTM : 7.19%</t>
  </si>
  <si>
    <t>7) Macaulay Duration : 1772.77 Days</t>
  </si>
  <si>
    <t>8) Residual Maturity (Average Portfolio Maturity-other than equity investments) : 2849.3 Days</t>
  </si>
  <si>
    <t>9) IDCW stands for Income Distribution cum Capital Withdrawal</t>
  </si>
  <si>
    <t>10) Riskometer based on Scheme Portfolio and Portfolio Benchmark "NIFTY 50 Hybrid Composite Debt 15:85 Index" as on Sep 30, 2024</t>
  </si>
  <si>
    <t>Scheme Riskometer:</t>
  </si>
  <si>
    <t>Benchmark Riskometer:</t>
  </si>
  <si>
    <t>DERIVATIVE DISCLOSURE - HDFC Retirement Savings Fund - Hybrid-Debt Plan</t>
  </si>
  <si>
    <t>Disclosure regarding Derivative positions pursuant to SEBI Circular no. CIR/IMD/DF/11/2010 dated August 18, 2010.</t>
  </si>
  <si>
    <t>A.  Hedging Positions through Futures as on September 30, 2024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</si>
  <si>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</si>
  <si>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</si>
  <si>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</si>
  <si>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</si>
  <si>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</si>
  <si>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</si>
  <si>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</si>
  <si>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</si>
  <si>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Savings Fund - Hybrid-Debt Plan</t>
  </si>
  <si>
    <t>Larsen &amp; Toubro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</si>
</sst>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3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49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4" fontId="13" fillId="0" borderId="0" xfId="1" applyNumberFormat="1" applyFont="1" applyFill="1" applyBorder="1" applyAlignment="1"/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7" fillId="0" borderId="1" xfId="1" applyFont="1" applyFill="1" applyBorder="1" applyAlignment="1">
      <alignment vertical="top"/>
    </xf>
    <xf numFmtId="165" fontId="17" fillId="0" borderId="1" xfId="3" applyNumberFormat="1" applyFont="1" applyFill="1" applyBorder="1" applyAlignment="1">
      <alignment horizontal="right" vertical="center"/>
    </xf>
    <xf numFmtId="165" fontId="17" fillId="0" borderId="1" xfId="2" applyFont="1" applyFill="1" applyBorder="1" applyAlignment="1">
      <alignment horizontal="right" vertical="top"/>
    </xf>
    <xf numFmtId="165" fontId="13" fillId="0" borderId="1" xfId="2" applyFont="1" applyFill="1" applyBorder="1" applyAlignment="1"/>
    <xf numFmtId="15" fontId="13" fillId="0" borderId="0" xfId="2" quotePrefix="1" applyNumberFormat="1" applyFont="1" applyFill="1" applyBorder="1" applyAlignment="1"/>
    <xf numFmtId="0" fontId="13" fillId="0" borderId="3" xfId="1" applyFont="1" applyFill="1" applyBorder="1" applyAlignment="1"/>
    <xf numFmtId="0" fontId="13" fillId="0" borderId="4" xfId="1" applyFont="1" applyFill="1" applyBorder="1" applyAlignment="1"/>
  </cellXfs>
  <cellStyles count="4">
    <cellStyle name="Comma 2" xfId="2"/>
    <cellStyle name="Comma 2 3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2633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2097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44"/>
  <sheetViews>
    <sheetView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1" width="15.7265625" style="4" customWidth="1"/>
    <col min="12" max="12" width="10.4531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32977</v>
      </c>
      <c r="G9" s="15">
        <v>1407.62</v>
      </c>
      <c r="H9" s="15">
        <v>8.6199999999999992</v>
      </c>
      <c r="I9" s="16" t="s">
        <v>20</v>
      </c>
      <c r="J9" s="16" t="s">
        <v>20</v>
      </c>
      <c r="K9" s="17">
        <v>8.1</v>
      </c>
      <c r="L9" s="18">
        <v>0.56999999999999995</v>
      </c>
    </row>
    <row r="10" spans="1:12" x14ac:dyDescent="0.3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19700</v>
      </c>
      <c r="G10" s="15">
        <v>724.08</v>
      </c>
      <c r="H10" s="15">
        <v>4.4400000000000004</v>
      </c>
      <c r="I10" s="16" t="s">
        <v>20</v>
      </c>
      <c r="J10" s="16" t="s">
        <v>20</v>
      </c>
      <c r="K10" s="17">
        <v>3.68</v>
      </c>
      <c r="L10" s="18">
        <v>0.79</v>
      </c>
    </row>
    <row r="11" spans="1:12" x14ac:dyDescent="0.35">
      <c r="A11" s="12" t="s">
        <v>20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30000</v>
      </c>
      <c r="G11" s="15">
        <v>381.9</v>
      </c>
      <c r="H11" s="15">
        <v>2.34</v>
      </c>
      <c r="I11" s="16" t="s">
        <v>20</v>
      </c>
      <c r="J11" s="16" t="s">
        <v>20</v>
      </c>
      <c r="K11" s="17">
        <v>0</v>
      </c>
      <c r="L11" s="18">
        <v>2.34</v>
      </c>
    </row>
    <row r="12" spans="1:12" x14ac:dyDescent="0.3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28</v>
      </c>
      <c r="F12" s="14">
        <v>21900</v>
      </c>
      <c r="G12" s="15">
        <v>379.32</v>
      </c>
      <c r="H12" s="15">
        <v>2.3199999999999998</v>
      </c>
      <c r="I12" s="16" t="s">
        <v>20</v>
      </c>
      <c r="J12" s="16" t="s">
        <v>20</v>
      </c>
      <c r="K12" s="17">
        <v>0</v>
      </c>
      <c r="L12" s="18">
        <v>2.3199999999999998</v>
      </c>
    </row>
    <row r="13" spans="1:12" x14ac:dyDescent="0.35">
      <c r="A13" s="12" t="s">
        <v>20</v>
      </c>
      <c r="B13" s="13" t="s">
        <v>31</v>
      </c>
      <c r="C13" s="13" t="s">
        <v>20</v>
      </c>
      <c r="D13" s="13" t="s">
        <v>32</v>
      </c>
      <c r="E13" s="13" t="s">
        <v>22</v>
      </c>
      <c r="F13" s="14">
        <v>10000</v>
      </c>
      <c r="G13" s="15">
        <v>187.56</v>
      </c>
      <c r="H13" s="15">
        <v>1.1499999999999999</v>
      </c>
      <c r="I13" s="16" t="s">
        <v>20</v>
      </c>
      <c r="J13" s="16" t="s">
        <v>20</v>
      </c>
      <c r="K13" s="17">
        <v>0</v>
      </c>
      <c r="L13" s="18">
        <v>1.1499999999999999</v>
      </c>
    </row>
    <row r="14" spans="1:12" x14ac:dyDescent="0.35">
      <c r="A14" s="12" t="s">
        <v>20</v>
      </c>
      <c r="B14" s="13" t="s">
        <v>33</v>
      </c>
      <c r="C14" s="13" t="s">
        <v>20</v>
      </c>
      <c r="D14" s="13" t="s">
        <v>34</v>
      </c>
      <c r="E14" s="13" t="s">
        <v>35</v>
      </c>
      <c r="F14" s="14">
        <v>6000</v>
      </c>
      <c r="G14" s="15">
        <v>177.19</v>
      </c>
      <c r="H14" s="15">
        <v>1.0900000000000001</v>
      </c>
      <c r="I14" s="16" t="s">
        <v>20</v>
      </c>
      <c r="J14" s="16" t="s">
        <v>20</v>
      </c>
      <c r="K14" s="17">
        <v>0</v>
      </c>
      <c r="L14" s="18">
        <v>1.0900000000000001</v>
      </c>
    </row>
    <row r="15" spans="1:12" x14ac:dyDescent="0.35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38</v>
      </c>
      <c r="F15" s="14">
        <v>10000</v>
      </c>
      <c r="G15" s="15">
        <v>170.96</v>
      </c>
      <c r="H15" s="15">
        <v>1.05</v>
      </c>
      <c r="I15" s="16" t="s">
        <v>20</v>
      </c>
      <c r="J15" s="16" t="s">
        <v>20</v>
      </c>
      <c r="K15" s="17">
        <v>0</v>
      </c>
      <c r="L15" s="18">
        <v>1.05</v>
      </c>
    </row>
    <row r="16" spans="1:12" x14ac:dyDescent="0.35">
      <c r="A16" s="12" t="s">
        <v>20</v>
      </c>
      <c r="B16" s="13" t="s">
        <v>39</v>
      </c>
      <c r="C16" s="13" t="s">
        <v>20</v>
      </c>
      <c r="D16" s="13" t="s">
        <v>40</v>
      </c>
      <c r="E16" s="13" t="s">
        <v>28</v>
      </c>
      <c r="F16" s="14">
        <v>13000</v>
      </c>
      <c r="G16" s="15">
        <v>160.19</v>
      </c>
      <c r="H16" s="15">
        <v>0.98</v>
      </c>
      <c r="I16" s="16" t="s">
        <v>20</v>
      </c>
      <c r="J16" s="16" t="s">
        <v>20</v>
      </c>
      <c r="K16" s="17">
        <v>0</v>
      </c>
      <c r="L16" s="18">
        <v>0.98</v>
      </c>
    </row>
    <row r="17" spans="1:12" x14ac:dyDescent="0.35">
      <c r="A17" s="12" t="s">
        <v>20</v>
      </c>
      <c r="B17" s="13" t="s">
        <v>41</v>
      </c>
      <c r="C17" s="13" t="s">
        <v>20</v>
      </c>
      <c r="D17" s="13" t="s">
        <v>42</v>
      </c>
      <c r="E17" s="13" t="s">
        <v>43</v>
      </c>
      <c r="F17" s="14">
        <v>30000</v>
      </c>
      <c r="G17" s="15">
        <v>155.44999999999999</v>
      </c>
      <c r="H17" s="15">
        <v>0.95</v>
      </c>
      <c r="I17" s="16" t="s">
        <v>20</v>
      </c>
      <c r="J17" s="16" t="s">
        <v>20</v>
      </c>
      <c r="K17" s="17">
        <v>0</v>
      </c>
      <c r="L17" s="18">
        <v>0.95</v>
      </c>
    </row>
    <row r="18" spans="1:12" x14ac:dyDescent="0.35">
      <c r="A18" s="12" t="s">
        <v>20</v>
      </c>
      <c r="B18" s="13" t="s">
        <v>44</v>
      </c>
      <c r="C18" s="13" t="s">
        <v>20</v>
      </c>
      <c r="D18" s="13" t="s">
        <v>45</v>
      </c>
      <c r="E18" s="13" t="s">
        <v>28</v>
      </c>
      <c r="F18" s="14">
        <v>19500</v>
      </c>
      <c r="G18" s="15">
        <v>153.63999999999999</v>
      </c>
      <c r="H18" s="15">
        <v>0.94</v>
      </c>
      <c r="I18" s="16" t="s">
        <v>20</v>
      </c>
      <c r="J18" s="16" t="s">
        <v>20</v>
      </c>
      <c r="K18" s="17">
        <v>0</v>
      </c>
      <c r="L18" s="18">
        <v>0.94</v>
      </c>
    </row>
    <row r="19" spans="1:12" x14ac:dyDescent="0.3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6000</v>
      </c>
      <c r="G19" s="15">
        <v>130.46</v>
      </c>
      <c r="H19" s="15">
        <v>0.8</v>
      </c>
      <c r="I19" s="16" t="s">
        <v>20</v>
      </c>
      <c r="J19" s="16" t="s">
        <v>20</v>
      </c>
      <c r="K19" s="17">
        <v>0</v>
      </c>
      <c r="L19" s="18">
        <v>0.8</v>
      </c>
    </row>
    <row r="20" spans="1:12" x14ac:dyDescent="0.3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858</v>
      </c>
      <c r="G20" s="15">
        <v>113.08</v>
      </c>
      <c r="H20" s="15">
        <v>0.69</v>
      </c>
      <c r="I20" s="16" t="s">
        <v>20</v>
      </c>
      <c r="J20" s="16" t="s">
        <v>20</v>
      </c>
      <c r="K20" s="17">
        <v>0</v>
      </c>
      <c r="L20" s="18">
        <v>0.69</v>
      </c>
    </row>
    <row r="21" spans="1:12" x14ac:dyDescent="0.3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54</v>
      </c>
      <c r="F21" s="14">
        <v>10000</v>
      </c>
      <c r="G21" s="15">
        <v>107.06</v>
      </c>
      <c r="H21" s="15">
        <v>0.66</v>
      </c>
      <c r="I21" s="16" t="s">
        <v>20</v>
      </c>
      <c r="J21" s="16" t="s">
        <v>20</v>
      </c>
      <c r="K21" s="17">
        <v>0</v>
      </c>
      <c r="L21" s="18">
        <v>0.66</v>
      </c>
    </row>
    <row r="22" spans="1:12" x14ac:dyDescent="0.35">
      <c r="A22" s="12" t="s">
        <v>20</v>
      </c>
      <c r="B22" s="13" t="s">
        <v>55</v>
      </c>
      <c r="C22" s="13" t="s">
        <v>20</v>
      </c>
      <c r="D22" s="13" t="s">
        <v>56</v>
      </c>
      <c r="E22" s="13" t="s">
        <v>57</v>
      </c>
      <c r="F22" s="14">
        <v>800</v>
      </c>
      <c r="G22" s="15">
        <v>105.9</v>
      </c>
      <c r="H22" s="15">
        <v>0.65</v>
      </c>
      <c r="I22" s="16" t="s">
        <v>20</v>
      </c>
      <c r="J22" s="16" t="s">
        <v>20</v>
      </c>
      <c r="K22" s="17">
        <v>0</v>
      </c>
      <c r="L22" s="18">
        <v>0.65</v>
      </c>
    </row>
    <row r="23" spans="1:12" x14ac:dyDescent="0.35">
      <c r="A23" s="12" t="s">
        <v>20</v>
      </c>
      <c r="B23" s="13" t="s">
        <v>58</v>
      </c>
      <c r="C23" s="13" t="s">
        <v>20</v>
      </c>
      <c r="D23" s="13" t="s">
        <v>59</v>
      </c>
      <c r="E23" s="13" t="s">
        <v>60</v>
      </c>
      <c r="F23" s="14">
        <v>1500</v>
      </c>
      <c r="G23" s="15">
        <v>101.27</v>
      </c>
      <c r="H23" s="15">
        <v>0.62</v>
      </c>
      <c r="I23" s="16" t="s">
        <v>20</v>
      </c>
      <c r="J23" s="16" t="s">
        <v>20</v>
      </c>
      <c r="K23" s="17">
        <v>0</v>
      </c>
      <c r="L23" s="18">
        <v>0.62</v>
      </c>
    </row>
    <row r="24" spans="1:12" x14ac:dyDescent="0.35">
      <c r="A24" s="12" t="s">
        <v>20</v>
      </c>
      <c r="B24" s="13" t="s">
        <v>61</v>
      </c>
      <c r="C24" s="13" t="s">
        <v>20</v>
      </c>
      <c r="D24" s="13" t="s">
        <v>62</v>
      </c>
      <c r="E24" s="13" t="s">
        <v>48</v>
      </c>
      <c r="F24" s="14">
        <v>5000</v>
      </c>
      <c r="G24" s="15">
        <v>92.2</v>
      </c>
      <c r="H24" s="15">
        <v>0.56000000000000005</v>
      </c>
      <c r="I24" s="16" t="s">
        <v>20</v>
      </c>
      <c r="J24" s="16" t="s">
        <v>20</v>
      </c>
      <c r="K24" s="17">
        <v>0</v>
      </c>
      <c r="L24" s="18">
        <v>0.56000000000000005</v>
      </c>
    </row>
    <row r="25" spans="1:12" x14ac:dyDescent="0.35">
      <c r="A25" s="12" t="s">
        <v>20</v>
      </c>
      <c r="B25" s="13" t="s">
        <v>63</v>
      </c>
      <c r="C25" s="13" t="s">
        <v>20</v>
      </c>
      <c r="D25" s="13" t="s">
        <v>64</v>
      </c>
      <c r="E25" s="13" t="s">
        <v>65</v>
      </c>
      <c r="F25" s="14">
        <v>20000</v>
      </c>
      <c r="G25" s="15">
        <v>85.01</v>
      </c>
      <c r="H25" s="15">
        <v>0.52</v>
      </c>
      <c r="I25" s="16" t="s">
        <v>20</v>
      </c>
      <c r="J25" s="16" t="s">
        <v>20</v>
      </c>
      <c r="K25" s="17">
        <v>0</v>
      </c>
      <c r="L25" s="18">
        <v>0.52</v>
      </c>
    </row>
    <row r="26" spans="1:12" x14ac:dyDescent="0.35">
      <c r="A26" s="12" t="s">
        <v>20</v>
      </c>
      <c r="B26" s="13" t="s">
        <v>66</v>
      </c>
      <c r="C26" s="13" t="s">
        <v>20</v>
      </c>
      <c r="D26" s="13" t="s">
        <v>67</v>
      </c>
      <c r="E26" s="13" t="s">
        <v>68</v>
      </c>
      <c r="F26" s="14">
        <v>1500</v>
      </c>
      <c r="G26" s="15">
        <v>82.85</v>
      </c>
      <c r="H26" s="15">
        <v>0.51</v>
      </c>
      <c r="I26" s="16" t="s">
        <v>20</v>
      </c>
      <c r="J26" s="16" t="s">
        <v>20</v>
      </c>
      <c r="K26" s="17">
        <v>0</v>
      </c>
      <c r="L26" s="18">
        <v>0.51</v>
      </c>
    </row>
    <row r="27" spans="1:12" x14ac:dyDescent="0.35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5000</v>
      </c>
      <c r="G27" s="15">
        <v>79.5</v>
      </c>
      <c r="H27" s="15">
        <v>0.49</v>
      </c>
      <c r="I27" s="16" t="s">
        <v>20</v>
      </c>
      <c r="J27" s="16" t="s">
        <v>20</v>
      </c>
      <c r="K27" s="17">
        <v>0</v>
      </c>
      <c r="L27" s="18">
        <v>0.49</v>
      </c>
    </row>
    <row r="28" spans="1:12" x14ac:dyDescent="0.35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74</v>
      </c>
      <c r="F28" s="14">
        <v>4921</v>
      </c>
      <c r="G28" s="15">
        <v>77.27</v>
      </c>
      <c r="H28" s="15">
        <v>0.47</v>
      </c>
      <c r="I28" s="16" t="s">
        <v>20</v>
      </c>
      <c r="J28" s="16" t="s">
        <v>20</v>
      </c>
      <c r="K28" s="17">
        <v>0</v>
      </c>
      <c r="L28" s="18">
        <v>0.47</v>
      </c>
    </row>
    <row r="29" spans="1:12" x14ac:dyDescent="0.35">
      <c r="A29" s="12" t="s">
        <v>20</v>
      </c>
      <c r="B29" s="13" t="s">
        <v>75</v>
      </c>
      <c r="C29" s="13" t="s">
        <v>20</v>
      </c>
      <c r="D29" s="13" t="s">
        <v>76</v>
      </c>
      <c r="E29" s="13" t="s">
        <v>77</v>
      </c>
      <c r="F29" s="14">
        <v>1100</v>
      </c>
      <c r="G29" s="15">
        <v>70.53</v>
      </c>
      <c r="H29" s="15">
        <v>0.43</v>
      </c>
      <c r="I29" s="16" t="s">
        <v>20</v>
      </c>
      <c r="J29" s="16" t="s">
        <v>20</v>
      </c>
      <c r="K29" s="17">
        <v>0</v>
      </c>
      <c r="L29" s="18">
        <v>0.43</v>
      </c>
    </row>
    <row r="30" spans="1:12" x14ac:dyDescent="0.35">
      <c r="A30" s="12" t="s">
        <v>20</v>
      </c>
      <c r="B30" s="13" t="s">
        <v>78</v>
      </c>
      <c r="C30" s="13" t="s">
        <v>20</v>
      </c>
      <c r="D30" s="13" t="s">
        <v>79</v>
      </c>
      <c r="E30" s="13" t="s">
        <v>68</v>
      </c>
      <c r="F30" s="14">
        <v>5000</v>
      </c>
      <c r="G30" s="15">
        <v>70.63</v>
      </c>
      <c r="H30" s="15">
        <v>0.43</v>
      </c>
      <c r="I30" s="16" t="s">
        <v>20</v>
      </c>
      <c r="J30" s="16" t="s">
        <v>20</v>
      </c>
      <c r="K30" s="17">
        <v>0</v>
      </c>
      <c r="L30" s="18">
        <v>0.43</v>
      </c>
    </row>
    <row r="31" spans="1:12" x14ac:dyDescent="0.35">
      <c r="A31" s="12" t="s">
        <v>20</v>
      </c>
      <c r="B31" s="13" t="s">
        <v>80</v>
      </c>
      <c r="C31" s="13" t="s">
        <v>20</v>
      </c>
      <c r="D31" s="13" t="s">
        <v>81</v>
      </c>
      <c r="E31" s="13" t="s">
        <v>25</v>
      </c>
      <c r="F31" s="14">
        <v>5015</v>
      </c>
      <c r="G31" s="15">
        <v>68.569999999999993</v>
      </c>
      <c r="H31" s="15">
        <v>0.42</v>
      </c>
      <c r="I31" s="16" t="s">
        <v>20</v>
      </c>
      <c r="J31" s="16" t="s">
        <v>20</v>
      </c>
      <c r="K31" s="17">
        <v>0</v>
      </c>
      <c r="L31" s="18">
        <v>0.42</v>
      </c>
    </row>
    <row r="32" spans="1:12" x14ac:dyDescent="0.35">
      <c r="A32" s="12" t="s">
        <v>20</v>
      </c>
      <c r="B32" s="13" t="s">
        <v>82</v>
      </c>
      <c r="C32" s="13" t="s">
        <v>20</v>
      </c>
      <c r="D32" s="13" t="s">
        <v>83</v>
      </c>
      <c r="E32" s="13" t="s">
        <v>60</v>
      </c>
      <c r="F32" s="14">
        <v>2000</v>
      </c>
      <c r="G32" s="15">
        <v>67.930000000000007</v>
      </c>
      <c r="H32" s="15">
        <v>0.42</v>
      </c>
      <c r="I32" s="16" t="s">
        <v>20</v>
      </c>
      <c r="J32" s="16" t="s">
        <v>20</v>
      </c>
      <c r="K32" s="17">
        <v>0</v>
      </c>
      <c r="L32" s="18">
        <v>0.42</v>
      </c>
    </row>
    <row r="33" spans="1:12" x14ac:dyDescent="0.35">
      <c r="A33" s="12" t="s">
        <v>20</v>
      </c>
      <c r="B33" s="13" t="s">
        <v>84</v>
      </c>
      <c r="C33" s="13" t="s">
        <v>20</v>
      </c>
      <c r="D33" s="13" t="s">
        <v>85</v>
      </c>
      <c r="E33" s="13" t="s">
        <v>86</v>
      </c>
      <c r="F33" s="14">
        <v>1500</v>
      </c>
      <c r="G33" s="15">
        <v>66.31</v>
      </c>
      <c r="H33" s="15">
        <v>0.41</v>
      </c>
      <c r="I33" s="16" t="s">
        <v>20</v>
      </c>
      <c r="J33" s="16" t="s">
        <v>20</v>
      </c>
      <c r="K33" s="17">
        <v>0</v>
      </c>
      <c r="L33" s="18">
        <v>0.41</v>
      </c>
    </row>
    <row r="34" spans="1:12" x14ac:dyDescent="0.35">
      <c r="A34" s="12" t="s">
        <v>20</v>
      </c>
      <c r="B34" s="13" t="s">
        <v>87</v>
      </c>
      <c r="C34" s="13" t="s">
        <v>20</v>
      </c>
      <c r="D34" s="13" t="s">
        <v>88</v>
      </c>
      <c r="E34" s="13" t="s">
        <v>89</v>
      </c>
      <c r="F34" s="14">
        <v>10000</v>
      </c>
      <c r="G34" s="15">
        <v>64.89</v>
      </c>
      <c r="H34" s="15">
        <v>0.4</v>
      </c>
      <c r="I34" s="16" t="s">
        <v>20</v>
      </c>
      <c r="J34" s="16" t="s">
        <v>20</v>
      </c>
      <c r="K34" s="17">
        <v>0</v>
      </c>
      <c r="L34" s="18">
        <v>0.4</v>
      </c>
    </row>
    <row r="35" spans="1:12" x14ac:dyDescent="0.3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92</v>
      </c>
      <c r="F35" s="14">
        <v>30000</v>
      </c>
      <c r="G35" s="15">
        <v>66.02</v>
      </c>
      <c r="H35" s="15">
        <v>0.4</v>
      </c>
      <c r="I35" s="16" t="s">
        <v>20</v>
      </c>
      <c r="J35" s="16" t="s">
        <v>20</v>
      </c>
      <c r="K35" s="17">
        <v>0</v>
      </c>
      <c r="L35" s="18">
        <v>0.4</v>
      </c>
    </row>
    <row r="36" spans="1:12" x14ac:dyDescent="0.35">
      <c r="A36" s="12" t="s">
        <v>20</v>
      </c>
      <c r="B36" s="13" t="s">
        <v>93</v>
      </c>
      <c r="C36" s="13" t="s">
        <v>20</v>
      </c>
      <c r="D36" s="13" t="s">
        <v>94</v>
      </c>
      <c r="E36" s="13" t="s">
        <v>35</v>
      </c>
      <c r="F36" s="14">
        <v>15000</v>
      </c>
      <c r="G36" s="15">
        <v>66.08</v>
      </c>
      <c r="H36" s="15">
        <v>0.4</v>
      </c>
      <c r="I36" s="16" t="s">
        <v>20</v>
      </c>
      <c r="J36" s="16" t="s">
        <v>20</v>
      </c>
      <c r="K36" s="17">
        <v>0</v>
      </c>
      <c r="L36" s="18">
        <v>0.4</v>
      </c>
    </row>
    <row r="37" spans="1:12" x14ac:dyDescent="0.35">
      <c r="A37" s="12" t="s">
        <v>20</v>
      </c>
      <c r="B37" s="13" t="s">
        <v>95</v>
      </c>
      <c r="C37" s="13" t="s">
        <v>20</v>
      </c>
      <c r="D37" s="13" t="s">
        <v>96</v>
      </c>
      <c r="E37" s="13" t="s">
        <v>60</v>
      </c>
      <c r="F37" s="14">
        <v>5000</v>
      </c>
      <c r="G37" s="15">
        <v>60.28</v>
      </c>
      <c r="H37" s="15">
        <v>0.37</v>
      </c>
      <c r="I37" s="16" t="s">
        <v>20</v>
      </c>
      <c r="J37" s="16" t="s">
        <v>20</v>
      </c>
      <c r="K37" s="17">
        <v>0</v>
      </c>
      <c r="L37" s="18">
        <v>0.37</v>
      </c>
    </row>
    <row r="38" spans="1:12" x14ac:dyDescent="0.35">
      <c r="A38" s="12" t="s">
        <v>20</v>
      </c>
      <c r="B38" s="13" t="s">
        <v>97</v>
      </c>
      <c r="C38" s="13" t="s">
        <v>20</v>
      </c>
      <c r="D38" s="13" t="s">
        <v>98</v>
      </c>
      <c r="E38" s="13" t="s">
        <v>99</v>
      </c>
      <c r="F38" s="14">
        <v>16000</v>
      </c>
      <c r="G38" s="15">
        <v>56.46</v>
      </c>
      <c r="H38" s="15">
        <v>0.35</v>
      </c>
      <c r="I38" s="16" t="s">
        <v>20</v>
      </c>
      <c r="J38" s="16" t="s">
        <v>20</v>
      </c>
      <c r="K38" s="17">
        <v>0</v>
      </c>
      <c r="L38" s="18">
        <v>0.35</v>
      </c>
    </row>
    <row r="39" spans="1:12" x14ac:dyDescent="0.35">
      <c r="A39" s="12" t="s">
        <v>20</v>
      </c>
      <c r="B39" s="13" t="s">
        <v>100</v>
      </c>
      <c r="C39" s="13" t="s">
        <v>20</v>
      </c>
      <c r="D39" s="13" t="s">
        <v>101</v>
      </c>
      <c r="E39" s="13" t="s">
        <v>54</v>
      </c>
      <c r="F39" s="14">
        <v>60000</v>
      </c>
      <c r="G39" s="15">
        <v>54.8</v>
      </c>
      <c r="H39" s="15">
        <v>0.34</v>
      </c>
      <c r="I39" s="16" t="s">
        <v>20</v>
      </c>
      <c r="J39" s="16" t="s">
        <v>20</v>
      </c>
      <c r="K39" s="17">
        <v>0</v>
      </c>
      <c r="L39" s="18">
        <v>0.34</v>
      </c>
    </row>
    <row r="40" spans="1:12" x14ac:dyDescent="0.35">
      <c r="A40" s="12" t="s">
        <v>20</v>
      </c>
      <c r="B40" s="13" t="s">
        <v>102</v>
      </c>
      <c r="C40" s="13" t="s">
        <v>20</v>
      </c>
      <c r="D40" s="13" t="s">
        <v>103</v>
      </c>
      <c r="E40" s="13" t="s">
        <v>28</v>
      </c>
      <c r="F40" s="14">
        <v>30000</v>
      </c>
      <c r="G40" s="15">
        <v>49.18</v>
      </c>
      <c r="H40" s="15">
        <v>0.3</v>
      </c>
      <c r="I40" s="16" t="s">
        <v>20</v>
      </c>
      <c r="J40" s="16" t="s">
        <v>20</v>
      </c>
      <c r="K40" s="17">
        <v>0</v>
      </c>
      <c r="L40" s="18">
        <v>0.3</v>
      </c>
    </row>
    <row r="41" spans="1:12" x14ac:dyDescent="0.35">
      <c r="A41" s="12" t="s">
        <v>20</v>
      </c>
      <c r="B41" s="13" t="s">
        <v>104</v>
      </c>
      <c r="C41" s="13" t="s">
        <v>20</v>
      </c>
      <c r="D41" s="13" t="s">
        <v>105</v>
      </c>
      <c r="E41" s="13" t="s">
        <v>106</v>
      </c>
      <c r="F41" s="14">
        <v>4000</v>
      </c>
      <c r="G41" s="15">
        <v>46.31</v>
      </c>
      <c r="H41" s="15">
        <v>0.28000000000000003</v>
      </c>
      <c r="I41" s="16" t="s">
        <v>20</v>
      </c>
      <c r="J41" s="16" t="s">
        <v>20</v>
      </c>
      <c r="K41" s="17">
        <v>0</v>
      </c>
      <c r="L41" s="18">
        <v>0.28000000000000003</v>
      </c>
    </row>
    <row r="42" spans="1:12" x14ac:dyDescent="0.35">
      <c r="A42" s="12" t="s">
        <v>20</v>
      </c>
      <c r="B42" s="13" t="s">
        <v>107</v>
      </c>
      <c r="C42" s="13" t="s">
        <v>20</v>
      </c>
      <c r="D42" s="13" t="s">
        <v>108</v>
      </c>
      <c r="E42" s="13" t="s">
        <v>109</v>
      </c>
      <c r="F42" s="14">
        <v>2000</v>
      </c>
      <c r="G42" s="15">
        <v>46.47</v>
      </c>
      <c r="H42" s="15">
        <v>0.28000000000000003</v>
      </c>
      <c r="I42" s="16" t="s">
        <v>20</v>
      </c>
      <c r="J42" s="16" t="s">
        <v>20</v>
      </c>
      <c r="K42" s="17">
        <v>0</v>
      </c>
      <c r="L42" s="18">
        <v>0.28000000000000003</v>
      </c>
    </row>
    <row r="43" spans="1:12" x14ac:dyDescent="0.35">
      <c r="A43" s="12" t="s">
        <v>20</v>
      </c>
      <c r="B43" s="13" t="s">
        <v>110</v>
      </c>
      <c r="C43" s="13" t="s">
        <v>20</v>
      </c>
      <c r="D43" s="13" t="s">
        <v>111</v>
      </c>
      <c r="E43" s="13" t="s">
        <v>112</v>
      </c>
      <c r="F43" s="14">
        <v>4000</v>
      </c>
      <c r="G43" s="15">
        <v>40.9</v>
      </c>
      <c r="H43" s="15">
        <v>0.25</v>
      </c>
      <c r="I43" s="16" t="s">
        <v>20</v>
      </c>
      <c r="J43" s="16" t="s">
        <v>20</v>
      </c>
      <c r="K43" s="17">
        <v>0</v>
      </c>
      <c r="L43" s="18">
        <v>0.25</v>
      </c>
    </row>
    <row r="44" spans="1:12" x14ac:dyDescent="0.35">
      <c r="A44" s="12" t="s">
        <v>20</v>
      </c>
      <c r="B44" s="13" t="s">
        <v>113</v>
      </c>
      <c r="C44" s="13" t="s">
        <v>20</v>
      </c>
      <c r="D44" s="13" t="s">
        <v>114</v>
      </c>
      <c r="E44" s="13" t="s">
        <v>106</v>
      </c>
      <c r="F44" s="14">
        <v>1500</v>
      </c>
      <c r="G44" s="15">
        <v>38.85</v>
      </c>
      <c r="H44" s="15">
        <v>0.24</v>
      </c>
      <c r="I44" s="16" t="s">
        <v>20</v>
      </c>
      <c r="J44" s="16" t="s">
        <v>20</v>
      </c>
      <c r="K44" s="17">
        <v>0</v>
      </c>
      <c r="L44" s="18">
        <v>0.24</v>
      </c>
    </row>
    <row r="45" spans="1:12" x14ac:dyDescent="0.35">
      <c r="A45" s="12" t="s">
        <v>20</v>
      </c>
      <c r="B45" s="13" t="s">
        <v>115</v>
      </c>
      <c r="C45" s="13" t="s">
        <v>20</v>
      </c>
      <c r="D45" s="13" t="s">
        <v>116</v>
      </c>
      <c r="E45" s="13" t="s">
        <v>77</v>
      </c>
      <c r="F45" s="14">
        <v>4200</v>
      </c>
      <c r="G45" s="15">
        <v>36.96</v>
      </c>
      <c r="H45" s="15">
        <v>0.23</v>
      </c>
      <c r="I45" s="16" t="s">
        <v>20</v>
      </c>
      <c r="J45" s="16" t="s">
        <v>20</v>
      </c>
      <c r="K45" s="17">
        <v>0</v>
      </c>
      <c r="L45" s="18">
        <v>0.23</v>
      </c>
    </row>
    <row r="46" spans="1:12" x14ac:dyDescent="0.35">
      <c r="A46" s="12" t="s">
        <v>20</v>
      </c>
      <c r="B46" s="13" t="s">
        <v>117</v>
      </c>
      <c r="C46" s="13" t="s">
        <v>20</v>
      </c>
      <c r="D46" s="13" t="s">
        <v>118</v>
      </c>
      <c r="E46" s="13" t="s">
        <v>119</v>
      </c>
      <c r="F46" s="14">
        <v>20000</v>
      </c>
      <c r="G46" s="15">
        <v>36.93</v>
      </c>
      <c r="H46" s="15">
        <v>0.23</v>
      </c>
      <c r="I46" s="16" t="s">
        <v>20</v>
      </c>
      <c r="J46" s="16" t="s">
        <v>20</v>
      </c>
      <c r="K46" s="17">
        <v>0</v>
      </c>
      <c r="L46" s="18">
        <v>0.23</v>
      </c>
    </row>
    <row r="47" spans="1:12" x14ac:dyDescent="0.35">
      <c r="A47" s="12" t="s">
        <v>20</v>
      </c>
      <c r="B47" s="13" t="s">
        <v>120</v>
      </c>
      <c r="C47" s="13" t="s">
        <v>20</v>
      </c>
      <c r="D47" s="13" t="s">
        <v>121</v>
      </c>
      <c r="E47" s="13" t="s">
        <v>60</v>
      </c>
      <c r="F47" s="14">
        <v>492</v>
      </c>
      <c r="G47" s="15">
        <v>34.68</v>
      </c>
      <c r="H47" s="15">
        <v>0.21</v>
      </c>
      <c r="I47" s="16" t="s">
        <v>20</v>
      </c>
      <c r="J47" s="16" t="s">
        <v>20</v>
      </c>
      <c r="K47" s="17">
        <v>0</v>
      </c>
      <c r="L47" s="18">
        <v>0.21</v>
      </c>
    </row>
    <row r="48" spans="1:12" x14ac:dyDescent="0.35">
      <c r="A48" s="12" t="s">
        <v>20</v>
      </c>
      <c r="B48" s="13" t="s">
        <v>122</v>
      </c>
      <c r="C48" s="13" t="s">
        <v>20</v>
      </c>
      <c r="D48" s="13" t="s">
        <v>123</v>
      </c>
      <c r="E48" s="13" t="s">
        <v>124</v>
      </c>
      <c r="F48" s="14">
        <v>2000</v>
      </c>
      <c r="G48" s="15">
        <v>33.270000000000003</v>
      </c>
      <c r="H48" s="15">
        <v>0.2</v>
      </c>
      <c r="I48" s="16" t="s">
        <v>20</v>
      </c>
      <c r="J48" s="16" t="s">
        <v>20</v>
      </c>
      <c r="K48" s="17">
        <v>0</v>
      </c>
      <c r="L48" s="18">
        <v>0.2</v>
      </c>
    </row>
    <row r="49" spans="1:12" x14ac:dyDescent="0.35">
      <c r="A49" s="12" t="s">
        <v>20</v>
      </c>
      <c r="B49" s="13" t="s">
        <v>125</v>
      </c>
      <c r="C49" s="13" t="s">
        <v>20</v>
      </c>
      <c r="D49" s="13" t="s">
        <v>126</v>
      </c>
      <c r="E49" s="13" t="s">
        <v>60</v>
      </c>
      <c r="F49" s="14">
        <v>492</v>
      </c>
      <c r="G49" s="15">
        <v>24.82</v>
      </c>
      <c r="H49" s="15">
        <v>0.15</v>
      </c>
      <c r="I49" s="16" t="s">
        <v>20</v>
      </c>
      <c r="J49" s="16" t="s">
        <v>20</v>
      </c>
      <c r="K49" s="17">
        <v>0</v>
      </c>
      <c r="L49" s="18">
        <v>0.15</v>
      </c>
    </row>
    <row r="50" spans="1:12" x14ac:dyDescent="0.35">
      <c r="A50" s="12" t="s">
        <v>20</v>
      </c>
      <c r="B50" s="13" t="s">
        <v>127</v>
      </c>
      <c r="C50" s="13" t="s">
        <v>20</v>
      </c>
      <c r="D50" s="13" t="s">
        <v>128</v>
      </c>
      <c r="E50" s="13" t="s">
        <v>57</v>
      </c>
      <c r="F50" s="14">
        <v>10050</v>
      </c>
      <c r="G50" s="15">
        <v>21.8</v>
      </c>
      <c r="H50" s="15">
        <v>0.13</v>
      </c>
      <c r="I50" s="16" t="s">
        <v>20</v>
      </c>
      <c r="J50" s="16" t="s">
        <v>20</v>
      </c>
      <c r="K50" s="17">
        <v>0</v>
      </c>
      <c r="L50" s="18">
        <v>0.13</v>
      </c>
    </row>
    <row r="51" spans="1:12" x14ac:dyDescent="0.35">
      <c r="A51" s="12" t="s">
        <v>20</v>
      </c>
      <c r="B51" s="13" t="s">
        <v>129</v>
      </c>
      <c r="C51" s="13" t="s">
        <v>20</v>
      </c>
      <c r="D51" s="13" t="s">
        <v>130</v>
      </c>
      <c r="E51" s="13" t="s">
        <v>131</v>
      </c>
      <c r="F51" s="14">
        <v>13000</v>
      </c>
      <c r="G51" s="15">
        <v>12.7</v>
      </c>
      <c r="H51" s="15">
        <v>0.08</v>
      </c>
      <c r="I51" s="16" t="s">
        <v>20</v>
      </c>
      <c r="J51" s="16" t="s">
        <v>20</v>
      </c>
      <c r="K51" s="17">
        <v>0</v>
      </c>
      <c r="L51" s="18">
        <v>0.08</v>
      </c>
    </row>
    <row r="52" spans="1:12" x14ac:dyDescent="0.35">
      <c r="A52" s="12" t="s">
        <v>20</v>
      </c>
      <c r="B52" s="13" t="s">
        <v>132</v>
      </c>
      <c r="C52" s="13" t="s">
        <v>20</v>
      </c>
      <c r="D52" s="13" t="s">
        <v>133</v>
      </c>
      <c r="E52" s="13" t="s">
        <v>131</v>
      </c>
      <c r="F52" s="14">
        <v>2600</v>
      </c>
      <c r="G52" s="15">
        <v>6.68</v>
      </c>
      <c r="H52" s="15">
        <v>0.04</v>
      </c>
      <c r="I52" s="16" t="s">
        <v>20</v>
      </c>
      <c r="J52" s="16" t="s">
        <v>20</v>
      </c>
      <c r="K52" s="17">
        <v>0</v>
      </c>
      <c r="L52" s="18">
        <v>0.04</v>
      </c>
    </row>
    <row r="53" spans="1:12" x14ac:dyDescent="0.35">
      <c r="A53" s="19"/>
      <c r="B53" s="11" t="s">
        <v>134</v>
      </c>
      <c r="C53" s="19"/>
      <c r="D53" s="19"/>
      <c r="E53" s="19"/>
      <c r="F53" s="19"/>
      <c r="G53" s="20">
        <v>6014.560000000004</v>
      </c>
      <c r="H53" s="20">
        <v>36.839999999999996</v>
      </c>
      <c r="I53" s="19"/>
      <c r="J53" s="19"/>
      <c r="K53" s="19"/>
      <c r="L53" s="19"/>
    </row>
    <row r="54" spans="1:12" x14ac:dyDescent="0.35">
      <c r="A54" s="10"/>
      <c r="B54" s="11" t="s">
        <v>135</v>
      </c>
      <c r="C54" s="10"/>
      <c r="D54" s="10"/>
      <c r="E54" s="10"/>
      <c r="F54" s="10"/>
      <c r="G54" s="21">
        <v>6014.560000000004</v>
      </c>
      <c r="H54" s="21">
        <v>36.839999999999996</v>
      </c>
      <c r="I54" s="10"/>
      <c r="J54" s="10"/>
      <c r="K54" s="10"/>
      <c r="L54" s="10"/>
    </row>
    <row r="55" spans="1:12" x14ac:dyDescent="0.35">
      <c r="A55" s="10"/>
      <c r="B55" s="11" t="s">
        <v>136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137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18</v>
      </c>
      <c r="B58" s="13" t="s">
        <v>138</v>
      </c>
      <c r="C58" s="13">
        <v>6.67</v>
      </c>
      <c r="D58" s="13" t="s">
        <v>139</v>
      </c>
      <c r="E58" s="13" t="s">
        <v>140</v>
      </c>
      <c r="F58" s="14">
        <v>1500000</v>
      </c>
      <c r="G58" s="15">
        <v>1464.75</v>
      </c>
      <c r="H58" s="15">
        <v>8.9700000000000006</v>
      </c>
      <c r="I58" s="16">
        <v>6.9810999999999996</v>
      </c>
      <c r="J58" s="16" t="s">
        <v>20</v>
      </c>
      <c r="K58" s="17" t="s">
        <v>20</v>
      </c>
      <c r="L58" s="18" t="s">
        <v>20</v>
      </c>
    </row>
    <row r="59" spans="1:12" x14ac:dyDescent="0.35">
      <c r="A59" s="12" t="s">
        <v>18</v>
      </c>
      <c r="B59" s="13" t="s">
        <v>141</v>
      </c>
      <c r="C59" s="13">
        <v>6.19</v>
      </c>
      <c r="D59" s="13" t="s">
        <v>142</v>
      </c>
      <c r="E59" s="13" t="s">
        <v>140</v>
      </c>
      <c r="F59" s="14">
        <v>1000000</v>
      </c>
      <c r="G59" s="15">
        <v>957.2</v>
      </c>
      <c r="H59" s="15">
        <v>5.86</v>
      </c>
      <c r="I59" s="16">
        <v>6.9028999999999998</v>
      </c>
      <c r="J59" s="16" t="s">
        <v>20</v>
      </c>
      <c r="K59" s="17" t="s">
        <v>20</v>
      </c>
      <c r="L59" s="18" t="s">
        <v>20</v>
      </c>
    </row>
    <row r="60" spans="1:12" x14ac:dyDescent="0.35">
      <c r="A60" s="12" t="s">
        <v>18</v>
      </c>
      <c r="B60" s="13" t="s">
        <v>143</v>
      </c>
      <c r="C60" s="13">
        <v>7.57</v>
      </c>
      <c r="D60" s="13" t="s">
        <v>144</v>
      </c>
      <c r="E60" s="13" t="s">
        <v>140</v>
      </c>
      <c r="F60" s="14">
        <v>750000</v>
      </c>
      <c r="G60" s="15">
        <v>788.25</v>
      </c>
      <c r="H60" s="15">
        <v>4.83</v>
      </c>
      <c r="I60" s="16">
        <v>6.8977000000000004</v>
      </c>
      <c r="J60" s="16" t="s">
        <v>20</v>
      </c>
      <c r="K60" s="17" t="s">
        <v>20</v>
      </c>
      <c r="L60" s="18" t="s">
        <v>20</v>
      </c>
    </row>
    <row r="61" spans="1:12" x14ac:dyDescent="0.35">
      <c r="A61" s="12" t="s">
        <v>18</v>
      </c>
      <c r="B61" s="13" t="s">
        <v>145</v>
      </c>
      <c r="C61" s="13">
        <v>8.9700000000000006</v>
      </c>
      <c r="D61" s="13" t="s">
        <v>146</v>
      </c>
      <c r="E61" s="13" t="s">
        <v>140</v>
      </c>
      <c r="F61" s="14">
        <v>550000</v>
      </c>
      <c r="G61" s="15">
        <v>610.33000000000004</v>
      </c>
      <c r="H61" s="15">
        <v>3.74</v>
      </c>
      <c r="I61" s="16">
        <v>6.8791000000000002</v>
      </c>
      <c r="J61" s="16" t="s">
        <v>20</v>
      </c>
      <c r="K61" s="17" t="s">
        <v>20</v>
      </c>
      <c r="L61" s="18" t="s">
        <v>20</v>
      </c>
    </row>
    <row r="62" spans="1:12" x14ac:dyDescent="0.35">
      <c r="A62" s="12" t="s">
        <v>18</v>
      </c>
      <c r="B62" s="13" t="s">
        <v>147</v>
      </c>
      <c r="C62" s="13">
        <v>7.5</v>
      </c>
      <c r="D62" s="13" t="s">
        <v>148</v>
      </c>
      <c r="E62" s="13" t="s">
        <v>140</v>
      </c>
      <c r="F62" s="14">
        <v>500000</v>
      </c>
      <c r="G62" s="15">
        <v>525.25</v>
      </c>
      <c r="H62" s="15">
        <v>3.22</v>
      </c>
      <c r="I62" s="16">
        <v>6.9024999999999999</v>
      </c>
      <c r="J62" s="16" t="s">
        <v>20</v>
      </c>
      <c r="K62" s="17" t="s">
        <v>20</v>
      </c>
      <c r="L62" s="18" t="s">
        <v>20</v>
      </c>
    </row>
    <row r="63" spans="1:12" x14ac:dyDescent="0.35">
      <c r="A63" s="12" t="s">
        <v>20</v>
      </c>
      <c r="B63" s="13" t="s">
        <v>149</v>
      </c>
      <c r="C63" s="13">
        <v>7.54</v>
      </c>
      <c r="D63" s="13" t="s">
        <v>150</v>
      </c>
      <c r="E63" s="13" t="s">
        <v>140</v>
      </c>
      <c r="F63" s="14">
        <v>15000</v>
      </c>
      <c r="G63" s="15">
        <v>15.87</v>
      </c>
      <c r="H63" s="15">
        <v>0.1</v>
      </c>
      <c r="I63" s="16">
        <v>6.9249000000000001</v>
      </c>
      <c r="J63" s="16" t="s">
        <v>20</v>
      </c>
      <c r="K63" s="17" t="s">
        <v>20</v>
      </c>
      <c r="L63" s="18" t="s">
        <v>20</v>
      </c>
    </row>
    <row r="64" spans="1:12" x14ac:dyDescent="0.35">
      <c r="A64" s="10"/>
      <c r="B64" s="11" t="s">
        <v>151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35">
      <c r="A65" s="12" t="s">
        <v>18</v>
      </c>
      <c r="B65" s="13" t="s">
        <v>152</v>
      </c>
      <c r="C65" s="13">
        <v>8.35</v>
      </c>
      <c r="D65" s="13" t="s">
        <v>153</v>
      </c>
      <c r="E65" s="13" t="s">
        <v>154</v>
      </c>
      <c r="F65" s="14">
        <v>100</v>
      </c>
      <c r="G65" s="15">
        <v>1010.25</v>
      </c>
      <c r="H65" s="15">
        <v>6.19</v>
      </c>
      <c r="I65" s="16">
        <v>8.17</v>
      </c>
      <c r="J65" s="16" t="s">
        <v>20</v>
      </c>
      <c r="K65" s="17" t="s">
        <v>20</v>
      </c>
      <c r="L65" s="18" t="s">
        <v>20</v>
      </c>
    </row>
    <row r="66" spans="1:12" x14ac:dyDescent="0.35">
      <c r="A66" s="12" t="s">
        <v>18</v>
      </c>
      <c r="B66" s="13" t="s">
        <v>155</v>
      </c>
      <c r="C66" s="13">
        <v>7.7504999999999997</v>
      </c>
      <c r="D66" s="13" t="s">
        <v>156</v>
      </c>
      <c r="E66" s="13" t="s">
        <v>157</v>
      </c>
      <c r="F66" s="14">
        <v>100</v>
      </c>
      <c r="G66" s="15">
        <v>990.42</v>
      </c>
      <c r="H66" s="15">
        <v>6.07</v>
      </c>
      <c r="I66" s="16">
        <v>8.61</v>
      </c>
      <c r="J66" s="16" t="s">
        <v>20</v>
      </c>
      <c r="K66" s="17" t="s">
        <v>20</v>
      </c>
      <c r="L66" s="18" t="s">
        <v>20</v>
      </c>
    </row>
    <row r="67" spans="1:12" x14ac:dyDescent="0.35">
      <c r="A67" s="12" t="s">
        <v>18</v>
      </c>
      <c r="B67" s="13" t="s">
        <v>158</v>
      </c>
      <c r="C67" s="13">
        <v>8.4</v>
      </c>
      <c r="D67" s="13" t="s">
        <v>159</v>
      </c>
      <c r="E67" s="13" t="s">
        <v>160</v>
      </c>
      <c r="F67" s="14">
        <v>50</v>
      </c>
      <c r="G67" s="15">
        <v>520.82000000000005</v>
      </c>
      <c r="H67" s="15">
        <v>3.19</v>
      </c>
      <c r="I67" s="16">
        <v>7.24</v>
      </c>
      <c r="J67" s="16" t="s">
        <v>20</v>
      </c>
      <c r="K67" s="17" t="s">
        <v>20</v>
      </c>
      <c r="L67" s="18" t="s">
        <v>20</v>
      </c>
    </row>
    <row r="68" spans="1:12" x14ac:dyDescent="0.35">
      <c r="A68" s="12" t="s">
        <v>20</v>
      </c>
      <c r="B68" s="13" t="s">
        <v>161</v>
      </c>
      <c r="C68" s="13">
        <v>6.83</v>
      </c>
      <c r="D68" s="13" t="s">
        <v>162</v>
      </c>
      <c r="E68" s="13" t="s">
        <v>160</v>
      </c>
      <c r="F68" s="14">
        <v>50</v>
      </c>
      <c r="G68" s="15">
        <v>482.54</v>
      </c>
      <c r="H68" s="15">
        <v>2.96</v>
      </c>
      <c r="I68" s="16">
        <v>7.54</v>
      </c>
      <c r="J68" s="16" t="s">
        <v>20</v>
      </c>
      <c r="K68" s="17" t="s">
        <v>20</v>
      </c>
      <c r="L68" s="18" t="s">
        <v>20</v>
      </c>
    </row>
    <row r="69" spans="1:12" x14ac:dyDescent="0.35">
      <c r="A69" s="12" t="s">
        <v>20</v>
      </c>
      <c r="B69" s="13" t="s">
        <v>163</v>
      </c>
      <c r="C69" s="13">
        <v>9.1</v>
      </c>
      <c r="D69" s="13" t="s">
        <v>164</v>
      </c>
      <c r="E69" s="13" t="s">
        <v>160</v>
      </c>
      <c r="F69" s="14">
        <v>10</v>
      </c>
      <c r="G69" s="15">
        <v>106.43</v>
      </c>
      <c r="H69" s="15">
        <v>0.65</v>
      </c>
      <c r="I69" s="16">
        <v>7.34</v>
      </c>
      <c r="J69" s="16" t="s">
        <v>20</v>
      </c>
      <c r="K69" s="17" t="s">
        <v>20</v>
      </c>
      <c r="L69" s="18" t="s">
        <v>20</v>
      </c>
    </row>
    <row r="70" spans="1:12" x14ac:dyDescent="0.35">
      <c r="A70" s="19"/>
      <c r="B70" s="11" t="s">
        <v>134</v>
      </c>
      <c r="C70" s="19"/>
      <c r="D70" s="19"/>
      <c r="E70" s="19"/>
      <c r="F70" s="19"/>
      <c r="G70" s="20">
        <v>7472.11</v>
      </c>
      <c r="H70" s="20">
        <v>45.78</v>
      </c>
      <c r="I70" s="19"/>
      <c r="J70" s="19"/>
      <c r="K70" s="19"/>
      <c r="L70" s="19"/>
    </row>
    <row r="71" spans="1:12" x14ac:dyDescent="0.35">
      <c r="A71" s="10"/>
      <c r="B71" s="11" t="s">
        <v>135</v>
      </c>
      <c r="C71" s="10"/>
      <c r="D71" s="10"/>
      <c r="E71" s="10"/>
      <c r="F71" s="10"/>
      <c r="G71" s="21">
        <v>7472.11</v>
      </c>
      <c r="H71" s="21">
        <v>45.78</v>
      </c>
      <c r="I71" s="10"/>
      <c r="J71" s="10"/>
      <c r="K71" s="10"/>
      <c r="L71" s="10"/>
    </row>
    <row r="72" spans="1:12" x14ac:dyDescent="0.35">
      <c r="A72" s="10"/>
      <c r="B72" s="11" t="s">
        <v>165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20</v>
      </c>
      <c r="B74" s="13" t="s">
        <v>20</v>
      </c>
      <c r="C74" s="13" t="s">
        <v>20</v>
      </c>
      <c r="D74" s="13" t="s">
        <v>166</v>
      </c>
      <c r="E74" s="13" t="s">
        <v>20</v>
      </c>
      <c r="F74" s="14" t="s">
        <v>20</v>
      </c>
      <c r="G74" s="15">
        <v>2234.14</v>
      </c>
      <c r="H74" s="15">
        <v>13.69</v>
      </c>
      <c r="I74" s="16">
        <v>6.6032000000000002</v>
      </c>
      <c r="J74" s="16" t="s">
        <v>20</v>
      </c>
      <c r="K74" s="17" t="s">
        <v>20</v>
      </c>
      <c r="L74" s="18" t="s">
        <v>20</v>
      </c>
    </row>
    <row r="75" spans="1:12" x14ac:dyDescent="0.35">
      <c r="A75" s="19"/>
      <c r="B75" s="11" t="s">
        <v>134</v>
      </c>
      <c r="C75" s="19"/>
      <c r="D75" s="19"/>
      <c r="E75" s="19"/>
      <c r="F75" s="19"/>
      <c r="G75" s="20">
        <v>2234.14</v>
      </c>
      <c r="H75" s="20">
        <v>13.69</v>
      </c>
      <c r="I75" s="19"/>
      <c r="J75" s="19"/>
      <c r="K75" s="19"/>
      <c r="L75" s="19"/>
    </row>
    <row r="76" spans="1:12" x14ac:dyDescent="0.35">
      <c r="A76" s="10"/>
      <c r="B76" s="11" t="s">
        <v>135</v>
      </c>
      <c r="C76" s="10"/>
      <c r="D76" s="10"/>
      <c r="E76" s="10"/>
      <c r="F76" s="10"/>
      <c r="G76" s="21">
        <v>2234.14</v>
      </c>
      <c r="H76" s="21">
        <v>13.69</v>
      </c>
      <c r="I76" s="10"/>
      <c r="J76" s="10"/>
      <c r="K76" s="10"/>
      <c r="L76" s="10"/>
    </row>
    <row r="77" spans="1:12" x14ac:dyDescent="0.35">
      <c r="A77" s="10"/>
      <c r="B77" s="11" t="s">
        <v>167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20</v>
      </c>
      <c r="B79" s="13" t="s">
        <v>20</v>
      </c>
      <c r="C79" s="13" t="s">
        <v>20</v>
      </c>
      <c r="D79" s="13" t="s">
        <v>168</v>
      </c>
      <c r="E79" s="13" t="s">
        <v>20</v>
      </c>
      <c r="F79" s="14" t="s">
        <v>20</v>
      </c>
      <c r="G79" s="15">
        <v>600.22</v>
      </c>
      <c r="H79" s="15">
        <v>3.69</v>
      </c>
      <c r="I79" s="16" t="s">
        <v>20</v>
      </c>
      <c r="J79" s="16" t="s">
        <v>20</v>
      </c>
      <c r="K79" s="17" t="s">
        <v>20</v>
      </c>
      <c r="L79" s="18" t="s">
        <v>20</v>
      </c>
    </row>
    <row r="80" spans="1:12" x14ac:dyDescent="0.35">
      <c r="A80" s="19"/>
      <c r="B80" s="11" t="s">
        <v>134</v>
      </c>
      <c r="C80" s="19"/>
      <c r="D80" s="19"/>
      <c r="E80" s="19"/>
      <c r="F80" s="19"/>
      <c r="G80" s="20">
        <v>600.22</v>
      </c>
      <c r="H80" s="20">
        <v>3.69</v>
      </c>
      <c r="I80" s="19"/>
      <c r="J80" s="19"/>
      <c r="K80" s="19"/>
      <c r="L80" s="19"/>
    </row>
    <row r="81" spans="1:12" x14ac:dyDescent="0.35">
      <c r="A81" s="10"/>
      <c r="B81" s="11" t="s">
        <v>135</v>
      </c>
      <c r="C81" s="10"/>
      <c r="D81" s="10"/>
      <c r="E81" s="10"/>
      <c r="F81" s="10"/>
      <c r="G81" s="21">
        <v>600.22</v>
      </c>
      <c r="H81" s="21">
        <v>3.69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169</v>
      </c>
      <c r="C83" s="6"/>
      <c r="D83" s="6"/>
      <c r="E83" s="6"/>
      <c r="F83" s="6"/>
      <c r="G83" s="23">
        <v>16321.030000000004</v>
      </c>
      <c r="H83" s="23">
        <v>99.999999999999986</v>
      </c>
      <c r="I83" s="6"/>
      <c r="J83" s="6"/>
      <c r="K83" s="6"/>
      <c r="L83" s="6"/>
    </row>
    <row r="84" spans="1:12" x14ac:dyDescent="0.35">
      <c r="A84" s="12" t="s">
        <v>18</v>
      </c>
      <c r="B84" s="24" t="s">
        <v>170</v>
      </c>
      <c r="C84" s="24" t="s">
        <v>170</v>
      </c>
      <c r="D84" s="24" t="s">
        <v>170</v>
      </c>
      <c r="E84" s="24" t="s">
        <v>170</v>
      </c>
      <c r="F84" s="24" t="s">
        <v>170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171</v>
      </c>
      <c r="C85" s="25" t="s">
        <v>171</v>
      </c>
      <c r="D85" s="25" t="s">
        <v>171</v>
      </c>
      <c r="E85" s="25" t="s">
        <v>171</v>
      </c>
      <c r="F85" s="25" t="s">
        <v>171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172</v>
      </c>
      <c r="C86" s="25" t="s">
        <v>172</v>
      </c>
      <c r="D86" s="25" t="s">
        <v>172</v>
      </c>
      <c r="E86" s="25" t="s">
        <v>172</v>
      </c>
      <c r="F86" s="25" t="s">
        <v>172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173</v>
      </c>
      <c r="C87" s="25" t="s">
        <v>173</v>
      </c>
      <c r="D87" s="25" t="s">
        <v>173</v>
      </c>
      <c r="E87" s="25" t="s">
        <v>173</v>
      </c>
      <c r="F87" s="25" t="s">
        <v>173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174</v>
      </c>
      <c r="C88" s="25" t="s">
        <v>174</v>
      </c>
      <c r="D88" s="25" t="s">
        <v>174</v>
      </c>
      <c r="E88" s="25" t="s">
        <v>174</v>
      </c>
      <c r="F88" s="25" t="s">
        <v>174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175</v>
      </c>
      <c r="C89" s="25" t="s">
        <v>175</v>
      </c>
      <c r="D89" s="25" t="s">
        <v>175</v>
      </c>
      <c r="E89" s="25" t="s">
        <v>175</v>
      </c>
      <c r="F89" s="25" t="s">
        <v>175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6" t="s">
        <v>178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7" t="s">
        <v>17</v>
      </c>
      <c r="C94" s="27"/>
      <c r="D94" s="28">
        <v>25.06</v>
      </c>
      <c r="E94" s="13"/>
      <c r="F94" s="13"/>
      <c r="G94" s="13"/>
      <c r="H94" s="13"/>
    </row>
    <row r="95" spans="1:12" x14ac:dyDescent="0.35">
      <c r="A95" s="26"/>
      <c r="B95" s="27" t="s">
        <v>179</v>
      </c>
      <c r="C95" s="27"/>
      <c r="D95" s="28">
        <v>11.78</v>
      </c>
      <c r="E95" s="13"/>
      <c r="F95" s="13"/>
      <c r="G95" s="13"/>
      <c r="H95" s="13"/>
    </row>
    <row r="96" spans="1:12" x14ac:dyDescent="0.35">
      <c r="A96" s="26"/>
      <c r="B96" s="27" t="s">
        <v>180</v>
      </c>
      <c r="C96" s="27"/>
      <c r="D96" s="28">
        <v>26.720000000000006</v>
      </c>
      <c r="E96" s="13"/>
      <c r="F96" s="13"/>
      <c r="G96" s="13"/>
      <c r="H96" s="13"/>
    </row>
    <row r="97" spans="1:8" x14ac:dyDescent="0.35">
      <c r="A97" s="26"/>
      <c r="B97" s="27" t="s">
        <v>181</v>
      </c>
      <c r="C97" s="27"/>
      <c r="D97" s="28">
        <v>19.060000000000002</v>
      </c>
      <c r="E97" s="13"/>
      <c r="F97" s="13"/>
      <c r="G97" s="13"/>
      <c r="H97" s="13"/>
    </row>
    <row r="98" spans="1:8" x14ac:dyDescent="0.35">
      <c r="A98" s="26"/>
      <c r="B98" s="27" t="s">
        <v>182</v>
      </c>
      <c r="C98" s="27"/>
      <c r="D98" s="28">
        <v>17.38</v>
      </c>
      <c r="E98" s="13"/>
      <c r="F98" s="13"/>
      <c r="G98" s="13"/>
      <c r="H98" s="13"/>
    </row>
    <row r="99" spans="1:8" x14ac:dyDescent="0.35">
      <c r="A99" s="26"/>
      <c r="B99" s="26" t="s">
        <v>183</v>
      </c>
      <c r="C99" s="26"/>
      <c r="D99" s="26"/>
      <c r="E99" s="13"/>
      <c r="F99" s="13"/>
      <c r="G99" s="13"/>
      <c r="H99" s="13"/>
    </row>
    <row r="100" spans="1:8" x14ac:dyDescent="0.35">
      <c r="A100" s="26"/>
      <c r="B100" s="27" t="s">
        <v>17</v>
      </c>
      <c r="C100" s="27"/>
      <c r="D100" s="28">
        <v>36.839999999999982</v>
      </c>
      <c r="E100" s="13"/>
      <c r="F100" s="13"/>
      <c r="G100" s="13"/>
      <c r="H100" s="13"/>
    </row>
    <row r="101" spans="1:8" x14ac:dyDescent="0.35">
      <c r="A101" s="26"/>
      <c r="B101" s="27" t="s">
        <v>140</v>
      </c>
      <c r="C101" s="27"/>
      <c r="D101" s="28">
        <v>26.720000000000006</v>
      </c>
      <c r="E101" s="13"/>
      <c r="F101" s="13"/>
      <c r="G101" s="13"/>
      <c r="H101" s="13"/>
    </row>
    <row r="102" spans="1:8" x14ac:dyDescent="0.35">
      <c r="A102" s="26"/>
      <c r="B102" s="27" t="s">
        <v>184</v>
      </c>
      <c r="C102" s="27"/>
      <c r="D102" s="28">
        <v>6.8000000000000007</v>
      </c>
      <c r="E102" s="13"/>
      <c r="F102" s="13"/>
      <c r="G102" s="13"/>
      <c r="H102" s="13"/>
    </row>
    <row r="103" spans="1:8" x14ac:dyDescent="0.35">
      <c r="A103" s="26"/>
      <c r="B103" s="27" t="s">
        <v>185</v>
      </c>
      <c r="C103" s="27"/>
      <c r="D103" s="28">
        <v>6.19</v>
      </c>
      <c r="E103" s="13"/>
      <c r="F103" s="13"/>
      <c r="G103" s="13"/>
      <c r="H103" s="13"/>
    </row>
    <row r="104" spans="1:8" x14ac:dyDescent="0.35">
      <c r="A104" s="26"/>
      <c r="B104" s="27" t="s">
        <v>186</v>
      </c>
      <c r="C104" s="27"/>
      <c r="D104" s="28">
        <v>6.07</v>
      </c>
      <c r="E104" s="13"/>
      <c r="F104" s="13"/>
      <c r="G104" s="13"/>
      <c r="H104" s="13"/>
    </row>
    <row r="105" spans="1:8" x14ac:dyDescent="0.35">
      <c r="A105" s="26"/>
      <c r="B105" s="27" t="s">
        <v>182</v>
      </c>
      <c r="C105" s="27"/>
      <c r="D105" s="28">
        <v>17.38</v>
      </c>
      <c r="E105" s="13"/>
      <c r="F105" s="13"/>
      <c r="G105" s="13"/>
      <c r="H105" s="13"/>
    </row>
    <row r="106" spans="1:8" x14ac:dyDescent="0.35">
      <c r="A106" s="29"/>
      <c r="B106" s="29"/>
      <c r="C106" s="29"/>
      <c r="D106" s="29"/>
      <c r="E106" s="29"/>
      <c r="F106" s="29"/>
      <c r="G106" s="29"/>
      <c r="H106" s="29"/>
    </row>
    <row r="107" spans="1:8" x14ac:dyDescent="0.35">
      <c r="A107" s="29"/>
      <c r="B107" s="10" t="s">
        <v>187</v>
      </c>
      <c r="C107" s="29"/>
      <c r="D107" s="29"/>
      <c r="E107" s="29"/>
      <c r="F107" s="29"/>
      <c r="G107" s="29"/>
      <c r="H107" s="29"/>
    </row>
    <row r="108" spans="1:8" x14ac:dyDescent="0.35">
      <c r="A108" s="13"/>
      <c r="B108" s="13" t="s">
        <v>188</v>
      </c>
      <c r="C108" s="13"/>
      <c r="D108" s="13"/>
      <c r="E108" s="13"/>
      <c r="F108" s="13"/>
      <c r="G108" s="13"/>
      <c r="H108" s="29"/>
    </row>
    <row r="109" spans="1:8" x14ac:dyDescent="0.35">
      <c r="A109" s="13"/>
      <c r="B109" s="30" t="s">
        <v>189</v>
      </c>
      <c r="C109" s="31" t="s">
        <v>190</v>
      </c>
      <c r="D109" s="30" t="s">
        <v>191</v>
      </c>
      <c r="E109" s="13"/>
      <c r="F109" s="13"/>
      <c r="G109" s="13"/>
      <c r="H109" s="29"/>
    </row>
    <row r="110" spans="1:8" x14ac:dyDescent="0.35">
      <c r="A110" s="13"/>
      <c r="B110" s="10" t="s">
        <v>192</v>
      </c>
      <c r="C110" s="16">
        <v>21.057700000000001</v>
      </c>
      <c r="D110" s="16">
        <v>20.887699999999999</v>
      </c>
      <c r="E110" s="13"/>
      <c r="F110" s="13"/>
      <c r="G110" s="13"/>
      <c r="H110" s="29"/>
    </row>
    <row r="111" spans="1:8" x14ac:dyDescent="0.35">
      <c r="A111" s="13"/>
      <c r="B111" s="10" t="s">
        <v>193</v>
      </c>
      <c r="C111" s="16">
        <v>23.546299999999999</v>
      </c>
      <c r="D111" s="16">
        <v>23.334099999999999</v>
      </c>
      <c r="E111" s="13"/>
      <c r="F111" s="13"/>
      <c r="G111" s="13"/>
      <c r="H111" s="29"/>
    </row>
    <row r="112" spans="1:8" x14ac:dyDescent="0.35">
      <c r="A112" s="13"/>
      <c r="B112" s="10" t="s">
        <v>20</v>
      </c>
      <c r="C112" s="13"/>
      <c r="D112" s="13"/>
      <c r="E112" s="13"/>
      <c r="F112" s="13"/>
      <c r="G112" s="13"/>
      <c r="H112" s="29"/>
    </row>
    <row r="113" spans="1:8" x14ac:dyDescent="0.35">
      <c r="A113" s="13"/>
      <c r="B113" s="13"/>
      <c r="C113" s="13"/>
      <c r="D113" s="13"/>
      <c r="E113" s="13"/>
      <c r="F113" s="13"/>
      <c r="G113" s="13"/>
      <c r="H113" s="29"/>
    </row>
    <row r="114" spans="1:8" x14ac:dyDescent="0.35">
      <c r="A114" s="13"/>
      <c r="B114" s="13" t="s">
        <v>194</v>
      </c>
      <c r="C114" s="13"/>
      <c r="D114" s="13"/>
      <c r="E114" s="13"/>
      <c r="F114" s="13"/>
      <c r="G114" s="13"/>
      <c r="H114" s="29"/>
    </row>
    <row r="115" spans="1:8" x14ac:dyDescent="0.35">
      <c r="A115" s="13"/>
      <c r="B115" s="13"/>
      <c r="C115" s="13"/>
      <c r="D115" s="13"/>
      <c r="E115" s="13"/>
      <c r="F115" s="13"/>
      <c r="G115" s="13"/>
      <c r="H115" s="29"/>
    </row>
    <row r="116" spans="1:8" x14ac:dyDescent="0.35">
      <c r="A116" s="13"/>
      <c r="B116" s="13" t="s">
        <v>195</v>
      </c>
      <c r="C116" s="13"/>
      <c r="D116" s="13"/>
      <c r="E116" s="13"/>
      <c r="F116" s="13"/>
      <c r="G116" s="13"/>
      <c r="H116" s="29"/>
    </row>
    <row r="117" spans="1:8" x14ac:dyDescent="0.35">
      <c r="A117" s="29"/>
      <c r="B117" s="29"/>
      <c r="C117" s="29"/>
      <c r="D117" s="29"/>
      <c r="E117" s="29"/>
      <c r="F117" s="29"/>
      <c r="G117" s="29"/>
      <c r="H117" s="29"/>
    </row>
    <row r="118" spans="1:8" x14ac:dyDescent="0.35">
      <c r="A118" s="13"/>
      <c r="B118" s="13" t="s">
        <v>196</v>
      </c>
      <c r="C118" s="13"/>
      <c r="D118" s="13"/>
      <c r="E118" s="13"/>
      <c r="F118" s="13"/>
      <c r="G118" s="13"/>
      <c r="H118" s="13"/>
    </row>
    <row r="119" spans="1:8" x14ac:dyDescent="0.35">
      <c r="A119" s="13"/>
      <c r="B119" s="13" t="s">
        <v>197</v>
      </c>
      <c r="C119" s="13"/>
      <c r="D119" s="13"/>
      <c r="E119" s="13"/>
      <c r="F119" s="13"/>
      <c r="G119" s="13"/>
      <c r="H119" s="29"/>
    </row>
    <row r="120" spans="1:8" x14ac:dyDescent="0.35">
      <c r="A120" s="13"/>
      <c r="B120" s="13" t="s">
        <v>198</v>
      </c>
      <c r="C120" s="13"/>
      <c r="D120" s="13"/>
      <c r="E120" s="13"/>
      <c r="F120" s="13"/>
      <c r="G120" s="13"/>
      <c r="H120" s="29"/>
    </row>
    <row r="121" spans="1:8" x14ac:dyDescent="0.35">
      <c r="A121" s="13"/>
      <c r="B121" s="13" t="s">
        <v>199</v>
      </c>
      <c r="C121" s="13"/>
      <c r="D121" s="13"/>
      <c r="E121" s="13"/>
      <c r="F121" s="13"/>
      <c r="G121" s="13"/>
      <c r="H121" s="29"/>
    </row>
    <row r="122" spans="1:8" x14ac:dyDescent="0.35">
      <c r="A122" s="13"/>
      <c r="B122" s="13" t="s">
        <v>200</v>
      </c>
      <c r="C122" s="13"/>
      <c r="D122" s="13"/>
      <c r="E122" s="13"/>
      <c r="F122" s="13"/>
      <c r="G122" s="13"/>
      <c r="H122" s="29"/>
    </row>
    <row r="123" spans="1:8" x14ac:dyDescent="0.35">
      <c r="A123" s="13"/>
      <c r="B123" s="13" t="s">
        <v>201</v>
      </c>
      <c r="C123" s="13"/>
      <c r="D123" s="13"/>
      <c r="E123" s="13"/>
      <c r="F123" s="13"/>
      <c r="G123" s="13"/>
      <c r="H123" s="29"/>
    </row>
    <row r="124" spans="1:8" x14ac:dyDescent="0.35">
      <c r="A124" s="13"/>
      <c r="B124" s="13" t="s">
        <v>202</v>
      </c>
      <c r="C124" s="13"/>
      <c r="D124" s="13"/>
      <c r="E124" s="13"/>
      <c r="F124" s="13"/>
      <c r="G124" s="13"/>
      <c r="H124" s="29"/>
    </row>
    <row r="125" spans="1:8" x14ac:dyDescent="0.35">
      <c r="A125" s="13"/>
      <c r="B125" s="13" t="s">
        <v>203</v>
      </c>
      <c r="C125" s="13"/>
      <c r="D125" s="13"/>
      <c r="E125" s="13"/>
      <c r="F125" s="13"/>
      <c r="G125" s="13"/>
      <c r="H125" s="29"/>
    </row>
    <row r="126" spans="1:8" x14ac:dyDescent="0.35">
      <c r="A126" s="13"/>
      <c r="B126" s="13" t="s">
        <v>204</v>
      </c>
      <c r="C126" s="13"/>
      <c r="D126" s="13"/>
      <c r="E126" s="13"/>
      <c r="F126" s="13"/>
      <c r="G126" s="13"/>
      <c r="H126" s="29"/>
    </row>
    <row r="128" spans="1:8" x14ac:dyDescent="0.35">
      <c r="B128" s="32" t="s">
        <v>205</v>
      </c>
    </row>
    <row r="144" spans="2:2" x14ac:dyDescent="0.35">
      <c r="B144" s="32" t="s">
        <v>206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2:M13"/>
  <sheetViews>
    <sheetView tabSelected="1" workbookViewId="0"/>
  </sheetViews>
  <sheetFormatPr defaultRowHeight="12.5" x14ac:dyDescent="0.25"/>
  <cols>
    <col min="1" max="1" width="46.54296875" style="33" customWidth="1"/>
    <col min="2" max="2" width="56" style="33" bestFit="1" customWidth="1"/>
    <col min="3" max="3" width="41.81640625" style="33" customWidth="1"/>
    <col min="4" max="4" width="22.7265625" style="33" customWidth="1"/>
    <col min="5" max="5" width="15.81640625" style="33" customWidth="1"/>
    <col min="6" max="6" width="16.1796875" style="33" customWidth="1"/>
    <col min="7" max="7" width="13.7265625" style="33" customWidth="1"/>
    <col min="8" max="8" width="18.81640625" style="33" bestFit="1" customWidth="1"/>
    <col min="9" max="9" width="12.54296875" style="33" hidden="1" customWidth="1"/>
    <col min="10" max="10" width="10.7265625" style="33" hidden="1" customWidth="1"/>
    <col min="11" max="11" width="11.7265625" style="33" hidden="1" customWidth="1"/>
    <col min="12" max="12" width="18.81640625" style="33" bestFit="1" customWidth="1"/>
    <col min="13" max="13" width="9.26953125" style="35" bestFit="1" customWidth="1"/>
    <col min="14" max="249" width="8.7265625" style="33"/>
    <col min="250" max="250" width="46.54296875" style="33" customWidth="1"/>
    <col min="251" max="251" width="32.453125" style="33" customWidth="1"/>
    <col min="252" max="252" width="22.7265625" style="33" customWidth="1"/>
    <col min="253" max="253" width="15.81640625" style="33" customWidth="1"/>
    <col min="254" max="254" width="16.1796875" style="33" customWidth="1"/>
    <col min="255" max="255" width="13.7265625" style="33" customWidth="1"/>
    <col min="256" max="263" width="0" style="33" hidden="1" customWidth="1"/>
    <col min="264" max="264" width="10.7265625" style="33" customWidth="1"/>
    <col min="265" max="505" width="8.7265625" style="33"/>
    <col min="506" max="506" width="46.54296875" style="33" customWidth="1"/>
    <col min="507" max="507" width="32.453125" style="33" customWidth="1"/>
    <col min="508" max="508" width="22.7265625" style="33" customWidth="1"/>
    <col min="509" max="509" width="15.81640625" style="33" customWidth="1"/>
    <col min="510" max="510" width="16.1796875" style="33" customWidth="1"/>
    <col min="511" max="511" width="13.7265625" style="33" customWidth="1"/>
    <col min="512" max="519" width="0" style="33" hidden="1" customWidth="1"/>
    <col min="520" max="520" width="10.7265625" style="33" customWidth="1"/>
    <col min="521" max="761" width="8.7265625" style="33"/>
    <col min="762" max="762" width="46.54296875" style="33" customWidth="1"/>
    <col min="763" max="763" width="32.453125" style="33" customWidth="1"/>
    <col min="764" max="764" width="22.7265625" style="33" customWidth="1"/>
    <col min="765" max="765" width="15.81640625" style="33" customWidth="1"/>
    <col min="766" max="766" width="16.1796875" style="33" customWidth="1"/>
    <col min="767" max="767" width="13.7265625" style="33" customWidth="1"/>
    <col min="768" max="775" width="0" style="33" hidden="1" customWidth="1"/>
    <col min="776" max="776" width="10.7265625" style="33" customWidth="1"/>
    <col min="777" max="1017" width="8.7265625" style="33"/>
    <col min="1018" max="1018" width="46.54296875" style="33" customWidth="1"/>
    <col min="1019" max="1019" width="32.453125" style="33" customWidth="1"/>
    <col min="1020" max="1020" width="22.7265625" style="33" customWidth="1"/>
    <col min="1021" max="1021" width="15.81640625" style="33" customWidth="1"/>
    <col min="1022" max="1022" width="16.1796875" style="33" customWidth="1"/>
    <col min="1023" max="1023" width="13.7265625" style="33" customWidth="1"/>
    <col min="1024" max="1031" width="0" style="33" hidden="1" customWidth="1"/>
    <col min="1032" max="1032" width="10.7265625" style="33" customWidth="1"/>
    <col min="1033" max="1273" width="8.7265625" style="33"/>
    <col min="1274" max="1274" width="46.54296875" style="33" customWidth="1"/>
    <col min="1275" max="1275" width="32.453125" style="33" customWidth="1"/>
    <col min="1276" max="1276" width="22.7265625" style="33" customWidth="1"/>
    <col min="1277" max="1277" width="15.81640625" style="33" customWidth="1"/>
    <col min="1278" max="1278" width="16.1796875" style="33" customWidth="1"/>
    <col min="1279" max="1279" width="13.7265625" style="33" customWidth="1"/>
    <col min="1280" max="1287" width="0" style="33" hidden="1" customWidth="1"/>
    <col min="1288" max="1288" width="10.7265625" style="33" customWidth="1"/>
    <col min="1289" max="1529" width="8.7265625" style="33"/>
    <col min="1530" max="1530" width="46.54296875" style="33" customWidth="1"/>
    <col min="1531" max="1531" width="32.453125" style="33" customWidth="1"/>
    <col min="1532" max="1532" width="22.7265625" style="33" customWidth="1"/>
    <col min="1533" max="1533" width="15.81640625" style="33" customWidth="1"/>
    <col min="1534" max="1534" width="16.1796875" style="33" customWidth="1"/>
    <col min="1535" max="1535" width="13.7265625" style="33" customWidth="1"/>
    <col min="1536" max="1543" width="0" style="33" hidden="1" customWidth="1"/>
    <col min="1544" max="1544" width="10.7265625" style="33" customWidth="1"/>
    <col min="1545" max="1785" width="8.7265625" style="33"/>
    <col min="1786" max="1786" width="46.54296875" style="33" customWidth="1"/>
    <col min="1787" max="1787" width="32.453125" style="33" customWidth="1"/>
    <col min="1788" max="1788" width="22.7265625" style="33" customWidth="1"/>
    <col min="1789" max="1789" width="15.81640625" style="33" customWidth="1"/>
    <col min="1790" max="1790" width="16.1796875" style="33" customWidth="1"/>
    <col min="1791" max="1791" width="13.7265625" style="33" customWidth="1"/>
    <col min="1792" max="1799" width="0" style="33" hidden="1" customWidth="1"/>
    <col min="1800" max="1800" width="10.7265625" style="33" customWidth="1"/>
    <col min="1801" max="2041" width="8.7265625" style="33"/>
    <col min="2042" max="2042" width="46.54296875" style="33" customWidth="1"/>
    <col min="2043" max="2043" width="32.453125" style="33" customWidth="1"/>
    <col min="2044" max="2044" width="22.7265625" style="33" customWidth="1"/>
    <col min="2045" max="2045" width="15.81640625" style="33" customWidth="1"/>
    <col min="2046" max="2046" width="16.1796875" style="33" customWidth="1"/>
    <col min="2047" max="2047" width="13.7265625" style="33" customWidth="1"/>
    <col min="2048" max="2055" width="0" style="33" hidden="1" customWidth="1"/>
    <col min="2056" max="2056" width="10.7265625" style="33" customWidth="1"/>
    <col min="2057" max="2297" width="8.7265625" style="33"/>
    <col min="2298" max="2298" width="46.54296875" style="33" customWidth="1"/>
    <col min="2299" max="2299" width="32.453125" style="33" customWidth="1"/>
    <col min="2300" max="2300" width="22.7265625" style="33" customWidth="1"/>
    <col min="2301" max="2301" width="15.81640625" style="33" customWidth="1"/>
    <col min="2302" max="2302" width="16.1796875" style="33" customWidth="1"/>
    <col min="2303" max="2303" width="13.7265625" style="33" customWidth="1"/>
    <col min="2304" max="2311" width="0" style="33" hidden="1" customWidth="1"/>
    <col min="2312" max="2312" width="10.7265625" style="33" customWidth="1"/>
    <col min="2313" max="2553" width="8.7265625" style="33"/>
    <col min="2554" max="2554" width="46.54296875" style="33" customWidth="1"/>
    <col min="2555" max="2555" width="32.453125" style="33" customWidth="1"/>
    <col min="2556" max="2556" width="22.7265625" style="33" customWidth="1"/>
    <col min="2557" max="2557" width="15.81640625" style="33" customWidth="1"/>
    <col min="2558" max="2558" width="16.1796875" style="33" customWidth="1"/>
    <col min="2559" max="2559" width="13.7265625" style="33" customWidth="1"/>
    <col min="2560" max="2567" width="0" style="33" hidden="1" customWidth="1"/>
    <col min="2568" max="2568" width="10.7265625" style="33" customWidth="1"/>
    <col min="2569" max="2809" width="8.7265625" style="33"/>
    <col min="2810" max="2810" width="46.54296875" style="33" customWidth="1"/>
    <col min="2811" max="2811" width="32.453125" style="33" customWidth="1"/>
    <col min="2812" max="2812" width="22.7265625" style="33" customWidth="1"/>
    <col min="2813" max="2813" width="15.81640625" style="33" customWidth="1"/>
    <col min="2814" max="2814" width="16.1796875" style="33" customWidth="1"/>
    <col min="2815" max="2815" width="13.7265625" style="33" customWidth="1"/>
    <col min="2816" max="2823" width="0" style="33" hidden="1" customWidth="1"/>
    <col min="2824" max="2824" width="10.7265625" style="33" customWidth="1"/>
    <col min="2825" max="3065" width="8.7265625" style="33"/>
    <col min="3066" max="3066" width="46.54296875" style="33" customWidth="1"/>
    <col min="3067" max="3067" width="32.453125" style="33" customWidth="1"/>
    <col min="3068" max="3068" width="22.7265625" style="33" customWidth="1"/>
    <col min="3069" max="3069" width="15.81640625" style="33" customWidth="1"/>
    <col min="3070" max="3070" width="16.1796875" style="33" customWidth="1"/>
    <col min="3071" max="3071" width="13.7265625" style="33" customWidth="1"/>
    <col min="3072" max="3079" width="0" style="33" hidden="1" customWidth="1"/>
    <col min="3080" max="3080" width="10.7265625" style="33" customWidth="1"/>
    <col min="3081" max="3321" width="8.7265625" style="33"/>
    <col min="3322" max="3322" width="46.54296875" style="33" customWidth="1"/>
    <col min="3323" max="3323" width="32.453125" style="33" customWidth="1"/>
    <col min="3324" max="3324" width="22.7265625" style="33" customWidth="1"/>
    <col min="3325" max="3325" width="15.81640625" style="33" customWidth="1"/>
    <col min="3326" max="3326" width="16.1796875" style="33" customWidth="1"/>
    <col min="3327" max="3327" width="13.7265625" style="33" customWidth="1"/>
    <col min="3328" max="3335" width="0" style="33" hidden="1" customWidth="1"/>
    <col min="3336" max="3336" width="10.7265625" style="33" customWidth="1"/>
    <col min="3337" max="3577" width="8.7265625" style="33"/>
    <col min="3578" max="3578" width="46.54296875" style="33" customWidth="1"/>
    <col min="3579" max="3579" width="32.453125" style="33" customWidth="1"/>
    <col min="3580" max="3580" width="22.7265625" style="33" customWidth="1"/>
    <col min="3581" max="3581" width="15.81640625" style="33" customWidth="1"/>
    <col min="3582" max="3582" width="16.1796875" style="33" customWidth="1"/>
    <col min="3583" max="3583" width="13.7265625" style="33" customWidth="1"/>
    <col min="3584" max="3591" width="0" style="33" hidden="1" customWidth="1"/>
    <col min="3592" max="3592" width="10.7265625" style="33" customWidth="1"/>
    <col min="3593" max="3833" width="8.7265625" style="33"/>
    <col min="3834" max="3834" width="46.54296875" style="33" customWidth="1"/>
    <col min="3835" max="3835" width="32.453125" style="33" customWidth="1"/>
    <col min="3836" max="3836" width="22.7265625" style="33" customWidth="1"/>
    <col min="3837" max="3837" width="15.81640625" style="33" customWidth="1"/>
    <col min="3838" max="3838" width="16.1796875" style="33" customWidth="1"/>
    <col min="3839" max="3839" width="13.7265625" style="33" customWidth="1"/>
    <col min="3840" max="3847" width="0" style="33" hidden="1" customWidth="1"/>
    <col min="3848" max="3848" width="10.7265625" style="33" customWidth="1"/>
    <col min="3849" max="4089" width="8.7265625" style="33"/>
    <col min="4090" max="4090" width="46.54296875" style="33" customWidth="1"/>
    <col min="4091" max="4091" width="32.453125" style="33" customWidth="1"/>
    <col min="4092" max="4092" width="22.7265625" style="33" customWidth="1"/>
    <col min="4093" max="4093" width="15.81640625" style="33" customWidth="1"/>
    <col min="4094" max="4094" width="16.1796875" style="33" customWidth="1"/>
    <col min="4095" max="4095" width="13.7265625" style="33" customWidth="1"/>
    <col min="4096" max="4103" width="0" style="33" hidden="1" customWidth="1"/>
    <col min="4104" max="4104" width="10.7265625" style="33" customWidth="1"/>
    <col min="4105" max="4345" width="8.7265625" style="33"/>
    <col min="4346" max="4346" width="46.54296875" style="33" customWidth="1"/>
    <col min="4347" max="4347" width="32.453125" style="33" customWidth="1"/>
    <col min="4348" max="4348" width="22.7265625" style="33" customWidth="1"/>
    <col min="4349" max="4349" width="15.81640625" style="33" customWidth="1"/>
    <col min="4350" max="4350" width="16.1796875" style="33" customWidth="1"/>
    <col min="4351" max="4351" width="13.7265625" style="33" customWidth="1"/>
    <col min="4352" max="4359" width="0" style="33" hidden="1" customWidth="1"/>
    <col min="4360" max="4360" width="10.7265625" style="33" customWidth="1"/>
    <col min="4361" max="4601" width="8.7265625" style="33"/>
    <col min="4602" max="4602" width="46.54296875" style="33" customWidth="1"/>
    <col min="4603" max="4603" width="32.453125" style="33" customWidth="1"/>
    <col min="4604" max="4604" width="22.7265625" style="33" customWidth="1"/>
    <col min="4605" max="4605" width="15.81640625" style="33" customWidth="1"/>
    <col min="4606" max="4606" width="16.1796875" style="33" customWidth="1"/>
    <col min="4607" max="4607" width="13.7265625" style="33" customWidth="1"/>
    <col min="4608" max="4615" width="0" style="33" hidden="1" customWidth="1"/>
    <col min="4616" max="4616" width="10.7265625" style="33" customWidth="1"/>
    <col min="4617" max="4857" width="8.7265625" style="33"/>
    <col min="4858" max="4858" width="46.54296875" style="33" customWidth="1"/>
    <col min="4859" max="4859" width="32.453125" style="33" customWidth="1"/>
    <col min="4860" max="4860" width="22.7265625" style="33" customWidth="1"/>
    <col min="4861" max="4861" width="15.81640625" style="33" customWidth="1"/>
    <col min="4862" max="4862" width="16.1796875" style="33" customWidth="1"/>
    <col min="4863" max="4863" width="13.7265625" style="33" customWidth="1"/>
    <col min="4864" max="4871" width="0" style="33" hidden="1" customWidth="1"/>
    <col min="4872" max="4872" width="10.7265625" style="33" customWidth="1"/>
    <col min="4873" max="5113" width="8.7265625" style="33"/>
    <col min="5114" max="5114" width="46.54296875" style="33" customWidth="1"/>
    <col min="5115" max="5115" width="32.453125" style="33" customWidth="1"/>
    <col min="5116" max="5116" width="22.7265625" style="33" customWidth="1"/>
    <col min="5117" max="5117" width="15.81640625" style="33" customWidth="1"/>
    <col min="5118" max="5118" width="16.1796875" style="33" customWidth="1"/>
    <col min="5119" max="5119" width="13.7265625" style="33" customWidth="1"/>
    <col min="5120" max="5127" width="0" style="33" hidden="1" customWidth="1"/>
    <col min="5128" max="5128" width="10.7265625" style="33" customWidth="1"/>
    <col min="5129" max="5369" width="8.7265625" style="33"/>
    <col min="5370" max="5370" width="46.54296875" style="33" customWidth="1"/>
    <col min="5371" max="5371" width="32.453125" style="33" customWidth="1"/>
    <col min="5372" max="5372" width="22.7265625" style="33" customWidth="1"/>
    <col min="5373" max="5373" width="15.81640625" style="33" customWidth="1"/>
    <col min="5374" max="5374" width="16.1796875" style="33" customWidth="1"/>
    <col min="5375" max="5375" width="13.7265625" style="33" customWidth="1"/>
    <col min="5376" max="5383" width="0" style="33" hidden="1" customWidth="1"/>
    <col min="5384" max="5384" width="10.7265625" style="33" customWidth="1"/>
    <col min="5385" max="5625" width="8.7265625" style="33"/>
    <col min="5626" max="5626" width="46.54296875" style="33" customWidth="1"/>
    <col min="5627" max="5627" width="32.453125" style="33" customWidth="1"/>
    <col min="5628" max="5628" width="22.7265625" style="33" customWidth="1"/>
    <col min="5629" max="5629" width="15.81640625" style="33" customWidth="1"/>
    <col min="5630" max="5630" width="16.1796875" style="33" customWidth="1"/>
    <col min="5631" max="5631" width="13.7265625" style="33" customWidth="1"/>
    <col min="5632" max="5639" width="0" style="33" hidden="1" customWidth="1"/>
    <col min="5640" max="5640" width="10.7265625" style="33" customWidth="1"/>
    <col min="5641" max="5881" width="8.7265625" style="33"/>
    <col min="5882" max="5882" width="46.54296875" style="33" customWidth="1"/>
    <col min="5883" max="5883" width="32.453125" style="33" customWidth="1"/>
    <col min="5884" max="5884" width="22.7265625" style="33" customWidth="1"/>
    <col min="5885" max="5885" width="15.81640625" style="33" customWidth="1"/>
    <col min="5886" max="5886" width="16.1796875" style="33" customWidth="1"/>
    <col min="5887" max="5887" width="13.7265625" style="33" customWidth="1"/>
    <col min="5888" max="5895" width="0" style="33" hidden="1" customWidth="1"/>
    <col min="5896" max="5896" width="10.7265625" style="33" customWidth="1"/>
    <col min="5897" max="6137" width="8.7265625" style="33"/>
    <col min="6138" max="6138" width="46.54296875" style="33" customWidth="1"/>
    <col min="6139" max="6139" width="32.453125" style="33" customWidth="1"/>
    <col min="6140" max="6140" width="22.7265625" style="33" customWidth="1"/>
    <col min="6141" max="6141" width="15.81640625" style="33" customWidth="1"/>
    <col min="6142" max="6142" width="16.1796875" style="33" customWidth="1"/>
    <col min="6143" max="6143" width="13.7265625" style="33" customWidth="1"/>
    <col min="6144" max="6151" width="0" style="33" hidden="1" customWidth="1"/>
    <col min="6152" max="6152" width="10.7265625" style="33" customWidth="1"/>
    <col min="6153" max="6393" width="8.7265625" style="33"/>
    <col min="6394" max="6394" width="46.54296875" style="33" customWidth="1"/>
    <col min="6395" max="6395" width="32.453125" style="33" customWidth="1"/>
    <col min="6396" max="6396" width="22.7265625" style="33" customWidth="1"/>
    <col min="6397" max="6397" width="15.81640625" style="33" customWidth="1"/>
    <col min="6398" max="6398" width="16.1796875" style="33" customWidth="1"/>
    <col min="6399" max="6399" width="13.7265625" style="33" customWidth="1"/>
    <col min="6400" max="6407" width="0" style="33" hidden="1" customWidth="1"/>
    <col min="6408" max="6408" width="10.7265625" style="33" customWidth="1"/>
    <col min="6409" max="6649" width="8.7265625" style="33"/>
    <col min="6650" max="6650" width="46.54296875" style="33" customWidth="1"/>
    <col min="6651" max="6651" width="32.453125" style="33" customWidth="1"/>
    <col min="6652" max="6652" width="22.7265625" style="33" customWidth="1"/>
    <col min="6653" max="6653" width="15.81640625" style="33" customWidth="1"/>
    <col min="6654" max="6654" width="16.1796875" style="33" customWidth="1"/>
    <col min="6655" max="6655" width="13.7265625" style="33" customWidth="1"/>
    <col min="6656" max="6663" width="0" style="33" hidden="1" customWidth="1"/>
    <col min="6664" max="6664" width="10.7265625" style="33" customWidth="1"/>
    <col min="6665" max="6905" width="8.7265625" style="33"/>
    <col min="6906" max="6906" width="46.54296875" style="33" customWidth="1"/>
    <col min="6907" max="6907" width="32.453125" style="33" customWidth="1"/>
    <col min="6908" max="6908" width="22.7265625" style="33" customWidth="1"/>
    <col min="6909" max="6909" width="15.81640625" style="33" customWidth="1"/>
    <col min="6910" max="6910" width="16.1796875" style="33" customWidth="1"/>
    <col min="6911" max="6911" width="13.7265625" style="33" customWidth="1"/>
    <col min="6912" max="6919" width="0" style="33" hidden="1" customWidth="1"/>
    <col min="6920" max="6920" width="10.7265625" style="33" customWidth="1"/>
    <col min="6921" max="7161" width="8.7265625" style="33"/>
    <col min="7162" max="7162" width="46.54296875" style="33" customWidth="1"/>
    <col min="7163" max="7163" width="32.453125" style="33" customWidth="1"/>
    <col min="7164" max="7164" width="22.7265625" style="33" customWidth="1"/>
    <col min="7165" max="7165" width="15.81640625" style="33" customWidth="1"/>
    <col min="7166" max="7166" width="16.1796875" style="33" customWidth="1"/>
    <col min="7167" max="7167" width="13.7265625" style="33" customWidth="1"/>
    <col min="7168" max="7175" width="0" style="33" hidden="1" customWidth="1"/>
    <col min="7176" max="7176" width="10.7265625" style="33" customWidth="1"/>
    <col min="7177" max="7417" width="8.7265625" style="33"/>
    <col min="7418" max="7418" width="46.54296875" style="33" customWidth="1"/>
    <col min="7419" max="7419" width="32.453125" style="33" customWidth="1"/>
    <col min="7420" max="7420" width="22.7265625" style="33" customWidth="1"/>
    <col min="7421" max="7421" width="15.81640625" style="33" customWidth="1"/>
    <col min="7422" max="7422" width="16.1796875" style="33" customWidth="1"/>
    <col min="7423" max="7423" width="13.7265625" style="33" customWidth="1"/>
    <col min="7424" max="7431" width="0" style="33" hidden="1" customWidth="1"/>
    <col min="7432" max="7432" width="10.7265625" style="33" customWidth="1"/>
    <col min="7433" max="7673" width="8.7265625" style="33"/>
    <col min="7674" max="7674" width="46.54296875" style="33" customWidth="1"/>
    <col min="7675" max="7675" width="32.453125" style="33" customWidth="1"/>
    <col min="7676" max="7676" width="22.7265625" style="33" customWidth="1"/>
    <col min="7677" max="7677" width="15.81640625" style="33" customWidth="1"/>
    <col min="7678" max="7678" width="16.1796875" style="33" customWidth="1"/>
    <col min="7679" max="7679" width="13.7265625" style="33" customWidth="1"/>
    <col min="7680" max="7687" width="0" style="33" hidden="1" customWidth="1"/>
    <col min="7688" max="7688" width="10.7265625" style="33" customWidth="1"/>
    <col min="7689" max="7929" width="8.7265625" style="33"/>
    <col min="7930" max="7930" width="46.54296875" style="33" customWidth="1"/>
    <col min="7931" max="7931" width="32.453125" style="33" customWidth="1"/>
    <col min="7932" max="7932" width="22.7265625" style="33" customWidth="1"/>
    <col min="7933" max="7933" width="15.81640625" style="33" customWidth="1"/>
    <col min="7934" max="7934" width="16.1796875" style="33" customWidth="1"/>
    <col min="7935" max="7935" width="13.7265625" style="33" customWidth="1"/>
    <col min="7936" max="7943" width="0" style="33" hidden="1" customWidth="1"/>
    <col min="7944" max="7944" width="10.7265625" style="33" customWidth="1"/>
    <col min="7945" max="8185" width="8.7265625" style="33"/>
    <col min="8186" max="8186" width="46.54296875" style="33" customWidth="1"/>
    <col min="8187" max="8187" width="32.453125" style="33" customWidth="1"/>
    <col min="8188" max="8188" width="22.7265625" style="33" customWidth="1"/>
    <col min="8189" max="8189" width="15.81640625" style="33" customWidth="1"/>
    <col min="8190" max="8190" width="16.1796875" style="33" customWidth="1"/>
    <col min="8191" max="8191" width="13.7265625" style="33" customWidth="1"/>
    <col min="8192" max="8199" width="0" style="33" hidden="1" customWidth="1"/>
    <col min="8200" max="8200" width="10.7265625" style="33" customWidth="1"/>
    <col min="8201" max="8441" width="8.7265625" style="33"/>
    <col min="8442" max="8442" width="46.54296875" style="33" customWidth="1"/>
    <col min="8443" max="8443" width="32.453125" style="33" customWidth="1"/>
    <col min="8444" max="8444" width="22.7265625" style="33" customWidth="1"/>
    <col min="8445" max="8445" width="15.81640625" style="33" customWidth="1"/>
    <col min="8446" max="8446" width="16.1796875" style="33" customWidth="1"/>
    <col min="8447" max="8447" width="13.7265625" style="33" customWidth="1"/>
    <col min="8448" max="8455" width="0" style="33" hidden="1" customWidth="1"/>
    <col min="8456" max="8456" width="10.7265625" style="33" customWidth="1"/>
    <col min="8457" max="8697" width="8.7265625" style="33"/>
    <col min="8698" max="8698" width="46.54296875" style="33" customWidth="1"/>
    <col min="8699" max="8699" width="32.453125" style="33" customWidth="1"/>
    <col min="8700" max="8700" width="22.7265625" style="33" customWidth="1"/>
    <col min="8701" max="8701" width="15.81640625" style="33" customWidth="1"/>
    <col min="8702" max="8702" width="16.1796875" style="33" customWidth="1"/>
    <col min="8703" max="8703" width="13.7265625" style="33" customWidth="1"/>
    <col min="8704" max="8711" width="0" style="33" hidden="1" customWidth="1"/>
    <col min="8712" max="8712" width="10.7265625" style="33" customWidth="1"/>
    <col min="8713" max="8953" width="8.7265625" style="33"/>
    <col min="8954" max="8954" width="46.54296875" style="33" customWidth="1"/>
    <col min="8955" max="8955" width="32.453125" style="33" customWidth="1"/>
    <col min="8956" max="8956" width="22.7265625" style="33" customWidth="1"/>
    <col min="8957" max="8957" width="15.81640625" style="33" customWidth="1"/>
    <col min="8958" max="8958" width="16.1796875" style="33" customWidth="1"/>
    <col min="8959" max="8959" width="13.7265625" style="33" customWidth="1"/>
    <col min="8960" max="8967" width="0" style="33" hidden="1" customWidth="1"/>
    <col min="8968" max="8968" width="10.7265625" style="33" customWidth="1"/>
    <col min="8969" max="9209" width="8.7265625" style="33"/>
    <col min="9210" max="9210" width="46.54296875" style="33" customWidth="1"/>
    <col min="9211" max="9211" width="32.453125" style="33" customWidth="1"/>
    <col min="9212" max="9212" width="22.7265625" style="33" customWidth="1"/>
    <col min="9213" max="9213" width="15.81640625" style="33" customWidth="1"/>
    <col min="9214" max="9214" width="16.1796875" style="33" customWidth="1"/>
    <col min="9215" max="9215" width="13.7265625" style="33" customWidth="1"/>
    <col min="9216" max="9223" width="0" style="33" hidden="1" customWidth="1"/>
    <col min="9224" max="9224" width="10.7265625" style="33" customWidth="1"/>
    <col min="9225" max="9465" width="8.7265625" style="33"/>
    <col min="9466" max="9466" width="46.54296875" style="33" customWidth="1"/>
    <col min="9467" max="9467" width="32.453125" style="33" customWidth="1"/>
    <col min="9468" max="9468" width="22.7265625" style="33" customWidth="1"/>
    <col min="9469" max="9469" width="15.81640625" style="33" customWidth="1"/>
    <col min="9470" max="9470" width="16.1796875" style="33" customWidth="1"/>
    <col min="9471" max="9471" width="13.7265625" style="33" customWidth="1"/>
    <col min="9472" max="9479" width="0" style="33" hidden="1" customWidth="1"/>
    <col min="9480" max="9480" width="10.7265625" style="33" customWidth="1"/>
    <col min="9481" max="9721" width="8.7265625" style="33"/>
    <col min="9722" max="9722" width="46.54296875" style="33" customWidth="1"/>
    <col min="9723" max="9723" width="32.453125" style="33" customWidth="1"/>
    <col min="9724" max="9724" width="22.7265625" style="33" customWidth="1"/>
    <col min="9725" max="9725" width="15.81640625" style="33" customWidth="1"/>
    <col min="9726" max="9726" width="16.1796875" style="33" customWidth="1"/>
    <col min="9727" max="9727" width="13.7265625" style="33" customWidth="1"/>
    <col min="9728" max="9735" width="0" style="33" hidden="1" customWidth="1"/>
    <col min="9736" max="9736" width="10.7265625" style="33" customWidth="1"/>
    <col min="9737" max="9977" width="8.7265625" style="33"/>
    <col min="9978" max="9978" width="46.54296875" style="33" customWidth="1"/>
    <col min="9979" max="9979" width="32.453125" style="33" customWidth="1"/>
    <col min="9980" max="9980" width="22.7265625" style="33" customWidth="1"/>
    <col min="9981" max="9981" width="15.81640625" style="33" customWidth="1"/>
    <col min="9982" max="9982" width="16.1796875" style="33" customWidth="1"/>
    <col min="9983" max="9983" width="13.7265625" style="33" customWidth="1"/>
    <col min="9984" max="9991" width="0" style="33" hidden="1" customWidth="1"/>
    <col min="9992" max="9992" width="10.7265625" style="33" customWidth="1"/>
    <col min="9993" max="10233" width="8.7265625" style="33"/>
    <col min="10234" max="10234" width="46.54296875" style="33" customWidth="1"/>
    <col min="10235" max="10235" width="32.453125" style="33" customWidth="1"/>
    <col min="10236" max="10236" width="22.7265625" style="33" customWidth="1"/>
    <col min="10237" max="10237" width="15.81640625" style="33" customWidth="1"/>
    <col min="10238" max="10238" width="16.1796875" style="33" customWidth="1"/>
    <col min="10239" max="10239" width="13.7265625" style="33" customWidth="1"/>
    <col min="10240" max="10247" width="0" style="33" hidden="1" customWidth="1"/>
    <col min="10248" max="10248" width="10.7265625" style="33" customWidth="1"/>
    <col min="10249" max="10489" width="8.7265625" style="33"/>
    <col min="10490" max="10490" width="46.54296875" style="33" customWidth="1"/>
    <col min="10491" max="10491" width="32.453125" style="33" customWidth="1"/>
    <col min="10492" max="10492" width="22.7265625" style="33" customWidth="1"/>
    <col min="10493" max="10493" width="15.81640625" style="33" customWidth="1"/>
    <col min="10494" max="10494" width="16.1796875" style="33" customWidth="1"/>
    <col min="10495" max="10495" width="13.7265625" style="33" customWidth="1"/>
    <col min="10496" max="10503" width="0" style="33" hidden="1" customWidth="1"/>
    <col min="10504" max="10504" width="10.7265625" style="33" customWidth="1"/>
    <col min="10505" max="10745" width="8.7265625" style="33"/>
    <col min="10746" max="10746" width="46.54296875" style="33" customWidth="1"/>
    <col min="10747" max="10747" width="32.453125" style="33" customWidth="1"/>
    <col min="10748" max="10748" width="22.7265625" style="33" customWidth="1"/>
    <col min="10749" max="10749" width="15.81640625" style="33" customWidth="1"/>
    <col min="10750" max="10750" width="16.1796875" style="33" customWidth="1"/>
    <col min="10751" max="10751" width="13.7265625" style="33" customWidth="1"/>
    <col min="10752" max="10759" width="0" style="33" hidden="1" customWidth="1"/>
    <col min="10760" max="10760" width="10.7265625" style="33" customWidth="1"/>
    <col min="10761" max="11001" width="8.7265625" style="33"/>
    <col min="11002" max="11002" width="46.54296875" style="33" customWidth="1"/>
    <col min="11003" max="11003" width="32.453125" style="33" customWidth="1"/>
    <col min="11004" max="11004" width="22.7265625" style="33" customWidth="1"/>
    <col min="11005" max="11005" width="15.81640625" style="33" customWidth="1"/>
    <col min="11006" max="11006" width="16.1796875" style="33" customWidth="1"/>
    <col min="11007" max="11007" width="13.7265625" style="33" customWidth="1"/>
    <col min="11008" max="11015" width="0" style="33" hidden="1" customWidth="1"/>
    <col min="11016" max="11016" width="10.7265625" style="33" customWidth="1"/>
    <col min="11017" max="11257" width="8.7265625" style="33"/>
    <col min="11258" max="11258" width="46.54296875" style="33" customWidth="1"/>
    <col min="11259" max="11259" width="32.453125" style="33" customWidth="1"/>
    <col min="11260" max="11260" width="22.7265625" style="33" customWidth="1"/>
    <col min="11261" max="11261" width="15.81640625" style="33" customWidth="1"/>
    <col min="11262" max="11262" width="16.1796875" style="33" customWidth="1"/>
    <col min="11263" max="11263" width="13.7265625" style="33" customWidth="1"/>
    <col min="11264" max="11271" width="0" style="33" hidden="1" customWidth="1"/>
    <col min="11272" max="11272" width="10.7265625" style="33" customWidth="1"/>
    <col min="11273" max="11513" width="8.7265625" style="33"/>
    <col min="11514" max="11514" width="46.54296875" style="33" customWidth="1"/>
    <col min="11515" max="11515" width="32.453125" style="33" customWidth="1"/>
    <col min="11516" max="11516" width="22.7265625" style="33" customWidth="1"/>
    <col min="11517" max="11517" width="15.81640625" style="33" customWidth="1"/>
    <col min="11518" max="11518" width="16.1796875" style="33" customWidth="1"/>
    <col min="11519" max="11519" width="13.7265625" style="33" customWidth="1"/>
    <col min="11520" max="11527" width="0" style="33" hidden="1" customWidth="1"/>
    <col min="11528" max="11528" width="10.7265625" style="33" customWidth="1"/>
    <col min="11529" max="11769" width="8.7265625" style="33"/>
    <col min="11770" max="11770" width="46.54296875" style="33" customWidth="1"/>
    <col min="11771" max="11771" width="32.453125" style="33" customWidth="1"/>
    <col min="11772" max="11772" width="22.7265625" style="33" customWidth="1"/>
    <col min="11773" max="11773" width="15.81640625" style="33" customWidth="1"/>
    <col min="11774" max="11774" width="16.1796875" style="33" customWidth="1"/>
    <col min="11775" max="11775" width="13.7265625" style="33" customWidth="1"/>
    <col min="11776" max="11783" width="0" style="33" hidden="1" customWidth="1"/>
    <col min="11784" max="11784" width="10.7265625" style="33" customWidth="1"/>
    <col min="11785" max="12025" width="8.7265625" style="33"/>
    <col min="12026" max="12026" width="46.54296875" style="33" customWidth="1"/>
    <col min="12027" max="12027" width="32.453125" style="33" customWidth="1"/>
    <col min="12028" max="12028" width="22.7265625" style="33" customWidth="1"/>
    <col min="12029" max="12029" width="15.81640625" style="33" customWidth="1"/>
    <col min="12030" max="12030" width="16.1796875" style="33" customWidth="1"/>
    <col min="12031" max="12031" width="13.7265625" style="33" customWidth="1"/>
    <col min="12032" max="12039" width="0" style="33" hidden="1" customWidth="1"/>
    <col min="12040" max="12040" width="10.7265625" style="33" customWidth="1"/>
    <col min="12041" max="12281" width="8.7265625" style="33"/>
    <col min="12282" max="12282" width="46.54296875" style="33" customWidth="1"/>
    <col min="12283" max="12283" width="32.453125" style="33" customWidth="1"/>
    <col min="12284" max="12284" width="22.7265625" style="33" customWidth="1"/>
    <col min="12285" max="12285" width="15.81640625" style="33" customWidth="1"/>
    <col min="12286" max="12286" width="16.1796875" style="33" customWidth="1"/>
    <col min="12287" max="12287" width="13.7265625" style="33" customWidth="1"/>
    <col min="12288" max="12295" width="0" style="33" hidden="1" customWidth="1"/>
    <col min="12296" max="12296" width="10.7265625" style="33" customWidth="1"/>
    <col min="12297" max="12537" width="8.7265625" style="33"/>
    <col min="12538" max="12538" width="46.54296875" style="33" customWidth="1"/>
    <col min="12539" max="12539" width="32.453125" style="33" customWidth="1"/>
    <col min="12540" max="12540" width="22.7265625" style="33" customWidth="1"/>
    <col min="12541" max="12541" width="15.81640625" style="33" customWidth="1"/>
    <col min="12542" max="12542" width="16.1796875" style="33" customWidth="1"/>
    <col min="12543" max="12543" width="13.7265625" style="33" customWidth="1"/>
    <col min="12544" max="12551" width="0" style="33" hidden="1" customWidth="1"/>
    <col min="12552" max="12552" width="10.7265625" style="33" customWidth="1"/>
    <col min="12553" max="12793" width="8.7265625" style="33"/>
    <col min="12794" max="12794" width="46.54296875" style="33" customWidth="1"/>
    <col min="12795" max="12795" width="32.453125" style="33" customWidth="1"/>
    <col min="12796" max="12796" width="22.7265625" style="33" customWidth="1"/>
    <col min="12797" max="12797" width="15.81640625" style="33" customWidth="1"/>
    <col min="12798" max="12798" width="16.1796875" style="33" customWidth="1"/>
    <col min="12799" max="12799" width="13.7265625" style="33" customWidth="1"/>
    <col min="12800" max="12807" width="0" style="33" hidden="1" customWidth="1"/>
    <col min="12808" max="12808" width="10.7265625" style="33" customWidth="1"/>
    <col min="12809" max="13049" width="8.7265625" style="33"/>
    <col min="13050" max="13050" width="46.54296875" style="33" customWidth="1"/>
    <col min="13051" max="13051" width="32.453125" style="33" customWidth="1"/>
    <col min="13052" max="13052" width="22.7265625" style="33" customWidth="1"/>
    <col min="13053" max="13053" width="15.81640625" style="33" customWidth="1"/>
    <col min="13054" max="13054" width="16.1796875" style="33" customWidth="1"/>
    <col min="13055" max="13055" width="13.7265625" style="33" customWidth="1"/>
    <col min="13056" max="13063" width="0" style="33" hidden="1" customWidth="1"/>
    <col min="13064" max="13064" width="10.7265625" style="33" customWidth="1"/>
    <col min="13065" max="13305" width="8.7265625" style="33"/>
    <col min="13306" max="13306" width="46.54296875" style="33" customWidth="1"/>
    <col min="13307" max="13307" width="32.453125" style="33" customWidth="1"/>
    <col min="13308" max="13308" width="22.7265625" style="33" customWidth="1"/>
    <col min="13309" max="13309" width="15.81640625" style="33" customWidth="1"/>
    <col min="13310" max="13310" width="16.1796875" style="33" customWidth="1"/>
    <col min="13311" max="13311" width="13.7265625" style="33" customWidth="1"/>
    <col min="13312" max="13319" width="0" style="33" hidden="1" customWidth="1"/>
    <col min="13320" max="13320" width="10.7265625" style="33" customWidth="1"/>
    <col min="13321" max="13561" width="8.7265625" style="33"/>
    <col min="13562" max="13562" width="46.54296875" style="33" customWidth="1"/>
    <col min="13563" max="13563" width="32.453125" style="33" customWidth="1"/>
    <col min="13564" max="13564" width="22.7265625" style="33" customWidth="1"/>
    <col min="13565" max="13565" width="15.81640625" style="33" customWidth="1"/>
    <col min="13566" max="13566" width="16.1796875" style="33" customWidth="1"/>
    <col min="13567" max="13567" width="13.7265625" style="33" customWidth="1"/>
    <col min="13568" max="13575" width="0" style="33" hidden="1" customWidth="1"/>
    <col min="13576" max="13576" width="10.7265625" style="33" customWidth="1"/>
    <col min="13577" max="13817" width="8.7265625" style="33"/>
    <col min="13818" max="13818" width="46.54296875" style="33" customWidth="1"/>
    <col min="13819" max="13819" width="32.453125" style="33" customWidth="1"/>
    <col min="13820" max="13820" width="22.7265625" style="33" customWidth="1"/>
    <col min="13821" max="13821" width="15.81640625" style="33" customWidth="1"/>
    <col min="13822" max="13822" width="16.1796875" style="33" customWidth="1"/>
    <col min="13823" max="13823" width="13.7265625" style="33" customWidth="1"/>
    <col min="13824" max="13831" width="0" style="33" hidden="1" customWidth="1"/>
    <col min="13832" max="13832" width="10.7265625" style="33" customWidth="1"/>
    <col min="13833" max="14073" width="8.7265625" style="33"/>
    <col min="14074" max="14074" width="46.54296875" style="33" customWidth="1"/>
    <col min="14075" max="14075" width="32.453125" style="33" customWidth="1"/>
    <col min="14076" max="14076" width="22.7265625" style="33" customWidth="1"/>
    <col min="14077" max="14077" width="15.81640625" style="33" customWidth="1"/>
    <col min="14078" max="14078" width="16.1796875" style="33" customWidth="1"/>
    <col min="14079" max="14079" width="13.7265625" style="33" customWidth="1"/>
    <col min="14080" max="14087" width="0" style="33" hidden="1" customWidth="1"/>
    <col min="14088" max="14088" width="10.7265625" style="33" customWidth="1"/>
    <col min="14089" max="14329" width="8.7265625" style="33"/>
    <col min="14330" max="14330" width="46.54296875" style="33" customWidth="1"/>
    <col min="14331" max="14331" width="32.453125" style="33" customWidth="1"/>
    <col min="14332" max="14332" width="22.7265625" style="33" customWidth="1"/>
    <col min="14333" max="14333" width="15.81640625" style="33" customWidth="1"/>
    <col min="14334" max="14334" width="16.1796875" style="33" customWidth="1"/>
    <col min="14335" max="14335" width="13.7265625" style="33" customWidth="1"/>
    <col min="14336" max="14343" width="0" style="33" hidden="1" customWidth="1"/>
    <col min="14344" max="14344" width="10.7265625" style="33" customWidth="1"/>
    <col min="14345" max="14585" width="8.7265625" style="33"/>
    <col min="14586" max="14586" width="46.54296875" style="33" customWidth="1"/>
    <col min="14587" max="14587" width="32.453125" style="33" customWidth="1"/>
    <col min="14588" max="14588" width="22.7265625" style="33" customWidth="1"/>
    <col min="14589" max="14589" width="15.81640625" style="33" customWidth="1"/>
    <col min="14590" max="14590" width="16.1796875" style="33" customWidth="1"/>
    <col min="14591" max="14591" width="13.7265625" style="33" customWidth="1"/>
    <col min="14592" max="14599" width="0" style="33" hidden="1" customWidth="1"/>
    <col min="14600" max="14600" width="10.7265625" style="33" customWidth="1"/>
    <col min="14601" max="14841" width="8.7265625" style="33"/>
    <col min="14842" max="14842" width="46.54296875" style="33" customWidth="1"/>
    <col min="14843" max="14843" width="32.453125" style="33" customWidth="1"/>
    <col min="14844" max="14844" width="22.7265625" style="33" customWidth="1"/>
    <col min="14845" max="14845" width="15.81640625" style="33" customWidth="1"/>
    <col min="14846" max="14846" width="16.1796875" style="33" customWidth="1"/>
    <col min="14847" max="14847" width="13.7265625" style="33" customWidth="1"/>
    <col min="14848" max="14855" width="0" style="33" hidden="1" customWidth="1"/>
    <col min="14856" max="14856" width="10.7265625" style="33" customWidth="1"/>
    <col min="14857" max="15097" width="8.7265625" style="33"/>
    <col min="15098" max="15098" width="46.54296875" style="33" customWidth="1"/>
    <col min="15099" max="15099" width="32.453125" style="33" customWidth="1"/>
    <col min="15100" max="15100" width="22.7265625" style="33" customWidth="1"/>
    <col min="15101" max="15101" width="15.81640625" style="33" customWidth="1"/>
    <col min="15102" max="15102" width="16.1796875" style="33" customWidth="1"/>
    <col min="15103" max="15103" width="13.7265625" style="33" customWidth="1"/>
    <col min="15104" max="15111" width="0" style="33" hidden="1" customWidth="1"/>
    <col min="15112" max="15112" width="10.7265625" style="33" customWidth="1"/>
    <col min="15113" max="15353" width="8.7265625" style="33"/>
    <col min="15354" max="15354" width="46.54296875" style="33" customWidth="1"/>
    <col min="15355" max="15355" width="32.453125" style="33" customWidth="1"/>
    <col min="15356" max="15356" width="22.7265625" style="33" customWidth="1"/>
    <col min="15357" max="15357" width="15.81640625" style="33" customWidth="1"/>
    <col min="15358" max="15358" width="16.1796875" style="33" customWidth="1"/>
    <col min="15359" max="15359" width="13.7265625" style="33" customWidth="1"/>
    <col min="15360" max="15367" width="0" style="33" hidden="1" customWidth="1"/>
    <col min="15368" max="15368" width="10.7265625" style="33" customWidth="1"/>
    <col min="15369" max="15609" width="8.7265625" style="33"/>
    <col min="15610" max="15610" width="46.54296875" style="33" customWidth="1"/>
    <col min="15611" max="15611" width="32.453125" style="33" customWidth="1"/>
    <col min="15612" max="15612" width="22.7265625" style="33" customWidth="1"/>
    <col min="15613" max="15613" width="15.81640625" style="33" customWidth="1"/>
    <col min="15614" max="15614" width="16.1796875" style="33" customWidth="1"/>
    <col min="15615" max="15615" width="13.7265625" style="33" customWidth="1"/>
    <col min="15616" max="15623" width="0" style="33" hidden="1" customWidth="1"/>
    <col min="15624" max="15624" width="10.7265625" style="33" customWidth="1"/>
    <col min="15625" max="15865" width="8.7265625" style="33"/>
    <col min="15866" max="15866" width="46.54296875" style="33" customWidth="1"/>
    <col min="15867" max="15867" width="32.453125" style="33" customWidth="1"/>
    <col min="15868" max="15868" width="22.7265625" style="33" customWidth="1"/>
    <col min="15869" max="15869" width="15.81640625" style="33" customWidth="1"/>
    <col min="15870" max="15870" width="16.1796875" style="33" customWidth="1"/>
    <col min="15871" max="15871" width="13.7265625" style="33" customWidth="1"/>
    <col min="15872" max="15879" width="0" style="33" hidden="1" customWidth="1"/>
    <col min="15880" max="15880" width="10.7265625" style="33" customWidth="1"/>
    <col min="15881" max="16121" width="8.7265625" style="33"/>
    <col min="16122" max="16122" width="46.54296875" style="33" customWidth="1"/>
    <col min="16123" max="16123" width="32.453125" style="33" customWidth="1"/>
    <col min="16124" max="16124" width="22.7265625" style="33" customWidth="1"/>
    <col min="16125" max="16125" width="15.81640625" style="33" customWidth="1"/>
    <col min="16126" max="16126" width="16.1796875" style="33" customWidth="1"/>
    <col min="16127" max="16127" width="13.7265625" style="33" customWidth="1"/>
    <col min="16128" max="16135" width="0" style="33" hidden="1" customWidth="1"/>
    <col min="16136" max="16136" width="10.7265625" style="33" customWidth="1"/>
    <col min="16137" max="16384" width="8.7265625" style="33"/>
  </cols>
  <sheetData>
    <row r="2" spans="1:12" x14ac:dyDescent="0.25">
      <c r="G2" s="34"/>
    </row>
    <row r="3" spans="1:12" ht="13" x14ac:dyDescent="0.3">
      <c r="A3" s="36" t="s">
        <v>207</v>
      </c>
      <c r="B3" s="36"/>
      <c r="C3" s="36"/>
      <c r="D3" s="36"/>
      <c r="E3" s="36"/>
      <c r="F3" s="36"/>
      <c r="G3" s="36"/>
    </row>
    <row r="5" spans="1:12" x14ac:dyDescent="0.25">
      <c r="A5" s="33" t="s">
        <v>208</v>
      </c>
    </row>
    <row r="7" spans="1:12" ht="12.75" customHeight="1" x14ac:dyDescent="0.25">
      <c r="A7" s="37" t="s">
        <v>209</v>
      </c>
      <c r="B7" s="37"/>
      <c r="C7" s="37"/>
      <c r="D7" s="37"/>
      <c r="E7" s="37"/>
      <c r="F7" s="37"/>
    </row>
    <row r="8" spans="1:12" ht="39" x14ac:dyDescent="0.3">
      <c r="A8" s="38" t="s">
        <v>210</v>
      </c>
      <c r="B8" s="39" t="s">
        <v>211</v>
      </c>
      <c r="C8" s="39" t="s">
        <v>212</v>
      </c>
      <c r="D8" s="39" t="s">
        <v>213</v>
      </c>
      <c r="E8" s="39" t="s">
        <v>214</v>
      </c>
      <c r="F8" s="39" t="s">
        <v>215</v>
      </c>
      <c r="G8" s="39" t="s">
        <v>216</v>
      </c>
      <c r="H8" s="40" t="s">
        <v>217</v>
      </c>
    </row>
    <row r="9" spans="1:12" x14ac:dyDescent="0.25">
      <c r="A9" s="41" t="s">
        <v>218</v>
      </c>
      <c r="B9" s="42" t="s">
        <v>219</v>
      </c>
      <c r="C9" s="42" t="s">
        <v>25</v>
      </c>
      <c r="D9" s="43">
        <v>-16200</v>
      </c>
      <c r="E9" s="44">
        <v>3826.15</v>
      </c>
      <c r="F9" s="45">
        <v>3705.3</v>
      </c>
      <c r="G9" s="45">
        <v>105.82038449999999</v>
      </c>
      <c r="H9" s="45">
        <f>+(D9*F9)/100000</f>
        <v>-600.2586</v>
      </c>
      <c r="I9" s="33">
        <f>+D9*F9</f>
        <v>-60025860</v>
      </c>
      <c r="L9" s="46"/>
    </row>
    <row r="10" spans="1:12" s="35" customFormat="1" x14ac:dyDescent="0.25">
      <c r="A10" s="47"/>
      <c r="B10" s="48" t="s">
        <v>21</v>
      </c>
      <c r="C10" s="42" t="s">
        <v>22</v>
      </c>
      <c r="D10" s="43">
        <v>-30800</v>
      </c>
      <c r="E10" s="44">
        <v>4282.1990999999998</v>
      </c>
      <c r="F10" s="45">
        <v>4289.8</v>
      </c>
      <c r="G10" s="45">
        <v>233.45452899999998</v>
      </c>
      <c r="H10" s="45">
        <f>+(D10*F10)/100000</f>
        <v>-1321.2583999999999</v>
      </c>
      <c r="I10" s="33"/>
      <c r="J10" s="33"/>
      <c r="K10" s="33"/>
      <c r="L10" s="33"/>
    </row>
    <row r="13" spans="1:12" s="35" customFormat="1" x14ac:dyDescent="0.25">
      <c r="A13" s="33"/>
      <c r="B13" s="33"/>
      <c r="C13" s="33"/>
      <c r="D13" s="33"/>
      <c r="E13" s="33"/>
      <c r="F13" s="33"/>
      <c r="G13" s="33"/>
      <c r="H13" s="45">
        <f>SUM(H9:H10)</f>
        <v>-1921.5169999999998</v>
      </c>
      <c r="I13" s="33"/>
      <c r="J13" s="33"/>
      <c r="K13" s="33"/>
      <c r="L13" s="33"/>
    </row>
  </sheetData>
  <mergeCells count="2">
    <mergeCell ref="A3:G3"/>
    <mergeCell ref="A7:F7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2024-10-08T08:56:46Z</dcterms:created>
  <dcterms:modified xsi:type="dcterms:W3CDTF">2024-10-08T08:59:48Z</dcterms:modified>
</cp:coreProperties>
</file>