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AR" sheetId="1" r:id="rId1"/>
    <sheet name="DerivativeHDFCA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DerivativeHDFCAR!$A$8:$G$222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222" i="2" s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C222" i="2"/>
  <c r="D222" i="2"/>
  <c r="E222" i="2"/>
  <c r="F222" i="2"/>
</calcChain>
</file>

<file path=xl/sharedStrings.xml><?xml version="1.0" encoding="utf-8"?>
<sst xmlns="http://schemas.openxmlformats.org/spreadsheetml/2006/main" count="1992" uniqueCount="581">
  <si>
    <t>HDFC Arbitrage Fund (An open ended scheme investing in arbitrage opportunities)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</si>
  <si>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</si>
  <si>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</si>
  <si>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</si>
  <si>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</si>
  <si>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</si>
  <si>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</si>
  <si>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</si>
  <si>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</si>
  <si>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</si>
  <si>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</si>
  <si>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</si>
  <si>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</si>
  <si>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</si>
  <si>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</si>
  <si>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</si>
  <si>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</si>
  <si>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</si>
  <si>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</si>
  <si>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</si>
  <si>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</si>
  <si>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</si>
  <si>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</si>
  <si>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</si>
  <si>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</si>
  <si>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</si>
  <si>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</si>
  <si>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</si>
  <si>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</si>
  <si>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</si>
  <si>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</si>
  <si>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INE019A01038</t>
  </si>
  <si>
    <t>JSW Steel Ltd.</t>
  </si>
  <si>
    <t>Ferrous Metals</t>
  </si>
  <si>
    <t>INE154A01025</t>
  </si>
  <si>
    <t>ITC LIMITED</t>
  </si>
  <si>
    <t>Diversified FMCG</t>
  </si>
  <si>
    <t>INE047A01021</t>
  </si>
  <si>
    <t>Grasim Industries Ltd.</t>
  </si>
  <si>
    <t>Cement &amp; Cement Products</t>
  </si>
  <si>
    <t>INE238A01034</t>
  </si>
  <si>
    <t>Axis Bank Ltd.</t>
  </si>
  <si>
    <t>INE101A01026</t>
  </si>
  <si>
    <t>Mahindra &amp; Mahindra Ltd.</t>
  </si>
  <si>
    <t>Automobiles</t>
  </si>
  <si>
    <t>INE081A01020</t>
  </si>
  <si>
    <t>Tata Steel Ltd.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</si>
  <si>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</si>
  <si>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</si>
  <si>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</si>
  <si>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</si>
  <si>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</si>
  <si>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</si>
  <si>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</si>
  <si>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</si>
  <si>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</si>
  <si>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INE585B01010</t>
  </si>
  <si>
    <t>Maruti Suzuki India Limited</t>
  </si>
  <si>
    <t>INE237A01036</t>
  </si>
  <si>
    <t>Kotak Mahindra Bank Limited</t>
  </si>
  <si>
    <t>INE257A01026</t>
  </si>
  <si>
    <t>Bharat Heavy Electricals Ltd.</t>
  </si>
  <si>
    <t>Electrical Equipment</t>
  </si>
  <si>
    <t>INE758E01017</t>
  </si>
  <si>
    <t>Jio Financial Services Limited</t>
  </si>
  <si>
    <t>Finance</t>
  </si>
  <si>
    <t>INE721A01047</t>
  </si>
  <si>
    <t>Shriram Finance Ltd.</t>
  </si>
  <si>
    <t>INE745G01043</t>
  </si>
  <si>
    <t>Multi Commodity Exchange of India L</t>
  </si>
  <si>
    <t>Capital Markets</t>
  </si>
  <si>
    <t>INE018A01030</t>
  </si>
  <si>
    <t>Larsen and Toubro Ltd.</t>
  </si>
  <si>
    <t>Construction</t>
  </si>
  <si>
    <t>INE918I01026</t>
  </si>
  <si>
    <t>Bajaj Finserv Ltd.</t>
  </si>
  <si>
    <t>INE758T01015</t>
  </si>
  <si>
    <t>Eternal Limited</t>
  </si>
  <si>
    <t>Retailing</t>
  </si>
  <si>
    <t>INE196A01026</t>
  </si>
  <si>
    <t>Marico Ltd.</t>
  </si>
  <si>
    <t>Agricultural Food &amp; Other Products</t>
  </si>
  <si>
    <t>INE423A01024</t>
  </si>
  <si>
    <t>ADANI ENTERPRISES LIMTIED</t>
  </si>
  <si>
    <t>Metals &amp; Minerals Trading</t>
  </si>
  <si>
    <t>INE044A01036</t>
  </si>
  <si>
    <t>Sun Pharmaceutical Industries Ltd.</t>
  </si>
  <si>
    <t>Pharmaceuticals &amp; Biotechnology</t>
  </si>
  <si>
    <t>INE584A01023</t>
  </si>
  <si>
    <t>NMDC Limited</t>
  </si>
  <si>
    <t>Minerals &amp; Mining</t>
  </si>
  <si>
    <t>INE160A01022</t>
  </si>
  <si>
    <t>Punjab National Bank</t>
  </si>
  <si>
    <t>INE121A01024</t>
  </si>
  <si>
    <t>Cholamandalam Investment &amp; Finance Co. Ltd.</t>
  </si>
  <si>
    <t>INE494B01023</t>
  </si>
  <si>
    <t>TVS Motor Company Ltd.</t>
  </si>
  <si>
    <t>INE361B01024</t>
  </si>
  <si>
    <t>Divis Laboratories Ltd.</t>
  </si>
  <si>
    <t>INE028A01039</t>
  </si>
  <si>
    <t>Bank of Baroda</t>
  </si>
  <si>
    <t>INE115A01026</t>
  </si>
  <si>
    <t>LIC Housing Finance Ltd.</t>
  </si>
  <si>
    <t>INE742F01042</t>
  </si>
  <si>
    <t>Adani Ports &amp; Special Economic Zone</t>
  </si>
  <si>
    <t>Transport Infrastructure</t>
  </si>
  <si>
    <t>INE066A01021</t>
  </si>
  <si>
    <t>Eicher Motors Ltd.</t>
  </si>
  <si>
    <t>INE059A01026</t>
  </si>
  <si>
    <t>Cipla Ltd.</t>
  </si>
  <si>
    <t>INE139A01034</t>
  </si>
  <si>
    <t>National Aluminium Co. Ltd.</t>
  </si>
  <si>
    <t>Non - Ferrous Metals</t>
  </si>
  <si>
    <t>INE079A01024</t>
  </si>
  <si>
    <t>Ambuja Cements Ltd.</t>
  </si>
  <si>
    <t>INE669E01016</t>
  </si>
  <si>
    <t>VODAFONE IDEA LIMITED</t>
  </si>
  <si>
    <t>INE437A01024</t>
  </si>
  <si>
    <t>Apollo Hospitals Enterprise Ltd.</t>
  </si>
  <si>
    <t>Healthcare Services</t>
  </si>
  <si>
    <t>INE158A01026</t>
  </si>
  <si>
    <t>Hero MotoCorp Ltd.</t>
  </si>
  <si>
    <t>INE702C01027</t>
  </si>
  <si>
    <t>APL Apollo Tubes Ltd.</t>
  </si>
  <si>
    <t>Industrial Products</t>
  </si>
  <si>
    <t>INE476A01022</t>
  </si>
  <si>
    <t>Canara Bank</t>
  </si>
  <si>
    <t>INE239A01024</t>
  </si>
  <si>
    <t>Nestle India Ltd.</t>
  </si>
  <si>
    <t>Food Products</t>
  </si>
  <si>
    <t>INE114A01011</t>
  </si>
  <si>
    <t>Steel Authority Of India Ltd.</t>
  </si>
  <si>
    <t>INE213A01029</t>
  </si>
  <si>
    <t>Oil &amp; Natural Gas Corporation Ltd.</t>
  </si>
  <si>
    <t>Oil</t>
  </si>
  <si>
    <t>INE242A01010</t>
  </si>
  <si>
    <t>Indian Oil Corporation Ltd.</t>
  </si>
  <si>
    <t>INE528G01035</t>
  </si>
  <si>
    <t>Yes Bank Ltd.</t>
  </si>
  <si>
    <t>INE092T01019</t>
  </si>
  <si>
    <t>IDFC First Bank Limited</t>
  </si>
  <si>
    <t>INE066F01020</t>
  </si>
  <si>
    <t>Hindustan Aeronautics Limited</t>
  </si>
  <si>
    <t>INE038A01020</t>
  </si>
  <si>
    <t>Hindalco Industries Ltd.</t>
  </si>
  <si>
    <t>INE481G01011</t>
  </si>
  <si>
    <t>UltraTech Cement Limited</t>
  </si>
  <si>
    <t>INE148O01028</t>
  </si>
  <si>
    <t>Delhivery Limited</t>
  </si>
  <si>
    <t>Transport Services</t>
  </si>
  <si>
    <t>INE271C01023</t>
  </si>
  <si>
    <t>DLF LIMITED</t>
  </si>
  <si>
    <t>Realty</t>
  </si>
  <si>
    <t>INE674K01013</t>
  </si>
  <si>
    <t>Aditya Birla Capital ltd.</t>
  </si>
  <si>
    <t>INE021A01026</t>
  </si>
  <si>
    <t>Asian Paints Limited</t>
  </si>
  <si>
    <t>INE245A01021</t>
  </si>
  <si>
    <t>The Tata Power Company Ltd.</t>
  </si>
  <si>
    <t>INE935A01035</t>
  </si>
  <si>
    <t>Glenmark Pharmaceuticals Ltd.</t>
  </si>
  <si>
    <t>INE646L01027</t>
  </si>
  <si>
    <t>InterGlobe Aviation Ltd.</t>
  </si>
  <si>
    <t>INE931S01010</t>
  </si>
  <si>
    <t>Adani Energy Solutions  Limited</t>
  </si>
  <si>
    <t>INE726G01019</t>
  </si>
  <si>
    <t>ICICI Prudential Life Insurance Company Ltd.</t>
  </si>
  <si>
    <t>Insurance</t>
  </si>
  <si>
    <t>INE982J01020</t>
  </si>
  <si>
    <t>One 97 Communications Limited</t>
  </si>
  <si>
    <t>Financial Technology (Fintech)</t>
  </si>
  <si>
    <t>INE947Q01028</t>
  </si>
  <si>
    <t>Laurus Labs Ltd.</t>
  </si>
  <si>
    <t>INE296A01032</t>
  </si>
  <si>
    <t>Bajaj Finance Ltd.</t>
  </si>
  <si>
    <t>INE067A01029</t>
  </si>
  <si>
    <t>CG Power and Industrial Solutions Ltd.</t>
  </si>
  <si>
    <t>INE121J01017</t>
  </si>
  <si>
    <t>Indus Towers Limited</t>
  </si>
  <si>
    <t>INE775A01035</t>
  </si>
  <si>
    <t>Samvardhana Motherson International Ltd.</t>
  </si>
  <si>
    <t>Auto Components</t>
  </si>
  <si>
    <t>INE200M01039</t>
  </si>
  <si>
    <t>Varun Beverages Ltd</t>
  </si>
  <si>
    <t>Beverages</t>
  </si>
  <si>
    <t>INE591G01025</t>
  </si>
  <si>
    <t>Coforge Limited</t>
  </si>
  <si>
    <t>IT - Software</t>
  </si>
  <si>
    <t>INE267A01025</t>
  </si>
  <si>
    <t>Hindustan Zinc Ltd.</t>
  </si>
  <si>
    <t>INE670K01029</t>
  </si>
  <si>
    <t>Lodha Developers Limited</t>
  </si>
  <si>
    <t>INE752E01010</t>
  </si>
  <si>
    <t>Power Grid Corporation of India Ltd.</t>
  </si>
  <si>
    <t>INE628A01036</t>
  </si>
  <si>
    <t>UPL Ltd.</t>
  </si>
  <si>
    <t>Fertilizers &amp; Agrochemicals</t>
  </si>
  <si>
    <t>INE029A01011</t>
  </si>
  <si>
    <t>Bharat Petroleum Corporation Ltd.</t>
  </si>
  <si>
    <t>INE303R01014</t>
  </si>
  <si>
    <t>Kalyan Jewellers India Ltd</t>
  </si>
  <si>
    <t>INE062A01020</t>
  </si>
  <si>
    <t>State Bank of India</t>
  </si>
  <si>
    <t>INE388Y01029</t>
  </si>
  <si>
    <t>Fsn Ecommerce Ventures Limited (Nykaa)</t>
  </si>
  <si>
    <t>INE066P01011</t>
  </si>
  <si>
    <t>INOX Wind Limited</t>
  </si>
  <si>
    <t>INE180A01020</t>
  </si>
  <si>
    <t>Max Financial Services Ltd.</t>
  </si>
  <si>
    <t>INE148I01020</t>
  </si>
  <si>
    <t>Sammaan Capital Limited</t>
  </si>
  <si>
    <t>INE811K01011</t>
  </si>
  <si>
    <t>Prestige Estates Projects Ltd.</t>
  </si>
  <si>
    <t>INE364U01010</t>
  </si>
  <si>
    <t>Adani Green Energy Limited</t>
  </si>
  <si>
    <t>INE216A01030</t>
  </si>
  <si>
    <t>Britannia Industries Ltd.</t>
  </si>
  <si>
    <t>INE094A01015</t>
  </si>
  <si>
    <t>Hindustan Petroleum Corp. Ltd.</t>
  </si>
  <si>
    <t>INE053A01029</t>
  </si>
  <si>
    <t>Indian Hotels Company Ltd.</t>
  </si>
  <si>
    <t>Leisure Services</t>
  </si>
  <si>
    <t>INE976G01028</t>
  </si>
  <si>
    <t>RBL Bank Ltd.</t>
  </si>
  <si>
    <t>INE406A01037</t>
  </si>
  <si>
    <t>Aurobindo Pharma Ltd.</t>
  </si>
  <si>
    <t>INE795G01014</t>
  </si>
  <si>
    <t>HDFC Life Insurance Company Limited</t>
  </si>
  <si>
    <t>INE020B01018</t>
  </si>
  <si>
    <t>REC Limited.</t>
  </si>
  <si>
    <t>INE192R01011</t>
  </si>
  <si>
    <t>Avenue Supermarts Ltd.</t>
  </si>
  <si>
    <t>INE854D01024</t>
  </si>
  <si>
    <t>United Spirits Limited</t>
  </si>
  <si>
    <t>INE302A01020</t>
  </si>
  <si>
    <t>Exide Industries Ltd.</t>
  </si>
  <si>
    <t>INE027H01010</t>
  </si>
  <si>
    <t>Max Healthcare Institute Limited</t>
  </si>
  <si>
    <t>INE377N01017</t>
  </si>
  <si>
    <t>Waaree Energies Limited</t>
  </si>
  <si>
    <t>INE949L01017</t>
  </si>
  <si>
    <t>Au Small Finance Bank Ltd.</t>
  </si>
  <si>
    <t>INE111A01025</t>
  </si>
  <si>
    <t>Container Corporation of India Ltd.</t>
  </si>
  <si>
    <t>INE016A01026</t>
  </si>
  <si>
    <t>Dabur India Ltd.</t>
  </si>
  <si>
    <t>Personal Products</t>
  </si>
  <si>
    <t>INE121E01018</t>
  </si>
  <si>
    <t>JSW Energy Ltd.</t>
  </si>
  <si>
    <t>INE414G01012</t>
  </si>
  <si>
    <t>Muthoot Finance Ltd.</t>
  </si>
  <si>
    <t>INE084A01016</t>
  </si>
  <si>
    <t>Bank of India</t>
  </si>
  <si>
    <t>INE030A01027</t>
  </si>
  <si>
    <t>Hindustan Unilever Ltd.</t>
  </si>
  <si>
    <t>INE663F01032</t>
  </si>
  <si>
    <t>INFO EDGE (INDIA) LIMITED</t>
  </si>
  <si>
    <t>INE619A01035</t>
  </si>
  <si>
    <t>Patanjali Foods Limited</t>
  </si>
  <si>
    <t>INE010B01027</t>
  </si>
  <si>
    <t>Zydus Lifesciences Limited</t>
  </si>
  <si>
    <t>INE298A01020</t>
  </si>
  <si>
    <t>Cummins India Ltd.</t>
  </si>
  <si>
    <t>INE249Z01020</t>
  </si>
  <si>
    <t>Mazagon Dock Shipbuilders Ltd</t>
  </si>
  <si>
    <t>Industrial Manufacturing</t>
  </si>
  <si>
    <t>INE195A01028</t>
  </si>
  <si>
    <t>Supreme Industries Ltd.</t>
  </si>
  <si>
    <t>INE323A01026</t>
  </si>
  <si>
    <t>Bosch Limited</t>
  </si>
  <si>
    <t>INE061F01013</t>
  </si>
  <si>
    <t>Fortis Healthcare Limited</t>
  </si>
  <si>
    <t>INE009A01021</t>
  </si>
  <si>
    <t>Infosys Limited</t>
  </si>
  <si>
    <t>INE326A01037</t>
  </si>
  <si>
    <t>Lupin Ltd.</t>
  </si>
  <si>
    <t>INE095N01031</t>
  </si>
  <si>
    <t>NBCC (India) Limited</t>
  </si>
  <si>
    <t>INE417T01026</t>
  </si>
  <si>
    <t>PB Fintech Limited</t>
  </si>
  <si>
    <t>INE040H01021</t>
  </si>
  <si>
    <t>Suzlon Energy Ltd</t>
  </si>
  <si>
    <t>INE192A01025</t>
  </si>
  <si>
    <t>Tata Consumer Products Limited</t>
  </si>
  <si>
    <t>INE405E01023</t>
  </si>
  <si>
    <t>UNO Minda Limited</t>
  </si>
  <si>
    <t>INE572E01012</t>
  </si>
  <si>
    <t>PNB Housing Finance Ltd.</t>
  </si>
  <si>
    <t>INE647A01010</t>
  </si>
  <si>
    <t>SRF Ltd.</t>
  </si>
  <si>
    <t>Chemicals &amp; Petrochemicals</t>
  </si>
  <si>
    <t>INE776C01039</t>
  </si>
  <si>
    <t>GMR Airports Limited</t>
  </si>
  <si>
    <t>INE022Q01020</t>
  </si>
  <si>
    <t>Indian Energy Exchange Limited</t>
  </si>
  <si>
    <t>INE095A01012</t>
  </si>
  <si>
    <t>Indusind Bank Ltd.</t>
  </si>
  <si>
    <t>INE749A01030</t>
  </si>
  <si>
    <t>Jindal Steel Limited.</t>
  </si>
  <si>
    <t>INE878B01027</t>
  </si>
  <si>
    <t>KEI Industries Ltd.</t>
  </si>
  <si>
    <t>INE761H01022</t>
  </si>
  <si>
    <t>Page Industries Ltd</t>
  </si>
  <si>
    <t>Textiles &amp; Apparels</t>
  </si>
  <si>
    <t>INE134E01011</t>
  </si>
  <si>
    <t>Power Finance Corporation Ltd.</t>
  </si>
  <si>
    <t>INE466L01038</t>
  </si>
  <si>
    <t>360 ONE WAM LIMITED</t>
  </si>
  <si>
    <t>INE376G01013</t>
  </si>
  <si>
    <t>Biocon Ltd.</t>
  </si>
  <si>
    <t>INE704P01025</t>
  </si>
  <si>
    <t>Cochin Shipyard Ltd.</t>
  </si>
  <si>
    <t>INE318A01026</t>
  </si>
  <si>
    <t>Pidilite Industries Ltd.</t>
  </si>
  <si>
    <t>INE455K01017</t>
  </si>
  <si>
    <t>Polycab India Limited</t>
  </si>
  <si>
    <t>INE155A01022</t>
  </si>
  <si>
    <t>Tata Motors Passenger Vehicles Limited</t>
  </si>
  <si>
    <t>INE974X01010</t>
  </si>
  <si>
    <t>Tube Investments of India Ltd.</t>
  </si>
  <si>
    <t>INE692A01016</t>
  </si>
  <si>
    <t>Union Bank of India</t>
  </si>
  <si>
    <t>INE814H01029</t>
  </si>
  <si>
    <t>Adani Power (Mundra) Limited</t>
  </si>
  <si>
    <t>INE732I01021</t>
  </si>
  <si>
    <t>Angel One Ltd.</t>
  </si>
  <si>
    <t>INE522F01014</t>
  </si>
  <si>
    <t>Coal India Ltd.</t>
  </si>
  <si>
    <t>Consumable Fuels</t>
  </si>
  <si>
    <t>INE129A01019</t>
  </si>
  <si>
    <t>GAIL (India) Ltd.</t>
  </si>
  <si>
    <t>Gas</t>
  </si>
  <si>
    <t>INE102D01028</t>
  </si>
  <si>
    <t>Godrej Consumer Products Ltd.</t>
  </si>
  <si>
    <t>INE484J01027</t>
  </si>
  <si>
    <t>Godrej Properties Ltd.</t>
  </si>
  <si>
    <t>INE176B01034</t>
  </si>
  <si>
    <t>Havells India Ltd.</t>
  </si>
  <si>
    <t>INE848E01016</t>
  </si>
  <si>
    <t>NHPC Ltd.</t>
  </si>
  <si>
    <t>INE343H01029</t>
  </si>
  <si>
    <t>Solar Industries India Ltd.</t>
  </si>
  <si>
    <t>INE073K01018</t>
  </si>
  <si>
    <t>Sona Blw Precision Forgings</t>
  </si>
  <si>
    <t>INE211B01039</t>
  </si>
  <si>
    <t>The Phoenix Mills Limited</t>
  </si>
  <si>
    <t>INE118A01012</t>
  </si>
  <si>
    <t>Bajaj Holdings &amp; Investment Ltd</t>
  </si>
  <si>
    <t>INE07Y701011</t>
  </si>
  <si>
    <t>Hitachi Energy India Ltd.</t>
  </si>
  <si>
    <t>INE522D01027</t>
  </si>
  <si>
    <t>Manappuram Finance Ltd.</t>
  </si>
  <si>
    <t>INE356A01018</t>
  </si>
  <si>
    <t>MphasiS Limited.</t>
  </si>
  <si>
    <t>INE274J01014</t>
  </si>
  <si>
    <t>Oil India Limited</t>
  </si>
  <si>
    <t>INE123W01016</t>
  </si>
  <si>
    <t>SBI Life Insurance Company Ltd.</t>
  </si>
  <si>
    <t>INE00R701025</t>
  </si>
  <si>
    <t>Dalmia Bharat Ltd.</t>
  </si>
  <si>
    <t>@</t>
  </si>
  <si>
    <t>INE935N01020</t>
  </si>
  <si>
    <t>Dixon Technologies (India) Ltd.</t>
  </si>
  <si>
    <t>INE04I401011</t>
  </si>
  <si>
    <t>KPIT Technologies Ltd</t>
  </si>
  <si>
    <t>INE093I01010</t>
  </si>
  <si>
    <t>Oberoi Realty Ltd.</t>
  </si>
  <si>
    <t>INE347G01014</t>
  </si>
  <si>
    <t>Petronet LNG Ltd.</t>
  </si>
  <si>
    <t>INE00H001014</t>
  </si>
  <si>
    <t>Swiggy Limited</t>
  </si>
  <si>
    <t>Sub Total</t>
  </si>
  <si>
    <t>Total</t>
  </si>
  <si>
    <t>DEBT INSTRUMENTS</t>
  </si>
  <si>
    <t>Non-Convertible debentures / Bonds</t>
  </si>
  <si>
    <t>INE115A07JP4</t>
  </si>
  <si>
    <t>LIC Housing Finance Ltd.^</t>
  </si>
  <si>
    <t>CRISIL - AAA</t>
  </si>
  <si>
    <t>INE115A07JQ2</t>
  </si>
  <si>
    <t>MONEY MARKET INSTRUMENTS</t>
  </si>
  <si>
    <t>Certificate Of Deposit (CD)</t>
  </si>
  <si>
    <t>INE028A16LF7</t>
  </si>
  <si>
    <t>Bank of Baroda^</t>
  </si>
  <si>
    <t>CARE - A1+</t>
  </si>
  <si>
    <t>INE565A16BU8</t>
  </si>
  <si>
    <t>Indian Overseas Bank^</t>
  </si>
  <si>
    <t>INE028A16LL5</t>
  </si>
  <si>
    <t>INE562A16QO6</t>
  </si>
  <si>
    <t>Indian Bank^</t>
  </si>
  <si>
    <t>CRISIL - A1+</t>
  </si>
  <si>
    <t>INE028A16LC4</t>
  </si>
  <si>
    <t>INE514E16CO9</t>
  </si>
  <si>
    <t>Export - Import Bank of India^</t>
  </si>
  <si>
    <t>INE556F16BX0</t>
  </si>
  <si>
    <t>Small Industries Development Bank^</t>
  </si>
  <si>
    <t>INE692A16KU1</t>
  </si>
  <si>
    <t>Union Bank of India^</t>
  </si>
  <si>
    <t>ICRA - A1+</t>
  </si>
  <si>
    <t>INE160A16UL7</t>
  </si>
  <si>
    <t>Punjab National Bank^</t>
  </si>
  <si>
    <t>INE237AD6117</t>
  </si>
  <si>
    <t>Kotak Mahindra Bank Limited^</t>
  </si>
  <si>
    <t>INE160A16UT0</t>
  </si>
  <si>
    <t>INE028A16LD2</t>
  </si>
  <si>
    <t>INE476A16G36</t>
  </si>
  <si>
    <t>INE476A16H01</t>
  </si>
  <si>
    <t>Canara Bank^</t>
  </si>
  <si>
    <t>INE090AD6287</t>
  </si>
  <si>
    <t>ICICI Bank Ltd.^</t>
  </si>
  <si>
    <t>INE090AD6279</t>
  </si>
  <si>
    <t>INE562A16QM0</t>
  </si>
  <si>
    <t>INE565A16BR4</t>
  </si>
  <si>
    <t>INE237AD6141</t>
  </si>
  <si>
    <t>INE261F16AH2</t>
  </si>
  <si>
    <t>National Bank for Agri &amp; Rural Dev.^</t>
  </si>
  <si>
    <t>IND - A1+</t>
  </si>
  <si>
    <t>INE238AD6BW9</t>
  </si>
  <si>
    <t>Axis Bank Ltd.^</t>
  </si>
  <si>
    <t>INE160A16UH5</t>
  </si>
  <si>
    <t>INE556F16BI1</t>
  </si>
  <si>
    <t>TREPS - Tri-party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</si>
  <si>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</si>
  <si>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</si>
  <si>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</si>
  <si>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</si>
  <si>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</si>
  <si>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</si>
  <si>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INF179KB15Q6</t>
  </si>
  <si>
    <t>HDFC Ultra Short Term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</si>
  <si>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</si>
  <si>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</si>
  <si>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</si>
  <si>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</si>
  <si>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</si>
  <si>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</si>
  <si>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</si>
  <si>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</si>
  <si>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</si>
  <si>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</si>
  <si>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</si>
  <si>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</si>
  <si>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</si>
  <si>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</si>
  <si>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</si>
  <si>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</si>
  <si>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</si>
  <si>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</si>
  <si>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</si>
  <si>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</si>
  <si>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</si>
  <si>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</si>
  <si>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Retail IDCW Option</t>
  </si>
  <si>
    <t>Retail Quarterly IDCW Option</t>
  </si>
  <si>
    <t>Direct Plan - Quarterly IDCW Option</t>
  </si>
  <si>
    <t>Retail Growth Option</t>
  </si>
  <si>
    <t>Direct Plan - Growth Option</t>
  </si>
  <si>
    <t xml:space="preserve">Wholesale Monthly IDCW Option  </t>
  </si>
  <si>
    <t>Direct Plan - Wholesale Monthly IDCW Option</t>
  </si>
  <si>
    <t>Wholesale IDCW Option</t>
  </si>
  <si>
    <t xml:space="preserve">Direct Plan - Wholesale IDCW Option </t>
  </si>
  <si>
    <t>Wholesale Growth Option</t>
  </si>
  <si>
    <t>Direct Plan - Wholesale Growth Option</t>
  </si>
  <si>
    <t>Dividend History - Dividend declared during the month ended April 30,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</si>
  <si>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</si>
  <si>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</si>
  <si>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</si>
  <si>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</si>
  <si>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</si>
  <si>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</si>
  <si>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21-Apr-2026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</si>
  <si>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</si>
  <si>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</si>
  <si>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</si>
  <si>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</si>
  <si>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Rs.(1630346.18)Lacs</t>
  </si>
  <si>
    <t>6) Portfolio Turnover Ratio : 207.08%</t>
  </si>
  <si>
    <t>7) Annualised Portfolio YTM : 6.91%</t>
  </si>
  <si>
    <t>8) Macaulay Duration : 225.54 Days</t>
  </si>
  <si>
    <t>9) Residual Maturity (Average Portfolio Maturity-other than equity investments) : 226.41 Days</t>
  </si>
  <si>
    <t>10) Total value and percentage of Illiquid Equity Shares : Nil</t>
  </si>
  <si>
    <t>11) Debt instruments having structured obligations or credit enhancement features have been denoted with suffix as (SO) or (CE) respectively against the ratings of the instrument</t>
  </si>
  <si>
    <t>12) IDCW stands for Income Distribution cum Capital Withdrawal</t>
  </si>
  <si>
    <t>13) Riskometer based on Scheme Portfolio and Portfolio Benchmark "NIFTY 50 Arbitrage Index" as on Apr 30, 2026</t>
  </si>
  <si>
    <t>14) Please follow this link for Scheme Performances: https://www.hdfcfund.com/statutory-disclosure/scheme-performance</t>
  </si>
  <si>
    <t>Scheme Riskometer:</t>
  </si>
  <si>
    <t>Benchmark Riskometer:</t>
  </si>
  <si>
    <t>D.  Other than Hedging Positions through Options as on April 30, 2026 - Nil</t>
  </si>
  <si>
    <t>C.  Hedging Positions through Options as on April 30, 2026 - Nil</t>
  </si>
  <si>
    <t>B.  Other than Hedging Positions through Futures as on April 30, 2026 - Nil</t>
  </si>
  <si>
    <t>HDFC Arbitrage Fund</t>
  </si>
  <si>
    <t>Net Profit/(Loss) value on all contracts combined (Rs in lacs)</t>
  </si>
  <si>
    <t>Gross Notional Value of contracts where futures were sold (Rs in lacs)</t>
  </si>
  <si>
    <t>Gross Notional Value of contracts where futures were bought (Rs. in lacs)</t>
  </si>
  <si>
    <t xml:space="preserve">Total Number of contracts where futures were sold </t>
  </si>
  <si>
    <t>Total Number of contracts where futures were bought</t>
  </si>
  <si>
    <t>Scheme Name</t>
  </si>
  <si>
    <t>For the period ended April 30, 2026 following were the hedging transactions through futures which have been squared off/expired</t>
  </si>
  <si>
    <t>%</t>
  </si>
  <si>
    <t>Total %age of existing assets hedged through futures</t>
  </si>
  <si>
    <t>Eternal Ltd.</t>
  </si>
  <si>
    <t>Waaree Energies Ltd.</t>
  </si>
  <si>
    <t>Varun Beverages Ltd.</t>
  </si>
  <si>
    <t>UltraTech Cement Ltd.</t>
  </si>
  <si>
    <t>Tata Motors Passenger Vehicles Ltd.</t>
  </si>
  <si>
    <t>Agricultural Food &amp; other Products</t>
  </si>
  <si>
    <t>Tata Consumer Products Ltd.</t>
  </si>
  <si>
    <t>Tata Power Co. Ltd.</t>
  </si>
  <si>
    <t>Swiggy Ltd.</t>
  </si>
  <si>
    <t>Suzlon Energy Ltd.</t>
  </si>
  <si>
    <t>Sona BLW Precision Forgings Ltd.</t>
  </si>
  <si>
    <t>Steel Authority of India Ltd.</t>
  </si>
  <si>
    <t>REC Ltd.</t>
  </si>
  <si>
    <t>Patanjali Foods Ltd.</t>
  </si>
  <si>
    <t>Jio Financial Services Ltd.</t>
  </si>
  <si>
    <t>Polycab India Ltd.</t>
  </si>
  <si>
    <t>Phoenix Mills Ltd.</t>
  </si>
  <si>
    <t>PB Fintech Ltd.</t>
  </si>
  <si>
    <t>One 97 Communications Ltd.</t>
  </si>
  <si>
    <t>Page Industries Ltd.</t>
  </si>
  <si>
    <t>Oil India Ltd.</t>
  </si>
  <si>
    <t>NTPC Ltd.</t>
  </si>
  <si>
    <t>NMDC Ltd.</t>
  </si>
  <si>
    <t>Coforge Ltd.</t>
  </si>
  <si>
    <t>NBCC (India) Ltd.</t>
  </si>
  <si>
    <t>Info Edge (India) Ltd.</t>
  </si>
  <si>
    <t>Adani Ports and Special Economic Zone Ltd.</t>
  </si>
  <si>
    <t>MphasiS Ltd.</t>
  </si>
  <si>
    <t>UNO Minda Ltd.</t>
  </si>
  <si>
    <t>Bosch Ltd.</t>
  </si>
  <si>
    <t>Multi Commodity Exchange of India Ltd.</t>
  </si>
  <si>
    <t>United Spirits Ltd.</t>
  </si>
  <si>
    <t>Mazagoan Dock Shipbuilders Ltd.</t>
  </si>
  <si>
    <t>Max Healthcare Institute Ltd.</t>
  </si>
  <si>
    <t>Maruti Suzuki India Ltd.</t>
  </si>
  <si>
    <t>Lodha Developers Ltd.</t>
  </si>
  <si>
    <t>Larsen &amp; Toubro Ltd.</t>
  </si>
  <si>
    <t>KPIT Technologies Ltd.</t>
  </si>
  <si>
    <t>Kotak Mahindra Bank Ltd.</t>
  </si>
  <si>
    <t>Kalyan Jewellers India Ltd.</t>
  </si>
  <si>
    <t>Jindal Steel Ltd.</t>
  </si>
  <si>
    <t>ITC Ltd.</t>
  </si>
  <si>
    <t>Inox Wind Ltd.</t>
  </si>
  <si>
    <t>Indus Towers Ltd.</t>
  </si>
  <si>
    <t>Infosys Ltd.</t>
  </si>
  <si>
    <t>IndusInd Bank Ltd.</t>
  </si>
  <si>
    <t>Indian Energy Exchange Ltd.</t>
  </si>
  <si>
    <t>Indian Hotels Co. Ltd.</t>
  </si>
  <si>
    <t>360 ONE WAM Ltd.</t>
  </si>
  <si>
    <t>IDFC First Bank Ltd.</t>
  </si>
  <si>
    <t>Vodafone Idea Ltd.</t>
  </si>
  <si>
    <t>Sammaan Capital Ltd.</t>
  </si>
  <si>
    <t>Hindustan Petroleum Corporation Ltd.</t>
  </si>
  <si>
    <t>HDFC Life Insurance Company Ltd.</t>
  </si>
  <si>
    <t>HDFC Bank Ltd.</t>
  </si>
  <si>
    <t>Hindustan Aeronautics Ltd.</t>
  </si>
  <si>
    <t>GMR Airports Ltd.</t>
  </si>
  <si>
    <t>FSN E-Commerce Ventures Ltd.</t>
  </si>
  <si>
    <t>Fortis Healthcare Ltd.</t>
  </si>
  <si>
    <t>DLF Ltd.</t>
  </si>
  <si>
    <t>Divi's Laboratories Ltd.</t>
  </si>
  <si>
    <t>Delhivery Ltd.</t>
  </si>
  <si>
    <t>Cholamandalam Investment and Finance Company Ltd.</t>
  </si>
  <si>
    <t>Zydus Lifesciences Ltd.</t>
  </si>
  <si>
    <t>Bajaj Holdings &amp; Investment Ltd.</t>
  </si>
  <si>
    <t>AU Small Finance Bank Ltd.</t>
  </si>
  <si>
    <t>Asian Paints Ltd.</t>
  </si>
  <si>
    <t>Aditya Birla Capital Ltd.</t>
  </si>
  <si>
    <t>Adani Energy Solutions Ltd.</t>
  </si>
  <si>
    <t>Adani Power Ltd.</t>
  </si>
  <si>
    <t>Adani Enterprises Ltd.</t>
  </si>
  <si>
    <t>Adani Green Energy Ltd.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</si>
  <si>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</si>
  <si>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</si>
  <si>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</si>
  <si>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</si>
  <si>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</si>
  <si>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</si>
  <si>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</si>
  <si>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A.  Hedging Positions through Futures as on April 30, 2026</t>
  </si>
  <si>
    <t>Disclosure regarding Derivative positions pursuant to SEBI Circular no. CIR/IMD/DF/11/2010 dated August 18, 2010.</t>
  </si>
  <si>
    <t>DERIVATIVE DISCLOSURE - HDFC Arbitrage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</si>
</sst>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0"/>
    <numFmt numFmtId="165" formatCode="#,##0.000"/>
    <numFmt numFmtId="166" formatCode="[$-409]mmm\-yy;@"/>
    <numFmt numFmtId="167" formatCode="_(* #,##0.00_);_(* \(#,##0.00\);_(* &quot;-&quot;??_);_(@_)"/>
    <numFmt numFmtId="168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3" fillId="0" borderId="0"/>
    <xf numFmtId="167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167" fontId="14" fillId="0" borderId="0" xfId="1" applyNumberFormat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0" fontId="15" fillId="0" borderId="0" xfId="1" applyFont="1" applyFill="1" applyBorder="1" applyAlignment="1">
      <alignment horizontal="left" vertical="justify"/>
    </xf>
    <xf numFmtId="4" fontId="14" fillId="0" borderId="0" xfId="1" applyNumberFormat="1" applyFont="1" applyFill="1" applyBorder="1" applyAlignment="1"/>
    <xf numFmtId="167" fontId="14" fillId="0" borderId="0" xfId="2" applyFont="1" applyFill="1" applyBorder="1" applyAlignment="1"/>
    <xf numFmtId="0" fontId="15" fillId="0" borderId="0" xfId="1" applyFont="1" applyFill="1" applyBorder="1" applyAlignment="1"/>
    <xf numFmtId="4" fontId="15" fillId="0" borderId="0" xfId="1" applyNumberFormat="1" applyFont="1" applyFill="1" applyBorder="1" applyAlignment="1"/>
    <xf numFmtId="167" fontId="14" fillId="0" borderId="1" xfId="2" applyFont="1" applyFill="1" applyBorder="1" applyAlignment="1">
      <alignment horizontal="right"/>
    </xf>
    <xf numFmtId="167" fontId="14" fillId="0" borderId="2" xfId="2" applyFont="1" applyFill="1" applyBorder="1" applyAlignment="1">
      <alignment horizontal="right"/>
    </xf>
    <xf numFmtId="4" fontId="14" fillId="0" borderId="1" xfId="2" applyNumberFormat="1" applyFont="1" applyFill="1" applyBorder="1" applyAlignment="1">
      <alignment horizontal="right"/>
    </xf>
    <xf numFmtId="0" fontId="14" fillId="0" borderId="1" xfId="1" applyFont="1" applyFill="1" applyBorder="1" applyAlignment="1">
      <alignment vertical="top"/>
    </xf>
    <xf numFmtId="0" fontId="15" fillId="0" borderId="3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top"/>
    </xf>
    <xf numFmtId="0" fontId="15" fillId="0" borderId="0" xfId="1" applyFont="1" applyFill="1" applyBorder="1" applyAlignment="1">
      <alignment vertical="top"/>
    </xf>
    <xf numFmtId="4" fontId="14" fillId="0" borderId="1" xfId="3" applyNumberFormat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5" fillId="0" borderId="1" xfId="1" applyFont="1" applyFill="1" applyBorder="1" applyAlignment="1">
      <alignment horizontal="center" vertical="center" wrapText="1"/>
    </xf>
    <xf numFmtId="4" fontId="14" fillId="0" borderId="0" xfId="1" applyNumberFormat="1" applyFont="1" applyFill="1" applyBorder="1" applyAlignment="1">
      <alignment horizontal="right" vertical="top"/>
    </xf>
    <xf numFmtId="168" fontId="14" fillId="0" borderId="0" xfId="4" applyNumberFormat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top"/>
    </xf>
    <xf numFmtId="167" fontId="15" fillId="0" borderId="1" xfId="1" applyNumberFormat="1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>
      <alignment vertical="top"/>
    </xf>
    <xf numFmtId="167" fontId="14" fillId="0" borderId="1" xfId="2" applyFont="1" applyFill="1" applyBorder="1" applyAlignment="1"/>
    <xf numFmtId="4" fontId="14" fillId="0" borderId="1" xfId="2" applyNumberFormat="1" applyFont="1" applyFill="1" applyBorder="1" applyAlignment="1"/>
    <xf numFmtId="4" fontId="14" fillId="0" borderId="1" xfId="2" applyNumberFormat="1" applyFont="1" applyFill="1" applyBorder="1" applyAlignment="1">
      <alignment horizontal="right" vertical="top"/>
    </xf>
    <xf numFmtId="167" fontId="14" fillId="0" borderId="1" xfId="4" applyNumberFormat="1" applyFont="1" applyFill="1" applyBorder="1" applyAlignment="1">
      <alignment horizontal="right" vertical="center"/>
    </xf>
    <xf numFmtId="0" fontId="15" fillId="0" borderId="0" xfId="1" applyFont="1" applyFill="1" applyBorder="1" applyAlignment="1">
      <alignment vertical="center"/>
    </xf>
    <xf numFmtId="167" fontId="16" fillId="0" borderId="1" xfId="2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5">
    <cellStyle name="Comma 2" xfId="2"/>
    <cellStyle name="Comma 2 3" xfId="4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310</xdr:row>
      <xdr:rowOff>0</xdr:rowOff>
    </xdr:from>
    <xdr:to>
      <xdr:col>2</xdr:col>
      <xdr:colOff>1492250</xdr:colOff>
      <xdr:row>323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A4E18-7213-42DD-85C4-7D04129DF9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8000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2</xdr:col>
      <xdr:colOff>1492250</xdr:colOff>
      <xdr:row>339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7BBB7-17C5-4D2D-A1D1-78C3EABC6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0947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NICONF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>
        <row r="2">
          <cell r="A2" t="str">
            <v>HDFC500ETF</v>
          </cell>
          <cell r="B2" t="str">
            <v>HDFC BSE 500 ETF</v>
          </cell>
          <cell r="C2" t="str">
            <v>HDFC500ETF</v>
          </cell>
        </row>
        <row r="3">
          <cell r="A3" t="str">
            <v>HDFCBKEXTF</v>
          </cell>
          <cell r="C3" t="str">
            <v>HDFCBKEXTF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326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75" customHeight="1" x14ac:dyDescent="0.4">
      <c r="A1" s="37" t="s">
        <v>0</v>
      </c>
      <c r="B1" s="37" t="s">
        <v>0</v>
      </c>
      <c r="C1" s="37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37" t="s">
        <v>0</v>
      </c>
      <c r="I1" s="37" t="s">
        <v>0</v>
      </c>
      <c r="J1" s="37" t="s">
        <v>0</v>
      </c>
      <c r="K1" s="1" t="s">
        <v>1</v>
      </c>
      <c r="L1" s="2" t="s">
        <v>2</v>
      </c>
    </row>
    <row r="2" spans="1:12" x14ac:dyDescent="0.35">
      <c r="A2" s="38" t="s">
        <v>3</v>
      </c>
      <c r="B2" s="38" t="s">
        <v>3</v>
      </c>
      <c r="C2" s="38" t="s">
        <v>3</v>
      </c>
      <c r="D2" s="38" t="s">
        <v>3</v>
      </c>
      <c r="E2" s="38" t="s">
        <v>3</v>
      </c>
      <c r="F2" s="38" t="s">
        <v>3</v>
      </c>
      <c r="G2" s="38" t="s">
        <v>3</v>
      </c>
      <c r="H2" s="38" t="s">
        <v>3</v>
      </c>
      <c r="I2" s="38" t="s">
        <v>3</v>
      </c>
      <c r="J2" s="38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 x14ac:dyDescent="0.35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20719600</v>
      </c>
      <c r="G9" s="12">
        <v>159893.15</v>
      </c>
      <c r="H9" s="12">
        <v>6.54</v>
      </c>
      <c r="I9" s="13" t="s">
        <v>20</v>
      </c>
      <c r="J9" s="13" t="s">
        <v>20</v>
      </c>
      <c r="K9" s="14">
        <v>6.57</v>
      </c>
      <c r="L9" s="15">
        <v>0</v>
      </c>
    </row>
    <row r="10" spans="1:12" x14ac:dyDescent="0.35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25</v>
      </c>
      <c r="F10" s="11">
        <v>7833000</v>
      </c>
      <c r="G10" s="12">
        <v>112074.56</v>
      </c>
      <c r="H10" s="12">
        <v>4.59</v>
      </c>
      <c r="I10" s="13" t="s">
        <v>20</v>
      </c>
      <c r="J10" s="13" t="s">
        <v>20</v>
      </c>
      <c r="K10" s="14">
        <v>4.6099999999999994</v>
      </c>
      <c r="L10" s="15">
        <v>0</v>
      </c>
    </row>
    <row r="11" spans="1:12" x14ac:dyDescent="0.35">
      <c r="A11" s="9" t="s">
        <v>18</v>
      </c>
      <c r="B11" s="10" t="s">
        <v>26</v>
      </c>
      <c r="C11" s="10" t="s">
        <v>20</v>
      </c>
      <c r="D11" s="10" t="s">
        <v>27</v>
      </c>
      <c r="E11" s="10" t="s">
        <v>22</v>
      </c>
      <c r="F11" s="11">
        <v>6481300</v>
      </c>
      <c r="G11" s="12">
        <v>81884.740000000005</v>
      </c>
      <c r="H11" s="12">
        <v>3.35</v>
      </c>
      <c r="I11" s="13" t="s">
        <v>20</v>
      </c>
      <c r="J11" s="13" t="s">
        <v>20</v>
      </c>
      <c r="K11" s="14">
        <v>3.38</v>
      </c>
      <c r="L11" s="15">
        <v>0</v>
      </c>
    </row>
    <row r="12" spans="1:12" x14ac:dyDescent="0.35">
      <c r="A12" s="9" t="s">
        <v>18</v>
      </c>
      <c r="B12" s="10" t="s">
        <v>28</v>
      </c>
      <c r="C12" s="10" t="s">
        <v>20</v>
      </c>
      <c r="D12" s="10" t="s">
        <v>29</v>
      </c>
      <c r="E12" s="10" t="s">
        <v>30</v>
      </c>
      <c r="F12" s="11">
        <v>3516425</v>
      </c>
      <c r="G12" s="12">
        <v>66347.91</v>
      </c>
      <c r="H12" s="12">
        <v>2.71</v>
      </c>
      <c r="I12" s="13" t="s">
        <v>20</v>
      </c>
      <c r="J12" s="13" t="s">
        <v>20</v>
      </c>
      <c r="K12" s="14">
        <v>2.7199999999999998</v>
      </c>
      <c r="L12" s="15">
        <v>0</v>
      </c>
    </row>
    <row r="13" spans="1:12" x14ac:dyDescent="0.35">
      <c r="A13" s="9" t="s">
        <v>18</v>
      </c>
      <c r="B13" s="10" t="s">
        <v>31</v>
      </c>
      <c r="C13" s="10" t="s">
        <v>20</v>
      </c>
      <c r="D13" s="10" t="s">
        <v>32</v>
      </c>
      <c r="E13" s="10" t="s">
        <v>33</v>
      </c>
      <c r="F13" s="11">
        <v>4843800</v>
      </c>
      <c r="G13" s="12">
        <v>61249.85</v>
      </c>
      <c r="H13" s="12">
        <v>2.5099999999999998</v>
      </c>
      <c r="I13" s="13" t="s">
        <v>20</v>
      </c>
      <c r="J13" s="13" t="s">
        <v>20</v>
      </c>
      <c r="K13" s="14">
        <v>2.52</v>
      </c>
      <c r="L13" s="15">
        <v>0</v>
      </c>
    </row>
    <row r="14" spans="1:12" x14ac:dyDescent="0.35">
      <c r="A14" s="9" t="s">
        <v>18</v>
      </c>
      <c r="B14" s="10" t="s">
        <v>34</v>
      </c>
      <c r="C14" s="10" t="s">
        <v>20</v>
      </c>
      <c r="D14" s="10" t="s">
        <v>35</v>
      </c>
      <c r="E14" s="10" t="s">
        <v>36</v>
      </c>
      <c r="F14" s="11">
        <v>16316800</v>
      </c>
      <c r="G14" s="12">
        <v>51381.599999999999</v>
      </c>
      <c r="H14" s="12">
        <v>2.1</v>
      </c>
      <c r="I14" s="13" t="s">
        <v>20</v>
      </c>
      <c r="J14" s="13" t="s">
        <v>20</v>
      </c>
      <c r="K14" s="14">
        <v>2.1</v>
      </c>
      <c r="L14" s="15">
        <v>0</v>
      </c>
    </row>
    <row r="15" spans="1:12" x14ac:dyDescent="0.35">
      <c r="A15" s="9" t="s">
        <v>20</v>
      </c>
      <c r="B15" s="10" t="s">
        <v>37</v>
      </c>
      <c r="C15" s="10" t="s">
        <v>20</v>
      </c>
      <c r="D15" s="10" t="s">
        <v>38</v>
      </c>
      <c r="E15" s="10" t="s">
        <v>39</v>
      </c>
      <c r="F15" s="11">
        <v>1826250</v>
      </c>
      <c r="G15" s="12">
        <v>51034.559999999998</v>
      </c>
      <c r="H15" s="12">
        <v>2.09</v>
      </c>
      <c r="I15" s="13" t="s">
        <v>20</v>
      </c>
      <c r="J15" s="13" t="s">
        <v>20</v>
      </c>
      <c r="K15" s="14">
        <v>2.0999999999999996</v>
      </c>
      <c r="L15" s="15">
        <v>0</v>
      </c>
    </row>
    <row r="16" spans="1:12" x14ac:dyDescent="0.35">
      <c r="A16" s="9" t="s">
        <v>20</v>
      </c>
      <c r="B16" s="10" t="s">
        <v>40</v>
      </c>
      <c r="C16" s="10" t="s">
        <v>20</v>
      </c>
      <c r="D16" s="10" t="s">
        <v>41</v>
      </c>
      <c r="E16" s="10" t="s">
        <v>22</v>
      </c>
      <c r="F16" s="11">
        <v>3455625</v>
      </c>
      <c r="G16" s="12">
        <v>43827.69</v>
      </c>
      <c r="H16" s="12">
        <v>1.79</v>
      </c>
      <c r="I16" s="13" t="s">
        <v>20</v>
      </c>
      <c r="J16" s="13" t="s">
        <v>20</v>
      </c>
      <c r="K16" s="14">
        <v>1.81</v>
      </c>
      <c r="L16" s="15">
        <v>0</v>
      </c>
    </row>
    <row r="17" spans="1:12" x14ac:dyDescent="0.35">
      <c r="A17" s="9" t="s">
        <v>20</v>
      </c>
      <c r="B17" s="10" t="s">
        <v>42</v>
      </c>
      <c r="C17" s="10" t="s">
        <v>20</v>
      </c>
      <c r="D17" s="10" t="s">
        <v>43</v>
      </c>
      <c r="E17" s="10" t="s">
        <v>44</v>
      </c>
      <c r="F17" s="11">
        <v>1409400</v>
      </c>
      <c r="G17" s="12">
        <v>43656.17</v>
      </c>
      <c r="H17" s="12">
        <v>1.79</v>
      </c>
      <c r="I17" s="13" t="s">
        <v>20</v>
      </c>
      <c r="J17" s="13" t="s">
        <v>20</v>
      </c>
      <c r="K17" s="14">
        <v>1.8</v>
      </c>
      <c r="L17" s="15">
        <v>0</v>
      </c>
    </row>
    <row r="18" spans="1:12" x14ac:dyDescent="0.35">
      <c r="A18" s="9" t="s">
        <v>20</v>
      </c>
      <c r="B18" s="10" t="s">
        <v>45</v>
      </c>
      <c r="C18" s="10" t="s">
        <v>20</v>
      </c>
      <c r="D18" s="10" t="s">
        <v>46</v>
      </c>
      <c r="E18" s="10" t="s">
        <v>33</v>
      </c>
      <c r="F18" s="11">
        <v>19558000</v>
      </c>
      <c r="G18" s="12">
        <v>41337.79</v>
      </c>
      <c r="H18" s="12">
        <v>1.69</v>
      </c>
      <c r="I18" s="13" t="s">
        <v>20</v>
      </c>
      <c r="J18" s="13" t="s">
        <v>20</v>
      </c>
      <c r="K18" s="14">
        <v>1.7</v>
      </c>
      <c r="L18" s="15">
        <v>0</v>
      </c>
    </row>
    <row r="19" spans="1:12" x14ac:dyDescent="0.35">
      <c r="A19" s="9" t="s">
        <v>20</v>
      </c>
      <c r="B19" s="10" t="s">
        <v>47</v>
      </c>
      <c r="C19" s="10" t="s">
        <v>20</v>
      </c>
      <c r="D19" s="10" t="s">
        <v>48</v>
      </c>
      <c r="E19" s="10" t="s">
        <v>49</v>
      </c>
      <c r="F19" s="11">
        <v>9409500</v>
      </c>
      <c r="G19" s="12">
        <v>37558.019999999997</v>
      </c>
      <c r="H19" s="12">
        <v>1.54</v>
      </c>
      <c r="I19" s="13" t="s">
        <v>20</v>
      </c>
      <c r="J19" s="13" t="s">
        <v>20</v>
      </c>
      <c r="K19" s="14">
        <v>1.54</v>
      </c>
      <c r="L19" s="15">
        <v>0</v>
      </c>
    </row>
    <row r="20" spans="1:12" x14ac:dyDescent="0.35">
      <c r="A20" s="9" t="s">
        <v>20</v>
      </c>
      <c r="B20" s="10" t="s">
        <v>50</v>
      </c>
      <c r="C20" s="10" t="s">
        <v>20</v>
      </c>
      <c r="D20" s="10" t="s">
        <v>51</v>
      </c>
      <c r="E20" s="10" t="s">
        <v>52</v>
      </c>
      <c r="F20" s="11">
        <v>817950</v>
      </c>
      <c r="G20" s="12">
        <v>35868.74</v>
      </c>
      <c r="H20" s="12">
        <v>1.47</v>
      </c>
      <c r="I20" s="13" t="s">
        <v>20</v>
      </c>
      <c r="J20" s="13" t="s">
        <v>20</v>
      </c>
      <c r="K20" s="14">
        <v>1.4700000000000002</v>
      </c>
      <c r="L20" s="15">
        <v>0</v>
      </c>
    </row>
    <row r="21" spans="1:12" x14ac:dyDescent="0.35">
      <c r="A21" s="9" t="s">
        <v>20</v>
      </c>
      <c r="B21" s="10" t="s">
        <v>53</v>
      </c>
      <c r="C21" s="10" t="s">
        <v>20</v>
      </c>
      <c r="D21" s="10" t="s">
        <v>54</v>
      </c>
      <c r="E21" s="10" t="s">
        <v>55</v>
      </c>
      <c r="F21" s="11">
        <v>8210850</v>
      </c>
      <c r="G21" s="12">
        <v>35413.4</v>
      </c>
      <c r="H21" s="12">
        <v>1.45</v>
      </c>
      <c r="I21" s="13" t="s">
        <v>20</v>
      </c>
      <c r="J21" s="13" t="s">
        <v>20</v>
      </c>
      <c r="K21" s="14">
        <v>1.46</v>
      </c>
      <c r="L21" s="15">
        <v>0</v>
      </c>
    </row>
    <row r="22" spans="1:12" x14ac:dyDescent="0.35">
      <c r="A22" s="9" t="s">
        <v>20</v>
      </c>
      <c r="B22" s="10" t="s">
        <v>56</v>
      </c>
      <c r="C22" s="10" t="s">
        <v>20</v>
      </c>
      <c r="D22" s="10" t="s">
        <v>57</v>
      </c>
      <c r="E22" s="10" t="s">
        <v>44</v>
      </c>
      <c r="F22" s="11">
        <v>236100</v>
      </c>
      <c r="G22" s="12">
        <v>31434.35</v>
      </c>
      <c r="H22" s="12">
        <v>1.29</v>
      </c>
      <c r="I22" s="13" t="s">
        <v>20</v>
      </c>
      <c r="J22" s="13" t="s">
        <v>20</v>
      </c>
      <c r="K22" s="14">
        <v>1.29</v>
      </c>
      <c r="L22" s="15">
        <v>0</v>
      </c>
    </row>
    <row r="23" spans="1:12" x14ac:dyDescent="0.35">
      <c r="A23" s="9" t="s">
        <v>20</v>
      </c>
      <c r="B23" s="10" t="s">
        <v>58</v>
      </c>
      <c r="C23" s="10" t="s">
        <v>20</v>
      </c>
      <c r="D23" s="10" t="s">
        <v>59</v>
      </c>
      <c r="E23" s="10" t="s">
        <v>22</v>
      </c>
      <c r="F23" s="11">
        <v>7758000</v>
      </c>
      <c r="G23" s="12">
        <v>29736.41</v>
      </c>
      <c r="H23" s="12">
        <v>1.22</v>
      </c>
      <c r="I23" s="13" t="s">
        <v>20</v>
      </c>
      <c r="J23" s="13" t="s">
        <v>20</v>
      </c>
      <c r="K23" s="14">
        <v>1.23</v>
      </c>
      <c r="L23" s="15">
        <v>0</v>
      </c>
    </row>
    <row r="24" spans="1:12" x14ac:dyDescent="0.35">
      <c r="A24" s="9" t="s">
        <v>20</v>
      </c>
      <c r="B24" s="10" t="s">
        <v>60</v>
      </c>
      <c r="C24" s="10" t="s">
        <v>20</v>
      </c>
      <c r="D24" s="10" t="s">
        <v>61</v>
      </c>
      <c r="E24" s="10" t="s">
        <v>62</v>
      </c>
      <c r="F24" s="11">
        <v>8200500</v>
      </c>
      <c r="G24" s="12">
        <v>28899.38</v>
      </c>
      <c r="H24" s="12">
        <v>1.18</v>
      </c>
      <c r="I24" s="13" t="s">
        <v>20</v>
      </c>
      <c r="J24" s="13" t="s">
        <v>20</v>
      </c>
      <c r="K24" s="14">
        <v>1.19</v>
      </c>
      <c r="L24" s="15">
        <v>0</v>
      </c>
    </row>
    <row r="25" spans="1:12" x14ac:dyDescent="0.35">
      <c r="A25" s="9" t="s">
        <v>20</v>
      </c>
      <c r="B25" s="10" t="s">
        <v>63</v>
      </c>
      <c r="C25" s="10" t="s">
        <v>20</v>
      </c>
      <c r="D25" s="10" t="s">
        <v>64</v>
      </c>
      <c r="E25" s="10" t="s">
        <v>65</v>
      </c>
      <c r="F25" s="11">
        <v>10589100</v>
      </c>
      <c r="G25" s="12">
        <v>26088.37</v>
      </c>
      <c r="H25" s="12">
        <v>1.07</v>
      </c>
      <c r="I25" s="13" t="s">
        <v>20</v>
      </c>
      <c r="J25" s="13" t="s">
        <v>20</v>
      </c>
      <c r="K25" s="14">
        <v>1.07</v>
      </c>
      <c r="L25" s="15">
        <v>0</v>
      </c>
    </row>
    <row r="26" spans="1:12" x14ac:dyDescent="0.35">
      <c r="A26" s="9" t="s">
        <v>20</v>
      </c>
      <c r="B26" s="10" t="s">
        <v>66</v>
      </c>
      <c r="C26" s="10" t="s">
        <v>20</v>
      </c>
      <c r="D26" s="10" t="s">
        <v>67</v>
      </c>
      <c r="E26" s="10" t="s">
        <v>65</v>
      </c>
      <c r="F26" s="11">
        <v>2296800</v>
      </c>
      <c r="G26" s="12">
        <v>21529.05</v>
      </c>
      <c r="H26" s="12">
        <v>0.88</v>
      </c>
      <c r="I26" s="13" t="s">
        <v>20</v>
      </c>
      <c r="J26" s="13" t="s">
        <v>20</v>
      </c>
      <c r="K26" s="14">
        <v>0.88</v>
      </c>
      <c r="L26" s="15">
        <v>0</v>
      </c>
    </row>
    <row r="27" spans="1:12" x14ac:dyDescent="0.35">
      <c r="A27" s="9" t="s">
        <v>20</v>
      </c>
      <c r="B27" s="10" t="s">
        <v>68</v>
      </c>
      <c r="C27" s="10" t="s">
        <v>20</v>
      </c>
      <c r="D27" s="10" t="s">
        <v>69</v>
      </c>
      <c r="E27" s="10" t="s">
        <v>70</v>
      </c>
      <c r="F27" s="11">
        <v>718750</v>
      </c>
      <c r="G27" s="12">
        <v>21357.66</v>
      </c>
      <c r="H27" s="12">
        <v>0.87</v>
      </c>
      <c r="I27" s="13" t="s">
        <v>20</v>
      </c>
      <c r="J27" s="13" t="s">
        <v>20</v>
      </c>
      <c r="K27" s="14">
        <v>0.88</v>
      </c>
      <c r="L27" s="15">
        <v>0</v>
      </c>
    </row>
    <row r="28" spans="1:12" x14ac:dyDescent="0.35">
      <c r="A28" s="9" t="s">
        <v>20</v>
      </c>
      <c r="B28" s="10" t="s">
        <v>71</v>
      </c>
      <c r="C28" s="10" t="s">
        <v>20</v>
      </c>
      <c r="D28" s="10" t="s">
        <v>72</v>
      </c>
      <c r="E28" s="10" t="s">
        <v>73</v>
      </c>
      <c r="F28" s="11">
        <v>522900</v>
      </c>
      <c r="G28" s="12">
        <v>20989.21</v>
      </c>
      <c r="H28" s="12">
        <v>0.86</v>
      </c>
      <c r="I28" s="13" t="s">
        <v>20</v>
      </c>
      <c r="J28" s="13" t="s">
        <v>20</v>
      </c>
      <c r="K28" s="14">
        <v>0.86</v>
      </c>
      <c r="L28" s="15">
        <v>0</v>
      </c>
    </row>
    <row r="29" spans="1:12" x14ac:dyDescent="0.35">
      <c r="A29" s="9" t="s">
        <v>20</v>
      </c>
      <c r="B29" s="10" t="s">
        <v>74</v>
      </c>
      <c r="C29" s="10" t="s">
        <v>20</v>
      </c>
      <c r="D29" s="10" t="s">
        <v>75</v>
      </c>
      <c r="E29" s="10" t="s">
        <v>65</v>
      </c>
      <c r="F29" s="11">
        <v>952250</v>
      </c>
      <c r="G29" s="12">
        <v>16637.71</v>
      </c>
      <c r="H29" s="12">
        <v>0.68</v>
      </c>
      <c r="I29" s="13" t="s">
        <v>20</v>
      </c>
      <c r="J29" s="13" t="s">
        <v>20</v>
      </c>
      <c r="K29" s="14">
        <v>0.68</v>
      </c>
      <c r="L29" s="15">
        <v>0</v>
      </c>
    </row>
    <row r="30" spans="1:12" x14ac:dyDescent="0.35">
      <c r="A30" s="9" t="s">
        <v>20</v>
      </c>
      <c r="B30" s="10" t="s">
        <v>76</v>
      </c>
      <c r="C30" s="10" t="s">
        <v>20</v>
      </c>
      <c r="D30" s="10" t="s">
        <v>77</v>
      </c>
      <c r="E30" s="10" t="s">
        <v>78</v>
      </c>
      <c r="F30" s="11">
        <v>6763325</v>
      </c>
      <c r="G30" s="12">
        <v>16707.439999999999</v>
      </c>
      <c r="H30" s="12">
        <v>0.68</v>
      </c>
      <c r="I30" s="13" t="s">
        <v>20</v>
      </c>
      <c r="J30" s="13" t="s">
        <v>20</v>
      </c>
      <c r="K30" s="14">
        <v>0.68</v>
      </c>
      <c r="L30" s="15">
        <v>0</v>
      </c>
    </row>
    <row r="31" spans="1:12" x14ac:dyDescent="0.35">
      <c r="A31" s="9" t="s">
        <v>20</v>
      </c>
      <c r="B31" s="10" t="s">
        <v>79</v>
      </c>
      <c r="C31" s="10" t="s">
        <v>20</v>
      </c>
      <c r="D31" s="10" t="s">
        <v>80</v>
      </c>
      <c r="E31" s="10" t="s">
        <v>81</v>
      </c>
      <c r="F31" s="11">
        <v>2144400</v>
      </c>
      <c r="G31" s="12">
        <v>16619.099999999999</v>
      </c>
      <c r="H31" s="12">
        <v>0.68</v>
      </c>
      <c r="I31" s="13" t="s">
        <v>20</v>
      </c>
      <c r="J31" s="13" t="s">
        <v>20</v>
      </c>
      <c r="K31" s="14">
        <v>0.68</v>
      </c>
      <c r="L31" s="15">
        <v>0</v>
      </c>
    </row>
    <row r="32" spans="1:12" x14ac:dyDescent="0.35">
      <c r="A32" s="9" t="s">
        <v>20</v>
      </c>
      <c r="B32" s="10" t="s">
        <v>82</v>
      </c>
      <c r="C32" s="10" t="s">
        <v>20</v>
      </c>
      <c r="D32" s="10" t="s">
        <v>83</v>
      </c>
      <c r="E32" s="10" t="s">
        <v>84</v>
      </c>
      <c r="F32" s="11">
        <v>626961</v>
      </c>
      <c r="G32" s="12">
        <v>15099.73</v>
      </c>
      <c r="H32" s="12">
        <v>0.62</v>
      </c>
      <c r="I32" s="13" t="s">
        <v>20</v>
      </c>
      <c r="J32" s="13" t="s">
        <v>20</v>
      </c>
      <c r="K32" s="14">
        <v>0.62</v>
      </c>
      <c r="L32" s="15">
        <v>0</v>
      </c>
    </row>
    <row r="33" spans="1:12" x14ac:dyDescent="0.35">
      <c r="A33" s="9" t="s">
        <v>20</v>
      </c>
      <c r="B33" s="10" t="s">
        <v>85</v>
      </c>
      <c r="C33" s="10" t="s">
        <v>20</v>
      </c>
      <c r="D33" s="10" t="s">
        <v>86</v>
      </c>
      <c r="E33" s="10" t="s">
        <v>87</v>
      </c>
      <c r="F33" s="11">
        <v>835800</v>
      </c>
      <c r="G33" s="12">
        <v>15113.77</v>
      </c>
      <c r="H33" s="12">
        <v>0.62</v>
      </c>
      <c r="I33" s="13" t="s">
        <v>20</v>
      </c>
      <c r="J33" s="13" t="s">
        <v>20</v>
      </c>
      <c r="K33" s="14">
        <v>0.62</v>
      </c>
      <c r="L33" s="15">
        <v>0</v>
      </c>
    </row>
    <row r="34" spans="1:12" x14ac:dyDescent="0.35">
      <c r="A34" s="9" t="s">
        <v>20</v>
      </c>
      <c r="B34" s="10" t="s">
        <v>88</v>
      </c>
      <c r="C34" s="10" t="s">
        <v>20</v>
      </c>
      <c r="D34" s="10" t="s">
        <v>89</v>
      </c>
      <c r="E34" s="10" t="s">
        <v>90</v>
      </c>
      <c r="F34" s="11">
        <v>16017750</v>
      </c>
      <c r="G34" s="12">
        <v>14475.24</v>
      </c>
      <c r="H34" s="12">
        <v>0.59</v>
      </c>
      <c r="I34" s="13" t="s">
        <v>20</v>
      </c>
      <c r="J34" s="13" t="s">
        <v>20</v>
      </c>
      <c r="K34" s="14">
        <v>0.6</v>
      </c>
      <c r="L34" s="15">
        <v>0</v>
      </c>
    </row>
    <row r="35" spans="1:12" x14ac:dyDescent="0.35">
      <c r="A35" s="9" t="s">
        <v>20</v>
      </c>
      <c r="B35" s="10" t="s">
        <v>91</v>
      </c>
      <c r="C35" s="10" t="s">
        <v>20</v>
      </c>
      <c r="D35" s="10" t="s">
        <v>92</v>
      </c>
      <c r="E35" s="10" t="s">
        <v>22</v>
      </c>
      <c r="F35" s="11">
        <v>12960000</v>
      </c>
      <c r="G35" s="12">
        <v>14173.06</v>
      </c>
      <c r="H35" s="12">
        <v>0.57999999999999996</v>
      </c>
      <c r="I35" s="13" t="s">
        <v>20</v>
      </c>
      <c r="J35" s="13" t="s">
        <v>20</v>
      </c>
      <c r="K35" s="14">
        <v>0.59</v>
      </c>
      <c r="L35" s="15">
        <v>0</v>
      </c>
    </row>
    <row r="36" spans="1:12" x14ac:dyDescent="0.35">
      <c r="A36" s="9" t="s">
        <v>20</v>
      </c>
      <c r="B36" s="10" t="s">
        <v>93</v>
      </c>
      <c r="C36" s="10" t="s">
        <v>20</v>
      </c>
      <c r="D36" s="10" t="s">
        <v>94</v>
      </c>
      <c r="E36" s="10" t="s">
        <v>65</v>
      </c>
      <c r="F36" s="11">
        <v>885625</v>
      </c>
      <c r="G36" s="12">
        <v>13841.43</v>
      </c>
      <c r="H36" s="12">
        <v>0.56999999999999995</v>
      </c>
      <c r="I36" s="13" t="s">
        <v>20</v>
      </c>
      <c r="J36" s="13" t="s">
        <v>20</v>
      </c>
      <c r="K36" s="14">
        <v>0.56999999999999995</v>
      </c>
      <c r="L36" s="15">
        <v>0</v>
      </c>
    </row>
    <row r="37" spans="1:12" x14ac:dyDescent="0.35">
      <c r="A37" s="9" t="s">
        <v>20</v>
      </c>
      <c r="B37" s="10" t="s">
        <v>95</v>
      </c>
      <c r="C37" s="10" t="s">
        <v>20</v>
      </c>
      <c r="D37" s="10" t="s">
        <v>96</v>
      </c>
      <c r="E37" s="10" t="s">
        <v>44</v>
      </c>
      <c r="F37" s="11">
        <v>383775</v>
      </c>
      <c r="G37" s="12">
        <v>13404.88</v>
      </c>
      <c r="H37" s="12">
        <v>0.55000000000000004</v>
      </c>
      <c r="I37" s="13" t="s">
        <v>20</v>
      </c>
      <c r="J37" s="13" t="s">
        <v>20</v>
      </c>
      <c r="K37" s="14">
        <v>0.55000000000000004</v>
      </c>
      <c r="L37" s="15">
        <v>0</v>
      </c>
    </row>
    <row r="38" spans="1:12" x14ac:dyDescent="0.35">
      <c r="A38" s="9" t="s">
        <v>20</v>
      </c>
      <c r="B38" s="10" t="s">
        <v>97</v>
      </c>
      <c r="C38" s="10" t="s">
        <v>20</v>
      </c>
      <c r="D38" s="10" t="s">
        <v>98</v>
      </c>
      <c r="E38" s="10" t="s">
        <v>87</v>
      </c>
      <c r="F38" s="11">
        <v>203800</v>
      </c>
      <c r="G38" s="12">
        <v>13252.1</v>
      </c>
      <c r="H38" s="12">
        <v>0.54</v>
      </c>
      <c r="I38" s="13" t="s">
        <v>20</v>
      </c>
      <c r="J38" s="13" t="s">
        <v>20</v>
      </c>
      <c r="K38" s="14">
        <v>0.54</v>
      </c>
      <c r="L38" s="15">
        <v>0</v>
      </c>
    </row>
    <row r="39" spans="1:12" x14ac:dyDescent="0.35">
      <c r="A39" s="9" t="s">
        <v>20</v>
      </c>
      <c r="B39" s="10" t="s">
        <v>99</v>
      </c>
      <c r="C39" s="10" t="s">
        <v>20</v>
      </c>
      <c r="D39" s="10" t="s">
        <v>100</v>
      </c>
      <c r="E39" s="10" t="s">
        <v>22</v>
      </c>
      <c r="F39" s="11">
        <v>4729725</v>
      </c>
      <c r="G39" s="12">
        <v>12460.93</v>
      </c>
      <c r="H39" s="12">
        <v>0.51</v>
      </c>
      <c r="I39" s="13" t="s">
        <v>20</v>
      </c>
      <c r="J39" s="13" t="s">
        <v>20</v>
      </c>
      <c r="K39" s="14">
        <v>0.51</v>
      </c>
      <c r="L39" s="15">
        <v>0</v>
      </c>
    </row>
    <row r="40" spans="1:12" x14ac:dyDescent="0.35">
      <c r="A40" s="9" t="s">
        <v>20</v>
      </c>
      <c r="B40" s="10" t="s">
        <v>101</v>
      </c>
      <c r="C40" s="10" t="s">
        <v>20</v>
      </c>
      <c r="D40" s="10" t="s">
        <v>102</v>
      </c>
      <c r="E40" s="10" t="s">
        <v>65</v>
      </c>
      <c r="F40" s="11">
        <v>2266000</v>
      </c>
      <c r="G40" s="12">
        <v>12569.5</v>
      </c>
      <c r="H40" s="12">
        <v>0.51</v>
      </c>
      <c r="I40" s="13" t="s">
        <v>20</v>
      </c>
      <c r="J40" s="13" t="s">
        <v>20</v>
      </c>
      <c r="K40" s="14">
        <v>0.52</v>
      </c>
      <c r="L40" s="15">
        <v>0</v>
      </c>
    </row>
    <row r="41" spans="1:12" x14ac:dyDescent="0.35">
      <c r="A41" s="9" t="s">
        <v>20</v>
      </c>
      <c r="B41" s="10" t="s">
        <v>103</v>
      </c>
      <c r="C41" s="10" t="s">
        <v>20</v>
      </c>
      <c r="D41" s="10" t="s">
        <v>104</v>
      </c>
      <c r="E41" s="10" t="s">
        <v>105</v>
      </c>
      <c r="F41" s="11">
        <v>725800</v>
      </c>
      <c r="G41" s="12">
        <v>12028.68</v>
      </c>
      <c r="H41" s="12">
        <v>0.49</v>
      </c>
      <c r="I41" s="13" t="s">
        <v>20</v>
      </c>
      <c r="J41" s="13" t="s">
        <v>20</v>
      </c>
      <c r="K41" s="14">
        <v>0.49</v>
      </c>
      <c r="L41" s="15">
        <v>0</v>
      </c>
    </row>
    <row r="42" spans="1:12" x14ac:dyDescent="0.35">
      <c r="A42" s="9" t="s">
        <v>20</v>
      </c>
      <c r="B42" s="10" t="s">
        <v>106</v>
      </c>
      <c r="C42" s="10" t="s">
        <v>20</v>
      </c>
      <c r="D42" s="10" t="s">
        <v>107</v>
      </c>
      <c r="E42" s="10" t="s">
        <v>44</v>
      </c>
      <c r="F42" s="11">
        <v>167900</v>
      </c>
      <c r="G42" s="12">
        <v>11936.01</v>
      </c>
      <c r="H42" s="12">
        <v>0.49</v>
      </c>
      <c r="I42" s="13" t="s">
        <v>20</v>
      </c>
      <c r="J42" s="13" t="s">
        <v>20</v>
      </c>
      <c r="K42" s="14">
        <v>0.49</v>
      </c>
      <c r="L42" s="15">
        <v>0</v>
      </c>
    </row>
    <row r="43" spans="1:12" x14ac:dyDescent="0.35">
      <c r="A43" s="9" t="s">
        <v>20</v>
      </c>
      <c r="B43" s="10" t="s">
        <v>108</v>
      </c>
      <c r="C43" s="10" t="s">
        <v>20</v>
      </c>
      <c r="D43" s="10" t="s">
        <v>109</v>
      </c>
      <c r="E43" s="10" t="s">
        <v>87</v>
      </c>
      <c r="F43" s="11">
        <v>887250</v>
      </c>
      <c r="G43" s="12">
        <v>11619.43</v>
      </c>
      <c r="H43" s="12">
        <v>0.48</v>
      </c>
      <c r="I43" s="13" t="s">
        <v>20</v>
      </c>
      <c r="J43" s="13" t="s">
        <v>20</v>
      </c>
      <c r="K43" s="14">
        <v>0.48</v>
      </c>
      <c r="L43" s="15">
        <v>0</v>
      </c>
    </row>
    <row r="44" spans="1:12" x14ac:dyDescent="0.35">
      <c r="A44" s="9" t="s">
        <v>20</v>
      </c>
      <c r="B44" s="10" t="s">
        <v>110</v>
      </c>
      <c r="C44" s="10" t="s">
        <v>20</v>
      </c>
      <c r="D44" s="10" t="s">
        <v>111</v>
      </c>
      <c r="E44" s="10" t="s">
        <v>112</v>
      </c>
      <c r="F44" s="11">
        <v>2940000</v>
      </c>
      <c r="G44" s="12">
        <v>11739.42</v>
      </c>
      <c r="H44" s="12">
        <v>0.48</v>
      </c>
      <c r="I44" s="13" t="s">
        <v>20</v>
      </c>
      <c r="J44" s="13" t="s">
        <v>20</v>
      </c>
      <c r="K44" s="14">
        <v>0.48</v>
      </c>
      <c r="L44" s="15">
        <v>0</v>
      </c>
    </row>
    <row r="45" spans="1:12" x14ac:dyDescent="0.35">
      <c r="A45" s="9" t="s">
        <v>20</v>
      </c>
      <c r="B45" s="10" t="s">
        <v>113</v>
      </c>
      <c r="C45" s="10" t="s">
        <v>20</v>
      </c>
      <c r="D45" s="10" t="s">
        <v>114</v>
      </c>
      <c r="E45" s="10" t="s">
        <v>39</v>
      </c>
      <c r="F45" s="11">
        <v>2492700</v>
      </c>
      <c r="G45" s="12">
        <v>11072.57</v>
      </c>
      <c r="H45" s="12">
        <v>0.45</v>
      </c>
      <c r="I45" s="13" t="s">
        <v>20</v>
      </c>
      <c r="J45" s="13" t="s">
        <v>20</v>
      </c>
      <c r="K45" s="14">
        <v>0.46</v>
      </c>
      <c r="L45" s="15">
        <v>0</v>
      </c>
    </row>
    <row r="46" spans="1:12" x14ac:dyDescent="0.35">
      <c r="A46" s="9" t="s">
        <v>20</v>
      </c>
      <c r="B46" s="10" t="s">
        <v>115</v>
      </c>
      <c r="C46" s="10" t="s">
        <v>20</v>
      </c>
      <c r="D46" s="10" t="s">
        <v>116</v>
      </c>
      <c r="E46" s="10" t="s">
        <v>30</v>
      </c>
      <c r="F46" s="11">
        <v>107712825</v>
      </c>
      <c r="G46" s="12">
        <v>11008.25</v>
      </c>
      <c r="H46" s="12">
        <v>0.45</v>
      </c>
      <c r="I46" s="13" t="s">
        <v>20</v>
      </c>
      <c r="J46" s="13" t="s">
        <v>20</v>
      </c>
      <c r="K46" s="14">
        <v>0.45</v>
      </c>
      <c r="L46" s="15">
        <v>0</v>
      </c>
    </row>
    <row r="47" spans="1:12" x14ac:dyDescent="0.35">
      <c r="A47" s="9" t="s">
        <v>20</v>
      </c>
      <c r="B47" s="10" t="s">
        <v>117</v>
      </c>
      <c r="C47" s="10" t="s">
        <v>20</v>
      </c>
      <c r="D47" s="10" t="s">
        <v>118</v>
      </c>
      <c r="E47" s="10" t="s">
        <v>119</v>
      </c>
      <c r="F47" s="11">
        <v>139625</v>
      </c>
      <c r="G47" s="12">
        <v>10662.46</v>
      </c>
      <c r="H47" s="12">
        <v>0.44</v>
      </c>
      <c r="I47" s="13" t="s">
        <v>20</v>
      </c>
      <c r="J47" s="13" t="s">
        <v>20</v>
      </c>
      <c r="K47" s="14">
        <v>0.44</v>
      </c>
      <c r="L47" s="15">
        <v>0</v>
      </c>
    </row>
    <row r="48" spans="1:12" x14ac:dyDescent="0.35">
      <c r="A48" s="9" t="s">
        <v>20</v>
      </c>
      <c r="B48" s="10" t="s">
        <v>120</v>
      </c>
      <c r="C48" s="10" t="s">
        <v>20</v>
      </c>
      <c r="D48" s="10" t="s">
        <v>121</v>
      </c>
      <c r="E48" s="10" t="s">
        <v>44</v>
      </c>
      <c r="F48" s="11">
        <v>207900</v>
      </c>
      <c r="G48" s="12">
        <v>10600.82</v>
      </c>
      <c r="H48" s="12">
        <v>0.43</v>
      </c>
      <c r="I48" s="13" t="s">
        <v>20</v>
      </c>
      <c r="J48" s="13" t="s">
        <v>20</v>
      </c>
      <c r="K48" s="14">
        <v>0.44</v>
      </c>
      <c r="L48" s="15">
        <v>0</v>
      </c>
    </row>
    <row r="49" spans="1:12" x14ac:dyDescent="0.35">
      <c r="A49" s="9" t="s">
        <v>20</v>
      </c>
      <c r="B49" s="10" t="s">
        <v>122</v>
      </c>
      <c r="C49" s="10" t="s">
        <v>20</v>
      </c>
      <c r="D49" s="10" t="s">
        <v>123</v>
      </c>
      <c r="E49" s="10" t="s">
        <v>124</v>
      </c>
      <c r="F49" s="11">
        <v>540050</v>
      </c>
      <c r="G49" s="12">
        <v>10287.950000000001</v>
      </c>
      <c r="H49" s="12">
        <v>0.42</v>
      </c>
      <c r="I49" s="13" t="s">
        <v>20</v>
      </c>
      <c r="J49" s="13" t="s">
        <v>20</v>
      </c>
      <c r="K49" s="14">
        <v>0.42</v>
      </c>
      <c r="L49" s="15">
        <v>0</v>
      </c>
    </row>
    <row r="50" spans="1:12" x14ac:dyDescent="0.35">
      <c r="A50" s="9" t="s">
        <v>20</v>
      </c>
      <c r="B50" s="10" t="s">
        <v>125</v>
      </c>
      <c r="C50" s="10" t="s">
        <v>20</v>
      </c>
      <c r="D50" s="10" t="s">
        <v>126</v>
      </c>
      <c r="E50" s="10" t="s">
        <v>22</v>
      </c>
      <c r="F50" s="11">
        <v>7627500</v>
      </c>
      <c r="G50" s="12">
        <v>10270.43</v>
      </c>
      <c r="H50" s="12">
        <v>0.42</v>
      </c>
      <c r="I50" s="13" t="s">
        <v>20</v>
      </c>
      <c r="J50" s="13" t="s">
        <v>20</v>
      </c>
      <c r="K50" s="14">
        <v>0.42000000000000004</v>
      </c>
      <c r="L50" s="15">
        <v>0</v>
      </c>
    </row>
    <row r="51" spans="1:12" x14ac:dyDescent="0.35">
      <c r="A51" s="9" t="s">
        <v>20</v>
      </c>
      <c r="B51" s="10" t="s">
        <v>127</v>
      </c>
      <c r="C51" s="10" t="s">
        <v>20</v>
      </c>
      <c r="D51" s="10" t="s">
        <v>128</v>
      </c>
      <c r="E51" s="10" t="s">
        <v>129</v>
      </c>
      <c r="F51" s="11">
        <v>707000</v>
      </c>
      <c r="G51" s="12">
        <v>10312.299999999999</v>
      </c>
      <c r="H51" s="12">
        <v>0.42</v>
      </c>
      <c r="I51" s="13" t="s">
        <v>20</v>
      </c>
      <c r="J51" s="13" t="s">
        <v>20</v>
      </c>
      <c r="K51" s="14">
        <v>0.42000000000000004</v>
      </c>
      <c r="L51" s="15">
        <v>0</v>
      </c>
    </row>
    <row r="52" spans="1:12" x14ac:dyDescent="0.35">
      <c r="A52" s="9" t="s">
        <v>20</v>
      </c>
      <c r="B52" s="10" t="s">
        <v>130</v>
      </c>
      <c r="C52" s="10" t="s">
        <v>20</v>
      </c>
      <c r="D52" s="10" t="s">
        <v>131</v>
      </c>
      <c r="E52" s="10" t="s">
        <v>33</v>
      </c>
      <c r="F52" s="11">
        <v>5541300</v>
      </c>
      <c r="G52" s="12">
        <v>10230.35</v>
      </c>
      <c r="H52" s="12">
        <v>0.42</v>
      </c>
      <c r="I52" s="13" t="s">
        <v>20</v>
      </c>
      <c r="J52" s="13" t="s">
        <v>20</v>
      </c>
      <c r="K52" s="14">
        <v>0.42</v>
      </c>
      <c r="L52" s="15">
        <v>0</v>
      </c>
    </row>
    <row r="53" spans="1:12" x14ac:dyDescent="0.35">
      <c r="A53" s="9" t="s">
        <v>20</v>
      </c>
      <c r="B53" s="10" t="s">
        <v>132</v>
      </c>
      <c r="C53" s="10" t="s">
        <v>20</v>
      </c>
      <c r="D53" s="10" t="s">
        <v>133</v>
      </c>
      <c r="E53" s="10" t="s">
        <v>134</v>
      </c>
      <c r="F53" s="11">
        <v>3375000</v>
      </c>
      <c r="G53" s="12">
        <v>10109.81</v>
      </c>
      <c r="H53" s="12">
        <v>0.41</v>
      </c>
      <c r="I53" s="13" t="s">
        <v>20</v>
      </c>
      <c r="J53" s="13" t="s">
        <v>20</v>
      </c>
      <c r="K53" s="14">
        <v>0.41000000000000003</v>
      </c>
      <c r="L53" s="15">
        <v>0</v>
      </c>
    </row>
    <row r="54" spans="1:12" x14ac:dyDescent="0.35">
      <c r="A54" s="9" t="s">
        <v>20</v>
      </c>
      <c r="B54" s="10" t="s">
        <v>135</v>
      </c>
      <c r="C54" s="10" t="s">
        <v>20</v>
      </c>
      <c r="D54" s="10" t="s">
        <v>136</v>
      </c>
      <c r="E54" s="10" t="s">
        <v>25</v>
      </c>
      <c r="F54" s="11">
        <v>6912750</v>
      </c>
      <c r="G54" s="12">
        <v>9833.39</v>
      </c>
      <c r="H54" s="12">
        <v>0.4</v>
      </c>
      <c r="I54" s="13" t="s">
        <v>20</v>
      </c>
      <c r="J54" s="13" t="s">
        <v>20</v>
      </c>
      <c r="K54" s="14">
        <v>0.41000000000000003</v>
      </c>
      <c r="L54" s="15">
        <v>0</v>
      </c>
    </row>
    <row r="55" spans="1:12" x14ac:dyDescent="0.35">
      <c r="A55" s="9" t="s">
        <v>20</v>
      </c>
      <c r="B55" s="10" t="s">
        <v>137</v>
      </c>
      <c r="C55" s="10" t="s">
        <v>20</v>
      </c>
      <c r="D55" s="10" t="s">
        <v>138</v>
      </c>
      <c r="E55" s="10" t="s">
        <v>22</v>
      </c>
      <c r="F55" s="11">
        <v>49231300</v>
      </c>
      <c r="G55" s="12">
        <v>9811.7999999999993</v>
      </c>
      <c r="H55" s="12">
        <v>0.4</v>
      </c>
      <c r="I55" s="13" t="s">
        <v>20</v>
      </c>
      <c r="J55" s="13" t="s">
        <v>20</v>
      </c>
      <c r="K55" s="14">
        <v>0.39999999999999997</v>
      </c>
      <c r="L55" s="15">
        <v>0</v>
      </c>
    </row>
    <row r="56" spans="1:12" x14ac:dyDescent="0.35">
      <c r="A56" s="9" t="s">
        <v>20</v>
      </c>
      <c r="B56" s="10" t="s">
        <v>139</v>
      </c>
      <c r="C56" s="10" t="s">
        <v>20</v>
      </c>
      <c r="D56" s="10" t="s">
        <v>140</v>
      </c>
      <c r="E56" s="10" t="s">
        <v>22</v>
      </c>
      <c r="F56" s="11">
        <v>13253975</v>
      </c>
      <c r="G56" s="12">
        <v>9230.07</v>
      </c>
      <c r="H56" s="12">
        <v>0.38</v>
      </c>
      <c r="I56" s="13" t="s">
        <v>20</v>
      </c>
      <c r="J56" s="13" t="s">
        <v>20</v>
      </c>
      <c r="K56" s="14">
        <v>0.38</v>
      </c>
      <c r="L56" s="15">
        <v>0</v>
      </c>
    </row>
    <row r="57" spans="1:12" x14ac:dyDescent="0.35">
      <c r="A57" s="9" t="s">
        <v>20</v>
      </c>
      <c r="B57" s="10" t="s">
        <v>141</v>
      </c>
      <c r="C57" s="10" t="s">
        <v>20</v>
      </c>
      <c r="D57" s="10" t="s">
        <v>142</v>
      </c>
      <c r="E57" s="10" t="s">
        <v>55</v>
      </c>
      <c r="F57" s="11">
        <v>205650</v>
      </c>
      <c r="G57" s="12">
        <v>8922.74</v>
      </c>
      <c r="H57" s="12">
        <v>0.37</v>
      </c>
      <c r="I57" s="13" t="s">
        <v>20</v>
      </c>
      <c r="J57" s="13" t="s">
        <v>20</v>
      </c>
      <c r="K57" s="14">
        <v>0.36</v>
      </c>
      <c r="L57" s="15">
        <v>0</v>
      </c>
    </row>
    <row r="58" spans="1:12" x14ac:dyDescent="0.35">
      <c r="A58" s="9" t="s">
        <v>20</v>
      </c>
      <c r="B58" s="10" t="s">
        <v>143</v>
      </c>
      <c r="C58" s="10" t="s">
        <v>20</v>
      </c>
      <c r="D58" s="10" t="s">
        <v>144</v>
      </c>
      <c r="E58" s="10" t="s">
        <v>112</v>
      </c>
      <c r="F58" s="11">
        <v>769300</v>
      </c>
      <c r="G58" s="12">
        <v>7985.33</v>
      </c>
      <c r="H58" s="12">
        <v>0.33</v>
      </c>
      <c r="I58" s="13" t="s">
        <v>20</v>
      </c>
      <c r="J58" s="13" t="s">
        <v>20</v>
      </c>
      <c r="K58" s="14">
        <v>0.33</v>
      </c>
      <c r="L58" s="15">
        <v>0</v>
      </c>
    </row>
    <row r="59" spans="1:12" x14ac:dyDescent="0.35">
      <c r="A59" s="9" t="s">
        <v>20</v>
      </c>
      <c r="B59" s="10" t="s">
        <v>145</v>
      </c>
      <c r="C59" s="10" t="s">
        <v>20</v>
      </c>
      <c r="D59" s="10" t="s">
        <v>146</v>
      </c>
      <c r="E59" s="10" t="s">
        <v>39</v>
      </c>
      <c r="F59" s="11">
        <v>66250</v>
      </c>
      <c r="G59" s="12">
        <v>7675.73</v>
      </c>
      <c r="H59" s="12">
        <v>0.31</v>
      </c>
      <c r="I59" s="13" t="s">
        <v>20</v>
      </c>
      <c r="J59" s="13" t="s">
        <v>20</v>
      </c>
      <c r="K59" s="14">
        <v>0.31</v>
      </c>
      <c r="L59" s="15">
        <v>0</v>
      </c>
    </row>
    <row r="60" spans="1:12" x14ac:dyDescent="0.35">
      <c r="A60" s="9" t="s">
        <v>20</v>
      </c>
      <c r="B60" s="10" t="s">
        <v>147</v>
      </c>
      <c r="C60" s="10" t="s">
        <v>20</v>
      </c>
      <c r="D60" s="10" t="s">
        <v>148</v>
      </c>
      <c r="E60" s="10" t="s">
        <v>149</v>
      </c>
      <c r="F60" s="11">
        <v>1558325</v>
      </c>
      <c r="G60" s="12">
        <v>7278.16</v>
      </c>
      <c r="H60" s="12">
        <v>0.3</v>
      </c>
      <c r="I60" s="13" t="s">
        <v>20</v>
      </c>
      <c r="J60" s="13" t="s">
        <v>20</v>
      </c>
      <c r="K60" s="14">
        <v>0.3</v>
      </c>
      <c r="L60" s="15">
        <v>0</v>
      </c>
    </row>
    <row r="61" spans="1:12" x14ac:dyDescent="0.35">
      <c r="A61" s="9" t="s">
        <v>20</v>
      </c>
      <c r="B61" s="10" t="s">
        <v>150</v>
      </c>
      <c r="C61" s="10" t="s">
        <v>20</v>
      </c>
      <c r="D61" s="10" t="s">
        <v>151</v>
      </c>
      <c r="E61" s="10" t="s">
        <v>152</v>
      </c>
      <c r="F61" s="11">
        <v>1191300</v>
      </c>
      <c r="G61" s="12">
        <v>6992.93</v>
      </c>
      <c r="H61" s="12">
        <v>0.28999999999999998</v>
      </c>
      <c r="I61" s="13" t="s">
        <v>20</v>
      </c>
      <c r="J61" s="13" t="s">
        <v>20</v>
      </c>
      <c r="K61" s="14">
        <v>0.28999999999999998</v>
      </c>
      <c r="L61" s="15">
        <v>0</v>
      </c>
    </row>
    <row r="62" spans="1:12" x14ac:dyDescent="0.35">
      <c r="A62" s="9" t="s">
        <v>20</v>
      </c>
      <c r="B62" s="10" t="s">
        <v>153</v>
      </c>
      <c r="C62" s="10" t="s">
        <v>20</v>
      </c>
      <c r="D62" s="10" t="s">
        <v>154</v>
      </c>
      <c r="E62" s="10" t="s">
        <v>65</v>
      </c>
      <c r="F62" s="11">
        <v>1971600</v>
      </c>
      <c r="G62" s="12">
        <v>6811.88</v>
      </c>
      <c r="H62" s="12">
        <v>0.28000000000000003</v>
      </c>
      <c r="I62" s="13" t="s">
        <v>20</v>
      </c>
      <c r="J62" s="13" t="s">
        <v>20</v>
      </c>
      <c r="K62" s="14">
        <v>0.28000000000000003</v>
      </c>
      <c r="L62" s="15">
        <v>0</v>
      </c>
    </row>
    <row r="63" spans="1:12" x14ac:dyDescent="0.35">
      <c r="A63" s="9" t="s">
        <v>20</v>
      </c>
      <c r="B63" s="10" t="s">
        <v>155</v>
      </c>
      <c r="C63" s="10" t="s">
        <v>20</v>
      </c>
      <c r="D63" s="10" t="s">
        <v>156</v>
      </c>
      <c r="E63" s="10" t="s">
        <v>52</v>
      </c>
      <c r="F63" s="11">
        <v>256000</v>
      </c>
      <c r="G63" s="12">
        <v>6257.92</v>
      </c>
      <c r="H63" s="12">
        <v>0.26</v>
      </c>
      <c r="I63" s="13" t="s">
        <v>20</v>
      </c>
      <c r="J63" s="13" t="s">
        <v>20</v>
      </c>
      <c r="K63" s="14">
        <v>0.26</v>
      </c>
      <c r="L63" s="15">
        <v>0</v>
      </c>
    </row>
    <row r="64" spans="1:12" x14ac:dyDescent="0.35">
      <c r="A64" s="9" t="s">
        <v>20</v>
      </c>
      <c r="B64" s="10" t="s">
        <v>157</v>
      </c>
      <c r="C64" s="10" t="s">
        <v>20</v>
      </c>
      <c r="D64" s="10" t="s">
        <v>158</v>
      </c>
      <c r="E64" s="10" t="s">
        <v>49</v>
      </c>
      <c r="F64" s="11">
        <v>1442750</v>
      </c>
      <c r="G64" s="12">
        <v>6413.75</v>
      </c>
      <c r="H64" s="12">
        <v>0.26</v>
      </c>
      <c r="I64" s="13" t="s">
        <v>20</v>
      </c>
      <c r="J64" s="13" t="s">
        <v>20</v>
      </c>
      <c r="K64" s="14">
        <v>0.26</v>
      </c>
      <c r="L64" s="15">
        <v>0</v>
      </c>
    </row>
    <row r="65" spans="1:12" x14ac:dyDescent="0.35">
      <c r="A65" s="9" t="s">
        <v>20</v>
      </c>
      <c r="B65" s="10" t="s">
        <v>159</v>
      </c>
      <c r="C65" s="10" t="s">
        <v>20</v>
      </c>
      <c r="D65" s="10" t="s">
        <v>160</v>
      </c>
      <c r="E65" s="10" t="s">
        <v>87</v>
      </c>
      <c r="F65" s="11">
        <v>249375</v>
      </c>
      <c r="G65" s="12">
        <v>6000.71</v>
      </c>
      <c r="H65" s="12">
        <v>0.25</v>
      </c>
      <c r="I65" s="13" t="s">
        <v>20</v>
      </c>
      <c r="J65" s="13" t="s">
        <v>20</v>
      </c>
      <c r="K65" s="14">
        <v>0.25</v>
      </c>
      <c r="L65" s="15">
        <v>0</v>
      </c>
    </row>
    <row r="66" spans="1:12" x14ac:dyDescent="0.35">
      <c r="A66" s="9" t="s">
        <v>20</v>
      </c>
      <c r="B66" s="10" t="s">
        <v>161</v>
      </c>
      <c r="C66" s="10" t="s">
        <v>20</v>
      </c>
      <c r="D66" s="10" t="s">
        <v>162</v>
      </c>
      <c r="E66" s="10" t="s">
        <v>149</v>
      </c>
      <c r="F66" s="11">
        <v>140700</v>
      </c>
      <c r="G66" s="12">
        <v>6043.49</v>
      </c>
      <c r="H66" s="12">
        <v>0.25</v>
      </c>
      <c r="I66" s="13" t="s">
        <v>20</v>
      </c>
      <c r="J66" s="13" t="s">
        <v>20</v>
      </c>
      <c r="K66" s="14">
        <v>0.25</v>
      </c>
      <c r="L66" s="15">
        <v>0</v>
      </c>
    </row>
    <row r="67" spans="1:12" x14ac:dyDescent="0.35">
      <c r="A67" s="9" t="s">
        <v>20</v>
      </c>
      <c r="B67" s="10" t="s">
        <v>163</v>
      </c>
      <c r="C67" s="10" t="s">
        <v>20</v>
      </c>
      <c r="D67" s="10" t="s">
        <v>164</v>
      </c>
      <c r="E67" s="10" t="s">
        <v>49</v>
      </c>
      <c r="F67" s="11">
        <v>414450</v>
      </c>
      <c r="G67" s="12">
        <v>5562.96</v>
      </c>
      <c r="H67" s="12">
        <v>0.23</v>
      </c>
      <c r="I67" s="13" t="s">
        <v>20</v>
      </c>
      <c r="J67" s="13" t="s">
        <v>20</v>
      </c>
      <c r="K67" s="14">
        <v>0.23</v>
      </c>
      <c r="L67" s="15">
        <v>0</v>
      </c>
    </row>
    <row r="68" spans="1:12" x14ac:dyDescent="0.35">
      <c r="A68" s="9" t="s">
        <v>20</v>
      </c>
      <c r="B68" s="10" t="s">
        <v>165</v>
      </c>
      <c r="C68" s="10" t="s">
        <v>20</v>
      </c>
      <c r="D68" s="10" t="s">
        <v>166</v>
      </c>
      <c r="E68" s="10" t="s">
        <v>167</v>
      </c>
      <c r="F68" s="11">
        <v>1104450</v>
      </c>
      <c r="G68" s="12">
        <v>5675.22</v>
      </c>
      <c r="H68" s="12">
        <v>0.23</v>
      </c>
      <c r="I68" s="13" t="s">
        <v>20</v>
      </c>
      <c r="J68" s="13" t="s">
        <v>20</v>
      </c>
      <c r="K68" s="14">
        <v>0.23</v>
      </c>
      <c r="L68" s="15">
        <v>0</v>
      </c>
    </row>
    <row r="69" spans="1:12" x14ac:dyDescent="0.35">
      <c r="A69" s="9" t="s">
        <v>20</v>
      </c>
      <c r="B69" s="10" t="s">
        <v>168</v>
      </c>
      <c r="C69" s="10" t="s">
        <v>20</v>
      </c>
      <c r="D69" s="10" t="s">
        <v>169</v>
      </c>
      <c r="E69" s="10" t="s">
        <v>170</v>
      </c>
      <c r="F69" s="11">
        <v>498800</v>
      </c>
      <c r="G69" s="12">
        <v>5465.85</v>
      </c>
      <c r="H69" s="12">
        <v>0.22</v>
      </c>
      <c r="I69" s="13" t="s">
        <v>20</v>
      </c>
      <c r="J69" s="13" t="s">
        <v>20</v>
      </c>
      <c r="K69" s="14">
        <v>0.22</v>
      </c>
      <c r="L69" s="15">
        <v>0</v>
      </c>
    </row>
    <row r="70" spans="1:12" x14ac:dyDescent="0.35">
      <c r="A70" s="9" t="s">
        <v>20</v>
      </c>
      <c r="B70" s="10" t="s">
        <v>171</v>
      </c>
      <c r="C70" s="10" t="s">
        <v>20</v>
      </c>
      <c r="D70" s="10" t="s">
        <v>172</v>
      </c>
      <c r="E70" s="10" t="s">
        <v>87</v>
      </c>
      <c r="F70" s="11">
        <v>456450</v>
      </c>
      <c r="G70" s="12">
        <v>5025.29</v>
      </c>
      <c r="H70" s="12">
        <v>0.21</v>
      </c>
      <c r="I70" s="13" t="s">
        <v>20</v>
      </c>
      <c r="J70" s="13" t="s">
        <v>20</v>
      </c>
      <c r="K70" s="14">
        <v>0.21</v>
      </c>
      <c r="L70" s="15">
        <v>0</v>
      </c>
    </row>
    <row r="71" spans="1:12" x14ac:dyDescent="0.35">
      <c r="A71" s="9" t="s">
        <v>20</v>
      </c>
      <c r="B71" s="10" t="s">
        <v>173</v>
      </c>
      <c r="C71" s="10" t="s">
        <v>20</v>
      </c>
      <c r="D71" s="10" t="s">
        <v>174</v>
      </c>
      <c r="E71" s="10" t="s">
        <v>65</v>
      </c>
      <c r="F71" s="11">
        <v>510000</v>
      </c>
      <c r="G71" s="12">
        <v>4778.7</v>
      </c>
      <c r="H71" s="12">
        <v>0.2</v>
      </c>
      <c r="I71" s="13" t="s">
        <v>20</v>
      </c>
      <c r="J71" s="13" t="s">
        <v>20</v>
      </c>
      <c r="K71" s="14">
        <v>0.19</v>
      </c>
      <c r="L71" s="15">
        <v>0</v>
      </c>
    </row>
    <row r="72" spans="1:12" x14ac:dyDescent="0.35">
      <c r="A72" s="9" t="s">
        <v>20</v>
      </c>
      <c r="B72" s="10" t="s">
        <v>175</v>
      </c>
      <c r="C72" s="10" t="s">
        <v>20</v>
      </c>
      <c r="D72" s="10" t="s">
        <v>176</v>
      </c>
      <c r="E72" s="10" t="s">
        <v>62</v>
      </c>
      <c r="F72" s="11">
        <v>592450</v>
      </c>
      <c r="G72" s="12">
        <v>4818.6899999999996</v>
      </c>
      <c r="H72" s="12">
        <v>0.2</v>
      </c>
      <c r="I72" s="13" t="s">
        <v>20</v>
      </c>
      <c r="J72" s="13" t="s">
        <v>20</v>
      </c>
      <c r="K72" s="14">
        <v>0.2</v>
      </c>
      <c r="L72" s="15">
        <v>0</v>
      </c>
    </row>
    <row r="73" spans="1:12" x14ac:dyDescent="0.35">
      <c r="A73" s="9" t="s">
        <v>20</v>
      </c>
      <c r="B73" s="10" t="s">
        <v>177</v>
      </c>
      <c r="C73" s="10" t="s">
        <v>20</v>
      </c>
      <c r="D73" s="10" t="s">
        <v>178</v>
      </c>
      <c r="E73" s="10" t="s">
        <v>30</v>
      </c>
      <c r="F73" s="11">
        <v>1218900</v>
      </c>
      <c r="G73" s="12">
        <v>4996.88</v>
      </c>
      <c r="H73" s="12">
        <v>0.2</v>
      </c>
      <c r="I73" s="13" t="s">
        <v>20</v>
      </c>
      <c r="J73" s="13" t="s">
        <v>20</v>
      </c>
      <c r="K73" s="14">
        <v>0.21000000000000002</v>
      </c>
      <c r="L73" s="15">
        <v>0</v>
      </c>
    </row>
    <row r="74" spans="1:12" x14ac:dyDescent="0.35">
      <c r="A74" s="9" t="s">
        <v>20</v>
      </c>
      <c r="B74" s="10" t="s">
        <v>179</v>
      </c>
      <c r="C74" s="10" t="s">
        <v>20</v>
      </c>
      <c r="D74" s="10" t="s">
        <v>180</v>
      </c>
      <c r="E74" s="10" t="s">
        <v>181</v>
      </c>
      <c r="F74" s="11">
        <v>3942150</v>
      </c>
      <c r="G74" s="12">
        <v>4778.28</v>
      </c>
      <c r="H74" s="12">
        <v>0.2</v>
      </c>
      <c r="I74" s="13" t="s">
        <v>20</v>
      </c>
      <c r="J74" s="13" t="s">
        <v>20</v>
      </c>
      <c r="K74" s="14">
        <v>0.2</v>
      </c>
      <c r="L74" s="15">
        <v>0</v>
      </c>
    </row>
    <row r="75" spans="1:12" x14ac:dyDescent="0.35">
      <c r="A75" s="9" t="s">
        <v>20</v>
      </c>
      <c r="B75" s="10" t="s">
        <v>182</v>
      </c>
      <c r="C75" s="10" t="s">
        <v>20</v>
      </c>
      <c r="D75" s="10" t="s">
        <v>183</v>
      </c>
      <c r="E75" s="10" t="s">
        <v>184</v>
      </c>
      <c r="F75" s="11">
        <v>967500</v>
      </c>
      <c r="G75" s="12">
        <v>4970.05</v>
      </c>
      <c r="H75" s="12">
        <v>0.2</v>
      </c>
      <c r="I75" s="13" t="s">
        <v>20</v>
      </c>
      <c r="J75" s="13" t="s">
        <v>20</v>
      </c>
      <c r="K75" s="14">
        <v>0.2</v>
      </c>
      <c r="L75" s="15">
        <v>0</v>
      </c>
    </row>
    <row r="76" spans="1:12" x14ac:dyDescent="0.35">
      <c r="A76" s="9" t="s">
        <v>20</v>
      </c>
      <c r="B76" s="10" t="s">
        <v>185</v>
      </c>
      <c r="C76" s="10" t="s">
        <v>20</v>
      </c>
      <c r="D76" s="10" t="s">
        <v>186</v>
      </c>
      <c r="E76" s="10" t="s">
        <v>187</v>
      </c>
      <c r="F76" s="11">
        <v>382125</v>
      </c>
      <c r="G76" s="12">
        <v>4569.83</v>
      </c>
      <c r="H76" s="12">
        <v>0.19</v>
      </c>
      <c r="I76" s="13" t="s">
        <v>20</v>
      </c>
      <c r="J76" s="13" t="s">
        <v>20</v>
      </c>
      <c r="K76" s="14">
        <v>0.19</v>
      </c>
      <c r="L76" s="15">
        <v>0</v>
      </c>
    </row>
    <row r="77" spans="1:12" x14ac:dyDescent="0.35">
      <c r="A77" s="9" t="s">
        <v>20</v>
      </c>
      <c r="B77" s="10" t="s">
        <v>188</v>
      </c>
      <c r="C77" s="10" t="s">
        <v>20</v>
      </c>
      <c r="D77" s="10" t="s">
        <v>189</v>
      </c>
      <c r="E77" s="10" t="s">
        <v>112</v>
      </c>
      <c r="F77" s="11">
        <v>786450</v>
      </c>
      <c r="G77" s="12">
        <v>4686.8500000000004</v>
      </c>
      <c r="H77" s="12">
        <v>0.19</v>
      </c>
      <c r="I77" s="13" t="s">
        <v>20</v>
      </c>
      <c r="J77" s="13" t="s">
        <v>20</v>
      </c>
      <c r="K77" s="14">
        <v>0.19</v>
      </c>
      <c r="L77" s="15">
        <v>0</v>
      </c>
    </row>
    <row r="78" spans="1:12" x14ac:dyDescent="0.35">
      <c r="A78" s="9" t="s">
        <v>20</v>
      </c>
      <c r="B78" s="10" t="s">
        <v>190</v>
      </c>
      <c r="C78" s="10" t="s">
        <v>20</v>
      </c>
      <c r="D78" s="10" t="s">
        <v>191</v>
      </c>
      <c r="E78" s="10" t="s">
        <v>152</v>
      </c>
      <c r="F78" s="11">
        <v>524700</v>
      </c>
      <c r="G78" s="12">
        <v>4711.28</v>
      </c>
      <c r="H78" s="12">
        <v>0.19</v>
      </c>
      <c r="I78" s="13" t="s">
        <v>20</v>
      </c>
      <c r="J78" s="13" t="s">
        <v>20</v>
      </c>
      <c r="K78" s="14">
        <v>0.19</v>
      </c>
      <c r="L78" s="15">
        <v>0</v>
      </c>
    </row>
    <row r="79" spans="1:12" x14ac:dyDescent="0.35">
      <c r="A79" s="9" t="s">
        <v>20</v>
      </c>
      <c r="B79" s="10" t="s">
        <v>192</v>
      </c>
      <c r="C79" s="10" t="s">
        <v>20</v>
      </c>
      <c r="D79" s="10" t="s">
        <v>193</v>
      </c>
      <c r="E79" s="10" t="s">
        <v>49</v>
      </c>
      <c r="F79" s="11">
        <v>1430700</v>
      </c>
      <c r="G79" s="12">
        <v>4554.63</v>
      </c>
      <c r="H79" s="12">
        <v>0.19</v>
      </c>
      <c r="I79" s="13" t="s">
        <v>20</v>
      </c>
      <c r="J79" s="13" t="s">
        <v>20</v>
      </c>
      <c r="K79" s="14">
        <v>0.18</v>
      </c>
      <c r="L79" s="15">
        <v>0</v>
      </c>
    </row>
    <row r="80" spans="1:12" x14ac:dyDescent="0.35">
      <c r="A80" s="9" t="s">
        <v>20</v>
      </c>
      <c r="B80" s="10" t="s">
        <v>194</v>
      </c>
      <c r="C80" s="10" t="s">
        <v>20</v>
      </c>
      <c r="D80" s="10" t="s">
        <v>195</v>
      </c>
      <c r="E80" s="10" t="s">
        <v>196</v>
      </c>
      <c r="F80" s="11">
        <v>726280</v>
      </c>
      <c r="G80" s="12">
        <v>4661.63</v>
      </c>
      <c r="H80" s="12">
        <v>0.19</v>
      </c>
      <c r="I80" s="13" t="s">
        <v>20</v>
      </c>
      <c r="J80" s="13" t="s">
        <v>20</v>
      </c>
      <c r="K80" s="14">
        <v>0.19</v>
      </c>
      <c r="L80" s="15">
        <v>0</v>
      </c>
    </row>
    <row r="81" spans="1:12" x14ac:dyDescent="0.35">
      <c r="A81" s="9" t="s">
        <v>20</v>
      </c>
      <c r="B81" s="10" t="s">
        <v>197</v>
      </c>
      <c r="C81" s="10" t="s">
        <v>20</v>
      </c>
      <c r="D81" s="10" t="s">
        <v>198</v>
      </c>
      <c r="E81" s="10" t="s">
        <v>25</v>
      </c>
      <c r="F81" s="11">
        <v>1473350</v>
      </c>
      <c r="G81" s="12">
        <v>4426.68</v>
      </c>
      <c r="H81" s="12">
        <v>0.18</v>
      </c>
      <c r="I81" s="13" t="s">
        <v>20</v>
      </c>
      <c r="J81" s="13" t="s">
        <v>20</v>
      </c>
      <c r="K81" s="14">
        <v>0.19</v>
      </c>
      <c r="L81" s="15">
        <v>0</v>
      </c>
    </row>
    <row r="82" spans="1:12" x14ac:dyDescent="0.35">
      <c r="A82" s="9" t="s">
        <v>20</v>
      </c>
      <c r="B82" s="10" t="s">
        <v>199</v>
      </c>
      <c r="C82" s="10" t="s">
        <v>20</v>
      </c>
      <c r="D82" s="10" t="s">
        <v>200</v>
      </c>
      <c r="E82" s="10" t="s">
        <v>52</v>
      </c>
      <c r="F82" s="11">
        <v>1046925</v>
      </c>
      <c r="G82" s="12">
        <v>4321.18</v>
      </c>
      <c r="H82" s="12">
        <v>0.18</v>
      </c>
      <c r="I82" s="13" t="s">
        <v>20</v>
      </c>
      <c r="J82" s="13" t="s">
        <v>20</v>
      </c>
      <c r="K82" s="14">
        <v>0.18</v>
      </c>
      <c r="L82" s="15">
        <v>0</v>
      </c>
    </row>
    <row r="83" spans="1:12" x14ac:dyDescent="0.35">
      <c r="A83" s="9" t="s">
        <v>20</v>
      </c>
      <c r="B83" s="10" t="s">
        <v>201</v>
      </c>
      <c r="C83" s="10" t="s">
        <v>20</v>
      </c>
      <c r="D83" s="10" t="s">
        <v>202</v>
      </c>
      <c r="E83" s="10" t="s">
        <v>22</v>
      </c>
      <c r="F83" s="11">
        <v>402000</v>
      </c>
      <c r="G83" s="12">
        <v>4295.17</v>
      </c>
      <c r="H83" s="12">
        <v>0.18</v>
      </c>
      <c r="I83" s="13" t="s">
        <v>20</v>
      </c>
      <c r="J83" s="13" t="s">
        <v>20</v>
      </c>
      <c r="K83" s="14">
        <v>0.18</v>
      </c>
      <c r="L83" s="15">
        <v>0</v>
      </c>
    </row>
    <row r="84" spans="1:12" x14ac:dyDescent="0.35">
      <c r="A84" s="9" t="s">
        <v>20</v>
      </c>
      <c r="B84" s="10" t="s">
        <v>203</v>
      </c>
      <c r="C84" s="10" t="s">
        <v>20</v>
      </c>
      <c r="D84" s="10" t="s">
        <v>204</v>
      </c>
      <c r="E84" s="10" t="s">
        <v>78</v>
      </c>
      <c r="F84" s="11">
        <v>1581250</v>
      </c>
      <c r="G84" s="12">
        <v>4186.5200000000004</v>
      </c>
      <c r="H84" s="12">
        <v>0.17</v>
      </c>
      <c r="I84" s="13" t="s">
        <v>20</v>
      </c>
      <c r="J84" s="13" t="s">
        <v>20</v>
      </c>
      <c r="K84" s="14">
        <v>0.17</v>
      </c>
      <c r="L84" s="15">
        <v>0</v>
      </c>
    </row>
    <row r="85" spans="1:12" x14ac:dyDescent="0.35">
      <c r="A85" s="9" t="s">
        <v>20</v>
      </c>
      <c r="B85" s="10" t="s">
        <v>205</v>
      </c>
      <c r="C85" s="10" t="s">
        <v>20</v>
      </c>
      <c r="D85" s="10" t="s">
        <v>206</v>
      </c>
      <c r="E85" s="10" t="s">
        <v>62</v>
      </c>
      <c r="F85" s="11">
        <v>4143425</v>
      </c>
      <c r="G85" s="12">
        <v>4182.79</v>
      </c>
      <c r="H85" s="12">
        <v>0.17</v>
      </c>
      <c r="I85" s="13" t="s">
        <v>20</v>
      </c>
      <c r="J85" s="13" t="s">
        <v>20</v>
      </c>
      <c r="K85" s="14">
        <v>0.17</v>
      </c>
      <c r="L85" s="15">
        <v>0</v>
      </c>
    </row>
    <row r="86" spans="1:12" x14ac:dyDescent="0.35">
      <c r="A86" s="9" t="s">
        <v>20</v>
      </c>
      <c r="B86" s="10" t="s">
        <v>207</v>
      </c>
      <c r="C86" s="10" t="s">
        <v>20</v>
      </c>
      <c r="D86" s="10" t="s">
        <v>208</v>
      </c>
      <c r="E86" s="10" t="s">
        <v>167</v>
      </c>
      <c r="F86" s="11">
        <v>267600</v>
      </c>
      <c r="G86" s="12">
        <v>4243.33</v>
      </c>
      <c r="H86" s="12">
        <v>0.17</v>
      </c>
      <c r="I86" s="13" t="s">
        <v>20</v>
      </c>
      <c r="J86" s="13" t="s">
        <v>20</v>
      </c>
      <c r="K86" s="14">
        <v>0.17</v>
      </c>
      <c r="L86" s="15">
        <v>0</v>
      </c>
    </row>
    <row r="87" spans="1:12" x14ac:dyDescent="0.35">
      <c r="A87" s="9" t="s">
        <v>20</v>
      </c>
      <c r="B87" s="10" t="s">
        <v>209</v>
      </c>
      <c r="C87" s="10" t="s">
        <v>20</v>
      </c>
      <c r="D87" s="10" t="s">
        <v>210</v>
      </c>
      <c r="E87" s="10" t="s">
        <v>65</v>
      </c>
      <c r="F87" s="11">
        <v>2807900</v>
      </c>
      <c r="G87" s="12">
        <v>4060.5</v>
      </c>
      <c r="H87" s="12">
        <v>0.17</v>
      </c>
      <c r="I87" s="13" t="s">
        <v>20</v>
      </c>
      <c r="J87" s="13" t="s">
        <v>20</v>
      </c>
      <c r="K87" s="14">
        <v>0.17</v>
      </c>
      <c r="L87" s="15">
        <v>0</v>
      </c>
    </row>
    <row r="88" spans="1:12" x14ac:dyDescent="0.35">
      <c r="A88" s="9" t="s">
        <v>20</v>
      </c>
      <c r="B88" s="10" t="s">
        <v>211</v>
      </c>
      <c r="C88" s="10" t="s">
        <v>20</v>
      </c>
      <c r="D88" s="10" t="s">
        <v>212</v>
      </c>
      <c r="E88" s="10" t="s">
        <v>152</v>
      </c>
      <c r="F88" s="11">
        <v>271800</v>
      </c>
      <c r="G88" s="12">
        <v>3844.34</v>
      </c>
      <c r="H88" s="12">
        <v>0.16</v>
      </c>
      <c r="I88" s="13" t="s">
        <v>20</v>
      </c>
      <c r="J88" s="13" t="s">
        <v>20</v>
      </c>
      <c r="K88" s="14">
        <v>0.16</v>
      </c>
      <c r="L88" s="15">
        <v>0</v>
      </c>
    </row>
    <row r="89" spans="1:12" x14ac:dyDescent="0.35">
      <c r="A89" s="9" t="s">
        <v>20</v>
      </c>
      <c r="B89" s="10" t="s">
        <v>213</v>
      </c>
      <c r="C89" s="10" t="s">
        <v>20</v>
      </c>
      <c r="D89" s="10" t="s">
        <v>214</v>
      </c>
      <c r="E89" s="10" t="s">
        <v>49</v>
      </c>
      <c r="F89" s="11">
        <v>294000</v>
      </c>
      <c r="G89" s="12">
        <v>3607.82</v>
      </c>
      <c r="H89" s="12">
        <v>0.15</v>
      </c>
      <c r="I89" s="13" t="s">
        <v>20</v>
      </c>
      <c r="J89" s="13" t="s">
        <v>20</v>
      </c>
      <c r="K89" s="14">
        <v>0.15</v>
      </c>
      <c r="L89" s="15">
        <v>0</v>
      </c>
    </row>
    <row r="90" spans="1:12" x14ac:dyDescent="0.35">
      <c r="A90" s="9" t="s">
        <v>20</v>
      </c>
      <c r="B90" s="10" t="s">
        <v>215</v>
      </c>
      <c r="C90" s="10" t="s">
        <v>20</v>
      </c>
      <c r="D90" s="10" t="s">
        <v>216</v>
      </c>
      <c r="E90" s="10" t="s">
        <v>129</v>
      </c>
      <c r="F90" s="11">
        <v>62000</v>
      </c>
      <c r="G90" s="12">
        <v>3550.12</v>
      </c>
      <c r="H90" s="12">
        <v>0.15</v>
      </c>
      <c r="I90" s="13" t="s">
        <v>20</v>
      </c>
      <c r="J90" s="13" t="s">
        <v>20</v>
      </c>
      <c r="K90" s="14">
        <v>0.14000000000000001</v>
      </c>
      <c r="L90" s="15">
        <v>0</v>
      </c>
    </row>
    <row r="91" spans="1:12" x14ac:dyDescent="0.35">
      <c r="A91" s="9" t="s">
        <v>20</v>
      </c>
      <c r="B91" s="10" t="s">
        <v>217</v>
      </c>
      <c r="C91" s="10" t="s">
        <v>20</v>
      </c>
      <c r="D91" s="10" t="s">
        <v>218</v>
      </c>
      <c r="E91" s="10" t="s">
        <v>25</v>
      </c>
      <c r="F91" s="11">
        <v>980100</v>
      </c>
      <c r="G91" s="12">
        <v>3670.96</v>
      </c>
      <c r="H91" s="12">
        <v>0.15</v>
      </c>
      <c r="I91" s="13" t="s">
        <v>20</v>
      </c>
      <c r="J91" s="13" t="s">
        <v>20</v>
      </c>
      <c r="K91" s="14">
        <v>0.15</v>
      </c>
      <c r="L91" s="15">
        <v>0</v>
      </c>
    </row>
    <row r="92" spans="1:12" x14ac:dyDescent="0.35">
      <c r="A92" s="9" t="s">
        <v>20</v>
      </c>
      <c r="B92" s="10" t="s">
        <v>219</v>
      </c>
      <c r="C92" s="10" t="s">
        <v>20</v>
      </c>
      <c r="D92" s="10" t="s">
        <v>220</v>
      </c>
      <c r="E92" s="10" t="s">
        <v>221</v>
      </c>
      <c r="F92" s="11">
        <v>591000</v>
      </c>
      <c r="G92" s="12">
        <v>3757.87</v>
      </c>
      <c r="H92" s="12">
        <v>0.15</v>
      </c>
      <c r="I92" s="13" t="s">
        <v>20</v>
      </c>
      <c r="J92" s="13" t="s">
        <v>20</v>
      </c>
      <c r="K92" s="14">
        <v>0.15</v>
      </c>
      <c r="L92" s="15">
        <v>0</v>
      </c>
    </row>
    <row r="93" spans="1:12" x14ac:dyDescent="0.35">
      <c r="A93" s="9" t="s">
        <v>20</v>
      </c>
      <c r="B93" s="10" t="s">
        <v>222</v>
      </c>
      <c r="C93" s="10" t="s">
        <v>20</v>
      </c>
      <c r="D93" s="10" t="s">
        <v>223</v>
      </c>
      <c r="E93" s="10" t="s">
        <v>22</v>
      </c>
      <c r="F93" s="11">
        <v>1025525</v>
      </c>
      <c r="G93" s="12">
        <v>3451.4</v>
      </c>
      <c r="H93" s="12">
        <v>0.14000000000000001</v>
      </c>
      <c r="I93" s="13" t="s">
        <v>20</v>
      </c>
      <c r="J93" s="13" t="s">
        <v>20</v>
      </c>
      <c r="K93" s="14">
        <v>0.14000000000000001</v>
      </c>
      <c r="L93" s="15">
        <v>0</v>
      </c>
    </row>
    <row r="94" spans="1:12" x14ac:dyDescent="0.35">
      <c r="A94" s="9" t="s">
        <v>20</v>
      </c>
      <c r="B94" s="10" t="s">
        <v>224</v>
      </c>
      <c r="C94" s="10" t="s">
        <v>20</v>
      </c>
      <c r="D94" s="10" t="s">
        <v>225</v>
      </c>
      <c r="E94" s="10" t="s">
        <v>87</v>
      </c>
      <c r="F94" s="11">
        <v>223300</v>
      </c>
      <c r="G94" s="12">
        <v>3102.75</v>
      </c>
      <c r="H94" s="12">
        <v>0.13</v>
      </c>
      <c r="I94" s="13" t="s">
        <v>20</v>
      </c>
      <c r="J94" s="13" t="s">
        <v>20</v>
      </c>
      <c r="K94" s="14">
        <v>0.13</v>
      </c>
      <c r="L94" s="15">
        <v>0</v>
      </c>
    </row>
    <row r="95" spans="1:12" x14ac:dyDescent="0.35">
      <c r="A95" s="9" t="s">
        <v>20</v>
      </c>
      <c r="B95" s="10" t="s">
        <v>226</v>
      </c>
      <c r="C95" s="10" t="s">
        <v>20</v>
      </c>
      <c r="D95" s="10" t="s">
        <v>227</v>
      </c>
      <c r="E95" s="10" t="s">
        <v>167</v>
      </c>
      <c r="F95" s="11">
        <v>550000</v>
      </c>
      <c r="G95" s="12">
        <v>3227.95</v>
      </c>
      <c r="H95" s="12">
        <v>0.13</v>
      </c>
      <c r="I95" s="13" t="s">
        <v>20</v>
      </c>
      <c r="J95" s="13" t="s">
        <v>20</v>
      </c>
      <c r="K95" s="14">
        <v>0.13</v>
      </c>
      <c r="L95" s="15">
        <v>0</v>
      </c>
    </row>
    <row r="96" spans="1:12" x14ac:dyDescent="0.35">
      <c r="A96" s="9" t="s">
        <v>20</v>
      </c>
      <c r="B96" s="10" t="s">
        <v>228</v>
      </c>
      <c r="C96" s="10" t="s">
        <v>20</v>
      </c>
      <c r="D96" s="10" t="s">
        <v>229</v>
      </c>
      <c r="E96" s="10" t="s">
        <v>65</v>
      </c>
      <c r="F96" s="11">
        <v>917000</v>
      </c>
      <c r="G96" s="12">
        <v>3248.93</v>
      </c>
      <c r="H96" s="12">
        <v>0.13</v>
      </c>
      <c r="I96" s="13" t="s">
        <v>20</v>
      </c>
      <c r="J96" s="13" t="s">
        <v>20</v>
      </c>
      <c r="K96" s="14">
        <v>0.13</v>
      </c>
      <c r="L96" s="15">
        <v>0</v>
      </c>
    </row>
    <row r="97" spans="1:12" x14ac:dyDescent="0.35">
      <c r="A97" s="9" t="s">
        <v>20</v>
      </c>
      <c r="B97" s="10" t="s">
        <v>230</v>
      </c>
      <c r="C97" s="10" t="s">
        <v>20</v>
      </c>
      <c r="D97" s="10" t="s">
        <v>231</v>
      </c>
      <c r="E97" s="10" t="s">
        <v>78</v>
      </c>
      <c r="F97" s="11">
        <v>58800</v>
      </c>
      <c r="G97" s="12">
        <v>2696.51</v>
      </c>
      <c r="H97" s="12">
        <v>0.11</v>
      </c>
      <c r="I97" s="13" t="s">
        <v>20</v>
      </c>
      <c r="J97" s="13" t="s">
        <v>20</v>
      </c>
      <c r="K97" s="14">
        <v>0.11</v>
      </c>
      <c r="L97" s="15">
        <v>0</v>
      </c>
    </row>
    <row r="98" spans="1:12" x14ac:dyDescent="0.35">
      <c r="A98" s="9" t="s">
        <v>20</v>
      </c>
      <c r="B98" s="10" t="s">
        <v>232</v>
      </c>
      <c r="C98" s="10" t="s">
        <v>20</v>
      </c>
      <c r="D98" s="10" t="s">
        <v>233</v>
      </c>
      <c r="E98" s="10" t="s">
        <v>184</v>
      </c>
      <c r="F98" s="11">
        <v>204000</v>
      </c>
      <c r="G98" s="12">
        <v>2704.22</v>
      </c>
      <c r="H98" s="12">
        <v>0.11</v>
      </c>
      <c r="I98" s="13" t="s">
        <v>20</v>
      </c>
      <c r="J98" s="13" t="s">
        <v>20</v>
      </c>
      <c r="K98" s="14">
        <v>0.11</v>
      </c>
      <c r="L98" s="15">
        <v>0</v>
      </c>
    </row>
    <row r="99" spans="1:12" x14ac:dyDescent="0.35">
      <c r="A99" s="9" t="s">
        <v>20</v>
      </c>
      <c r="B99" s="10" t="s">
        <v>234</v>
      </c>
      <c r="C99" s="10" t="s">
        <v>20</v>
      </c>
      <c r="D99" s="10" t="s">
        <v>235</v>
      </c>
      <c r="E99" s="10" t="s">
        <v>181</v>
      </c>
      <c r="F99" s="11">
        <v>675000</v>
      </c>
      <c r="G99" s="12">
        <v>2433.71</v>
      </c>
      <c r="H99" s="12">
        <v>0.1</v>
      </c>
      <c r="I99" s="13" t="s">
        <v>20</v>
      </c>
      <c r="J99" s="13" t="s">
        <v>20</v>
      </c>
      <c r="K99" s="14">
        <v>0.1</v>
      </c>
      <c r="L99" s="15">
        <v>0</v>
      </c>
    </row>
    <row r="100" spans="1:12" x14ac:dyDescent="0.35">
      <c r="A100" s="9" t="s">
        <v>20</v>
      </c>
      <c r="B100" s="10" t="s">
        <v>236</v>
      </c>
      <c r="C100" s="10" t="s">
        <v>20</v>
      </c>
      <c r="D100" s="10" t="s">
        <v>237</v>
      </c>
      <c r="E100" s="10" t="s">
        <v>119</v>
      </c>
      <c r="F100" s="11">
        <v>245700</v>
      </c>
      <c r="G100" s="12">
        <v>2439.92</v>
      </c>
      <c r="H100" s="12">
        <v>0.1</v>
      </c>
      <c r="I100" s="13" t="s">
        <v>20</v>
      </c>
      <c r="J100" s="13" t="s">
        <v>20</v>
      </c>
      <c r="K100" s="14">
        <v>0.1</v>
      </c>
      <c r="L100" s="15">
        <v>0</v>
      </c>
    </row>
    <row r="101" spans="1:12" x14ac:dyDescent="0.35">
      <c r="A101" s="9" t="s">
        <v>20</v>
      </c>
      <c r="B101" s="10" t="s">
        <v>238</v>
      </c>
      <c r="C101" s="10" t="s">
        <v>20</v>
      </c>
      <c r="D101" s="10" t="s">
        <v>239</v>
      </c>
      <c r="E101" s="10" t="s">
        <v>62</v>
      </c>
      <c r="F101" s="11">
        <v>77700</v>
      </c>
      <c r="G101" s="12">
        <v>2423.31</v>
      </c>
      <c r="H101" s="12">
        <v>0.1</v>
      </c>
      <c r="I101" s="13" t="s">
        <v>20</v>
      </c>
      <c r="J101" s="13" t="s">
        <v>20</v>
      </c>
      <c r="K101" s="14">
        <v>0.1</v>
      </c>
      <c r="L101" s="15">
        <v>0</v>
      </c>
    </row>
    <row r="102" spans="1:12" x14ac:dyDescent="0.35">
      <c r="A102" s="9" t="s">
        <v>20</v>
      </c>
      <c r="B102" s="10" t="s">
        <v>240</v>
      </c>
      <c r="C102" s="10" t="s">
        <v>20</v>
      </c>
      <c r="D102" s="10" t="s">
        <v>241</v>
      </c>
      <c r="E102" s="10" t="s">
        <v>22</v>
      </c>
      <c r="F102" s="11">
        <v>227000</v>
      </c>
      <c r="G102" s="12">
        <v>2306.21</v>
      </c>
      <c r="H102" s="12">
        <v>0.09</v>
      </c>
      <c r="I102" s="13" t="s">
        <v>20</v>
      </c>
      <c r="J102" s="13" t="s">
        <v>20</v>
      </c>
      <c r="K102" s="14">
        <v>0.09</v>
      </c>
      <c r="L102" s="15">
        <v>0</v>
      </c>
    </row>
    <row r="103" spans="1:12" x14ac:dyDescent="0.35">
      <c r="A103" s="9" t="s">
        <v>20</v>
      </c>
      <c r="B103" s="10" t="s">
        <v>242</v>
      </c>
      <c r="C103" s="10" t="s">
        <v>20</v>
      </c>
      <c r="D103" s="10" t="s">
        <v>243</v>
      </c>
      <c r="E103" s="10" t="s">
        <v>149</v>
      </c>
      <c r="F103" s="11">
        <v>411250</v>
      </c>
      <c r="G103" s="12">
        <v>2092.65</v>
      </c>
      <c r="H103" s="12">
        <v>0.09</v>
      </c>
      <c r="I103" s="13" t="s">
        <v>20</v>
      </c>
      <c r="J103" s="13" t="s">
        <v>20</v>
      </c>
      <c r="K103" s="14">
        <v>0.09</v>
      </c>
      <c r="L103" s="15">
        <v>0</v>
      </c>
    </row>
    <row r="104" spans="1:12" x14ac:dyDescent="0.35">
      <c r="A104" s="9" t="s">
        <v>20</v>
      </c>
      <c r="B104" s="10" t="s">
        <v>244</v>
      </c>
      <c r="C104" s="10" t="s">
        <v>20</v>
      </c>
      <c r="D104" s="10" t="s">
        <v>245</v>
      </c>
      <c r="E104" s="10" t="s">
        <v>246</v>
      </c>
      <c r="F104" s="11">
        <v>486250</v>
      </c>
      <c r="G104" s="12">
        <v>2146.79</v>
      </c>
      <c r="H104" s="12">
        <v>0.09</v>
      </c>
      <c r="I104" s="13" t="s">
        <v>20</v>
      </c>
      <c r="J104" s="13" t="s">
        <v>20</v>
      </c>
      <c r="K104" s="14">
        <v>0.09</v>
      </c>
      <c r="L104" s="15">
        <v>0</v>
      </c>
    </row>
    <row r="105" spans="1:12" x14ac:dyDescent="0.35">
      <c r="A105" s="9" t="s">
        <v>20</v>
      </c>
      <c r="B105" s="10" t="s">
        <v>247</v>
      </c>
      <c r="C105" s="10" t="s">
        <v>20</v>
      </c>
      <c r="D105" s="10" t="s">
        <v>248</v>
      </c>
      <c r="E105" s="10" t="s">
        <v>49</v>
      </c>
      <c r="F105" s="11">
        <v>397000</v>
      </c>
      <c r="G105" s="12">
        <v>2227.77</v>
      </c>
      <c r="H105" s="12">
        <v>0.09</v>
      </c>
      <c r="I105" s="13" t="s">
        <v>20</v>
      </c>
      <c r="J105" s="13" t="s">
        <v>20</v>
      </c>
      <c r="K105" s="14">
        <v>0.09</v>
      </c>
      <c r="L105" s="15">
        <v>0</v>
      </c>
    </row>
    <row r="106" spans="1:12" x14ac:dyDescent="0.35">
      <c r="A106" s="9" t="s">
        <v>20</v>
      </c>
      <c r="B106" s="10" t="s">
        <v>249</v>
      </c>
      <c r="C106" s="10" t="s">
        <v>20</v>
      </c>
      <c r="D106" s="10" t="s">
        <v>250</v>
      </c>
      <c r="E106" s="10" t="s">
        <v>65</v>
      </c>
      <c r="F106" s="11">
        <v>63800</v>
      </c>
      <c r="G106" s="12">
        <v>2184.64</v>
      </c>
      <c r="H106" s="12">
        <v>0.09</v>
      </c>
      <c r="I106" s="13" t="s">
        <v>20</v>
      </c>
      <c r="J106" s="13" t="s">
        <v>20</v>
      </c>
      <c r="K106" s="14">
        <v>0.09</v>
      </c>
      <c r="L106" s="15">
        <v>0</v>
      </c>
    </row>
    <row r="107" spans="1:12" x14ac:dyDescent="0.35">
      <c r="A107" s="9" t="s">
        <v>20</v>
      </c>
      <c r="B107" s="10" t="s">
        <v>251</v>
      </c>
      <c r="C107" s="10" t="s">
        <v>20</v>
      </c>
      <c r="D107" s="10" t="s">
        <v>252</v>
      </c>
      <c r="E107" s="10" t="s">
        <v>22</v>
      </c>
      <c r="F107" s="11">
        <v>1409200</v>
      </c>
      <c r="G107" s="12">
        <v>1971.05</v>
      </c>
      <c r="H107" s="12">
        <v>0.08</v>
      </c>
      <c r="I107" s="13" t="s">
        <v>20</v>
      </c>
      <c r="J107" s="13" t="s">
        <v>20</v>
      </c>
      <c r="K107" s="14">
        <v>0.08</v>
      </c>
      <c r="L107" s="15">
        <v>0</v>
      </c>
    </row>
    <row r="108" spans="1:12" x14ac:dyDescent="0.35">
      <c r="A108" s="9" t="s">
        <v>20</v>
      </c>
      <c r="B108" s="10" t="s">
        <v>253</v>
      </c>
      <c r="C108" s="10" t="s">
        <v>20</v>
      </c>
      <c r="D108" s="10" t="s">
        <v>254</v>
      </c>
      <c r="E108" s="10" t="s">
        <v>36</v>
      </c>
      <c r="F108" s="11">
        <v>86100</v>
      </c>
      <c r="G108" s="12">
        <v>1938.02</v>
      </c>
      <c r="H108" s="12">
        <v>0.08</v>
      </c>
      <c r="I108" s="13" t="s">
        <v>20</v>
      </c>
      <c r="J108" s="13" t="s">
        <v>20</v>
      </c>
      <c r="K108" s="14">
        <v>0.08</v>
      </c>
      <c r="L108" s="15">
        <v>0</v>
      </c>
    </row>
    <row r="109" spans="1:12" x14ac:dyDescent="0.35">
      <c r="A109" s="9" t="s">
        <v>20</v>
      </c>
      <c r="B109" s="10" t="s">
        <v>255</v>
      </c>
      <c r="C109" s="10" t="s">
        <v>20</v>
      </c>
      <c r="D109" s="10" t="s">
        <v>256</v>
      </c>
      <c r="E109" s="10" t="s">
        <v>78</v>
      </c>
      <c r="F109" s="11">
        <v>213375</v>
      </c>
      <c r="G109" s="12">
        <v>2075.8200000000002</v>
      </c>
      <c r="H109" s="12">
        <v>0.08</v>
      </c>
      <c r="I109" s="13" t="s">
        <v>20</v>
      </c>
      <c r="J109" s="13" t="s">
        <v>20</v>
      </c>
      <c r="K109" s="14">
        <v>0.09</v>
      </c>
      <c r="L109" s="15">
        <v>0</v>
      </c>
    </row>
    <row r="110" spans="1:12" x14ac:dyDescent="0.35">
      <c r="A110" s="9" t="s">
        <v>20</v>
      </c>
      <c r="B110" s="10" t="s">
        <v>257</v>
      </c>
      <c r="C110" s="10" t="s">
        <v>20</v>
      </c>
      <c r="D110" s="10" t="s">
        <v>258</v>
      </c>
      <c r="E110" s="10" t="s">
        <v>81</v>
      </c>
      <c r="F110" s="11">
        <v>427500</v>
      </c>
      <c r="G110" s="12">
        <v>1964.15</v>
      </c>
      <c r="H110" s="12">
        <v>0.08</v>
      </c>
      <c r="I110" s="13" t="s">
        <v>20</v>
      </c>
      <c r="J110" s="13" t="s">
        <v>20</v>
      </c>
      <c r="K110" s="14">
        <v>0.08</v>
      </c>
      <c r="L110" s="15">
        <v>0</v>
      </c>
    </row>
    <row r="111" spans="1:12" x14ac:dyDescent="0.35">
      <c r="A111" s="9" t="s">
        <v>20</v>
      </c>
      <c r="B111" s="10" t="s">
        <v>259</v>
      </c>
      <c r="C111" s="10" t="s">
        <v>20</v>
      </c>
      <c r="D111" s="10" t="s">
        <v>260</v>
      </c>
      <c r="E111" s="10" t="s">
        <v>87</v>
      </c>
      <c r="F111" s="11">
        <v>213300</v>
      </c>
      <c r="G111" s="12">
        <v>1902.42</v>
      </c>
      <c r="H111" s="12">
        <v>0.08</v>
      </c>
      <c r="I111" s="13" t="s">
        <v>20</v>
      </c>
      <c r="J111" s="13" t="s">
        <v>20</v>
      </c>
      <c r="K111" s="14">
        <v>0.08</v>
      </c>
      <c r="L111" s="15">
        <v>0</v>
      </c>
    </row>
    <row r="112" spans="1:12" x14ac:dyDescent="0.35">
      <c r="A112" s="9" t="s">
        <v>20</v>
      </c>
      <c r="B112" s="10" t="s">
        <v>261</v>
      </c>
      <c r="C112" s="10" t="s">
        <v>20</v>
      </c>
      <c r="D112" s="10" t="s">
        <v>262</v>
      </c>
      <c r="E112" s="10" t="s">
        <v>124</v>
      </c>
      <c r="F112" s="11">
        <v>31000</v>
      </c>
      <c r="G112" s="12">
        <v>1632.58</v>
      </c>
      <c r="H112" s="12">
        <v>7.0000000000000007E-2</v>
      </c>
      <c r="I112" s="13" t="s">
        <v>20</v>
      </c>
      <c r="J112" s="13" t="s">
        <v>20</v>
      </c>
      <c r="K112" s="14">
        <v>7.0000000000000007E-2</v>
      </c>
      <c r="L112" s="15">
        <v>0</v>
      </c>
    </row>
    <row r="113" spans="1:12" x14ac:dyDescent="0.35">
      <c r="A113" s="9" t="s">
        <v>20</v>
      </c>
      <c r="B113" s="10" t="s">
        <v>263</v>
      </c>
      <c r="C113" s="10" t="s">
        <v>20</v>
      </c>
      <c r="D113" s="10" t="s">
        <v>264</v>
      </c>
      <c r="E113" s="10" t="s">
        <v>265</v>
      </c>
      <c r="F113" s="11">
        <v>64400</v>
      </c>
      <c r="G113" s="12">
        <v>1760.18</v>
      </c>
      <c r="H113" s="12">
        <v>7.0000000000000007E-2</v>
      </c>
      <c r="I113" s="13" t="s">
        <v>20</v>
      </c>
      <c r="J113" s="13" t="s">
        <v>20</v>
      </c>
      <c r="K113" s="14">
        <v>7.0000000000000007E-2</v>
      </c>
      <c r="L113" s="15">
        <v>0</v>
      </c>
    </row>
    <row r="114" spans="1:12" x14ac:dyDescent="0.35">
      <c r="A114" s="9" t="s">
        <v>20</v>
      </c>
      <c r="B114" s="10" t="s">
        <v>266</v>
      </c>
      <c r="C114" s="10" t="s">
        <v>20</v>
      </c>
      <c r="D114" s="10" t="s">
        <v>267</v>
      </c>
      <c r="E114" s="10" t="s">
        <v>124</v>
      </c>
      <c r="F114" s="11">
        <v>48825</v>
      </c>
      <c r="G114" s="12">
        <v>1768.73</v>
      </c>
      <c r="H114" s="12">
        <v>7.0000000000000007E-2</v>
      </c>
      <c r="I114" s="13" t="s">
        <v>20</v>
      </c>
      <c r="J114" s="13" t="s">
        <v>20</v>
      </c>
      <c r="K114" s="14">
        <v>7.0000000000000007E-2</v>
      </c>
      <c r="L114" s="15">
        <v>0</v>
      </c>
    </row>
    <row r="115" spans="1:12" x14ac:dyDescent="0.35">
      <c r="A115" s="9" t="s">
        <v>20</v>
      </c>
      <c r="B115" s="10" t="s">
        <v>268</v>
      </c>
      <c r="C115" s="10" t="s">
        <v>20</v>
      </c>
      <c r="D115" s="10" t="s">
        <v>269</v>
      </c>
      <c r="E115" s="10" t="s">
        <v>181</v>
      </c>
      <c r="F115" s="11">
        <v>4025</v>
      </c>
      <c r="G115" s="12">
        <v>1448.8</v>
      </c>
      <c r="H115" s="12">
        <v>0.06</v>
      </c>
      <c r="I115" s="13" t="s">
        <v>20</v>
      </c>
      <c r="J115" s="13" t="s">
        <v>20</v>
      </c>
      <c r="K115" s="14">
        <v>0.06</v>
      </c>
      <c r="L115" s="15">
        <v>0</v>
      </c>
    </row>
    <row r="116" spans="1:12" x14ac:dyDescent="0.35">
      <c r="A116" s="9" t="s">
        <v>20</v>
      </c>
      <c r="B116" s="10" t="s">
        <v>270</v>
      </c>
      <c r="C116" s="10" t="s">
        <v>20</v>
      </c>
      <c r="D116" s="10" t="s">
        <v>271</v>
      </c>
      <c r="E116" s="10" t="s">
        <v>119</v>
      </c>
      <c r="F116" s="11">
        <v>168175</v>
      </c>
      <c r="G116" s="12">
        <v>1552.17</v>
      </c>
      <c r="H116" s="12">
        <v>0.06</v>
      </c>
      <c r="I116" s="13" t="s">
        <v>20</v>
      </c>
      <c r="J116" s="13" t="s">
        <v>20</v>
      </c>
      <c r="K116" s="14">
        <v>0.06</v>
      </c>
      <c r="L116" s="15">
        <v>0</v>
      </c>
    </row>
    <row r="117" spans="1:12" x14ac:dyDescent="0.35">
      <c r="A117" s="9" t="s">
        <v>20</v>
      </c>
      <c r="B117" s="10" t="s">
        <v>272</v>
      </c>
      <c r="C117" s="10" t="s">
        <v>20</v>
      </c>
      <c r="D117" s="10" t="s">
        <v>273</v>
      </c>
      <c r="E117" s="10" t="s">
        <v>187</v>
      </c>
      <c r="F117" s="11">
        <v>115600</v>
      </c>
      <c r="G117" s="12">
        <v>1366.16</v>
      </c>
      <c r="H117" s="12">
        <v>0.06</v>
      </c>
      <c r="I117" s="13" t="s">
        <v>20</v>
      </c>
      <c r="J117" s="13" t="s">
        <v>20</v>
      </c>
      <c r="K117" s="14">
        <v>0.06</v>
      </c>
      <c r="L117" s="15">
        <v>0</v>
      </c>
    </row>
    <row r="118" spans="1:12" x14ac:dyDescent="0.35">
      <c r="A118" s="9" t="s">
        <v>20</v>
      </c>
      <c r="B118" s="10" t="s">
        <v>274</v>
      </c>
      <c r="C118" s="10" t="s">
        <v>20</v>
      </c>
      <c r="D118" s="10" t="s">
        <v>275</v>
      </c>
      <c r="E118" s="10" t="s">
        <v>87</v>
      </c>
      <c r="F118" s="11">
        <v>63325</v>
      </c>
      <c r="G118" s="12">
        <v>1459.77</v>
      </c>
      <c r="H118" s="12">
        <v>0.06</v>
      </c>
      <c r="I118" s="13" t="s">
        <v>20</v>
      </c>
      <c r="J118" s="13" t="s">
        <v>20</v>
      </c>
      <c r="K118" s="14">
        <v>0.06</v>
      </c>
      <c r="L118" s="15">
        <v>0</v>
      </c>
    </row>
    <row r="119" spans="1:12" x14ac:dyDescent="0.35">
      <c r="A119" s="9" t="s">
        <v>20</v>
      </c>
      <c r="B119" s="10" t="s">
        <v>276</v>
      </c>
      <c r="C119" s="10" t="s">
        <v>20</v>
      </c>
      <c r="D119" s="10" t="s">
        <v>277</v>
      </c>
      <c r="E119" s="10" t="s">
        <v>73</v>
      </c>
      <c r="F119" s="11">
        <v>1644500</v>
      </c>
      <c r="G119" s="12">
        <v>1507.18</v>
      </c>
      <c r="H119" s="12">
        <v>0.06</v>
      </c>
      <c r="I119" s="13" t="s">
        <v>20</v>
      </c>
      <c r="J119" s="13" t="s">
        <v>20</v>
      </c>
      <c r="K119" s="14">
        <v>0.06</v>
      </c>
      <c r="L119" s="15">
        <v>0</v>
      </c>
    </row>
    <row r="120" spans="1:12" x14ac:dyDescent="0.35">
      <c r="A120" s="9" t="s">
        <v>20</v>
      </c>
      <c r="B120" s="10" t="s">
        <v>278</v>
      </c>
      <c r="C120" s="10" t="s">
        <v>20</v>
      </c>
      <c r="D120" s="10" t="s">
        <v>279</v>
      </c>
      <c r="E120" s="10" t="s">
        <v>170</v>
      </c>
      <c r="F120" s="11">
        <v>86100</v>
      </c>
      <c r="G120" s="12">
        <v>1434.6</v>
      </c>
      <c r="H120" s="12">
        <v>0.06</v>
      </c>
      <c r="I120" s="13" t="s">
        <v>20</v>
      </c>
      <c r="J120" s="13" t="s">
        <v>20</v>
      </c>
      <c r="K120" s="14">
        <v>0.06</v>
      </c>
      <c r="L120" s="15">
        <v>0</v>
      </c>
    </row>
    <row r="121" spans="1:12" x14ac:dyDescent="0.35">
      <c r="A121" s="9" t="s">
        <v>20</v>
      </c>
      <c r="B121" s="10" t="s">
        <v>280</v>
      </c>
      <c r="C121" s="10" t="s">
        <v>20</v>
      </c>
      <c r="D121" s="10" t="s">
        <v>281</v>
      </c>
      <c r="E121" s="10" t="s">
        <v>62</v>
      </c>
      <c r="F121" s="11">
        <v>2725550</v>
      </c>
      <c r="G121" s="12">
        <v>1514.86</v>
      </c>
      <c r="H121" s="12">
        <v>0.06</v>
      </c>
      <c r="I121" s="13" t="s">
        <v>20</v>
      </c>
      <c r="J121" s="13" t="s">
        <v>20</v>
      </c>
      <c r="K121" s="14">
        <v>0.06</v>
      </c>
      <c r="L121" s="15">
        <v>0</v>
      </c>
    </row>
    <row r="122" spans="1:12" x14ac:dyDescent="0.35">
      <c r="A122" s="9" t="s">
        <v>20</v>
      </c>
      <c r="B122" s="10" t="s">
        <v>282</v>
      </c>
      <c r="C122" s="10" t="s">
        <v>20</v>
      </c>
      <c r="D122" s="10" t="s">
        <v>283</v>
      </c>
      <c r="E122" s="10" t="s">
        <v>81</v>
      </c>
      <c r="F122" s="11">
        <v>138050</v>
      </c>
      <c r="G122" s="12">
        <v>1580.12</v>
      </c>
      <c r="H122" s="12">
        <v>0.06</v>
      </c>
      <c r="I122" s="13" t="s">
        <v>20</v>
      </c>
      <c r="J122" s="13" t="s">
        <v>20</v>
      </c>
      <c r="K122" s="14">
        <v>0.06</v>
      </c>
      <c r="L122" s="15">
        <v>0</v>
      </c>
    </row>
    <row r="123" spans="1:12" x14ac:dyDescent="0.35">
      <c r="A123" s="9" t="s">
        <v>20</v>
      </c>
      <c r="B123" s="10" t="s">
        <v>284</v>
      </c>
      <c r="C123" s="10" t="s">
        <v>20</v>
      </c>
      <c r="D123" s="10" t="s">
        <v>285</v>
      </c>
      <c r="E123" s="10" t="s">
        <v>181</v>
      </c>
      <c r="F123" s="11">
        <v>140250</v>
      </c>
      <c r="G123" s="12">
        <v>1560.28</v>
      </c>
      <c r="H123" s="12">
        <v>0.06</v>
      </c>
      <c r="I123" s="13" t="s">
        <v>20</v>
      </c>
      <c r="J123" s="13" t="s">
        <v>20</v>
      </c>
      <c r="K123" s="14">
        <v>0.06</v>
      </c>
      <c r="L123" s="15">
        <v>0</v>
      </c>
    </row>
    <row r="124" spans="1:12" x14ac:dyDescent="0.35">
      <c r="A124" s="9" t="s">
        <v>20</v>
      </c>
      <c r="B124" s="10" t="s">
        <v>286</v>
      </c>
      <c r="C124" s="10" t="s">
        <v>20</v>
      </c>
      <c r="D124" s="10" t="s">
        <v>287</v>
      </c>
      <c r="E124" s="10" t="s">
        <v>65</v>
      </c>
      <c r="F124" s="11">
        <v>125450</v>
      </c>
      <c r="G124" s="12">
        <v>1311.77</v>
      </c>
      <c r="H124" s="12">
        <v>0.05</v>
      </c>
      <c r="I124" s="13" t="s">
        <v>20</v>
      </c>
      <c r="J124" s="13" t="s">
        <v>20</v>
      </c>
      <c r="K124" s="14">
        <v>0.05</v>
      </c>
      <c r="L124" s="15">
        <v>0</v>
      </c>
    </row>
    <row r="125" spans="1:12" x14ac:dyDescent="0.35">
      <c r="A125" s="9" t="s">
        <v>20</v>
      </c>
      <c r="B125" s="10" t="s">
        <v>288</v>
      </c>
      <c r="C125" s="10" t="s">
        <v>20</v>
      </c>
      <c r="D125" s="10" t="s">
        <v>289</v>
      </c>
      <c r="E125" s="10" t="s">
        <v>290</v>
      </c>
      <c r="F125" s="11">
        <v>47600</v>
      </c>
      <c r="G125" s="12">
        <v>1198.8499999999999</v>
      </c>
      <c r="H125" s="12">
        <v>0.05</v>
      </c>
      <c r="I125" s="13" t="s">
        <v>20</v>
      </c>
      <c r="J125" s="13" t="s">
        <v>20</v>
      </c>
      <c r="K125" s="14">
        <v>0.05</v>
      </c>
      <c r="L125" s="15">
        <v>0</v>
      </c>
    </row>
    <row r="126" spans="1:12" x14ac:dyDescent="0.35">
      <c r="A126" s="9" t="s">
        <v>20</v>
      </c>
      <c r="B126" s="10" t="s">
        <v>291</v>
      </c>
      <c r="C126" s="10" t="s">
        <v>20</v>
      </c>
      <c r="D126" s="10" t="s">
        <v>292</v>
      </c>
      <c r="E126" s="10" t="s">
        <v>105</v>
      </c>
      <c r="F126" s="11">
        <v>1018350</v>
      </c>
      <c r="G126" s="12">
        <v>981.99</v>
      </c>
      <c r="H126" s="12">
        <v>0.04</v>
      </c>
      <c r="I126" s="13" t="s">
        <v>20</v>
      </c>
      <c r="J126" s="13" t="s">
        <v>20</v>
      </c>
      <c r="K126" s="14">
        <v>0.04</v>
      </c>
      <c r="L126" s="15">
        <v>0</v>
      </c>
    </row>
    <row r="127" spans="1:12" x14ac:dyDescent="0.35">
      <c r="A127" s="9" t="s">
        <v>20</v>
      </c>
      <c r="B127" s="10" t="s">
        <v>293</v>
      </c>
      <c r="C127" s="10" t="s">
        <v>20</v>
      </c>
      <c r="D127" s="10" t="s">
        <v>294</v>
      </c>
      <c r="E127" s="10" t="s">
        <v>70</v>
      </c>
      <c r="F127" s="11">
        <v>821250</v>
      </c>
      <c r="G127" s="12">
        <v>1028.1199999999999</v>
      </c>
      <c r="H127" s="12">
        <v>0.04</v>
      </c>
      <c r="I127" s="13" t="s">
        <v>20</v>
      </c>
      <c r="J127" s="13" t="s">
        <v>20</v>
      </c>
      <c r="K127" s="14">
        <v>0.04</v>
      </c>
      <c r="L127" s="15">
        <v>0</v>
      </c>
    </row>
    <row r="128" spans="1:12" x14ac:dyDescent="0.35">
      <c r="A128" s="9" t="s">
        <v>20</v>
      </c>
      <c r="B128" s="10" t="s">
        <v>295</v>
      </c>
      <c r="C128" s="10" t="s">
        <v>20</v>
      </c>
      <c r="D128" s="10" t="s">
        <v>296</v>
      </c>
      <c r="E128" s="10" t="s">
        <v>22</v>
      </c>
      <c r="F128" s="11">
        <v>106400</v>
      </c>
      <c r="G128" s="12">
        <v>974.68</v>
      </c>
      <c r="H128" s="12">
        <v>0.04</v>
      </c>
      <c r="I128" s="13" t="s">
        <v>20</v>
      </c>
      <c r="J128" s="13" t="s">
        <v>20</v>
      </c>
      <c r="K128" s="14">
        <v>0.04</v>
      </c>
      <c r="L128" s="15">
        <v>0</v>
      </c>
    </row>
    <row r="129" spans="1:12" x14ac:dyDescent="0.35">
      <c r="A129" s="9" t="s">
        <v>20</v>
      </c>
      <c r="B129" s="10" t="s">
        <v>297</v>
      </c>
      <c r="C129" s="10" t="s">
        <v>20</v>
      </c>
      <c r="D129" s="10" t="s">
        <v>298</v>
      </c>
      <c r="E129" s="10" t="s">
        <v>33</v>
      </c>
      <c r="F129" s="11">
        <v>83125</v>
      </c>
      <c r="G129" s="12">
        <v>1016.7</v>
      </c>
      <c r="H129" s="12">
        <v>0.04</v>
      </c>
      <c r="I129" s="13" t="s">
        <v>20</v>
      </c>
      <c r="J129" s="13" t="s">
        <v>20</v>
      </c>
      <c r="K129" s="14">
        <v>0.04</v>
      </c>
      <c r="L129" s="15">
        <v>0</v>
      </c>
    </row>
    <row r="130" spans="1:12" x14ac:dyDescent="0.35">
      <c r="A130" s="9" t="s">
        <v>20</v>
      </c>
      <c r="B130" s="10" t="s">
        <v>299</v>
      </c>
      <c r="C130" s="10" t="s">
        <v>20</v>
      </c>
      <c r="D130" s="10" t="s">
        <v>300</v>
      </c>
      <c r="E130" s="10" t="s">
        <v>124</v>
      </c>
      <c r="F130" s="11">
        <v>21875</v>
      </c>
      <c r="G130" s="12">
        <v>1062.58</v>
      </c>
      <c r="H130" s="12">
        <v>0.04</v>
      </c>
      <c r="I130" s="13" t="s">
        <v>20</v>
      </c>
      <c r="J130" s="13" t="s">
        <v>20</v>
      </c>
      <c r="K130" s="14">
        <v>0.04</v>
      </c>
      <c r="L130" s="15">
        <v>0</v>
      </c>
    </row>
    <row r="131" spans="1:12" x14ac:dyDescent="0.35">
      <c r="A131" s="9" t="s">
        <v>20</v>
      </c>
      <c r="B131" s="10" t="s">
        <v>301</v>
      </c>
      <c r="C131" s="10" t="s">
        <v>20</v>
      </c>
      <c r="D131" s="10" t="s">
        <v>302</v>
      </c>
      <c r="E131" s="10" t="s">
        <v>303</v>
      </c>
      <c r="F131" s="11">
        <v>2640</v>
      </c>
      <c r="G131" s="12">
        <v>971.12</v>
      </c>
      <c r="H131" s="12">
        <v>0.04</v>
      </c>
      <c r="I131" s="13" t="s">
        <v>20</v>
      </c>
      <c r="J131" s="13" t="s">
        <v>20</v>
      </c>
      <c r="K131" s="14">
        <v>0.04</v>
      </c>
      <c r="L131" s="15">
        <v>0</v>
      </c>
    </row>
    <row r="132" spans="1:12" x14ac:dyDescent="0.35">
      <c r="A132" s="9" t="s">
        <v>20</v>
      </c>
      <c r="B132" s="10" t="s">
        <v>304</v>
      </c>
      <c r="C132" s="10" t="s">
        <v>20</v>
      </c>
      <c r="D132" s="10" t="s">
        <v>305</v>
      </c>
      <c r="E132" s="10" t="s">
        <v>65</v>
      </c>
      <c r="F132" s="11">
        <v>243100</v>
      </c>
      <c r="G132" s="12">
        <v>1090.06</v>
      </c>
      <c r="H132" s="12">
        <v>0.04</v>
      </c>
      <c r="I132" s="13" t="s">
        <v>20</v>
      </c>
      <c r="J132" s="13" t="s">
        <v>20</v>
      </c>
      <c r="K132" s="14">
        <v>0.04</v>
      </c>
      <c r="L132" s="15">
        <v>0</v>
      </c>
    </row>
    <row r="133" spans="1:12" x14ac:dyDescent="0.35">
      <c r="A133" s="9" t="s">
        <v>20</v>
      </c>
      <c r="B133" s="10" t="s">
        <v>306</v>
      </c>
      <c r="C133" s="10" t="s">
        <v>20</v>
      </c>
      <c r="D133" s="10" t="s">
        <v>307</v>
      </c>
      <c r="E133" s="10" t="s">
        <v>70</v>
      </c>
      <c r="F133" s="11">
        <v>62000</v>
      </c>
      <c r="G133" s="12">
        <v>641.48</v>
      </c>
      <c r="H133" s="12">
        <v>0.03</v>
      </c>
      <c r="I133" s="13" t="s">
        <v>20</v>
      </c>
      <c r="J133" s="13" t="s">
        <v>20</v>
      </c>
      <c r="K133" s="14">
        <v>0.03</v>
      </c>
      <c r="L133" s="15">
        <v>0</v>
      </c>
    </row>
    <row r="134" spans="1:12" x14ac:dyDescent="0.35">
      <c r="A134" s="9" t="s">
        <v>20</v>
      </c>
      <c r="B134" s="10" t="s">
        <v>308</v>
      </c>
      <c r="C134" s="10" t="s">
        <v>20</v>
      </c>
      <c r="D134" s="10" t="s">
        <v>309</v>
      </c>
      <c r="E134" s="10" t="s">
        <v>87</v>
      </c>
      <c r="F134" s="11">
        <v>237500</v>
      </c>
      <c r="G134" s="12">
        <v>854.17</v>
      </c>
      <c r="H134" s="12">
        <v>0.03</v>
      </c>
      <c r="I134" s="13" t="s">
        <v>20</v>
      </c>
      <c r="J134" s="13" t="s">
        <v>20</v>
      </c>
      <c r="K134" s="14">
        <v>0.04</v>
      </c>
      <c r="L134" s="15">
        <v>0</v>
      </c>
    </row>
    <row r="135" spans="1:12" x14ac:dyDescent="0.35">
      <c r="A135" s="9" t="s">
        <v>20</v>
      </c>
      <c r="B135" s="10" t="s">
        <v>310</v>
      </c>
      <c r="C135" s="10" t="s">
        <v>20</v>
      </c>
      <c r="D135" s="10" t="s">
        <v>311</v>
      </c>
      <c r="E135" s="10" t="s">
        <v>265</v>
      </c>
      <c r="F135" s="11">
        <v>36400</v>
      </c>
      <c r="G135" s="12">
        <v>630.96</v>
      </c>
      <c r="H135" s="12">
        <v>0.03</v>
      </c>
      <c r="I135" s="13" t="s">
        <v>20</v>
      </c>
      <c r="J135" s="13" t="s">
        <v>20</v>
      </c>
      <c r="K135" s="14">
        <v>0.03</v>
      </c>
      <c r="L135" s="15">
        <v>0</v>
      </c>
    </row>
    <row r="136" spans="1:12" x14ac:dyDescent="0.35">
      <c r="A136" s="9" t="s">
        <v>20</v>
      </c>
      <c r="B136" s="10" t="s">
        <v>312</v>
      </c>
      <c r="C136" s="10" t="s">
        <v>20</v>
      </c>
      <c r="D136" s="10" t="s">
        <v>313</v>
      </c>
      <c r="E136" s="10" t="s">
        <v>290</v>
      </c>
      <c r="F136" s="11">
        <v>49500</v>
      </c>
      <c r="G136" s="12">
        <v>680.97</v>
      </c>
      <c r="H136" s="12">
        <v>0.03</v>
      </c>
      <c r="I136" s="13" t="s">
        <v>20</v>
      </c>
      <c r="J136" s="13" t="s">
        <v>20</v>
      </c>
      <c r="K136" s="14">
        <v>0.03</v>
      </c>
      <c r="L136" s="15">
        <v>0</v>
      </c>
    </row>
    <row r="137" spans="1:12" x14ac:dyDescent="0.35">
      <c r="A137" s="9" t="s">
        <v>20</v>
      </c>
      <c r="B137" s="10" t="s">
        <v>314</v>
      </c>
      <c r="C137" s="10" t="s">
        <v>20</v>
      </c>
      <c r="D137" s="10" t="s">
        <v>315</v>
      </c>
      <c r="E137" s="10" t="s">
        <v>124</v>
      </c>
      <c r="F137" s="11">
        <v>10000</v>
      </c>
      <c r="G137" s="12">
        <v>811.05</v>
      </c>
      <c r="H137" s="12">
        <v>0.03</v>
      </c>
      <c r="I137" s="13" t="s">
        <v>20</v>
      </c>
      <c r="J137" s="13" t="s">
        <v>20</v>
      </c>
      <c r="K137" s="14">
        <v>0.03</v>
      </c>
      <c r="L137" s="15">
        <v>0</v>
      </c>
    </row>
    <row r="138" spans="1:12" x14ac:dyDescent="0.35">
      <c r="A138" s="9" t="s">
        <v>20</v>
      </c>
      <c r="B138" s="10" t="s">
        <v>316</v>
      </c>
      <c r="C138" s="10" t="s">
        <v>20</v>
      </c>
      <c r="D138" s="10" t="s">
        <v>317</v>
      </c>
      <c r="E138" s="10" t="s">
        <v>44</v>
      </c>
      <c r="F138" s="11">
        <v>247200</v>
      </c>
      <c r="G138" s="12">
        <v>844.31</v>
      </c>
      <c r="H138" s="12">
        <v>0.03</v>
      </c>
      <c r="I138" s="13" t="s">
        <v>20</v>
      </c>
      <c r="J138" s="13" t="s">
        <v>20</v>
      </c>
      <c r="K138" s="14">
        <v>0.03</v>
      </c>
      <c r="L138" s="15">
        <v>0</v>
      </c>
    </row>
    <row r="139" spans="1:12" x14ac:dyDescent="0.35">
      <c r="A139" s="9" t="s">
        <v>20</v>
      </c>
      <c r="B139" s="10" t="s">
        <v>318</v>
      </c>
      <c r="C139" s="10" t="s">
        <v>20</v>
      </c>
      <c r="D139" s="10" t="s">
        <v>319</v>
      </c>
      <c r="E139" s="10" t="s">
        <v>181</v>
      </c>
      <c r="F139" s="11">
        <v>25000</v>
      </c>
      <c r="G139" s="12">
        <v>736.98</v>
      </c>
      <c r="H139" s="12">
        <v>0.03</v>
      </c>
      <c r="I139" s="13" t="s">
        <v>20</v>
      </c>
      <c r="J139" s="13" t="s">
        <v>20</v>
      </c>
      <c r="K139" s="14">
        <v>0.03</v>
      </c>
      <c r="L139" s="15">
        <v>0</v>
      </c>
    </row>
    <row r="140" spans="1:12" x14ac:dyDescent="0.35">
      <c r="A140" s="9" t="s">
        <v>20</v>
      </c>
      <c r="B140" s="10" t="s">
        <v>320</v>
      </c>
      <c r="C140" s="10" t="s">
        <v>20</v>
      </c>
      <c r="D140" s="10" t="s">
        <v>321</v>
      </c>
      <c r="E140" s="10" t="s">
        <v>22</v>
      </c>
      <c r="F140" s="11">
        <v>389400</v>
      </c>
      <c r="G140" s="12">
        <v>646.16999999999996</v>
      </c>
      <c r="H140" s="12">
        <v>0.03</v>
      </c>
      <c r="I140" s="13" t="s">
        <v>20</v>
      </c>
      <c r="J140" s="13" t="s">
        <v>20</v>
      </c>
      <c r="K140" s="14">
        <v>0.03</v>
      </c>
      <c r="L140" s="15">
        <v>0</v>
      </c>
    </row>
    <row r="141" spans="1:12" x14ac:dyDescent="0.35">
      <c r="A141" s="9" t="s">
        <v>20</v>
      </c>
      <c r="B141" s="10" t="s">
        <v>322</v>
      </c>
      <c r="C141" s="10" t="s">
        <v>20</v>
      </c>
      <c r="D141" s="10" t="s">
        <v>323</v>
      </c>
      <c r="E141" s="10" t="s">
        <v>49</v>
      </c>
      <c r="F141" s="11">
        <v>216550</v>
      </c>
      <c r="G141" s="12">
        <v>480.42</v>
      </c>
      <c r="H141" s="12">
        <v>0.02</v>
      </c>
      <c r="I141" s="13" t="s">
        <v>20</v>
      </c>
      <c r="J141" s="13" t="s">
        <v>20</v>
      </c>
      <c r="K141" s="14">
        <v>0.02</v>
      </c>
      <c r="L141" s="15">
        <v>0</v>
      </c>
    </row>
    <row r="142" spans="1:12" x14ac:dyDescent="0.35">
      <c r="A142" s="9" t="s">
        <v>20</v>
      </c>
      <c r="B142" s="10" t="s">
        <v>324</v>
      </c>
      <c r="C142" s="10" t="s">
        <v>20</v>
      </c>
      <c r="D142" s="10" t="s">
        <v>325</v>
      </c>
      <c r="E142" s="10" t="s">
        <v>70</v>
      </c>
      <c r="F142" s="11">
        <v>130000</v>
      </c>
      <c r="G142" s="12">
        <v>401.32</v>
      </c>
      <c r="H142" s="12">
        <v>0.02</v>
      </c>
      <c r="I142" s="13" t="s">
        <v>20</v>
      </c>
      <c r="J142" s="13" t="s">
        <v>20</v>
      </c>
      <c r="K142" s="14">
        <v>0.02</v>
      </c>
      <c r="L142" s="15">
        <v>0</v>
      </c>
    </row>
    <row r="143" spans="1:12" x14ac:dyDescent="0.35">
      <c r="A143" s="9" t="s">
        <v>20</v>
      </c>
      <c r="B143" s="10" t="s">
        <v>326</v>
      </c>
      <c r="C143" s="10" t="s">
        <v>20</v>
      </c>
      <c r="D143" s="10" t="s">
        <v>327</v>
      </c>
      <c r="E143" s="10" t="s">
        <v>328</v>
      </c>
      <c r="F143" s="11">
        <v>120150</v>
      </c>
      <c r="G143" s="12">
        <v>578.46</v>
      </c>
      <c r="H143" s="12">
        <v>0.02</v>
      </c>
      <c r="I143" s="13" t="s">
        <v>20</v>
      </c>
      <c r="J143" s="13" t="s">
        <v>20</v>
      </c>
      <c r="K143" s="14">
        <v>0.02</v>
      </c>
      <c r="L143" s="15">
        <v>0</v>
      </c>
    </row>
    <row r="144" spans="1:12" x14ac:dyDescent="0.35">
      <c r="A144" s="9" t="s">
        <v>20</v>
      </c>
      <c r="B144" s="10" t="s">
        <v>329</v>
      </c>
      <c r="C144" s="10" t="s">
        <v>20</v>
      </c>
      <c r="D144" s="10" t="s">
        <v>330</v>
      </c>
      <c r="E144" s="10" t="s">
        <v>331</v>
      </c>
      <c r="F144" s="11">
        <v>289800</v>
      </c>
      <c r="G144" s="12">
        <v>473.04</v>
      </c>
      <c r="H144" s="12">
        <v>0.02</v>
      </c>
      <c r="I144" s="13" t="s">
        <v>20</v>
      </c>
      <c r="J144" s="13" t="s">
        <v>20</v>
      </c>
      <c r="K144" s="14">
        <v>0.02</v>
      </c>
      <c r="L144" s="15">
        <v>0</v>
      </c>
    </row>
    <row r="145" spans="1:12" x14ac:dyDescent="0.35">
      <c r="A145" s="9" t="s">
        <v>20</v>
      </c>
      <c r="B145" s="10" t="s">
        <v>332</v>
      </c>
      <c r="C145" s="10" t="s">
        <v>20</v>
      </c>
      <c r="D145" s="10" t="s">
        <v>333</v>
      </c>
      <c r="E145" s="10" t="s">
        <v>246</v>
      </c>
      <c r="F145" s="11">
        <v>50500</v>
      </c>
      <c r="G145" s="12">
        <v>538.89</v>
      </c>
      <c r="H145" s="12">
        <v>0.02</v>
      </c>
      <c r="I145" s="13" t="s">
        <v>20</v>
      </c>
      <c r="J145" s="13" t="s">
        <v>20</v>
      </c>
      <c r="K145" s="14">
        <v>0.02</v>
      </c>
      <c r="L145" s="15">
        <v>0</v>
      </c>
    </row>
    <row r="146" spans="1:12" x14ac:dyDescent="0.35">
      <c r="A146" s="9" t="s">
        <v>20</v>
      </c>
      <c r="B146" s="10" t="s">
        <v>334</v>
      </c>
      <c r="C146" s="10" t="s">
        <v>20</v>
      </c>
      <c r="D146" s="10" t="s">
        <v>335</v>
      </c>
      <c r="E146" s="10" t="s">
        <v>152</v>
      </c>
      <c r="F146" s="11">
        <v>31350</v>
      </c>
      <c r="G146" s="12">
        <v>575.34</v>
      </c>
      <c r="H146" s="12">
        <v>0.02</v>
      </c>
      <c r="I146" s="13" t="s">
        <v>20</v>
      </c>
      <c r="J146" s="13" t="s">
        <v>20</v>
      </c>
      <c r="K146" s="14">
        <v>0.02</v>
      </c>
      <c r="L146" s="15">
        <v>0</v>
      </c>
    </row>
    <row r="147" spans="1:12" x14ac:dyDescent="0.35">
      <c r="A147" s="9" t="s">
        <v>20</v>
      </c>
      <c r="B147" s="10" t="s">
        <v>336</v>
      </c>
      <c r="C147" s="10" t="s">
        <v>20</v>
      </c>
      <c r="D147" s="10" t="s">
        <v>337</v>
      </c>
      <c r="E147" s="10" t="s">
        <v>52</v>
      </c>
      <c r="F147" s="11">
        <v>30000</v>
      </c>
      <c r="G147" s="12">
        <v>372.18</v>
      </c>
      <c r="H147" s="12">
        <v>0.02</v>
      </c>
      <c r="I147" s="13" t="s">
        <v>20</v>
      </c>
      <c r="J147" s="13" t="s">
        <v>20</v>
      </c>
      <c r="K147" s="14">
        <v>0.02</v>
      </c>
      <c r="L147" s="15">
        <v>0</v>
      </c>
    </row>
    <row r="148" spans="1:12" x14ac:dyDescent="0.35">
      <c r="A148" s="9" t="s">
        <v>20</v>
      </c>
      <c r="B148" s="10" t="s">
        <v>338</v>
      </c>
      <c r="C148" s="10" t="s">
        <v>20</v>
      </c>
      <c r="D148" s="10" t="s">
        <v>339</v>
      </c>
      <c r="E148" s="10" t="s">
        <v>49</v>
      </c>
      <c r="F148" s="11">
        <v>486400</v>
      </c>
      <c r="G148" s="12">
        <v>404.68</v>
      </c>
      <c r="H148" s="12">
        <v>0.02</v>
      </c>
      <c r="I148" s="13" t="s">
        <v>20</v>
      </c>
      <c r="J148" s="13" t="s">
        <v>20</v>
      </c>
      <c r="K148" s="14">
        <v>0.02</v>
      </c>
      <c r="L148" s="15">
        <v>0</v>
      </c>
    </row>
    <row r="149" spans="1:12" x14ac:dyDescent="0.35">
      <c r="A149" s="9" t="s">
        <v>20</v>
      </c>
      <c r="B149" s="10" t="s">
        <v>340</v>
      </c>
      <c r="C149" s="10" t="s">
        <v>20</v>
      </c>
      <c r="D149" s="10" t="s">
        <v>341</v>
      </c>
      <c r="E149" s="10" t="s">
        <v>290</v>
      </c>
      <c r="F149" s="11">
        <v>3100</v>
      </c>
      <c r="G149" s="12">
        <v>478.61</v>
      </c>
      <c r="H149" s="12">
        <v>0.02</v>
      </c>
      <c r="I149" s="13" t="s">
        <v>20</v>
      </c>
      <c r="J149" s="13" t="s">
        <v>20</v>
      </c>
      <c r="K149" s="14">
        <v>0.02</v>
      </c>
      <c r="L149" s="15">
        <v>0</v>
      </c>
    </row>
    <row r="150" spans="1:12" x14ac:dyDescent="0.35">
      <c r="A150" s="9" t="s">
        <v>20</v>
      </c>
      <c r="B150" s="10" t="s">
        <v>342</v>
      </c>
      <c r="C150" s="10" t="s">
        <v>20</v>
      </c>
      <c r="D150" s="10" t="s">
        <v>343</v>
      </c>
      <c r="E150" s="10" t="s">
        <v>181</v>
      </c>
      <c r="F150" s="11">
        <v>79625</v>
      </c>
      <c r="G150" s="12">
        <v>483.52</v>
      </c>
      <c r="H150" s="12">
        <v>0.02</v>
      </c>
      <c r="I150" s="13" t="s">
        <v>20</v>
      </c>
      <c r="J150" s="13" t="s">
        <v>20</v>
      </c>
      <c r="K150" s="14">
        <v>0.02</v>
      </c>
      <c r="L150" s="15">
        <v>0</v>
      </c>
    </row>
    <row r="151" spans="1:12" x14ac:dyDescent="0.35">
      <c r="A151" s="9" t="s">
        <v>20</v>
      </c>
      <c r="B151" s="10" t="s">
        <v>344</v>
      </c>
      <c r="C151" s="10" t="s">
        <v>20</v>
      </c>
      <c r="D151" s="10" t="s">
        <v>345</v>
      </c>
      <c r="E151" s="10" t="s">
        <v>152</v>
      </c>
      <c r="F151" s="11">
        <v>24850</v>
      </c>
      <c r="G151" s="12">
        <v>438.6</v>
      </c>
      <c r="H151" s="12">
        <v>0.02</v>
      </c>
      <c r="I151" s="13" t="s">
        <v>20</v>
      </c>
      <c r="J151" s="13" t="s">
        <v>20</v>
      </c>
      <c r="K151" s="14">
        <v>0.02</v>
      </c>
      <c r="L151" s="15">
        <v>0</v>
      </c>
    </row>
    <row r="152" spans="1:12" x14ac:dyDescent="0.35">
      <c r="A152" s="9" t="s">
        <v>20</v>
      </c>
      <c r="B152" s="10" t="s">
        <v>346</v>
      </c>
      <c r="C152" s="10" t="s">
        <v>20</v>
      </c>
      <c r="D152" s="10" t="s">
        <v>347</v>
      </c>
      <c r="E152" s="10" t="s">
        <v>65</v>
      </c>
      <c r="F152" s="11">
        <v>2400</v>
      </c>
      <c r="G152" s="12">
        <v>246.41</v>
      </c>
      <c r="H152" s="12">
        <v>0.01</v>
      </c>
      <c r="I152" s="13" t="s">
        <v>20</v>
      </c>
      <c r="J152" s="13" t="s">
        <v>20</v>
      </c>
      <c r="K152" s="14">
        <v>0.01</v>
      </c>
      <c r="L152" s="15">
        <v>0</v>
      </c>
    </row>
    <row r="153" spans="1:12" x14ac:dyDescent="0.35">
      <c r="A153" s="9" t="s">
        <v>20</v>
      </c>
      <c r="B153" s="10" t="s">
        <v>348</v>
      </c>
      <c r="C153" s="10" t="s">
        <v>20</v>
      </c>
      <c r="D153" s="10" t="s">
        <v>349</v>
      </c>
      <c r="E153" s="10" t="s">
        <v>62</v>
      </c>
      <c r="F153" s="11">
        <v>1000</v>
      </c>
      <c r="G153" s="12">
        <v>335.5</v>
      </c>
      <c r="H153" s="12">
        <v>0.01</v>
      </c>
      <c r="I153" s="13" t="s">
        <v>20</v>
      </c>
      <c r="J153" s="13" t="s">
        <v>20</v>
      </c>
      <c r="K153" s="14">
        <v>0.01</v>
      </c>
      <c r="L153" s="15">
        <v>0</v>
      </c>
    </row>
    <row r="154" spans="1:12" x14ac:dyDescent="0.35">
      <c r="A154" s="9" t="s">
        <v>20</v>
      </c>
      <c r="B154" s="10" t="s">
        <v>350</v>
      </c>
      <c r="C154" s="10" t="s">
        <v>20</v>
      </c>
      <c r="D154" s="10" t="s">
        <v>351</v>
      </c>
      <c r="E154" s="10" t="s">
        <v>65</v>
      </c>
      <c r="F154" s="11">
        <v>48000</v>
      </c>
      <c r="G154" s="12">
        <v>141.29</v>
      </c>
      <c r="H154" s="12">
        <v>0.01</v>
      </c>
      <c r="I154" s="13" t="s">
        <v>20</v>
      </c>
      <c r="J154" s="13" t="s">
        <v>20</v>
      </c>
      <c r="K154" s="14">
        <v>0.01</v>
      </c>
      <c r="L154" s="15">
        <v>0</v>
      </c>
    </row>
    <row r="155" spans="1:12" x14ac:dyDescent="0.35">
      <c r="A155" s="9" t="s">
        <v>20</v>
      </c>
      <c r="B155" s="10" t="s">
        <v>352</v>
      </c>
      <c r="C155" s="10" t="s">
        <v>20</v>
      </c>
      <c r="D155" s="10" t="s">
        <v>353</v>
      </c>
      <c r="E155" s="10" t="s">
        <v>187</v>
      </c>
      <c r="F155" s="11">
        <v>8525</v>
      </c>
      <c r="G155" s="12">
        <v>194.09</v>
      </c>
      <c r="H155" s="12">
        <v>0.01</v>
      </c>
      <c r="I155" s="13" t="s">
        <v>20</v>
      </c>
      <c r="J155" s="13" t="s">
        <v>20</v>
      </c>
      <c r="K155" s="14">
        <v>0.01</v>
      </c>
      <c r="L155" s="15">
        <v>0</v>
      </c>
    </row>
    <row r="156" spans="1:12" x14ac:dyDescent="0.35">
      <c r="A156" s="9" t="s">
        <v>20</v>
      </c>
      <c r="B156" s="10" t="s">
        <v>354</v>
      </c>
      <c r="C156" s="10" t="s">
        <v>20</v>
      </c>
      <c r="D156" s="10" t="s">
        <v>355</v>
      </c>
      <c r="E156" s="10" t="s">
        <v>134</v>
      </c>
      <c r="F156" s="11">
        <v>64400</v>
      </c>
      <c r="G156" s="12">
        <v>316.08</v>
      </c>
      <c r="H156" s="12">
        <v>0.01</v>
      </c>
      <c r="I156" s="13" t="s">
        <v>20</v>
      </c>
      <c r="J156" s="13" t="s">
        <v>20</v>
      </c>
      <c r="K156" s="14">
        <v>0.01</v>
      </c>
      <c r="L156" s="15">
        <v>0</v>
      </c>
    </row>
    <row r="157" spans="1:12" x14ac:dyDescent="0.35">
      <c r="A157" s="9" t="s">
        <v>20</v>
      </c>
      <c r="B157" s="10" t="s">
        <v>356</v>
      </c>
      <c r="C157" s="10" t="s">
        <v>20</v>
      </c>
      <c r="D157" s="10" t="s">
        <v>357</v>
      </c>
      <c r="E157" s="10" t="s">
        <v>167</v>
      </c>
      <c r="F157" s="11">
        <v>7500</v>
      </c>
      <c r="G157" s="12">
        <v>136.43</v>
      </c>
      <c r="H157" s="12">
        <v>0.01</v>
      </c>
      <c r="I157" s="13" t="s">
        <v>20</v>
      </c>
      <c r="J157" s="13" t="s">
        <v>20</v>
      </c>
      <c r="K157" s="14">
        <v>0</v>
      </c>
      <c r="L157" s="15">
        <v>0</v>
      </c>
    </row>
    <row r="158" spans="1:12" x14ac:dyDescent="0.35">
      <c r="A158" s="9" t="s">
        <v>20</v>
      </c>
      <c r="B158" s="10" t="s">
        <v>358</v>
      </c>
      <c r="C158" s="10" t="s">
        <v>20</v>
      </c>
      <c r="D158" s="10" t="s">
        <v>359</v>
      </c>
      <c r="E158" s="10" t="s">
        <v>39</v>
      </c>
      <c r="F158" s="11">
        <v>1950</v>
      </c>
      <c r="G158" s="12">
        <v>37.17</v>
      </c>
      <c r="H158" s="12" t="s">
        <v>360</v>
      </c>
      <c r="I158" s="13" t="s">
        <v>20</v>
      </c>
      <c r="J158" s="13" t="s">
        <v>20</v>
      </c>
      <c r="K158" s="14" t="s">
        <v>360</v>
      </c>
      <c r="L158" s="15">
        <v>0</v>
      </c>
    </row>
    <row r="159" spans="1:12" x14ac:dyDescent="0.35">
      <c r="A159" s="9" t="s">
        <v>20</v>
      </c>
      <c r="B159" s="10" t="s">
        <v>361</v>
      </c>
      <c r="C159" s="10" t="s">
        <v>20</v>
      </c>
      <c r="D159" s="10" t="s">
        <v>362</v>
      </c>
      <c r="E159" s="10" t="s">
        <v>52</v>
      </c>
      <c r="F159" s="11">
        <v>700</v>
      </c>
      <c r="G159" s="12">
        <v>78.17</v>
      </c>
      <c r="H159" s="12" t="s">
        <v>360</v>
      </c>
      <c r="I159" s="13" t="s">
        <v>20</v>
      </c>
      <c r="J159" s="13" t="s">
        <v>20</v>
      </c>
      <c r="K159" s="14" t="s">
        <v>360</v>
      </c>
      <c r="L159" s="15">
        <v>0</v>
      </c>
    </row>
    <row r="160" spans="1:12" x14ac:dyDescent="0.35">
      <c r="A160" s="9" t="s">
        <v>20</v>
      </c>
      <c r="B160" s="10" t="s">
        <v>363</v>
      </c>
      <c r="C160" s="10" t="s">
        <v>20</v>
      </c>
      <c r="D160" s="10" t="s">
        <v>364</v>
      </c>
      <c r="E160" s="10" t="s">
        <v>187</v>
      </c>
      <c r="F160" s="11">
        <v>3825</v>
      </c>
      <c r="G160" s="12">
        <v>29.03</v>
      </c>
      <c r="H160" s="12" t="s">
        <v>360</v>
      </c>
      <c r="I160" s="13" t="s">
        <v>20</v>
      </c>
      <c r="J160" s="13" t="s">
        <v>20</v>
      </c>
      <c r="K160" s="14" t="s">
        <v>360</v>
      </c>
      <c r="L160" s="15">
        <v>0</v>
      </c>
    </row>
    <row r="161" spans="1:12" x14ac:dyDescent="0.35">
      <c r="A161" s="9" t="s">
        <v>20</v>
      </c>
      <c r="B161" s="10" t="s">
        <v>365</v>
      </c>
      <c r="C161" s="10" t="s">
        <v>20</v>
      </c>
      <c r="D161" s="10" t="s">
        <v>366</v>
      </c>
      <c r="E161" s="10" t="s">
        <v>152</v>
      </c>
      <c r="F161" s="11">
        <v>1750</v>
      </c>
      <c r="G161" s="12">
        <v>29.22</v>
      </c>
      <c r="H161" s="12" t="s">
        <v>360</v>
      </c>
      <c r="I161" s="13" t="s">
        <v>20</v>
      </c>
      <c r="J161" s="13" t="s">
        <v>20</v>
      </c>
      <c r="K161" s="14" t="s">
        <v>360</v>
      </c>
      <c r="L161" s="15">
        <v>0</v>
      </c>
    </row>
    <row r="162" spans="1:12" x14ac:dyDescent="0.35">
      <c r="A162" s="9" t="s">
        <v>20</v>
      </c>
      <c r="B162" s="10" t="s">
        <v>367</v>
      </c>
      <c r="C162" s="10" t="s">
        <v>20</v>
      </c>
      <c r="D162" s="10" t="s">
        <v>368</v>
      </c>
      <c r="E162" s="10" t="s">
        <v>331</v>
      </c>
      <c r="F162" s="11">
        <v>39900</v>
      </c>
      <c r="G162" s="12">
        <v>110.43</v>
      </c>
      <c r="H162" s="12" t="s">
        <v>360</v>
      </c>
      <c r="I162" s="13" t="s">
        <v>20</v>
      </c>
      <c r="J162" s="13" t="s">
        <v>20</v>
      </c>
      <c r="K162" s="14" t="s">
        <v>360</v>
      </c>
      <c r="L162" s="15">
        <v>0</v>
      </c>
    </row>
    <row r="163" spans="1:12" x14ac:dyDescent="0.35">
      <c r="A163" s="9" t="s">
        <v>20</v>
      </c>
      <c r="B163" s="10" t="s">
        <v>369</v>
      </c>
      <c r="C163" s="10" t="s">
        <v>20</v>
      </c>
      <c r="D163" s="10" t="s">
        <v>370</v>
      </c>
      <c r="E163" s="10" t="s">
        <v>78</v>
      </c>
      <c r="F163" s="11">
        <v>41600</v>
      </c>
      <c r="G163" s="12">
        <v>112.44</v>
      </c>
      <c r="H163" s="12" t="s">
        <v>360</v>
      </c>
      <c r="I163" s="13" t="s">
        <v>20</v>
      </c>
      <c r="J163" s="13" t="s">
        <v>20</v>
      </c>
      <c r="K163" s="14" t="s">
        <v>360</v>
      </c>
      <c r="L163" s="15">
        <v>0</v>
      </c>
    </row>
    <row r="164" spans="1:12" x14ac:dyDescent="0.35">
      <c r="A164" s="16"/>
      <c r="B164" s="8" t="s">
        <v>371</v>
      </c>
      <c r="C164" s="16"/>
      <c r="D164" s="16"/>
      <c r="E164" s="16"/>
      <c r="F164" s="16"/>
      <c r="G164" s="17">
        <v>1622054.2299999993</v>
      </c>
      <c r="H164" s="17">
        <v>66.370000000000019</v>
      </c>
      <c r="I164" s="16"/>
      <c r="J164" s="16"/>
      <c r="K164" s="16"/>
      <c r="L164" s="16"/>
    </row>
    <row r="165" spans="1:12" x14ac:dyDescent="0.35">
      <c r="A165" s="7"/>
      <c r="B165" s="8" t="s">
        <v>372</v>
      </c>
      <c r="C165" s="7"/>
      <c r="D165" s="7"/>
      <c r="E165" s="7"/>
      <c r="F165" s="7"/>
      <c r="G165" s="18">
        <v>1622054.2299999993</v>
      </c>
      <c r="H165" s="18">
        <v>66.370000000000019</v>
      </c>
      <c r="I165" s="7"/>
      <c r="J165" s="7"/>
      <c r="K165" s="7"/>
      <c r="L165" s="7"/>
    </row>
    <row r="166" spans="1:12" x14ac:dyDescent="0.35">
      <c r="A166" s="7"/>
      <c r="B166" s="8" t="s">
        <v>373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x14ac:dyDescent="0.35">
      <c r="A167" s="7"/>
      <c r="B167" s="8" t="s">
        <v>16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x14ac:dyDescent="0.35">
      <c r="A168" s="7"/>
      <c r="B168" s="8" t="s">
        <v>374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1:12" x14ac:dyDescent="0.35">
      <c r="A169" s="9" t="s">
        <v>20</v>
      </c>
      <c r="B169" s="10" t="s">
        <v>375</v>
      </c>
      <c r="C169" s="10">
        <v>8.4700000000000006</v>
      </c>
      <c r="D169" s="10" t="s">
        <v>376</v>
      </c>
      <c r="E169" s="10" t="s">
        <v>377</v>
      </c>
      <c r="F169" s="11">
        <v>650</v>
      </c>
      <c r="G169" s="12">
        <v>6510.32</v>
      </c>
      <c r="H169" s="12">
        <v>0.27</v>
      </c>
      <c r="I169" s="13">
        <v>6.52</v>
      </c>
      <c r="J169" s="13" t="s">
        <v>20</v>
      </c>
      <c r="K169" s="14" t="s">
        <v>20</v>
      </c>
      <c r="L169" s="15" t="s">
        <v>20</v>
      </c>
    </row>
    <row r="170" spans="1:12" x14ac:dyDescent="0.35">
      <c r="A170" s="9" t="s">
        <v>20</v>
      </c>
      <c r="B170" s="10" t="s">
        <v>378</v>
      </c>
      <c r="C170" s="10">
        <v>8.4700000000000006</v>
      </c>
      <c r="D170" s="10" t="s">
        <v>376</v>
      </c>
      <c r="E170" s="10" t="s">
        <v>377</v>
      </c>
      <c r="F170" s="11">
        <v>200</v>
      </c>
      <c r="G170" s="12">
        <v>2003.59</v>
      </c>
      <c r="H170" s="12">
        <v>0.08</v>
      </c>
      <c r="I170" s="13">
        <v>6.52</v>
      </c>
      <c r="J170" s="13" t="s">
        <v>20</v>
      </c>
      <c r="K170" s="14" t="s">
        <v>20</v>
      </c>
      <c r="L170" s="15" t="s">
        <v>20</v>
      </c>
    </row>
    <row r="171" spans="1:12" x14ac:dyDescent="0.35">
      <c r="A171" s="16"/>
      <c r="B171" s="8" t="s">
        <v>371</v>
      </c>
      <c r="C171" s="16"/>
      <c r="D171" s="16"/>
      <c r="E171" s="16"/>
      <c r="F171" s="16"/>
      <c r="G171" s="17">
        <v>8513.91</v>
      </c>
      <c r="H171" s="17">
        <v>0.35000000000000003</v>
      </c>
      <c r="I171" s="16"/>
      <c r="J171" s="16"/>
      <c r="K171" s="16"/>
      <c r="L171" s="16"/>
    </row>
    <row r="172" spans="1:12" x14ac:dyDescent="0.35">
      <c r="A172" s="7"/>
      <c r="B172" s="8" t="s">
        <v>372</v>
      </c>
      <c r="C172" s="7"/>
      <c r="D172" s="7"/>
      <c r="E172" s="7"/>
      <c r="F172" s="7"/>
      <c r="G172" s="18">
        <v>8513.91</v>
      </c>
      <c r="H172" s="18">
        <v>0.35000000000000003</v>
      </c>
      <c r="I172" s="7"/>
      <c r="J172" s="7"/>
      <c r="K172" s="7"/>
      <c r="L172" s="7"/>
    </row>
    <row r="173" spans="1:12" x14ac:dyDescent="0.35">
      <c r="A173" s="7"/>
      <c r="B173" s="8" t="s">
        <v>379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 x14ac:dyDescent="0.35">
      <c r="A174" s="7"/>
      <c r="B174" s="8" t="s">
        <v>380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x14ac:dyDescent="0.35">
      <c r="A175" s="9" t="s">
        <v>20</v>
      </c>
      <c r="B175" s="10" t="s">
        <v>381</v>
      </c>
      <c r="C175" s="10" t="s">
        <v>20</v>
      </c>
      <c r="D175" s="10" t="s">
        <v>382</v>
      </c>
      <c r="E175" s="10" t="s">
        <v>383</v>
      </c>
      <c r="F175" s="11">
        <v>7000</v>
      </c>
      <c r="G175" s="12">
        <v>33174.230000000003</v>
      </c>
      <c r="H175" s="12">
        <v>1.36</v>
      </c>
      <c r="I175" s="13">
        <v>7.2</v>
      </c>
      <c r="J175" s="13" t="s">
        <v>20</v>
      </c>
      <c r="K175" s="14" t="s">
        <v>20</v>
      </c>
      <c r="L175" s="15" t="s">
        <v>20</v>
      </c>
    </row>
    <row r="176" spans="1:12" x14ac:dyDescent="0.35">
      <c r="A176" s="9" t="s">
        <v>20</v>
      </c>
      <c r="B176" s="10" t="s">
        <v>384</v>
      </c>
      <c r="C176" s="10" t="s">
        <v>20</v>
      </c>
      <c r="D176" s="10" t="s">
        <v>385</v>
      </c>
      <c r="E176" s="10" t="s">
        <v>383</v>
      </c>
      <c r="F176" s="11">
        <v>6000</v>
      </c>
      <c r="G176" s="12">
        <v>28257</v>
      </c>
      <c r="H176" s="12">
        <v>1.1599999999999999</v>
      </c>
      <c r="I176" s="13">
        <v>7.48</v>
      </c>
      <c r="J176" s="13" t="s">
        <v>20</v>
      </c>
      <c r="K176" s="14" t="s">
        <v>20</v>
      </c>
      <c r="L176" s="15" t="s">
        <v>20</v>
      </c>
    </row>
    <row r="177" spans="1:12" x14ac:dyDescent="0.35">
      <c r="A177" s="9" t="s">
        <v>20</v>
      </c>
      <c r="B177" s="10" t="s">
        <v>386</v>
      </c>
      <c r="C177" s="10" t="s">
        <v>20</v>
      </c>
      <c r="D177" s="10" t="s">
        <v>382</v>
      </c>
      <c r="E177" s="10" t="s">
        <v>383</v>
      </c>
      <c r="F177" s="11">
        <v>5000</v>
      </c>
      <c r="G177" s="12">
        <v>23917.5</v>
      </c>
      <c r="H177" s="12">
        <v>0.98</v>
      </c>
      <c r="I177" s="13">
        <v>7</v>
      </c>
      <c r="J177" s="13" t="s">
        <v>20</v>
      </c>
      <c r="K177" s="14" t="s">
        <v>20</v>
      </c>
      <c r="L177" s="15" t="s">
        <v>20</v>
      </c>
    </row>
    <row r="178" spans="1:12" x14ac:dyDescent="0.35">
      <c r="A178" s="9" t="s">
        <v>20</v>
      </c>
      <c r="B178" s="10" t="s">
        <v>387</v>
      </c>
      <c r="C178" s="10" t="s">
        <v>20</v>
      </c>
      <c r="D178" s="10" t="s">
        <v>388</v>
      </c>
      <c r="E178" s="10" t="s">
        <v>389</v>
      </c>
      <c r="F178" s="11">
        <v>5000</v>
      </c>
      <c r="G178" s="12">
        <v>23973.279999999999</v>
      </c>
      <c r="H178" s="12">
        <v>0.98</v>
      </c>
      <c r="I178" s="13">
        <v>7.01</v>
      </c>
      <c r="J178" s="13" t="s">
        <v>20</v>
      </c>
      <c r="K178" s="14" t="s">
        <v>20</v>
      </c>
      <c r="L178" s="15" t="s">
        <v>20</v>
      </c>
    </row>
    <row r="179" spans="1:12" x14ac:dyDescent="0.35">
      <c r="A179" s="9" t="s">
        <v>20</v>
      </c>
      <c r="B179" s="10" t="s">
        <v>390</v>
      </c>
      <c r="C179" s="10" t="s">
        <v>20</v>
      </c>
      <c r="D179" s="10" t="s">
        <v>100</v>
      </c>
      <c r="E179" s="10" t="s">
        <v>383</v>
      </c>
      <c r="F179" s="11">
        <v>5000</v>
      </c>
      <c r="G179" s="12">
        <v>23731.35</v>
      </c>
      <c r="H179" s="12">
        <v>0.97</v>
      </c>
      <c r="I179" s="13">
        <v>7.2</v>
      </c>
      <c r="J179" s="13" t="s">
        <v>20</v>
      </c>
      <c r="K179" s="14" t="s">
        <v>20</v>
      </c>
      <c r="L179" s="15" t="s">
        <v>20</v>
      </c>
    </row>
    <row r="180" spans="1:12" x14ac:dyDescent="0.35">
      <c r="A180" s="9" t="s">
        <v>20</v>
      </c>
      <c r="B180" s="10" t="s">
        <v>391</v>
      </c>
      <c r="C180" s="10" t="s">
        <v>20</v>
      </c>
      <c r="D180" s="10" t="s">
        <v>392</v>
      </c>
      <c r="E180" s="10" t="s">
        <v>389</v>
      </c>
      <c r="F180" s="11">
        <v>5000</v>
      </c>
      <c r="G180" s="12">
        <v>23730.93</v>
      </c>
      <c r="H180" s="12">
        <v>0.97</v>
      </c>
      <c r="I180" s="13">
        <v>7.15</v>
      </c>
      <c r="J180" s="13" t="s">
        <v>20</v>
      </c>
      <c r="K180" s="14" t="s">
        <v>20</v>
      </c>
      <c r="L180" s="15" t="s">
        <v>20</v>
      </c>
    </row>
    <row r="181" spans="1:12" x14ac:dyDescent="0.35">
      <c r="A181" s="9" t="s">
        <v>20</v>
      </c>
      <c r="B181" s="10" t="s">
        <v>393</v>
      </c>
      <c r="C181" s="10" t="s">
        <v>20</v>
      </c>
      <c r="D181" s="10" t="s">
        <v>394</v>
      </c>
      <c r="E181" s="10" t="s">
        <v>383</v>
      </c>
      <c r="F181" s="11">
        <v>5000</v>
      </c>
      <c r="G181" s="12">
        <v>23705.68</v>
      </c>
      <c r="H181" s="12">
        <v>0.97</v>
      </c>
      <c r="I181" s="13">
        <v>7.3</v>
      </c>
      <c r="J181" s="13" t="s">
        <v>20</v>
      </c>
      <c r="K181" s="14" t="s">
        <v>20</v>
      </c>
      <c r="L181" s="15" t="s">
        <v>20</v>
      </c>
    </row>
    <row r="182" spans="1:12" x14ac:dyDescent="0.35">
      <c r="A182" s="9" t="s">
        <v>20</v>
      </c>
      <c r="B182" s="10" t="s">
        <v>395</v>
      </c>
      <c r="C182" s="10" t="s">
        <v>20</v>
      </c>
      <c r="D182" s="10" t="s">
        <v>396</v>
      </c>
      <c r="E182" s="10" t="s">
        <v>397</v>
      </c>
      <c r="F182" s="11">
        <v>5000</v>
      </c>
      <c r="G182" s="12">
        <v>23767.48</v>
      </c>
      <c r="H182" s="12">
        <v>0.97</v>
      </c>
      <c r="I182" s="13">
        <v>7.2</v>
      </c>
      <c r="J182" s="13" t="s">
        <v>20</v>
      </c>
      <c r="K182" s="14" t="s">
        <v>20</v>
      </c>
      <c r="L182" s="15" t="s">
        <v>20</v>
      </c>
    </row>
    <row r="183" spans="1:12" x14ac:dyDescent="0.35">
      <c r="A183" s="9" t="s">
        <v>20</v>
      </c>
      <c r="B183" s="10" t="s">
        <v>398</v>
      </c>
      <c r="C183" s="10" t="s">
        <v>20</v>
      </c>
      <c r="D183" s="10" t="s">
        <v>399</v>
      </c>
      <c r="E183" s="10" t="s">
        <v>383</v>
      </c>
      <c r="F183" s="11">
        <v>4000</v>
      </c>
      <c r="G183" s="12">
        <v>18879.599999999999</v>
      </c>
      <c r="H183" s="12">
        <v>0.77</v>
      </c>
      <c r="I183" s="13">
        <v>7.2</v>
      </c>
      <c r="J183" s="13" t="s">
        <v>20</v>
      </c>
      <c r="K183" s="14" t="s">
        <v>20</v>
      </c>
      <c r="L183" s="15" t="s">
        <v>20</v>
      </c>
    </row>
    <row r="184" spans="1:12" x14ac:dyDescent="0.35">
      <c r="A184" s="9" t="s">
        <v>20</v>
      </c>
      <c r="B184" s="10" t="s">
        <v>400</v>
      </c>
      <c r="C184" s="10" t="s">
        <v>20</v>
      </c>
      <c r="D184" s="10" t="s">
        <v>401</v>
      </c>
      <c r="E184" s="10" t="s">
        <v>389</v>
      </c>
      <c r="F184" s="11">
        <v>3000</v>
      </c>
      <c r="G184" s="12">
        <v>14293.43</v>
      </c>
      <c r="H184" s="12">
        <v>0.57999999999999996</v>
      </c>
      <c r="I184" s="13">
        <v>7.16</v>
      </c>
      <c r="J184" s="13" t="s">
        <v>20</v>
      </c>
      <c r="K184" s="14" t="s">
        <v>20</v>
      </c>
      <c r="L184" s="15" t="s">
        <v>20</v>
      </c>
    </row>
    <row r="185" spans="1:12" x14ac:dyDescent="0.35">
      <c r="A185" s="9" t="s">
        <v>20</v>
      </c>
      <c r="B185" s="10" t="s">
        <v>402</v>
      </c>
      <c r="C185" s="10" t="s">
        <v>20</v>
      </c>
      <c r="D185" s="10" t="s">
        <v>92</v>
      </c>
      <c r="E185" s="10" t="s">
        <v>383</v>
      </c>
      <c r="F185" s="11">
        <v>2000</v>
      </c>
      <c r="G185" s="12">
        <v>9749.59</v>
      </c>
      <c r="H185" s="12">
        <v>0.4</v>
      </c>
      <c r="I185" s="13">
        <v>6.84</v>
      </c>
      <c r="J185" s="13" t="s">
        <v>20</v>
      </c>
      <c r="K185" s="14" t="s">
        <v>20</v>
      </c>
      <c r="L185" s="15" t="s">
        <v>20</v>
      </c>
    </row>
    <row r="186" spans="1:12" x14ac:dyDescent="0.35">
      <c r="A186" s="9" t="s">
        <v>20</v>
      </c>
      <c r="B186" s="10" t="s">
        <v>403</v>
      </c>
      <c r="C186" s="10" t="s">
        <v>20</v>
      </c>
      <c r="D186" s="10" t="s">
        <v>382</v>
      </c>
      <c r="E186" s="10" t="s">
        <v>383</v>
      </c>
      <c r="F186" s="11">
        <v>2000</v>
      </c>
      <c r="G186" s="12">
        <v>9496.11</v>
      </c>
      <c r="H186" s="12">
        <v>0.39</v>
      </c>
      <c r="I186" s="13">
        <v>7.2</v>
      </c>
      <c r="J186" s="13" t="s">
        <v>20</v>
      </c>
      <c r="K186" s="14" t="s">
        <v>20</v>
      </c>
      <c r="L186" s="15" t="s">
        <v>20</v>
      </c>
    </row>
    <row r="187" spans="1:12" x14ac:dyDescent="0.35">
      <c r="A187" s="9" t="s">
        <v>20</v>
      </c>
      <c r="B187" s="10" t="s">
        <v>404</v>
      </c>
      <c r="C187" s="10" t="s">
        <v>20</v>
      </c>
      <c r="D187" s="10" t="s">
        <v>126</v>
      </c>
      <c r="E187" s="10" t="s">
        <v>389</v>
      </c>
      <c r="F187" s="11">
        <v>2000</v>
      </c>
      <c r="G187" s="12">
        <v>9489.68</v>
      </c>
      <c r="H187" s="12">
        <v>0.39</v>
      </c>
      <c r="I187" s="13">
        <v>7.19</v>
      </c>
      <c r="J187" s="13" t="s">
        <v>20</v>
      </c>
      <c r="K187" s="14" t="s">
        <v>20</v>
      </c>
      <c r="L187" s="15" t="s">
        <v>20</v>
      </c>
    </row>
    <row r="188" spans="1:12" x14ac:dyDescent="0.35">
      <c r="A188" s="9" t="s">
        <v>20</v>
      </c>
      <c r="B188" s="10" t="s">
        <v>405</v>
      </c>
      <c r="C188" s="10" t="s">
        <v>20</v>
      </c>
      <c r="D188" s="10" t="s">
        <v>406</v>
      </c>
      <c r="E188" s="10" t="s">
        <v>389</v>
      </c>
      <c r="F188" s="11">
        <v>2000</v>
      </c>
      <c r="G188" s="12">
        <v>9464.5499999999993</v>
      </c>
      <c r="H188" s="12">
        <v>0.39</v>
      </c>
      <c r="I188" s="13">
        <v>7.2</v>
      </c>
      <c r="J188" s="13" t="s">
        <v>20</v>
      </c>
      <c r="K188" s="14" t="s">
        <v>20</v>
      </c>
      <c r="L188" s="15" t="s">
        <v>20</v>
      </c>
    </row>
    <row r="189" spans="1:12" x14ac:dyDescent="0.35">
      <c r="A189" s="9" t="s">
        <v>20</v>
      </c>
      <c r="B189" s="10" t="s">
        <v>407</v>
      </c>
      <c r="C189" s="10" t="s">
        <v>20</v>
      </c>
      <c r="D189" s="10" t="s">
        <v>408</v>
      </c>
      <c r="E189" s="10" t="s">
        <v>397</v>
      </c>
      <c r="F189" s="11">
        <v>2000</v>
      </c>
      <c r="G189" s="12">
        <v>9469.1299999999992</v>
      </c>
      <c r="H189" s="12">
        <v>0.39</v>
      </c>
      <c r="I189" s="13">
        <v>7.13</v>
      </c>
      <c r="J189" s="13" t="s">
        <v>20</v>
      </c>
      <c r="K189" s="14" t="s">
        <v>20</v>
      </c>
      <c r="L189" s="15" t="s">
        <v>20</v>
      </c>
    </row>
    <row r="190" spans="1:12" x14ac:dyDescent="0.35">
      <c r="A190" s="9" t="s">
        <v>20</v>
      </c>
      <c r="B190" s="10" t="s">
        <v>409</v>
      </c>
      <c r="C190" s="10" t="s">
        <v>20</v>
      </c>
      <c r="D190" s="10" t="s">
        <v>408</v>
      </c>
      <c r="E190" s="10" t="s">
        <v>397</v>
      </c>
      <c r="F190" s="11">
        <v>2000</v>
      </c>
      <c r="G190" s="12">
        <v>9497.24</v>
      </c>
      <c r="H190" s="12">
        <v>0.39</v>
      </c>
      <c r="I190" s="13">
        <v>7.13</v>
      </c>
      <c r="J190" s="13" t="s">
        <v>20</v>
      </c>
      <c r="K190" s="14" t="s">
        <v>20</v>
      </c>
      <c r="L190" s="15" t="s">
        <v>20</v>
      </c>
    </row>
    <row r="191" spans="1:12" x14ac:dyDescent="0.35">
      <c r="A191" s="9" t="s">
        <v>20</v>
      </c>
      <c r="B191" s="10" t="s">
        <v>410</v>
      </c>
      <c r="C191" s="10" t="s">
        <v>20</v>
      </c>
      <c r="D191" s="10" t="s">
        <v>388</v>
      </c>
      <c r="E191" s="10" t="s">
        <v>389</v>
      </c>
      <c r="F191" s="11">
        <v>2000</v>
      </c>
      <c r="G191" s="12">
        <v>9599.92</v>
      </c>
      <c r="H191" s="12">
        <v>0.39</v>
      </c>
      <c r="I191" s="13">
        <v>7.01</v>
      </c>
      <c r="J191" s="13" t="s">
        <v>20</v>
      </c>
      <c r="K191" s="14" t="s">
        <v>20</v>
      </c>
      <c r="L191" s="15" t="s">
        <v>20</v>
      </c>
    </row>
    <row r="192" spans="1:12" x14ac:dyDescent="0.35">
      <c r="A192" s="9" t="s">
        <v>20</v>
      </c>
      <c r="B192" s="10" t="s">
        <v>411</v>
      </c>
      <c r="C192" s="10" t="s">
        <v>20</v>
      </c>
      <c r="D192" s="10" t="s">
        <v>385</v>
      </c>
      <c r="E192" s="10" t="s">
        <v>383</v>
      </c>
      <c r="F192" s="11">
        <v>2000</v>
      </c>
      <c r="G192" s="12">
        <v>9433.57</v>
      </c>
      <c r="H192" s="12">
        <v>0.39</v>
      </c>
      <c r="I192" s="13">
        <v>7.48</v>
      </c>
      <c r="J192" s="13" t="s">
        <v>20</v>
      </c>
      <c r="K192" s="14" t="s">
        <v>20</v>
      </c>
      <c r="L192" s="15" t="s">
        <v>20</v>
      </c>
    </row>
    <row r="193" spans="1:12" x14ac:dyDescent="0.35">
      <c r="A193" s="9" t="s">
        <v>20</v>
      </c>
      <c r="B193" s="10" t="s">
        <v>412</v>
      </c>
      <c r="C193" s="10" t="s">
        <v>20</v>
      </c>
      <c r="D193" s="10" t="s">
        <v>401</v>
      </c>
      <c r="E193" s="10" t="s">
        <v>389</v>
      </c>
      <c r="F193" s="11">
        <v>2000</v>
      </c>
      <c r="G193" s="12">
        <v>9467.01</v>
      </c>
      <c r="H193" s="12">
        <v>0.39</v>
      </c>
      <c r="I193" s="13">
        <v>7.16</v>
      </c>
      <c r="J193" s="13" t="s">
        <v>20</v>
      </c>
      <c r="K193" s="14" t="s">
        <v>20</v>
      </c>
      <c r="L193" s="15" t="s">
        <v>20</v>
      </c>
    </row>
    <row r="194" spans="1:12" x14ac:dyDescent="0.35">
      <c r="A194" s="9" t="s">
        <v>20</v>
      </c>
      <c r="B194" s="10" t="s">
        <v>413</v>
      </c>
      <c r="C194" s="10" t="s">
        <v>20</v>
      </c>
      <c r="D194" s="10" t="s">
        <v>414</v>
      </c>
      <c r="E194" s="10" t="s">
        <v>415</v>
      </c>
      <c r="F194" s="11">
        <v>2000</v>
      </c>
      <c r="G194" s="12">
        <v>9487.76</v>
      </c>
      <c r="H194" s="12">
        <v>0.39</v>
      </c>
      <c r="I194" s="13">
        <v>7.25</v>
      </c>
      <c r="J194" s="13" t="s">
        <v>20</v>
      </c>
      <c r="K194" s="14" t="s">
        <v>20</v>
      </c>
      <c r="L194" s="15" t="s">
        <v>20</v>
      </c>
    </row>
    <row r="195" spans="1:12" x14ac:dyDescent="0.35">
      <c r="A195" s="9" t="s">
        <v>20</v>
      </c>
      <c r="B195" s="10" t="s">
        <v>416</v>
      </c>
      <c r="C195" s="10" t="s">
        <v>20</v>
      </c>
      <c r="D195" s="10" t="s">
        <v>417</v>
      </c>
      <c r="E195" s="10" t="s">
        <v>389</v>
      </c>
      <c r="F195" s="11">
        <v>1000</v>
      </c>
      <c r="G195" s="12">
        <v>4756.58</v>
      </c>
      <c r="H195" s="12">
        <v>0.19</v>
      </c>
      <c r="I195" s="13">
        <v>7.24</v>
      </c>
      <c r="J195" s="13" t="s">
        <v>20</v>
      </c>
      <c r="K195" s="14" t="s">
        <v>20</v>
      </c>
      <c r="L195" s="15" t="s">
        <v>20</v>
      </c>
    </row>
    <row r="196" spans="1:12" x14ac:dyDescent="0.35">
      <c r="A196" s="9" t="s">
        <v>20</v>
      </c>
      <c r="B196" s="10" t="s">
        <v>418</v>
      </c>
      <c r="C196" s="10" t="s">
        <v>20</v>
      </c>
      <c r="D196" s="10" t="s">
        <v>399</v>
      </c>
      <c r="E196" s="10" t="s">
        <v>389</v>
      </c>
      <c r="F196" s="11">
        <v>1000</v>
      </c>
      <c r="G196" s="12">
        <v>4734.88</v>
      </c>
      <c r="H196" s="12">
        <v>0.19</v>
      </c>
      <c r="I196" s="13">
        <v>7.2</v>
      </c>
      <c r="J196" s="13" t="s">
        <v>20</v>
      </c>
      <c r="K196" s="14" t="s">
        <v>20</v>
      </c>
      <c r="L196" s="15" t="s">
        <v>20</v>
      </c>
    </row>
    <row r="197" spans="1:12" x14ac:dyDescent="0.35">
      <c r="A197" s="9" t="s">
        <v>20</v>
      </c>
      <c r="B197" s="10" t="s">
        <v>419</v>
      </c>
      <c r="C197" s="10" t="s">
        <v>20</v>
      </c>
      <c r="D197" s="10" t="s">
        <v>394</v>
      </c>
      <c r="E197" s="10" t="s">
        <v>383</v>
      </c>
      <c r="F197" s="11">
        <v>500</v>
      </c>
      <c r="G197" s="12">
        <v>2491.94</v>
      </c>
      <c r="H197" s="12">
        <v>0.1</v>
      </c>
      <c r="I197" s="13">
        <v>6.22</v>
      </c>
      <c r="J197" s="13" t="s">
        <v>20</v>
      </c>
      <c r="K197" s="14" t="s">
        <v>20</v>
      </c>
      <c r="L197" s="15" t="s">
        <v>20</v>
      </c>
    </row>
    <row r="198" spans="1:12" x14ac:dyDescent="0.35">
      <c r="A198" s="7"/>
      <c r="B198" s="8" t="s">
        <v>420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2" x14ac:dyDescent="0.35">
      <c r="A199" s="9" t="s">
        <v>20</v>
      </c>
      <c r="B199" s="10" t="s">
        <v>20</v>
      </c>
      <c r="C199" s="10" t="s">
        <v>20</v>
      </c>
      <c r="D199" s="10" t="s">
        <v>420</v>
      </c>
      <c r="E199" s="10" t="s">
        <v>20</v>
      </c>
      <c r="F199" s="11" t="s">
        <v>20</v>
      </c>
      <c r="G199" s="12">
        <v>109117.11</v>
      </c>
      <c r="H199" s="12">
        <v>4.46</v>
      </c>
      <c r="I199" s="13">
        <v>5.27</v>
      </c>
      <c r="J199" s="13" t="s">
        <v>20</v>
      </c>
      <c r="K199" s="14" t="s">
        <v>20</v>
      </c>
      <c r="L199" s="15" t="s">
        <v>20</v>
      </c>
    </row>
    <row r="200" spans="1:12" x14ac:dyDescent="0.35">
      <c r="A200" s="16"/>
      <c r="B200" s="8" t="s">
        <v>371</v>
      </c>
      <c r="C200" s="16"/>
      <c r="D200" s="16"/>
      <c r="E200" s="16"/>
      <c r="F200" s="16"/>
      <c r="G200" s="17">
        <v>453685.55</v>
      </c>
      <c r="H200" s="17">
        <v>18.560000000000002</v>
      </c>
      <c r="I200" s="16"/>
      <c r="J200" s="16"/>
      <c r="K200" s="16"/>
      <c r="L200" s="16"/>
    </row>
    <row r="201" spans="1:12" x14ac:dyDescent="0.35">
      <c r="A201" s="7"/>
      <c r="B201" s="8" t="s">
        <v>372</v>
      </c>
      <c r="C201" s="7"/>
      <c r="D201" s="7"/>
      <c r="E201" s="7"/>
      <c r="F201" s="7"/>
      <c r="G201" s="18">
        <v>453685.55</v>
      </c>
      <c r="H201" s="18">
        <v>18.560000000000002</v>
      </c>
      <c r="I201" s="7"/>
      <c r="J201" s="7"/>
      <c r="K201" s="7"/>
      <c r="L201" s="7"/>
    </row>
    <row r="202" spans="1:12" x14ac:dyDescent="0.35">
      <c r="A202" s="7"/>
      <c r="B202" s="8" t="s">
        <v>421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spans="1:12" x14ac:dyDescent="0.35">
      <c r="A203" s="7"/>
      <c r="B203" s="8" t="s">
        <v>422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1:12" x14ac:dyDescent="0.35">
      <c r="A204" s="9" t="s">
        <v>18</v>
      </c>
      <c r="B204" s="10" t="s">
        <v>423</v>
      </c>
      <c r="C204" s="10" t="s">
        <v>20</v>
      </c>
      <c r="D204" s="10" t="s">
        <v>424</v>
      </c>
      <c r="E204" s="10" t="s">
        <v>20</v>
      </c>
      <c r="F204" s="11">
        <v>3354179</v>
      </c>
      <c r="G204" s="12">
        <v>205952</v>
      </c>
      <c r="H204" s="12">
        <v>8.43</v>
      </c>
      <c r="I204" s="13" t="s">
        <v>20</v>
      </c>
      <c r="J204" s="13" t="s">
        <v>20</v>
      </c>
      <c r="K204" s="14" t="s">
        <v>20</v>
      </c>
      <c r="L204" s="15" t="s">
        <v>20</v>
      </c>
    </row>
    <row r="205" spans="1:12" x14ac:dyDescent="0.35">
      <c r="A205" s="9" t="s">
        <v>18</v>
      </c>
      <c r="B205" s="10" t="s">
        <v>425</v>
      </c>
      <c r="C205" s="10" t="s">
        <v>20</v>
      </c>
      <c r="D205" s="10" t="s">
        <v>426</v>
      </c>
      <c r="E205" s="10" t="s">
        <v>20</v>
      </c>
      <c r="F205" s="11">
        <v>1704921.537</v>
      </c>
      <c r="G205" s="12">
        <v>92852.82</v>
      </c>
      <c r="H205" s="12">
        <v>3.8</v>
      </c>
      <c r="I205" s="13" t="s">
        <v>20</v>
      </c>
      <c r="J205" s="13" t="s">
        <v>20</v>
      </c>
      <c r="K205" s="14" t="s">
        <v>20</v>
      </c>
      <c r="L205" s="15" t="s">
        <v>20</v>
      </c>
    </row>
    <row r="206" spans="1:12" x14ac:dyDescent="0.35">
      <c r="A206" s="9" t="s">
        <v>18</v>
      </c>
      <c r="B206" s="10" t="s">
        <v>427</v>
      </c>
      <c r="C206" s="10" t="s">
        <v>20</v>
      </c>
      <c r="D206" s="10" t="s">
        <v>428</v>
      </c>
      <c r="E206" s="10" t="s">
        <v>20</v>
      </c>
      <c r="F206" s="11">
        <v>373115102.79699999</v>
      </c>
      <c r="G206" s="12">
        <v>60762.54</v>
      </c>
      <c r="H206" s="12">
        <v>2.4900000000000002</v>
      </c>
      <c r="I206" s="13" t="s">
        <v>20</v>
      </c>
      <c r="J206" s="13" t="s">
        <v>20</v>
      </c>
      <c r="K206" s="14" t="s">
        <v>20</v>
      </c>
      <c r="L206" s="15" t="s">
        <v>20</v>
      </c>
    </row>
    <row r="207" spans="1:12" x14ac:dyDescent="0.35">
      <c r="A207" s="9" t="s">
        <v>18</v>
      </c>
      <c r="B207" s="10" t="s">
        <v>429</v>
      </c>
      <c r="C207" s="10" t="s">
        <v>20</v>
      </c>
      <c r="D207" s="10" t="s">
        <v>430</v>
      </c>
      <c r="E207" s="10" t="s">
        <v>20</v>
      </c>
      <c r="F207" s="11">
        <v>84275693.012999997</v>
      </c>
      <c r="G207" s="12">
        <v>55538.19</v>
      </c>
      <c r="H207" s="12">
        <v>2.27</v>
      </c>
      <c r="I207" s="13" t="s">
        <v>20</v>
      </c>
      <c r="J207" s="13" t="s">
        <v>20</v>
      </c>
      <c r="K207" s="14" t="s">
        <v>20</v>
      </c>
      <c r="L207" s="15" t="s">
        <v>20</v>
      </c>
    </row>
    <row r="208" spans="1:12" x14ac:dyDescent="0.35">
      <c r="A208" s="7"/>
      <c r="B208" s="8" t="s">
        <v>431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1:12" x14ac:dyDescent="0.35">
      <c r="A209" s="9" t="s">
        <v>20</v>
      </c>
      <c r="B209" s="10" t="s">
        <v>20</v>
      </c>
      <c r="C209" s="10" t="s">
        <v>20</v>
      </c>
      <c r="D209" s="10" t="s">
        <v>431</v>
      </c>
      <c r="E209" s="10" t="s">
        <v>20</v>
      </c>
      <c r="F209" s="11" t="s">
        <v>20</v>
      </c>
      <c r="G209" s="12">
        <v>-55468.55</v>
      </c>
      <c r="H209" s="12">
        <v>-2.27</v>
      </c>
      <c r="I209" s="13" t="s">
        <v>20</v>
      </c>
      <c r="J209" s="13" t="s">
        <v>20</v>
      </c>
      <c r="K209" s="14" t="s">
        <v>20</v>
      </c>
      <c r="L209" s="15" t="s">
        <v>20</v>
      </c>
    </row>
    <row r="210" spans="1:12" x14ac:dyDescent="0.35">
      <c r="A210" s="16"/>
      <c r="B210" s="8" t="s">
        <v>371</v>
      </c>
      <c r="C210" s="16"/>
      <c r="D210" s="16"/>
      <c r="E210" s="16"/>
      <c r="F210" s="16"/>
      <c r="G210" s="17">
        <v>359637</v>
      </c>
      <c r="H210" s="17">
        <v>14.720000000000002</v>
      </c>
      <c r="I210" s="16"/>
      <c r="J210" s="16"/>
      <c r="K210" s="16"/>
      <c r="L210" s="16"/>
    </row>
    <row r="211" spans="1:12" x14ac:dyDescent="0.35">
      <c r="A211" s="7"/>
      <c r="B211" s="8" t="s">
        <v>372</v>
      </c>
      <c r="C211" s="7"/>
      <c r="D211" s="7"/>
      <c r="E211" s="7"/>
      <c r="F211" s="7"/>
      <c r="G211" s="18">
        <v>359637</v>
      </c>
      <c r="H211" s="18">
        <v>14.720000000000002</v>
      </c>
      <c r="I211" s="7"/>
      <c r="J211" s="7"/>
      <c r="K211" s="7"/>
      <c r="L211" s="7"/>
    </row>
    <row r="212" spans="1:12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35">
      <c r="A213" s="4"/>
      <c r="B213" s="19" t="s">
        <v>432</v>
      </c>
      <c r="C213" s="4"/>
      <c r="D213" s="4"/>
      <c r="E213" s="4"/>
      <c r="F213" s="4"/>
      <c r="G213" s="20">
        <v>2443890.6899999995</v>
      </c>
      <c r="H213" s="20">
        <v>100</v>
      </c>
      <c r="I213" s="4"/>
      <c r="J213" s="4"/>
      <c r="K213" s="4"/>
      <c r="L213" s="4"/>
    </row>
    <row r="214" spans="1:12" x14ac:dyDescent="0.35">
      <c r="A214" s="9" t="s">
        <v>18</v>
      </c>
      <c r="B214" s="39" t="s">
        <v>433</v>
      </c>
      <c r="C214" s="39" t="s">
        <v>433</v>
      </c>
      <c r="D214" s="39" t="s">
        <v>433</v>
      </c>
      <c r="E214" s="39" t="s">
        <v>433</v>
      </c>
      <c r="F214" s="39" t="s">
        <v>433</v>
      </c>
      <c r="G214" s="10"/>
      <c r="H214" s="10"/>
      <c r="I214" s="10"/>
      <c r="J214" s="10"/>
      <c r="K214" s="10"/>
      <c r="L214" s="10"/>
    </row>
    <row r="215" spans="1:12" x14ac:dyDescent="0.35">
      <c r="A215" s="10"/>
      <c r="B215" s="35" t="s">
        <v>434</v>
      </c>
      <c r="C215" s="35" t="s">
        <v>434</v>
      </c>
      <c r="D215" s="35" t="s">
        <v>434</v>
      </c>
      <c r="E215" s="35" t="s">
        <v>434</v>
      </c>
      <c r="F215" s="35" t="s">
        <v>434</v>
      </c>
      <c r="G215" s="10"/>
      <c r="H215" s="10"/>
      <c r="I215" s="10"/>
      <c r="J215" s="10"/>
      <c r="K215" s="10"/>
      <c r="L215" s="10"/>
    </row>
    <row r="216" spans="1:12" x14ac:dyDescent="0.35">
      <c r="A216" s="10"/>
      <c r="B216" s="35" t="s">
        <v>435</v>
      </c>
      <c r="C216" s="35" t="s">
        <v>435</v>
      </c>
      <c r="D216" s="35" t="s">
        <v>435</v>
      </c>
      <c r="E216" s="35" t="s">
        <v>435</v>
      </c>
      <c r="F216" s="35" t="s">
        <v>435</v>
      </c>
      <c r="G216" s="10"/>
      <c r="H216" s="10"/>
      <c r="I216" s="10"/>
      <c r="J216" s="10"/>
      <c r="K216" s="10"/>
      <c r="L216" s="10"/>
    </row>
    <row r="217" spans="1:12" x14ac:dyDescent="0.35">
      <c r="A217" s="10"/>
      <c r="B217" s="35" t="s">
        <v>436</v>
      </c>
      <c r="C217" s="35" t="s">
        <v>436</v>
      </c>
      <c r="D217" s="35" t="s">
        <v>436</v>
      </c>
      <c r="E217" s="35" t="s">
        <v>436</v>
      </c>
      <c r="F217" s="35" t="s">
        <v>436</v>
      </c>
      <c r="G217" s="10"/>
      <c r="H217" s="10"/>
      <c r="I217" s="10"/>
      <c r="J217" s="10"/>
      <c r="K217" s="10"/>
      <c r="L217" s="10"/>
    </row>
    <row r="218" spans="1:12" x14ac:dyDescent="0.35">
      <c r="A218" s="10"/>
      <c r="B218" s="35" t="s">
        <v>437</v>
      </c>
      <c r="C218" s="35" t="s">
        <v>437</v>
      </c>
      <c r="D218" s="35" t="s">
        <v>437</v>
      </c>
      <c r="E218" s="35" t="s">
        <v>437</v>
      </c>
      <c r="F218" s="35" t="s">
        <v>437</v>
      </c>
      <c r="G218" s="10"/>
      <c r="H218" s="10"/>
      <c r="I218" s="10"/>
      <c r="J218" s="10"/>
      <c r="K218" s="10"/>
      <c r="L218" s="10"/>
    </row>
    <row r="219" spans="1:12" x14ac:dyDescent="0.35">
      <c r="A219" s="10"/>
      <c r="B219" s="35" t="s">
        <v>438</v>
      </c>
      <c r="C219" s="35" t="s">
        <v>438</v>
      </c>
      <c r="D219" s="35" t="s">
        <v>438</v>
      </c>
      <c r="E219" s="35" t="s">
        <v>438</v>
      </c>
      <c r="F219" s="35" t="s">
        <v>438</v>
      </c>
      <c r="G219" s="10"/>
      <c r="H219" s="10"/>
      <c r="I219" s="10"/>
      <c r="J219" s="10"/>
      <c r="K219" s="10"/>
      <c r="L219" s="10"/>
    </row>
    <row r="220" spans="1:12" x14ac:dyDescent="0.35">
      <c r="A220" s="10"/>
      <c r="B220" s="35" t="s">
        <v>439</v>
      </c>
      <c r="C220" s="35" t="s">
        <v>439</v>
      </c>
      <c r="D220" s="35" t="s">
        <v>439</v>
      </c>
      <c r="E220" s="35" t="s">
        <v>439</v>
      </c>
      <c r="F220" s="35" t="s">
        <v>439</v>
      </c>
      <c r="G220" s="10"/>
      <c r="H220" s="10"/>
      <c r="I220" s="10"/>
      <c r="J220" s="10"/>
      <c r="K220" s="10"/>
      <c r="L220" s="10"/>
    </row>
    <row r="221" spans="1:12" x14ac:dyDescent="0.35">
      <c r="A221" s="10"/>
      <c r="B221" s="35" t="s">
        <v>440</v>
      </c>
      <c r="C221" s="35" t="s">
        <v>440</v>
      </c>
      <c r="D221" s="35" t="s">
        <v>440</v>
      </c>
      <c r="E221" s="35" t="s">
        <v>440</v>
      </c>
      <c r="F221" s="35" t="s">
        <v>440</v>
      </c>
      <c r="G221" s="10"/>
      <c r="H221" s="10"/>
      <c r="I221" s="10"/>
      <c r="J221" s="10"/>
      <c r="K221" s="10"/>
      <c r="L221" s="10"/>
    </row>
    <row r="222" spans="1:12" x14ac:dyDescent="0.35">
      <c r="A222" s="10"/>
      <c r="B222" s="10"/>
      <c r="C222" s="10"/>
      <c r="D222" s="10"/>
      <c r="E222" s="10"/>
      <c r="F222" s="10"/>
      <c r="G222" s="10"/>
      <c r="H222" s="10"/>
    </row>
    <row r="223" spans="1:12" x14ac:dyDescent="0.35">
      <c r="A223" s="21"/>
      <c r="B223" s="22" t="s">
        <v>441</v>
      </c>
      <c r="C223" s="21"/>
      <c r="D223" s="21"/>
      <c r="E223" s="10"/>
      <c r="F223" s="10"/>
      <c r="G223" s="10"/>
      <c r="H223" s="10"/>
    </row>
    <row r="224" spans="1:12" x14ac:dyDescent="0.35">
      <c r="A224" s="21"/>
      <c r="B224" s="23" t="s">
        <v>49</v>
      </c>
      <c r="C224" s="24"/>
      <c r="D224" s="25">
        <v>1.0000000000000009E-2</v>
      </c>
      <c r="E224" s="10"/>
      <c r="F224" s="10"/>
      <c r="G224" s="10"/>
      <c r="H224" s="10"/>
    </row>
    <row r="225" spans="1:8" x14ac:dyDescent="0.35">
      <c r="A225" s="21"/>
      <c r="B225" s="23" t="s">
        <v>167</v>
      </c>
      <c r="C225" s="24"/>
      <c r="D225" s="25">
        <v>0.01</v>
      </c>
      <c r="E225" s="10"/>
      <c r="F225" s="10"/>
      <c r="G225" s="10"/>
      <c r="H225" s="10"/>
    </row>
    <row r="226" spans="1:8" x14ac:dyDescent="0.35">
      <c r="A226" s="21"/>
      <c r="B226" s="23" t="s">
        <v>129</v>
      </c>
      <c r="C226" s="24"/>
      <c r="D226" s="25">
        <v>9.9999999999999256E-3</v>
      </c>
      <c r="E226" s="10"/>
      <c r="F226" s="10"/>
      <c r="G226" s="10"/>
      <c r="H226" s="10"/>
    </row>
    <row r="227" spans="1:8" x14ac:dyDescent="0.35">
      <c r="A227" s="21"/>
      <c r="B227" s="23" t="s">
        <v>55</v>
      </c>
      <c r="C227" s="24"/>
      <c r="D227" s="25">
        <v>0</v>
      </c>
      <c r="E227" s="10"/>
      <c r="F227" s="10"/>
      <c r="G227" s="10"/>
      <c r="H227" s="10"/>
    </row>
    <row r="228" spans="1:8" x14ac:dyDescent="0.35">
      <c r="A228" s="21"/>
      <c r="B228" s="23" t="s">
        <v>81</v>
      </c>
      <c r="C228" s="24"/>
      <c r="D228" s="25">
        <v>0</v>
      </c>
      <c r="E228" s="10"/>
      <c r="F228" s="10"/>
      <c r="G228" s="10"/>
      <c r="H228" s="10"/>
    </row>
    <row r="229" spans="1:8" x14ac:dyDescent="0.35">
      <c r="A229" s="21"/>
      <c r="B229" s="23" t="s">
        <v>181</v>
      </c>
      <c r="C229" s="24"/>
      <c r="D229" s="25">
        <v>0</v>
      </c>
      <c r="E229" s="10"/>
      <c r="F229" s="10"/>
      <c r="G229" s="10"/>
      <c r="H229" s="10"/>
    </row>
    <row r="230" spans="1:8" x14ac:dyDescent="0.35">
      <c r="A230" s="21"/>
      <c r="B230" s="23" t="s">
        <v>184</v>
      </c>
      <c r="C230" s="24"/>
      <c r="D230" s="25">
        <v>0</v>
      </c>
      <c r="E230" s="10"/>
      <c r="F230" s="10"/>
      <c r="G230" s="10"/>
      <c r="H230" s="10"/>
    </row>
    <row r="231" spans="1:8" x14ac:dyDescent="0.35">
      <c r="A231" s="21"/>
      <c r="B231" s="23" t="s">
        <v>290</v>
      </c>
      <c r="C231" s="24"/>
      <c r="D231" s="25">
        <v>0</v>
      </c>
      <c r="E231" s="10"/>
      <c r="F231" s="10"/>
      <c r="G231" s="10"/>
      <c r="H231" s="10"/>
    </row>
    <row r="232" spans="1:8" x14ac:dyDescent="0.35">
      <c r="A232" s="21"/>
      <c r="B232" s="23" t="s">
        <v>73</v>
      </c>
      <c r="C232" s="24"/>
      <c r="D232" s="25">
        <v>0</v>
      </c>
      <c r="E232" s="10"/>
      <c r="F232" s="10"/>
      <c r="G232" s="10"/>
      <c r="H232" s="10"/>
    </row>
    <row r="233" spans="1:8" x14ac:dyDescent="0.35">
      <c r="A233" s="21"/>
      <c r="B233" s="23" t="s">
        <v>328</v>
      </c>
      <c r="C233" s="24"/>
      <c r="D233" s="25">
        <v>0</v>
      </c>
      <c r="E233" s="10"/>
      <c r="F233" s="10"/>
      <c r="G233" s="10"/>
      <c r="H233" s="10"/>
    </row>
    <row r="234" spans="1:8" x14ac:dyDescent="0.35">
      <c r="A234" s="21"/>
      <c r="B234" s="23" t="s">
        <v>36</v>
      </c>
      <c r="C234" s="24"/>
      <c r="D234" s="25">
        <v>0</v>
      </c>
      <c r="E234" s="10"/>
      <c r="F234" s="10"/>
      <c r="G234" s="10"/>
      <c r="H234" s="10"/>
    </row>
    <row r="235" spans="1:8" x14ac:dyDescent="0.35">
      <c r="A235" s="21"/>
      <c r="B235" s="23" t="s">
        <v>196</v>
      </c>
      <c r="C235" s="24"/>
      <c r="D235" s="25">
        <v>0</v>
      </c>
      <c r="E235" s="10"/>
      <c r="F235" s="10"/>
      <c r="G235" s="10"/>
      <c r="H235" s="10"/>
    </row>
    <row r="236" spans="1:8" x14ac:dyDescent="0.35">
      <c r="A236" s="21"/>
      <c r="B236" s="23" t="s">
        <v>65</v>
      </c>
      <c r="C236" s="24"/>
      <c r="D236" s="25">
        <v>0</v>
      </c>
      <c r="E236" s="10"/>
      <c r="F236" s="10"/>
      <c r="G236" s="10"/>
      <c r="H236" s="10"/>
    </row>
    <row r="237" spans="1:8" x14ac:dyDescent="0.35">
      <c r="A237" s="21"/>
      <c r="B237" s="23" t="s">
        <v>170</v>
      </c>
      <c r="C237" s="24"/>
      <c r="D237" s="25">
        <v>0</v>
      </c>
      <c r="E237" s="10"/>
      <c r="F237" s="10"/>
      <c r="G237" s="10"/>
      <c r="H237" s="10"/>
    </row>
    <row r="238" spans="1:8" x14ac:dyDescent="0.35">
      <c r="A238" s="21"/>
      <c r="B238" s="23" t="s">
        <v>331</v>
      </c>
      <c r="C238" s="24"/>
      <c r="D238" s="25">
        <v>0</v>
      </c>
      <c r="E238" s="10"/>
      <c r="F238" s="10"/>
      <c r="G238" s="10"/>
      <c r="H238" s="10"/>
    </row>
    <row r="239" spans="1:8" x14ac:dyDescent="0.35">
      <c r="A239" s="21"/>
      <c r="B239" s="23" t="s">
        <v>119</v>
      </c>
      <c r="C239" s="24"/>
      <c r="D239" s="25">
        <v>0</v>
      </c>
      <c r="E239" s="10"/>
      <c r="F239" s="10"/>
      <c r="G239" s="10"/>
      <c r="H239" s="10"/>
    </row>
    <row r="240" spans="1:8" x14ac:dyDescent="0.35">
      <c r="A240" s="21"/>
      <c r="B240" s="23" t="s">
        <v>265</v>
      </c>
      <c r="C240" s="24"/>
      <c r="D240" s="25">
        <v>0</v>
      </c>
      <c r="E240" s="10"/>
      <c r="F240" s="10"/>
      <c r="G240" s="10"/>
      <c r="H240" s="10"/>
    </row>
    <row r="241" spans="1:8" x14ac:dyDescent="0.35">
      <c r="A241" s="21"/>
      <c r="B241" s="23" t="s">
        <v>124</v>
      </c>
      <c r="C241" s="24"/>
      <c r="D241" s="25">
        <v>0</v>
      </c>
      <c r="E241" s="10"/>
      <c r="F241" s="10"/>
      <c r="G241" s="10"/>
      <c r="H241" s="10"/>
    </row>
    <row r="242" spans="1:8" x14ac:dyDescent="0.35">
      <c r="A242" s="21"/>
      <c r="B242" s="23" t="s">
        <v>187</v>
      </c>
      <c r="C242" s="24"/>
      <c r="D242" s="25">
        <v>0</v>
      </c>
      <c r="E242" s="10"/>
      <c r="F242" s="10"/>
      <c r="G242" s="10"/>
      <c r="H242" s="10"/>
    </row>
    <row r="243" spans="1:8" x14ac:dyDescent="0.35">
      <c r="A243" s="21"/>
      <c r="B243" s="23" t="s">
        <v>221</v>
      </c>
      <c r="C243" s="24"/>
      <c r="D243" s="25">
        <v>0</v>
      </c>
      <c r="E243" s="10"/>
      <c r="F243" s="10"/>
      <c r="G243" s="10"/>
      <c r="H243" s="10"/>
    </row>
    <row r="244" spans="1:8" x14ac:dyDescent="0.35">
      <c r="A244" s="21"/>
      <c r="B244" s="23" t="s">
        <v>84</v>
      </c>
      <c r="C244" s="24"/>
      <c r="D244" s="25">
        <v>0</v>
      </c>
      <c r="E244" s="10"/>
      <c r="F244" s="10"/>
      <c r="G244" s="10"/>
      <c r="H244" s="10"/>
    </row>
    <row r="245" spans="1:8" x14ac:dyDescent="0.35">
      <c r="A245" s="21"/>
      <c r="B245" s="23" t="s">
        <v>112</v>
      </c>
      <c r="C245" s="24"/>
      <c r="D245" s="25">
        <v>0</v>
      </c>
      <c r="E245" s="10"/>
      <c r="F245" s="10"/>
      <c r="G245" s="10"/>
      <c r="H245" s="10"/>
    </row>
    <row r="246" spans="1:8" x14ac:dyDescent="0.35">
      <c r="A246" s="21"/>
      <c r="B246" s="23" t="s">
        <v>246</v>
      </c>
      <c r="C246" s="24"/>
      <c r="D246" s="25">
        <v>0</v>
      </c>
      <c r="E246" s="10"/>
      <c r="F246" s="10"/>
      <c r="G246" s="10"/>
      <c r="H246" s="10"/>
    </row>
    <row r="247" spans="1:8" x14ac:dyDescent="0.35">
      <c r="A247" s="21"/>
      <c r="B247" s="23" t="s">
        <v>152</v>
      </c>
      <c r="C247" s="24"/>
      <c r="D247" s="25">
        <v>0</v>
      </c>
      <c r="E247" s="10"/>
      <c r="F247" s="10"/>
      <c r="G247" s="10"/>
      <c r="H247" s="10"/>
    </row>
    <row r="248" spans="1:8" x14ac:dyDescent="0.35">
      <c r="A248" s="21"/>
      <c r="B248" s="23" t="s">
        <v>303</v>
      </c>
      <c r="C248" s="24"/>
      <c r="D248" s="25">
        <v>0</v>
      </c>
      <c r="E248" s="10"/>
      <c r="F248" s="10"/>
      <c r="G248" s="10"/>
      <c r="H248" s="10"/>
    </row>
    <row r="249" spans="1:8" x14ac:dyDescent="0.35">
      <c r="A249" s="21"/>
      <c r="B249" s="23" t="s">
        <v>105</v>
      </c>
      <c r="C249" s="24"/>
      <c r="D249" s="25">
        <v>0</v>
      </c>
      <c r="E249" s="10"/>
      <c r="F249" s="10"/>
      <c r="G249" s="10"/>
      <c r="H249" s="10"/>
    </row>
    <row r="250" spans="1:8" x14ac:dyDescent="0.35">
      <c r="A250" s="21"/>
      <c r="B250" s="23" t="s">
        <v>149</v>
      </c>
      <c r="C250" s="24"/>
      <c r="D250" s="25">
        <v>0</v>
      </c>
      <c r="E250" s="10"/>
      <c r="F250" s="10"/>
      <c r="G250" s="10"/>
      <c r="H250" s="10"/>
    </row>
    <row r="251" spans="1:8" x14ac:dyDescent="0.35">
      <c r="A251" s="21"/>
      <c r="B251" s="23" t="s">
        <v>134</v>
      </c>
      <c r="C251" s="24"/>
      <c r="D251" s="25">
        <v>-5.5511151231257827E-17</v>
      </c>
      <c r="E251" s="10"/>
      <c r="F251" s="10"/>
      <c r="G251" s="10"/>
      <c r="H251" s="10"/>
    </row>
    <row r="252" spans="1:8" x14ac:dyDescent="0.35">
      <c r="A252" s="21"/>
      <c r="B252" s="23" t="s">
        <v>52</v>
      </c>
      <c r="C252" s="24"/>
      <c r="D252" s="25">
        <v>-2.2204460492503131E-16</v>
      </c>
      <c r="E252" s="10"/>
      <c r="F252" s="10"/>
      <c r="G252" s="10"/>
      <c r="H252" s="10"/>
    </row>
    <row r="253" spans="1:8" x14ac:dyDescent="0.35">
      <c r="A253" s="21"/>
      <c r="B253" s="23" t="s">
        <v>78</v>
      </c>
      <c r="C253" s="24"/>
      <c r="D253" s="25">
        <v>-9.999999999999995E-3</v>
      </c>
      <c r="E253" s="10"/>
      <c r="F253" s="10"/>
      <c r="G253" s="10"/>
      <c r="H253" s="10"/>
    </row>
    <row r="254" spans="1:8" x14ac:dyDescent="0.35">
      <c r="A254" s="21"/>
      <c r="B254" s="23" t="s">
        <v>87</v>
      </c>
      <c r="C254" s="24"/>
      <c r="D254" s="25">
        <v>-1.0000000000000002E-2</v>
      </c>
      <c r="E254" s="10"/>
      <c r="F254" s="10"/>
      <c r="G254" s="10"/>
      <c r="H254" s="10"/>
    </row>
    <row r="255" spans="1:8" x14ac:dyDescent="0.35">
      <c r="A255" s="21"/>
      <c r="B255" s="23" t="s">
        <v>70</v>
      </c>
      <c r="C255" s="24"/>
      <c r="D255" s="25">
        <v>-1.0000000000000009E-2</v>
      </c>
      <c r="E255" s="10"/>
      <c r="F255" s="10"/>
      <c r="G255" s="10"/>
      <c r="H255" s="10"/>
    </row>
    <row r="256" spans="1:8" x14ac:dyDescent="0.35">
      <c r="A256" s="21"/>
      <c r="B256" s="23" t="s">
        <v>62</v>
      </c>
      <c r="C256" s="24"/>
      <c r="D256" s="25">
        <v>-1.0000000000000009E-2</v>
      </c>
      <c r="E256" s="10"/>
      <c r="F256" s="10"/>
      <c r="G256" s="10"/>
      <c r="H256" s="10"/>
    </row>
    <row r="257" spans="1:8" x14ac:dyDescent="0.35">
      <c r="A257" s="21"/>
      <c r="B257" s="23" t="s">
        <v>90</v>
      </c>
      <c r="C257" s="24"/>
      <c r="D257" s="25">
        <v>-1.0000000000000009E-2</v>
      </c>
      <c r="E257" s="10"/>
      <c r="F257" s="10"/>
      <c r="G257" s="10"/>
      <c r="H257" s="10"/>
    </row>
    <row r="258" spans="1:8" x14ac:dyDescent="0.35">
      <c r="A258" s="21"/>
      <c r="B258" s="23" t="s">
        <v>39</v>
      </c>
      <c r="C258" s="24"/>
      <c r="D258" s="25">
        <v>-1.9999999999999796E-2</v>
      </c>
      <c r="E258" s="10"/>
      <c r="F258" s="10"/>
      <c r="G258" s="10"/>
      <c r="H258" s="10"/>
    </row>
    <row r="259" spans="1:8" x14ac:dyDescent="0.35">
      <c r="A259" s="21"/>
      <c r="B259" s="23" t="s">
        <v>30</v>
      </c>
      <c r="C259" s="24"/>
      <c r="D259" s="25">
        <v>-1.9999999999999796E-2</v>
      </c>
      <c r="E259" s="10"/>
      <c r="F259" s="10"/>
      <c r="G259" s="10"/>
      <c r="H259" s="10"/>
    </row>
    <row r="260" spans="1:8" x14ac:dyDescent="0.35">
      <c r="A260" s="21"/>
      <c r="B260" s="23" t="s">
        <v>44</v>
      </c>
      <c r="C260" s="24"/>
      <c r="D260" s="25">
        <v>-2.0000000000000018E-2</v>
      </c>
      <c r="E260" s="10"/>
      <c r="F260" s="10"/>
      <c r="G260" s="10"/>
      <c r="H260" s="10"/>
    </row>
    <row r="261" spans="1:8" x14ac:dyDescent="0.35">
      <c r="A261" s="21"/>
      <c r="B261" s="23" t="s">
        <v>33</v>
      </c>
      <c r="C261" s="24"/>
      <c r="D261" s="25">
        <v>-2.000000000000024E-2</v>
      </c>
      <c r="E261" s="10"/>
      <c r="F261" s="10"/>
      <c r="G261" s="10"/>
      <c r="H261" s="10"/>
    </row>
    <row r="262" spans="1:8" x14ac:dyDescent="0.35">
      <c r="A262" s="21"/>
      <c r="B262" s="23" t="s">
        <v>25</v>
      </c>
      <c r="C262" s="24"/>
      <c r="D262" s="25">
        <v>-3.9999999999999591E-2</v>
      </c>
      <c r="E262" s="10"/>
      <c r="F262" s="10"/>
      <c r="G262" s="10"/>
      <c r="H262" s="10"/>
    </row>
    <row r="263" spans="1:8" x14ac:dyDescent="0.35">
      <c r="A263" s="21"/>
      <c r="B263" s="23" t="s">
        <v>22</v>
      </c>
      <c r="C263" s="24"/>
      <c r="D263" s="25">
        <v>-0.10000000000000009</v>
      </c>
      <c r="E263" s="10"/>
      <c r="F263" s="10"/>
      <c r="G263" s="10"/>
      <c r="H263" s="10"/>
    </row>
    <row r="264" spans="1:8" x14ac:dyDescent="0.35">
      <c r="A264" s="21"/>
      <c r="B264" s="23" t="s">
        <v>442</v>
      </c>
      <c r="C264" s="24"/>
      <c r="D264" s="25">
        <v>66.610000000000028</v>
      </c>
      <c r="E264" s="10"/>
      <c r="F264" s="10"/>
      <c r="G264" s="10"/>
      <c r="H264" s="10"/>
    </row>
    <row r="265" spans="1:8" x14ac:dyDescent="0.35">
      <c r="A265" s="21"/>
      <c r="B265" s="23" t="s">
        <v>443</v>
      </c>
      <c r="C265" s="24"/>
      <c r="D265" s="25">
        <v>14.100000000000001</v>
      </c>
      <c r="E265" s="10"/>
      <c r="F265" s="10"/>
      <c r="G265" s="10"/>
      <c r="H265" s="10"/>
    </row>
    <row r="266" spans="1:8" x14ac:dyDescent="0.35">
      <c r="A266" s="21"/>
      <c r="B266" s="23" t="s">
        <v>444</v>
      </c>
      <c r="C266" s="24"/>
      <c r="D266" s="25">
        <v>0.35000000000000003</v>
      </c>
      <c r="E266" s="10"/>
      <c r="F266" s="10"/>
      <c r="G266" s="10"/>
      <c r="H266" s="10"/>
    </row>
    <row r="267" spans="1:8" x14ac:dyDescent="0.35">
      <c r="A267" s="21"/>
      <c r="B267" s="23" t="s">
        <v>422</v>
      </c>
      <c r="C267" s="24"/>
      <c r="D267" s="25">
        <v>16.989999999999998</v>
      </c>
      <c r="E267" s="10"/>
      <c r="F267" s="10"/>
      <c r="G267" s="10"/>
      <c r="H267" s="10"/>
    </row>
    <row r="268" spans="1:8" x14ac:dyDescent="0.35">
      <c r="A268" s="21"/>
      <c r="B268" s="23" t="s">
        <v>445</v>
      </c>
      <c r="C268" s="24"/>
      <c r="D268" s="25">
        <v>2.19</v>
      </c>
      <c r="E268" s="10"/>
      <c r="F268" s="10"/>
      <c r="G268" s="10"/>
      <c r="H268" s="10"/>
    </row>
    <row r="269" spans="1:8" x14ac:dyDescent="0.35">
      <c r="A269" s="26"/>
      <c r="B269" s="26"/>
      <c r="C269" s="26"/>
      <c r="D269" s="26"/>
      <c r="E269" s="26"/>
      <c r="F269" s="26"/>
      <c r="G269" s="26"/>
      <c r="H269" s="26"/>
    </row>
    <row r="270" spans="1:8" x14ac:dyDescent="0.35">
      <c r="A270" s="26"/>
      <c r="B270" s="7" t="s">
        <v>446</v>
      </c>
      <c r="C270" s="26"/>
      <c r="D270" s="26"/>
      <c r="E270" s="26"/>
      <c r="F270" s="26"/>
      <c r="G270" s="26"/>
      <c r="H270" s="26"/>
    </row>
    <row r="271" spans="1:8" x14ac:dyDescent="0.35">
      <c r="A271" s="10"/>
      <c r="B271" s="10" t="s">
        <v>447</v>
      </c>
      <c r="C271" s="10"/>
      <c r="D271" s="10"/>
      <c r="E271" s="10"/>
      <c r="F271" s="10"/>
      <c r="G271" s="10"/>
      <c r="H271" s="26"/>
    </row>
    <row r="272" spans="1:8" x14ac:dyDescent="0.35">
      <c r="A272" s="10"/>
      <c r="B272" s="27" t="s">
        <v>448</v>
      </c>
      <c r="C272" s="28" t="s">
        <v>449</v>
      </c>
      <c r="D272" s="27" t="s">
        <v>450</v>
      </c>
      <c r="E272" s="10"/>
      <c r="F272" s="10"/>
      <c r="G272" s="10"/>
      <c r="H272" s="26"/>
    </row>
    <row r="273" spans="1:8" x14ac:dyDescent="0.35">
      <c r="A273" s="10"/>
      <c r="B273" s="7" t="s">
        <v>451</v>
      </c>
      <c r="C273" s="29">
        <v>23.218</v>
      </c>
      <c r="D273" s="29">
        <v>23.120999999999999</v>
      </c>
      <c r="E273" s="10"/>
      <c r="F273" s="10"/>
      <c r="G273" s="10"/>
      <c r="H273" s="26"/>
    </row>
    <row r="274" spans="1:8" x14ac:dyDescent="0.35">
      <c r="A274" s="10"/>
      <c r="B274" s="7" t="s">
        <v>452</v>
      </c>
      <c r="C274" s="29">
        <v>22.209</v>
      </c>
      <c r="D274" s="29">
        <v>22.116</v>
      </c>
      <c r="E274" s="10"/>
      <c r="F274" s="10"/>
      <c r="G274" s="10"/>
      <c r="H274" s="26"/>
    </row>
    <row r="275" spans="1:8" x14ac:dyDescent="0.35">
      <c r="A275" s="10"/>
      <c r="B275" s="7" t="s">
        <v>453</v>
      </c>
      <c r="C275" s="29">
        <v>25.516999999999999</v>
      </c>
      <c r="D275" s="29">
        <v>25.404</v>
      </c>
      <c r="E275" s="10"/>
      <c r="F275" s="10"/>
      <c r="G275" s="10"/>
      <c r="H275" s="26"/>
    </row>
    <row r="276" spans="1:8" x14ac:dyDescent="0.35">
      <c r="A276" s="10"/>
      <c r="B276" s="7" t="s">
        <v>454</v>
      </c>
      <c r="C276" s="29">
        <v>31.154</v>
      </c>
      <c r="D276" s="29">
        <v>31.024000000000001</v>
      </c>
      <c r="E276" s="10"/>
      <c r="F276" s="10"/>
      <c r="G276" s="10"/>
      <c r="H276" s="26"/>
    </row>
    <row r="277" spans="1:8" x14ac:dyDescent="0.35">
      <c r="A277" s="10"/>
      <c r="B277" s="7" t="s">
        <v>455</v>
      </c>
      <c r="C277" s="29">
        <v>33.671999999999997</v>
      </c>
      <c r="D277" s="29">
        <v>33.523000000000003</v>
      </c>
      <c r="E277" s="10"/>
      <c r="F277" s="10"/>
      <c r="G277" s="10"/>
      <c r="H277" s="26"/>
    </row>
    <row r="278" spans="1:8" x14ac:dyDescent="0.35">
      <c r="A278" s="10"/>
      <c r="B278" s="7" t="s">
        <v>456</v>
      </c>
      <c r="C278" s="29">
        <v>11.396000000000001</v>
      </c>
      <c r="D278" s="29">
        <v>11.4</v>
      </c>
      <c r="E278" s="10"/>
      <c r="F278" s="10"/>
      <c r="G278" s="10"/>
      <c r="H278" s="26"/>
    </row>
    <row r="279" spans="1:8" x14ac:dyDescent="0.35">
      <c r="A279" s="10"/>
      <c r="B279" s="7" t="s">
        <v>457</v>
      </c>
      <c r="C279" s="29">
        <v>11.281000000000001</v>
      </c>
      <c r="D279" s="29">
        <v>11.281000000000001</v>
      </c>
      <c r="E279" s="10"/>
      <c r="F279" s="10"/>
      <c r="G279" s="10"/>
      <c r="H279" s="26"/>
    </row>
    <row r="280" spans="1:8" x14ac:dyDescent="0.35">
      <c r="A280" s="10"/>
      <c r="B280" s="7" t="s">
        <v>458</v>
      </c>
      <c r="C280" s="29">
        <v>10.929</v>
      </c>
      <c r="D280" s="29">
        <v>10.935</v>
      </c>
      <c r="E280" s="10"/>
      <c r="F280" s="10"/>
      <c r="G280" s="10"/>
      <c r="H280" s="26"/>
    </row>
    <row r="281" spans="1:8" x14ac:dyDescent="0.35">
      <c r="A281" s="10"/>
      <c r="B281" s="7" t="s">
        <v>459</v>
      </c>
      <c r="C281" s="29">
        <v>11.68</v>
      </c>
      <c r="D281" s="29">
        <v>11.678000000000001</v>
      </c>
      <c r="E281" s="10"/>
      <c r="F281" s="10"/>
      <c r="G281" s="10"/>
      <c r="H281" s="26"/>
    </row>
    <row r="282" spans="1:8" x14ac:dyDescent="0.35">
      <c r="A282" s="10"/>
      <c r="B282" s="7" t="s">
        <v>460</v>
      </c>
      <c r="C282" s="29">
        <v>32.125999999999998</v>
      </c>
      <c r="D282" s="29">
        <v>31.998000000000001</v>
      </c>
      <c r="E282" s="10"/>
      <c r="F282" s="10"/>
      <c r="G282" s="10"/>
      <c r="H282" s="26"/>
    </row>
    <row r="283" spans="1:8" x14ac:dyDescent="0.35">
      <c r="A283" s="10"/>
      <c r="B283" s="7" t="s">
        <v>461</v>
      </c>
      <c r="C283" s="29">
        <v>21.242000000000001</v>
      </c>
      <c r="D283" s="29">
        <v>21.148</v>
      </c>
      <c r="E283" s="10"/>
      <c r="F283" s="10"/>
      <c r="G283" s="10"/>
      <c r="H283" s="26"/>
    </row>
    <row r="284" spans="1:8" x14ac:dyDescent="0.35">
      <c r="A284" s="10"/>
      <c r="B284" s="7" t="s">
        <v>20</v>
      </c>
      <c r="C284" s="10"/>
      <c r="D284" s="10"/>
      <c r="E284" s="10"/>
      <c r="F284" s="10"/>
      <c r="G284" s="10"/>
      <c r="H284" s="26"/>
    </row>
    <row r="285" spans="1:8" x14ac:dyDescent="0.35">
      <c r="A285" s="10"/>
      <c r="B285" s="10"/>
      <c r="C285" s="10"/>
      <c r="D285" s="10"/>
      <c r="E285" s="10"/>
      <c r="F285" s="10"/>
      <c r="G285" s="10"/>
      <c r="H285" s="26"/>
    </row>
    <row r="286" spans="1:8" x14ac:dyDescent="0.35">
      <c r="A286" s="10"/>
      <c r="B286" s="10" t="s">
        <v>462</v>
      </c>
      <c r="C286" s="10"/>
      <c r="D286" s="10"/>
      <c r="E286" s="10"/>
      <c r="F286" s="10"/>
      <c r="G286" s="10"/>
      <c r="H286" s="26"/>
    </row>
    <row r="287" spans="1:8" x14ac:dyDescent="0.35">
      <c r="A287" s="10"/>
      <c r="B287" s="30" t="s">
        <v>20</v>
      </c>
      <c r="C287" s="31" t="s">
        <v>20</v>
      </c>
      <c r="D287" s="31" t="s">
        <v>20</v>
      </c>
      <c r="E287" s="36" t="s">
        <v>463</v>
      </c>
      <c r="F287" s="36" t="s">
        <v>463</v>
      </c>
      <c r="G287" s="10"/>
      <c r="H287" s="26"/>
    </row>
    <row r="288" spans="1:8" x14ac:dyDescent="0.35">
      <c r="A288" s="10"/>
      <c r="B288" s="32" t="s">
        <v>464</v>
      </c>
      <c r="C288" s="32" t="s">
        <v>465</v>
      </c>
      <c r="D288" s="32" t="s">
        <v>466</v>
      </c>
      <c r="E288" s="27" t="s">
        <v>467</v>
      </c>
      <c r="F288" s="27" t="s">
        <v>468</v>
      </c>
      <c r="G288" s="10"/>
      <c r="H288" s="26"/>
    </row>
    <row r="289" spans="1:8" x14ac:dyDescent="0.35">
      <c r="A289" s="10"/>
      <c r="B289" s="10" t="s">
        <v>459</v>
      </c>
      <c r="C289" s="33" t="s">
        <v>469</v>
      </c>
      <c r="D289" s="13">
        <v>11.725</v>
      </c>
      <c r="E289" s="13">
        <v>0.05</v>
      </c>
      <c r="F289" s="13">
        <v>0.05</v>
      </c>
      <c r="G289" s="10"/>
      <c r="H289" s="26"/>
    </row>
    <row r="290" spans="1:8" x14ac:dyDescent="0.35">
      <c r="A290" s="10"/>
      <c r="B290" s="10" t="s">
        <v>457</v>
      </c>
      <c r="C290" s="33" t="s">
        <v>469</v>
      </c>
      <c r="D290" s="13">
        <v>11.326000000000001</v>
      </c>
      <c r="E290" s="13">
        <v>0.05</v>
      </c>
      <c r="F290" s="13">
        <v>0.05</v>
      </c>
      <c r="G290" s="10"/>
      <c r="H290" s="26"/>
    </row>
    <row r="291" spans="1:8" x14ac:dyDescent="0.35">
      <c r="A291" s="10"/>
      <c r="B291" s="10" t="s">
        <v>458</v>
      </c>
      <c r="C291" s="33" t="s">
        <v>469</v>
      </c>
      <c r="D291" s="13">
        <v>10.976000000000001</v>
      </c>
      <c r="E291" s="13">
        <v>0.05</v>
      </c>
      <c r="F291" s="13">
        <v>0.05</v>
      </c>
      <c r="G291" s="10"/>
      <c r="H291" s="26"/>
    </row>
    <row r="292" spans="1:8" x14ac:dyDescent="0.35">
      <c r="A292" s="10"/>
      <c r="B292" s="10" t="s">
        <v>456</v>
      </c>
      <c r="C292" s="33" t="s">
        <v>469</v>
      </c>
      <c r="D292" s="13">
        <v>11.443</v>
      </c>
      <c r="E292" s="13">
        <v>0.05</v>
      </c>
      <c r="F292" s="13">
        <v>0.05</v>
      </c>
      <c r="G292" s="10"/>
      <c r="H292" s="26"/>
    </row>
    <row r="293" spans="1:8" x14ac:dyDescent="0.35">
      <c r="A293" s="10"/>
      <c r="B293" s="10"/>
      <c r="C293" s="10"/>
      <c r="D293" s="10"/>
      <c r="E293" s="10"/>
      <c r="F293" s="10"/>
      <c r="G293" s="10"/>
      <c r="H293" s="26"/>
    </row>
    <row r="294" spans="1:8" x14ac:dyDescent="0.35">
      <c r="A294" s="10"/>
      <c r="B294" s="10" t="s">
        <v>470</v>
      </c>
      <c r="C294" s="10"/>
      <c r="D294" s="10"/>
      <c r="E294" s="10"/>
      <c r="F294" s="10"/>
      <c r="G294" s="10"/>
      <c r="H294" s="26"/>
    </row>
    <row r="295" spans="1:8" x14ac:dyDescent="0.35">
      <c r="A295" s="26"/>
      <c r="B295" s="26"/>
      <c r="C295" s="26"/>
      <c r="D295" s="26"/>
      <c r="E295" s="26"/>
      <c r="F295" s="26"/>
      <c r="G295" s="26"/>
      <c r="H295" s="26"/>
    </row>
    <row r="296" spans="1:8" x14ac:dyDescent="0.35">
      <c r="A296" s="10"/>
      <c r="B296" s="10" t="s">
        <v>471</v>
      </c>
      <c r="C296" s="10"/>
      <c r="D296" s="10"/>
      <c r="E296" s="10"/>
      <c r="F296" s="10"/>
      <c r="G296" s="10"/>
      <c r="H296" s="10"/>
    </row>
    <row r="297" spans="1:8" x14ac:dyDescent="0.35">
      <c r="A297" s="10"/>
      <c r="B297" s="10" t="s">
        <v>472</v>
      </c>
      <c r="C297" s="10"/>
      <c r="D297" s="10"/>
      <c r="E297" s="10"/>
      <c r="F297" s="10"/>
      <c r="G297" s="10"/>
      <c r="H297" s="26"/>
    </row>
    <row r="298" spans="1:8" x14ac:dyDescent="0.35">
      <c r="A298" s="10"/>
      <c r="B298" s="10" t="s">
        <v>473</v>
      </c>
      <c r="C298" s="10"/>
      <c r="D298" s="10"/>
      <c r="E298" s="10"/>
      <c r="F298" s="10"/>
      <c r="G298" s="10"/>
      <c r="H298" s="26"/>
    </row>
    <row r="299" spans="1:8" x14ac:dyDescent="0.35">
      <c r="A299" s="10"/>
      <c r="B299" s="10" t="s">
        <v>474</v>
      </c>
      <c r="C299" s="10"/>
      <c r="D299" s="10"/>
      <c r="E299" s="10"/>
      <c r="F299" s="10"/>
      <c r="G299" s="10"/>
      <c r="H299" s="26"/>
    </row>
    <row r="300" spans="1:8" x14ac:dyDescent="0.35">
      <c r="A300" s="10"/>
      <c r="B300" s="10" t="s">
        <v>475</v>
      </c>
      <c r="C300" s="10"/>
      <c r="D300" s="10"/>
      <c r="E300" s="10"/>
      <c r="F300" s="10"/>
      <c r="G300" s="10"/>
      <c r="H300" s="26"/>
    </row>
    <row r="301" spans="1:8" x14ac:dyDescent="0.35">
      <c r="A301" s="10"/>
      <c r="B301" s="10" t="s">
        <v>476</v>
      </c>
      <c r="C301" s="10"/>
      <c r="D301" s="10"/>
      <c r="E301" s="10"/>
      <c r="F301" s="10"/>
      <c r="G301" s="10"/>
      <c r="H301" s="26"/>
    </row>
    <row r="302" spans="1:8" x14ac:dyDescent="0.35">
      <c r="A302" s="10"/>
      <c r="B302" s="10" t="s">
        <v>477</v>
      </c>
      <c r="C302" s="10"/>
      <c r="D302" s="10"/>
      <c r="E302" s="10"/>
      <c r="F302" s="10"/>
      <c r="G302" s="10"/>
      <c r="H302" s="26"/>
    </row>
    <row r="303" spans="1:8" x14ac:dyDescent="0.35">
      <c r="A303" s="10"/>
      <c r="B303" s="10" t="s">
        <v>478</v>
      </c>
      <c r="C303" s="10"/>
      <c r="D303" s="10"/>
      <c r="E303" s="10"/>
      <c r="F303" s="10"/>
      <c r="G303" s="10"/>
      <c r="H303" s="26"/>
    </row>
    <row r="304" spans="1:8" x14ac:dyDescent="0.35">
      <c r="A304" s="10"/>
      <c r="B304" s="10" t="s">
        <v>479</v>
      </c>
      <c r="C304" s="10"/>
      <c r="D304" s="10"/>
      <c r="E304" s="10"/>
      <c r="F304" s="10"/>
      <c r="G304" s="10"/>
      <c r="H304" s="26"/>
    </row>
    <row r="305" spans="1:8" x14ac:dyDescent="0.35">
      <c r="A305" s="10"/>
      <c r="B305" s="10" t="s">
        <v>480</v>
      </c>
      <c r="C305" s="10"/>
      <c r="D305" s="10"/>
      <c r="E305" s="10"/>
      <c r="F305" s="10"/>
      <c r="G305" s="10"/>
      <c r="H305" s="26"/>
    </row>
    <row r="306" spans="1:8" x14ac:dyDescent="0.35">
      <c r="A306" s="10"/>
      <c r="B306" s="10" t="s">
        <v>481</v>
      </c>
      <c r="C306" s="10"/>
      <c r="D306" s="10"/>
      <c r="E306" s="10"/>
      <c r="F306" s="10"/>
      <c r="G306" s="10"/>
      <c r="H306" s="26"/>
    </row>
    <row r="307" spans="1:8" x14ac:dyDescent="0.35">
      <c r="A307" s="10"/>
      <c r="B307" s="10" t="s">
        <v>482</v>
      </c>
      <c r="C307" s="10"/>
      <c r="D307" s="10"/>
      <c r="E307" s="10"/>
      <c r="F307" s="10"/>
      <c r="G307" s="10"/>
      <c r="H307" s="26"/>
    </row>
    <row r="308" spans="1:8" x14ac:dyDescent="0.35">
      <c r="A308" s="10"/>
      <c r="B308" s="10" t="s">
        <v>483</v>
      </c>
      <c r="C308" s="10"/>
      <c r="D308" s="10"/>
      <c r="E308" s="10"/>
      <c r="F308" s="10"/>
      <c r="G308" s="10"/>
      <c r="H308" s="26"/>
    </row>
    <row r="310" spans="1:8" x14ac:dyDescent="0.35">
      <c r="B310" s="34" t="s">
        <v>484</v>
      </c>
    </row>
    <row r="326" spans="2:2" x14ac:dyDescent="0.35">
      <c r="B326" s="34" t="s">
        <v>485</v>
      </c>
    </row>
  </sheetData>
  <mergeCells count="11">
    <mergeCell ref="B217:F217"/>
    <mergeCell ref="A1:J1"/>
    <mergeCell ref="A2:J2"/>
    <mergeCell ref="B214:F214"/>
    <mergeCell ref="B215:F215"/>
    <mergeCell ref="B216:F216"/>
    <mergeCell ref="B218:F218"/>
    <mergeCell ref="B219:F219"/>
    <mergeCell ref="B220:F220"/>
    <mergeCell ref="B221:F221"/>
    <mergeCell ref="E287:F2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39"/>
  <sheetViews>
    <sheetView zoomScaleNormal="100" workbookViewId="0"/>
  </sheetViews>
  <sheetFormatPr defaultColWidth="22.7265625" defaultRowHeight="15.5" x14ac:dyDescent="0.35"/>
  <cols>
    <col min="1" max="1" width="52" style="40" bestFit="1" customWidth="1"/>
    <col min="2" max="2" width="33.54296875" style="40" bestFit="1" customWidth="1"/>
    <col min="3" max="3" width="18.26953125" style="40" bestFit="1" customWidth="1"/>
    <col min="4" max="5" width="23.453125" style="40" bestFit="1" customWidth="1"/>
    <col min="6" max="6" width="14.1796875" style="40" bestFit="1" customWidth="1"/>
    <col min="7" max="7" width="15.26953125" style="40" bestFit="1" customWidth="1"/>
    <col min="8" max="8" width="57.81640625" style="40" customWidth="1"/>
    <col min="9" max="9" width="27.26953125" style="40" customWidth="1"/>
    <col min="10" max="11" width="9.1796875" style="40" customWidth="1"/>
    <col min="12" max="12" width="10.7265625" style="40" customWidth="1"/>
    <col min="13" max="13" width="40.7265625" style="40" bestFit="1" customWidth="1"/>
    <col min="14" max="14" width="12.26953125" style="40" bestFit="1" customWidth="1"/>
    <col min="15" max="15" width="12.453125" style="40" bestFit="1" customWidth="1"/>
    <col min="16" max="16" width="11.7265625" style="40" bestFit="1" customWidth="1"/>
    <col min="17" max="17" width="16.1796875" style="40" bestFit="1" customWidth="1"/>
    <col min="18" max="18" width="9.54296875" style="40" bestFit="1" customWidth="1"/>
    <col min="19" max="19" width="14" style="40" bestFit="1" customWidth="1"/>
    <col min="20" max="253" width="9.1796875" style="40" customWidth="1"/>
    <col min="254" max="254" width="46.54296875" style="40" customWidth="1"/>
    <col min="255" max="255" width="32.453125" style="40" customWidth="1"/>
    <col min="256" max="256" width="22.7265625" style="40"/>
    <col min="257" max="257" width="52" style="40" bestFit="1" customWidth="1"/>
    <col min="258" max="258" width="33.54296875" style="40" bestFit="1" customWidth="1"/>
    <col min="259" max="259" width="18.26953125" style="40" bestFit="1" customWidth="1"/>
    <col min="260" max="261" width="23.453125" style="40" bestFit="1" customWidth="1"/>
    <col min="262" max="262" width="14.1796875" style="40" bestFit="1" customWidth="1"/>
    <col min="263" max="263" width="15.26953125" style="40" bestFit="1" customWidth="1"/>
    <col min="264" max="264" width="57.81640625" style="40" customWidth="1"/>
    <col min="265" max="265" width="27.26953125" style="40" customWidth="1"/>
    <col min="266" max="267" width="9.1796875" style="40" customWidth="1"/>
    <col min="268" max="268" width="10.7265625" style="40" customWidth="1"/>
    <col min="269" max="269" width="40.7265625" style="40" bestFit="1" customWidth="1"/>
    <col min="270" max="270" width="12.26953125" style="40" bestFit="1" customWidth="1"/>
    <col min="271" max="271" width="12.453125" style="40" bestFit="1" customWidth="1"/>
    <col min="272" max="272" width="11.7265625" style="40" bestFit="1" customWidth="1"/>
    <col min="273" max="273" width="16.1796875" style="40" bestFit="1" customWidth="1"/>
    <col min="274" max="274" width="9.54296875" style="40" bestFit="1" customWidth="1"/>
    <col min="275" max="275" width="14" style="40" bestFit="1" customWidth="1"/>
    <col min="276" max="509" width="9.1796875" style="40" customWidth="1"/>
    <col min="510" max="510" width="46.54296875" style="40" customWidth="1"/>
    <col min="511" max="511" width="32.453125" style="40" customWidth="1"/>
    <col min="512" max="512" width="22.7265625" style="40"/>
    <col min="513" max="513" width="52" style="40" bestFit="1" customWidth="1"/>
    <col min="514" max="514" width="33.54296875" style="40" bestFit="1" customWidth="1"/>
    <col min="515" max="515" width="18.26953125" style="40" bestFit="1" customWidth="1"/>
    <col min="516" max="517" width="23.453125" style="40" bestFit="1" customWidth="1"/>
    <col min="518" max="518" width="14.1796875" style="40" bestFit="1" customWidth="1"/>
    <col min="519" max="519" width="15.26953125" style="40" bestFit="1" customWidth="1"/>
    <col min="520" max="520" width="57.81640625" style="40" customWidth="1"/>
    <col min="521" max="521" width="27.26953125" style="40" customWidth="1"/>
    <col min="522" max="523" width="9.1796875" style="40" customWidth="1"/>
    <col min="524" max="524" width="10.7265625" style="40" customWidth="1"/>
    <col min="525" max="525" width="40.7265625" style="40" bestFit="1" customWidth="1"/>
    <col min="526" max="526" width="12.26953125" style="40" bestFit="1" customWidth="1"/>
    <col min="527" max="527" width="12.453125" style="40" bestFit="1" customWidth="1"/>
    <col min="528" max="528" width="11.7265625" style="40" bestFit="1" customWidth="1"/>
    <col min="529" max="529" width="16.1796875" style="40" bestFit="1" customWidth="1"/>
    <col min="530" max="530" width="9.54296875" style="40" bestFit="1" customWidth="1"/>
    <col min="531" max="531" width="14" style="40" bestFit="1" customWidth="1"/>
    <col min="532" max="765" width="9.1796875" style="40" customWidth="1"/>
    <col min="766" max="766" width="46.54296875" style="40" customWidth="1"/>
    <col min="767" max="767" width="32.453125" style="40" customWidth="1"/>
    <col min="768" max="768" width="22.7265625" style="40"/>
    <col min="769" max="769" width="52" style="40" bestFit="1" customWidth="1"/>
    <col min="770" max="770" width="33.54296875" style="40" bestFit="1" customWidth="1"/>
    <col min="771" max="771" width="18.26953125" style="40" bestFit="1" customWidth="1"/>
    <col min="772" max="773" width="23.453125" style="40" bestFit="1" customWidth="1"/>
    <col min="774" max="774" width="14.1796875" style="40" bestFit="1" customWidth="1"/>
    <col min="775" max="775" width="15.26953125" style="40" bestFit="1" customWidth="1"/>
    <col min="776" max="776" width="57.81640625" style="40" customWidth="1"/>
    <col min="777" max="777" width="27.26953125" style="40" customWidth="1"/>
    <col min="778" max="779" width="9.1796875" style="40" customWidth="1"/>
    <col min="780" max="780" width="10.7265625" style="40" customWidth="1"/>
    <col min="781" max="781" width="40.7265625" style="40" bestFit="1" customWidth="1"/>
    <col min="782" max="782" width="12.26953125" style="40" bestFit="1" customWidth="1"/>
    <col min="783" max="783" width="12.453125" style="40" bestFit="1" customWidth="1"/>
    <col min="784" max="784" width="11.7265625" style="40" bestFit="1" customWidth="1"/>
    <col min="785" max="785" width="16.1796875" style="40" bestFit="1" customWidth="1"/>
    <col min="786" max="786" width="9.54296875" style="40" bestFit="1" customWidth="1"/>
    <col min="787" max="787" width="14" style="40" bestFit="1" customWidth="1"/>
    <col min="788" max="1021" width="9.1796875" style="40" customWidth="1"/>
    <col min="1022" max="1022" width="46.54296875" style="40" customWidth="1"/>
    <col min="1023" max="1023" width="32.453125" style="40" customWidth="1"/>
    <col min="1024" max="1024" width="22.7265625" style="40"/>
    <col min="1025" max="1025" width="52" style="40" bestFit="1" customWidth="1"/>
    <col min="1026" max="1026" width="33.54296875" style="40" bestFit="1" customWidth="1"/>
    <col min="1027" max="1027" width="18.26953125" style="40" bestFit="1" customWidth="1"/>
    <col min="1028" max="1029" width="23.453125" style="40" bestFit="1" customWidth="1"/>
    <col min="1030" max="1030" width="14.1796875" style="40" bestFit="1" customWidth="1"/>
    <col min="1031" max="1031" width="15.26953125" style="40" bestFit="1" customWidth="1"/>
    <col min="1032" max="1032" width="57.81640625" style="40" customWidth="1"/>
    <col min="1033" max="1033" width="27.26953125" style="40" customWidth="1"/>
    <col min="1034" max="1035" width="9.1796875" style="40" customWidth="1"/>
    <col min="1036" max="1036" width="10.7265625" style="40" customWidth="1"/>
    <col min="1037" max="1037" width="40.7265625" style="40" bestFit="1" customWidth="1"/>
    <col min="1038" max="1038" width="12.26953125" style="40" bestFit="1" customWidth="1"/>
    <col min="1039" max="1039" width="12.453125" style="40" bestFit="1" customWidth="1"/>
    <col min="1040" max="1040" width="11.7265625" style="40" bestFit="1" customWidth="1"/>
    <col min="1041" max="1041" width="16.1796875" style="40" bestFit="1" customWidth="1"/>
    <col min="1042" max="1042" width="9.54296875" style="40" bestFit="1" customWidth="1"/>
    <col min="1043" max="1043" width="14" style="40" bestFit="1" customWidth="1"/>
    <col min="1044" max="1277" width="9.1796875" style="40" customWidth="1"/>
    <col min="1278" max="1278" width="46.54296875" style="40" customWidth="1"/>
    <col min="1279" max="1279" width="32.453125" style="40" customWidth="1"/>
    <col min="1280" max="1280" width="22.7265625" style="40"/>
    <col min="1281" max="1281" width="52" style="40" bestFit="1" customWidth="1"/>
    <col min="1282" max="1282" width="33.54296875" style="40" bestFit="1" customWidth="1"/>
    <col min="1283" max="1283" width="18.26953125" style="40" bestFit="1" customWidth="1"/>
    <col min="1284" max="1285" width="23.453125" style="40" bestFit="1" customWidth="1"/>
    <col min="1286" max="1286" width="14.1796875" style="40" bestFit="1" customWidth="1"/>
    <col min="1287" max="1287" width="15.26953125" style="40" bestFit="1" customWidth="1"/>
    <col min="1288" max="1288" width="57.81640625" style="40" customWidth="1"/>
    <col min="1289" max="1289" width="27.26953125" style="40" customWidth="1"/>
    <col min="1290" max="1291" width="9.1796875" style="40" customWidth="1"/>
    <col min="1292" max="1292" width="10.7265625" style="40" customWidth="1"/>
    <col min="1293" max="1293" width="40.7265625" style="40" bestFit="1" customWidth="1"/>
    <col min="1294" max="1294" width="12.26953125" style="40" bestFit="1" customWidth="1"/>
    <col min="1295" max="1295" width="12.453125" style="40" bestFit="1" customWidth="1"/>
    <col min="1296" max="1296" width="11.7265625" style="40" bestFit="1" customWidth="1"/>
    <col min="1297" max="1297" width="16.1796875" style="40" bestFit="1" customWidth="1"/>
    <col min="1298" max="1298" width="9.54296875" style="40" bestFit="1" customWidth="1"/>
    <col min="1299" max="1299" width="14" style="40" bestFit="1" customWidth="1"/>
    <col min="1300" max="1533" width="9.1796875" style="40" customWidth="1"/>
    <col min="1534" max="1534" width="46.54296875" style="40" customWidth="1"/>
    <col min="1535" max="1535" width="32.453125" style="40" customWidth="1"/>
    <col min="1536" max="1536" width="22.7265625" style="40"/>
    <col min="1537" max="1537" width="52" style="40" bestFit="1" customWidth="1"/>
    <col min="1538" max="1538" width="33.54296875" style="40" bestFit="1" customWidth="1"/>
    <col min="1539" max="1539" width="18.26953125" style="40" bestFit="1" customWidth="1"/>
    <col min="1540" max="1541" width="23.453125" style="40" bestFit="1" customWidth="1"/>
    <col min="1542" max="1542" width="14.1796875" style="40" bestFit="1" customWidth="1"/>
    <col min="1543" max="1543" width="15.26953125" style="40" bestFit="1" customWidth="1"/>
    <col min="1544" max="1544" width="57.81640625" style="40" customWidth="1"/>
    <col min="1545" max="1545" width="27.26953125" style="40" customWidth="1"/>
    <col min="1546" max="1547" width="9.1796875" style="40" customWidth="1"/>
    <col min="1548" max="1548" width="10.7265625" style="40" customWidth="1"/>
    <col min="1549" max="1549" width="40.7265625" style="40" bestFit="1" customWidth="1"/>
    <col min="1550" max="1550" width="12.26953125" style="40" bestFit="1" customWidth="1"/>
    <col min="1551" max="1551" width="12.453125" style="40" bestFit="1" customWidth="1"/>
    <col min="1552" max="1552" width="11.7265625" style="40" bestFit="1" customWidth="1"/>
    <col min="1553" max="1553" width="16.1796875" style="40" bestFit="1" customWidth="1"/>
    <col min="1554" max="1554" width="9.54296875" style="40" bestFit="1" customWidth="1"/>
    <col min="1555" max="1555" width="14" style="40" bestFit="1" customWidth="1"/>
    <col min="1556" max="1789" width="9.1796875" style="40" customWidth="1"/>
    <col min="1790" max="1790" width="46.54296875" style="40" customWidth="1"/>
    <col min="1791" max="1791" width="32.453125" style="40" customWidth="1"/>
    <col min="1792" max="1792" width="22.7265625" style="40"/>
    <col min="1793" max="1793" width="52" style="40" bestFit="1" customWidth="1"/>
    <col min="1794" max="1794" width="33.54296875" style="40" bestFit="1" customWidth="1"/>
    <col min="1795" max="1795" width="18.26953125" style="40" bestFit="1" customWidth="1"/>
    <col min="1796" max="1797" width="23.453125" style="40" bestFit="1" customWidth="1"/>
    <col min="1798" max="1798" width="14.1796875" style="40" bestFit="1" customWidth="1"/>
    <col min="1799" max="1799" width="15.26953125" style="40" bestFit="1" customWidth="1"/>
    <col min="1800" max="1800" width="57.81640625" style="40" customWidth="1"/>
    <col min="1801" max="1801" width="27.26953125" style="40" customWidth="1"/>
    <col min="1802" max="1803" width="9.1796875" style="40" customWidth="1"/>
    <col min="1804" max="1804" width="10.7265625" style="40" customWidth="1"/>
    <col min="1805" max="1805" width="40.7265625" style="40" bestFit="1" customWidth="1"/>
    <col min="1806" max="1806" width="12.26953125" style="40" bestFit="1" customWidth="1"/>
    <col min="1807" max="1807" width="12.453125" style="40" bestFit="1" customWidth="1"/>
    <col min="1808" max="1808" width="11.7265625" style="40" bestFit="1" customWidth="1"/>
    <col min="1809" max="1809" width="16.1796875" style="40" bestFit="1" customWidth="1"/>
    <col min="1810" max="1810" width="9.54296875" style="40" bestFit="1" customWidth="1"/>
    <col min="1811" max="1811" width="14" style="40" bestFit="1" customWidth="1"/>
    <col min="1812" max="2045" width="9.1796875" style="40" customWidth="1"/>
    <col min="2046" max="2046" width="46.54296875" style="40" customWidth="1"/>
    <col min="2047" max="2047" width="32.453125" style="40" customWidth="1"/>
    <col min="2048" max="2048" width="22.7265625" style="40"/>
    <col min="2049" max="2049" width="52" style="40" bestFit="1" customWidth="1"/>
    <col min="2050" max="2050" width="33.54296875" style="40" bestFit="1" customWidth="1"/>
    <col min="2051" max="2051" width="18.26953125" style="40" bestFit="1" customWidth="1"/>
    <col min="2052" max="2053" width="23.453125" style="40" bestFit="1" customWidth="1"/>
    <col min="2054" max="2054" width="14.1796875" style="40" bestFit="1" customWidth="1"/>
    <col min="2055" max="2055" width="15.26953125" style="40" bestFit="1" customWidth="1"/>
    <col min="2056" max="2056" width="57.81640625" style="40" customWidth="1"/>
    <col min="2057" max="2057" width="27.26953125" style="40" customWidth="1"/>
    <col min="2058" max="2059" width="9.1796875" style="40" customWidth="1"/>
    <col min="2060" max="2060" width="10.7265625" style="40" customWidth="1"/>
    <col min="2061" max="2061" width="40.7265625" style="40" bestFit="1" customWidth="1"/>
    <col min="2062" max="2062" width="12.26953125" style="40" bestFit="1" customWidth="1"/>
    <col min="2063" max="2063" width="12.453125" style="40" bestFit="1" customWidth="1"/>
    <col min="2064" max="2064" width="11.7265625" style="40" bestFit="1" customWidth="1"/>
    <col min="2065" max="2065" width="16.1796875" style="40" bestFit="1" customWidth="1"/>
    <col min="2066" max="2066" width="9.54296875" style="40" bestFit="1" customWidth="1"/>
    <col min="2067" max="2067" width="14" style="40" bestFit="1" customWidth="1"/>
    <col min="2068" max="2301" width="9.1796875" style="40" customWidth="1"/>
    <col min="2302" max="2302" width="46.54296875" style="40" customWidth="1"/>
    <col min="2303" max="2303" width="32.453125" style="40" customWidth="1"/>
    <col min="2304" max="2304" width="22.7265625" style="40"/>
    <col min="2305" max="2305" width="52" style="40" bestFit="1" customWidth="1"/>
    <col min="2306" max="2306" width="33.54296875" style="40" bestFit="1" customWidth="1"/>
    <col min="2307" max="2307" width="18.26953125" style="40" bestFit="1" customWidth="1"/>
    <col min="2308" max="2309" width="23.453125" style="40" bestFit="1" customWidth="1"/>
    <col min="2310" max="2310" width="14.1796875" style="40" bestFit="1" customWidth="1"/>
    <col min="2311" max="2311" width="15.26953125" style="40" bestFit="1" customWidth="1"/>
    <col min="2312" max="2312" width="57.81640625" style="40" customWidth="1"/>
    <col min="2313" max="2313" width="27.26953125" style="40" customWidth="1"/>
    <col min="2314" max="2315" width="9.1796875" style="40" customWidth="1"/>
    <col min="2316" max="2316" width="10.7265625" style="40" customWidth="1"/>
    <col min="2317" max="2317" width="40.7265625" style="40" bestFit="1" customWidth="1"/>
    <col min="2318" max="2318" width="12.26953125" style="40" bestFit="1" customWidth="1"/>
    <col min="2319" max="2319" width="12.453125" style="40" bestFit="1" customWidth="1"/>
    <col min="2320" max="2320" width="11.7265625" style="40" bestFit="1" customWidth="1"/>
    <col min="2321" max="2321" width="16.1796875" style="40" bestFit="1" customWidth="1"/>
    <col min="2322" max="2322" width="9.54296875" style="40" bestFit="1" customWidth="1"/>
    <col min="2323" max="2323" width="14" style="40" bestFit="1" customWidth="1"/>
    <col min="2324" max="2557" width="9.1796875" style="40" customWidth="1"/>
    <col min="2558" max="2558" width="46.54296875" style="40" customWidth="1"/>
    <col min="2559" max="2559" width="32.453125" style="40" customWidth="1"/>
    <col min="2560" max="2560" width="22.7265625" style="40"/>
    <col min="2561" max="2561" width="52" style="40" bestFit="1" customWidth="1"/>
    <col min="2562" max="2562" width="33.54296875" style="40" bestFit="1" customWidth="1"/>
    <col min="2563" max="2563" width="18.26953125" style="40" bestFit="1" customWidth="1"/>
    <col min="2564" max="2565" width="23.453125" style="40" bestFit="1" customWidth="1"/>
    <col min="2566" max="2566" width="14.1796875" style="40" bestFit="1" customWidth="1"/>
    <col min="2567" max="2567" width="15.26953125" style="40" bestFit="1" customWidth="1"/>
    <col min="2568" max="2568" width="57.81640625" style="40" customWidth="1"/>
    <col min="2569" max="2569" width="27.26953125" style="40" customWidth="1"/>
    <col min="2570" max="2571" width="9.1796875" style="40" customWidth="1"/>
    <col min="2572" max="2572" width="10.7265625" style="40" customWidth="1"/>
    <col min="2573" max="2573" width="40.7265625" style="40" bestFit="1" customWidth="1"/>
    <col min="2574" max="2574" width="12.26953125" style="40" bestFit="1" customWidth="1"/>
    <col min="2575" max="2575" width="12.453125" style="40" bestFit="1" customWidth="1"/>
    <col min="2576" max="2576" width="11.7265625" style="40" bestFit="1" customWidth="1"/>
    <col min="2577" max="2577" width="16.1796875" style="40" bestFit="1" customWidth="1"/>
    <col min="2578" max="2578" width="9.54296875" style="40" bestFit="1" customWidth="1"/>
    <col min="2579" max="2579" width="14" style="40" bestFit="1" customWidth="1"/>
    <col min="2580" max="2813" width="9.1796875" style="40" customWidth="1"/>
    <col min="2814" max="2814" width="46.54296875" style="40" customWidth="1"/>
    <col min="2815" max="2815" width="32.453125" style="40" customWidth="1"/>
    <col min="2816" max="2816" width="22.7265625" style="40"/>
    <col min="2817" max="2817" width="52" style="40" bestFit="1" customWidth="1"/>
    <col min="2818" max="2818" width="33.54296875" style="40" bestFit="1" customWidth="1"/>
    <col min="2819" max="2819" width="18.26953125" style="40" bestFit="1" customWidth="1"/>
    <col min="2820" max="2821" width="23.453125" style="40" bestFit="1" customWidth="1"/>
    <col min="2822" max="2822" width="14.1796875" style="40" bestFit="1" customWidth="1"/>
    <col min="2823" max="2823" width="15.26953125" style="40" bestFit="1" customWidth="1"/>
    <col min="2824" max="2824" width="57.81640625" style="40" customWidth="1"/>
    <col min="2825" max="2825" width="27.26953125" style="40" customWidth="1"/>
    <col min="2826" max="2827" width="9.1796875" style="40" customWidth="1"/>
    <col min="2828" max="2828" width="10.7265625" style="40" customWidth="1"/>
    <col min="2829" max="2829" width="40.7265625" style="40" bestFit="1" customWidth="1"/>
    <col min="2830" max="2830" width="12.26953125" style="40" bestFit="1" customWidth="1"/>
    <col min="2831" max="2831" width="12.453125" style="40" bestFit="1" customWidth="1"/>
    <col min="2832" max="2832" width="11.7265625" style="40" bestFit="1" customWidth="1"/>
    <col min="2833" max="2833" width="16.1796875" style="40" bestFit="1" customWidth="1"/>
    <col min="2834" max="2834" width="9.54296875" style="40" bestFit="1" customWidth="1"/>
    <col min="2835" max="2835" width="14" style="40" bestFit="1" customWidth="1"/>
    <col min="2836" max="3069" width="9.1796875" style="40" customWidth="1"/>
    <col min="3070" max="3070" width="46.54296875" style="40" customWidth="1"/>
    <col min="3071" max="3071" width="32.453125" style="40" customWidth="1"/>
    <col min="3072" max="3072" width="22.7265625" style="40"/>
    <col min="3073" max="3073" width="52" style="40" bestFit="1" customWidth="1"/>
    <col min="3074" max="3074" width="33.54296875" style="40" bestFit="1" customWidth="1"/>
    <col min="3075" max="3075" width="18.26953125" style="40" bestFit="1" customWidth="1"/>
    <col min="3076" max="3077" width="23.453125" style="40" bestFit="1" customWidth="1"/>
    <col min="3078" max="3078" width="14.1796875" style="40" bestFit="1" customWidth="1"/>
    <col min="3079" max="3079" width="15.26953125" style="40" bestFit="1" customWidth="1"/>
    <col min="3080" max="3080" width="57.81640625" style="40" customWidth="1"/>
    <col min="3081" max="3081" width="27.26953125" style="40" customWidth="1"/>
    <col min="3082" max="3083" width="9.1796875" style="40" customWidth="1"/>
    <col min="3084" max="3084" width="10.7265625" style="40" customWidth="1"/>
    <col min="3085" max="3085" width="40.7265625" style="40" bestFit="1" customWidth="1"/>
    <col min="3086" max="3086" width="12.26953125" style="40" bestFit="1" customWidth="1"/>
    <col min="3087" max="3087" width="12.453125" style="40" bestFit="1" customWidth="1"/>
    <col min="3088" max="3088" width="11.7265625" style="40" bestFit="1" customWidth="1"/>
    <col min="3089" max="3089" width="16.1796875" style="40" bestFit="1" customWidth="1"/>
    <col min="3090" max="3090" width="9.54296875" style="40" bestFit="1" customWidth="1"/>
    <col min="3091" max="3091" width="14" style="40" bestFit="1" customWidth="1"/>
    <col min="3092" max="3325" width="9.1796875" style="40" customWidth="1"/>
    <col min="3326" max="3326" width="46.54296875" style="40" customWidth="1"/>
    <col min="3327" max="3327" width="32.453125" style="40" customWidth="1"/>
    <col min="3328" max="3328" width="22.7265625" style="40"/>
    <col min="3329" max="3329" width="52" style="40" bestFit="1" customWidth="1"/>
    <col min="3330" max="3330" width="33.54296875" style="40" bestFit="1" customWidth="1"/>
    <col min="3331" max="3331" width="18.26953125" style="40" bestFit="1" customWidth="1"/>
    <col min="3332" max="3333" width="23.453125" style="40" bestFit="1" customWidth="1"/>
    <col min="3334" max="3334" width="14.1796875" style="40" bestFit="1" customWidth="1"/>
    <col min="3335" max="3335" width="15.26953125" style="40" bestFit="1" customWidth="1"/>
    <col min="3336" max="3336" width="57.81640625" style="40" customWidth="1"/>
    <col min="3337" max="3337" width="27.26953125" style="40" customWidth="1"/>
    <col min="3338" max="3339" width="9.1796875" style="40" customWidth="1"/>
    <col min="3340" max="3340" width="10.7265625" style="40" customWidth="1"/>
    <col min="3341" max="3341" width="40.7265625" style="40" bestFit="1" customWidth="1"/>
    <col min="3342" max="3342" width="12.26953125" style="40" bestFit="1" customWidth="1"/>
    <col min="3343" max="3343" width="12.453125" style="40" bestFit="1" customWidth="1"/>
    <col min="3344" max="3344" width="11.7265625" style="40" bestFit="1" customWidth="1"/>
    <col min="3345" max="3345" width="16.1796875" style="40" bestFit="1" customWidth="1"/>
    <col min="3346" max="3346" width="9.54296875" style="40" bestFit="1" customWidth="1"/>
    <col min="3347" max="3347" width="14" style="40" bestFit="1" customWidth="1"/>
    <col min="3348" max="3581" width="9.1796875" style="40" customWidth="1"/>
    <col min="3582" max="3582" width="46.54296875" style="40" customWidth="1"/>
    <col min="3583" max="3583" width="32.453125" style="40" customWidth="1"/>
    <col min="3584" max="3584" width="22.7265625" style="40"/>
    <col min="3585" max="3585" width="52" style="40" bestFit="1" customWidth="1"/>
    <col min="3586" max="3586" width="33.54296875" style="40" bestFit="1" customWidth="1"/>
    <col min="3587" max="3587" width="18.26953125" style="40" bestFit="1" customWidth="1"/>
    <col min="3588" max="3589" width="23.453125" style="40" bestFit="1" customWidth="1"/>
    <col min="3590" max="3590" width="14.1796875" style="40" bestFit="1" customWidth="1"/>
    <col min="3591" max="3591" width="15.26953125" style="40" bestFit="1" customWidth="1"/>
    <col min="3592" max="3592" width="57.81640625" style="40" customWidth="1"/>
    <col min="3593" max="3593" width="27.26953125" style="40" customWidth="1"/>
    <col min="3594" max="3595" width="9.1796875" style="40" customWidth="1"/>
    <col min="3596" max="3596" width="10.7265625" style="40" customWidth="1"/>
    <col min="3597" max="3597" width="40.7265625" style="40" bestFit="1" customWidth="1"/>
    <col min="3598" max="3598" width="12.26953125" style="40" bestFit="1" customWidth="1"/>
    <col min="3599" max="3599" width="12.453125" style="40" bestFit="1" customWidth="1"/>
    <col min="3600" max="3600" width="11.7265625" style="40" bestFit="1" customWidth="1"/>
    <col min="3601" max="3601" width="16.1796875" style="40" bestFit="1" customWidth="1"/>
    <col min="3602" max="3602" width="9.54296875" style="40" bestFit="1" customWidth="1"/>
    <col min="3603" max="3603" width="14" style="40" bestFit="1" customWidth="1"/>
    <col min="3604" max="3837" width="9.1796875" style="40" customWidth="1"/>
    <col min="3838" max="3838" width="46.54296875" style="40" customWidth="1"/>
    <col min="3839" max="3839" width="32.453125" style="40" customWidth="1"/>
    <col min="3840" max="3840" width="22.7265625" style="40"/>
    <col min="3841" max="3841" width="52" style="40" bestFit="1" customWidth="1"/>
    <col min="3842" max="3842" width="33.54296875" style="40" bestFit="1" customWidth="1"/>
    <col min="3843" max="3843" width="18.26953125" style="40" bestFit="1" customWidth="1"/>
    <col min="3844" max="3845" width="23.453125" style="40" bestFit="1" customWidth="1"/>
    <col min="3846" max="3846" width="14.1796875" style="40" bestFit="1" customWidth="1"/>
    <col min="3847" max="3847" width="15.26953125" style="40" bestFit="1" customWidth="1"/>
    <col min="3848" max="3848" width="57.81640625" style="40" customWidth="1"/>
    <col min="3849" max="3849" width="27.26953125" style="40" customWidth="1"/>
    <col min="3850" max="3851" width="9.1796875" style="40" customWidth="1"/>
    <col min="3852" max="3852" width="10.7265625" style="40" customWidth="1"/>
    <col min="3853" max="3853" width="40.7265625" style="40" bestFit="1" customWidth="1"/>
    <col min="3854" max="3854" width="12.26953125" style="40" bestFit="1" customWidth="1"/>
    <col min="3855" max="3855" width="12.453125" style="40" bestFit="1" customWidth="1"/>
    <col min="3856" max="3856" width="11.7265625" style="40" bestFit="1" customWidth="1"/>
    <col min="3857" max="3857" width="16.1796875" style="40" bestFit="1" customWidth="1"/>
    <col min="3858" max="3858" width="9.54296875" style="40" bestFit="1" customWidth="1"/>
    <col min="3859" max="3859" width="14" style="40" bestFit="1" customWidth="1"/>
    <col min="3860" max="4093" width="9.1796875" style="40" customWidth="1"/>
    <col min="4094" max="4094" width="46.54296875" style="40" customWidth="1"/>
    <col min="4095" max="4095" width="32.453125" style="40" customWidth="1"/>
    <col min="4096" max="4096" width="22.7265625" style="40"/>
    <col min="4097" max="4097" width="52" style="40" bestFit="1" customWidth="1"/>
    <col min="4098" max="4098" width="33.54296875" style="40" bestFit="1" customWidth="1"/>
    <col min="4099" max="4099" width="18.26953125" style="40" bestFit="1" customWidth="1"/>
    <col min="4100" max="4101" width="23.453125" style="40" bestFit="1" customWidth="1"/>
    <col min="4102" max="4102" width="14.1796875" style="40" bestFit="1" customWidth="1"/>
    <col min="4103" max="4103" width="15.26953125" style="40" bestFit="1" customWidth="1"/>
    <col min="4104" max="4104" width="57.81640625" style="40" customWidth="1"/>
    <col min="4105" max="4105" width="27.26953125" style="40" customWidth="1"/>
    <col min="4106" max="4107" width="9.1796875" style="40" customWidth="1"/>
    <col min="4108" max="4108" width="10.7265625" style="40" customWidth="1"/>
    <col min="4109" max="4109" width="40.7265625" style="40" bestFit="1" customWidth="1"/>
    <col min="4110" max="4110" width="12.26953125" style="40" bestFit="1" customWidth="1"/>
    <col min="4111" max="4111" width="12.453125" style="40" bestFit="1" customWidth="1"/>
    <col min="4112" max="4112" width="11.7265625" style="40" bestFit="1" customWidth="1"/>
    <col min="4113" max="4113" width="16.1796875" style="40" bestFit="1" customWidth="1"/>
    <col min="4114" max="4114" width="9.54296875" style="40" bestFit="1" customWidth="1"/>
    <col min="4115" max="4115" width="14" style="40" bestFit="1" customWidth="1"/>
    <col min="4116" max="4349" width="9.1796875" style="40" customWidth="1"/>
    <col min="4350" max="4350" width="46.54296875" style="40" customWidth="1"/>
    <col min="4351" max="4351" width="32.453125" style="40" customWidth="1"/>
    <col min="4352" max="4352" width="22.7265625" style="40"/>
    <col min="4353" max="4353" width="52" style="40" bestFit="1" customWidth="1"/>
    <col min="4354" max="4354" width="33.54296875" style="40" bestFit="1" customWidth="1"/>
    <col min="4355" max="4355" width="18.26953125" style="40" bestFit="1" customWidth="1"/>
    <col min="4356" max="4357" width="23.453125" style="40" bestFit="1" customWidth="1"/>
    <col min="4358" max="4358" width="14.1796875" style="40" bestFit="1" customWidth="1"/>
    <col min="4359" max="4359" width="15.26953125" style="40" bestFit="1" customWidth="1"/>
    <col min="4360" max="4360" width="57.81640625" style="40" customWidth="1"/>
    <col min="4361" max="4361" width="27.26953125" style="40" customWidth="1"/>
    <col min="4362" max="4363" width="9.1796875" style="40" customWidth="1"/>
    <col min="4364" max="4364" width="10.7265625" style="40" customWidth="1"/>
    <col min="4365" max="4365" width="40.7265625" style="40" bestFit="1" customWidth="1"/>
    <col min="4366" max="4366" width="12.26953125" style="40" bestFit="1" customWidth="1"/>
    <col min="4367" max="4367" width="12.453125" style="40" bestFit="1" customWidth="1"/>
    <col min="4368" max="4368" width="11.7265625" style="40" bestFit="1" customWidth="1"/>
    <col min="4369" max="4369" width="16.1796875" style="40" bestFit="1" customWidth="1"/>
    <col min="4370" max="4370" width="9.54296875" style="40" bestFit="1" customWidth="1"/>
    <col min="4371" max="4371" width="14" style="40" bestFit="1" customWidth="1"/>
    <col min="4372" max="4605" width="9.1796875" style="40" customWidth="1"/>
    <col min="4606" max="4606" width="46.54296875" style="40" customWidth="1"/>
    <col min="4607" max="4607" width="32.453125" style="40" customWidth="1"/>
    <col min="4608" max="4608" width="22.7265625" style="40"/>
    <col min="4609" max="4609" width="52" style="40" bestFit="1" customWidth="1"/>
    <col min="4610" max="4610" width="33.54296875" style="40" bestFit="1" customWidth="1"/>
    <col min="4611" max="4611" width="18.26953125" style="40" bestFit="1" customWidth="1"/>
    <col min="4612" max="4613" width="23.453125" style="40" bestFit="1" customWidth="1"/>
    <col min="4614" max="4614" width="14.1796875" style="40" bestFit="1" customWidth="1"/>
    <col min="4615" max="4615" width="15.26953125" style="40" bestFit="1" customWidth="1"/>
    <col min="4616" max="4616" width="57.81640625" style="40" customWidth="1"/>
    <col min="4617" max="4617" width="27.26953125" style="40" customWidth="1"/>
    <col min="4618" max="4619" width="9.1796875" style="40" customWidth="1"/>
    <col min="4620" max="4620" width="10.7265625" style="40" customWidth="1"/>
    <col min="4621" max="4621" width="40.7265625" style="40" bestFit="1" customWidth="1"/>
    <col min="4622" max="4622" width="12.26953125" style="40" bestFit="1" customWidth="1"/>
    <col min="4623" max="4623" width="12.453125" style="40" bestFit="1" customWidth="1"/>
    <col min="4624" max="4624" width="11.7265625" style="40" bestFit="1" customWidth="1"/>
    <col min="4625" max="4625" width="16.1796875" style="40" bestFit="1" customWidth="1"/>
    <col min="4626" max="4626" width="9.54296875" style="40" bestFit="1" customWidth="1"/>
    <col min="4627" max="4627" width="14" style="40" bestFit="1" customWidth="1"/>
    <col min="4628" max="4861" width="9.1796875" style="40" customWidth="1"/>
    <col min="4862" max="4862" width="46.54296875" style="40" customWidth="1"/>
    <col min="4863" max="4863" width="32.453125" style="40" customWidth="1"/>
    <col min="4864" max="4864" width="22.7265625" style="40"/>
    <col min="4865" max="4865" width="52" style="40" bestFit="1" customWidth="1"/>
    <col min="4866" max="4866" width="33.54296875" style="40" bestFit="1" customWidth="1"/>
    <col min="4867" max="4867" width="18.26953125" style="40" bestFit="1" customWidth="1"/>
    <col min="4868" max="4869" width="23.453125" style="40" bestFit="1" customWidth="1"/>
    <col min="4870" max="4870" width="14.1796875" style="40" bestFit="1" customWidth="1"/>
    <col min="4871" max="4871" width="15.26953125" style="40" bestFit="1" customWidth="1"/>
    <col min="4872" max="4872" width="57.81640625" style="40" customWidth="1"/>
    <col min="4873" max="4873" width="27.26953125" style="40" customWidth="1"/>
    <col min="4874" max="4875" width="9.1796875" style="40" customWidth="1"/>
    <col min="4876" max="4876" width="10.7265625" style="40" customWidth="1"/>
    <col min="4877" max="4877" width="40.7265625" style="40" bestFit="1" customWidth="1"/>
    <col min="4878" max="4878" width="12.26953125" style="40" bestFit="1" customWidth="1"/>
    <col min="4879" max="4879" width="12.453125" style="40" bestFit="1" customWidth="1"/>
    <col min="4880" max="4880" width="11.7265625" style="40" bestFit="1" customWidth="1"/>
    <col min="4881" max="4881" width="16.1796875" style="40" bestFit="1" customWidth="1"/>
    <col min="4882" max="4882" width="9.54296875" style="40" bestFit="1" customWidth="1"/>
    <col min="4883" max="4883" width="14" style="40" bestFit="1" customWidth="1"/>
    <col min="4884" max="5117" width="9.1796875" style="40" customWidth="1"/>
    <col min="5118" max="5118" width="46.54296875" style="40" customWidth="1"/>
    <col min="5119" max="5119" width="32.453125" style="40" customWidth="1"/>
    <col min="5120" max="5120" width="22.7265625" style="40"/>
    <col min="5121" max="5121" width="52" style="40" bestFit="1" customWidth="1"/>
    <col min="5122" max="5122" width="33.54296875" style="40" bestFit="1" customWidth="1"/>
    <col min="5123" max="5123" width="18.26953125" style="40" bestFit="1" customWidth="1"/>
    <col min="5124" max="5125" width="23.453125" style="40" bestFit="1" customWidth="1"/>
    <col min="5126" max="5126" width="14.1796875" style="40" bestFit="1" customWidth="1"/>
    <col min="5127" max="5127" width="15.26953125" style="40" bestFit="1" customWidth="1"/>
    <col min="5128" max="5128" width="57.81640625" style="40" customWidth="1"/>
    <col min="5129" max="5129" width="27.26953125" style="40" customWidth="1"/>
    <col min="5130" max="5131" width="9.1796875" style="40" customWidth="1"/>
    <col min="5132" max="5132" width="10.7265625" style="40" customWidth="1"/>
    <col min="5133" max="5133" width="40.7265625" style="40" bestFit="1" customWidth="1"/>
    <col min="5134" max="5134" width="12.26953125" style="40" bestFit="1" customWidth="1"/>
    <col min="5135" max="5135" width="12.453125" style="40" bestFit="1" customWidth="1"/>
    <col min="5136" max="5136" width="11.7265625" style="40" bestFit="1" customWidth="1"/>
    <col min="5137" max="5137" width="16.1796875" style="40" bestFit="1" customWidth="1"/>
    <col min="5138" max="5138" width="9.54296875" style="40" bestFit="1" customWidth="1"/>
    <col min="5139" max="5139" width="14" style="40" bestFit="1" customWidth="1"/>
    <col min="5140" max="5373" width="9.1796875" style="40" customWidth="1"/>
    <col min="5374" max="5374" width="46.54296875" style="40" customWidth="1"/>
    <col min="5375" max="5375" width="32.453125" style="40" customWidth="1"/>
    <col min="5376" max="5376" width="22.7265625" style="40"/>
    <col min="5377" max="5377" width="52" style="40" bestFit="1" customWidth="1"/>
    <col min="5378" max="5378" width="33.54296875" style="40" bestFit="1" customWidth="1"/>
    <col min="5379" max="5379" width="18.26953125" style="40" bestFit="1" customWidth="1"/>
    <col min="5380" max="5381" width="23.453125" style="40" bestFit="1" customWidth="1"/>
    <col min="5382" max="5382" width="14.1796875" style="40" bestFit="1" customWidth="1"/>
    <col min="5383" max="5383" width="15.26953125" style="40" bestFit="1" customWidth="1"/>
    <col min="5384" max="5384" width="57.81640625" style="40" customWidth="1"/>
    <col min="5385" max="5385" width="27.26953125" style="40" customWidth="1"/>
    <col min="5386" max="5387" width="9.1796875" style="40" customWidth="1"/>
    <col min="5388" max="5388" width="10.7265625" style="40" customWidth="1"/>
    <col min="5389" max="5389" width="40.7265625" style="40" bestFit="1" customWidth="1"/>
    <col min="5390" max="5390" width="12.26953125" style="40" bestFit="1" customWidth="1"/>
    <col min="5391" max="5391" width="12.453125" style="40" bestFit="1" customWidth="1"/>
    <col min="5392" max="5392" width="11.7265625" style="40" bestFit="1" customWidth="1"/>
    <col min="5393" max="5393" width="16.1796875" style="40" bestFit="1" customWidth="1"/>
    <col min="5394" max="5394" width="9.54296875" style="40" bestFit="1" customWidth="1"/>
    <col min="5395" max="5395" width="14" style="40" bestFit="1" customWidth="1"/>
    <col min="5396" max="5629" width="9.1796875" style="40" customWidth="1"/>
    <col min="5630" max="5630" width="46.54296875" style="40" customWidth="1"/>
    <col min="5631" max="5631" width="32.453125" style="40" customWidth="1"/>
    <col min="5632" max="5632" width="22.7265625" style="40"/>
    <col min="5633" max="5633" width="52" style="40" bestFit="1" customWidth="1"/>
    <col min="5634" max="5634" width="33.54296875" style="40" bestFit="1" customWidth="1"/>
    <col min="5635" max="5635" width="18.26953125" style="40" bestFit="1" customWidth="1"/>
    <col min="5636" max="5637" width="23.453125" style="40" bestFit="1" customWidth="1"/>
    <col min="5638" max="5638" width="14.1796875" style="40" bestFit="1" customWidth="1"/>
    <col min="5639" max="5639" width="15.26953125" style="40" bestFit="1" customWidth="1"/>
    <col min="5640" max="5640" width="57.81640625" style="40" customWidth="1"/>
    <col min="5641" max="5641" width="27.26953125" style="40" customWidth="1"/>
    <col min="5642" max="5643" width="9.1796875" style="40" customWidth="1"/>
    <col min="5644" max="5644" width="10.7265625" style="40" customWidth="1"/>
    <col min="5645" max="5645" width="40.7265625" style="40" bestFit="1" customWidth="1"/>
    <col min="5646" max="5646" width="12.26953125" style="40" bestFit="1" customWidth="1"/>
    <col min="5647" max="5647" width="12.453125" style="40" bestFit="1" customWidth="1"/>
    <col min="5648" max="5648" width="11.7265625" style="40" bestFit="1" customWidth="1"/>
    <col min="5649" max="5649" width="16.1796875" style="40" bestFit="1" customWidth="1"/>
    <col min="5650" max="5650" width="9.54296875" style="40" bestFit="1" customWidth="1"/>
    <col min="5651" max="5651" width="14" style="40" bestFit="1" customWidth="1"/>
    <col min="5652" max="5885" width="9.1796875" style="40" customWidth="1"/>
    <col min="5886" max="5886" width="46.54296875" style="40" customWidth="1"/>
    <col min="5887" max="5887" width="32.453125" style="40" customWidth="1"/>
    <col min="5888" max="5888" width="22.7265625" style="40"/>
    <col min="5889" max="5889" width="52" style="40" bestFit="1" customWidth="1"/>
    <col min="5890" max="5890" width="33.54296875" style="40" bestFit="1" customWidth="1"/>
    <col min="5891" max="5891" width="18.26953125" style="40" bestFit="1" customWidth="1"/>
    <col min="5892" max="5893" width="23.453125" style="40" bestFit="1" customWidth="1"/>
    <col min="5894" max="5894" width="14.1796875" style="40" bestFit="1" customWidth="1"/>
    <col min="5895" max="5895" width="15.26953125" style="40" bestFit="1" customWidth="1"/>
    <col min="5896" max="5896" width="57.81640625" style="40" customWidth="1"/>
    <col min="5897" max="5897" width="27.26953125" style="40" customWidth="1"/>
    <col min="5898" max="5899" width="9.1796875" style="40" customWidth="1"/>
    <col min="5900" max="5900" width="10.7265625" style="40" customWidth="1"/>
    <col min="5901" max="5901" width="40.7265625" style="40" bestFit="1" customWidth="1"/>
    <col min="5902" max="5902" width="12.26953125" style="40" bestFit="1" customWidth="1"/>
    <col min="5903" max="5903" width="12.453125" style="40" bestFit="1" customWidth="1"/>
    <col min="5904" max="5904" width="11.7265625" style="40" bestFit="1" customWidth="1"/>
    <col min="5905" max="5905" width="16.1796875" style="40" bestFit="1" customWidth="1"/>
    <col min="5906" max="5906" width="9.54296875" style="40" bestFit="1" customWidth="1"/>
    <col min="5907" max="5907" width="14" style="40" bestFit="1" customWidth="1"/>
    <col min="5908" max="6141" width="9.1796875" style="40" customWidth="1"/>
    <col min="6142" max="6142" width="46.54296875" style="40" customWidth="1"/>
    <col min="6143" max="6143" width="32.453125" style="40" customWidth="1"/>
    <col min="6144" max="6144" width="22.7265625" style="40"/>
    <col min="6145" max="6145" width="52" style="40" bestFit="1" customWidth="1"/>
    <col min="6146" max="6146" width="33.54296875" style="40" bestFit="1" customWidth="1"/>
    <col min="6147" max="6147" width="18.26953125" style="40" bestFit="1" customWidth="1"/>
    <col min="6148" max="6149" width="23.453125" style="40" bestFit="1" customWidth="1"/>
    <col min="6150" max="6150" width="14.1796875" style="40" bestFit="1" customWidth="1"/>
    <col min="6151" max="6151" width="15.26953125" style="40" bestFit="1" customWidth="1"/>
    <col min="6152" max="6152" width="57.81640625" style="40" customWidth="1"/>
    <col min="6153" max="6153" width="27.26953125" style="40" customWidth="1"/>
    <col min="6154" max="6155" width="9.1796875" style="40" customWidth="1"/>
    <col min="6156" max="6156" width="10.7265625" style="40" customWidth="1"/>
    <col min="6157" max="6157" width="40.7265625" style="40" bestFit="1" customWidth="1"/>
    <col min="6158" max="6158" width="12.26953125" style="40" bestFit="1" customWidth="1"/>
    <col min="6159" max="6159" width="12.453125" style="40" bestFit="1" customWidth="1"/>
    <col min="6160" max="6160" width="11.7265625" style="40" bestFit="1" customWidth="1"/>
    <col min="6161" max="6161" width="16.1796875" style="40" bestFit="1" customWidth="1"/>
    <col min="6162" max="6162" width="9.54296875" style="40" bestFit="1" customWidth="1"/>
    <col min="6163" max="6163" width="14" style="40" bestFit="1" customWidth="1"/>
    <col min="6164" max="6397" width="9.1796875" style="40" customWidth="1"/>
    <col min="6398" max="6398" width="46.54296875" style="40" customWidth="1"/>
    <col min="6399" max="6399" width="32.453125" style="40" customWidth="1"/>
    <col min="6400" max="6400" width="22.7265625" style="40"/>
    <col min="6401" max="6401" width="52" style="40" bestFit="1" customWidth="1"/>
    <col min="6402" max="6402" width="33.54296875" style="40" bestFit="1" customWidth="1"/>
    <col min="6403" max="6403" width="18.26953125" style="40" bestFit="1" customWidth="1"/>
    <col min="6404" max="6405" width="23.453125" style="40" bestFit="1" customWidth="1"/>
    <col min="6406" max="6406" width="14.1796875" style="40" bestFit="1" customWidth="1"/>
    <col min="6407" max="6407" width="15.26953125" style="40" bestFit="1" customWidth="1"/>
    <col min="6408" max="6408" width="57.81640625" style="40" customWidth="1"/>
    <col min="6409" max="6409" width="27.26953125" style="40" customWidth="1"/>
    <col min="6410" max="6411" width="9.1796875" style="40" customWidth="1"/>
    <col min="6412" max="6412" width="10.7265625" style="40" customWidth="1"/>
    <col min="6413" max="6413" width="40.7265625" style="40" bestFit="1" customWidth="1"/>
    <col min="6414" max="6414" width="12.26953125" style="40" bestFit="1" customWidth="1"/>
    <col min="6415" max="6415" width="12.453125" style="40" bestFit="1" customWidth="1"/>
    <col min="6416" max="6416" width="11.7265625" style="40" bestFit="1" customWidth="1"/>
    <col min="6417" max="6417" width="16.1796875" style="40" bestFit="1" customWidth="1"/>
    <col min="6418" max="6418" width="9.54296875" style="40" bestFit="1" customWidth="1"/>
    <col min="6419" max="6419" width="14" style="40" bestFit="1" customWidth="1"/>
    <col min="6420" max="6653" width="9.1796875" style="40" customWidth="1"/>
    <col min="6654" max="6654" width="46.54296875" style="40" customWidth="1"/>
    <col min="6655" max="6655" width="32.453125" style="40" customWidth="1"/>
    <col min="6656" max="6656" width="22.7265625" style="40"/>
    <col min="6657" max="6657" width="52" style="40" bestFit="1" customWidth="1"/>
    <col min="6658" max="6658" width="33.54296875" style="40" bestFit="1" customWidth="1"/>
    <col min="6659" max="6659" width="18.26953125" style="40" bestFit="1" customWidth="1"/>
    <col min="6660" max="6661" width="23.453125" style="40" bestFit="1" customWidth="1"/>
    <col min="6662" max="6662" width="14.1796875" style="40" bestFit="1" customWidth="1"/>
    <col min="6663" max="6663" width="15.26953125" style="40" bestFit="1" customWidth="1"/>
    <col min="6664" max="6664" width="57.81640625" style="40" customWidth="1"/>
    <col min="6665" max="6665" width="27.26953125" style="40" customWidth="1"/>
    <col min="6666" max="6667" width="9.1796875" style="40" customWidth="1"/>
    <col min="6668" max="6668" width="10.7265625" style="40" customWidth="1"/>
    <col min="6669" max="6669" width="40.7265625" style="40" bestFit="1" customWidth="1"/>
    <col min="6670" max="6670" width="12.26953125" style="40" bestFit="1" customWidth="1"/>
    <col min="6671" max="6671" width="12.453125" style="40" bestFit="1" customWidth="1"/>
    <col min="6672" max="6672" width="11.7265625" style="40" bestFit="1" customWidth="1"/>
    <col min="6673" max="6673" width="16.1796875" style="40" bestFit="1" customWidth="1"/>
    <col min="6674" max="6674" width="9.54296875" style="40" bestFit="1" customWidth="1"/>
    <col min="6675" max="6675" width="14" style="40" bestFit="1" customWidth="1"/>
    <col min="6676" max="6909" width="9.1796875" style="40" customWidth="1"/>
    <col min="6910" max="6910" width="46.54296875" style="40" customWidth="1"/>
    <col min="6911" max="6911" width="32.453125" style="40" customWidth="1"/>
    <col min="6912" max="6912" width="22.7265625" style="40"/>
    <col min="6913" max="6913" width="52" style="40" bestFit="1" customWidth="1"/>
    <col min="6914" max="6914" width="33.54296875" style="40" bestFit="1" customWidth="1"/>
    <col min="6915" max="6915" width="18.26953125" style="40" bestFit="1" customWidth="1"/>
    <col min="6916" max="6917" width="23.453125" style="40" bestFit="1" customWidth="1"/>
    <col min="6918" max="6918" width="14.1796875" style="40" bestFit="1" customWidth="1"/>
    <col min="6919" max="6919" width="15.26953125" style="40" bestFit="1" customWidth="1"/>
    <col min="6920" max="6920" width="57.81640625" style="40" customWidth="1"/>
    <col min="6921" max="6921" width="27.26953125" style="40" customWidth="1"/>
    <col min="6922" max="6923" width="9.1796875" style="40" customWidth="1"/>
    <col min="6924" max="6924" width="10.7265625" style="40" customWidth="1"/>
    <col min="6925" max="6925" width="40.7265625" style="40" bestFit="1" customWidth="1"/>
    <col min="6926" max="6926" width="12.26953125" style="40" bestFit="1" customWidth="1"/>
    <col min="6927" max="6927" width="12.453125" style="40" bestFit="1" customWidth="1"/>
    <col min="6928" max="6928" width="11.7265625" style="40" bestFit="1" customWidth="1"/>
    <col min="6929" max="6929" width="16.1796875" style="40" bestFit="1" customWidth="1"/>
    <col min="6930" max="6930" width="9.54296875" style="40" bestFit="1" customWidth="1"/>
    <col min="6931" max="6931" width="14" style="40" bestFit="1" customWidth="1"/>
    <col min="6932" max="7165" width="9.1796875" style="40" customWidth="1"/>
    <col min="7166" max="7166" width="46.54296875" style="40" customWidth="1"/>
    <col min="7167" max="7167" width="32.453125" style="40" customWidth="1"/>
    <col min="7168" max="7168" width="22.7265625" style="40"/>
    <col min="7169" max="7169" width="52" style="40" bestFit="1" customWidth="1"/>
    <col min="7170" max="7170" width="33.54296875" style="40" bestFit="1" customWidth="1"/>
    <col min="7171" max="7171" width="18.26953125" style="40" bestFit="1" customWidth="1"/>
    <col min="7172" max="7173" width="23.453125" style="40" bestFit="1" customWidth="1"/>
    <col min="7174" max="7174" width="14.1796875" style="40" bestFit="1" customWidth="1"/>
    <col min="7175" max="7175" width="15.26953125" style="40" bestFit="1" customWidth="1"/>
    <col min="7176" max="7176" width="57.81640625" style="40" customWidth="1"/>
    <col min="7177" max="7177" width="27.26953125" style="40" customWidth="1"/>
    <col min="7178" max="7179" width="9.1796875" style="40" customWidth="1"/>
    <col min="7180" max="7180" width="10.7265625" style="40" customWidth="1"/>
    <col min="7181" max="7181" width="40.7265625" style="40" bestFit="1" customWidth="1"/>
    <col min="7182" max="7182" width="12.26953125" style="40" bestFit="1" customWidth="1"/>
    <col min="7183" max="7183" width="12.453125" style="40" bestFit="1" customWidth="1"/>
    <col min="7184" max="7184" width="11.7265625" style="40" bestFit="1" customWidth="1"/>
    <col min="7185" max="7185" width="16.1796875" style="40" bestFit="1" customWidth="1"/>
    <col min="7186" max="7186" width="9.54296875" style="40" bestFit="1" customWidth="1"/>
    <col min="7187" max="7187" width="14" style="40" bestFit="1" customWidth="1"/>
    <col min="7188" max="7421" width="9.1796875" style="40" customWidth="1"/>
    <col min="7422" max="7422" width="46.54296875" style="40" customWidth="1"/>
    <col min="7423" max="7423" width="32.453125" style="40" customWidth="1"/>
    <col min="7424" max="7424" width="22.7265625" style="40"/>
    <col min="7425" max="7425" width="52" style="40" bestFit="1" customWidth="1"/>
    <col min="7426" max="7426" width="33.54296875" style="40" bestFit="1" customWidth="1"/>
    <col min="7427" max="7427" width="18.26953125" style="40" bestFit="1" customWidth="1"/>
    <col min="7428" max="7429" width="23.453125" style="40" bestFit="1" customWidth="1"/>
    <col min="7430" max="7430" width="14.1796875" style="40" bestFit="1" customWidth="1"/>
    <col min="7431" max="7431" width="15.26953125" style="40" bestFit="1" customWidth="1"/>
    <col min="7432" max="7432" width="57.81640625" style="40" customWidth="1"/>
    <col min="7433" max="7433" width="27.26953125" style="40" customWidth="1"/>
    <col min="7434" max="7435" width="9.1796875" style="40" customWidth="1"/>
    <col min="7436" max="7436" width="10.7265625" style="40" customWidth="1"/>
    <col min="7437" max="7437" width="40.7265625" style="40" bestFit="1" customWidth="1"/>
    <col min="7438" max="7438" width="12.26953125" style="40" bestFit="1" customWidth="1"/>
    <col min="7439" max="7439" width="12.453125" style="40" bestFit="1" customWidth="1"/>
    <col min="7440" max="7440" width="11.7265625" style="40" bestFit="1" customWidth="1"/>
    <col min="7441" max="7441" width="16.1796875" style="40" bestFit="1" customWidth="1"/>
    <col min="7442" max="7442" width="9.54296875" style="40" bestFit="1" customWidth="1"/>
    <col min="7443" max="7443" width="14" style="40" bestFit="1" customWidth="1"/>
    <col min="7444" max="7677" width="9.1796875" style="40" customWidth="1"/>
    <col min="7678" max="7678" width="46.54296875" style="40" customWidth="1"/>
    <col min="7679" max="7679" width="32.453125" style="40" customWidth="1"/>
    <col min="7680" max="7680" width="22.7265625" style="40"/>
    <col min="7681" max="7681" width="52" style="40" bestFit="1" customWidth="1"/>
    <col min="7682" max="7682" width="33.54296875" style="40" bestFit="1" customWidth="1"/>
    <col min="7683" max="7683" width="18.26953125" style="40" bestFit="1" customWidth="1"/>
    <col min="7684" max="7685" width="23.453125" style="40" bestFit="1" customWidth="1"/>
    <col min="7686" max="7686" width="14.1796875" style="40" bestFit="1" customWidth="1"/>
    <col min="7687" max="7687" width="15.26953125" style="40" bestFit="1" customWidth="1"/>
    <col min="7688" max="7688" width="57.81640625" style="40" customWidth="1"/>
    <col min="7689" max="7689" width="27.26953125" style="40" customWidth="1"/>
    <col min="7690" max="7691" width="9.1796875" style="40" customWidth="1"/>
    <col min="7692" max="7692" width="10.7265625" style="40" customWidth="1"/>
    <col min="7693" max="7693" width="40.7265625" style="40" bestFit="1" customWidth="1"/>
    <col min="7694" max="7694" width="12.26953125" style="40" bestFit="1" customWidth="1"/>
    <col min="7695" max="7695" width="12.453125" style="40" bestFit="1" customWidth="1"/>
    <col min="7696" max="7696" width="11.7265625" style="40" bestFit="1" customWidth="1"/>
    <col min="7697" max="7697" width="16.1796875" style="40" bestFit="1" customWidth="1"/>
    <col min="7698" max="7698" width="9.54296875" style="40" bestFit="1" customWidth="1"/>
    <col min="7699" max="7699" width="14" style="40" bestFit="1" customWidth="1"/>
    <col min="7700" max="7933" width="9.1796875" style="40" customWidth="1"/>
    <col min="7934" max="7934" width="46.54296875" style="40" customWidth="1"/>
    <col min="7935" max="7935" width="32.453125" style="40" customWidth="1"/>
    <col min="7936" max="7936" width="22.7265625" style="40"/>
    <col min="7937" max="7937" width="52" style="40" bestFit="1" customWidth="1"/>
    <col min="7938" max="7938" width="33.54296875" style="40" bestFit="1" customWidth="1"/>
    <col min="7939" max="7939" width="18.26953125" style="40" bestFit="1" customWidth="1"/>
    <col min="7940" max="7941" width="23.453125" style="40" bestFit="1" customWidth="1"/>
    <col min="7942" max="7942" width="14.1796875" style="40" bestFit="1" customWidth="1"/>
    <col min="7943" max="7943" width="15.26953125" style="40" bestFit="1" customWidth="1"/>
    <col min="7944" max="7944" width="57.81640625" style="40" customWidth="1"/>
    <col min="7945" max="7945" width="27.26953125" style="40" customWidth="1"/>
    <col min="7946" max="7947" width="9.1796875" style="40" customWidth="1"/>
    <col min="7948" max="7948" width="10.7265625" style="40" customWidth="1"/>
    <col min="7949" max="7949" width="40.7265625" style="40" bestFit="1" customWidth="1"/>
    <col min="7950" max="7950" width="12.26953125" style="40" bestFit="1" customWidth="1"/>
    <col min="7951" max="7951" width="12.453125" style="40" bestFit="1" customWidth="1"/>
    <col min="7952" max="7952" width="11.7265625" style="40" bestFit="1" customWidth="1"/>
    <col min="7953" max="7953" width="16.1796875" style="40" bestFit="1" customWidth="1"/>
    <col min="7954" max="7954" width="9.54296875" style="40" bestFit="1" customWidth="1"/>
    <col min="7955" max="7955" width="14" style="40" bestFit="1" customWidth="1"/>
    <col min="7956" max="8189" width="9.1796875" style="40" customWidth="1"/>
    <col min="8190" max="8190" width="46.54296875" style="40" customWidth="1"/>
    <col min="8191" max="8191" width="32.453125" style="40" customWidth="1"/>
    <col min="8192" max="8192" width="22.7265625" style="40"/>
    <col min="8193" max="8193" width="52" style="40" bestFit="1" customWidth="1"/>
    <col min="8194" max="8194" width="33.54296875" style="40" bestFit="1" customWidth="1"/>
    <col min="8195" max="8195" width="18.26953125" style="40" bestFit="1" customWidth="1"/>
    <col min="8196" max="8197" width="23.453125" style="40" bestFit="1" customWidth="1"/>
    <col min="8198" max="8198" width="14.1796875" style="40" bestFit="1" customWidth="1"/>
    <col min="8199" max="8199" width="15.26953125" style="40" bestFit="1" customWidth="1"/>
    <col min="8200" max="8200" width="57.81640625" style="40" customWidth="1"/>
    <col min="8201" max="8201" width="27.26953125" style="40" customWidth="1"/>
    <col min="8202" max="8203" width="9.1796875" style="40" customWidth="1"/>
    <col min="8204" max="8204" width="10.7265625" style="40" customWidth="1"/>
    <col min="8205" max="8205" width="40.7265625" style="40" bestFit="1" customWidth="1"/>
    <col min="8206" max="8206" width="12.26953125" style="40" bestFit="1" customWidth="1"/>
    <col min="8207" max="8207" width="12.453125" style="40" bestFit="1" customWidth="1"/>
    <col min="8208" max="8208" width="11.7265625" style="40" bestFit="1" customWidth="1"/>
    <col min="8209" max="8209" width="16.1796875" style="40" bestFit="1" customWidth="1"/>
    <col min="8210" max="8210" width="9.54296875" style="40" bestFit="1" customWidth="1"/>
    <col min="8211" max="8211" width="14" style="40" bestFit="1" customWidth="1"/>
    <col min="8212" max="8445" width="9.1796875" style="40" customWidth="1"/>
    <col min="8446" max="8446" width="46.54296875" style="40" customWidth="1"/>
    <col min="8447" max="8447" width="32.453125" style="40" customWidth="1"/>
    <col min="8448" max="8448" width="22.7265625" style="40"/>
    <col min="8449" max="8449" width="52" style="40" bestFit="1" customWidth="1"/>
    <col min="8450" max="8450" width="33.54296875" style="40" bestFit="1" customWidth="1"/>
    <col min="8451" max="8451" width="18.26953125" style="40" bestFit="1" customWidth="1"/>
    <col min="8452" max="8453" width="23.453125" style="40" bestFit="1" customWidth="1"/>
    <col min="8454" max="8454" width="14.1796875" style="40" bestFit="1" customWidth="1"/>
    <col min="8455" max="8455" width="15.26953125" style="40" bestFit="1" customWidth="1"/>
    <col min="8456" max="8456" width="57.81640625" style="40" customWidth="1"/>
    <col min="8457" max="8457" width="27.26953125" style="40" customWidth="1"/>
    <col min="8458" max="8459" width="9.1796875" style="40" customWidth="1"/>
    <col min="8460" max="8460" width="10.7265625" style="40" customWidth="1"/>
    <col min="8461" max="8461" width="40.7265625" style="40" bestFit="1" customWidth="1"/>
    <col min="8462" max="8462" width="12.26953125" style="40" bestFit="1" customWidth="1"/>
    <col min="8463" max="8463" width="12.453125" style="40" bestFit="1" customWidth="1"/>
    <col min="8464" max="8464" width="11.7265625" style="40" bestFit="1" customWidth="1"/>
    <col min="8465" max="8465" width="16.1796875" style="40" bestFit="1" customWidth="1"/>
    <col min="8466" max="8466" width="9.54296875" style="40" bestFit="1" customWidth="1"/>
    <col min="8467" max="8467" width="14" style="40" bestFit="1" customWidth="1"/>
    <col min="8468" max="8701" width="9.1796875" style="40" customWidth="1"/>
    <col min="8702" max="8702" width="46.54296875" style="40" customWidth="1"/>
    <col min="8703" max="8703" width="32.453125" style="40" customWidth="1"/>
    <col min="8704" max="8704" width="22.7265625" style="40"/>
    <col min="8705" max="8705" width="52" style="40" bestFit="1" customWidth="1"/>
    <col min="8706" max="8706" width="33.54296875" style="40" bestFit="1" customWidth="1"/>
    <col min="8707" max="8707" width="18.26953125" style="40" bestFit="1" customWidth="1"/>
    <col min="8708" max="8709" width="23.453125" style="40" bestFit="1" customWidth="1"/>
    <col min="8710" max="8710" width="14.1796875" style="40" bestFit="1" customWidth="1"/>
    <col min="8711" max="8711" width="15.26953125" style="40" bestFit="1" customWidth="1"/>
    <col min="8712" max="8712" width="57.81640625" style="40" customWidth="1"/>
    <col min="8713" max="8713" width="27.26953125" style="40" customWidth="1"/>
    <col min="8714" max="8715" width="9.1796875" style="40" customWidth="1"/>
    <col min="8716" max="8716" width="10.7265625" style="40" customWidth="1"/>
    <col min="8717" max="8717" width="40.7265625" style="40" bestFit="1" customWidth="1"/>
    <col min="8718" max="8718" width="12.26953125" style="40" bestFit="1" customWidth="1"/>
    <col min="8719" max="8719" width="12.453125" style="40" bestFit="1" customWidth="1"/>
    <col min="8720" max="8720" width="11.7265625" style="40" bestFit="1" customWidth="1"/>
    <col min="8721" max="8721" width="16.1796875" style="40" bestFit="1" customWidth="1"/>
    <col min="8722" max="8722" width="9.54296875" style="40" bestFit="1" customWidth="1"/>
    <col min="8723" max="8723" width="14" style="40" bestFit="1" customWidth="1"/>
    <col min="8724" max="8957" width="9.1796875" style="40" customWidth="1"/>
    <col min="8958" max="8958" width="46.54296875" style="40" customWidth="1"/>
    <col min="8959" max="8959" width="32.453125" style="40" customWidth="1"/>
    <col min="8960" max="8960" width="22.7265625" style="40"/>
    <col min="8961" max="8961" width="52" style="40" bestFit="1" customWidth="1"/>
    <col min="8962" max="8962" width="33.54296875" style="40" bestFit="1" customWidth="1"/>
    <col min="8963" max="8963" width="18.26953125" style="40" bestFit="1" customWidth="1"/>
    <col min="8964" max="8965" width="23.453125" style="40" bestFit="1" customWidth="1"/>
    <col min="8966" max="8966" width="14.1796875" style="40" bestFit="1" customWidth="1"/>
    <col min="8967" max="8967" width="15.26953125" style="40" bestFit="1" customWidth="1"/>
    <col min="8968" max="8968" width="57.81640625" style="40" customWidth="1"/>
    <col min="8969" max="8969" width="27.26953125" style="40" customWidth="1"/>
    <col min="8970" max="8971" width="9.1796875" style="40" customWidth="1"/>
    <col min="8972" max="8972" width="10.7265625" style="40" customWidth="1"/>
    <col min="8973" max="8973" width="40.7265625" style="40" bestFit="1" customWidth="1"/>
    <col min="8974" max="8974" width="12.26953125" style="40" bestFit="1" customWidth="1"/>
    <col min="8975" max="8975" width="12.453125" style="40" bestFit="1" customWidth="1"/>
    <col min="8976" max="8976" width="11.7265625" style="40" bestFit="1" customWidth="1"/>
    <col min="8977" max="8977" width="16.1796875" style="40" bestFit="1" customWidth="1"/>
    <col min="8978" max="8978" width="9.54296875" style="40" bestFit="1" customWidth="1"/>
    <col min="8979" max="8979" width="14" style="40" bestFit="1" customWidth="1"/>
    <col min="8980" max="9213" width="9.1796875" style="40" customWidth="1"/>
    <col min="9214" max="9214" width="46.54296875" style="40" customWidth="1"/>
    <col min="9215" max="9215" width="32.453125" style="40" customWidth="1"/>
    <col min="9216" max="9216" width="22.7265625" style="40"/>
    <col min="9217" max="9217" width="52" style="40" bestFit="1" customWidth="1"/>
    <col min="9218" max="9218" width="33.54296875" style="40" bestFit="1" customWidth="1"/>
    <col min="9219" max="9219" width="18.26953125" style="40" bestFit="1" customWidth="1"/>
    <col min="9220" max="9221" width="23.453125" style="40" bestFit="1" customWidth="1"/>
    <col min="9222" max="9222" width="14.1796875" style="40" bestFit="1" customWidth="1"/>
    <col min="9223" max="9223" width="15.26953125" style="40" bestFit="1" customWidth="1"/>
    <col min="9224" max="9224" width="57.81640625" style="40" customWidth="1"/>
    <col min="9225" max="9225" width="27.26953125" style="40" customWidth="1"/>
    <col min="9226" max="9227" width="9.1796875" style="40" customWidth="1"/>
    <col min="9228" max="9228" width="10.7265625" style="40" customWidth="1"/>
    <col min="9229" max="9229" width="40.7265625" style="40" bestFit="1" customWidth="1"/>
    <col min="9230" max="9230" width="12.26953125" style="40" bestFit="1" customWidth="1"/>
    <col min="9231" max="9231" width="12.453125" style="40" bestFit="1" customWidth="1"/>
    <col min="9232" max="9232" width="11.7265625" style="40" bestFit="1" customWidth="1"/>
    <col min="9233" max="9233" width="16.1796875" style="40" bestFit="1" customWidth="1"/>
    <col min="9234" max="9234" width="9.54296875" style="40" bestFit="1" customWidth="1"/>
    <col min="9235" max="9235" width="14" style="40" bestFit="1" customWidth="1"/>
    <col min="9236" max="9469" width="9.1796875" style="40" customWidth="1"/>
    <col min="9470" max="9470" width="46.54296875" style="40" customWidth="1"/>
    <col min="9471" max="9471" width="32.453125" style="40" customWidth="1"/>
    <col min="9472" max="9472" width="22.7265625" style="40"/>
    <col min="9473" max="9473" width="52" style="40" bestFit="1" customWidth="1"/>
    <col min="9474" max="9474" width="33.54296875" style="40" bestFit="1" customWidth="1"/>
    <col min="9475" max="9475" width="18.26953125" style="40" bestFit="1" customWidth="1"/>
    <col min="9476" max="9477" width="23.453125" style="40" bestFit="1" customWidth="1"/>
    <col min="9478" max="9478" width="14.1796875" style="40" bestFit="1" customWidth="1"/>
    <col min="9479" max="9479" width="15.26953125" style="40" bestFit="1" customWidth="1"/>
    <col min="9480" max="9480" width="57.81640625" style="40" customWidth="1"/>
    <col min="9481" max="9481" width="27.26953125" style="40" customWidth="1"/>
    <col min="9482" max="9483" width="9.1796875" style="40" customWidth="1"/>
    <col min="9484" max="9484" width="10.7265625" style="40" customWidth="1"/>
    <col min="9485" max="9485" width="40.7265625" style="40" bestFit="1" customWidth="1"/>
    <col min="9486" max="9486" width="12.26953125" style="40" bestFit="1" customWidth="1"/>
    <col min="9487" max="9487" width="12.453125" style="40" bestFit="1" customWidth="1"/>
    <col min="9488" max="9488" width="11.7265625" style="40" bestFit="1" customWidth="1"/>
    <col min="9489" max="9489" width="16.1796875" style="40" bestFit="1" customWidth="1"/>
    <col min="9490" max="9490" width="9.54296875" style="40" bestFit="1" customWidth="1"/>
    <col min="9491" max="9491" width="14" style="40" bestFit="1" customWidth="1"/>
    <col min="9492" max="9725" width="9.1796875" style="40" customWidth="1"/>
    <col min="9726" max="9726" width="46.54296875" style="40" customWidth="1"/>
    <col min="9727" max="9727" width="32.453125" style="40" customWidth="1"/>
    <col min="9728" max="9728" width="22.7265625" style="40"/>
    <col min="9729" max="9729" width="52" style="40" bestFit="1" customWidth="1"/>
    <col min="9730" max="9730" width="33.54296875" style="40" bestFit="1" customWidth="1"/>
    <col min="9731" max="9731" width="18.26953125" style="40" bestFit="1" customWidth="1"/>
    <col min="9732" max="9733" width="23.453125" style="40" bestFit="1" customWidth="1"/>
    <col min="9734" max="9734" width="14.1796875" style="40" bestFit="1" customWidth="1"/>
    <col min="9735" max="9735" width="15.26953125" style="40" bestFit="1" customWidth="1"/>
    <col min="9736" max="9736" width="57.81640625" style="40" customWidth="1"/>
    <col min="9737" max="9737" width="27.26953125" style="40" customWidth="1"/>
    <col min="9738" max="9739" width="9.1796875" style="40" customWidth="1"/>
    <col min="9740" max="9740" width="10.7265625" style="40" customWidth="1"/>
    <col min="9741" max="9741" width="40.7265625" style="40" bestFit="1" customWidth="1"/>
    <col min="9742" max="9742" width="12.26953125" style="40" bestFit="1" customWidth="1"/>
    <col min="9743" max="9743" width="12.453125" style="40" bestFit="1" customWidth="1"/>
    <col min="9744" max="9744" width="11.7265625" style="40" bestFit="1" customWidth="1"/>
    <col min="9745" max="9745" width="16.1796875" style="40" bestFit="1" customWidth="1"/>
    <col min="9746" max="9746" width="9.54296875" style="40" bestFit="1" customWidth="1"/>
    <col min="9747" max="9747" width="14" style="40" bestFit="1" customWidth="1"/>
    <col min="9748" max="9981" width="9.1796875" style="40" customWidth="1"/>
    <col min="9982" max="9982" width="46.54296875" style="40" customWidth="1"/>
    <col min="9983" max="9983" width="32.453125" style="40" customWidth="1"/>
    <col min="9984" max="9984" width="22.7265625" style="40"/>
    <col min="9985" max="9985" width="52" style="40" bestFit="1" customWidth="1"/>
    <col min="9986" max="9986" width="33.54296875" style="40" bestFit="1" customWidth="1"/>
    <col min="9987" max="9987" width="18.26953125" style="40" bestFit="1" customWidth="1"/>
    <col min="9988" max="9989" width="23.453125" style="40" bestFit="1" customWidth="1"/>
    <col min="9990" max="9990" width="14.1796875" style="40" bestFit="1" customWidth="1"/>
    <col min="9991" max="9991" width="15.26953125" style="40" bestFit="1" customWidth="1"/>
    <col min="9992" max="9992" width="57.81640625" style="40" customWidth="1"/>
    <col min="9993" max="9993" width="27.26953125" style="40" customWidth="1"/>
    <col min="9994" max="9995" width="9.1796875" style="40" customWidth="1"/>
    <col min="9996" max="9996" width="10.7265625" style="40" customWidth="1"/>
    <col min="9997" max="9997" width="40.7265625" style="40" bestFit="1" customWidth="1"/>
    <col min="9998" max="9998" width="12.26953125" style="40" bestFit="1" customWidth="1"/>
    <col min="9999" max="9999" width="12.453125" style="40" bestFit="1" customWidth="1"/>
    <col min="10000" max="10000" width="11.7265625" style="40" bestFit="1" customWidth="1"/>
    <col min="10001" max="10001" width="16.1796875" style="40" bestFit="1" customWidth="1"/>
    <col min="10002" max="10002" width="9.54296875" style="40" bestFit="1" customWidth="1"/>
    <col min="10003" max="10003" width="14" style="40" bestFit="1" customWidth="1"/>
    <col min="10004" max="10237" width="9.1796875" style="40" customWidth="1"/>
    <col min="10238" max="10238" width="46.54296875" style="40" customWidth="1"/>
    <col min="10239" max="10239" width="32.453125" style="40" customWidth="1"/>
    <col min="10240" max="10240" width="22.7265625" style="40"/>
    <col min="10241" max="10241" width="52" style="40" bestFit="1" customWidth="1"/>
    <col min="10242" max="10242" width="33.54296875" style="40" bestFit="1" customWidth="1"/>
    <col min="10243" max="10243" width="18.26953125" style="40" bestFit="1" customWidth="1"/>
    <col min="10244" max="10245" width="23.453125" style="40" bestFit="1" customWidth="1"/>
    <col min="10246" max="10246" width="14.1796875" style="40" bestFit="1" customWidth="1"/>
    <col min="10247" max="10247" width="15.26953125" style="40" bestFit="1" customWidth="1"/>
    <col min="10248" max="10248" width="57.81640625" style="40" customWidth="1"/>
    <col min="10249" max="10249" width="27.26953125" style="40" customWidth="1"/>
    <col min="10250" max="10251" width="9.1796875" style="40" customWidth="1"/>
    <col min="10252" max="10252" width="10.7265625" style="40" customWidth="1"/>
    <col min="10253" max="10253" width="40.7265625" style="40" bestFit="1" customWidth="1"/>
    <col min="10254" max="10254" width="12.26953125" style="40" bestFit="1" customWidth="1"/>
    <col min="10255" max="10255" width="12.453125" style="40" bestFit="1" customWidth="1"/>
    <col min="10256" max="10256" width="11.7265625" style="40" bestFit="1" customWidth="1"/>
    <col min="10257" max="10257" width="16.1796875" style="40" bestFit="1" customWidth="1"/>
    <col min="10258" max="10258" width="9.54296875" style="40" bestFit="1" customWidth="1"/>
    <col min="10259" max="10259" width="14" style="40" bestFit="1" customWidth="1"/>
    <col min="10260" max="10493" width="9.1796875" style="40" customWidth="1"/>
    <col min="10494" max="10494" width="46.54296875" style="40" customWidth="1"/>
    <col min="10495" max="10495" width="32.453125" style="40" customWidth="1"/>
    <col min="10496" max="10496" width="22.7265625" style="40"/>
    <col min="10497" max="10497" width="52" style="40" bestFit="1" customWidth="1"/>
    <col min="10498" max="10498" width="33.54296875" style="40" bestFit="1" customWidth="1"/>
    <col min="10499" max="10499" width="18.26953125" style="40" bestFit="1" customWidth="1"/>
    <col min="10500" max="10501" width="23.453125" style="40" bestFit="1" customWidth="1"/>
    <col min="10502" max="10502" width="14.1796875" style="40" bestFit="1" customWidth="1"/>
    <col min="10503" max="10503" width="15.26953125" style="40" bestFit="1" customWidth="1"/>
    <col min="10504" max="10504" width="57.81640625" style="40" customWidth="1"/>
    <col min="10505" max="10505" width="27.26953125" style="40" customWidth="1"/>
    <col min="10506" max="10507" width="9.1796875" style="40" customWidth="1"/>
    <col min="10508" max="10508" width="10.7265625" style="40" customWidth="1"/>
    <col min="10509" max="10509" width="40.7265625" style="40" bestFit="1" customWidth="1"/>
    <col min="10510" max="10510" width="12.26953125" style="40" bestFit="1" customWidth="1"/>
    <col min="10511" max="10511" width="12.453125" style="40" bestFit="1" customWidth="1"/>
    <col min="10512" max="10512" width="11.7265625" style="40" bestFit="1" customWidth="1"/>
    <col min="10513" max="10513" width="16.1796875" style="40" bestFit="1" customWidth="1"/>
    <col min="10514" max="10514" width="9.54296875" style="40" bestFit="1" customWidth="1"/>
    <col min="10515" max="10515" width="14" style="40" bestFit="1" customWidth="1"/>
    <col min="10516" max="10749" width="9.1796875" style="40" customWidth="1"/>
    <col min="10750" max="10750" width="46.54296875" style="40" customWidth="1"/>
    <col min="10751" max="10751" width="32.453125" style="40" customWidth="1"/>
    <col min="10752" max="10752" width="22.7265625" style="40"/>
    <col min="10753" max="10753" width="52" style="40" bestFit="1" customWidth="1"/>
    <col min="10754" max="10754" width="33.54296875" style="40" bestFit="1" customWidth="1"/>
    <col min="10755" max="10755" width="18.26953125" style="40" bestFit="1" customWidth="1"/>
    <col min="10756" max="10757" width="23.453125" style="40" bestFit="1" customWidth="1"/>
    <col min="10758" max="10758" width="14.1796875" style="40" bestFit="1" customWidth="1"/>
    <col min="10759" max="10759" width="15.26953125" style="40" bestFit="1" customWidth="1"/>
    <col min="10760" max="10760" width="57.81640625" style="40" customWidth="1"/>
    <col min="10761" max="10761" width="27.26953125" style="40" customWidth="1"/>
    <col min="10762" max="10763" width="9.1796875" style="40" customWidth="1"/>
    <col min="10764" max="10764" width="10.7265625" style="40" customWidth="1"/>
    <col min="10765" max="10765" width="40.7265625" style="40" bestFit="1" customWidth="1"/>
    <col min="10766" max="10766" width="12.26953125" style="40" bestFit="1" customWidth="1"/>
    <col min="10767" max="10767" width="12.453125" style="40" bestFit="1" customWidth="1"/>
    <col min="10768" max="10768" width="11.7265625" style="40" bestFit="1" customWidth="1"/>
    <col min="10769" max="10769" width="16.1796875" style="40" bestFit="1" customWidth="1"/>
    <col min="10770" max="10770" width="9.54296875" style="40" bestFit="1" customWidth="1"/>
    <col min="10771" max="10771" width="14" style="40" bestFit="1" customWidth="1"/>
    <col min="10772" max="11005" width="9.1796875" style="40" customWidth="1"/>
    <col min="11006" max="11006" width="46.54296875" style="40" customWidth="1"/>
    <col min="11007" max="11007" width="32.453125" style="40" customWidth="1"/>
    <col min="11008" max="11008" width="22.7265625" style="40"/>
    <col min="11009" max="11009" width="52" style="40" bestFit="1" customWidth="1"/>
    <col min="11010" max="11010" width="33.54296875" style="40" bestFit="1" customWidth="1"/>
    <col min="11011" max="11011" width="18.26953125" style="40" bestFit="1" customWidth="1"/>
    <col min="11012" max="11013" width="23.453125" style="40" bestFit="1" customWidth="1"/>
    <col min="11014" max="11014" width="14.1796875" style="40" bestFit="1" customWidth="1"/>
    <col min="11015" max="11015" width="15.26953125" style="40" bestFit="1" customWidth="1"/>
    <col min="11016" max="11016" width="57.81640625" style="40" customWidth="1"/>
    <col min="11017" max="11017" width="27.26953125" style="40" customWidth="1"/>
    <col min="11018" max="11019" width="9.1796875" style="40" customWidth="1"/>
    <col min="11020" max="11020" width="10.7265625" style="40" customWidth="1"/>
    <col min="11021" max="11021" width="40.7265625" style="40" bestFit="1" customWidth="1"/>
    <col min="11022" max="11022" width="12.26953125" style="40" bestFit="1" customWidth="1"/>
    <col min="11023" max="11023" width="12.453125" style="40" bestFit="1" customWidth="1"/>
    <col min="11024" max="11024" width="11.7265625" style="40" bestFit="1" customWidth="1"/>
    <col min="11025" max="11025" width="16.1796875" style="40" bestFit="1" customWidth="1"/>
    <col min="11026" max="11026" width="9.54296875" style="40" bestFit="1" customWidth="1"/>
    <col min="11027" max="11027" width="14" style="40" bestFit="1" customWidth="1"/>
    <col min="11028" max="11261" width="9.1796875" style="40" customWidth="1"/>
    <col min="11262" max="11262" width="46.54296875" style="40" customWidth="1"/>
    <col min="11263" max="11263" width="32.453125" style="40" customWidth="1"/>
    <col min="11264" max="11264" width="22.7265625" style="40"/>
    <col min="11265" max="11265" width="52" style="40" bestFit="1" customWidth="1"/>
    <col min="11266" max="11266" width="33.54296875" style="40" bestFit="1" customWidth="1"/>
    <col min="11267" max="11267" width="18.26953125" style="40" bestFit="1" customWidth="1"/>
    <col min="11268" max="11269" width="23.453125" style="40" bestFit="1" customWidth="1"/>
    <col min="11270" max="11270" width="14.1796875" style="40" bestFit="1" customWidth="1"/>
    <col min="11271" max="11271" width="15.26953125" style="40" bestFit="1" customWidth="1"/>
    <col min="11272" max="11272" width="57.81640625" style="40" customWidth="1"/>
    <col min="11273" max="11273" width="27.26953125" style="40" customWidth="1"/>
    <col min="11274" max="11275" width="9.1796875" style="40" customWidth="1"/>
    <col min="11276" max="11276" width="10.7265625" style="40" customWidth="1"/>
    <col min="11277" max="11277" width="40.7265625" style="40" bestFit="1" customWidth="1"/>
    <col min="11278" max="11278" width="12.26953125" style="40" bestFit="1" customWidth="1"/>
    <col min="11279" max="11279" width="12.453125" style="40" bestFit="1" customWidth="1"/>
    <col min="11280" max="11280" width="11.7265625" style="40" bestFit="1" customWidth="1"/>
    <col min="11281" max="11281" width="16.1796875" style="40" bestFit="1" customWidth="1"/>
    <col min="11282" max="11282" width="9.54296875" style="40" bestFit="1" customWidth="1"/>
    <col min="11283" max="11283" width="14" style="40" bestFit="1" customWidth="1"/>
    <col min="11284" max="11517" width="9.1796875" style="40" customWidth="1"/>
    <col min="11518" max="11518" width="46.54296875" style="40" customWidth="1"/>
    <col min="11519" max="11519" width="32.453125" style="40" customWidth="1"/>
    <col min="11520" max="11520" width="22.7265625" style="40"/>
    <col min="11521" max="11521" width="52" style="40" bestFit="1" customWidth="1"/>
    <col min="11522" max="11522" width="33.54296875" style="40" bestFit="1" customWidth="1"/>
    <col min="11523" max="11523" width="18.26953125" style="40" bestFit="1" customWidth="1"/>
    <col min="11524" max="11525" width="23.453125" style="40" bestFit="1" customWidth="1"/>
    <col min="11526" max="11526" width="14.1796875" style="40" bestFit="1" customWidth="1"/>
    <col min="11527" max="11527" width="15.26953125" style="40" bestFit="1" customWidth="1"/>
    <col min="11528" max="11528" width="57.81640625" style="40" customWidth="1"/>
    <col min="11529" max="11529" width="27.26953125" style="40" customWidth="1"/>
    <col min="11530" max="11531" width="9.1796875" style="40" customWidth="1"/>
    <col min="11532" max="11532" width="10.7265625" style="40" customWidth="1"/>
    <col min="11533" max="11533" width="40.7265625" style="40" bestFit="1" customWidth="1"/>
    <col min="11534" max="11534" width="12.26953125" style="40" bestFit="1" customWidth="1"/>
    <col min="11535" max="11535" width="12.453125" style="40" bestFit="1" customWidth="1"/>
    <col min="11536" max="11536" width="11.7265625" style="40" bestFit="1" customWidth="1"/>
    <col min="11537" max="11537" width="16.1796875" style="40" bestFit="1" customWidth="1"/>
    <col min="11538" max="11538" width="9.54296875" style="40" bestFit="1" customWidth="1"/>
    <col min="11539" max="11539" width="14" style="40" bestFit="1" customWidth="1"/>
    <col min="11540" max="11773" width="9.1796875" style="40" customWidth="1"/>
    <col min="11774" max="11774" width="46.54296875" style="40" customWidth="1"/>
    <col min="11775" max="11775" width="32.453125" style="40" customWidth="1"/>
    <col min="11776" max="11776" width="22.7265625" style="40"/>
    <col min="11777" max="11777" width="52" style="40" bestFit="1" customWidth="1"/>
    <col min="11778" max="11778" width="33.54296875" style="40" bestFit="1" customWidth="1"/>
    <col min="11779" max="11779" width="18.26953125" style="40" bestFit="1" customWidth="1"/>
    <col min="11780" max="11781" width="23.453125" style="40" bestFit="1" customWidth="1"/>
    <col min="11782" max="11782" width="14.1796875" style="40" bestFit="1" customWidth="1"/>
    <col min="11783" max="11783" width="15.26953125" style="40" bestFit="1" customWidth="1"/>
    <col min="11784" max="11784" width="57.81640625" style="40" customWidth="1"/>
    <col min="11785" max="11785" width="27.26953125" style="40" customWidth="1"/>
    <col min="11786" max="11787" width="9.1796875" style="40" customWidth="1"/>
    <col min="11788" max="11788" width="10.7265625" style="40" customWidth="1"/>
    <col min="11789" max="11789" width="40.7265625" style="40" bestFit="1" customWidth="1"/>
    <col min="11790" max="11790" width="12.26953125" style="40" bestFit="1" customWidth="1"/>
    <col min="11791" max="11791" width="12.453125" style="40" bestFit="1" customWidth="1"/>
    <col min="11792" max="11792" width="11.7265625" style="40" bestFit="1" customWidth="1"/>
    <col min="11793" max="11793" width="16.1796875" style="40" bestFit="1" customWidth="1"/>
    <col min="11794" max="11794" width="9.54296875" style="40" bestFit="1" customWidth="1"/>
    <col min="11795" max="11795" width="14" style="40" bestFit="1" customWidth="1"/>
    <col min="11796" max="12029" width="9.1796875" style="40" customWidth="1"/>
    <col min="12030" max="12030" width="46.54296875" style="40" customWidth="1"/>
    <col min="12031" max="12031" width="32.453125" style="40" customWidth="1"/>
    <col min="12032" max="12032" width="22.7265625" style="40"/>
    <col min="12033" max="12033" width="52" style="40" bestFit="1" customWidth="1"/>
    <col min="12034" max="12034" width="33.54296875" style="40" bestFit="1" customWidth="1"/>
    <col min="12035" max="12035" width="18.26953125" style="40" bestFit="1" customWidth="1"/>
    <col min="12036" max="12037" width="23.453125" style="40" bestFit="1" customWidth="1"/>
    <col min="12038" max="12038" width="14.1796875" style="40" bestFit="1" customWidth="1"/>
    <col min="12039" max="12039" width="15.26953125" style="40" bestFit="1" customWidth="1"/>
    <col min="12040" max="12040" width="57.81640625" style="40" customWidth="1"/>
    <col min="12041" max="12041" width="27.26953125" style="40" customWidth="1"/>
    <col min="12042" max="12043" width="9.1796875" style="40" customWidth="1"/>
    <col min="12044" max="12044" width="10.7265625" style="40" customWidth="1"/>
    <col min="12045" max="12045" width="40.7265625" style="40" bestFit="1" customWidth="1"/>
    <col min="12046" max="12046" width="12.26953125" style="40" bestFit="1" customWidth="1"/>
    <col min="12047" max="12047" width="12.453125" style="40" bestFit="1" customWidth="1"/>
    <col min="12048" max="12048" width="11.7265625" style="40" bestFit="1" customWidth="1"/>
    <col min="12049" max="12049" width="16.1796875" style="40" bestFit="1" customWidth="1"/>
    <col min="12050" max="12050" width="9.54296875" style="40" bestFit="1" customWidth="1"/>
    <col min="12051" max="12051" width="14" style="40" bestFit="1" customWidth="1"/>
    <col min="12052" max="12285" width="9.1796875" style="40" customWidth="1"/>
    <col min="12286" max="12286" width="46.54296875" style="40" customWidth="1"/>
    <col min="12287" max="12287" width="32.453125" style="40" customWidth="1"/>
    <col min="12288" max="12288" width="22.7265625" style="40"/>
    <col min="12289" max="12289" width="52" style="40" bestFit="1" customWidth="1"/>
    <col min="12290" max="12290" width="33.54296875" style="40" bestFit="1" customWidth="1"/>
    <col min="12291" max="12291" width="18.26953125" style="40" bestFit="1" customWidth="1"/>
    <col min="12292" max="12293" width="23.453125" style="40" bestFit="1" customWidth="1"/>
    <col min="12294" max="12294" width="14.1796875" style="40" bestFit="1" customWidth="1"/>
    <col min="12295" max="12295" width="15.26953125" style="40" bestFit="1" customWidth="1"/>
    <col min="12296" max="12296" width="57.81640625" style="40" customWidth="1"/>
    <col min="12297" max="12297" width="27.26953125" style="40" customWidth="1"/>
    <col min="12298" max="12299" width="9.1796875" style="40" customWidth="1"/>
    <col min="12300" max="12300" width="10.7265625" style="40" customWidth="1"/>
    <col min="12301" max="12301" width="40.7265625" style="40" bestFit="1" customWidth="1"/>
    <col min="12302" max="12302" width="12.26953125" style="40" bestFit="1" customWidth="1"/>
    <col min="12303" max="12303" width="12.453125" style="40" bestFit="1" customWidth="1"/>
    <col min="12304" max="12304" width="11.7265625" style="40" bestFit="1" customWidth="1"/>
    <col min="12305" max="12305" width="16.1796875" style="40" bestFit="1" customWidth="1"/>
    <col min="12306" max="12306" width="9.54296875" style="40" bestFit="1" customWidth="1"/>
    <col min="12307" max="12307" width="14" style="40" bestFit="1" customWidth="1"/>
    <col min="12308" max="12541" width="9.1796875" style="40" customWidth="1"/>
    <col min="12542" max="12542" width="46.54296875" style="40" customWidth="1"/>
    <col min="12543" max="12543" width="32.453125" style="40" customWidth="1"/>
    <col min="12544" max="12544" width="22.7265625" style="40"/>
    <col min="12545" max="12545" width="52" style="40" bestFit="1" customWidth="1"/>
    <col min="12546" max="12546" width="33.54296875" style="40" bestFit="1" customWidth="1"/>
    <col min="12547" max="12547" width="18.26953125" style="40" bestFit="1" customWidth="1"/>
    <col min="12548" max="12549" width="23.453125" style="40" bestFit="1" customWidth="1"/>
    <col min="12550" max="12550" width="14.1796875" style="40" bestFit="1" customWidth="1"/>
    <col min="12551" max="12551" width="15.26953125" style="40" bestFit="1" customWidth="1"/>
    <col min="12552" max="12552" width="57.81640625" style="40" customWidth="1"/>
    <col min="12553" max="12553" width="27.26953125" style="40" customWidth="1"/>
    <col min="12554" max="12555" width="9.1796875" style="40" customWidth="1"/>
    <col min="12556" max="12556" width="10.7265625" style="40" customWidth="1"/>
    <col min="12557" max="12557" width="40.7265625" style="40" bestFit="1" customWidth="1"/>
    <col min="12558" max="12558" width="12.26953125" style="40" bestFit="1" customWidth="1"/>
    <col min="12559" max="12559" width="12.453125" style="40" bestFit="1" customWidth="1"/>
    <col min="12560" max="12560" width="11.7265625" style="40" bestFit="1" customWidth="1"/>
    <col min="12561" max="12561" width="16.1796875" style="40" bestFit="1" customWidth="1"/>
    <col min="12562" max="12562" width="9.54296875" style="40" bestFit="1" customWidth="1"/>
    <col min="12563" max="12563" width="14" style="40" bestFit="1" customWidth="1"/>
    <col min="12564" max="12797" width="9.1796875" style="40" customWidth="1"/>
    <col min="12798" max="12798" width="46.54296875" style="40" customWidth="1"/>
    <col min="12799" max="12799" width="32.453125" style="40" customWidth="1"/>
    <col min="12800" max="12800" width="22.7265625" style="40"/>
    <col min="12801" max="12801" width="52" style="40" bestFit="1" customWidth="1"/>
    <col min="12802" max="12802" width="33.54296875" style="40" bestFit="1" customWidth="1"/>
    <col min="12803" max="12803" width="18.26953125" style="40" bestFit="1" customWidth="1"/>
    <col min="12804" max="12805" width="23.453125" style="40" bestFit="1" customWidth="1"/>
    <col min="12806" max="12806" width="14.1796875" style="40" bestFit="1" customWidth="1"/>
    <col min="12807" max="12807" width="15.26953125" style="40" bestFit="1" customWidth="1"/>
    <col min="12808" max="12808" width="57.81640625" style="40" customWidth="1"/>
    <col min="12809" max="12809" width="27.26953125" style="40" customWidth="1"/>
    <col min="12810" max="12811" width="9.1796875" style="40" customWidth="1"/>
    <col min="12812" max="12812" width="10.7265625" style="40" customWidth="1"/>
    <col min="12813" max="12813" width="40.7265625" style="40" bestFit="1" customWidth="1"/>
    <col min="12814" max="12814" width="12.26953125" style="40" bestFit="1" customWidth="1"/>
    <col min="12815" max="12815" width="12.453125" style="40" bestFit="1" customWidth="1"/>
    <col min="12816" max="12816" width="11.7265625" style="40" bestFit="1" customWidth="1"/>
    <col min="12817" max="12817" width="16.1796875" style="40" bestFit="1" customWidth="1"/>
    <col min="12818" max="12818" width="9.54296875" style="40" bestFit="1" customWidth="1"/>
    <col min="12819" max="12819" width="14" style="40" bestFit="1" customWidth="1"/>
    <col min="12820" max="13053" width="9.1796875" style="40" customWidth="1"/>
    <col min="13054" max="13054" width="46.54296875" style="40" customWidth="1"/>
    <col min="13055" max="13055" width="32.453125" style="40" customWidth="1"/>
    <col min="13056" max="13056" width="22.7265625" style="40"/>
    <col min="13057" max="13057" width="52" style="40" bestFit="1" customWidth="1"/>
    <col min="13058" max="13058" width="33.54296875" style="40" bestFit="1" customWidth="1"/>
    <col min="13059" max="13059" width="18.26953125" style="40" bestFit="1" customWidth="1"/>
    <col min="13060" max="13061" width="23.453125" style="40" bestFit="1" customWidth="1"/>
    <col min="13062" max="13062" width="14.1796875" style="40" bestFit="1" customWidth="1"/>
    <col min="13063" max="13063" width="15.26953125" style="40" bestFit="1" customWidth="1"/>
    <col min="13064" max="13064" width="57.81640625" style="40" customWidth="1"/>
    <col min="13065" max="13065" width="27.26953125" style="40" customWidth="1"/>
    <col min="13066" max="13067" width="9.1796875" style="40" customWidth="1"/>
    <col min="13068" max="13068" width="10.7265625" style="40" customWidth="1"/>
    <col min="13069" max="13069" width="40.7265625" style="40" bestFit="1" customWidth="1"/>
    <col min="13070" max="13070" width="12.26953125" style="40" bestFit="1" customWidth="1"/>
    <col min="13071" max="13071" width="12.453125" style="40" bestFit="1" customWidth="1"/>
    <col min="13072" max="13072" width="11.7265625" style="40" bestFit="1" customWidth="1"/>
    <col min="13073" max="13073" width="16.1796875" style="40" bestFit="1" customWidth="1"/>
    <col min="13074" max="13074" width="9.54296875" style="40" bestFit="1" customWidth="1"/>
    <col min="13075" max="13075" width="14" style="40" bestFit="1" customWidth="1"/>
    <col min="13076" max="13309" width="9.1796875" style="40" customWidth="1"/>
    <col min="13310" max="13310" width="46.54296875" style="40" customWidth="1"/>
    <col min="13311" max="13311" width="32.453125" style="40" customWidth="1"/>
    <col min="13312" max="13312" width="22.7265625" style="40"/>
    <col min="13313" max="13313" width="52" style="40" bestFit="1" customWidth="1"/>
    <col min="13314" max="13314" width="33.54296875" style="40" bestFit="1" customWidth="1"/>
    <col min="13315" max="13315" width="18.26953125" style="40" bestFit="1" customWidth="1"/>
    <col min="13316" max="13317" width="23.453125" style="40" bestFit="1" customWidth="1"/>
    <col min="13318" max="13318" width="14.1796875" style="40" bestFit="1" customWidth="1"/>
    <col min="13319" max="13319" width="15.26953125" style="40" bestFit="1" customWidth="1"/>
    <col min="13320" max="13320" width="57.81640625" style="40" customWidth="1"/>
    <col min="13321" max="13321" width="27.26953125" style="40" customWidth="1"/>
    <col min="13322" max="13323" width="9.1796875" style="40" customWidth="1"/>
    <col min="13324" max="13324" width="10.7265625" style="40" customWidth="1"/>
    <col min="13325" max="13325" width="40.7265625" style="40" bestFit="1" customWidth="1"/>
    <col min="13326" max="13326" width="12.26953125" style="40" bestFit="1" customWidth="1"/>
    <col min="13327" max="13327" width="12.453125" style="40" bestFit="1" customWidth="1"/>
    <col min="13328" max="13328" width="11.7265625" style="40" bestFit="1" customWidth="1"/>
    <col min="13329" max="13329" width="16.1796875" style="40" bestFit="1" customWidth="1"/>
    <col min="13330" max="13330" width="9.54296875" style="40" bestFit="1" customWidth="1"/>
    <col min="13331" max="13331" width="14" style="40" bestFit="1" customWidth="1"/>
    <col min="13332" max="13565" width="9.1796875" style="40" customWidth="1"/>
    <col min="13566" max="13566" width="46.54296875" style="40" customWidth="1"/>
    <col min="13567" max="13567" width="32.453125" style="40" customWidth="1"/>
    <col min="13568" max="13568" width="22.7265625" style="40"/>
    <col min="13569" max="13569" width="52" style="40" bestFit="1" customWidth="1"/>
    <col min="13570" max="13570" width="33.54296875" style="40" bestFit="1" customWidth="1"/>
    <col min="13571" max="13571" width="18.26953125" style="40" bestFit="1" customWidth="1"/>
    <col min="13572" max="13573" width="23.453125" style="40" bestFit="1" customWidth="1"/>
    <col min="13574" max="13574" width="14.1796875" style="40" bestFit="1" customWidth="1"/>
    <col min="13575" max="13575" width="15.26953125" style="40" bestFit="1" customWidth="1"/>
    <col min="13576" max="13576" width="57.81640625" style="40" customWidth="1"/>
    <col min="13577" max="13577" width="27.26953125" style="40" customWidth="1"/>
    <col min="13578" max="13579" width="9.1796875" style="40" customWidth="1"/>
    <col min="13580" max="13580" width="10.7265625" style="40" customWidth="1"/>
    <col min="13581" max="13581" width="40.7265625" style="40" bestFit="1" customWidth="1"/>
    <col min="13582" max="13582" width="12.26953125" style="40" bestFit="1" customWidth="1"/>
    <col min="13583" max="13583" width="12.453125" style="40" bestFit="1" customWidth="1"/>
    <col min="13584" max="13584" width="11.7265625" style="40" bestFit="1" customWidth="1"/>
    <col min="13585" max="13585" width="16.1796875" style="40" bestFit="1" customWidth="1"/>
    <col min="13586" max="13586" width="9.54296875" style="40" bestFit="1" customWidth="1"/>
    <col min="13587" max="13587" width="14" style="40" bestFit="1" customWidth="1"/>
    <col min="13588" max="13821" width="9.1796875" style="40" customWidth="1"/>
    <col min="13822" max="13822" width="46.54296875" style="40" customWidth="1"/>
    <col min="13823" max="13823" width="32.453125" style="40" customWidth="1"/>
    <col min="13824" max="13824" width="22.7265625" style="40"/>
    <col min="13825" max="13825" width="52" style="40" bestFit="1" customWidth="1"/>
    <col min="13826" max="13826" width="33.54296875" style="40" bestFit="1" customWidth="1"/>
    <col min="13827" max="13827" width="18.26953125" style="40" bestFit="1" customWidth="1"/>
    <col min="13828" max="13829" width="23.453125" style="40" bestFit="1" customWidth="1"/>
    <col min="13830" max="13830" width="14.1796875" style="40" bestFit="1" customWidth="1"/>
    <col min="13831" max="13831" width="15.26953125" style="40" bestFit="1" customWidth="1"/>
    <col min="13832" max="13832" width="57.81640625" style="40" customWidth="1"/>
    <col min="13833" max="13833" width="27.26953125" style="40" customWidth="1"/>
    <col min="13834" max="13835" width="9.1796875" style="40" customWidth="1"/>
    <col min="13836" max="13836" width="10.7265625" style="40" customWidth="1"/>
    <col min="13837" max="13837" width="40.7265625" style="40" bestFit="1" customWidth="1"/>
    <col min="13838" max="13838" width="12.26953125" style="40" bestFit="1" customWidth="1"/>
    <col min="13839" max="13839" width="12.453125" style="40" bestFit="1" customWidth="1"/>
    <col min="13840" max="13840" width="11.7265625" style="40" bestFit="1" customWidth="1"/>
    <col min="13841" max="13841" width="16.1796875" style="40" bestFit="1" customWidth="1"/>
    <col min="13842" max="13842" width="9.54296875" style="40" bestFit="1" customWidth="1"/>
    <col min="13843" max="13843" width="14" style="40" bestFit="1" customWidth="1"/>
    <col min="13844" max="14077" width="9.1796875" style="40" customWidth="1"/>
    <col min="14078" max="14078" width="46.54296875" style="40" customWidth="1"/>
    <col min="14079" max="14079" width="32.453125" style="40" customWidth="1"/>
    <col min="14080" max="14080" width="22.7265625" style="40"/>
    <col min="14081" max="14081" width="52" style="40" bestFit="1" customWidth="1"/>
    <col min="14082" max="14082" width="33.54296875" style="40" bestFit="1" customWidth="1"/>
    <col min="14083" max="14083" width="18.26953125" style="40" bestFit="1" customWidth="1"/>
    <col min="14084" max="14085" width="23.453125" style="40" bestFit="1" customWidth="1"/>
    <col min="14086" max="14086" width="14.1796875" style="40" bestFit="1" customWidth="1"/>
    <col min="14087" max="14087" width="15.26953125" style="40" bestFit="1" customWidth="1"/>
    <col min="14088" max="14088" width="57.81640625" style="40" customWidth="1"/>
    <col min="14089" max="14089" width="27.26953125" style="40" customWidth="1"/>
    <col min="14090" max="14091" width="9.1796875" style="40" customWidth="1"/>
    <col min="14092" max="14092" width="10.7265625" style="40" customWidth="1"/>
    <col min="14093" max="14093" width="40.7265625" style="40" bestFit="1" customWidth="1"/>
    <col min="14094" max="14094" width="12.26953125" style="40" bestFit="1" customWidth="1"/>
    <col min="14095" max="14095" width="12.453125" style="40" bestFit="1" customWidth="1"/>
    <col min="14096" max="14096" width="11.7265625" style="40" bestFit="1" customWidth="1"/>
    <col min="14097" max="14097" width="16.1796875" style="40" bestFit="1" customWidth="1"/>
    <col min="14098" max="14098" width="9.54296875" style="40" bestFit="1" customWidth="1"/>
    <col min="14099" max="14099" width="14" style="40" bestFit="1" customWidth="1"/>
    <col min="14100" max="14333" width="9.1796875" style="40" customWidth="1"/>
    <col min="14334" max="14334" width="46.54296875" style="40" customWidth="1"/>
    <col min="14335" max="14335" width="32.453125" style="40" customWidth="1"/>
    <col min="14336" max="14336" width="22.7265625" style="40"/>
    <col min="14337" max="14337" width="52" style="40" bestFit="1" customWidth="1"/>
    <col min="14338" max="14338" width="33.54296875" style="40" bestFit="1" customWidth="1"/>
    <col min="14339" max="14339" width="18.26953125" style="40" bestFit="1" customWidth="1"/>
    <col min="14340" max="14341" width="23.453125" style="40" bestFit="1" customWidth="1"/>
    <col min="14342" max="14342" width="14.1796875" style="40" bestFit="1" customWidth="1"/>
    <col min="14343" max="14343" width="15.26953125" style="40" bestFit="1" customWidth="1"/>
    <col min="14344" max="14344" width="57.81640625" style="40" customWidth="1"/>
    <col min="14345" max="14345" width="27.26953125" style="40" customWidth="1"/>
    <col min="14346" max="14347" width="9.1796875" style="40" customWidth="1"/>
    <col min="14348" max="14348" width="10.7265625" style="40" customWidth="1"/>
    <col min="14349" max="14349" width="40.7265625" style="40" bestFit="1" customWidth="1"/>
    <col min="14350" max="14350" width="12.26953125" style="40" bestFit="1" customWidth="1"/>
    <col min="14351" max="14351" width="12.453125" style="40" bestFit="1" customWidth="1"/>
    <col min="14352" max="14352" width="11.7265625" style="40" bestFit="1" customWidth="1"/>
    <col min="14353" max="14353" width="16.1796875" style="40" bestFit="1" customWidth="1"/>
    <col min="14354" max="14354" width="9.54296875" style="40" bestFit="1" customWidth="1"/>
    <col min="14355" max="14355" width="14" style="40" bestFit="1" customWidth="1"/>
    <col min="14356" max="14589" width="9.1796875" style="40" customWidth="1"/>
    <col min="14590" max="14590" width="46.54296875" style="40" customWidth="1"/>
    <col min="14591" max="14591" width="32.453125" style="40" customWidth="1"/>
    <col min="14592" max="14592" width="22.7265625" style="40"/>
    <col min="14593" max="14593" width="52" style="40" bestFit="1" customWidth="1"/>
    <col min="14594" max="14594" width="33.54296875" style="40" bestFit="1" customWidth="1"/>
    <col min="14595" max="14595" width="18.26953125" style="40" bestFit="1" customWidth="1"/>
    <col min="14596" max="14597" width="23.453125" style="40" bestFit="1" customWidth="1"/>
    <col min="14598" max="14598" width="14.1796875" style="40" bestFit="1" customWidth="1"/>
    <col min="14599" max="14599" width="15.26953125" style="40" bestFit="1" customWidth="1"/>
    <col min="14600" max="14600" width="57.81640625" style="40" customWidth="1"/>
    <col min="14601" max="14601" width="27.26953125" style="40" customWidth="1"/>
    <col min="14602" max="14603" width="9.1796875" style="40" customWidth="1"/>
    <col min="14604" max="14604" width="10.7265625" style="40" customWidth="1"/>
    <col min="14605" max="14605" width="40.7265625" style="40" bestFit="1" customWidth="1"/>
    <col min="14606" max="14606" width="12.26953125" style="40" bestFit="1" customWidth="1"/>
    <col min="14607" max="14607" width="12.453125" style="40" bestFit="1" customWidth="1"/>
    <col min="14608" max="14608" width="11.7265625" style="40" bestFit="1" customWidth="1"/>
    <col min="14609" max="14609" width="16.1796875" style="40" bestFit="1" customWidth="1"/>
    <col min="14610" max="14610" width="9.54296875" style="40" bestFit="1" customWidth="1"/>
    <col min="14611" max="14611" width="14" style="40" bestFit="1" customWidth="1"/>
    <col min="14612" max="14845" width="9.1796875" style="40" customWidth="1"/>
    <col min="14846" max="14846" width="46.54296875" style="40" customWidth="1"/>
    <col min="14847" max="14847" width="32.453125" style="40" customWidth="1"/>
    <col min="14848" max="14848" width="22.7265625" style="40"/>
    <col min="14849" max="14849" width="52" style="40" bestFit="1" customWidth="1"/>
    <col min="14850" max="14850" width="33.54296875" style="40" bestFit="1" customWidth="1"/>
    <col min="14851" max="14851" width="18.26953125" style="40" bestFit="1" customWidth="1"/>
    <col min="14852" max="14853" width="23.453125" style="40" bestFit="1" customWidth="1"/>
    <col min="14854" max="14854" width="14.1796875" style="40" bestFit="1" customWidth="1"/>
    <col min="14855" max="14855" width="15.26953125" style="40" bestFit="1" customWidth="1"/>
    <col min="14856" max="14856" width="57.81640625" style="40" customWidth="1"/>
    <col min="14857" max="14857" width="27.26953125" style="40" customWidth="1"/>
    <col min="14858" max="14859" width="9.1796875" style="40" customWidth="1"/>
    <col min="14860" max="14860" width="10.7265625" style="40" customWidth="1"/>
    <col min="14861" max="14861" width="40.7265625" style="40" bestFit="1" customWidth="1"/>
    <col min="14862" max="14862" width="12.26953125" style="40" bestFit="1" customWidth="1"/>
    <col min="14863" max="14863" width="12.453125" style="40" bestFit="1" customWidth="1"/>
    <col min="14864" max="14864" width="11.7265625" style="40" bestFit="1" customWidth="1"/>
    <col min="14865" max="14865" width="16.1796875" style="40" bestFit="1" customWidth="1"/>
    <col min="14866" max="14866" width="9.54296875" style="40" bestFit="1" customWidth="1"/>
    <col min="14867" max="14867" width="14" style="40" bestFit="1" customWidth="1"/>
    <col min="14868" max="15101" width="9.1796875" style="40" customWidth="1"/>
    <col min="15102" max="15102" width="46.54296875" style="40" customWidth="1"/>
    <col min="15103" max="15103" width="32.453125" style="40" customWidth="1"/>
    <col min="15104" max="15104" width="22.7265625" style="40"/>
    <col min="15105" max="15105" width="52" style="40" bestFit="1" customWidth="1"/>
    <col min="15106" max="15106" width="33.54296875" style="40" bestFit="1" customWidth="1"/>
    <col min="15107" max="15107" width="18.26953125" style="40" bestFit="1" customWidth="1"/>
    <col min="15108" max="15109" width="23.453125" style="40" bestFit="1" customWidth="1"/>
    <col min="15110" max="15110" width="14.1796875" style="40" bestFit="1" customWidth="1"/>
    <col min="15111" max="15111" width="15.26953125" style="40" bestFit="1" customWidth="1"/>
    <col min="15112" max="15112" width="57.81640625" style="40" customWidth="1"/>
    <col min="15113" max="15113" width="27.26953125" style="40" customWidth="1"/>
    <col min="15114" max="15115" width="9.1796875" style="40" customWidth="1"/>
    <col min="15116" max="15116" width="10.7265625" style="40" customWidth="1"/>
    <col min="15117" max="15117" width="40.7265625" style="40" bestFit="1" customWidth="1"/>
    <col min="15118" max="15118" width="12.26953125" style="40" bestFit="1" customWidth="1"/>
    <col min="15119" max="15119" width="12.453125" style="40" bestFit="1" customWidth="1"/>
    <col min="15120" max="15120" width="11.7265625" style="40" bestFit="1" customWidth="1"/>
    <col min="15121" max="15121" width="16.1796875" style="40" bestFit="1" customWidth="1"/>
    <col min="15122" max="15122" width="9.54296875" style="40" bestFit="1" customWidth="1"/>
    <col min="15123" max="15123" width="14" style="40" bestFit="1" customWidth="1"/>
    <col min="15124" max="15357" width="9.1796875" style="40" customWidth="1"/>
    <col min="15358" max="15358" width="46.54296875" style="40" customWidth="1"/>
    <col min="15359" max="15359" width="32.453125" style="40" customWidth="1"/>
    <col min="15360" max="15360" width="22.7265625" style="40"/>
    <col min="15361" max="15361" width="52" style="40" bestFit="1" customWidth="1"/>
    <col min="15362" max="15362" width="33.54296875" style="40" bestFit="1" customWidth="1"/>
    <col min="15363" max="15363" width="18.26953125" style="40" bestFit="1" customWidth="1"/>
    <col min="15364" max="15365" width="23.453125" style="40" bestFit="1" customWidth="1"/>
    <col min="15366" max="15366" width="14.1796875" style="40" bestFit="1" customWidth="1"/>
    <col min="15367" max="15367" width="15.26953125" style="40" bestFit="1" customWidth="1"/>
    <col min="15368" max="15368" width="57.81640625" style="40" customWidth="1"/>
    <col min="15369" max="15369" width="27.26953125" style="40" customWidth="1"/>
    <col min="15370" max="15371" width="9.1796875" style="40" customWidth="1"/>
    <col min="15372" max="15372" width="10.7265625" style="40" customWidth="1"/>
    <col min="15373" max="15373" width="40.7265625" style="40" bestFit="1" customWidth="1"/>
    <col min="15374" max="15374" width="12.26953125" style="40" bestFit="1" customWidth="1"/>
    <col min="15375" max="15375" width="12.453125" style="40" bestFit="1" customWidth="1"/>
    <col min="15376" max="15376" width="11.7265625" style="40" bestFit="1" customWidth="1"/>
    <col min="15377" max="15377" width="16.1796875" style="40" bestFit="1" customWidth="1"/>
    <col min="15378" max="15378" width="9.54296875" style="40" bestFit="1" customWidth="1"/>
    <col min="15379" max="15379" width="14" style="40" bestFit="1" customWidth="1"/>
    <col min="15380" max="15613" width="9.1796875" style="40" customWidth="1"/>
    <col min="15614" max="15614" width="46.54296875" style="40" customWidth="1"/>
    <col min="15615" max="15615" width="32.453125" style="40" customWidth="1"/>
    <col min="15616" max="15616" width="22.7265625" style="40"/>
    <col min="15617" max="15617" width="52" style="40" bestFit="1" customWidth="1"/>
    <col min="15618" max="15618" width="33.54296875" style="40" bestFit="1" customWidth="1"/>
    <col min="15619" max="15619" width="18.26953125" style="40" bestFit="1" customWidth="1"/>
    <col min="15620" max="15621" width="23.453125" style="40" bestFit="1" customWidth="1"/>
    <col min="15622" max="15622" width="14.1796875" style="40" bestFit="1" customWidth="1"/>
    <col min="15623" max="15623" width="15.26953125" style="40" bestFit="1" customWidth="1"/>
    <col min="15624" max="15624" width="57.81640625" style="40" customWidth="1"/>
    <col min="15625" max="15625" width="27.26953125" style="40" customWidth="1"/>
    <col min="15626" max="15627" width="9.1796875" style="40" customWidth="1"/>
    <col min="15628" max="15628" width="10.7265625" style="40" customWidth="1"/>
    <col min="15629" max="15629" width="40.7265625" style="40" bestFit="1" customWidth="1"/>
    <col min="15630" max="15630" width="12.26953125" style="40" bestFit="1" customWidth="1"/>
    <col min="15631" max="15631" width="12.453125" style="40" bestFit="1" customWidth="1"/>
    <col min="15632" max="15632" width="11.7265625" style="40" bestFit="1" customWidth="1"/>
    <col min="15633" max="15633" width="16.1796875" style="40" bestFit="1" customWidth="1"/>
    <col min="15634" max="15634" width="9.54296875" style="40" bestFit="1" customWidth="1"/>
    <col min="15635" max="15635" width="14" style="40" bestFit="1" customWidth="1"/>
    <col min="15636" max="15869" width="9.1796875" style="40" customWidth="1"/>
    <col min="15870" max="15870" width="46.54296875" style="40" customWidth="1"/>
    <col min="15871" max="15871" width="32.453125" style="40" customWidth="1"/>
    <col min="15872" max="15872" width="22.7265625" style="40"/>
    <col min="15873" max="15873" width="52" style="40" bestFit="1" customWidth="1"/>
    <col min="15874" max="15874" width="33.54296875" style="40" bestFit="1" customWidth="1"/>
    <col min="15875" max="15875" width="18.26953125" style="40" bestFit="1" customWidth="1"/>
    <col min="15876" max="15877" width="23.453125" style="40" bestFit="1" customWidth="1"/>
    <col min="15878" max="15878" width="14.1796875" style="40" bestFit="1" customWidth="1"/>
    <col min="15879" max="15879" width="15.26953125" style="40" bestFit="1" customWidth="1"/>
    <col min="15880" max="15880" width="57.81640625" style="40" customWidth="1"/>
    <col min="15881" max="15881" width="27.26953125" style="40" customWidth="1"/>
    <col min="15882" max="15883" width="9.1796875" style="40" customWidth="1"/>
    <col min="15884" max="15884" width="10.7265625" style="40" customWidth="1"/>
    <col min="15885" max="15885" width="40.7265625" style="40" bestFit="1" customWidth="1"/>
    <col min="15886" max="15886" width="12.26953125" style="40" bestFit="1" customWidth="1"/>
    <col min="15887" max="15887" width="12.453125" style="40" bestFit="1" customWidth="1"/>
    <col min="15888" max="15888" width="11.7265625" style="40" bestFit="1" customWidth="1"/>
    <col min="15889" max="15889" width="16.1796875" style="40" bestFit="1" customWidth="1"/>
    <col min="15890" max="15890" width="9.54296875" style="40" bestFit="1" customWidth="1"/>
    <col min="15891" max="15891" width="14" style="40" bestFit="1" customWidth="1"/>
    <col min="15892" max="16125" width="9.1796875" style="40" customWidth="1"/>
    <col min="16126" max="16126" width="46.54296875" style="40" customWidth="1"/>
    <col min="16127" max="16127" width="32.453125" style="40" customWidth="1"/>
    <col min="16128" max="16128" width="22.7265625" style="40"/>
    <col min="16129" max="16129" width="52" style="40" bestFit="1" customWidth="1"/>
    <col min="16130" max="16130" width="33.54296875" style="40" bestFit="1" customWidth="1"/>
    <col min="16131" max="16131" width="18.26953125" style="40" bestFit="1" customWidth="1"/>
    <col min="16132" max="16133" width="23.453125" style="40" bestFit="1" customWidth="1"/>
    <col min="16134" max="16134" width="14.1796875" style="40" bestFit="1" customWidth="1"/>
    <col min="16135" max="16135" width="15.26953125" style="40" bestFit="1" customWidth="1"/>
    <col min="16136" max="16136" width="57.81640625" style="40" customWidth="1"/>
    <col min="16137" max="16137" width="27.26953125" style="40" customWidth="1"/>
    <col min="16138" max="16139" width="9.1796875" style="40" customWidth="1"/>
    <col min="16140" max="16140" width="10.7265625" style="40" customWidth="1"/>
    <col min="16141" max="16141" width="40.7265625" style="40" bestFit="1" customWidth="1"/>
    <col min="16142" max="16142" width="12.26953125" style="40" bestFit="1" customWidth="1"/>
    <col min="16143" max="16143" width="12.453125" style="40" bestFit="1" customWidth="1"/>
    <col min="16144" max="16144" width="11.7265625" style="40" bestFit="1" customWidth="1"/>
    <col min="16145" max="16145" width="16.1796875" style="40" bestFit="1" customWidth="1"/>
    <col min="16146" max="16146" width="9.54296875" style="40" bestFit="1" customWidth="1"/>
    <col min="16147" max="16147" width="14" style="40" bestFit="1" customWidth="1"/>
    <col min="16148" max="16381" width="9.1796875" style="40" customWidth="1"/>
    <col min="16382" max="16382" width="46.54296875" style="40" customWidth="1"/>
    <col min="16383" max="16383" width="32.453125" style="40" customWidth="1"/>
    <col min="16384" max="16384" width="22.7265625" style="40"/>
  </cols>
  <sheetData>
    <row r="2" spans="1:19" x14ac:dyDescent="0.35">
      <c r="F2" s="72"/>
    </row>
    <row r="3" spans="1:19" x14ac:dyDescent="0.35">
      <c r="A3" s="71" t="s">
        <v>580</v>
      </c>
      <c r="B3" s="71"/>
      <c r="C3" s="71"/>
      <c r="D3" s="71"/>
      <c r="E3" s="71"/>
      <c r="F3" s="71"/>
    </row>
    <row r="5" spans="1:19" x14ac:dyDescent="0.35">
      <c r="A5" s="40" t="s">
        <v>579</v>
      </c>
    </row>
    <row r="7" spans="1:19" ht="15.75" customHeight="1" x14ac:dyDescent="0.35">
      <c r="A7" s="42" t="s">
        <v>578</v>
      </c>
      <c r="B7" s="42"/>
      <c r="C7" s="42"/>
      <c r="D7" s="42"/>
      <c r="E7" s="42"/>
      <c r="F7" s="42"/>
    </row>
    <row r="8" spans="1:19" s="69" customFormat="1" ht="46.5" x14ac:dyDescent="0.35">
      <c r="A8" s="52" t="s">
        <v>577</v>
      </c>
      <c r="B8" s="57" t="s">
        <v>576</v>
      </c>
      <c r="C8" s="57" t="s">
        <v>575</v>
      </c>
      <c r="D8" s="57" t="s">
        <v>574</v>
      </c>
      <c r="E8" s="57" t="s">
        <v>573</v>
      </c>
      <c r="F8" s="57" t="s">
        <v>572</v>
      </c>
      <c r="G8" s="70" t="s">
        <v>571</v>
      </c>
    </row>
    <row r="9" spans="1:19" x14ac:dyDescent="0.35">
      <c r="A9" s="51" t="s">
        <v>570</v>
      </c>
      <c r="B9" s="51" t="s">
        <v>49</v>
      </c>
      <c r="C9" s="68">
        <v>-294000</v>
      </c>
      <c r="D9" s="67">
        <v>1227.6963944897959</v>
      </c>
      <c r="E9" s="66">
        <v>1235.2</v>
      </c>
      <c r="F9" s="66">
        <v>1081.6848</v>
      </c>
      <c r="G9" s="65">
        <f>(C9*E9)/100000</f>
        <v>-3631.4879999999998</v>
      </c>
      <c r="H9" s="44"/>
      <c r="N9" s="44"/>
      <c r="O9" s="44"/>
      <c r="P9" s="44"/>
      <c r="Q9" s="44"/>
      <c r="S9" s="44"/>
    </row>
    <row r="10" spans="1:19" x14ac:dyDescent="0.35">
      <c r="A10" s="51" t="s">
        <v>569</v>
      </c>
      <c r="B10" s="51" t="s">
        <v>84</v>
      </c>
      <c r="C10" s="68">
        <v>-626961</v>
      </c>
      <c r="D10" s="67">
        <v>2291.0201635667927</v>
      </c>
      <c r="E10" s="66">
        <v>2421.8000000000002</v>
      </c>
      <c r="F10" s="66">
        <v>3855.2772332</v>
      </c>
      <c r="G10" s="65">
        <f>(C10*E10)/100000</f>
        <v>-15183.741498000001</v>
      </c>
      <c r="H10" s="44"/>
      <c r="N10" s="44"/>
      <c r="O10" s="44"/>
      <c r="P10" s="44"/>
      <c r="Q10" s="44"/>
      <c r="S10" s="44"/>
    </row>
    <row r="11" spans="1:19" x14ac:dyDescent="0.35">
      <c r="A11" s="51" t="s">
        <v>568</v>
      </c>
      <c r="B11" s="51" t="s">
        <v>49</v>
      </c>
      <c r="C11" s="68">
        <v>-216550</v>
      </c>
      <c r="D11" s="67">
        <v>178.77830002308934</v>
      </c>
      <c r="E11" s="66">
        <v>223.38</v>
      </c>
      <c r="F11" s="66">
        <v>128.14064740000001</v>
      </c>
      <c r="G11" s="65">
        <f>(C11*E11)/100000</f>
        <v>-483.72939000000002</v>
      </c>
      <c r="H11" s="44"/>
      <c r="N11" s="44"/>
      <c r="O11" s="44"/>
      <c r="P11" s="44"/>
      <c r="Q11" s="44"/>
      <c r="S11" s="44"/>
    </row>
    <row r="12" spans="1:19" x14ac:dyDescent="0.35">
      <c r="A12" s="51" t="s">
        <v>567</v>
      </c>
      <c r="B12" s="51" t="s">
        <v>49</v>
      </c>
      <c r="C12" s="68">
        <v>-414450</v>
      </c>
      <c r="D12" s="67">
        <v>1328.33925571239</v>
      </c>
      <c r="E12" s="66">
        <v>1350.7</v>
      </c>
      <c r="F12" s="66">
        <v>2892.5232232999997</v>
      </c>
      <c r="G12" s="65">
        <f>(C12*E12)/100000</f>
        <v>-5597.9761500000004</v>
      </c>
      <c r="H12" s="44"/>
      <c r="N12" s="44"/>
      <c r="O12" s="44"/>
      <c r="P12" s="44"/>
      <c r="Q12" s="44"/>
      <c r="S12" s="44"/>
    </row>
    <row r="13" spans="1:19" x14ac:dyDescent="0.35">
      <c r="A13" s="51" t="s">
        <v>566</v>
      </c>
      <c r="B13" s="51" t="s">
        <v>65</v>
      </c>
      <c r="C13" s="68">
        <v>-46500</v>
      </c>
      <c r="D13" s="67">
        <v>356.19</v>
      </c>
      <c r="E13" s="66">
        <v>350.1</v>
      </c>
      <c r="F13" s="66">
        <v>2526.9850492999999</v>
      </c>
      <c r="G13" s="65">
        <f>(C13*E13)/100000</f>
        <v>-162.79650000000001</v>
      </c>
      <c r="H13" s="44"/>
      <c r="N13" s="44"/>
      <c r="O13" s="44"/>
      <c r="P13" s="44"/>
      <c r="Q13" s="44"/>
      <c r="S13" s="44"/>
    </row>
    <row r="14" spans="1:19" x14ac:dyDescent="0.35">
      <c r="A14" s="51" t="s">
        <v>566</v>
      </c>
      <c r="B14" s="51" t="s">
        <v>65</v>
      </c>
      <c r="C14" s="68">
        <v>-1925100</v>
      </c>
      <c r="D14" s="67">
        <v>343.17076280193237</v>
      </c>
      <c r="E14" s="66">
        <v>347.55</v>
      </c>
      <c r="F14" s="66">
        <v>2526.9850492999999</v>
      </c>
      <c r="G14" s="65">
        <f>(C14*E14)/100000</f>
        <v>-6690.68505</v>
      </c>
      <c r="H14" s="44"/>
      <c r="N14" s="44"/>
      <c r="O14" s="44"/>
      <c r="P14" s="44"/>
      <c r="Q14" s="44"/>
      <c r="S14" s="44"/>
    </row>
    <row r="15" spans="1:19" x14ac:dyDescent="0.35">
      <c r="A15" s="51" t="s">
        <v>325</v>
      </c>
      <c r="B15" s="51" t="s">
        <v>70</v>
      </c>
      <c r="C15" s="68">
        <v>-130000</v>
      </c>
      <c r="D15" s="67">
        <v>320.53960000000001</v>
      </c>
      <c r="E15" s="66">
        <v>310.38</v>
      </c>
      <c r="F15" s="66">
        <v>116.884495</v>
      </c>
      <c r="G15" s="65">
        <f>(C15*E15)/100000</f>
        <v>-403.49400000000003</v>
      </c>
      <c r="H15" s="44"/>
      <c r="N15" s="44"/>
      <c r="O15" s="44"/>
      <c r="P15" s="44"/>
      <c r="Q15" s="44"/>
      <c r="S15" s="44"/>
    </row>
    <row r="16" spans="1:19" x14ac:dyDescent="0.35">
      <c r="A16" s="51" t="s">
        <v>123</v>
      </c>
      <c r="B16" s="51" t="s">
        <v>124</v>
      </c>
      <c r="C16" s="68">
        <v>-350</v>
      </c>
      <c r="D16" s="67">
        <v>1998.4</v>
      </c>
      <c r="E16" s="66">
        <v>1931.7</v>
      </c>
      <c r="F16" s="66">
        <v>2070.2364393000003</v>
      </c>
      <c r="G16" s="65">
        <f>(C16*E16)/100000</f>
        <v>-6.7609500000000002</v>
      </c>
      <c r="H16" s="44"/>
      <c r="N16" s="44"/>
      <c r="O16" s="44"/>
      <c r="P16" s="44"/>
      <c r="Q16" s="44"/>
      <c r="S16" s="44"/>
    </row>
    <row r="17" spans="1:19" x14ac:dyDescent="0.35">
      <c r="A17" s="51" t="s">
        <v>123</v>
      </c>
      <c r="B17" s="51" t="s">
        <v>124</v>
      </c>
      <c r="C17" s="68">
        <v>-539700</v>
      </c>
      <c r="D17" s="67">
        <v>2049.9272296460995</v>
      </c>
      <c r="E17" s="66">
        <v>1916.3</v>
      </c>
      <c r="F17" s="66">
        <v>2070.2364393000003</v>
      </c>
      <c r="G17" s="65">
        <f>(C17*E17)/100000</f>
        <v>-10342.2711</v>
      </c>
      <c r="H17" s="44"/>
      <c r="N17" s="44"/>
      <c r="O17" s="44"/>
      <c r="P17" s="44"/>
      <c r="Q17" s="44"/>
      <c r="S17" s="44"/>
    </row>
    <row r="18" spans="1:19" x14ac:dyDescent="0.35">
      <c r="A18" s="51" t="s">
        <v>118</v>
      </c>
      <c r="B18" s="51" t="s">
        <v>119</v>
      </c>
      <c r="C18" s="68">
        <v>-11750</v>
      </c>
      <c r="D18" s="67">
        <v>7768.0265421276599</v>
      </c>
      <c r="E18" s="66">
        <v>7727</v>
      </c>
      <c r="F18" s="66">
        <v>1907.3230874999999</v>
      </c>
      <c r="G18" s="65">
        <f>(C18*E18)/100000</f>
        <v>-907.92250000000001</v>
      </c>
      <c r="H18" s="44"/>
      <c r="N18" s="44"/>
      <c r="O18" s="44"/>
      <c r="P18" s="44"/>
      <c r="Q18" s="44"/>
      <c r="S18" s="44"/>
    </row>
    <row r="19" spans="1:19" x14ac:dyDescent="0.35">
      <c r="A19" s="51" t="s">
        <v>118</v>
      </c>
      <c r="B19" s="51" t="s">
        <v>119</v>
      </c>
      <c r="C19" s="68">
        <v>-127875</v>
      </c>
      <c r="D19" s="67">
        <v>7773.6373252003914</v>
      </c>
      <c r="E19" s="66">
        <v>7679.5</v>
      </c>
      <c r="F19" s="66">
        <v>1907.3230874999999</v>
      </c>
      <c r="G19" s="65">
        <f>(C19*E19)/100000</f>
        <v>-9820.1606250000004</v>
      </c>
      <c r="H19" s="44"/>
      <c r="N19" s="44"/>
      <c r="O19" s="44"/>
      <c r="P19" s="44"/>
      <c r="Q19" s="44"/>
      <c r="S19" s="44"/>
    </row>
    <row r="20" spans="1:19" x14ac:dyDescent="0.35">
      <c r="A20" s="51" t="s">
        <v>349</v>
      </c>
      <c r="B20" s="51" t="s">
        <v>62</v>
      </c>
      <c r="C20" s="68">
        <v>-1000</v>
      </c>
      <c r="D20" s="67">
        <v>33542.125</v>
      </c>
      <c r="E20" s="66">
        <v>33725</v>
      </c>
      <c r="F20" s="66">
        <v>95.187899999999999</v>
      </c>
      <c r="G20" s="65">
        <f>(C20*E20)/100000</f>
        <v>-337.25</v>
      </c>
      <c r="H20" s="44"/>
      <c r="N20" s="44"/>
      <c r="O20" s="44"/>
      <c r="P20" s="44"/>
      <c r="Q20" s="44"/>
      <c r="S20" s="44"/>
    </row>
    <row r="21" spans="1:19" x14ac:dyDescent="0.35">
      <c r="A21" s="51" t="s">
        <v>565</v>
      </c>
      <c r="B21" s="51" t="s">
        <v>52</v>
      </c>
      <c r="C21" s="68">
        <v>-256000</v>
      </c>
      <c r="D21" s="67">
        <v>2424.2943450781249</v>
      </c>
      <c r="E21" s="66">
        <v>2457.1999999999998</v>
      </c>
      <c r="F21" s="66">
        <v>1111.5968</v>
      </c>
      <c r="G21" s="65">
        <f>(C21*E21)/100000</f>
        <v>-6290.4319999999998</v>
      </c>
      <c r="H21" s="44"/>
      <c r="N21" s="44"/>
      <c r="O21" s="44"/>
      <c r="P21" s="44"/>
      <c r="Q21" s="44"/>
      <c r="S21" s="44"/>
    </row>
    <row r="22" spans="1:19" x14ac:dyDescent="0.35">
      <c r="A22" s="51" t="s">
        <v>564</v>
      </c>
      <c r="B22" s="51" t="s">
        <v>22</v>
      </c>
      <c r="C22" s="68">
        <v>-227000</v>
      </c>
      <c r="D22" s="67">
        <v>1041.313203524229</v>
      </c>
      <c r="E22" s="66">
        <v>1021.15</v>
      </c>
      <c r="F22" s="66">
        <v>473.82618000000002</v>
      </c>
      <c r="G22" s="65">
        <f>(C22*E22)/100000</f>
        <v>-2318.0104999999999</v>
      </c>
      <c r="H22" s="44"/>
      <c r="N22" s="44"/>
      <c r="O22" s="44"/>
      <c r="P22" s="44"/>
      <c r="Q22" s="44"/>
      <c r="S22" s="44"/>
    </row>
    <row r="23" spans="1:19" x14ac:dyDescent="0.35">
      <c r="A23" s="51" t="s">
        <v>225</v>
      </c>
      <c r="B23" s="51" t="s">
        <v>87</v>
      </c>
      <c r="C23" s="68">
        <v>-223300</v>
      </c>
      <c r="D23" s="67">
        <v>1388.0608091356919</v>
      </c>
      <c r="E23" s="66">
        <v>1396.4</v>
      </c>
      <c r="F23" s="66">
        <v>1037.4439844999999</v>
      </c>
      <c r="G23" s="65">
        <f>(C23*E23)/100000</f>
        <v>-3118.1612</v>
      </c>
      <c r="H23" s="44"/>
      <c r="N23" s="44"/>
      <c r="O23" s="44"/>
      <c r="P23" s="44"/>
      <c r="Q23" s="44"/>
      <c r="S23" s="44"/>
    </row>
    <row r="24" spans="1:19" x14ac:dyDescent="0.35">
      <c r="A24" s="51" t="s">
        <v>174</v>
      </c>
      <c r="B24" s="51" t="s">
        <v>65</v>
      </c>
      <c r="C24" s="68">
        <v>-57750</v>
      </c>
      <c r="D24" s="67">
        <v>950.63630008658004</v>
      </c>
      <c r="E24" s="66">
        <v>942.2</v>
      </c>
      <c r="F24" s="66">
        <v>919.19057810000004</v>
      </c>
      <c r="G24" s="65">
        <f>(C24*E24)/100000</f>
        <v>-544.12049999999999</v>
      </c>
      <c r="H24" s="44"/>
      <c r="N24" s="44"/>
      <c r="O24" s="44"/>
      <c r="P24" s="44"/>
      <c r="Q24" s="44"/>
      <c r="S24" s="44"/>
    </row>
    <row r="25" spans="1:19" x14ac:dyDescent="0.35">
      <c r="A25" s="51" t="s">
        <v>174</v>
      </c>
      <c r="B25" s="51" t="s">
        <v>65</v>
      </c>
      <c r="C25" s="68">
        <v>-452250</v>
      </c>
      <c r="D25" s="67">
        <v>939.66562788280817</v>
      </c>
      <c r="E25" s="66">
        <v>942.35</v>
      </c>
      <c r="F25" s="66">
        <v>919.19057810000004</v>
      </c>
      <c r="G25" s="65">
        <f>(C25*E25)/100000</f>
        <v>-4261.7778749999998</v>
      </c>
      <c r="H25" s="44"/>
      <c r="N25" s="44"/>
      <c r="O25" s="44"/>
      <c r="P25" s="44"/>
      <c r="Q25" s="44"/>
      <c r="S25" s="44"/>
    </row>
    <row r="26" spans="1:19" x14ac:dyDescent="0.35">
      <c r="A26" s="51" t="s">
        <v>100</v>
      </c>
      <c r="B26" s="51" t="s">
        <v>22</v>
      </c>
      <c r="C26" s="68">
        <v>-503100</v>
      </c>
      <c r="D26" s="67">
        <v>268.32365639037965</v>
      </c>
      <c r="E26" s="66">
        <v>266.68</v>
      </c>
      <c r="F26" s="66">
        <v>2507.7955953000001</v>
      </c>
      <c r="G26" s="65">
        <f>(C26*E26)/100000</f>
        <v>-1341.6670799999999</v>
      </c>
      <c r="H26" s="44"/>
      <c r="N26" s="44"/>
      <c r="O26" s="44"/>
      <c r="P26" s="44"/>
      <c r="Q26" s="44"/>
      <c r="S26" s="44"/>
    </row>
    <row r="27" spans="1:19" x14ac:dyDescent="0.35">
      <c r="A27" s="51" t="s">
        <v>100</v>
      </c>
      <c r="B27" s="51" t="s">
        <v>22</v>
      </c>
      <c r="C27" s="68">
        <v>-4226625</v>
      </c>
      <c r="D27" s="67">
        <v>274.35736187146955</v>
      </c>
      <c r="E27" s="66">
        <v>265.10000000000002</v>
      </c>
      <c r="F27" s="66">
        <v>2507.7955953000001</v>
      </c>
      <c r="G27" s="65">
        <f>(C27*E27)/100000</f>
        <v>-11204.782875000001</v>
      </c>
      <c r="H27" s="44"/>
      <c r="N27" s="44"/>
      <c r="O27" s="44"/>
      <c r="P27" s="44"/>
      <c r="Q27" s="44"/>
      <c r="S27" s="44"/>
    </row>
    <row r="28" spans="1:19" x14ac:dyDescent="0.35">
      <c r="A28" s="51" t="s">
        <v>75</v>
      </c>
      <c r="B28" s="51" t="s">
        <v>65</v>
      </c>
      <c r="C28" s="68">
        <v>-17000</v>
      </c>
      <c r="D28" s="67">
        <v>1793.2455223529412</v>
      </c>
      <c r="E28" s="66">
        <v>1764.1</v>
      </c>
      <c r="F28" s="66">
        <v>2974.2006000000001</v>
      </c>
      <c r="G28" s="65">
        <f>(C28*E28)/100000</f>
        <v>-299.89699999999999</v>
      </c>
      <c r="H28" s="44"/>
      <c r="N28" s="44"/>
      <c r="O28" s="44"/>
      <c r="P28" s="44"/>
      <c r="Q28" s="44"/>
      <c r="S28" s="44"/>
    </row>
    <row r="29" spans="1:19" x14ac:dyDescent="0.35">
      <c r="A29" s="51" t="s">
        <v>75</v>
      </c>
      <c r="B29" s="51" t="s">
        <v>65</v>
      </c>
      <c r="C29" s="68">
        <v>-935250</v>
      </c>
      <c r="D29" s="67">
        <v>1777.0640261641272</v>
      </c>
      <c r="E29" s="66">
        <v>1752.4</v>
      </c>
      <c r="F29" s="66">
        <v>2974.2006000000001</v>
      </c>
      <c r="G29" s="65">
        <f>(C29*E29)/100000</f>
        <v>-16389.321</v>
      </c>
      <c r="H29" s="44"/>
      <c r="N29" s="44"/>
      <c r="O29" s="44"/>
      <c r="P29" s="44"/>
      <c r="Q29" s="44"/>
      <c r="S29" s="44"/>
    </row>
    <row r="30" spans="1:19" x14ac:dyDescent="0.35">
      <c r="A30" s="51" t="s">
        <v>61</v>
      </c>
      <c r="B30" s="51" t="s">
        <v>62</v>
      </c>
      <c r="C30" s="68">
        <v>-154875</v>
      </c>
      <c r="D30" s="67">
        <v>350.46178137207426</v>
      </c>
      <c r="E30" s="66">
        <v>356.28</v>
      </c>
      <c r="F30" s="66">
        <v>6938.2002610999998</v>
      </c>
      <c r="G30" s="65">
        <f>(C30*E30)/100000</f>
        <v>-551.78864999999996</v>
      </c>
      <c r="H30" s="44"/>
      <c r="N30" s="44"/>
      <c r="O30" s="44"/>
      <c r="P30" s="44"/>
      <c r="Q30" s="44"/>
      <c r="S30" s="44"/>
    </row>
    <row r="31" spans="1:19" x14ac:dyDescent="0.35">
      <c r="A31" s="51" t="s">
        <v>61</v>
      </c>
      <c r="B31" s="51" t="s">
        <v>62</v>
      </c>
      <c r="C31" s="68">
        <v>-8045625</v>
      </c>
      <c r="D31" s="67">
        <v>339.2345621228929</v>
      </c>
      <c r="E31" s="66">
        <v>354.52</v>
      </c>
      <c r="F31" s="66">
        <v>6938.2002610999998</v>
      </c>
      <c r="G31" s="65">
        <f>(C31*E31)/100000</f>
        <v>-28523.349750000001</v>
      </c>
      <c r="H31" s="44"/>
      <c r="N31" s="44"/>
      <c r="O31" s="44"/>
      <c r="P31" s="44"/>
      <c r="Q31" s="44"/>
      <c r="S31" s="44"/>
    </row>
    <row r="32" spans="1:19" x14ac:dyDescent="0.35">
      <c r="A32" s="51" t="s">
        <v>198</v>
      </c>
      <c r="B32" s="51" t="s">
        <v>25</v>
      </c>
      <c r="C32" s="68">
        <v>-535225</v>
      </c>
      <c r="D32" s="67">
        <v>309.36360074734927</v>
      </c>
      <c r="E32" s="66">
        <v>304.2</v>
      </c>
      <c r="F32" s="66">
        <v>893.86885930000005</v>
      </c>
      <c r="G32" s="65">
        <f>(C32*E32)/100000</f>
        <v>-1628.15445</v>
      </c>
      <c r="H32" s="44"/>
      <c r="N32" s="44"/>
      <c r="O32" s="44"/>
      <c r="P32" s="44"/>
      <c r="Q32" s="44"/>
    </row>
    <row r="33" spans="1:17" x14ac:dyDescent="0.35">
      <c r="A33" s="51" t="s">
        <v>198</v>
      </c>
      <c r="B33" s="51" t="s">
        <v>25</v>
      </c>
      <c r="C33" s="68">
        <v>-938125</v>
      </c>
      <c r="D33" s="67">
        <v>303.14198041838773</v>
      </c>
      <c r="E33" s="66">
        <v>302.3</v>
      </c>
      <c r="F33" s="66">
        <v>893.86885930000005</v>
      </c>
      <c r="G33" s="65">
        <f>(C33*E33)/100000</f>
        <v>-2835.9518750000002</v>
      </c>
      <c r="H33" s="44"/>
      <c r="N33" s="44"/>
      <c r="O33" s="44"/>
      <c r="P33" s="44"/>
      <c r="Q33" s="44"/>
    </row>
    <row r="34" spans="1:17" x14ac:dyDescent="0.35">
      <c r="A34" s="51" t="s">
        <v>54</v>
      </c>
      <c r="B34" s="51" t="s">
        <v>55</v>
      </c>
      <c r="C34" s="68">
        <v>-1359450</v>
      </c>
      <c r="D34" s="67">
        <v>443.90426624737944</v>
      </c>
      <c r="E34" s="66">
        <v>436.6</v>
      </c>
      <c r="F34" s="66">
        <v>7137.8928940999995</v>
      </c>
      <c r="G34" s="65">
        <f>(C34*E34)/100000</f>
        <v>-5935.3586999999998</v>
      </c>
      <c r="H34" s="44"/>
      <c r="N34" s="44"/>
      <c r="O34" s="44"/>
      <c r="P34" s="44"/>
      <c r="Q34" s="44"/>
    </row>
    <row r="35" spans="1:17" x14ac:dyDescent="0.35">
      <c r="A35" s="51" t="s">
        <v>54</v>
      </c>
      <c r="B35" s="51" t="s">
        <v>55</v>
      </c>
      <c r="C35" s="68">
        <v>-6851400</v>
      </c>
      <c r="D35" s="67">
        <v>440.4718259202499</v>
      </c>
      <c r="E35" s="66">
        <v>433.95</v>
      </c>
      <c r="F35" s="66">
        <v>7137.8928940999995</v>
      </c>
      <c r="G35" s="65">
        <f>(C35*E35)/100000</f>
        <v>-29731.650300000001</v>
      </c>
      <c r="H35" s="44"/>
      <c r="N35" s="44"/>
      <c r="O35" s="44"/>
      <c r="P35" s="44"/>
      <c r="Q35" s="44"/>
    </row>
    <row r="36" spans="1:17" x14ac:dyDescent="0.35">
      <c r="A36" s="51" t="s">
        <v>29</v>
      </c>
      <c r="B36" s="51" t="s">
        <v>30</v>
      </c>
      <c r="C36" s="68">
        <v>-95000</v>
      </c>
      <c r="D36" s="67">
        <v>1858.6219881052632</v>
      </c>
      <c r="E36" s="66">
        <v>1908.1</v>
      </c>
      <c r="F36" s="66">
        <v>11784.7254686</v>
      </c>
      <c r="G36" s="65">
        <f>(C36*E36)/100000</f>
        <v>-1812.6949999999999</v>
      </c>
      <c r="H36" s="44"/>
      <c r="N36" s="44"/>
      <c r="O36" s="44"/>
      <c r="P36" s="44"/>
      <c r="Q36" s="44"/>
    </row>
    <row r="37" spans="1:17" x14ac:dyDescent="0.35">
      <c r="A37" s="51" t="s">
        <v>29</v>
      </c>
      <c r="B37" s="51" t="s">
        <v>30</v>
      </c>
      <c r="C37" s="68">
        <v>-3421425</v>
      </c>
      <c r="D37" s="67">
        <v>1831.7898057359141</v>
      </c>
      <c r="E37" s="66">
        <v>1896.4</v>
      </c>
      <c r="F37" s="66">
        <v>11784.7254686</v>
      </c>
      <c r="G37" s="65">
        <f>(C37*E37)/100000</f>
        <v>-64883.903700000003</v>
      </c>
      <c r="H37" s="44"/>
      <c r="N37" s="44"/>
      <c r="O37" s="44"/>
      <c r="P37" s="44"/>
      <c r="Q37" s="44"/>
    </row>
    <row r="38" spans="1:17" x14ac:dyDescent="0.35">
      <c r="A38" s="51" t="s">
        <v>563</v>
      </c>
      <c r="B38" s="51" t="s">
        <v>65</v>
      </c>
      <c r="C38" s="68">
        <v>-2400</v>
      </c>
      <c r="D38" s="67">
        <v>10313.281187500001</v>
      </c>
      <c r="E38" s="66">
        <v>10336</v>
      </c>
      <c r="F38" s="66">
        <v>50.838000000000001</v>
      </c>
      <c r="G38" s="65">
        <f>(C38*E38)/100000</f>
        <v>-248.06399999999999</v>
      </c>
      <c r="H38" s="44"/>
      <c r="N38" s="44"/>
      <c r="O38" s="44"/>
      <c r="P38" s="44"/>
      <c r="Q38" s="44"/>
    </row>
    <row r="39" spans="1:17" x14ac:dyDescent="0.35">
      <c r="A39" s="51" t="s">
        <v>309</v>
      </c>
      <c r="B39" s="51" t="s">
        <v>87</v>
      </c>
      <c r="C39" s="68">
        <v>-237500</v>
      </c>
      <c r="D39" s="67">
        <v>354.87999473684209</v>
      </c>
      <c r="E39" s="66">
        <v>361.1</v>
      </c>
      <c r="F39" s="66">
        <v>168.3305</v>
      </c>
      <c r="G39" s="65">
        <f>(C39*E39)/100000</f>
        <v>-857.61249999999995</v>
      </c>
      <c r="H39" s="44"/>
      <c r="N39" s="44"/>
      <c r="O39" s="44"/>
      <c r="P39" s="44"/>
      <c r="Q39" s="44"/>
    </row>
    <row r="40" spans="1:17" x14ac:dyDescent="0.35">
      <c r="A40" s="51" t="s">
        <v>252</v>
      </c>
      <c r="B40" s="51" t="s">
        <v>22</v>
      </c>
      <c r="C40" s="68">
        <v>-5200</v>
      </c>
      <c r="D40" s="67">
        <v>148.26</v>
      </c>
      <c r="E40" s="66">
        <v>141.43</v>
      </c>
      <c r="F40" s="66">
        <v>452.16771600000004</v>
      </c>
      <c r="G40" s="65">
        <f>(C40*E40)/100000</f>
        <v>-7.3543599999999998</v>
      </c>
      <c r="H40" s="44"/>
      <c r="N40" s="44"/>
      <c r="O40" s="44"/>
      <c r="P40" s="44"/>
      <c r="Q40" s="44"/>
    </row>
    <row r="41" spans="1:17" x14ac:dyDescent="0.35">
      <c r="A41" s="51" t="s">
        <v>252</v>
      </c>
      <c r="B41" s="51" t="s">
        <v>22</v>
      </c>
      <c r="C41" s="68">
        <v>-1404000</v>
      </c>
      <c r="D41" s="67">
        <v>145.57155666666668</v>
      </c>
      <c r="E41" s="66">
        <v>140.51</v>
      </c>
      <c r="F41" s="66">
        <v>452.16771600000004</v>
      </c>
      <c r="G41" s="65">
        <f>(C41*E41)/100000</f>
        <v>-1972.7603999999999</v>
      </c>
      <c r="H41" s="44"/>
      <c r="N41" s="44"/>
      <c r="O41" s="44"/>
      <c r="P41" s="44"/>
      <c r="Q41" s="44"/>
    </row>
    <row r="42" spans="1:17" x14ac:dyDescent="0.35">
      <c r="A42" s="51" t="s">
        <v>216</v>
      </c>
      <c r="B42" s="51" t="s">
        <v>129</v>
      </c>
      <c r="C42" s="68">
        <v>-26375</v>
      </c>
      <c r="D42" s="67">
        <v>5735.0426536492887</v>
      </c>
      <c r="E42" s="66">
        <v>5787.5</v>
      </c>
      <c r="F42" s="66">
        <v>630.06102190000001</v>
      </c>
      <c r="G42" s="65">
        <f>(C42*E42)/100000</f>
        <v>-1526.453125</v>
      </c>
      <c r="H42" s="44"/>
      <c r="N42" s="44"/>
      <c r="O42" s="44"/>
      <c r="P42" s="44"/>
      <c r="Q42" s="44"/>
    </row>
    <row r="43" spans="1:17" x14ac:dyDescent="0.35">
      <c r="A43" s="51" t="s">
        <v>216</v>
      </c>
      <c r="B43" s="51" t="s">
        <v>129</v>
      </c>
      <c r="C43" s="68">
        <v>-35625</v>
      </c>
      <c r="D43" s="67">
        <v>5716.8245386666667</v>
      </c>
      <c r="E43" s="66">
        <v>5746.5</v>
      </c>
      <c r="F43" s="66">
        <v>630.06102190000001</v>
      </c>
      <c r="G43" s="65">
        <f>(C43*E43)/100000</f>
        <v>-2047.190625</v>
      </c>
      <c r="H43" s="44"/>
      <c r="N43" s="44"/>
      <c r="O43" s="44"/>
      <c r="P43" s="44"/>
      <c r="Q43" s="44"/>
    </row>
    <row r="44" spans="1:17" x14ac:dyDescent="0.35">
      <c r="A44" s="51" t="s">
        <v>562</v>
      </c>
      <c r="B44" s="51" t="s">
        <v>87</v>
      </c>
      <c r="C44" s="68">
        <v>-213300</v>
      </c>
      <c r="D44" s="67">
        <v>930.48814430379741</v>
      </c>
      <c r="E44" s="66">
        <v>897.6</v>
      </c>
      <c r="F44" s="66">
        <v>343.36714049999995</v>
      </c>
      <c r="G44" s="65">
        <f>(C44*E44)/100000</f>
        <v>-1914.5808</v>
      </c>
      <c r="H44" s="44"/>
      <c r="N44" s="44"/>
      <c r="O44" s="44"/>
      <c r="P44" s="44"/>
      <c r="Q44" s="44"/>
    </row>
    <row r="45" spans="1:17" x14ac:dyDescent="0.35">
      <c r="A45" s="51" t="s">
        <v>126</v>
      </c>
      <c r="B45" s="51" t="s">
        <v>22</v>
      </c>
      <c r="C45" s="68">
        <v>-357750</v>
      </c>
      <c r="D45" s="67">
        <v>140.32750188679245</v>
      </c>
      <c r="E45" s="66">
        <v>136.26</v>
      </c>
      <c r="F45" s="66">
        <v>2174.0332094999999</v>
      </c>
      <c r="G45" s="65">
        <f>(C45*E45)/100000</f>
        <v>-487.47014999999999</v>
      </c>
      <c r="H45" s="44"/>
      <c r="N45" s="44"/>
      <c r="O45" s="44"/>
      <c r="P45" s="44"/>
      <c r="Q45" s="44"/>
    </row>
    <row r="46" spans="1:17" x14ac:dyDescent="0.35">
      <c r="A46" s="51" t="s">
        <v>126</v>
      </c>
      <c r="B46" s="51" t="s">
        <v>22</v>
      </c>
      <c r="C46" s="68">
        <v>-7269750</v>
      </c>
      <c r="D46" s="67">
        <v>140.43946528422572</v>
      </c>
      <c r="E46" s="66">
        <v>135.44999999999999</v>
      </c>
      <c r="F46" s="66">
        <v>2174.0332094999999</v>
      </c>
      <c r="G46" s="65">
        <f>(C46*E46)/100000</f>
        <v>-9846.876374999998</v>
      </c>
      <c r="H46" s="44"/>
      <c r="N46" s="44"/>
      <c r="O46" s="44"/>
      <c r="P46" s="44"/>
      <c r="Q46" s="44"/>
    </row>
    <row r="47" spans="1:17" x14ac:dyDescent="0.35">
      <c r="A47" s="51" t="s">
        <v>561</v>
      </c>
      <c r="B47" s="51" t="s">
        <v>65</v>
      </c>
      <c r="C47" s="68">
        <v>-885625</v>
      </c>
      <c r="D47" s="67">
        <v>1557.9629752321807</v>
      </c>
      <c r="E47" s="66">
        <v>1573</v>
      </c>
      <c r="F47" s="66">
        <v>2969.1463749999998</v>
      </c>
      <c r="G47" s="65">
        <f>(C47*E47)/100000</f>
        <v>-13930.88125</v>
      </c>
      <c r="H47" s="44"/>
      <c r="N47" s="44"/>
      <c r="O47" s="44"/>
      <c r="P47" s="44"/>
      <c r="Q47" s="44"/>
    </row>
    <row r="48" spans="1:17" x14ac:dyDescent="0.35">
      <c r="A48" s="51" t="s">
        <v>109</v>
      </c>
      <c r="B48" s="51" t="s">
        <v>87</v>
      </c>
      <c r="C48" s="68">
        <v>-887250</v>
      </c>
      <c r="D48" s="67">
        <v>1269.5016129050437</v>
      </c>
      <c r="E48" s="66">
        <v>1315.2</v>
      </c>
      <c r="F48" s="66">
        <v>2071.5069374999998</v>
      </c>
      <c r="G48" s="65">
        <f>(C48*E48)/100000</f>
        <v>-11669.111999999999</v>
      </c>
      <c r="H48" s="44"/>
      <c r="N48" s="44"/>
      <c r="O48" s="44"/>
      <c r="P48" s="44"/>
      <c r="Q48" s="44"/>
    </row>
    <row r="49" spans="1:17" x14ac:dyDescent="0.35">
      <c r="A49" s="51" t="s">
        <v>327</v>
      </c>
      <c r="B49" s="51" t="s">
        <v>328</v>
      </c>
      <c r="C49" s="68">
        <v>-120150</v>
      </c>
      <c r="D49" s="67">
        <v>487.38199891801912</v>
      </c>
      <c r="E49" s="66">
        <v>483.75</v>
      </c>
      <c r="F49" s="66">
        <v>102.3882255</v>
      </c>
      <c r="G49" s="65">
        <f>(C49*E49)/100000</f>
        <v>-581.22562500000004</v>
      </c>
      <c r="H49" s="44"/>
      <c r="N49" s="44"/>
      <c r="O49" s="44"/>
      <c r="P49" s="44"/>
      <c r="Q49" s="44"/>
    </row>
    <row r="50" spans="1:17" x14ac:dyDescent="0.35">
      <c r="A50" s="51" t="s">
        <v>311</v>
      </c>
      <c r="B50" s="51" t="s">
        <v>265</v>
      </c>
      <c r="C50" s="68">
        <v>-36400</v>
      </c>
      <c r="D50" s="67">
        <v>1781.0505000000001</v>
      </c>
      <c r="E50" s="66">
        <v>1739.8</v>
      </c>
      <c r="F50" s="66">
        <v>179.336612</v>
      </c>
      <c r="G50" s="65">
        <f>(C50*E50)/100000</f>
        <v>-633.28719999999998</v>
      </c>
      <c r="H50" s="44"/>
      <c r="N50" s="44"/>
      <c r="O50" s="44"/>
      <c r="P50" s="44"/>
      <c r="Q50" s="44"/>
    </row>
    <row r="51" spans="1:17" x14ac:dyDescent="0.35">
      <c r="A51" s="51" t="s">
        <v>243</v>
      </c>
      <c r="B51" s="51" t="s">
        <v>149</v>
      </c>
      <c r="C51" s="68">
        <v>-411250</v>
      </c>
      <c r="D51" s="67">
        <v>512.86362888753797</v>
      </c>
      <c r="E51" s="66">
        <v>511.3</v>
      </c>
      <c r="F51" s="66">
        <v>715.96568749999994</v>
      </c>
      <c r="G51" s="65">
        <f>(C51*E51)/100000</f>
        <v>-2102.7212500000001</v>
      </c>
      <c r="H51" s="44"/>
      <c r="N51" s="44"/>
      <c r="O51" s="44"/>
      <c r="P51" s="44"/>
      <c r="Q51" s="44"/>
    </row>
    <row r="52" spans="1:17" x14ac:dyDescent="0.35">
      <c r="A52" s="51" t="s">
        <v>176</v>
      </c>
      <c r="B52" s="51" t="s">
        <v>62</v>
      </c>
      <c r="C52" s="68">
        <v>-592450</v>
      </c>
      <c r="D52" s="67">
        <v>825.93317447885897</v>
      </c>
      <c r="E52" s="66">
        <v>818.45</v>
      </c>
      <c r="F52" s="66">
        <v>1085.427645</v>
      </c>
      <c r="G52" s="65">
        <f>(C52*E52)/100000</f>
        <v>-4848.9070250000004</v>
      </c>
      <c r="H52" s="44"/>
      <c r="N52" s="44"/>
      <c r="O52" s="44"/>
      <c r="P52" s="44"/>
      <c r="Q52" s="44"/>
    </row>
    <row r="53" spans="1:17" x14ac:dyDescent="0.35">
      <c r="A53" s="51" t="s">
        <v>262</v>
      </c>
      <c r="B53" s="51" t="s">
        <v>124</v>
      </c>
      <c r="C53" s="68">
        <v>-31000</v>
      </c>
      <c r="D53" s="67">
        <v>5211.3009712903222</v>
      </c>
      <c r="E53" s="66">
        <v>5299.8</v>
      </c>
      <c r="F53" s="66">
        <v>318.12943999999999</v>
      </c>
      <c r="G53" s="65">
        <f>(C53*E53)/100000</f>
        <v>-1642.9380000000001</v>
      </c>
      <c r="H53" s="44"/>
      <c r="N53" s="44"/>
      <c r="O53" s="44"/>
      <c r="P53" s="44"/>
      <c r="Q53" s="44"/>
    </row>
    <row r="54" spans="1:17" x14ac:dyDescent="0.35">
      <c r="A54" s="51" t="s">
        <v>245</v>
      </c>
      <c r="B54" s="51" t="s">
        <v>246</v>
      </c>
      <c r="C54" s="68">
        <v>-486250</v>
      </c>
      <c r="D54" s="67">
        <v>455.50077277120823</v>
      </c>
      <c r="E54" s="66">
        <v>444.1</v>
      </c>
      <c r="F54" s="66">
        <v>391.05319060000005</v>
      </c>
      <c r="G54" s="65">
        <f>(C54*E54)/100000</f>
        <v>-2159.4362500000002</v>
      </c>
      <c r="H54" s="44"/>
      <c r="N54" s="44"/>
      <c r="O54" s="44"/>
      <c r="P54" s="44"/>
      <c r="Q54" s="44"/>
    </row>
    <row r="55" spans="1:17" x14ac:dyDescent="0.35">
      <c r="A55" s="51" t="s">
        <v>359</v>
      </c>
      <c r="B55" s="51" t="s">
        <v>39</v>
      </c>
      <c r="C55" s="68">
        <v>-1950</v>
      </c>
      <c r="D55" s="67">
        <v>1953.0999538461538</v>
      </c>
      <c r="E55" s="66">
        <v>1916.5</v>
      </c>
      <c r="F55" s="66">
        <v>7.0266203000000003</v>
      </c>
      <c r="G55" s="65">
        <f>(C55*E55)/100000</f>
        <v>-37.371749999999999</v>
      </c>
      <c r="H55" s="44"/>
      <c r="N55" s="44"/>
      <c r="O55" s="44"/>
      <c r="P55" s="44"/>
      <c r="Q55" s="44"/>
    </row>
    <row r="56" spans="1:17" x14ac:dyDescent="0.35">
      <c r="A56" s="51" t="s">
        <v>560</v>
      </c>
      <c r="B56" s="51" t="s">
        <v>149</v>
      </c>
      <c r="C56" s="68">
        <v>-1558325</v>
      </c>
      <c r="D56" s="67">
        <v>454.20035579227698</v>
      </c>
      <c r="E56" s="66">
        <v>469.35</v>
      </c>
      <c r="F56" s="66">
        <v>1523.3795619</v>
      </c>
      <c r="G56" s="65">
        <f>(C56*E56)/100000</f>
        <v>-7313.9983874999998</v>
      </c>
      <c r="H56" s="44"/>
      <c r="N56" s="44"/>
      <c r="O56" s="44"/>
      <c r="P56" s="44"/>
      <c r="Q56" s="44"/>
    </row>
    <row r="57" spans="1:17" x14ac:dyDescent="0.35">
      <c r="A57" s="51" t="s">
        <v>559</v>
      </c>
      <c r="B57" s="51" t="s">
        <v>87</v>
      </c>
      <c r="C57" s="68">
        <v>-20000</v>
      </c>
      <c r="D57" s="67">
        <v>6456.5</v>
      </c>
      <c r="E57" s="66">
        <v>6580</v>
      </c>
      <c r="F57" s="66">
        <v>2361.79268</v>
      </c>
      <c r="G57" s="65">
        <f>(C57*E57)/100000</f>
        <v>-1316</v>
      </c>
      <c r="H57" s="44"/>
      <c r="N57" s="44"/>
      <c r="O57" s="44"/>
      <c r="P57" s="44"/>
      <c r="Q57" s="44"/>
    </row>
    <row r="58" spans="1:17" x14ac:dyDescent="0.35">
      <c r="A58" s="51" t="s">
        <v>559</v>
      </c>
      <c r="B58" s="51" t="s">
        <v>87</v>
      </c>
      <c r="C58" s="68">
        <v>-183800</v>
      </c>
      <c r="D58" s="67">
        <v>6424.4776408596299</v>
      </c>
      <c r="E58" s="66">
        <v>6541</v>
      </c>
      <c r="F58" s="66">
        <v>2361.79268</v>
      </c>
      <c r="G58" s="65">
        <f>(C58*E58)/100000</f>
        <v>-12022.358</v>
      </c>
      <c r="H58" s="44"/>
      <c r="N58" s="44"/>
      <c r="O58" s="44"/>
      <c r="P58" s="44"/>
      <c r="Q58" s="44"/>
    </row>
    <row r="59" spans="1:17" x14ac:dyDescent="0.35">
      <c r="A59" s="51" t="s">
        <v>362</v>
      </c>
      <c r="B59" s="51" t="s">
        <v>52</v>
      </c>
      <c r="C59" s="68">
        <v>-700</v>
      </c>
      <c r="D59" s="67">
        <v>11195.0357</v>
      </c>
      <c r="E59" s="66">
        <v>11234.5</v>
      </c>
      <c r="F59" s="66">
        <v>20.071870000000001</v>
      </c>
      <c r="G59" s="65">
        <f>(C59*E59)/100000</f>
        <v>-78.641499999999994</v>
      </c>
      <c r="H59" s="44"/>
      <c r="N59" s="44"/>
      <c r="O59" s="44"/>
      <c r="P59" s="44"/>
      <c r="Q59" s="44"/>
    </row>
    <row r="60" spans="1:17" x14ac:dyDescent="0.35">
      <c r="A60" s="51" t="s">
        <v>558</v>
      </c>
      <c r="B60" s="51" t="s">
        <v>152</v>
      </c>
      <c r="C60" s="68">
        <v>-1191300</v>
      </c>
      <c r="D60" s="67">
        <v>602.98651413581797</v>
      </c>
      <c r="E60" s="66">
        <v>590.35</v>
      </c>
      <c r="F60" s="66">
        <v>2492.6552723</v>
      </c>
      <c r="G60" s="65">
        <f>(C60*E60)/100000</f>
        <v>-7032.8395499999997</v>
      </c>
      <c r="H60" s="44"/>
      <c r="N60" s="44"/>
      <c r="O60" s="44"/>
      <c r="P60" s="44"/>
      <c r="Q60" s="44"/>
    </row>
    <row r="61" spans="1:17" x14ac:dyDescent="0.35">
      <c r="A61" s="51" t="s">
        <v>231</v>
      </c>
      <c r="B61" s="51" t="s">
        <v>78</v>
      </c>
      <c r="C61" s="68">
        <v>-58800</v>
      </c>
      <c r="D61" s="67">
        <v>4585.6481763605443</v>
      </c>
      <c r="E61" s="66">
        <v>4615.8</v>
      </c>
      <c r="F61" s="66">
        <v>489.61201799999998</v>
      </c>
      <c r="G61" s="65">
        <f>(C61*E61)/100000</f>
        <v>-2714.0904</v>
      </c>
      <c r="H61" s="44"/>
      <c r="N61" s="44"/>
      <c r="O61" s="44"/>
      <c r="P61" s="44"/>
      <c r="Q61" s="44"/>
    </row>
    <row r="62" spans="1:17" x14ac:dyDescent="0.35">
      <c r="A62" s="51" t="s">
        <v>107</v>
      </c>
      <c r="B62" s="51" t="s">
        <v>44</v>
      </c>
      <c r="C62" s="68">
        <v>-4100</v>
      </c>
      <c r="D62" s="67">
        <v>7340.4023731707321</v>
      </c>
      <c r="E62" s="66">
        <v>7196</v>
      </c>
      <c r="F62" s="66">
        <v>2217.4223350000002</v>
      </c>
      <c r="G62" s="65">
        <f>(C62*E62)/100000</f>
        <v>-295.036</v>
      </c>
      <c r="H62" s="44"/>
      <c r="N62" s="44"/>
      <c r="O62" s="44"/>
      <c r="P62" s="44"/>
      <c r="Q62" s="44"/>
    </row>
    <row r="63" spans="1:17" x14ac:dyDescent="0.35">
      <c r="A63" s="51" t="s">
        <v>107</v>
      </c>
      <c r="B63" s="51" t="s">
        <v>44</v>
      </c>
      <c r="C63" s="68">
        <v>-163800</v>
      </c>
      <c r="D63" s="67">
        <v>7079.6556211843708</v>
      </c>
      <c r="E63" s="66">
        <v>7149</v>
      </c>
      <c r="F63" s="66">
        <v>2217.4223350000002</v>
      </c>
      <c r="G63" s="65">
        <f>(C63*E63)/100000</f>
        <v>-11710.062</v>
      </c>
      <c r="H63" s="44"/>
      <c r="N63" s="44"/>
      <c r="O63" s="44"/>
      <c r="P63" s="44"/>
      <c r="Q63" s="44"/>
    </row>
    <row r="64" spans="1:17" x14ac:dyDescent="0.35">
      <c r="A64" s="51" t="s">
        <v>235</v>
      </c>
      <c r="B64" s="51" t="s">
        <v>181</v>
      </c>
      <c r="C64" s="68">
        <v>-5400</v>
      </c>
      <c r="D64" s="67">
        <v>331.75</v>
      </c>
      <c r="E64" s="66">
        <v>364.9</v>
      </c>
      <c r="F64" s="66">
        <v>481.34644200000002</v>
      </c>
      <c r="G64" s="65">
        <f>(C64*E64)/100000</f>
        <v>-19.704599999999999</v>
      </c>
      <c r="H64" s="44"/>
      <c r="N64" s="44"/>
      <c r="O64" s="44"/>
      <c r="P64" s="44"/>
      <c r="Q64" s="44"/>
    </row>
    <row r="65" spans="1:17" x14ac:dyDescent="0.35">
      <c r="A65" s="51" t="s">
        <v>235</v>
      </c>
      <c r="B65" s="51" t="s">
        <v>181</v>
      </c>
      <c r="C65" s="68">
        <v>-669600</v>
      </c>
      <c r="D65" s="67">
        <v>350.95424623655913</v>
      </c>
      <c r="E65" s="66">
        <v>361.9</v>
      </c>
      <c r="F65" s="66">
        <v>481.34644200000002</v>
      </c>
      <c r="G65" s="65">
        <f>(C65*E65)/100000</f>
        <v>-2423.2823999999996</v>
      </c>
      <c r="H65" s="44"/>
      <c r="N65" s="44"/>
      <c r="O65" s="44"/>
      <c r="P65" s="44"/>
      <c r="Q65" s="44"/>
    </row>
    <row r="66" spans="1:17" x14ac:dyDescent="0.35">
      <c r="A66" s="51" t="s">
        <v>305</v>
      </c>
      <c r="B66" s="51" t="s">
        <v>65</v>
      </c>
      <c r="C66" s="68">
        <v>-243100</v>
      </c>
      <c r="D66" s="67">
        <v>446.85346737967916</v>
      </c>
      <c r="E66" s="66">
        <v>451.25</v>
      </c>
      <c r="F66" s="66">
        <v>248.79826399999999</v>
      </c>
      <c r="G66" s="65">
        <f>(C66*E66)/100000</f>
        <v>-1096.98875</v>
      </c>
      <c r="H66" s="44"/>
      <c r="N66" s="44"/>
      <c r="O66" s="44"/>
      <c r="P66" s="44"/>
      <c r="Q66" s="44"/>
    </row>
    <row r="67" spans="1:17" x14ac:dyDescent="0.35">
      <c r="A67" s="51" t="s">
        <v>557</v>
      </c>
      <c r="B67" s="51" t="s">
        <v>119</v>
      </c>
      <c r="C67" s="68">
        <v>-168175</v>
      </c>
      <c r="D67" s="67">
        <v>951.17252582131709</v>
      </c>
      <c r="E67" s="66">
        <v>927.9</v>
      </c>
      <c r="F67" s="66">
        <v>301.2489344</v>
      </c>
      <c r="G67" s="65">
        <f>(C67*E67)/100000</f>
        <v>-1560.495825</v>
      </c>
      <c r="H67" s="44"/>
      <c r="N67" s="44"/>
      <c r="O67" s="44"/>
      <c r="P67" s="44"/>
      <c r="Q67" s="44"/>
    </row>
    <row r="68" spans="1:17" x14ac:dyDescent="0.35">
      <c r="A68" s="51" t="s">
        <v>556</v>
      </c>
      <c r="B68" s="51" t="s">
        <v>78</v>
      </c>
      <c r="C68" s="68">
        <v>-1581250</v>
      </c>
      <c r="D68" s="67">
        <v>264.55964526166008</v>
      </c>
      <c r="E68" s="66">
        <v>266.33999999999997</v>
      </c>
      <c r="F68" s="66">
        <v>821.28306559999999</v>
      </c>
      <c r="G68" s="65">
        <f>(C68*E68)/100000</f>
        <v>-4211.5012499999993</v>
      </c>
      <c r="H68" s="44"/>
      <c r="N68" s="44"/>
      <c r="O68" s="44"/>
      <c r="P68" s="44"/>
      <c r="Q68" s="44"/>
    </row>
    <row r="69" spans="1:17" x14ac:dyDescent="0.35">
      <c r="A69" s="51" t="s">
        <v>330</v>
      </c>
      <c r="B69" s="51" t="s">
        <v>331</v>
      </c>
      <c r="C69" s="68">
        <v>-88200</v>
      </c>
      <c r="D69" s="67">
        <v>166.53925000000001</v>
      </c>
      <c r="E69" s="66">
        <v>164.92</v>
      </c>
      <c r="F69" s="66">
        <v>92.328912899999992</v>
      </c>
      <c r="G69" s="65">
        <f>(C69*E69)/100000</f>
        <v>-145.45943999999997</v>
      </c>
      <c r="H69" s="44"/>
      <c r="N69" s="44"/>
      <c r="O69" s="44"/>
      <c r="P69" s="44"/>
      <c r="Q69" s="44"/>
    </row>
    <row r="70" spans="1:17" x14ac:dyDescent="0.35">
      <c r="A70" s="51" t="s">
        <v>330</v>
      </c>
      <c r="B70" s="51" t="s">
        <v>331</v>
      </c>
      <c r="C70" s="68">
        <v>-201600</v>
      </c>
      <c r="D70" s="67">
        <v>159.30261721230158</v>
      </c>
      <c r="E70" s="66">
        <v>163.84</v>
      </c>
      <c r="F70" s="66">
        <v>92.328912899999992</v>
      </c>
      <c r="G70" s="65">
        <f>(C70*E70)/100000</f>
        <v>-330.30144000000001</v>
      </c>
      <c r="H70" s="44"/>
      <c r="N70" s="44"/>
      <c r="O70" s="44"/>
      <c r="P70" s="44"/>
      <c r="Q70" s="44"/>
    </row>
    <row r="71" spans="1:17" x14ac:dyDescent="0.35">
      <c r="A71" s="51" t="s">
        <v>160</v>
      </c>
      <c r="B71" s="51" t="s">
        <v>87</v>
      </c>
      <c r="C71" s="68">
        <v>-375</v>
      </c>
      <c r="D71" s="67">
        <v>2422.1999999999998</v>
      </c>
      <c r="E71" s="66">
        <v>2438.6</v>
      </c>
      <c r="F71" s="66">
        <v>2087.9240456000002</v>
      </c>
      <c r="G71" s="65">
        <f>(C71*E71)/100000</f>
        <v>-9.1447500000000002</v>
      </c>
      <c r="H71" s="44"/>
      <c r="N71" s="44"/>
      <c r="O71" s="44"/>
      <c r="P71" s="44"/>
      <c r="Q71" s="44"/>
    </row>
    <row r="72" spans="1:17" x14ac:dyDescent="0.35">
      <c r="A72" s="51" t="s">
        <v>160</v>
      </c>
      <c r="B72" s="51" t="s">
        <v>87</v>
      </c>
      <c r="C72" s="68">
        <v>-249000</v>
      </c>
      <c r="D72" s="67">
        <v>2340.6457241365461</v>
      </c>
      <c r="E72" s="66">
        <v>2420.8000000000002</v>
      </c>
      <c r="F72" s="66">
        <v>2087.9240456000002</v>
      </c>
      <c r="G72" s="65">
        <f>(C72*E72)/100000</f>
        <v>-6027.7920000000004</v>
      </c>
      <c r="H72" s="44"/>
      <c r="N72" s="44"/>
      <c r="O72" s="44"/>
      <c r="P72" s="44"/>
      <c r="Q72" s="44"/>
    </row>
    <row r="73" spans="1:17" x14ac:dyDescent="0.35">
      <c r="A73" s="51" t="s">
        <v>555</v>
      </c>
      <c r="B73" s="51" t="s">
        <v>105</v>
      </c>
      <c r="C73" s="68">
        <v>-202275</v>
      </c>
      <c r="D73" s="67">
        <v>97.579248300580886</v>
      </c>
      <c r="E73" s="66">
        <v>97.66</v>
      </c>
      <c r="F73" s="66">
        <v>214.35850399999998</v>
      </c>
      <c r="G73" s="65">
        <f>(C73*E73)/100000</f>
        <v>-197.541765</v>
      </c>
      <c r="H73" s="44"/>
      <c r="N73" s="44"/>
      <c r="O73" s="44"/>
      <c r="P73" s="44"/>
      <c r="Q73" s="44"/>
    </row>
    <row r="74" spans="1:17" x14ac:dyDescent="0.35">
      <c r="A74" s="51" t="s">
        <v>555</v>
      </c>
      <c r="B74" s="51" t="s">
        <v>105</v>
      </c>
      <c r="C74" s="68">
        <v>-816075</v>
      </c>
      <c r="D74" s="67">
        <v>97.688932487822811</v>
      </c>
      <c r="E74" s="66">
        <v>96.96</v>
      </c>
      <c r="F74" s="66">
        <v>214.35850399999998</v>
      </c>
      <c r="G74" s="65">
        <f>(C74*E74)/100000</f>
        <v>-791.26631999999995</v>
      </c>
      <c r="H74" s="44"/>
      <c r="N74" s="44"/>
      <c r="O74" s="44"/>
      <c r="P74" s="44"/>
      <c r="Q74" s="44"/>
    </row>
    <row r="75" spans="1:17" x14ac:dyDescent="0.35">
      <c r="A75" s="51" t="s">
        <v>335</v>
      </c>
      <c r="B75" s="51" t="s">
        <v>152</v>
      </c>
      <c r="C75" s="68">
        <v>-31350</v>
      </c>
      <c r="D75" s="67">
        <v>1794.0324156299841</v>
      </c>
      <c r="E75" s="66">
        <v>1841</v>
      </c>
      <c r="F75" s="66">
        <v>138.29739000000001</v>
      </c>
      <c r="G75" s="65">
        <f>(C75*E75)/100000</f>
        <v>-577.15350000000001</v>
      </c>
      <c r="H75" s="44"/>
      <c r="N75" s="44"/>
      <c r="O75" s="44"/>
      <c r="P75" s="44"/>
      <c r="Q75" s="44"/>
    </row>
    <row r="76" spans="1:17" x14ac:dyDescent="0.35">
      <c r="A76" s="51" t="s">
        <v>333</v>
      </c>
      <c r="B76" s="51" t="s">
        <v>246</v>
      </c>
      <c r="C76" s="68">
        <v>-50500</v>
      </c>
      <c r="D76" s="67">
        <v>1119.8400999999999</v>
      </c>
      <c r="E76" s="66">
        <v>1064.8</v>
      </c>
      <c r="F76" s="66">
        <v>97.123367500000001</v>
      </c>
      <c r="G76" s="65">
        <f>(C76*E76)/100000</f>
        <v>-537.72400000000005</v>
      </c>
      <c r="H76" s="44"/>
      <c r="N76" s="44"/>
      <c r="O76" s="44"/>
      <c r="P76" s="44"/>
      <c r="Q76" s="44"/>
    </row>
    <row r="77" spans="1:17" x14ac:dyDescent="0.35">
      <c r="A77" s="51" t="s">
        <v>38</v>
      </c>
      <c r="B77" s="51" t="s">
        <v>39</v>
      </c>
      <c r="C77" s="68">
        <v>-77250</v>
      </c>
      <c r="D77" s="67">
        <v>2792.8857583171521</v>
      </c>
      <c r="E77" s="66">
        <v>2821.8</v>
      </c>
      <c r="F77" s="66">
        <v>9076.6416750000008</v>
      </c>
      <c r="G77" s="65">
        <f>(C77*E77)/100000</f>
        <v>-2179.8404999999998</v>
      </c>
      <c r="H77" s="44"/>
      <c r="N77" s="44"/>
      <c r="O77" s="44"/>
      <c r="P77" s="44"/>
      <c r="Q77" s="44"/>
    </row>
    <row r="78" spans="1:17" x14ac:dyDescent="0.35">
      <c r="A78" s="51" t="s">
        <v>38</v>
      </c>
      <c r="B78" s="51" t="s">
        <v>39</v>
      </c>
      <c r="C78" s="68">
        <v>-1749000</v>
      </c>
      <c r="D78" s="67">
        <v>2796.3303502344197</v>
      </c>
      <c r="E78" s="66">
        <v>2802.8</v>
      </c>
      <c r="F78" s="66">
        <v>9076.6416750000008</v>
      </c>
      <c r="G78" s="65">
        <f>(C78*E78)/100000</f>
        <v>-49020.972000000002</v>
      </c>
      <c r="H78" s="44"/>
      <c r="N78" s="44"/>
      <c r="O78" s="44"/>
      <c r="P78" s="44"/>
      <c r="Q78" s="44"/>
    </row>
    <row r="79" spans="1:17" x14ac:dyDescent="0.35">
      <c r="A79" s="51" t="s">
        <v>114</v>
      </c>
      <c r="B79" s="51" t="s">
        <v>39</v>
      </c>
      <c r="C79" s="68">
        <v>-2492700</v>
      </c>
      <c r="D79" s="67">
        <v>460.45691415733944</v>
      </c>
      <c r="E79" s="66">
        <v>446.8</v>
      </c>
      <c r="F79" s="66">
        <v>3897.8786123</v>
      </c>
      <c r="G79" s="65">
        <f>(C79*E79)/100000</f>
        <v>-11137.383599999999</v>
      </c>
      <c r="H79" s="44"/>
      <c r="N79" s="44"/>
      <c r="O79" s="44"/>
      <c r="P79" s="44"/>
      <c r="Q79" s="44"/>
    </row>
    <row r="80" spans="1:17" x14ac:dyDescent="0.35">
      <c r="A80" s="51" t="s">
        <v>554</v>
      </c>
      <c r="B80" s="51" t="s">
        <v>55</v>
      </c>
      <c r="C80" s="68">
        <v>-2100</v>
      </c>
      <c r="D80" s="67">
        <v>4413.4142523809523</v>
      </c>
      <c r="E80" s="66">
        <v>4394.2</v>
      </c>
      <c r="F80" s="66">
        <v>1852.5392475000001</v>
      </c>
      <c r="G80" s="65">
        <f>(C80*E80)/100000</f>
        <v>-92.278199999999998</v>
      </c>
      <c r="H80" s="44"/>
      <c r="N80" s="44"/>
      <c r="O80" s="44"/>
      <c r="P80" s="44"/>
      <c r="Q80" s="44"/>
    </row>
    <row r="81" spans="1:17" x14ac:dyDescent="0.35">
      <c r="A81" s="51" t="s">
        <v>554</v>
      </c>
      <c r="B81" s="51" t="s">
        <v>55</v>
      </c>
      <c r="C81" s="68">
        <v>-203550</v>
      </c>
      <c r="D81" s="67">
        <v>4346.110211053795</v>
      </c>
      <c r="E81" s="66">
        <v>4364.2</v>
      </c>
      <c r="F81" s="66">
        <v>1852.5392475000001</v>
      </c>
      <c r="G81" s="65">
        <f>(C81*E81)/100000</f>
        <v>-8883.3291000000008</v>
      </c>
      <c r="H81" s="44"/>
      <c r="N81" s="44"/>
      <c r="O81" s="44"/>
      <c r="P81" s="44"/>
      <c r="Q81" s="44"/>
    </row>
    <row r="82" spans="1:17" x14ac:dyDescent="0.35">
      <c r="A82" s="51" t="s">
        <v>337</v>
      </c>
      <c r="B82" s="51" t="s">
        <v>52</v>
      </c>
      <c r="C82" s="68">
        <v>-30000</v>
      </c>
      <c r="D82" s="67">
        <v>1242.8050000000001</v>
      </c>
      <c r="E82" s="66">
        <v>1241.5</v>
      </c>
      <c r="F82" s="66">
        <v>66.49485</v>
      </c>
      <c r="G82" s="65">
        <f>(C82*E82)/100000</f>
        <v>-372.45</v>
      </c>
      <c r="H82" s="44"/>
      <c r="N82" s="44"/>
      <c r="O82" s="44"/>
      <c r="P82" s="44"/>
      <c r="Q82" s="44"/>
    </row>
    <row r="83" spans="1:17" x14ac:dyDescent="0.35">
      <c r="A83" s="51" t="s">
        <v>553</v>
      </c>
      <c r="B83" s="51" t="s">
        <v>22</v>
      </c>
      <c r="C83" s="68">
        <v>-4105200</v>
      </c>
      <c r="D83" s="67">
        <v>792.94925799961027</v>
      </c>
      <c r="E83" s="66">
        <v>768.45</v>
      </c>
      <c r="F83" s="66">
        <v>28619.418079999999</v>
      </c>
      <c r="G83" s="65">
        <f>(C83*E83)/100000</f>
        <v>-31546.4094</v>
      </c>
      <c r="H83" s="44"/>
      <c r="N83" s="44"/>
      <c r="O83" s="44"/>
      <c r="P83" s="44"/>
      <c r="Q83" s="44"/>
    </row>
    <row r="84" spans="1:17" x14ac:dyDescent="0.35">
      <c r="A84" s="51" t="s">
        <v>553</v>
      </c>
      <c r="B84" s="51" t="s">
        <v>22</v>
      </c>
      <c r="C84" s="68">
        <v>-16614400</v>
      </c>
      <c r="D84" s="67">
        <v>795.3613063769983</v>
      </c>
      <c r="E84" s="66">
        <v>776.1</v>
      </c>
      <c r="F84" s="66">
        <v>28619.418079999999</v>
      </c>
      <c r="G84" s="65">
        <f>(C84*E84)/100000</f>
        <v>-128944.3584</v>
      </c>
      <c r="H84" s="44"/>
      <c r="N84" s="44"/>
      <c r="O84" s="44"/>
      <c r="P84" s="44"/>
      <c r="Q84" s="44"/>
    </row>
    <row r="85" spans="1:17" x14ac:dyDescent="0.35">
      <c r="A85" s="51" t="s">
        <v>552</v>
      </c>
      <c r="B85" s="51" t="s">
        <v>167</v>
      </c>
      <c r="C85" s="68">
        <v>-88000</v>
      </c>
      <c r="D85" s="67">
        <v>594.78745125</v>
      </c>
      <c r="E85" s="66">
        <v>590.85</v>
      </c>
      <c r="F85" s="66">
        <v>579.27705000000003</v>
      </c>
      <c r="G85" s="65">
        <f>(C85*E85)/100000</f>
        <v>-519.94799999999998</v>
      </c>
      <c r="H85" s="44"/>
      <c r="N85" s="44"/>
      <c r="O85" s="44"/>
      <c r="P85" s="44"/>
      <c r="Q85" s="44"/>
    </row>
    <row r="86" spans="1:17" x14ac:dyDescent="0.35">
      <c r="A86" s="51" t="s">
        <v>552</v>
      </c>
      <c r="B86" s="51" t="s">
        <v>167</v>
      </c>
      <c r="C86" s="68">
        <v>-462000</v>
      </c>
      <c r="D86" s="67">
        <v>598.39389595238094</v>
      </c>
      <c r="E86" s="66">
        <v>590</v>
      </c>
      <c r="F86" s="66">
        <v>579.27705000000003</v>
      </c>
      <c r="G86" s="65">
        <f>(C86*E86)/100000</f>
        <v>-2725.8</v>
      </c>
      <c r="H86" s="44"/>
      <c r="N86" s="44"/>
      <c r="O86" s="44"/>
      <c r="P86" s="44"/>
      <c r="Q86" s="44"/>
    </row>
    <row r="87" spans="1:17" x14ac:dyDescent="0.35">
      <c r="A87" s="51" t="s">
        <v>121</v>
      </c>
      <c r="B87" s="51" t="s">
        <v>44</v>
      </c>
      <c r="C87" s="68">
        <v>-207900</v>
      </c>
      <c r="D87" s="67">
        <v>5099.3816485810485</v>
      </c>
      <c r="E87" s="66">
        <v>5124</v>
      </c>
      <c r="F87" s="66">
        <v>1954.4315174999999</v>
      </c>
      <c r="G87" s="65">
        <f>(C87*E87)/100000</f>
        <v>-10652.796</v>
      </c>
      <c r="H87" s="44"/>
      <c r="N87" s="44"/>
      <c r="O87" s="44"/>
      <c r="P87" s="44"/>
      <c r="Q87" s="44"/>
    </row>
    <row r="88" spans="1:17" x14ac:dyDescent="0.35">
      <c r="A88" s="51" t="s">
        <v>144</v>
      </c>
      <c r="B88" s="51" t="s">
        <v>112</v>
      </c>
      <c r="C88" s="68">
        <v>-14700</v>
      </c>
      <c r="D88" s="67">
        <v>1031.6286</v>
      </c>
      <c r="E88" s="66">
        <v>1047.9000000000001</v>
      </c>
      <c r="F88" s="66">
        <v>1602.573175</v>
      </c>
      <c r="G88" s="65">
        <f>(C88*E88)/100000</f>
        <v>-154.04130000000001</v>
      </c>
      <c r="H88" s="44"/>
      <c r="N88" s="44"/>
      <c r="O88" s="44"/>
      <c r="P88" s="44"/>
      <c r="Q88" s="44"/>
    </row>
    <row r="89" spans="1:17" x14ac:dyDescent="0.35">
      <c r="A89" s="51" t="s">
        <v>144</v>
      </c>
      <c r="B89" s="51" t="s">
        <v>112</v>
      </c>
      <c r="C89" s="68">
        <v>-754600</v>
      </c>
      <c r="D89" s="67">
        <v>1042.2795207394647</v>
      </c>
      <c r="E89" s="66">
        <v>1042.3</v>
      </c>
      <c r="F89" s="66">
        <v>1602.573175</v>
      </c>
      <c r="G89" s="65">
        <f>(C89*E89)/100000</f>
        <v>-7865.1958000000004</v>
      </c>
      <c r="H89" s="44"/>
      <c r="N89" s="44"/>
      <c r="O89" s="44"/>
      <c r="P89" s="44"/>
      <c r="Q89" s="44"/>
    </row>
    <row r="90" spans="1:17" x14ac:dyDescent="0.35">
      <c r="A90" s="51" t="s">
        <v>551</v>
      </c>
      <c r="B90" s="51" t="s">
        <v>25</v>
      </c>
      <c r="C90" s="68">
        <v>-980100</v>
      </c>
      <c r="D90" s="67">
        <v>379.97084588307314</v>
      </c>
      <c r="E90" s="66">
        <v>376.85</v>
      </c>
      <c r="F90" s="66">
        <v>855.80616829999997</v>
      </c>
      <c r="G90" s="65">
        <f>(C90*E90)/100000</f>
        <v>-3693.5068500000002</v>
      </c>
      <c r="H90" s="44"/>
      <c r="N90" s="44"/>
      <c r="O90" s="44"/>
      <c r="P90" s="44"/>
      <c r="Q90" s="44"/>
    </row>
    <row r="91" spans="1:17" x14ac:dyDescent="0.35">
      <c r="A91" s="51" t="s">
        <v>189</v>
      </c>
      <c r="B91" s="51" t="s">
        <v>112</v>
      </c>
      <c r="C91" s="68">
        <v>-786450</v>
      </c>
      <c r="D91" s="67">
        <v>600.9832313306631</v>
      </c>
      <c r="E91" s="66">
        <v>597.70000000000005</v>
      </c>
      <c r="F91" s="66">
        <v>1687.7669209000001</v>
      </c>
      <c r="G91" s="65">
        <f>(C91*E91)/100000</f>
        <v>-4700.6116500000007</v>
      </c>
      <c r="H91" s="44"/>
      <c r="N91" s="44"/>
      <c r="O91" s="44"/>
      <c r="P91" s="44"/>
      <c r="Q91" s="44"/>
    </row>
    <row r="92" spans="1:17" x14ac:dyDescent="0.35">
      <c r="A92" s="51" t="s">
        <v>254</v>
      </c>
      <c r="B92" s="51" t="s">
        <v>36</v>
      </c>
      <c r="C92" s="68">
        <v>-86100</v>
      </c>
      <c r="D92" s="67">
        <v>2153.5424825783971</v>
      </c>
      <c r="E92" s="66">
        <v>2259.6999999999998</v>
      </c>
      <c r="F92" s="66">
        <v>351.55318799999998</v>
      </c>
      <c r="G92" s="65">
        <f>(C92*E92)/100000</f>
        <v>-1945.6016999999997</v>
      </c>
      <c r="H92" s="44"/>
      <c r="N92" s="44"/>
      <c r="O92" s="44"/>
      <c r="P92" s="44"/>
      <c r="Q92" s="44"/>
    </row>
    <row r="93" spans="1:17" x14ac:dyDescent="0.35">
      <c r="A93" s="51" t="s">
        <v>550</v>
      </c>
      <c r="B93" s="51" t="s">
        <v>65</v>
      </c>
      <c r="C93" s="68">
        <v>-2807900</v>
      </c>
      <c r="D93" s="67">
        <v>145.09544670750384</v>
      </c>
      <c r="E93" s="66">
        <v>145.55000000000001</v>
      </c>
      <c r="F93" s="66">
        <v>1685.1583771000001</v>
      </c>
      <c r="G93" s="65">
        <f>(C93*E93)/100000</f>
        <v>-4086.8984500000006</v>
      </c>
      <c r="H93" s="44"/>
      <c r="N93" s="44"/>
      <c r="O93" s="44"/>
      <c r="P93" s="44"/>
      <c r="Q93" s="44"/>
    </row>
    <row r="94" spans="1:17" x14ac:dyDescent="0.35">
      <c r="A94" s="51" t="s">
        <v>27</v>
      </c>
      <c r="B94" s="51" t="s">
        <v>22</v>
      </c>
      <c r="C94" s="68">
        <v>-3943100</v>
      </c>
      <c r="D94" s="67">
        <v>1347.5383613172378</v>
      </c>
      <c r="E94" s="66">
        <v>1278.5</v>
      </c>
      <c r="F94" s="66">
        <v>14752.575047</v>
      </c>
      <c r="G94" s="65">
        <f>(C94*E94)/100000</f>
        <v>-50412.533499999998</v>
      </c>
      <c r="H94" s="44"/>
      <c r="N94" s="44"/>
      <c r="O94" s="44"/>
      <c r="P94" s="44"/>
      <c r="Q94" s="44"/>
    </row>
    <row r="95" spans="1:17" x14ac:dyDescent="0.35">
      <c r="A95" s="51" t="s">
        <v>27</v>
      </c>
      <c r="B95" s="51" t="s">
        <v>22</v>
      </c>
      <c r="C95" s="68">
        <v>-2538200</v>
      </c>
      <c r="D95" s="67">
        <v>1334.6051953943741</v>
      </c>
      <c r="E95" s="66">
        <v>1270.7</v>
      </c>
      <c r="F95" s="66">
        <v>14752.575047</v>
      </c>
      <c r="G95" s="65">
        <f>(C95*E95)/100000</f>
        <v>-32252.9074</v>
      </c>
      <c r="H95" s="44"/>
      <c r="N95" s="44"/>
      <c r="O95" s="44"/>
      <c r="P95" s="44"/>
      <c r="Q95" s="44"/>
    </row>
    <row r="96" spans="1:17" x14ac:dyDescent="0.35">
      <c r="A96" s="51" t="s">
        <v>166</v>
      </c>
      <c r="B96" s="51" t="s">
        <v>167</v>
      </c>
      <c r="C96" s="68">
        <v>-1104450</v>
      </c>
      <c r="D96" s="67">
        <v>524.31231565937799</v>
      </c>
      <c r="E96" s="66">
        <v>516</v>
      </c>
      <c r="F96" s="66">
        <v>1023.4993373000001</v>
      </c>
      <c r="G96" s="65">
        <f>(C96*E96)/100000</f>
        <v>-5698.9620000000004</v>
      </c>
      <c r="H96" s="44"/>
      <c r="N96" s="44"/>
      <c r="O96" s="44"/>
      <c r="P96" s="44"/>
      <c r="Q96" s="44"/>
    </row>
    <row r="97" spans="1:17" x14ac:dyDescent="0.35">
      <c r="A97" s="51" t="s">
        <v>549</v>
      </c>
      <c r="B97" s="51" t="s">
        <v>30</v>
      </c>
      <c r="C97" s="68">
        <v>-107712825</v>
      </c>
      <c r="D97" s="67">
        <v>9.5414323822627427</v>
      </c>
      <c r="E97" s="66">
        <v>10.26</v>
      </c>
      <c r="F97" s="66">
        <v>5280.6751020000002</v>
      </c>
      <c r="G97" s="65">
        <f>(C97*E97)/100000</f>
        <v>-11051.335845</v>
      </c>
      <c r="H97" s="44"/>
      <c r="N97" s="44"/>
      <c r="O97" s="44"/>
      <c r="P97" s="44"/>
      <c r="Q97" s="44"/>
    </row>
    <row r="98" spans="1:17" x14ac:dyDescent="0.35">
      <c r="A98" s="51" t="s">
        <v>548</v>
      </c>
      <c r="B98" s="51" t="s">
        <v>22</v>
      </c>
      <c r="C98" s="68">
        <v>-408100</v>
      </c>
      <c r="D98" s="67">
        <v>69.300904557706446</v>
      </c>
      <c r="E98" s="66">
        <v>70.489999999999995</v>
      </c>
      <c r="F98" s="66">
        <v>2053.0281506000001</v>
      </c>
      <c r="G98" s="65">
        <f>(C98*E98)/100000</f>
        <v>-287.66968999999995</v>
      </c>
      <c r="H98" s="44"/>
      <c r="N98" s="44"/>
      <c r="O98" s="44"/>
      <c r="P98" s="44"/>
      <c r="Q98" s="44"/>
    </row>
    <row r="99" spans="1:17" x14ac:dyDescent="0.35">
      <c r="A99" s="51" t="s">
        <v>548</v>
      </c>
      <c r="B99" s="51" t="s">
        <v>22</v>
      </c>
      <c r="C99" s="68">
        <v>-12845875</v>
      </c>
      <c r="D99" s="67">
        <v>68.778420073369858</v>
      </c>
      <c r="E99" s="66">
        <v>70.06</v>
      </c>
      <c r="F99" s="66">
        <v>2053.0281506000001</v>
      </c>
      <c r="G99" s="65">
        <f>(C99*E99)/100000</f>
        <v>-8999.8200250000009</v>
      </c>
      <c r="H99" s="44"/>
      <c r="N99" s="44"/>
      <c r="O99" s="44"/>
      <c r="P99" s="44"/>
      <c r="Q99" s="44"/>
    </row>
    <row r="100" spans="1:17" x14ac:dyDescent="0.35">
      <c r="A100" s="51" t="s">
        <v>547</v>
      </c>
      <c r="B100" s="51" t="s">
        <v>70</v>
      </c>
      <c r="C100" s="68">
        <v>-62000</v>
      </c>
      <c r="D100" s="67">
        <v>1044.2245717741935</v>
      </c>
      <c r="E100" s="66">
        <v>1039.25</v>
      </c>
      <c r="F100" s="66">
        <v>143.891615</v>
      </c>
      <c r="G100" s="65">
        <f>(C100*E100)/100000</f>
        <v>-644.33500000000004</v>
      </c>
      <c r="H100" s="44"/>
      <c r="N100" s="44"/>
      <c r="O100" s="44"/>
      <c r="P100" s="44"/>
      <c r="Q100" s="44"/>
    </row>
    <row r="101" spans="1:17" x14ac:dyDescent="0.35">
      <c r="A101" s="51" t="s">
        <v>546</v>
      </c>
      <c r="B101" s="51" t="s">
        <v>221</v>
      </c>
      <c r="C101" s="68">
        <v>-591000</v>
      </c>
      <c r="D101" s="67">
        <v>648.68361962774952</v>
      </c>
      <c r="E101" s="66">
        <v>640</v>
      </c>
      <c r="F101" s="66">
        <v>725.40226500000006</v>
      </c>
      <c r="G101" s="65">
        <f>(C101*E101)/100000</f>
        <v>-3782.4</v>
      </c>
      <c r="H101" s="44"/>
      <c r="N101" s="44"/>
      <c r="O101" s="44"/>
      <c r="P101" s="44"/>
      <c r="Q101" s="44"/>
    </row>
    <row r="102" spans="1:17" x14ac:dyDescent="0.35">
      <c r="A102" s="51" t="s">
        <v>545</v>
      </c>
      <c r="B102" s="51" t="s">
        <v>70</v>
      </c>
      <c r="C102" s="68">
        <v>-821250</v>
      </c>
      <c r="D102" s="67">
        <v>124.36715936681887</v>
      </c>
      <c r="E102" s="66">
        <v>124.03</v>
      </c>
      <c r="F102" s="66">
        <v>277.05484690000003</v>
      </c>
      <c r="G102" s="65">
        <f>(C102*E102)/100000</f>
        <v>-1018.596375</v>
      </c>
      <c r="H102" s="44"/>
      <c r="N102" s="44"/>
      <c r="O102" s="44"/>
      <c r="P102" s="44"/>
      <c r="Q102" s="44"/>
    </row>
    <row r="103" spans="1:17" x14ac:dyDescent="0.35">
      <c r="A103" s="51" t="s">
        <v>544</v>
      </c>
      <c r="B103" s="51" t="s">
        <v>22</v>
      </c>
      <c r="C103" s="68">
        <v>-37800</v>
      </c>
      <c r="D103" s="67">
        <v>922.32311851851853</v>
      </c>
      <c r="E103" s="66">
        <v>925.95</v>
      </c>
      <c r="F103" s="66">
        <v>223.88103149999998</v>
      </c>
      <c r="G103" s="65">
        <f>(C103*E103)/100000</f>
        <v>-350.00909999999999</v>
      </c>
      <c r="H103" s="44"/>
      <c r="N103" s="44"/>
      <c r="O103" s="44"/>
      <c r="P103" s="44"/>
      <c r="Q103" s="44"/>
    </row>
    <row r="104" spans="1:17" x14ac:dyDescent="0.35">
      <c r="A104" s="51" t="s">
        <v>544</v>
      </c>
      <c r="B104" s="51" t="s">
        <v>22</v>
      </c>
      <c r="C104" s="68">
        <v>-68600</v>
      </c>
      <c r="D104" s="67">
        <v>895.18568979591839</v>
      </c>
      <c r="E104" s="66">
        <v>921.35</v>
      </c>
      <c r="F104" s="66">
        <v>223.88103149999998</v>
      </c>
      <c r="G104" s="65">
        <f>(C104*E104)/100000</f>
        <v>-632.04610000000002</v>
      </c>
      <c r="H104" s="44"/>
      <c r="N104" s="44"/>
      <c r="O104" s="44"/>
      <c r="P104" s="44"/>
      <c r="Q104" s="44"/>
    </row>
    <row r="105" spans="1:17" x14ac:dyDescent="0.35">
      <c r="A105" s="51" t="s">
        <v>543</v>
      </c>
      <c r="B105" s="51" t="s">
        <v>187</v>
      </c>
      <c r="C105" s="68">
        <v>-115600</v>
      </c>
      <c r="D105" s="67">
        <v>1180.4854</v>
      </c>
      <c r="E105" s="66">
        <v>1187.4000000000001</v>
      </c>
      <c r="F105" s="66">
        <v>243.24667600000001</v>
      </c>
      <c r="G105" s="65">
        <f>(C105*E105)/100000</f>
        <v>-1372.6343999999999</v>
      </c>
      <c r="H105" s="44"/>
      <c r="N105" s="44"/>
      <c r="O105" s="44"/>
      <c r="P105" s="44"/>
      <c r="Q105" s="44"/>
    </row>
    <row r="106" spans="1:17" x14ac:dyDescent="0.35">
      <c r="A106" s="51" t="s">
        <v>542</v>
      </c>
      <c r="B106" s="51" t="s">
        <v>30</v>
      </c>
      <c r="C106" s="68">
        <v>-44200</v>
      </c>
      <c r="D106" s="67">
        <v>423.46530000000001</v>
      </c>
      <c r="E106" s="66">
        <v>414.15</v>
      </c>
      <c r="F106" s="66">
        <v>1018.223483</v>
      </c>
      <c r="G106" s="65">
        <f>(C106*E106)/100000</f>
        <v>-183.05430000000001</v>
      </c>
      <c r="H106" s="44"/>
      <c r="N106" s="44"/>
      <c r="O106" s="44"/>
      <c r="P106" s="44"/>
      <c r="Q106" s="44"/>
    </row>
    <row r="107" spans="1:17" x14ac:dyDescent="0.35">
      <c r="A107" s="51" t="s">
        <v>542</v>
      </c>
      <c r="B107" s="51" t="s">
        <v>30</v>
      </c>
      <c r="C107" s="68">
        <v>-1174700</v>
      </c>
      <c r="D107" s="67">
        <v>413.77976845151954</v>
      </c>
      <c r="E107" s="66">
        <v>412.2</v>
      </c>
      <c r="F107" s="66">
        <v>1018.223483</v>
      </c>
      <c r="G107" s="65">
        <f>(C107*E107)/100000</f>
        <v>-4842.1134000000002</v>
      </c>
      <c r="H107" s="44"/>
      <c r="N107" s="44"/>
      <c r="O107" s="44"/>
      <c r="P107" s="44"/>
      <c r="Q107" s="44"/>
    </row>
    <row r="108" spans="1:17" x14ac:dyDescent="0.35">
      <c r="A108" s="51" t="s">
        <v>541</v>
      </c>
      <c r="B108" s="51" t="s">
        <v>62</v>
      </c>
      <c r="C108" s="68">
        <v>-14300</v>
      </c>
      <c r="D108" s="67">
        <v>98.947500000000005</v>
      </c>
      <c r="E108" s="66">
        <v>102.2</v>
      </c>
      <c r="F108" s="66">
        <v>1796.1124431000001</v>
      </c>
      <c r="G108" s="65">
        <f>(C108*E108)/100000</f>
        <v>-14.614599999999999</v>
      </c>
      <c r="H108" s="44"/>
      <c r="N108" s="44"/>
      <c r="O108" s="44"/>
      <c r="P108" s="44"/>
      <c r="Q108" s="44"/>
    </row>
    <row r="109" spans="1:17" x14ac:dyDescent="0.35">
      <c r="A109" s="51" t="s">
        <v>541</v>
      </c>
      <c r="B109" s="51" t="s">
        <v>62</v>
      </c>
      <c r="C109" s="68">
        <v>-4129125</v>
      </c>
      <c r="D109" s="67">
        <v>102.80380303090848</v>
      </c>
      <c r="E109" s="66">
        <v>101.51</v>
      </c>
      <c r="F109" s="66">
        <v>1796.1124431000001</v>
      </c>
      <c r="G109" s="65">
        <f>(C109*E109)/100000</f>
        <v>-4191.4747875000003</v>
      </c>
      <c r="H109" s="44"/>
      <c r="N109" s="44"/>
      <c r="O109" s="44"/>
      <c r="P109" s="44"/>
      <c r="Q109" s="44"/>
    </row>
    <row r="110" spans="1:17" x14ac:dyDescent="0.35">
      <c r="A110" s="51" t="s">
        <v>162</v>
      </c>
      <c r="B110" s="51" t="s">
        <v>149</v>
      </c>
      <c r="C110" s="68">
        <v>-140700</v>
      </c>
      <c r="D110" s="67">
        <v>4361.7721399431412</v>
      </c>
      <c r="E110" s="66">
        <v>4321.3</v>
      </c>
      <c r="F110" s="66">
        <v>1298.2227195</v>
      </c>
      <c r="G110" s="65">
        <f>(C110*E110)/100000</f>
        <v>-6080.0690999999997</v>
      </c>
      <c r="H110" s="44"/>
      <c r="N110" s="44"/>
      <c r="O110" s="44"/>
      <c r="P110" s="44"/>
      <c r="Q110" s="44"/>
    </row>
    <row r="111" spans="1:17" x14ac:dyDescent="0.35">
      <c r="A111" s="51" t="s">
        <v>136</v>
      </c>
      <c r="B111" s="51" t="s">
        <v>25</v>
      </c>
      <c r="C111" s="68">
        <v>-160875</v>
      </c>
      <c r="D111" s="67">
        <v>144.36057877233878</v>
      </c>
      <c r="E111" s="66">
        <v>144.04</v>
      </c>
      <c r="F111" s="66">
        <v>1843.3774125</v>
      </c>
      <c r="G111" s="65">
        <f>(C111*E111)/100000</f>
        <v>-231.72434999999999</v>
      </c>
      <c r="H111" s="44"/>
      <c r="N111" s="44"/>
      <c r="O111" s="44"/>
      <c r="P111" s="44"/>
      <c r="Q111" s="44"/>
    </row>
    <row r="112" spans="1:17" x14ac:dyDescent="0.35">
      <c r="A112" s="51" t="s">
        <v>136</v>
      </c>
      <c r="B112" s="51" t="s">
        <v>25</v>
      </c>
      <c r="C112" s="68">
        <v>-6751875</v>
      </c>
      <c r="D112" s="67">
        <v>145.42648426103861</v>
      </c>
      <c r="E112" s="66">
        <v>143.12</v>
      </c>
      <c r="F112" s="66">
        <v>1843.3774125</v>
      </c>
      <c r="G112" s="65">
        <f>(C112*E112)/100000</f>
        <v>-9663.2834999999995</v>
      </c>
      <c r="H112" s="44"/>
      <c r="N112" s="44"/>
      <c r="O112" s="44"/>
      <c r="P112" s="44"/>
      <c r="Q112" s="44"/>
    </row>
    <row r="113" spans="1:17" x14ac:dyDescent="0.35">
      <c r="A113" s="51" t="s">
        <v>540</v>
      </c>
      <c r="B113" s="51" t="s">
        <v>36</v>
      </c>
      <c r="C113" s="68">
        <v>-1035200</v>
      </c>
      <c r="D113" s="67">
        <v>309.11738392581145</v>
      </c>
      <c r="E113" s="66">
        <v>317.95</v>
      </c>
      <c r="F113" s="66">
        <v>9149.0498479999987</v>
      </c>
      <c r="G113" s="65">
        <f>(C113*E113)/100000</f>
        <v>-3291.4184</v>
      </c>
      <c r="H113" s="44"/>
      <c r="N113" s="44"/>
      <c r="O113" s="44"/>
      <c r="P113" s="44"/>
      <c r="Q113" s="44"/>
    </row>
    <row r="114" spans="1:17" x14ac:dyDescent="0.35">
      <c r="A114" s="51" t="s">
        <v>540</v>
      </c>
      <c r="B114" s="51" t="s">
        <v>36</v>
      </c>
      <c r="C114" s="68">
        <v>-15281600</v>
      </c>
      <c r="D114" s="67">
        <v>305.9812724740865</v>
      </c>
      <c r="E114" s="66">
        <v>315.75</v>
      </c>
      <c r="F114" s="66">
        <v>9149.0498479999987</v>
      </c>
      <c r="G114" s="65">
        <f>(C114*E114)/100000</f>
        <v>-48251.652000000002</v>
      </c>
      <c r="H114" s="44"/>
      <c r="N114" s="44"/>
      <c r="O114" s="44"/>
      <c r="P114" s="44"/>
      <c r="Q114" s="44"/>
    </row>
    <row r="115" spans="1:17" x14ac:dyDescent="0.35">
      <c r="A115" s="51" t="s">
        <v>539</v>
      </c>
      <c r="B115" s="51" t="s">
        <v>33</v>
      </c>
      <c r="C115" s="68">
        <v>-83125</v>
      </c>
      <c r="D115" s="67">
        <v>1269.1646444511277</v>
      </c>
      <c r="E115" s="66">
        <v>1232.5999999999999</v>
      </c>
      <c r="F115" s="66">
        <v>207.476675</v>
      </c>
      <c r="G115" s="65">
        <f>(C115*E115)/100000</f>
        <v>-1024.5987499999999</v>
      </c>
      <c r="H115" s="44"/>
      <c r="N115" s="44"/>
      <c r="O115" s="44"/>
      <c r="P115" s="44"/>
      <c r="Q115" s="44"/>
    </row>
    <row r="116" spans="1:17" x14ac:dyDescent="0.35">
      <c r="A116" s="51" t="s">
        <v>248</v>
      </c>
      <c r="B116" s="51" t="s">
        <v>49</v>
      </c>
      <c r="C116" s="68">
        <v>-397000</v>
      </c>
      <c r="D116" s="67">
        <v>553.95246725440802</v>
      </c>
      <c r="E116" s="66">
        <v>563.9</v>
      </c>
      <c r="F116" s="66">
        <v>842.81115</v>
      </c>
      <c r="G116" s="65">
        <f>(C116*E116)/100000</f>
        <v>-2238.683</v>
      </c>
      <c r="H116" s="44"/>
      <c r="N116" s="44"/>
      <c r="O116" s="44"/>
      <c r="P116" s="44"/>
      <c r="Q116" s="44"/>
    </row>
    <row r="117" spans="1:17" x14ac:dyDescent="0.35">
      <c r="A117" s="51" t="s">
        <v>32</v>
      </c>
      <c r="B117" s="51" t="s">
        <v>33</v>
      </c>
      <c r="C117" s="68">
        <v>-31725</v>
      </c>
      <c r="D117" s="67">
        <v>1295.2892999211979</v>
      </c>
      <c r="E117" s="66">
        <v>1279.0999999999999</v>
      </c>
      <c r="F117" s="66">
        <v>10964.582526400001</v>
      </c>
      <c r="G117" s="65">
        <f>(C117*E117)/100000</f>
        <v>-405.79447499999998</v>
      </c>
      <c r="H117" s="44"/>
      <c r="N117" s="44"/>
      <c r="O117" s="44"/>
      <c r="P117" s="44"/>
      <c r="Q117" s="44"/>
    </row>
    <row r="118" spans="1:17" x14ac:dyDescent="0.35">
      <c r="A118" s="51" t="s">
        <v>32</v>
      </c>
      <c r="B118" s="51" t="s">
        <v>33</v>
      </c>
      <c r="C118" s="68">
        <v>-4812075</v>
      </c>
      <c r="D118" s="67">
        <v>1234.8886641667057</v>
      </c>
      <c r="E118" s="66">
        <v>1270.3</v>
      </c>
      <c r="F118" s="66">
        <v>10964.582526400001</v>
      </c>
      <c r="G118" s="65">
        <f>(C118*E118)/100000</f>
        <v>-61127.788724999999</v>
      </c>
      <c r="H118" s="44"/>
      <c r="N118" s="44"/>
      <c r="O118" s="44"/>
      <c r="P118" s="44"/>
      <c r="Q118" s="44"/>
    </row>
    <row r="119" spans="1:17" x14ac:dyDescent="0.35">
      <c r="A119" s="51" t="s">
        <v>538</v>
      </c>
      <c r="B119" s="51" t="s">
        <v>52</v>
      </c>
      <c r="C119" s="68">
        <v>-3525</v>
      </c>
      <c r="D119" s="67">
        <v>424.33329929078013</v>
      </c>
      <c r="E119" s="66">
        <v>417.4</v>
      </c>
      <c r="F119" s="66">
        <v>1145.2208851999999</v>
      </c>
      <c r="G119" s="65">
        <f>(C119*E119)/100000</f>
        <v>-14.71335</v>
      </c>
      <c r="H119" s="44"/>
      <c r="N119" s="44"/>
      <c r="O119" s="44"/>
      <c r="P119" s="44"/>
      <c r="Q119" s="44"/>
    </row>
    <row r="120" spans="1:17" x14ac:dyDescent="0.35">
      <c r="A120" s="51" t="s">
        <v>538</v>
      </c>
      <c r="B120" s="51" t="s">
        <v>52</v>
      </c>
      <c r="C120" s="68">
        <v>-1043400</v>
      </c>
      <c r="D120" s="67">
        <v>418.53869955913359</v>
      </c>
      <c r="E120" s="66">
        <v>415.15</v>
      </c>
      <c r="F120" s="66">
        <v>1145.2208851999999</v>
      </c>
      <c r="G120" s="65">
        <f>(C120*E120)/100000</f>
        <v>-4331.6751000000004</v>
      </c>
      <c r="H120" s="44"/>
      <c r="N120" s="44"/>
      <c r="O120" s="44"/>
      <c r="P120" s="44"/>
      <c r="Q120" s="44"/>
    </row>
    <row r="121" spans="1:17" x14ac:dyDescent="0.35">
      <c r="A121" s="51" t="s">
        <v>300</v>
      </c>
      <c r="B121" s="51" t="s">
        <v>124</v>
      </c>
      <c r="C121" s="68">
        <v>-21875</v>
      </c>
      <c r="D121" s="67">
        <v>4838.7855602285717</v>
      </c>
      <c r="E121" s="66">
        <v>4885.8</v>
      </c>
      <c r="F121" s="66">
        <v>258.0703125</v>
      </c>
      <c r="G121" s="65">
        <f>(C121*E121)/100000</f>
        <v>-1068.76875</v>
      </c>
      <c r="H121" s="44"/>
      <c r="N121" s="44"/>
      <c r="O121" s="44"/>
      <c r="P121" s="44"/>
      <c r="Q121" s="44"/>
    </row>
    <row r="122" spans="1:17" x14ac:dyDescent="0.35">
      <c r="A122" s="51" t="s">
        <v>537</v>
      </c>
      <c r="B122" s="51" t="s">
        <v>22</v>
      </c>
      <c r="C122" s="68">
        <v>-1634000</v>
      </c>
      <c r="D122" s="67">
        <v>384.72067086903303</v>
      </c>
      <c r="E122" s="66">
        <v>387.75</v>
      </c>
      <c r="F122" s="66">
        <v>5272.0091700000003</v>
      </c>
      <c r="G122" s="65">
        <f>(C122*E122)/100000</f>
        <v>-6335.835</v>
      </c>
      <c r="H122" s="44"/>
      <c r="N122" s="44"/>
      <c r="O122" s="44"/>
      <c r="P122" s="44"/>
      <c r="Q122" s="44"/>
    </row>
    <row r="123" spans="1:17" x14ac:dyDescent="0.35">
      <c r="A123" s="51" t="s">
        <v>537</v>
      </c>
      <c r="B123" s="51" t="s">
        <v>22</v>
      </c>
      <c r="C123" s="68">
        <v>-6124000</v>
      </c>
      <c r="D123" s="67">
        <v>377.91689640757676</v>
      </c>
      <c r="E123" s="66">
        <v>385.9</v>
      </c>
      <c r="F123" s="66">
        <v>5272.0091700000003</v>
      </c>
      <c r="G123" s="65">
        <f>(C123*E123)/100000</f>
        <v>-23632.516</v>
      </c>
      <c r="H123" s="44"/>
      <c r="N123" s="44"/>
      <c r="O123" s="44"/>
      <c r="P123" s="44"/>
      <c r="Q123" s="44"/>
    </row>
    <row r="124" spans="1:17" x14ac:dyDescent="0.35">
      <c r="A124" s="51" t="s">
        <v>536</v>
      </c>
      <c r="B124" s="51" t="s">
        <v>187</v>
      </c>
      <c r="C124" s="68">
        <v>-3825</v>
      </c>
      <c r="D124" s="67">
        <v>740.37224575163395</v>
      </c>
      <c r="E124" s="66">
        <v>761.6</v>
      </c>
      <c r="F124" s="66">
        <v>6.6688875000000003</v>
      </c>
      <c r="G124" s="65">
        <f>(C124*E124)/100000</f>
        <v>-29.1312</v>
      </c>
      <c r="H124" s="44"/>
      <c r="N124" s="44"/>
      <c r="O124" s="44"/>
      <c r="P124" s="44"/>
      <c r="Q124" s="44"/>
    </row>
    <row r="125" spans="1:17" x14ac:dyDescent="0.35">
      <c r="A125" s="51" t="s">
        <v>535</v>
      </c>
      <c r="B125" s="51" t="s">
        <v>73</v>
      </c>
      <c r="C125" s="68">
        <v>-522900</v>
      </c>
      <c r="D125" s="67">
        <v>4075.6196959839358</v>
      </c>
      <c r="E125" s="66">
        <v>4037.7</v>
      </c>
      <c r="F125" s="66">
        <v>3939.6331799999998</v>
      </c>
      <c r="G125" s="65">
        <f>(C125*E125)/100000</f>
        <v>-21113.133300000001</v>
      </c>
      <c r="H125" s="44"/>
      <c r="N125" s="44"/>
      <c r="O125" s="44"/>
      <c r="P125" s="44"/>
      <c r="Q125" s="44"/>
    </row>
    <row r="126" spans="1:17" x14ac:dyDescent="0.35">
      <c r="A126" s="51" t="s">
        <v>172</v>
      </c>
      <c r="B126" s="51" t="s">
        <v>87</v>
      </c>
      <c r="C126" s="68">
        <v>-456450</v>
      </c>
      <c r="D126" s="67">
        <v>1098.9402556906562</v>
      </c>
      <c r="E126" s="66">
        <v>1107.45</v>
      </c>
      <c r="F126" s="66">
        <v>1061.2462499999999</v>
      </c>
      <c r="G126" s="65">
        <f>(C126*E126)/100000</f>
        <v>-5054.9555250000003</v>
      </c>
      <c r="H126" s="44"/>
      <c r="N126" s="44"/>
      <c r="O126" s="44"/>
      <c r="P126" s="44"/>
      <c r="Q126" s="44"/>
    </row>
    <row r="127" spans="1:17" x14ac:dyDescent="0.35">
      <c r="A127" s="51" t="s">
        <v>102</v>
      </c>
      <c r="B127" s="51" t="s">
        <v>65</v>
      </c>
      <c r="C127" s="68">
        <v>-2266000</v>
      </c>
      <c r="D127" s="67">
        <v>542.2626051632833</v>
      </c>
      <c r="E127" s="66">
        <v>558</v>
      </c>
      <c r="F127" s="66">
        <v>4234.9557249999998</v>
      </c>
      <c r="G127" s="65">
        <f>(C127*E127)/100000</f>
        <v>-12644.28</v>
      </c>
      <c r="H127" s="44"/>
      <c r="N127" s="44"/>
      <c r="O127" s="44"/>
      <c r="P127" s="44"/>
      <c r="Q127" s="44"/>
    </row>
    <row r="128" spans="1:17" x14ac:dyDescent="0.35">
      <c r="A128" s="51" t="s">
        <v>275</v>
      </c>
      <c r="B128" s="51" t="s">
        <v>87</v>
      </c>
      <c r="C128" s="68">
        <v>-63325</v>
      </c>
      <c r="D128" s="67">
        <v>2324.4121070667193</v>
      </c>
      <c r="E128" s="66">
        <v>2310.8000000000002</v>
      </c>
      <c r="F128" s="66">
        <v>259.47197110000002</v>
      </c>
      <c r="G128" s="65">
        <f>(C128*E128)/100000</f>
        <v>-1463.3141000000001</v>
      </c>
      <c r="H128" s="44"/>
      <c r="N128" s="44"/>
      <c r="O128" s="44"/>
      <c r="P128" s="44"/>
      <c r="Q128" s="44"/>
    </row>
    <row r="129" spans="1:17" x14ac:dyDescent="0.35">
      <c r="A129" s="51" t="s">
        <v>43</v>
      </c>
      <c r="B129" s="51" t="s">
        <v>44</v>
      </c>
      <c r="C129" s="68">
        <v>-222800</v>
      </c>
      <c r="D129" s="67">
        <v>3245.9656086175942</v>
      </c>
      <c r="E129" s="66">
        <v>3135.4</v>
      </c>
      <c r="F129" s="66">
        <v>8606.748458</v>
      </c>
      <c r="G129" s="65">
        <f>(C129*E129)/100000</f>
        <v>-6985.6711999999998</v>
      </c>
      <c r="H129" s="44"/>
      <c r="N129" s="44"/>
      <c r="O129" s="44"/>
      <c r="P129" s="44"/>
      <c r="Q129" s="44"/>
    </row>
    <row r="130" spans="1:17" x14ac:dyDescent="0.35">
      <c r="A130" s="51" t="s">
        <v>43</v>
      </c>
      <c r="B130" s="51" t="s">
        <v>44</v>
      </c>
      <c r="C130" s="68">
        <v>-1186600</v>
      </c>
      <c r="D130" s="67">
        <v>3104.5293545760996</v>
      </c>
      <c r="E130" s="66">
        <v>3115</v>
      </c>
      <c r="F130" s="66">
        <v>8606.748458</v>
      </c>
      <c r="G130" s="65">
        <f>(C130*E130)/100000</f>
        <v>-36962.589999999997</v>
      </c>
      <c r="H130" s="44"/>
      <c r="N130" s="44"/>
      <c r="O130" s="44"/>
      <c r="P130" s="44"/>
      <c r="Q130" s="44"/>
    </row>
    <row r="131" spans="1:17" x14ac:dyDescent="0.35">
      <c r="A131" s="51" t="s">
        <v>534</v>
      </c>
      <c r="B131" s="51" t="s">
        <v>152</v>
      </c>
      <c r="C131" s="68">
        <v>-135000</v>
      </c>
      <c r="D131" s="67">
        <v>875.09299999999996</v>
      </c>
      <c r="E131" s="66">
        <v>907.6</v>
      </c>
      <c r="F131" s="66">
        <v>1188.4059743</v>
      </c>
      <c r="G131" s="65">
        <f>(C131*E131)/100000</f>
        <v>-1225.26</v>
      </c>
      <c r="H131" s="44"/>
      <c r="N131" s="44"/>
      <c r="O131" s="44"/>
      <c r="P131" s="44"/>
      <c r="Q131" s="44"/>
    </row>
    <row r="132" spans="1:17" x14ac:dyDescent="0.35">
      <c r="A132" s="51" t="s">
        <v>534</v>
      </c>
      <c r="B132" s="51" t="s">
        <v>152</v>
      </c>
      <c r="C132" s="68">
        <v>-389700</v>
      </c>
      <c r="D132" s="67">
        <v>849.69995958429558</v>
      </c>
      <c r="E132" s="66">
        <v>902.4</v>
      </c>
      <c r="F132" s="66">
        <v>1188.4059743</v>
      </c>
      <c r="G132" s="65">
        <f>(C132*E132)/100000</f>
        <v>-3516.6527999999998</v>
      </c>
      <c r="H132" s="44"/>
      <c r="N132" s="44"/>
      <c r="O132" s="44"/>
      <c r="P132" s="44"/>
      <c r="Q132" s="44"/>
    </row>
    <row r="133" spans="1:17" x14ac:dyDescent="0.35">
      <c r="A133" s="51" t="s">
        <v>351</v>
      </c>
      <c r="B133" s="51" t="s">
        <v>65</v>
      </c>
      <c r="C133" s="68">
        <v>-48000</v>
      </c>
      <c r="D133" s="67">
        <v>280.8187375</v>
      </c>
      <c r="E133" s="66">
        <v>295.8</v>
      </c>
      <c r="F133" s="66">
        <v>53.324399999999997</v>
      </c>
      <c r="G133" s="65">
        <f>(C133*E133)/100000</f>
        <v>-141.98400000000001</v>
      </c>
      <c r="H133" s="44"/>
      <c r="N133" s="44"/>
      <c r="O133" s="44"/>
      <c r="P133" s="44"/>
      <c r="Q133" s="44"/>
    </row>
    <row r="134" spans="1:17" x14ac:dyDescent="0.35">
      <c r="A134" s="51" t="s">
        <v>80</v>
      </c>
      <c r="B134" s="51" t="s">
        <v>504</v>
      </c>
      <c r="C134" s="68">
        <v>-2144400</v>
      </c>
      <c r="D134" s="67">
        <v>784.36423827644091</v>
      </c>
      <c r="E134" s="66">
        <v>777.75</v>
      </c>
      <c r="F134" s="66">
        <v>2961.6415619999998</v>
      </c>
      <c r="G134" s="65">
        <f>(C134*E134)/100000</f>
        <v>-16678.071</v>
      </c>
      <c r="H134" s="44"/>
      <c r="N134" s="44"/>
      <c r="O134" s="44"/>
      <c r="P134" s="44"/>
      <c r="Q134" s="44"/>
    </row>
    <row r="135" spans="1:17" x14ac:dyDescent="0.35">
      <c r="A135" s="51" t="s">
        <v>533</v>
      </c>
      <c r="B135" s="51" t="s">
        <v>44</v>
      </c>
      <c r="C135" s="68">
        <v>-42450</v>
      </c>
      <c r="D135" s="67">
        <v>13353.658395053004</v>
      </c>
      <c r="E135" s="66">
        <v>13464</v>
      </c>
      <c r="F135" s="66">
        <v>5565.3444824999997</v>
      </c>
      <c r="G135" s="65">
        <f>(C135*E135)/100000</f>
        <v>-5715.4679999999998</v>
      </c>
      <c r="H135" s="44"/>
      <c r="N135" s="44"/>
      <c r="O135" s="44"/>
      <c r="P135" s="44"/>
      <c r="Q135" s="44"/>
    </row>
    <row r="136" spans="1:17" x14ac:dyDescent="0.35">
      <c r="A136" s="51" t="s">
        <v>533</v>
      </c>
      <c r="B136" s="51" t="s">
        <v>44</v>
      </c>
      <c r="C136" s="68">
        <v>-193650</v>
      </c>
      <c r="D136" s="67">
        <v>13214.474814200878</v>
      </c>
      <c r="E136" s="66">
        <v>13386</v>
      </c>
      <c r="F136" s="66">
        <v>5565.3444824999997</v>
      </c>
      <c r="G136" s="65">
        <f>(C136*E136)/100000</f>
        <v>-25921.989000000001</v>
      </c>
      <c r="H136" s="44"/>
      <c r="N136" s="44"/>
      <c r="O136" s="44"/>
      <c r="P136" s="44"/>
      <c r="Q136" s="44"/>
    </row>
    <row r="137" spans="1:17" x14ac:dyDescent="0.35">
      <c r="A137" s="51" t="s">
        <v>532</v>
      </c>
      <c r="B137" s="51" t="s">
        <v>119</v>
      </c>
      <c r="C137" s="68">
        <v>-245700</v>
      </c>
      <c r="D137" s="67">
        <v>968.84419808709811</v>
      </c>
      <c r="E137" s="66">
        <v>998.95</v>
      </c>
      <c r="F137" s="66">
        <v>479.04129</v>
      </c>
      <c r="G137" s="65">
        <f>(C137*E137)/100000</f>
        <v>-2454.4201499999999</v>
      </c>
      <c r="H137" s="44"/>
      <c r="N137" s="44"/>
      <c r="O137" s="44"/>
      <c r="P137" s="44"/>
      <c r="Q137" s="44"/>
    </row>
    <row r="138" spans="1:17" x14ac:dyDescent="0.35">
      <c r="A138" s="51" t="s">
        <v>208</v>
      </c>
      <c r="B138" s="51" t="s">
        <v>167</v>
      </c>
      <c r="C138" s="68">
        <v>-267600</v>
      </c>
      <c r="D138" s="67">
        <v>1592.5890397608371</v>
      </c>
      <c r="E138" s="66">
        <v>1595.1</v>
      </c>
      <c r="F138" s="66">
        <v>762.74027999999998</v>
      </c>
      <c r="G138" s="65">
        <f>(C138*E138)/100000</f>
        <v>-4268.4876000000004</v>
      </c>
      <c r="H138" s="44"/>
      <c r="N138" s="44"/>
      <c r="O138" s="44"/>
      <c r="P138" s="44"/>
      <c r="Q138" s="44"/>
    </row>
    <row r="139" spans="1:17" x14ac:dyDescent="0.35">
      <c r="A139" s="51" t="s">
        <v>531</v>
      </c>
      <c r="B139" s="51" t="s">
        <v>265</v>
      </c>
      <c r="C139" s="68">
        <v>-64400</v>
      </c>
      <c r="D139" s="67">
        <v>2688.8180000000002</v>
      </c>
      <c r="E139" s="66">
        <v>2742.2</v>
      </c>
      <c r="F139" s="66">
        <v>500.95761799999997</v>
      </c>
      <c r="G139" s="65">
        <f>(C139*E139)/100000</f>
        <v>-1765.9767999999999</v>
      </c>
      <c r="H139" s="44"/>
      <c r="N139" s="44"/>
      <c r="O139" s="44"/>
      <c r="P139" s="44"/>
      <c r="Q139" s="44"/>
    </row>
    <row r="140" spans="1:17" x14ac:dyDescent="0.35">
      <c r="A140" s="51" t="s">
        <v>530</v>
      </c>
      <c r="B140" s="51" t="s">
        <v>184</v>
      </c>
      <c r="C140" s="68">
        <v>-16800</v>
      </c>
      <c r="D140" s="67">
        <v>1358.2023714285715</v>
      </c>
      <c r="E140" s="66">
        <v>1341.2</v>
      </c>
      <c r="F140" s="66">
        <v>491.379684</v>
      </c>
      <c r="G140" s="65">
        <f>(C140*E140)/100000</f>
        <v>-225.32159999999999</v>
      </c>
      <c r="H140" s="44"/>
      <c r="N140" s="44"/>
      <c r="O140" s="44"/>
      <c r="P140" s="44"/>
      <c r="Q140" s="44"/>
    </row>
    <row r="141" spans="1:17" x14ac:dyDescent="0.35">
      <c r="A141" s="51" t="s">
        <v>530</v>
      </c>
      <c r="B141" s="51" t="s">
        <v>184</v>
      </c>
      <c r="C141" s="68">
        <v>-187200</v>
      </c>
      <c r="D141" s="67">
        <v>1340.7181480769232</v>
      </c>
      <c r="E141" s="66">
        <v>1333.6</v>
      </c>
      <c r="F141" s="66">
        <v>491.379684</v>
      </c>
      <c r="G141" s="65">
        <f>(C141*E141)/100000</f>
        <v>-2496.4991999999997</v>
      </c>
      <c r="H141" s="44"/>
      <c r="N141" s="44"/>
      <c r="O141" s="44"/>
      <c r="P141" s="44"/>
      <c r="Q141" s="44"/>
    </row>
    <row r="142" spans="1:17" x14ac:dyDescent="0.35">
      <c r="A142" s="51" t="s">
        <v>529</v>
      </c>
      <c r="B142" s="51" t="s">
        <v>70</v>
      </c>
      <c r="C142" s="68">
        <v>-718750</v>
      </c>
      <c r="D142" s="67">
        <v>2798.0544135791306</v>
      </c>
      <c r="E142" s="66">
        <v>2981</v>
      </c>
      <c r="F142" s="66">
        <v>5438.3571874999998</v>
      </c>
      <c r="G142" s="65">
        <f>(C142*E142)/100000</f>
        <v>-21425.9375</v>
      </c>
      <c r="H142" s="44"/>
      <c r="N142" s="44"/>
      <c r="O142" s="44"/>
      <c r="P142" s="44"/>
      <c r="Q142" s="44"/>
    </row>
    <row r="143" spans="1:17" x14ac:dyDescent="0.35">
      <c r="A143" s="51" t="s">
        <v>528</v>
      </c>
      <c r="B143" s="51" t="s">
        <v>181</v>
      </c>
      <c r="C143" s="68">
        <v>-4025</v>
      </c>
      <c r="D143" s="67">
        <v>37227.23605217391</v>
      </c>
      <c r="E143" s="66">
        <v>36230</v>
      </c>
      <c r="F143" s="66">
        <v>277.27198629999998</v>
      </c>
      <c r="G143" s="65">
        <f>(C143*E143)/100000</f>
        <v>-1458.2574999999999</v>
      </c>
      <c r="H143" s="44"/>
      <c r="N143" s="44"/>
      <c r="O143" s="44"/>
      <c r="P143" s="44"/>
      <c r="Q143" s="44"/>
    </row>
    <row r="144" spans="1:17" x14ac:dyDescent="0.35">
      <c r="A144" s="51" t="s">
        <v>527</v>
      </c>
      <c r="B144" s="51" t="s">
        <v>181</v>
      </c>
      <c r="C144" s="68">
        <v>-140250</v>
      </c>
      <c r="D144" s="67">
        <v>1118.2689929411765</v>
      </c>
      <c r="E144" s="66">
        <v>1119.9000000000001</v>
      </c>
      <c r="F144" s="66">
        <v>356.12911130000003</v>
      </c>
      <c r="G144" s="65">
        <f>(C144*E144)/100000</f>
        <v>-1570.65975</v>
      </c>
      <c r="H144" s="44"/>
      <c r="N144" s="44"/>
      <c r="O144" s="44"/>
      <c r="P144" s="44"/>
      <c r="Q144" s="44"/>
    </row>
    <row r="145" spans="1:17" x14ac:dyDescent="0.35">
      <c r="A145" s="51" t="s">
        <v>180</v>
      </c>
      <c r="B145" s="51" t="s">
        <v>181</v>
      </c>
      <c r="C145" s="68">
        <v>-3942150</v>
      </c>
      <c r="D145" s="67">
        <v>127.06899251423715</v>
      </c>
      <c r="E145" s="66">
        <v>121.92</v>
      </c>
      <c r="F145" s="66">
        <v>1113.2828708</v>
      </c>
      <c r="G145" s="65">
        <f>(C145*E145)/100000</f>
        <v>-4806.2692800000004</v>
      </c>
      <c r="H145" s="44"/>
      <c r="N145" s="44"/>
      <c r="O145" s="44"/>
      <c r="P145" s="44"/>
      <c r="Q145" s="44"/>
    </row>
    <row r="146" spans="1:17" x14ac:dyDescent="0.35">
      <c r="A146" s="51" t="s">
        <v>526</v>
      </c>
      <c r="B146" s="51" t="s">
        <v>187</v>
      </c>
      <c r="C146" s="68">
        <v>-8525</v>
      </c>
      <c r="D146" s="67">
        <v>2275.370961876833</v>
      </c>
      <c r="E146" s="66">
        <v>2288.8000000000002</v>
      </c>
      <c r="F146" s="66">
        <v>38.607167500000003</v>
      </c>
      <c r="G146" s="65">
        <f>(C146*E146)/100000</f>
        <v>-195.12020000000001</v>
      </c>
      <c r="H146" s="44"/>
      <c r="N146" s="44"/>
      <c r="O146" s="44"/>
      <c r="P146" s="44"/>
      <c r="Q146" s="44"/>
    </row>
    <row r="147" spans="1:17" x14ac:dyDescent="0.35">
      <c r="A147" s="51" t="s">
        <v>525</v>
      </c>
      <c r="B147" s="51" t="s">
        <v>105</v>
      </c>
      <c r="C147" s="68">
        <v>-725800</v>
      </c>
      <c r="D147" s="67">
        <v>1610.0222256682282</v>
      </c>
      <c r="E147" s="66">
        <v>1662.9</v>
      </c>
      <c r="F147" s="66">
        <v>2563.8957580000001</v>
      </c>
      <c r="G147" s="65">
        <f>(C147*E147)/100000</f>
        <v>-12069.3282</v>
      </c>
      <c r="H147" s="44"/>
      <c r="N147" s="44"/>
      <c r="O147" s="44"/>
      <c r="P147" s="44"/>
      <c r="Q147" s="44"/>
    </row>
    <row r="148" spans="1:17" x14ac:dyDescent="0.35">
      <c r="A148" s="51" t="s">
        <v>250</v>
      </c>
      <c r="B148" s="51" t="s">
        <v>65</v>
      </c>
      <c r="C148" s="68">
        <v>-63800</v>
      </c>
      <c r="D148" s="67">
        <v>3539.0426673981192</v>
      </c>
      <c r="E148" s="66">
        <v>3444.4</v>
      </c>
      <c r="F148" s="66">
        <v>506.06797999999998</v>
      </c>
      <c r="G148" s="65">
        <f>(C148*E148)/100000</f>
        <v>-2197.5272</v>
      </c>
      <c r="H148" s="44"/>
      <c r="N148" s="44"/>
      <c r="O148" s="44"/>
      <c r="P148" s="44"/>
      <c r="Q148" s="44"/>
    </row>
    <row r="149" spans="1:17" x14ac:dyDescent="0.35">
      <c r="A149" s="51" t="s">
        <v>111</v>
      </c>
      <c r="B149" s="51" t="s">
        <v>112</v>
      </c>
      <c r="C149" s="68">
        <v>-2940000</v>
      </c>
      <c r="D149" s="67">
        <v>440.81464719727893</v>
      </c>
      <c r="E149" s="66">
        <v>398.45</v>
      </c>
      <c r="F149" s="66">
        <v>3303.384</v>
      </c>
      <c r="G149" s="65">
        <f>(C149*E149)/100000</f>
        <v>-11714.43</v>
      </c>
      <c r="H149" s="44"/>
      <c r="N149" s="44"/>
      <c r="O149" s="44"/>
      <c r="P149" s="44"/>
      <c r="Q149" s="44"/>
    </row>
    <row r="150" spans="1:17" x14ac:dyDescent="0.35">
      <c r="A150" s="51" t="s">
        <v>524</v>
      </c>
      <c r="B150" s="51" t="s">
        <v>78</v>
      </c>
      <c r="C150" s="68">
        <v>-213375</v>
      </c>
      <c r="D150" s="67">
        <v>992.8930033977739</v>
      </c>
      <c r="E150" s="66">
        <v>978.2</v>
      </c>
      <c r="F150" s="66">
        <v>418.53559590000003</v>
      </c>
      <c r="G150" s="65">
        <f>(C150*E150)/100000</f>
        <v>-2087.23425</v>
      </c>
      <c r="H150" s="44"/>
      <c r="N150" s="44"/>
      <c r="O150" s="44"/>
      <c r="P150" s="44"/>
      <c r="Q150" s="44"/>
    </row>
    <row r="151" spans="1:17" x14ac:dyDescent="0.35">
      <c r="A151" s="51" t="s">
        <v>523</v>
      </c>
      <c r="B151" s="51" t="s">
        <v>73</v>
      </c>
      <c r="C151" s="68">
        <v>-1644500</v>
      </c>
      <c r="D151" s="67">
        <v>94.617829644268781</v>
      </c>
      <c r="E151" s="66">
        <v>92.22</v>
      </c>
      <c r="F151" s="66">
        <v>631.85719029999996</v>
      </c>
      <c r="G151" s="65">
        <f>(C151*E151)/100000</f>
        <v>-1516.5579</v>
      </c>
      <c r="H151" s="44"/>
      <c r="N151" s="44"/>
      <c r="O151" s="44"/>
      <c r="P151" s="44"/>
      <c r="Q151" s="44"/>
    </row>
    <row r="152" spans="1:17" x14ac:dyDescent="0.35">
      <c r="A152" s="51" t="s">
        <v>128</v>
      </c>
      <c r="B152" s="51" t="s">
        <v>129</v>
      </c>
      <c r="C152" s="68">
        <v>-150500</v>
      </c>
      <c r="D152" s="67">
        <v>1267.5132890365448</v>
      </c>
      <c r="E152" s="66">
        <v>1471.2</v>
      </c>
      <c r="F152" s="66">
        <v>1838.5000375</v>
      </c>
      <c r="G152" s="65">
        <f>(C152*E152)/100000</f>
        <v>-2214.1559999999999</v>
      </c>
      <c r="H152" s="44"/>
      <c r="N152" s="44"/>
      <c r="O152" s="44"/>
      <c r="P152" s="44"/>
      <c r="Q152" s="44"/>
    </row>
    <row r="153" spans="1:17" x14ac:dyDescent="0.35">
      <c r="A153" s="51" t="s">
        <v>128</v>
      </c>
      <c r="B153" s="51" t="s">
        <v>129</v>
      </c>
      <c r="C153" s="68">
        <v>-556500</v>
      </c>
      <c r="D153" s="67">
        <v>1402.1631569451931</v>
      </c>
      <c r="E153" s="66">
        <v>1462.1</v>
      </c>
      <c r="F153" s="66">
        <v>1838.5000375</v>
      </c>
      <c r="G153" s="65">
        <f>(C153*E153)/100000</f>
        <v>-8136.5865000000003</v>
      </c>
      <c r="H153" s="44"/>
      <c r="N153" s="44"/>
      <c r="O153" s="44"/>
      <c r="P153" s="44"/>
      <c r="Q153" s="44"/>
    </row>
    <row r="154" spans="1:17" x14ac:dyDescent="0.35">
      <c r="A154" s="51" t="s">
        <v>339</v>
      </c>
      <c r="B154" s="51" t="s">
        <v>49</v>
      </c>
      <c r="C154" s="68">
        <v>-486400</v>
      </c>
      <c r="D154" s="67">
        <v>76.763684210526321</v>
      </c>
      <c r="E154" s="66">
        <v>82.43</v>
      </c>
      <c r="F154" s="66">
        <v>77.946572799999998</v>
      </c>
      <c r="G154" s="65">
        <f>(C154*E154)/100000</f>
        <v>-400.93952000000002</v>
      </c>
      <c r="H154" s="44"/>
      <c r="N154" s="44"/>
      <c r="O154" s="44"/>
      <c r="P154" s="44"/>
      <c r="Q154" s="44"/>
    </row>
    <row r="155" spans="1:17" x14ac:dyDescent="0.35">
      <c r="A155" s="51" t="s">
        <v>522</v>
      </c>
      <c r="B155" s="51" t="s">
        <v>187</v>
      </c>
      <c r="C155" s="68">
        <v>-382125</v>
      </c>
      <c r="D155" s="67">
        <v>1157.9782978606477</v>
      </c>
      <c r="E155" s="66">
        <v>1194.4000000000001</v>
      </c>
      <c r="F155" s="66">
        <v>1061.9731406000001</v>
      </c>
      <c r="G155" s="65">
        <f>(C155*E155)/100000</f>
        <v>-4564.1010000000006</v>
      </c>
      <c r="H155" s="44"/>
      <c r="N155" s="44"/>
      <c r="O155" s="44"/>
      <c r="P155" s="44"/>
      <c r="Q155" s="44"/>
    </row>
    <row r="156" spans="1:17" x14ac:dyDescent="0.35">
      <c r="A156" s="51" t="s">
        <v>521</v>
      </c>
      <c r="B156" s="51" t="s">
        <v>90</v>
      </c>
      <c r="C156" s="68">
        <v>-135000</v>
      </c>
      <c r="D156" s="67">
        <v>92.742000000000004</v>
      </c>
      <c r="E156" s="66">
        <v>91.39</v>
      </c>
      <c r="F156" s="66">
        <v>5228.4109533999999</v>
      </c>
      <c r="G156" s="65">
        <f>(C156*E156)/100000</f>
        <v>-123.37649999999999</v>
      </c>
      <c r="H156" s="44"/>
      <c r="N156" s="44"/>
      <c r="O156" s="44"/>
      <c r="P156" s="44"/>
      <c r="Q156" s="44"/>
    </row>
    <row r="157" spans="1:17" x14ac:dyDescent="0.35">
      <c r="A157" s="51" t="s">
        <v>521</v>
      </c>
      <c r="B157" s="51" t="s">
        <v>90</v>
      </c>
      <c r="C157" s="68">
        <v>-15882750</v>
      </c>
      <c r="D157" s="67">
        <v>90.721636635972985</v>
      </c>
      <c r="E157" s="66">
        <v>90.89</v>
      </c>
      <c r="F157" s="66">
        <v>5228.4109533999999</v>
      </c>
      <c r="G157" s="65">
        <f>(C157*E157)/100000</f>
        <v>-14435.831475000001</v>
      </c>
      <c r="H157" s="44"/>
      <c r="N157" s="44"/>
      <c r="O157" s="44"/>
      <c r="P157" s="44"/>
      <c r="Q157" s="44"/>
    </row>
    <row r="158" spans="1:17" x14ac:dyDescent="0.35">
      <c r="A158" s="51" t="s">
        <v>520</v>
      </c>
      <c r="B158" s="51" t="s">
        <v>49</v>
      </c>
      <c r="C158" s="68">
        <v>-546000</v>
      </c>
      <c r="D158" s="67">
        <v>406.23501483516486</v>
      </c>
      <c r="E158" s="66">
        <v>403.3</v>
      </c>
      <c r="F158" s="66">
        <v>6693.1921313000003</v>
      </c>
      <c r="G158" s="65">
        <f>(C158*E158)/100000</f>
        <v>-2202.018</v>
      </c>
      <c r="H158" s="44"/>
      <c r="N158" s="44"/>
      <c r="O158" s="44"/>
      <c r="P158" s="44"/>
      <c r="Q158" s="44"/>
    </row>
    <row r="159" spans="1:17" x14ac:dyDescent="0.35">
      <c r="A159" s="51" t="s">
        <v>520</v>
      </c>
      <c r="B159" s="51" t="s">
        <v>49</v>
      </c>
      <c r="C159" s="68">
        <v>-8863500</v>
      </c>
      <c r="D159" s="67">
        <v>399.68639295876346</v>
      </c>
      <c r="E159" s="66">
        <v>400.5</v>
      </c>
      <c r="F159" s="66">
        <v>6693.1921313000003</v>
      </c>
      <c r="G159" s="65">
        <f>(C159*E159)/100000</f>
        <v>-35498.317499999997</v>
      </c>
      <c r="H159" s="44"/>
      <c r="N159" s="44"/>
      <c r="O159" s="44"/>
      <c r="P159" s="44"/>
      <c r="Q159" s="44"/>
    </row>
    <row r="160" spans="1:17" x14ac:dyDescent="0.35">
      <c r="A160" s="51" t="s">
        <v>366</v>
      </c>
      <c r="B160" s="51" t="s">
        <v>152</v>
      </c>
      <c r="C160" s="68">
        <v>-1750</v>
      </c>
      <c r="D160" s="67">
        <v>1708.62</v>
      </c>
      <c r="E160" s="66">
        <v>1678</v>
      </c>
      <c r="F160" s="66">
        <v>5.8601112999999998</v>
      </c>
      <c r="G160" s="65">
        <f>(C160*E160)/100000</f>
        <v>-29.364999999999998</v>
      </c>
      <c r="H160" s="44"/>
      <c r="N160" s="44"/>
      <c r="O160" s="44"/>
      <c r="P160" s="44"/>
      <c r="Q160" s="44"/>
    </row>
    <row r="161" spans="1:17" x14ac:dyDescent="0.35">
      <c r="A161" s="51" t="s">
        <v>519</v>
      </c>
      <c r="B161" s="51" t="s">
        <v>134</v>
      </c>
      <c r="C161" s="68">
        <v>-64400</v>
      </c>
      <c r="D161" s="67">
        <v>500.81790000000001</v>
      </c>
      <c r="E161" s="66">
        <v>491.4</v>
      </c>
      <c r="F161" s="66">
        <v>69.496454999999997</v>
      </c>
      <c r="G161" s="65">
        <f>(C161*E161)/100000</f>
        <v>-316.46159999999998</v>
      </c>
      <c r="H161" s="44"/>
      <c r="N161" s="44"/>
      <c r="O161" s="44"/>
      <c r="P161" s="44"/>
      <c r="Q161" s="44"/>
    </row>
    <row r="162" spans="1:17" x14ac:dyDescent="0.35">
      <c r="A162" s="51" t="s">
        <v>133</v>
      </c>
      <c r="B162" s="51" t="s">
        <v>134</v>
      </c>
      <c r="C162" s="68">
        <v>-96750</v>
      </c>
      <c r="D162" s="67">
        <v>302.49530005167958</v>
      </c>
      <c r="E162" s="66">
        <v>302.85000000000002</v>
      </c>
      <c r="F162" s="66">
        <v>1803.2425538</v>
      </c>
      <c r="G162" s="65">
        <f>(C162*E162)/100000</f>
        <v>-293.00737500000002</v>
      </c>
      <c r="H162" s="44"/>
      <c r="N162" s="44"/>
      <c r="O162" s="44"/>
      <c r="P162" s="44"/>
      <c r="Q162" s="44"/>
    </row>
    <row r="163" spans="1:17" x14ac:dyDescent="0.35">
      <c r="A163" s="51" t="s">
        <v>133</v>
      </c>
      <c r="B163" s="51" t="s">
        <v>134</v>
      </c>
      <c r="C163" s="68">
        <v>-3278250</v>
      </c>
      <c r="D163" s="67">
        <v>295.00269608785175</v>
      </c>
      <c r="E163" s="66">
        <v>301.05</v>
      </c>
      <c r="F163" s="66">
        <v>1803.2425538</v>
      </c>
      <c r="G163" s="65">
        <f>(C163*E163)/100000</f>
        <v>-9869.1716250000009</v>
      </c>
      <c r="H163" s="44"/>
      <c r="N163" s="44"/>
      <c r="O163" s="44"/>
      <c r="P163" s="44"/>
      <c r="Q163" s="44"/>
    </row>
    <row r="164" spans="1:17" x14ac:dyDescent="0.35">
      <c r="A164" s="51" t="s">
        <v>518</v>
      </c>
      <c r="B164" s="51" t="s">
        <v>303</v>
      </c>
      <c r="C164" s="68">
        <v>-2640</v>
      </c>
      <c r="D164" s="67">
        <v>37199.318124999998</v>
      </c>
      <c r="E164" s="66">
        <v>36980</v>
      </c>
      <c r="F164" s="66">
        <v>172.59871200000001</v>
      </c>
      <c r="G164" s="65">
        <f>(C164*E164)/100000</f>
        <v>-976.27200000000005</v>
      </c>
      <c r="H164" s="44"/>
      <c r="N164" s="44"/>
      <c r="O164" s="44"/>
      <c r="P164" s="44"/>
      <c r="Q164" s="44"/>
    </row>
    <row r="165" spans="1:17" x14ac:dyDescent="0.35">
      <c r="A165" s="51" t="s">
        <v>517</v>
      </c>
      <c r="B165" s="51" t="s">
        <v>170</v>
      </c>
      <c r="C165" s="68">
        <v>-498800</v>
      </c>
      <c r="D165" s="67">
        <v>1148.3944575781877</v>
      </c>
      <c r="E165" s="66">
        <v>1101.5</v>
      </c>
      <c r="F165" s="66">
        <v>1464.517951</v>
      </c>
      <c r="G165" s="65">
        <f>(C165*E165)/100000</f>
        <v>-5494.2820000000002</v>
      </c>
      <c r="H165" s="44"/>
      <c r="N165" s="44"/>
      <c r="O165" s="44"/>
      <c r="P165" s="44"/>
      <c r="Q165" s="44"/>
    </row>
    <row r="166" spans="1:17" x14ac:dyDescent="0.35">
      <c r="A166" s="51" t="s">
        <v>516</v>
      </c>
      <c r="B166" s="51" t="s">
        <v>170</v>
      </c>
      <c r="C166" s="68">
        <v>-86100</v>
      </c>
      <c r="D166" s="67">
        <v>1699.0971037166087</v>
      </c>
      <c r="E166" s="66">
        <v>1671</v>
      </c>
      <c r="F166" s="66">
        <v>342.69091500000002</v>
      </c>
      <c r="G166" s="65">
        <f>(C166*E166)/100000</f>
        <v>-1438.731</v>
      </c>
      <c r="H166" s="44"/>
      <c r="N166" s="44"/>
      <c r="O166" s="44"/>
      <c r="P166" s="44"/>
      <c r="Q166" s="44"/>
    </row>
    <row r="167" spans="1:17" x14ac:dyDescent="0.35">
      <c r="A167" s="51" t="s">
        <v>368</v>
      </c>
      <c r="B167" s="51" t="s">
        <v>331</v>
      </c>
      <c r="C167" s="68">
        <v>-39900</v>
      </c>
      <c r="D167" s="67">
        <v>279.11900000000003</v>
      </c>
      <c r="E167" s="66">
        <v>278.52999999999997</v>
      </c>
      <c r="F167" s="66">
        <v>23.152972500000001</v>
      </c>
      <c r="G167" s="65">
        <f>(C167*E167)/100000</f>
        <v>-111.13346999999999</v>
      </c>
      <c r="H167" s="44"/>
      <c r="N167" s="44"/>
      <c r="O167" s="44"/>
      <c r="P167" s="44"/>
      <c r="Q167" s="44"/>
    </row>
    <row r="168" spans="1:17" x14ac:dyDescent="0.35">
      <c r="A168" s="51" t="s">
        <v>515</v>
      </c>
      <c r="B168" s="51" t="s">
        <v>152</v>
      </c>
      <c r="C168" s="68">
        <v>-24850</v>
      </c>
      <c r="D168" s="67">
        <v>1771.3154410462776</v>
      </c>
      <c r="E168" s="66">
        <v>1771</v>
      </c>
      <c r="F168" s="66">
        <v>94.032524299999992</v>
      </c>
      <c r="G168" s="65">
        <f>(C168*E168)/100000</f>
        <v>-440.09350000000001</v>
      </c>
      <c r="H168" s="44"/>
      <c r="N168" s="44"/>
      <c r="O168" s="44"/>
      <c r="P168" s="44"/>
      <c r="Q168" s="44"/>
    </row>
    <row r="169" spans="1:17" x14ac:dyDescent="0.35">
      <c r="A169" s="51" t="s">
        <v>313</v>
      </c>
      <c r="B169" s="51" t="s">
        <v>290</v>
      </c>
      <c r="C169" s="68">
        <v>-49500</v>
      </c>
      <c r="D169" s="67">
        <v>1379.0999737373738</v>
      </c>
      <c r="E169" s="66">
        <v>1385.3</v>
      </c>
      <c r="F169" s="66">
        <v>121.9628025</v>
      </c>
      <c r="G169" s="65">
        <f>(C169*E169)/100000</f>
        <v>-685.72349999999994</v>
      </c>
      <c r="H169" s="44"/>
      <c r="N169" s="44"/>
      <c r="O169" s="44"/>
      <c r="P169" s="44"/>
      <c r="Q169" s="44"/>
    </row>
    <row r="170" spans="1:17" x14ac:dyDescent="0.35">
      <c r="A170" s="51" t="s">
        <v>287</v>
      </c>
      <c r="B170" s="51" t="s">
        <v>65</v>
      </c>
      <c r="C170" s="68">
        <v>-125450</v>
      </c>
      <c r="D170" s="67">
        <v>1037.5152621761658</v>
      </c>
      <c r="E170" s="66">
        <v>1051.05</v>
      </c>
      <c r="F170" s="66">
        <v>326.94559459999999</v>
      </c>
      <c r="G170" s="65">
        <f>(C170*E170)/100000</f>
        <v>-1318.5422249999999</v>
      </c>
      <c r="H170" s="44"/>
      <c r="N170" s="44"/>
      <c r="O170" s="44"/>
      <c r="P170" s="44"/>
      <c r="Q170" s="44"/>
    </row>
    <row r="171" spans="1:17" x14ac:dyDescent="0.35">
      <c r="A171" s="51" t="s">
        <v>92</v>
      </c>
      <c r="B171" s="51" t="s">
        <v>22</v>
      </c>
      <c r="C171" s="68">
        <v>-136000</v>
      </c>
      <c r="D171" s="67">
        <v>113.32235294117648</v>
      </c>
      <c r="E171" s="66">
        <v>110.51</v>
      </c>
      <c r="F171" s="66">
        <v>2901.5205839999999</v>
      </c>
      <c r="G171" s="65">
        <f>(C171*E171)/100000</f>
        <v>-150.2936</v>
      </c>
      <c r="H171" s="44"/>
      <c r="N171" s="44"/>
      <c r="O171" s="44"/>
      <c r="P171" s="44"/>
      <c r="Q171" s="44"/>
    </row>
    <row r="172" spans="1:17" x14ac:dyDescent="0.35">
      <c r="A172" s="51" t="s">
        <v>92</v>
      </c>
      <c r="B172" s="51" t="s">
        <v>22</v>
      </c>
      <c r="C172" s="68">
        <v>-12824000</v>
      </c>
      <c r="D172" s="67">
        <v>113.21049082969432</v>
      </c>
      <c r="E172" s="66">
        <v>109.73</v>
      </c>
      <c r="F172" s="66">
        <v>2901.5205839999999</v>
      </c>
      <c r="G172" s="65">
        <f>(C172*E172)/100000</f>
        <v>-14071.7752</v>
      </c>
      <c r="H172" s="44"/>
      <c r="N172" s="44"/>
      <c r="O172" s="44"/>
      <c r="P172" s="44"/>
      <c r="Q172" s="44"/>
    </row>
    <row r="173" spans="1:17" x14ac:dyDescent="0.35">
      <c r="A173" s="51" t="s">
        <v>514</v>
      </c>
      <c r="B173" s="51" t="s">
        <v>124</v>
      </c>
      <c r="C173" s="68">
        <v>-10000</v>
      </c>
      <c r="D173" s="67">
        <v>8173.3</v>
      </c>
      <c r="E173" s="66">
        <v>8159.5</v>
      </c>
      <c r="F173" s="66">
        <v>178.33425</v>
      </c>
      <c r="G173" s="65">
        <f>(C173*E173)/100000</f>
        <v>-815.95</v>
      </c>
      <c r="H173" s="44"/>
      <c r="N173" s="44"/>
      <c r="O173" s="44"/>
      <c r="P173" s="44"/>
      <c r="Q173" s="44"/>
    </row>
    <row r="174" spans="1:17" x14ac:dyDescent="0.35">
      <c r="A174" s="51" t="s">
        <v>193</v>
      </c>
      <c r="B174" s="51" t="s">
        <v>49</v>
      </c>
      <c r="C174" s="68">
        <v>-20900</v>
      </c>
      <c r="D174" s="67">
        <v>319.91359999999997</v>
      </c>
      <c r="E174" s="66">
        <v>321.3</v>
      </c>
      <c r="F174" s="66">
        <v>811.71336400000007</v>
      </c>
      <c r="G174" s="65">
        <f>(C174*E174)/100000</f>
        <v>-67.151700000000005</v>
      </c>
      <c r="H174" s="44"/>
      <c r="N174" s="44"/>
      <c r="O174" s="44"/>
      <c r="P174" s="44"/>
      <c r="Q174" s="44"/>
    </row>
    <row r="175" spans="1:17" x14ac:dyDescent="0.35">
      <c r="A175" s="51" t="s">
        <v>193</v>
      </c>
      <c r="B175" s="51" t="s">
        <v>49</v>
      </c>
      <c r="C175" s="68">
        <v>-1409800</v>
      </c>
      <c r="D175" s="67">
        <v>313.93582166974039</v>
      </c>
      <c r="E175" s="66">
        <v>319.14999999999998</v>
      </c>
      <c r="F175" s="66">
        <v>811.71336400000007</v>
      </c>
      <c r="G175" s="65">
        <f>(C175*E175)/100000</f>
        <v>-4499.3766999999998</v>
      </c>
      <c r="H175" s="44"/>
      <c r="N175" s="44"/>
      <c r="O175" s="44"/>
      <c r="P175" s="44"/>
      <c r="Q175" s="44"/>
    </row>
    <row r="176" spans="1:17" x14ac:dyDescent="0.35">
      <c r="A176" s="51" t="s">
        <v>212</v>
      </c>
      <c r="B176" s="51" t="s">
        <v>152</v>
      </c>
      <c r="C176" s="68">
        <v>-271800</v>
      </c>
      <c r="D176" s="67">
        <v>1384.0264712288447</v>
      </c>
      <c r="E176" s="66">
        <v>1423.2</v>
      </c>
      <c r="F176" s="66">
        <v>905.24348999999995</v>
      </c>
      <c r="G176" s="65">
        <f>(C176*E176)/100000</f>
        <v>-3868.2575999999999</v>
      </c>
      <c r="H176" s="44"/>
      <c r="N176" s="44"/>
      <c r="O176" s="44"/>
      <c r="P176" s="44"/>
      <c r="Q176" s="44"/>
    </row>
    <row r="177" spans="1:17" x14ac:dyDescent="0.35">
      <c r="A177" s="51" t="s">
        <v>223</v>
      </c>
      <c r="B177" s="51" t="s">
        <v>22</v>
      </c>
      <c r="C177" s="68">
        <v>-1025525</v>
      </c>
      <c r="D177" s="67">
        <v>324.3095000024378</v>
      </c>
      <c r="E177" s="66">
        <v>338.65</v>
      </c>
      <c r="F177" s="66">
        <v>1326.1525260999999</v>
      </c>
      <c r="G177" s="65">
        <f>(C177*E177)/100000</f>
        <v>-3472.9404125000001</v>
      </c>
      <c r="H177" s="44"/>
      <c r="N177" s="44"/>
      <c r="O177" s="44"/>
      <c r="P177" s="44"/>
      <c r="Q177" s="44"/>
    </row>
    <row r="178" spans="1:17" x14ac:dyDescent="0.35">
      <c r="A178" s="51" t="s">
        <v>24</v>
      </c>
      <c r="B178" s="51" t="s">
        <v>25</v>
      </c>
      <c r="C178" s="68">
        <v>-1587000</v>
      </c>
      <c r="D178" s="67">
        <v>1367.787354725898</v>
      </c>
      <c r="E178" s="66">
        <v>1444</v>
      </c>
      <c r="F178" s="66">
        <v>19855.029105000001</v>
      </c>
      <c r="G178" s="65">
        <f>(C178*E178)/100000</f>
        <v>-22916.28</v>
      </c>
      <c r="H178" s="44"/>
      <c r="N178" s="44"/>
      <c r="O178" s="44"/>
      <c r="P178" s="44"/>
      <c r="Q178" s="44"/>
    </row>
    <row r="179" spans="1:17" x14ac:dyDescent="0.35">
      <c r="A179" s="51" t="s">
        <v>24</v>
      </c>
      <c r="B179" s="51" t="s">
        <v>25</v>
      </c>
      <c r="C179" s="68">
        <v>-6246000</v>
      </c>
      <c r="D179" s="67">
        <v>1366.6931212023694</v>
      </c>
      <c r="E179" s="66">
        <v>1435.2</v>
      </c>
      <c r="F179" s="66">
        <v>19855.029105000001</v>
      </c>
      <c r="G179" s="65">
        <f>(C179*E179)/100000</f>
        <v>-89642.592000000004</v>
      </c>
      <c r="H179" s="44"/>
      <c r="N179" s="44"/>
      <c r="O179" s="44"/>
      <c r="P179" s="44"/>
      <c r="Q179" s="44"/>
    </row>
    <row r="180" spans="1:17" x14ac:dyDescent="0.35">
      <c r="A180" s="51" t="s">
        <v>513</v>
      </c>
      <c r="B180" s="51" t="s">
        <v>65</v>
      </c>
      <c r="C180" s="68">
        <v>-274950</v>
      </c>
      <c r="D180" s="67">
        <v>246.65525131842153</v>
      </c>
      <c r="E180" s="66">
        <v>248.86</v>
      </c>
      <c r="F180" s="66">
        <v>9324.0493395000012</v>
      </c>
      <c r="G180" s="65">
        <f>(C180*E180)/100000</f>
        <v>-684.24057000000005</v>
      </c>
      <c r="H180" s="44"/>
      <c r="N180" s="44"/>
      <c r="O180" s="44"/>
      <c r="P180" s="44"/>
      <c r="Q180" s="44"/>
    </row>
    <row r="181" spans="1:17" x14ac:dyDescent="0.35">
      <c r="A181" s="51" t="s">
        <v>513</v>
      </c>
      <c r="B181" s="51" t="s">
        <v>65</v>
      </c>
      <c r="C181" s="68">
        <v>-10314150</v>
      </c>
      <c r="D181" s="67">
        <v>247.93800783680672</v>
      </c>
      <c r="E181" s="66">
        <v>247.12</v>
      </c>
      <c r="F181" s="66">
        <v>9324.0493395000012</v>
      </c>
      <c r="G181" s="65">
        <f>(C181*E181)/100000</f>
        <v>-25488.32748</v>
      </c>
      <c r="H181" s="44"/>
      <c r="N181" s="44"/>
      <c r="O181" s="44"/>
      <c r="P181" s="44"/>
      <c r="Q181" s="44"/>
    </row>
    <row r="182" spans="1:17" x14ac:dyDescent="0.35">
      <c r="A182" s="51" t="s">
        <v>512</v>
      </c>
      <c r="B182" s="51" t="s">
        <v>504</v>
      </c>
      <c r="C182" s="68">
        <v>-427500</v>
      </c>
      <c r="D182" s="67">
        <v>468.09884336842106</v>
      </c>
      <c r="E182" s="66">
        <v>460.3</v>
      </c>
      <c r="F182" s="66">
        <v>647.84418749999998</v>
      </c>
      <c r="G182" s="65">
        <f>(C182*E182)/100000</f>
        <v>-1967.7825</v>
      </c>
      <c r="H182" s="44"/>
      <c r="N182" s="44"/>
      <c r="O182" s="44"/>
      <c r="P182" s="44"/>
      <c r="Q182" s="44"/>
    </row>
    <row r="183" spans="1:17" x14ac:dyDescent="0.35">
      <c r="A183" s="51" t="s">
        <v>511</v>
      </c>
      <c r="B183" s="51" t="s">
        <v>65</v>
      </c>
      <c r="C183" s="68">
        <v>-14000</v>
      </c>
      <c r="D183" s="67">
        <v>367.47</v>
      </c>
      <c r="E183" s="66">
        <v>357.75</v>
      </c>
      <c r="F183" s="66">
        <v>744.01570249999997</v>
      </c>
      <c r="G183" s="65">
        <f>(C183*E183)/100000</f>
        <v>-50.085000000000001</v>
      </c>
      <c r="H183" s="44"/>
      <c r="N183" s="44"/>
      <c r="O183" s="44"/>
      <c r="P183" s="44"/>
      <c r="Q183" s="44"/>
    </row>
    <row r="184" spans="1:17" x14ac:dyDescent="0.35">
      <c r="A184" s="51" t="s">
        <v>511</v>
      </c>
      <c r="B184" s="51" t="s">
        <v>65</v>
      </c>
      <c r="C184" s="68">
        <v>-903000</v>
      </c>
      <c r="D184" s="67">
        <v>367.48909612403099</v>
      </c>
      <c r="E184" s="66">
        <v>355.35</v>
      </c>
      <c r="F184" s="66">
        <v>744.01570249999997</v>
      </c>
      <c r="G184" s="65">
        <f>(C184*E184)/100000</f>
        <v>-3208.8105</v>
      </c>
      <c r="H184" s="44"/>
      <c r="N184" s="44"/>
      <c r="O184" s="44"/>
      <c r="P184" s="44"/>
      <c r="Q184" s="44"/>
    </row>
    <row r="185" spans="1:17" x14ac:dyDescent="0.35">
      <c r="A185" s="51" t="s">
        <v>510</v>
      </c>
      <c r="B185" s="51" t="s">
        <v>33</v>
      </c>
      <c r="C185" s="68">
        <v>-5541300</v>
      </c>
      <c r="D185" s="67">
        <v>181.16638184902459</v>
      </c>
      <c r="E185" s="66">
        <v>185.83</v>
      </c>
      <c r="F185" s="66">
        <v>3932.1646636999999</v>
      </c>
      <c r="G185" s="65">
        <f>(C185*E185)/100000</f>
        <v>-10297.397790000001</v>
      </c>
      <c r="H185" s="44"/>
      <c r="N185" s="44"/>
      <c r="O185" s="44"/>
      <c r="P185" s="44"/>
      <c r="Q185" s="44"/>
    </row>
    <row r="186" spans="1:17" x14ac:dyDescent="0.35">
      <c r="A186" s="51" t="s">
        <v>357</v>
      </c>
      <c r="B186" s="51" t="s">
        <v>167</v>
      </c>
      <c r="C186" s="68">
        <v>-6000</v>
      </c>
      <c r="D186" s="67">
        <v>1843.325</v>
      </c>
      <c r="E186" s="66">
        <v>1837.2</v>
      </c>
      <c r="F186" s="66">
        <v>24.289964999999999</v>
      </c>
      <c r="G186" s="65">
        <f>(C186*E186)/100000</f>
        <v>-110.232</v>
      </c>
      <c r="H186" s="44"/>
      <c r="N186" s="44"/>
      <c r="O186" s="44"/>
      <c r="P186" s="44"/>
      <c r="Q186" s="44"/>
    </row>
    <row r="187" spans="1:17" x14ac:dyDescent="0.35">
      <c r="A187" s="51" t="s">
        <v>357</v>
      </c>
      <c r="B187" s="51" t="s">
        <v>167</v>
      </c>
      <c r="C187" s="68">
        <v>-1500</v>
      </c>
      <c r="D187" s="67">
        <v>1793.925</v>
      </c>
      <c r="E187" s="66">
        <v>1824</v>
      </c>
      <c r="F187" s="66">
        <v>24.289964999999999</v>
      </c>
      <c r="G187" s="65">
        <f>(C187*E187)/100000</f>
        <v>-27.36</v>
      </c>
      <c r="H187" s="44"/>
      <c r="N187" s="44"/>
      <c r="O187" s="44"/>
      <c r="P187" s="44"/>
      <c r="Q187" s="44"/>
    </row>
    <row r="188" spans="1:17" x14ac:dyDescent="0.35">
      <c r="A188" s="51" t="s">
        <v>67</v>
      </c>
      <c r="B188" s="51" t="s">
        <v>65</v>
      </c>
      <c r="C188" s="68">
        <v>-49500</v>
      </c>
      <c r="D188" s="67">
        <v>974.17574000000002</v>
      </c>
      <c r="E188" s="66">
        <v>946.9</v>
      </c>
      <c r="F188" s="66">
        <v>5148.1679535000003</v>
      </c>
      <c r="G188" s="65">
        <f>(C188*E188)/100000</f>
        <v>-468.71550000000002</v>
      </c>
      <c r="H188" s="44"/>
      <c r="N188" s="44"/>
      <c r="O188" s="44"/>
      <c r="P188" s="44"/>
      <c r="Q188" s="44"/>
    </row>
    <row r="189" spans="1:17" x14ac:dyDescent="0.35">
      <c r="A189" s="51" t="s">
        <v>67</v>
      </c>
      <c r="B189" s="51" t="s">
        <v>65</v>
      </c>
      <c r="C189" s="68">
        <v>-2247300</v>
      </c>
      <c r="D189" s="67">
        <v>992.17133704890318</v>
      </c>
      <c r="E189" s="66">
        <v>939.95</v>
      </c>
      <c r="F189" s="66">
        <v>5148.1679535000003</v>
      </c>
      <c r="G189" s="65">
        <f>(C189*E189)/100000</f>
        <v>-21123.496350000001</v>
      </c>
      <c r="H189" s="44"/>
      <c r="N189" s="44"/>
      <c r="O189" s="44"/>
      <c r="P189" s="44"/>
      <c r="Q189" s="44"/>
    </row>
    <row r="190" spans="1:17" x14ac:dyDescent="0.35">
      <c r="A190" s="51" t="s">
        <v>341</v>
      </c>
      <c r="B190" s="51" t="s">
        <v>290</v>
      </c>
      <c r="C190" s="68">
        <v>-3100</v>
      </c>
      <c r="D190" s="67">
        <v>15284.903248387096</v>
      </c>
      <c r="E190" s="66">
        <v>15535</v>
      </c>
      <c r="F190" s="66">
        <v>104.95267</v>
      </c>
      <c r="G190" s="65">
        <f>(C190*E190)/100000</f>
        <v>-481.58499999999998</v>
      </c>
      <c r="H190" s="44"/>
      <c r="N190" s="44"/>
      <c r="O190" s="44"/>
      <c r="P190" s="44"/>
      <c r="Q190" s="44"/>
    </row>
    <row r="191" spans="1:17" x14ac:dyDescent="0.35">
      <c r="A191" s="51" t="s">
        <v>509</v>
      </c>
      <c r="B191" s="51" t="s">
        <v>181</v>
      </c>
      <c r="C191" s="68">
        <v>-79625</v>
      </c>
      <c r="D191" s="67">
        <v>580.50306926216638</v>
      </c>
      <c r="E191" s="66">
        <v>609.25</v>
      </c>
      <c r="F191" s="66">
        <v>105.1854213</v>
      </c>
      <c r="G191" s="65">
        <f>(C191*E191)/100000</f>
        <v>-485.11531250000002</v>
      </c>
      <c r="H191" s="44"/>
      <c r="N191" s="44"/>
      <c r="O191" s="44"/>
      <c r="P191" s="44"/>
      <c r="Q191" s="44"/>
    </row>
    <row r="192" spans="1:17" x14ac:dyDescent="0.35">
      <c r="A192" s="51" t="s">
        <v>289</v>
      </c>
      <c r="B192" s="51" t="s">
        <v>290</v>
      </c>
      <c r="C192" s="68">
        <v>-47600</v>
      </c>
      <c r="D192" s="67">
        <v>2520.9003521008403</v>
      </c>
      <c r="E192" s="66">
        <v>2533.8000000000002</v>
      </c>
      <c r="F192" s="66">
        <v>237.29647199999999</v>
      </c>
      <c r="G192" s="65">
        <f>(C192*E192)/100000</f>
        <v>-1206.0888000000002</v>
      </c>
      <c r="H192" s="44"/>
      <c r="N192" s="44"/>
      <c r="O192" s="44"/>
      <c r="P192" s="44"/>
      <c r="Q192" s="44"/>
    </row>
    <row r="193" spans="1:17" x14ac:dyDescent="0.35">
      <c r="A193" s="51" t="s">
        <v>202</v>
      </c>
      <c r="B193" s="51" t="s">
        <v>22</v>
      </c>
      <c r="C193" s="68">
        <v>-402000</v>
      </c>
      <c r="D193" s="67">
        <v>1107.0569932835822</v>
      </c>
      <c r="E193" s="66">
        <v>1065.3</v>
      </c>
      <c r="F193" s="66">
        <v>775.68915000000004</v>
      </c>
      <c r="G193" s="65">
        <f>(C193*E193)/100000</f>
        <v>-4282.5060000000003</v>
      </c>
      <c r="H193" s="44"/>
      <c r="N193" s="44"/>
      <c r="O193" s="44"/>
      <c r="P193" s="44"/>
      <c r="Q193" s="44"/>
    </row>
    <row r="194" spans="1:17" x14ac:dyDescent="0.35">
      <c r="A194" s="51" t="s">
        <v>86</v>
      </c>
      <c r="B194" s="51" t="s">
        <v>87</v>
      </c>
      <c r="C194" s="68">
        <v>-30800</v>
      </c>
      <c r="D194" s="67">
        <v>1778.4396999999999</v>
      </c>
      <c r="E194" s="66">
        <v>1826.2</v>
      </c>
      <c r="F194" s="66">
        <v>2647.1261319999999</v>
      </c>
      <c r="G194" s="65">
        <f>(C194*E194)/100000</f>
        <v>-562.46960000000001</v>
      </c>
      <c r="H194" s="44"/>
      <c r="N194" s="44"/>
      <c r="O194" s="44"/>
      <c r="P194" s="44"/>
      <c r="Q194" s="44"/>
    </row>
    <row r="195" spans="1:17" x14ac:dyDescent="0.35">
      <c r="A195" s="51" t="s">
        <v>86</v>
      </c>
      <c r="B195" s="51" t="s">
        <v>87</v>
      </c>
      <c r="C195" s="68">
        <v>-805000</v>
      </c>
      <c r="D195" s="67">
        <v>1730.1521427950311</v>
      </c>
      <c r="E195" s="66">
        <v>1815</v>
      </c>
      <c r="F195" s="66">
        <v>2647.1261319999999</v>
      </c>
      <c r="G195" s="65">
        <f>(C195*E195)/100000</f>
        <v>-14610.75</v>
      </c>
      <c r="H195" s="44"/>
      <c r="N195" s="44"/>
      <c r="O195" s="44"/>
      <c r="P195" s="44"/>
      <c r="Q195" s="44"/>
    </row>
    <row r="196" spans="1:17" x14ac:dyDescent="0.35">
      <c r="A196" s="51" t="s">
        <v>267</v>
      </c>
      <c r="B196" s="51" t="s">
        <v>124</v>
      </c>
      <c r="C196" s="68">
        <v>-48825</v>
      </c>
      <c r="D196" s="67">
        <v>3697.1548088069635</v>
      </c>
      <c r="E196" s="66">
        <v>3632.1</v>
      </c>
      <c r="F196" s="66">
        <v>362.9738385</v>
      </c>
      <c r="G196" s="65">
        <f>(C196*E196)/100000</f>
        <v>-1773.3728249999999</v>
      </c>
      <c r="H196" s="44"/>
      <c r="N196" s="44"/>
      <c r="O196" s="44"/>
      <c r="P196" s="44"/>
      <c r="Q196" s="44"/>
    </row>
    <row r="197" spans="1:17" x14ac:dyDescent="0.35">
      <c r="A197" s="51" t="s">
        <v>508</v>
      </c>
      <c r="B197" s="51" t="s">
        <v>62</v>
      </c>
      <c r="C197" s="68">
        <v>-2725550</v>
      </c>
      <c r="D197" s="67">
        <v>46.680550336629302</v>
      </c>
      <c r="E197" s="66">
        <v>55.79</v>
      </c>
      <c r="F197" s="66">
        <v>381.05642</v>
      </c>
      <c r="G197" s="65">
        <f>(C197*E197)/100000</f>
        <v>-1520.584345</v>
      </c>
      <c r="H197" s="44"/>
      <c r="N197" s="44"/>
      <c r="O197" s="44"/>
      <c r="P197" s="44"/>
      <c r="Q197" s="44"/>
    </row>
    <row r="198" spans="1:17" x14ac:dyDescent="0.35">
      <c r="A198" s="51" t="s">
        <v>507</v>
      </c>
      <c r="B198" s="51" t="s">
        <v>78</v>
      </c>
      <c r="C198" s="68">
        <v>-41600</v>
      </c>
      <c r="D198" s="67">
        <v>276.31709999999998</v>
      </c>
      <c r="E198" s="66">
        <v>271</v>
      </c>
      <c r="F198" s="66">
        <v>27.000687999999997</v>
      </c>
      <c r="G198" s="65">
        <f>(C198*E198)/100000</f>
        <v>-112.736</v>
      </c>
      <c r="H198" s="44"/>
      <c r="N198" s="44"/>
      <c r="O198" s="44"/>
      <c r="P198" s="44"/>
      <c r="Q198" s="44"/>
    </row>
    <row r="199" spans="1:17" x14ac:dyDescent="0.35">
      <c r="A199" s="51" t="s">
        <v>506</v>
      </c>
      <c r="B199" s="51" t="s">
        <v>49</v>
      </c>
      <c r="C199" s="68">
        <v>-1442750</v>
      </c>
      <c r="D199" s="67">
        <v>419.497772677179</v>
      </c>
      <c r="E199" s="66">
        <v>447.05</v>
      </c>
      <c r="F199" s="66">
        <v>1153.0782618999999</v>
      </c>
      <c r="G199" s="65">
        <f>(C199*E199)/100000</f>
        <v>-6449.8138749999998</v>
      </c>
      <c r="H199" s="44"/>
      <c r="N199" s="44"/>
      <c r="O199" s="44"/>
      <c r="P199" s="44"/>
      <c r="Q199" s="44"/>
    </row>
    <row r="200" spans="1:17" x14ac:dyDescent="0.35">
      <c r="A200" s="51" t="s">
        <v>505</v>
      </c>
      <c r="B200" s="51" t="s">
        <v>504</v>
      </c>
      <c r="C200" s="68">
        <v>-138050</v>
      </c>
      <c r="D200" s="67">
        <v>1179.1593303151033</v>
      </c>
      <c r="E200" s="66">
        <v>1150.0999999999999</v>
      </c>
      <c r="F200" s="66">
        <v>285.15607999999997</v>
      </c>
      <c r="G200" s="65">
        <f>(C200*E200)/100000</f>
        <v>-1587.7130500000001</v>
      </c>
      <c r="H200" s="44"/>
      <c r="N200" s="44"/>
      <c r="O200" s="44"/>
      <c r="P200" s="44"/>
      <c r="Q200" s="44"/>
    </row>
    <row r="201" spans="1:17" x14ac:dyDescent="0.35">
      <c r="A201" s="51" t="s">
        <v>503</v>
      </c>
      <c r="B201" s="51" t="s">
        <v>44</v>
      </c>
      <c r="C201" s="68">
        <v>-247200</v>
      </c>
      <c r="D201" s="67">
        <v>354.57151512944984</v>
      </c>
      <c r="E201" s="66">
        <v>343.15</v>
      </c>
      <c r="F201" s="66">
        <v>177.16824</v>
      </c>
      <c r="G201" s="65">
        <f>(C201*E201)/100000</f>
        <v>-848.26679999999999</v>
      </c>
      <c r="H201" s="44"/>
      <c r="N201" s="44"/>
      <c r="O201" s="44"/>
      <c r="P201" s="44"/>
      <c r="Q201" s="44"/>
    </row>
    <row r="202" spans="1:17" x14ac:dyDescent="0.35">
      <c r="A202" s="51" t="s">
        <v>319</v>
      </c>
      <c r="B202" s="51" t="s">
        <v>181</v>
      </c>
      <c r="C202" s="68">
        <v>-25000</v>
      </c>
      <c r="D202" s="67">
        <v>2999.2519391999999</v>
      </c>
      <c r="E202" s="66">
        <v>2965.4</v>
      </c>
      <c r="F202" s="66">
        <v>172.42724999999999</v>
      </c>
      <c r="G202" s="65">
        <f>(C202*E202)/100000</f>
        <v>-741.35</v>
      </c>
      <c r="H202" s="44"/>
      <c r="N202" s="44"/>
      <c r="O202" s="44"/>
      <c r="P202" s="44"/>
      <c r="Q202" s="44"/>
    </row>
    <row r="203" spans="1:17" x14ac:dyDescent="0.35">
      <c r="A203" s="51" t="s">
        <v>46</v>
      </c>
      <c r="B203" s="51" t="s">
        <v>33</v>
      </c>
      <c r="C203" s="68">
        <v>-19558000</v>
      </c>
      <c r="D203" s="67">
        <v>213.79777786839145</v>
      </c>
      <c r="E203" s="66">
        <v>212.06</v>
      </c>
      <c r="F203" s="66">
        <v>8136.3626960000001</v>
      </c>
      <c r="G203" s="65">
        <f>(C203*E203)/100000</f>
        <v>-41474.694799999997</v>
      </c>
      <c r="H203" s="44"/>
      <c r="N203" s="44"/>
      <c r="O203" s="44"/>
      <c r="P203" s="44"/>
      <c r="Q203" s="44"/>
    </row>
    <row r="204" spans="1:17" x14ac:dyDescent="0.35">
      <c r="A204" s="51" t="s">
        <v>51</v>
      </c>
      <c r="B204" s="51" t="s">
        <v>52</v>
      </c>
      <c r="C204" s="68">
        <v>-66850</v>
      </c>
      <c r="D204" s="67">
        <v>4512.1625241585643</v>
      </c>
      <c r="E204" s="66">
        <v>4433.3</v>
      </c>
      <c r="F204" s="66">
        <v>6430.8693767999994</v>
      </c>
      <c r="G204" s="65">
        <f>(C204*E204)/100000</f>
        <v>-2963.6610500000002</v>
      </c>
      <c r="H204" s="44"/>
      <c r="N204" s="44"/>
      <c r="O204" s="44"/>
      <c r="P204" s="44"/>
      <c r="Q204" s="44"/>
    </row>
    <row r="205" spans="1:17" x14ac:dyDescent="0.35">
      <c r="A205" s="51" t="s">
        <v>51</v>
      </c>
      <c r="B205" s="51" t="s">
        <v>52</v>
      </c>
      <c r="C205" s="68">
        <v>-751100</v>
      </c>
      <c r="D205" s="67">
        <v>4425.0408936226868</v>
      </c>
      <c r="E205" s="66">
        <v>4402.2</v>
      </c>
      <c r="F205" s="66">
        <v>6430.8693767999994</v>
      </c>
      <c r="G205" s="65">
        <f>(C205*E205)/100000</f>
        <v>-33064.924200000001</v>
      </c>
      <c r="H205" s="44"/>
      <c r="N205" s="44"/>
      <c r="O205" s="44"/>
      <c r="P205" s="44"/>
      <c r="Q205" s="44"/>
    </row>
    <row r="206" spans="1:17" x14ac:dyDescent="0.35">
      <c r="A206" s="51" t="s">
        <v>96</v>
      </c>
      <c r="B206" s="51" t="s">
        <v>44</v>
      </c>
      <c r="C206" s="68">
        <v>-383775</v>
      </c>
      <c r="D206" s="67">
        <v>3556.9220596964369</v>
      </c>
      <c r="E206" s="66">
        <v>3514.4</v>
      </c>
      <c r="F206" s="66">
        <v>2522.860095</v>
      </c>
      <c r="G206" s="65">
        <f>(C206*E206)/100000</f>
        <v>-13487.3886</v>
      </c>
      <c r="H206" s="44"/>
      <c r="N206" s="44"/>
      <c r="O206" s="44"/>
      <c r="P206" s="44"/>
      <c r="Q206" s="44"/>
    </row>
    <row r="207" spans="1:17" x14ac:dyDescent="0.35">
      <c r="A207" s="51" t="s">
        <v>321</v>
      </c>
      <c r="B207" s="51" t="s">
        <v>22</v>
      </c>
      <c r="C207" s="68">
        <v>-389400</v>
      </c>
      <c r="D207" s="67">
        <v>166.29150000000001</v>
      </c>
      <c r="E207" s="66">
        <v>166.97</v>
      </c>
      <c r="F207" s="66">
        <v>152.39305289999999</v>
      </c>
      <c r="G207" s="65">
        <f>(C207*E207)/100000</f>
        <v>-650.18118000000004</v>
      </c>
      <c r="H207" s="44"/>
      <c r="N207" s="44"/>
      <c r="O207" s="44"/>
      <c r="P207" s="44"/>
      <c r="Q207" s="44"/>
    </row>
    <row r="208" spans="1:17" x14ac:dyDescent="0.35">
      <c r="A208" s="51" t="s">
        <v>502</v>
      </c>
      <c r="B208" s="51" t="s">
        <v>39</v>
      </c>
      <c r="C208" s="68">
        <v>-23550</v>
      </c>
      <c r="D208" s="67">
        <v>11824.660299363057</v>
      </c>
      <c r="E208" s="66">
        <v>11732</v>
      </c>
      <c r="F208" s="66">
        <v>1388.5079224999999</v>
      </c>
      <c r="G208" s="65">
        <f>(C208*E208)/100000</f>
        <v>-2762.886</v>
      </c>
      <c r="H208" s="44"/>
      <c r="N208" s="44"/>
      <c r="O208" s="44"/>
      <c r="P208" s="44"/>
      <c r="Q208" s="44"/>
    </row>
    <row r="209" spans="1:17" x14ac:dyDescent="0.35">
      <c r="A209" s="51" t="s">
        <v>502</v>
      </c>
      <c r="B209" s="51" t="s">
        <v>39</v>
      </c>
      <c r="C209" s="68">
        <v>-42700</v>
      </c>
      <c r="D209" s="67">
        <v>11627.066048946135</v>
      </c>
      <c r="E209" s="66">
        <v>11655</v>
      </c>
      <c r="F209" s="66">
        <v>1388.5079224999999</v>
      </c>
      <c r="G209" s="65">
        <f>(C209*E209)/100000</f>
        <v>-4976.6850000000004</v>
      </c>
      <c r="H209" s="44"/>
      <c r="N209" s="44"/>
      <c r="O209" s="44"/>
      <c r="P209" s="44"/>
      <c r="Q209" s="44"/>
    </row>
    <row r="210" spans="1:17" x14ac:dyDescent="0.35">
      <c r="A210" s="51" t="s">
        <v>195</v>
      </c>
      <c r="B210" s="51" t="s">
        <v>196</v>
      </c>
      <c r="C210" s="68">
        <v>-28455</v>
      </c>
      <c r="D210" s="67">
        <v>650.80949991214197</v>
      </c>
      <c r="E210" s="66">
        <v>651.29999999999995</v>
      </c>
      <c r="F210" s="66">
        <v>1027.1060229</v>
      </c>
      <c r="G210" s="65">
        <f>(C210*E210)/100000</f>
        <v>-185.327415</v>
      </c>
      <c r="H210" s="44"/>
      <c r="N210" s="44"/>
      <c r="O210" s="44"/>
      <c r="P210" s="44"/>
      <c r="Q210" s="44"/>
    </row>
    <row r="211" spans="1:17" x14ac:dyDescent="0.35">
      <c r="A211" s="51" t="s">
        <v>195</v>
      </c>
      <c r="B211" s="51" t="s">
        <v>196</v>
      </c>
      <c r="C211" s="68">
        <v>-697825</v>
      </c>
      <c r="D211" s="67">
        <v>647.2939151363164</v>
      </c>
      <c r="E211" s="66">
        <v>646</v>
      </c>
      <c r="F211" s="66">
        <v>1027.1060229</v>
      </c>
      <c r="G211" s="65">
        <f>(C211*E211)/100000</f>
        <v>-4507.9494999999997</v>
      </c>
      <c r="H211" s="44"/>
      <c r="N211" s="44"/>
      <c r="O211" s="44"/>
      <c r="P211" s="44"/>
      <c r="Q211" s="44"/>
    </row>
    <row r="212" spans="1:17" x14ac:dyDescent="0.35">
      <c r="A212" s="51" t="s">
        <v>41</v>
      </c>
      <c r="B212" s="51" t="s">
        <v>22</v>
      </c>
      <c r="C212" s="68">
        <v>-1253750</v>
      </c>
      <c r="D212" s="67">
        <v>1373.3711472143568</v>
      </c>
      <c r="E212" s="66">
        <v>1283.7</v>
      </c>
      <c r="F212" s="66">
        <v>7940.2740438000001</v>
      </c>
      <c r="G212" s="65">
        <f>(C212*E212)/100000</f>
        <v>-16094.38875</v>
      </c>
      <c r="H212" s="44"/>
      <c r="N212" s="44"/>
      <c r="O212" s="44"/>
      <c r="P212" s="44"/>
      <c r="Q212" s="44"/>
    </row>
    <row r="213" spans="1:17" x14ac:dyDescent="0.35">
      <c r="A213" s="51" t="s">
        <v>41</v>
      </c>
      <c r="B213" s="51" t="s">
        <v>22</v>
      </c>
      <c r="C213" s="68">
        <v>-2201875</v>
      </c>
      <c r="D213" s="67">
        <v>1331.8347783502697</v>
      </c>
      <c r="E213" s="66">
        <v>1275.9000000000001</v>
      </c>
      <c r="F213" s="66">
        <v>7940.2740438000001</v>
      </c>
      <c r="G213" s="65">
        <f>(C213*E213)/100000</f>
        <v>-28093.723125</v>
      </c>
      <c r="H213" s="44"/>
      <c r="N213" s="44"/>
      <c r="O213" s="44"/>
      <c r="P213" s="44"/>
      <c r="Q213" s="44"/>
    </row>
    <row r="214" spans="1:17" x14ac:dyDescent="0.35">
      <c r="A214" s="51" t="s">
        <v>501</v>
      </c>
      <c r="B214" s="51" t="s">
        <v>184</v>
      </c>
      <c r="C214" s="68">
        <v>-2250</v>
      </c>
      <c r="D214" s="67">
        <v>518.9</v>
      </c>
      <c r="E214" s="66">
        <v>520.20000000000005</v>
      </c>
      <c r="F214" s="66">
        <v>1054.3479413</v>
      </c>
      <c r="G214" s="65">
        <f>(C214*E214)/100000</f>
        <v>-11.704499999999999</v>
      </c>
      <c r="H214" s="44"/>
      <c r="N214" s="44"/>
      <c r="O214" s="44"/>
      <c r="P214" s="44"/>
      <c r="Q214" s="44"/>
    </row>
    <row r="215" spans="1:17" x14ac:dyDescent="0.35">
      <c r="A215" s="51" t="s">
        <v>501</v>
      </c>
      <c r="B215" s="51" t="s">
        <v>184</v>
      </c>
      <c r="C215" s="68">
        <v>-965250</v>
      </c>
      <c r="D215" s="67">
        <v>504.51328251748254</v>
      </c>
      <c r="E215" s="66">
        <v>516.79999999999995</v>
      </c>
      <c r="F215" s="66">
        <v>1054.3479413</v>
      </c>
      <c r="G215" s="65">
        <f>(C215*E215)/100000</f>
        <v>-4988.4119999999994</v>
      </c>
      <c r="H215" s="44"/>
      <c r="N215" s="44"/>
      <c r="O215" s="44"/>
      <c r="P215" s="44"/>
      <c r="Q215" s="44"/>
    </row>
    <row r="216" spans="1:17" x14ac:dyDescent="0.35">
      <c r="A216" s="51" t="s">
        <v>500</v>
      </c>
      <c r="B216" s="51" t="s">
        <v>62</v>
      </c>
      <c r="C216" s="68">
        <v>-77700</v>
      </c>
      <c r="D216" s="67">
        <v>3396.5434347490345</v>
      </c>
      <c r="E216" s="66">
        <v>3133.4</v>
      </c>
      <c r="F216" s="66">
        <v>718.66283999999996</v>
      </c>
      <c r="G216" s="65">
        <f>(C216*E216)/100000</f>
        <v>-2434.6518000000001</v>
      </c>
      <c r="H216" s="44"/>
      <c r="N216" s="44"/>
      <c r="O216" s="44"/>
      <c r="P216" s="44"/>
      <c r="Q216" s="44"/>
    </row>
    <row r="217" spans="1:17" x14ac:dyDescent="0.35">
      <c r="A217" s="51" t="s">
        <v>138</v>
      </c>
      <c r="B217" s="51" t="s">
        <v>22</v>
      </c>
      <c r="C217" s="68">
        <v>-5224800</v>
      </c>
      <c r="D217" s="67">
        <v>20.433863690476191</v>
      </c>
      <c r="E217" s="66">
        <v>20.190000000000001</v>
      </c>
      <c r="F217" s="66">
        <v>2075.280608</v>
      </c>
      <c r="G217" s="65">
        <f>(C217*E217)/100000</f>
        <v>-1054.8871200000001</v>
      </c>
      <c r="H217" s="44"/>
      <c r="N217" s="44"/>
      <c r="O217" s="44"/>
      <c r="P217" s="44"/>
      <c r="Q217" s="44"/>
    </row>
    <row r="218" spans="1:17" x14ac:dyDescent="0.35">
      <c r="A218" s="51" t="s">
        <v>138</v>
      </c>
      <c r="B218" s="51" t="s">
        <v>22</v>
      </c>
      <c r="C218" s="68">
        <v>-44006500</v>
      </c>
      <c r="D218" s="67">
        <v>19.6991228975265</v>
      </c>
      <c r="E218" s="66">
        <v>20.05</v>
      </c>
      <c r="F218" s="66">
        <v>2075.280608</v>
      </c>
      <c r="G218" s="65">
        <f>(C218*E218)/100000</f>
        <v>-8823.3032500000008</v>
      </c>
      <c r="H218" s="44"/>
      <c r="N218" s="44"/>
      <c r="O218" s="44"/>
      <c r="P218" s="44"/>
      <c r="Q218" s="44"/>
    </row>
    <row r="219" spans="1:17" x14ac:dyDescent="0.35">
      <c r="A219" s="51" t="s">
        <v>499</v>
      </c>
      <c r="B219" s="51" t="s">
        <v>78</v>
      </c>
      <c r="C219" s="68">
        <v>-143075</v>
      </c>
      <c r="D219" s="67">
        <v>250.48065427223483</v>
      </c>
      <c r="E219" s="66">
        <v>249.74</v>
      </c>
      <c r="F219" s="66">
        <v>4073.0061974</v>
      </c>
      <c r="G219" s="65">
        <f>(C219*E219)/100000</f>
        <v>-357.31550499999997</v>
      </c>
      <c r="H219" s="44"/>
      <c r="N219" s="44"/>
      <c r="O219" s="44"/>
      <c r="P219" s="44"/>
      <c r="Q219" s="44"/>
    </row>
    <row r="220" spans="1:17" x14ac:dyDescent="0.35">
      <c r="A220" s="51" t="s">
        <v>499</v>
      </c>
      <c r="B220" s="51" t="s">
        <v>78</v>
      </c>
      <c r="C220" s="68">
        <v>-6620250</v>
      </c>
      <c r="D220" s="67">
        <v>252.45267003663002</v>
      </c>
      <c r="E220" s="66">
        <v>248.46</v>
      </c>
      <c r="F220" s="66">
        <v>4073.0061974</v>
      </c>
      <c r="G220" s="65">
        <f>(C220*E220)/100000</f>
        <v>-16448.673149999999</v>
      </c>
      <c r="H220" s="44"/>
      <c r="N220" s="44"/>
      <c r="O220" s="44"/>
      <c r="P220" s="44"/>
      <c r="Q220" s="44"/>
    </row>
    <row r="221" spans="1:17" x14ac:dyDescent="0.35">
      <c r="A221" s="51"/>
      <c r="B221" s="51"/>
      <c r="C221" s="68"/>
      <c r="D221" s="67"/>
      <c r="E221" s="66"/>
      <c r="F221" s="66"/>
      <c r="G221" s="65"/>
      <c r="H221" s="44"/>
      <c r="N221" s="44"/>
      <c r="O221" s="44"/>
      <c r="P221" s="44"/>
      <c r="Q221" s="44"/>
    </row>
    <row r="222" spans="1:17" x14ac:dyDescent="0.35">
      <c r="A222" s="64"/>
      <c r="B222" s="63"/>
      <c r="C222" s="62">
        <f>SUM(C9:C221)</f>
        <v>-439633206</v>
      </c>
      <c r="D222" s="62">
        <f>SUM(D9:D221)</f>
        <v>475935.64987469255</v>
      </c>
      <c r="E222" s="62">
        <f>SUM(E9:E221)</f>
        <v>475686.01000000007</v>
      </c>
      <c r="F222" s="62">
        <f>SUM(F9:F221)</f>
        <v>575459.0246846003</v>
      </c>
      <c r="G222" s="62">
        <f>SUM(G9:G221)</f>
        <v>-1630346.1812529995</v>
      </c>
      <c r="H222" s="44"/>
      <c r="N222" s="44"/>
      <c r="O222" s="44"/>
      <c r="P222" s="44"/>
      <c r="Q222" s="44"/>
    </row>
    <row r="223" spans="1:17" x14ac:dyDescent="0.35">
      <c r="A223" s="61"/>
      <c r="B223" s="53"/>
      <c r="C223" s="59"/>
      <c r="D223" s="58"/>
      <c r="E223" s="44"/>
      <c r="F223" s="44"/>
      <c r="H223" s="44"/>
      <c r="N223" s="44"/>
      <c r="O223" s="44"/>
      <c r="P223" s="44"/>
      <c r="Q223" s="44"/>
    </row>
    <row r="224" spans="1:17" x14ac:dyDescent="0.35">
      <c r="A224" s="60"/>
      <c r="B224" s="53"/>
      <c r="C224" s="59"/>
      <c r="D224" s="58"/>
      <c r="E224" s="44"/>
      <c r="F224" s="44"/>
      <c r="H224" s="44"/>
      <c r="N224" s="44"/>
      <c r="O224" s="44"/>
      <c r="P224" s="44"/>
      <c r="Q224" s="44"/>
    </row>
    <row r="225" spans="1:17" x14ac:dyDescent="0.35">
      <c r="A225" s="57" t="s">
        <v>498</v>
      </c>
      <c r="Q225" s="44"/>
    </row>
    <row r="226" spans="1:17" x14ac:dyDescent="0.35">
      <c r="A226" s="57" t="s">
        <v>495</v>
      </c>
      <c r="B226" s="57" t="s">
        <v>497</v>
      </c>
      <c r="C226" s="54"/>
      <c r="D226" s="54"/>
      <c r="E226" s="54"/>
      <c r="Q226" s="44"/>
    </row>
    <row r="227" spans="1:17" x14ac:dyDescent="0.35">
      <c r="A227" s="56" t="s">
        <v>489</v>
      </c>
      <c r="B227" s="55">
        <v>-66.711092853114877</v>
      </c>
      <c r="C227" s="54"/>
      <c r="D227" s="54"/>
      <c r="E227" s="54"/>
      <c r="Q227" s="44"/>
    </row>
    <row r="228" spans="1:17" x14ac:dyDescent="0.35">
      <c r="A228" s="53"/>
      <c r="B228" s="53"/>
      <c r="C228" s="54"/>
      <c r="D228" s="54"/>
      <c r="E228" s="54"/>
    </row>
    <row r="229" spans="1:17" x14ac:dyDescent="0.35">
      <c r="A229" s="54" t="s">
        <v>496</v>
      </c>
      <c r="B229" s="53"/>
      <c r="C229" s="53"/>
      <c r="D229" s="53"/>
      <c r="E229" s="53"/>
    </row>
    <row r="230" spans="1:17" s="46" customFormat="1" ht="93" x14ac:dyDescent="0.35">
      <c r="A230" s="52" t="s">
        <v>495</v>
      </c>
      <c r="B230" s="52" t="s">
        <v>494</v>
      </c>
      <c r="C230" s="52" t="s">
        <v>493</v>
      </c>
      <c r="D230" s="52" t="s">
        <v>492</v>
      </c>
      <c r="E230" s="52" t="s">
        <v>491</v>
      </c>
      <c r="F230" s="52" t="s">
        <v>490</v>
      </c>
    </row>
    <row r="231" spans="1:17" s="46" customFormat="1" x14ac:dyDescent="0.35">
      <c r="A231" s="51" t="s">
        <v>489</v>
      </c>
      <c r="B231" s="50">
        <v>261962</v>
      </c>
      <c r="C231" s="50">
        <v>282446</v>
      </c>
      <c r="D231" s="48">
        <v>1720638.0037000016</v>
      </c>
      <c r="E231" s="49">
        <v>1839226.2737412027</v>
      </c>
      <c r="F231" s="48">
        <v>-93350.397525700057</v>
      </c>
      <c r="O231" s="47"/>
      <c r="P231" s="47"/>
      <c r="Q231" s="47"/>
    </row>
    <row r="232" spans="1:17" x14ac:dyDescent="0.35">
      <c r="A232" s="45"/>
      <c r="B232" s="45"/>
      <c r="C232" s="45"/>
      <c r="D232" s="45"/>
      <c r="E232" s="45"/>
      <c r="F232" s="45"/>
      <c r="O232" s="44"/>
    </row>
    <row r="233" spans="1:17" ht="15.75" customHeight="1" x14ac:dyDescent="0.35">
      <c r="A233" s="42" t="s">
        <v>488</v>
      </c>
      <c r="B233" s="42"/>
      <c r="C233" s="42"/>
      <c r="D233" s="42"/>
      <c r="E233" s="42"/>
      <c r="F233" s="42"/>
      <c r="O233" s="44"/>
    </row>
    <row r="234" spans="1:17" x14ac:dyDescent="0.35">
      <c r="A234" s="43"/>
      <c r="B234" s="43"/>
      <c r="C234" s="43"/>
      <c r="D234" s="43"/>
      <c r="E234" s="43"/>
    </row>
    <row r="235" spans="1:17" ht="15.75" customHeight="1" x14ac:dyDescent="0.35">
      <c r="A235" s="42" t="s">
        <v>487</v>
      </c>
      <c r="B235" s="42"/>
      <c r="C235" s="42"/>
      <c r="D235" s="42"/>
      <c r="E235" s="42"/>
      <c r="F235" s="42"/>
    </row>
    <row r="236" spans="1:17" x14ac:dyDescent="0.35">
      <c r="A236" s="43"/>
      <c r="B236" s="43"/>
      <c r="C236" s="43"/>
      <c r="D236" s="43"/>
      <c r="E236" s="43"/>
      <c r="F236" s="43"/>
    </row>
    <row r="237" spans="1:17" ht="15.75" customHeight="1" x14ac:dyDescent="0.35">
      <c r="A237" s="42" t="s">
        <v>486</v>
      </c>
      <c r="B237" s="42"/>
      <c r="C237" s="42"/>
      <c r="D237" s="42"/>
      <c r="E237" s="42"/>
      <c r="F237" s="42"/>
    </row>
    <row r="239" spans="1:17" x14ac:dyDescent="0.35">
      <c r="B239" s="41"/>
      <c r="C239" s="41"/>
      <c r="D239" s="41"/>
      <c r="E239" s="41"/>
    </row>
  </sheetData>
  <autoFilter ref="A8:G222"/>
  <mergeCells count="4">
    <mergeCell ref="A7:F7"/>
    <mergeCell ref="A233:F233"/>
    <mergeCell ref="A235:F235"/>
    <mergeCell ref="A237:F23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HDFCAR</vt:lpstr>
      <vt:lpstr>DerivativeHDFCAR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2026-05-09T07:22:12Z</dcterms:created>
  <dcterms:modified xsi:type="dcterms:W3CDTF">2026-05-09T07:26:22Z</dcterms:modified>
</cp:coreProperties>
</file>