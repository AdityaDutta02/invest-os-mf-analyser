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AR" sheetId="1" r:id="rId1"/>
    <sheet name="DerivativeHDFCA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1" hidden="1">DerivativeHDFCAR!$A$8:$H$127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_xll.Formula.SK([2]Stack!$FJ$5,1)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_xll.Formula.SK([2]Stack!$FK$5,1)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_xll.Formula.SK([2]Stack!$FL$5,1)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_xll.Formula.SK([2]Stack!$FM$5,1)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_xll.Formula.SK([2]Stack!$FN$5,1)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_xll.Formula.SK([2]Stack!$FO$5,1)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_xll.Formula.SK([2]Stack!$FP$6,1)</definedName>
    <definedName name="SheetKraftFormula494" hidden="1">_xll.Formula.SK([2]Stack!$FW$8,1)</definedName>
    <definedName name="SheetKraftFormula495" hidden="1">_xll.Formula.SK([2]Stack!$FQ$5,1)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_xll.Formula.SK([2]Stack!$FR$5,1)</definedName>
    <definedName name="SheetKraftFormula507" hidden="1">_xll.Formula.SK([2]Stack!$DG$5,1)</definedName>
    <definedName name="SheetKraftFormula508" hidden="1">_xll.Formula.SK([2]Stack!$GB$8,1)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_xll.Formula.SK([2]Stack!$FS$5,1)</definedName>
    <definedName name="SheetKraftFormula512" hidden="1">_xll.Formula.SK([2]Stack!$GK$8,1)</definedName>
    <definedName name="SheetKraftFormula513" hidden="1">_xll.Formula.SK('[7]Pivots Data'!$CI$4,1)</definedName>
    <definedName name="SheetKraftFormula514" hidden="1">_xll.Formula.SK([2]Stack!$GS$8,1)</definedName>
    <definedName name="SheetKraftFormula515" hidden="1">_xll.Formula.SK([2]Stack!$GS$1,1)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_xll.Formula.SK([2]Stack!$FT$5,1)</definedName>
    <definedName name="SheetKraftFormula525" hidden="1">_xll.Formula.SK('[16]Security Master'!$Z$9,1)</definedName>
    <definedName name="SheetKraftFormula526" hidden="1">_xll.Formula.SK([9]Derivatives!$Z$11,1)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6" i="2" l="1"/>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<sst xmlns="http://schemas.openxmlformats.org/spreadsheetml/2006/main" count="1342" uniqueCount="430">
  <si>
    <t>HDFC Arbitrage Fund (AN OPEN-ENDED EQUITY SCHEME)</t>
  </si>
  <si>
    <t>Income</t>
  </si>
  <si>
    <t>Hybrid</t>
  </si>
  <si>
    <t>Portfolio as on 30-Apr-2023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</si>
  <si>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</si>
  <si>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</si>
  <si>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</si>
  <si>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</si>
  <si>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</si>
  <si>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</si>
  <si>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</si>
  <si>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</si>
  <si>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</si>
  <si>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</si>
  <si>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</si>
  <si>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</si>
  <si>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</si>
  <si>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</si>
  <si>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</si>
  <si>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INE002A01018</t>
  </si>
  <si>
    <t/>
  </si>
  <si>
    <t>Reliance Industries Ltd.</t>
  </si>
  <si>
    <t>Petroleum Products</t>
  </si>
  <si>
    <t>INE090A01021</t>
  </si>
  <si>
    <t>ICICI Bank Ltd.</t>
  </si>
  <si>
    <t>Banks</t>
  </si>
  <si>
    <t>INE237A01028</t>
  </si>
  <si>
    <t>Kotak Mahindra Bank Limited</t>
  </si>
  <si>
    <t>INE040A01034</t>
  </si>
  <si>
    <t>HDFC Bank Ltd.</t>
  </si>
  <si>
    <t>INE296A01024</t>
  </si>
  <si>
    <t>Bajaj Finance Ltd.</t>
  </si>
  <si>
    <t>Finance</t>
  </si>
  <si>
    <t>INE245A01021</t>
  </si>
  <si>
    <t>The Tata Power Company Ltd.</t>
  </si>
  <si>
    <t>Power</t>
  </si>
  <si>
    <t>INE030A01027</t>
  </si>
  <si>
    <t>Hindustan Unilever Ltd.</t>
  </si>
  <si>
    <t>Diversified FMCG</t>
  </si>
  <si>
    <t>INE155A01022</t>
  </si>
  <si>
    <t>Tata Motors Ltd.</t>
  </si>
  <si>
    <t>Automobiles</t>
  </si>
  <si>
    <t>INE079A01024</t>
  </si>
  <si>
    <t>Ambuja Cements Ltd.</t>
  </si>
  <si>
    <t>Cement &amp; Cement Products</t>
  </si>
  <si>
    <t>INE256A01028</t>
  </si>
  <si>
    <t>Zee Entertainment Enterprises Ltd.</t>
  </si>
  <si>
    <t>Entertainment</t>
  </si>
  <si>
    <t>INE095A01012</t>
  </si>
  <si>
    <t>Indusind Bank Ltd.</t>
  </si>
  <si>
    <t>INE742F01042</t>
  </si>
  <si>
    <t>Adani Ports &amp; Special Economic Zone</t>
  </si>
  <si>
    <t>Transport Infrastructure</t>
  </si>
  <si>
    <t>INE044A01036</t>
  </si>
  <si>
    <t>Sun Pharmaceutical Industries Ltd.</t>
  </si>
  <si>
    <t>Pharmaceuticals &amp; Biotechnology</t>
  </si>
  <si>
    <t>INE009A01021</t>
  </si>
  <si>
    <t>Infosys Limited</t>
  </si>
  <si>
    <t>IT - Software</t>
  </si>
  <si>
    <t>INE854D01024</t>
  </si>
  <si>
    <t>United Spirits Limited</t>
  </si>
  <si>
    <t>Beverages</t>
  </si>
  <si>
    <t>INE585B01010</t>
  </si>
  <si>
    <t>Maruti Suzuki India Limited</t>
  </si>
  <si>
    <t>INE918I01026</t>
  </si>
  <si>
    <t>Bajaj Finserv Ltd.</t>
  </si>
  <si>
    <t>INE043D01016</t>
  </si>
  <si>
    <t>IDFC Ltd.</t>
  </si>
  <si>
    <t>INE089A01023</t>
  </si>
  <si>
    <t>Dr Reddys Laboratories Ltd.</t>
  </si>
  <si>
    <t>INE059A01026</t>
  </si>
  <si>
    <t>Cipla Ltd.</t>
  </si>
  <si>
    <t>INE280A01028</t>
  </si>
  <si>
    <t>Titan Company Ltd.</t>
  </si>
  <si>
    <t>Consumer Durables</t>
  </si>
  <si>
    <t>INE047A01021</t>
  </si>
  <si>
    <t>Grasim Industries Ltd.</t>
  </si>
  <si>
    <t>INE271C01023</t>
  </si>
  <si>
    <t>DLF LIMITED</t>
  </si>
  <si>
    <t>Realty</t>
  </si>
  <si>
    <t>INE093I01010</t>
  </si>
  <si>
    <t>Oberoi Realty Ltd.</t>
  </si>
  <si>
    <t>INE376G01013</t>
  </si>
  <si>
    <t>Biocon Ltd.</t>
  </si>
  <si>
    <t>INE647A01010</t>
  </si>
  <si>
    <t>SRF Ltd.</t>
  </si>
  <si>
    <t>Chemicals &amp; Petrochemicals</t>
  </si>
  <si>
    <t>INE020B01018</t>
  </si>
  <si>
    <t>REC Limited.</t>
  </si>
  <si>
    <t>INE003A01024</t>
  </si>
  <si>
    <t>Siemens Ltd.</t>
  </si>
  <si>
    <t>Electrical Equipment</t>
  </si>
  <si>
    <t>INE012A01025</t>
  </si>
  <si>
    <t>ACC Ltd.</t>
  </si>
  <si>
    <t>INE476A01014</t>
  </si>
  <si>
    <t>Canara Bank</t>
  </si>
  <si>
    <t>INE481G01011</t>
  </si>
  <si>
    <t>UltraTech Cement Limited</t>
  </si>
  <si>
    <t>INE021A01026</t>
  </si>
  <si>
    <t>Asian Paints Limited</t>
  </si>
  <si>
    <t>INE484J01027</t>
  </si>
  <si>
    <t>Godrej Properties Ltd.</t>
  </si>
  <si>
    <t>INE053A01029</t>
  </si>
  <si>
    <t>Indian Hotels Company Ltd.</t>
  </si>
  <si>
    <t>Leisure Services</t>
  </si>
  <si>
    <t>INE018A01030</t>
  </si>
  <si>
    <t>Larsen and Toubro Ltd.</t>
  </si>
  <si>
    <t>Construction</t>
  </si>
  <si>
    <t>INE733E01010</t>
  </si>
  <si>
    <t>NTPC Limited</t>
  </si>
  <si>
    <t>INE208A01029</t>
  </si>
  <si>
    <t>Ashok Leyland  Ltd</t>
  </si>
  <si>
    <t>Agricultural, Commercial &amp; Construction Vehicles</t>
  </si>
  <si>
    <t>INE603J01030</t>
  </si>
  <si>
    <t>PI Industries Ltd.</t>
  </si>
  <si>
    <t>Fertilizers &amp; Agrochemicals</t>
  </si>
  <si>
    <t>INE140A01024</t>
  </si>
  <si>
    <t>Piramal Enterprises Limited</t>
  </si>
  <si>
    <t>INE860A01027</t>
  </si>
  <si>
    <t>HCL Technologies Ltd.</t>
  </si>
  <si>
    <t>INE022Q01020</t>
  </si>
  <si>
    <t>Indian Energy Exchange Limited</t>
  </si>
  <si>
    <t>Capital Markets</t>
  </si>
  <si>
    <t>INE545U01014</t>
  </si>
  <si>
    <t>Bandhan Bank Ltd.</t>
  </si>
  <si>
    <t>INE029A01011</t>
  </si>
  <si>
    <t>Bharat Petroleum Corporation Ltd.</t>
  </si>
  <si>
    <t>INE160A01022</t>
  </si>
  <si>
    <t>Punjab National Bank</t>
  </si>
  <si>
    <t>INE849A01020</t>
  </si>
  <si>
    <t>Trent Ltd.</t>
  </si>
  <si>
    <t>Retailing</t>
  </si>
  <si>
    <t>INE158A01026</t>
  </si>
  <si>
    <t>Hero MotoCorp Ltd.</t>
  </si>
  <si>
    <t>INE498L01015</t>
  </si>
  <si>
    <t>L&amp;T Finance Holdings Ltd.</t>
  </si>
  <si>
    <t>INE216A01030</t>
  </si>
  <si>
    <t>Britannia Industries Ltd.</t>
  </si>
  <si>
    <t>Food Products</t>
  </si>
  <si>
    <t>INE726G01019</t>
  </si>
  <si>
    <t>ICICI Prudential Life Insurance Company Ltd.</t>
  </si>
  <si>
    <t>Insurance</t>
  </si>
  <si>
    <t>INE397D01024</t>
  </si>
  <si>
    <t>Bharti Airtel Ltd.</t>
  </si>
  <si>
    <t>Telecom - Services</t>
  </si>
  <si>
    <t>INE467B01029</t>
  </si>
  <si>
    <t>Tata Consultancy Services Ltd.</t>
  </si>
  <si>
    <t>INE176A01028</t>
  </si>
  <si>
    <t>Bata India Ltd.</t>
  </si>
  <si>
    <t>INE148I01020</t>
  </si>
  <si>
    <t>Indiabulls Housing Finance Ltd.</t>
  </si>
  <si>
    <t>INE306R01017</t>
  </si>
  <si>
    <t>Intellect Design Arena Limited</t>
  </si>
  <si>
    <t>INE584A01023</t>
  </si>
  <si>
    <t>NMDC Limited</t>
  </si>
  <si>
    <t>Minerals &amp; Mining</t>
  </si>
  <si>
    <t>INE347G01014</t>
  </si>
  <si>
    <t>Petronet LNG Ltd.</t>
  </si>
  <si>
    <t>Gas</t>
  </si>
  <si>
    <t>INE114A01011</t>
  </si>
  <si>
    <t>Steel Authority Of India Ltd.</t>
  </si>
  <si>
    <t>Ferrous Metals</t>
  </si>
  <si>
    <t>INE102D01028</t>
  </si>
  <si>
    <t>Godrej Consumer Products Ltd.</t>
  </si>
  <si>
    <t>Personal Products</t>
  </si>
  <si>
    <t>INE123W01016</t>
  </si>
  <si>
    <t>SBI Life Insurance Company Ltd.</t>
  </si>
  <si>
    <t>INE113A01013</t>
  </si>
  <si>
    <t>Guj. Narmada Valley Fertilisers Ltd</t>
  </si>
  <si>
    <t>INE239A01016</t>
  </si>
  <si>
    <t>Nestle India Ltd.</t>
  </si>
  <si>
    <t>INE437A01024</t>
  </si>
  <si>
    <t>Apollo Hospitals Enterprise Ltd.</t>
  </si>
  <si>
    <t>Healthcare Services</t>
  </si>
  <si>
    <t>INE115A01026</t>
  </si>
  <si>
    <t>LIC Housing Finance Ltd.</t>
  </si>
  <si>
    <t>INE016A01026</t>
  </si>
  <si>
    <t>Dabur India Ltd.</t>
  </si>
  <si>
    <t>INE196A01026</t>
  </si>
  <si>
    <t>Marico Ltd.</t>
  </si>
  <si>
    <t>Agricultural Food &amp; Other Products</t>
  </si>
  <si>
    <t>INE752E01010</t>
  </si>
  <si>
    <t>Power Grid Corporation of India Ltd.</t>
  </si>
  <si>
    <t>INE101D01020</t>
  </si>
  <si>
    <t>Granules India Ltd.</t>
  </si>
  <si>
    <t>INE765G01017</t>
  </si>
  <si>
    <t>ICICI Lombard General Insurance Co</t>
  </si>
  <si>
    <t>INE522D01027</t>
  </si>
  <si>
    <t>Manappuram Finance Ltd.</t>
  </si>
  <si>
    <t>INE423A01024</t>
  </si>
  <si>
    <t>ADANI ENTERPRISES LIMTIED</t>
  </si>
  <si>
    <t>Metals &amp; Minerals Trading</t>
  </si>
  <si>
    <t>INE111A01025</t>
  </si>
  <si>
    <t>Container Corporation of India Ltd.</t>
  </si>
  <si>
    <t>Transport Services</t>
  </si>
  <si>
    <t>INE101A01026</t>
  </si>
  <si>
    <t>Mahindra &amp; Mahindra Ltd.</t>
  </si>
  <si>
    <t>INE134E01011</t>
  </si>
  <si>
    <t>Power Finance Corporation Ltd.</t>
  </si>
  <si>
    <t>INE685A01028</t>
  </si>
  <si>
    <t>Torrent Pharmaceuticals Ltd.</t>
  </si>
  <si>
    <t>INE117A01022</t>
  </si>
  <si>
    <t>ABB India Ltd.</t>
  </si>
  <si>
    <t>INE214T01019</t>
  </si>
  <si>
    <t>LTIMindtree Limited</t>
  </si>
  <si>
    <t>INE213A01029</t>
  </si>
  <si>
    <t>Oil &amp; Natural Gas Corporation Ltd.</t>
  </si>
  <si>
    <t>Oil</t>
  </si>
  <si>
    <t>INE191H01014</t>
  </si>
  <si>
    <t>PVR LIMITED</t>
  </si>
  <si>
    <t>INE238A01034</t>
  </si>
  <si>
    <t>Axis Bank Ltd.</t>
  </si>
  <si>
    <t>INE935A01035</t>
  </si>
  <si>
    <t>Glenmark Pharmaceuticals Ltd.</t>
  </si>
  <si>
    <t>INE749A01030</t>
  </si>
  <si>
    <t>Jindal Steel &amp; Power Ltd.</t>
  </si>
  <si>
    <t>INE092A01019</t>
  </si>
  <si>
    <t>Tata Chemicals Ltd.</t>
  </si>
  <si>
    <t>INE323A01026</t>
  </si>
  <si>
    <t>Bosch Limited</t>
  </si>
  <si>
    <t>Auto Components</t>
  </si>
  <si>
    <t>INE299U01018</t>
  </si>
  <si>
    <t>Crompton Greaves Consumer Elec. Ltd.</t>
  </si>
  <si>
    <t>INE094A01015</t>
  </si>
  <si>
    <t>Hindustan Petroleum Corp. Ltd.</t>
  </si>
  <si>
    <t>INE646L01027</t>
  </si>
  <si>
    <t>InterGlobe Aviation Ltd.</t>
  </si>
  <si>
    <t>INE302A01020</t>
  </si>
  <si>
    <t>Exide Industries Ltd.</t>
  </si>
  <si>
    <t>INE844O01030</t>
  </si>
  <si>
    <t>Gujarat Gas Ltd.</t>
  </si>
  <si>
    <t>INE795G01014</t>
  </si>
  <si>
    <t>HDFC Life Insurance Company Limited</t>
  </si>
  <si>
    <t>INE383A01012</t>
  </si>
  <si>
    <t>India Cements Ltd.</t>
  </si>
  <si>
    <t>INE081A01020</t>
  </si>
  <si>
    <t>Tata Steel Ltd.</t>
  </si>
  <si>
    <t>INE674K01013</t>
  </si>
  <si>
    <t>Aditya Birla Capital ltd.</t>
  </si>
  <si>
    <t>INE119A01028</t>
  </si>
  <si>
    <t>Balrampur Chini Mills Ltd.</t>
  </si>
  <si>
    <t>INE066F01012</t>
  </si>
  <si>
    <t>Hindustan Aeronautics Limited</t>
  </si>
  <si>
    <t>Aerospace &amp; Defense</t>
  </si>
  <si>
    <t>INE257A01026</t>
  </si>
  <si>
    <t>Bharat Heavy Electricals Ltd.</t>
  </si>
  <si>
    <t>INE836A01035</t>
  </si>
  <si>
    <t>Birlasoft Limited</t>
  </si>
  <si>
    <t>INE001A01036</t>
  </si>
  <si>
    <t>Housing Development Fin. Corp. Ltd.£</t>
  </si>
  <si>
    <t>INE180A01020</t>
  </si>
  <si>
    <t>Max Financial Services Ltd.</t>
  </si>
  <si>
    <t>INE775A01035</t>
  </si>
  <si>
    <t>Samvardhana Motherson International Ltd.</t>
  </si>
  <si>
    <t>INE192A01025</t>
  </si>
  <si>
    <t>Tata Consumer Products Limited</t>
  </si>
  <si>
    <t>INE494B01023</t>
  </si>
  <si>
    <t>TVS Motor Company Ltd.</t>
  </si>
  <si>
    <t>INE406A01037</t>
  </si>
  <si>
    <t>Aurobindo Pharma Ltd.</t>
  </si>
  <si>
    <t>INE335Y01020</t>
  </si>
  <si>
    <t>Indian Railway Catering And Tourism Corp Ltd</t>
  </si>
  <si>
    <t>INE002S01010</t>
  </si>
  <si>
    <t>Mahanagar Gas Ltd.</t>
  </si>
  <si>
    <t>INE139A01034</t>
  </si>
  <si>
    <t>National Aluminium Co. Ltd.</t>
  </si>
  <si>
    <t>Non - Ferrous Metals</t>
  </si>
  <si>
    <t>INE010B01027</t>
  </si>
  <si>
    <t>Zydus Lifesciences Limited</t>
  </si>
  <si>
    <t>INE647O01011</t>
  </si>
  <si>
    <t>Aditya Birla Fashion and Retail Ltd.</t>
  </si>
  <si>
    <t>INE006I01046</t>
  </si>
  <si>
    <t>Astral Limited</t>
  </si>
  <si>
    <t>Industrial Products</t>
  </si>
  <si>
    <t>INE263A01024</t>
  </si>
  <si>
    <t>Bharat Electronics Ltd.</t>
  </si>
  <si>
    <t>INE477A01020</t>
  </si>
  <si>
    <t>CanFin Homes Ltd.</t>
  </si>
  <si>
    <t>INE085A01013</t>
  </si>
  <si>
    <t>Chambal Fertilizers &amp; Chemicals Ltd.</t>
  </si>
  <si>
    <t>INE066A01021</t>
  </si>
  <si>
    <t>Eicher Motors Ltd.</t>
  </si>
  <si>
    <t>INE242A01010</t>
  </si>
  <si>
    <t>Indian Oil Corporation Ltd.</t>
  </si>
  <si>
    <t>INE112L01020</t>
  </si>
  <si>
    <t>Metropolis Healthcare Ltd.</t>
  </si>
  <si>
    <t>INE356A01018</t>
  </si>
  <si>
    <t>MphasiS Limited.</t>
  </si>
  <si>
    <t>INE669C01036</t>
  </si>
  <si>
    <t>Tech Mahindra Ltd.</t>
  </si>
  <si>
    <t>INE028A01039</t>
  </si>
  <si>
    <t>Bank of Baroda</t>
  </si>
  <si>
    <t>@</t>
  </si>
  <si>
    <t>Sub Total</t>
  </si>
  <si>
    <t>Total</t>
  </si>
  <si>
    <t>DEBT INSTRUMENTS</t>
  </si>
  <si>
    <t>Government Securities (Central/State)</t>
  </si>
  <si>
    <t>IN0020210046</t>
  </si>
  <si>
    <t>4.26% GOI MAT 170523^</t>
  </si>
  <si>
    <t>Sovereign</t>
  </si>
  <si>
    <t>Non-Convertible debentures / Bonds</t>
  </si>
  <si>
    <t>INE001A07SP7</t>
  </si>
  <si>
    <t>Housing Development Fin. Corp. Ltd.£^</t>
  </si>
  <si>
    <t>CRISIL - AAA</t>
  </si>
  <si>
    <t>INE002A08658</t>
  </si>
  <si>
    <t>Reliance Industries Ltd.^</t>
  </si>
  <si>
    <t>MONEY MARKET INSTRUMENTS</t>
  </si>
  <si>
    <t>Certificate Of Deposit (CD)</t>
  </si>
  <si>
    <t>INE476A16UN3</t>
  </si>
  <si>
    <t>Canara Bank^</t>
  </si>
  <si>
    <t>CRISIL - A1+</t>
  </si>
  <si>
    <t>TREPS - Tri-party Repo</t>
  </si>
  <si>
    <t>Reverse Repo</t>
  </si>
  <si>
    <t>OTHERS</t>
  </si>
  <si>
    <t>Mutual Fund Units</t>
  </si>
  <si>
    <t>INF179KB1HU9</t>
  </si>
  <si>
    <t>HDFC Money Market Fund - Direct Plan - Growth Option</t>
  </si>
  <si>
    <t>INF179KB1HP9</t>
  </si>
  <si>
    <t>HDFC Liquid Fund - Direct Plan - Growth Option</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</si>
  <si>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</si>
  <si>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</si>
  <si>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</si>
  <si>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</si>
  <si>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</si>
  <si>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</si>
  <si>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</si>
  <si>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</si>
  <si>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</si>
  <si>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</si>
  <si>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</si>
  <si>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</si>
  <si>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</si>
  <si>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</si>
  <si>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</si>
  <si>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</si>
  <si>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</si>
  <si>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</si>
  <si>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</si>
  <si>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</si>
  <si>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April 28, 2023</t>
  </si>
  <si>
    <t>March 31, 2023</t>
  </si>
  <si>
    <t>Retail IDCW Option</t>
  </si>
  <si>
    <t>Retail Quarterly IDCW Option</t>
  </si>
  <si>
    <t>Quarterly IDCW Option - Direct Plan</t>
  </si>
  <si>
    <t>Retail Growth Option</t>
  </si>
  <si>
    <t>Growth Option - Direct Plan</t>
  </si>
  <si>
    <t xml:space="preserve">Wholesale Monthly IDCW Option  </t>
  </si>
  <si>
    <t>Wholesale Monthly IDCW - Direct Plan</t>
  </si>
  <si>
    <t>Wholesale IDCW Option</t>
  </si>
  <si>
    <t>Wholesale IDCW Option - Direct Plan</t>
  </si>
  <si>
    <t>Wholesale Growth Option</t>
  </si>
  <si>
    <t>Wholesale Growth Option - Direct Plan</t>
  </si>
  <si>
    <t>Dividend History - Dividend declared during the month ended April 30, 2023 :</t>
  </si>
  <si>
    <t xml:space="preserve">Dividend Per Unit (Rs) for </t>
  </si>
  <si>
    <t>Plan Name</t>
  </si>
  <si>
    <t>Record Date</t>
  </si>
  <si>
    <t>Nav as on Record Date</t>
  </si>
  <si>
    <t>Individuals and HUF</t>
  </si>
  <si>
    <t>Others</t>
  </si>
  <si>
    <t>20-Apr-2023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</si>
  <si>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</si>
  <si>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</si>
  <si>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</si>
  <si>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</si>
  <si>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(374200.43) Lacs</t>
  </si>
  <si>
    <t>6) Portfolio Turnover Ratio : 264%</t>
  </si>
  <si>
    <t>7) Annualised Portfolio YTM : 6.99%</t>
  </si>
  <si>
    <t>8) Macaulay Duration : 35.52 Days</t>
  </si>
  <si>
    <t>9) Residual Maturity (Average Portfolio Maturity-other than equity investments) : 35.76 Days</t>
  </si>
  <si>
    <t>10) Total value and percentage of Illiquid Equity Shares : Nil</t>
  </si>
  <si>
    <t>11) IDCW stands for Income Distribution cum Capital Withdrawal</t>
  </si>
  <si>
    <t>12) Riskometer based on Scheme Portfolio and Portfolio Benchmark "NIFTY 50 Arbitrage" as on Apr 30, 2023</t>
  </si>
  <si>
    <t>Scheme Riskometer:</t>
  </si>
  <si>
    <t>Benchmark Riskometer:</t>
  </si>
  <si>
    <t>DERIVATIVE DISCLOSURE - HDFC Arbitrage Fund</t>
  </si>
  <si>
    <t>Disclosure regarding Derivative positions pursuant to SEBI Circular no. CIR/IMD/DF/11/2010 dated August 18, 2010.</t>
  </si>
  <si>
    <t>A.  Hedging Positions through Futures as on  April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</si>
  <si>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</si>
  <si>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</si>
  <si>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</si>
  <si>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</si>
  <si>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</si>
  <si>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</si>
  <si>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</si>
  <si>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</si>
  <si>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Arbitrage Fund</t>
  </si>
  <si>
    <t>Adani Enterprises Ltd.</t>
  </si>
  <si>
    <t>Aditya Birla Capital Ltd.</t>
  </si>
  <si>
    <t>Ashok Leyland Ltd.</t>
  </si>
  <si>
    <t>Asian Paints Ltd.</t>
  </si>
  <si>
    <t>Astral Ltd.</t>
  </si>
  <si>
    <t>BAJAJ FINANCE LTD.</t>
  </si>
  <si>
    <t>Agricultural Food &amp; other Products</t>
  </si>
  <si>
    <t>Zydus Lifesciences Ltd.</t>
  </si>
  <si>
    <t>Can Fin Homes Ltd.</t>
  </si>
  <si>
    <t>Crompton Greaves Consumer Electricals Ltd.</t>
  </si>
  <si>
    <t>DLF Ltd.</t>
  </si>
  <si>
    <t>Dr. Reddy's Laboratories Ltd.</t>
  </si>
  <si>
    <t>Gujarat Narmada Valley Fertilizers and Chemicals Ltd.</t>
  </si>
  <si>
    <t>Hindustan Aeronautics Ltd.</t>
  </si>
  <si>
    <t>HDFC Life Insurance Company Ltd.</t>
  </si>
  <si>
    <t>Housing Development Finance Corporation Ltd.</t>
  </si>
  <si>
    <t>Hindustan Petroleum Corporation Ltd.</t>
  </si>
  <si>
    <t>Indiabulls Housing FInance Ltd.</t>
  </si>
  <si>
    <t>ICICI Lombard General Insurance Company Ltd.</t>
  </si>
  <si>
    <t>Indian Hotels Co. Ltd.</t>
  </si>
  <si>
    <t>Indian Energy Exchange Ltd.</t>
  </si>
  <si>
    <t>Infosys Ltd.</t>
  </si>
  <si>
    <t>Intellect Design Arena Ltd.</t>
  </si>
  <si>
    <t>Indian Railway Catering And Tourism Corporation Ltd.</t>
  </si>
  <si>
    <t>Kotak Mahindra Bank Ltd.</t>
  </si>
  <si>
    <t>Birlasoft Ltd.</t>
  </si>
  <si>
    <t>LTIMindtree Ltd.</t>
  </si>
  <si>
    <t>Larsen &amp; Toubro Ltd.</t>
  </si>
  <si>
    <t>Maruti Suzuki India Ltd.</t>
  </si>
  <si>
    <t>Max FInancial Services Ltd.</t>
  </si>
  <si>
    <t>United Spirits Ltd.</t>
  </si>
  <si>
    <t>Bosch Ltd.</t>
  </si>
  <si>
    <t>MphasiS Ltd.</t>
  </si>
  <si>
    <t>Adani Ports and Special Economic Zone Ltd.</t>
  </si>
  <si>
    <t>Piramal Enterprises Ltd.</t>
  </si>
  <si>
    <t>NMDC Ltd.</t>
  </si>
  <si>
    <t>NTPC Ltd.</t>
  </si>
  <si>
    <t>Pi Industries Ltd.</t>
  </si>
  <si>
    <t>PVR Ltd.</t>
  </si>
  <si>
    <t>REC Ltd.</t>
  </si>
  <si>
    <t>Steel Authority of India Ltd.</t>
  </si>
  <si>
    <t>Tata Power Co. Ltd.</t>
  </si>
  <si>
    <t>Tata Consumer Products Ltd.</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</si>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</sst>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horizontal="center"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7" fontId="13" fillId="0" borderId="2" xfId="2" applyFont="1" applyFill="1" applyBorder="1" applyAlignment="1"/>
    <xf numFmtId="0" fontId="13" fillId="0" borderId="4" xfId="1" applyFont="1" applyFill="1" applyBorder="1" applyAlignment="1">
      <alignment horizontal="center" vertical="top"/>
    </xf>
    <xf numFmtId="0" fontId="17" fillId="0" borderId="5" xfId="1" applyFont="1" applyFill="1" applyBorder="1" applyAlignment="1">
      <alignment vertical="top"/>
    </xf>
    <xf numFmtId="168" fontId="17" fillId="0" borderId="5" xfId="3" applyNumberFormat="1" applyFont="1" applyFill="1" applyBorder="1" applyAlignment="1">
      <alignment horizontal="right" vertical="center"/>
    </xf>
    <xf numFmtId="4" fontId="17" fillId="0" borderId="5" xfId="1" applyNumberFormat="1" applyFont="1" applyFill="1" applyBorder="1" applyAlignment="1">
      <alignment horizontal="right" vertical="top"/>
    </xf>
    <xf numFmtId="4" fontId="13" fillId="0" borderId="5" xfId="1" applyNumberFormat="1" applyFont="1" applyFill="1" applyBorder="1" applyAlignment="1"/>
    <xf numFmtId="0" fontId="13" fillId="0" borderId="6" xfId="1" applyFont="1" applyFill="1" applyBorder="1" applyAlignment="1">
      <alignment horizontal="center" vertical="top"/>
    </xf>
    <xf numFmtId="0" fontId="13" fillId="0" borderId="0" xfId="1" applyFont="1" applyFill="1" applyBorder="1" applyAlignment="1">
      <alignment horizontal="center" vertical="top"/>
    </xf>
    <xf numFmtId="0" fontId="17" fillId="0" borderId="0" xfId="1" applyFont="1" applyFill="1" applyBorder="1" applyAlignment="1">
      <alignment vertical="top"/>
    </xf>
    <xf numFmtId="168"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4"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R.jpg" TargetMode="External"/><Relationship Id="rId1" Type="http://schemas.openxmlformats.org/officeDocument/2006/relationships/image" Target="../media/image1.jpeg"/><Relationship Id="rId4" Type="http://schemas.openxmlformats.org/officeDocument/2006/relationships/image" Target="file:///C:\Users\SuruchiD\Pictures\Riskometer\L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250</xdr:row>
      <xdr:rowOff>0</xdr:rowOff>
    </xdr:from>
    <xdr:to>
      <xdr:col>2</xdr:col>
      <xdr:colOff>1384300</xdr:colOff>
      <xdr:row>263</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8034575"/>
          <a:ext cx="3613150" cy="2622550"/>
        </a:xfrm>
        <a:prstGeom prst="rect">
          <a:avLst/>
        </a:prstGeom>
      </xdr:spPr>
    </xdr:pic>
    <xdr:clientData/>
  </xdr:twoCellAnchor>
  <xdr:twoCellAnchor editAs="oneCell">
    <xdr:from>
      <xdr:col>1</xdr:col>
      <xdr:colOff>0</xdr:colOff>
      <xdr:row>266</xdr:row>
      <xdr:rowOff>0</xdr:rowOff>
    </xdr:from>
    <xdr:to>
      <xdr:col>2</xdr:col>
      <xdr:colOff>1384300</xdr:colOff>
      <xdr:row>279</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1082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66"/>
  <sheetViews>
    <sheetView tabSelected="1" workbookViewId="0">
      <selection activeCell="D9" sqref="D9"/>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5" t="s">
        <v>0</v>
      </c>
      <c r="B1" s="35" t="s">
        <v>0</v>
      </c>
      <c r="C1" s="35" t="s">
        <v>0</v>
      </c>
      <c r="D1" s="35" t="s">
        <v>0</v>
      </c>
      <c r="E1" s="35" t="s">
        <v>0</v>
      </c>
      <c r="F1" s="35" t="s">
        <v>0</v>
      </c>
      <c r="G1" s="35" t="s">
        <v>0</v>
      </c>
      <c r="H1" s="35" t="s">
        <v>0</v>
      </c>
      <c r="I1" s="35" t="s">
        <v>0</v>
      </c>
      <c r="J1" s="35" t="s">
        <v>0</v>
      </c>
      <c r="K1" s="1" t="s">
        <v>1</v>
      </c>
      <c r="L1" s="1" t="s">
        <v>2</v>
      </c>
    </row>
    <row r="2" spans="1:12" x14ac:dyDescent="0.25">
      <c r="A2" s="36" t="s">
        <v>3</v>
      </c>
      <c r="B2" s="36" t="s">
        <v>3</v>
      </c>
      <c r="C2" s="36" t="s">
        <v>3</v>
      </c>
      <c r="D2" s="36" t="s">
        <v>3</v>
      </c>
      <c r="E2" s="36" t="s">
        <v>3</v>
      </c>
      <c r="F2" s="36" t="s">
        <v>3</v>
      </c>
      <c r="G2" s="36" t="s">
        <v>3</v>
      </c>
      <c r="H2" s="36" t="s">
        <v>3</v>
      </c>
      <c r="I2" s="36" t="s">
        <v>3</v>
      </c>
      <c r="J2" s="36"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14</v>
      </c>
    </row>
    <row r="6" spans="1:12" x14ac:dyDescent="0.25">
      <c r="A6" s="6"/>
      <c r="B6" s="7" t="s">
        <v>15</v>
      </c>
      <c r="C6" s="6"/>
      <c r="D6" s="6"/>
      <c r="E6" s="6"/>
      <c r="F6" s="6"/>
      <c r="G6" s="6"/>
      <c r="H6" s="6"/>
      <c r="I6" s="6"/>
      <c r="J6" s="6"/>
      <c r="K6" s="6"/>
      <c r="L6" s="6"/>
    </row>
    <row r="7" spans="1:12" x14ac:dyDescent="0.25">
      <c r="A7" s="6"/>
      <c r="B7" s="7" t="s">
        <v>16</v>
      </c>
      <c r="C7" s="6"/>
      <c r="D7" s="6"/>
      <c r="E7" s="6"/>
      <c r="F7" s="6"/>
      <c r="G7" s="6"/>
      <c r="H7" s="6"/>
      <c r="I7" s="6"/>
      <c r="J7" s="6"/>
      <c r="K7" s="6"/>
      <c r="L7" s="6"/>
    </row>
    <row r="8" spans="1:12" x14ac:dyDescent="0.25">
      <c r="A8" s="6"/>
      <c r="B8" s="7" t="s">
        <v>17</v>
      </c>
      <c r="C8" s="6"/>
      <c r="D8" s="6"/>
      <c r="E8" s="6"/>
      <c r="F8" s="6"/>
      <c r="G8" s="6"/>
      <c r="H8" s="6"/>
      <c r="I8" s="6"/>
      <c r="J8" s="6"/>
      <c r="K8" s="6"/>
      <c r="L8" s="6"/>
    </row>
    <row r="9" spans="1:12" x14ac:dyDescent="0.25">
      <c r="A9" s="8" t="s">
        <v>18</v>
      </c>
      <c r="B9" s="9" t="s">
        <v>19</v>
      </c>
      <c r="C9" s="9" t="s">
        <v>20</v>
      </c>
      <c r="D9" s="9" t="s">
        <v>21</v>
      </c>
      <c r="E9" s="9" t="s">
        <v>22</v>
      </c>
      <c r="F9" s="10">
        <v>1347250</v>
      </c>
      <c r="G9" s="11">
        <v>32610.19</v>
      </c>
      <c r="H9" s="11">
        <v>6.02</v>
      </c>
      <c r="I9" s="12" t="s">
        <v>20</v>
      </c>
      <c r="J9" s="12" t="s">
        <v>20</v>
      </c>
      <c r="K9" s="13">
        <v>6.05</v>
      </c>
      <c r="L9" s="13">
        <v>0</v>
      </c>
    </row>
    <row r="10" spans="1:12" x14ac:dyDescent="0.25">
      <c r="A10" s="8" t="s">
        <v>18</v>
      </c>
      <c r="B10" s="9" t="s">
        <v>23</v>
      </c>
      <c r="C10" s="9" t="s">
        <v>20</v>
      </c>
      <c r="D10" s="9" t="s">
        <v>24</v>
      </c>
      <c r="E10" s="9" t="s">
        <v>25</v>
      </c>
      <c r="F10" s="10">
        <v>3238200</v>
      </c>
      <c r="G10" s="11">
        <v>29715.34</v>
      </c>
      <c r="H10" s="11">
        <v>5.49</v>
      </c>
      <c r="I10" s="12" t="s">
        <v>20</v>
      </c>
      <c r="J10" s="12" t="s">
        <v>20</v>
      </c>
      <c r="K10" s="13">
        <v>5.52</v>
      </c>
      <c r="L10" s="13">
        <v>0</v>
      </c>
    </row>
    <row r="11" spans="1:12" x14ac:dyDescent="0.25">
      <c r="A11" s="8" t="s">
        <v>18</v>
      </c>
      <c r="B11" s="9" t="s">
        <v>26</v>
      </c>
      <c r="C11" s="9" t="s">
        <v>20</v>
      </c>
      <c r="D11" s="9" t="s">
        <v>27</v>
      </c>
      <c r="E11" s="9" t="s">
        <v>25</v>
      </c>
      <c r="F11" s="10">
        <v>962000</v>
      </c>
      <c r="G11" s="11">
        <v>18644.04</v>
      </c>
      <c r="H11" s="11">
        <v>3.44</v>
      </c>
      <c r="I11" s="12" t="s">
        <v>20</v>
      </c>
      <c r="J11" s="12" t="s">
        <v>20</v>
      </c>
      <c r="K11" s="13">
        <v>3.46</v>
      </c>
      <c r="L11" s="13">
        <v>0</v>
      </c>
    </row>
    <row r="12" spans="1:12" x14ac:dyDescent="0.25">
      <c r="A12" s="8" t="s">
        <v>18</v>
      </c>
      <c r="B12" s="9" t="s">
        <v>28</v>
      </c>
      <c r="C12" s="9" t="s">
        <v>20</v>
      </c>
      <c r="D12" s="9" t="s">
        <v>29</v>
      </c>
      <c r="E12" s="9" t="s">
        <v>25</v>
      </c>
      <c r="F12" s="10">
        <v>1008150</v>
      </c>
      <c r="G12" s="11">
        <v>17013.54</v>
      </c>
      <c r="H12" s="11">
        <v>3.14</v>
      </c>
      <c r="I12" s="12" t="s">
        <v>20</v>
      </c>
      <c r="J12" s="12" t="s">
        <v>20</v>
      </c>
      <c r="K12" s="13">
        <v>3.12</v>
      </c>
      <c r="L12" s="13">
        <v>0</v>
      </c>
    </row>
    <row r="13" spans="1:12" x14ac:dyDescent="0.25">
      <c r="A13" s="8" t="s">
        <v>18</v>
      </c>
      <c r="B13" s="9" t="s">
        <v>30</v>
      </c>
      <c r="C13" s="9" t="s">
        <v>20</v>
      </c>
      <c r="D13" s="9" t="s">
        <v>31</v>
      </c>
      <c r="E13" s="9" t="s">
        <v>32</v>
      </c>
      <c r="F13" s="10">
        <v>239250</v>
      </c>
      <c r="G13" s="11">
        <v>15025.14</v>
      </c>
      <c r="H13" s="11">
        <v>2.77</v>
      </c>
      <c r="I13" s="12" t="s">
        <v>20</v>
      </c>
      <c r="J13" s="12" t="s">
        <v>20</v>
      </c>
      <c r="K13" s="13">
        <v>2.78</v>
      </c>
      <c r="L13" s="13">
        <v>0</v>
      </c>
    </row>
    <row r="14" spans="1:12" x14ac:dyDescent="0.25">
      <c r="A14" s="8" t="s">
        <v>18</v>
      </c>
      <c r="B14" s="9" t="s">
        <v>33</v>
      </c>
      <c r="C14" s="9" t="s">
        <v>20</v>
      </c>
      <c r="D14" s="9" t="s">
        <v>34</v>
      </c>
      <c r="E14" s="9" t="s">
        <v>35</v>
      </c>
      <c r="F14" s="10">
        <v>7384500</v>
      </c>
      <c r="G14" s="11">
        <v>14850.23</v>
      </c>
      <c r="H14" s="11">
        <v>2.74</v>
      </c>
      <c r="I14" s="12" t="s">
        <v>20</v>
      </c>
      <c r="J14" s="12" t="s">
        <v>20</v>
      </c>
      <c r="K14" s="13">
        <v>2.76</v>
      </c>
      <c r="L14" s="13">
        <v>0</v>
      </c>
    </row>
    <row r="15" spans="1:12" x14ac:dyDescent="0.25">
      <c r="A15" s="8" t="s">
        <v>18</v>
      </c>
      <c r="B15" s="9" t="s">
        <v>36</v>
      </c>
      <c r="C15" s="9" t="s">
        <v>20</v>
      </c>
      <c r="D15" s="9" t="s">
        <v>37</v>
      </c>
      <c r="E15" s="9" t="s">
        <v>38</v>
      </c>
      <c r="F15" s="10">
        <v>586800</v>
      </c>
      <c r="G15" s="11">
        <v>14419.44</v>
      </c>
      <c r="H15" s="11">
        <v>2.66</v>
      </c>
      <c r="I15" s="12" t="s">
        <v>20</v>
      </c>
      <c r="J15" s="12" t="s">
        <v>20</v>
      </c>
      <c r="K15" s="13">
        <v>2.67</v>
      </c>
      <c r="L15" s="13">
        <v>0</v>
      </c>
    </row>
    <row r="16" spans="1:12" x14ac:dyDescent="0.25">
      <c r="A16" s="8" t="s">
        <v>18</v>
      </c>
      <c r="B16" s="9" t="s">
        <v>39</v>
      </c>
      <c r="C16" s="9" t="s">
        <v>20</v>
      </c>
      <c r="D16" s="9" t="s">
        <v>40</v>
      </c>
      <c r="E16" s="9" t="s">
        <v>41</v>
      </c>
      <c r="F16" s="10">
        <v>2713200</v>
      </c>
      <c r="G16" s="11">
        <v>13157.66</v>
      </c>
      <c r="H16" s="11">
        <v>2.4300000000000002</v>
      </c>
      <c r="I16" s="12" t="s">
        <v>20</v>
      </c>
      <c r="J16" s="12" t="s">
        <v>20</v>
      </c>
      <c r="K16" s="13">
        <v>2.4500000000000002</v>
      </c>
      <c r="L16" s="13">
        <v>0</v>
      </c>
    </row>
    <row r="17" spans="1:12" x14ac:dyDescent="0.25">
      <c r="A17" s="8" t="s">
        <v>20</v>
      </c>
      <c r="B17" s="9" t="s">
        <v>42</v>
      </c>
      <c r="C17" s="9" t="s">
        <v>20</v>
      </c>
      <c r="D17" s="9" t="s">
        <v>43</v>
      </c>
      <c r="E17" s="9" t="s">
        <v>44</v>
      </c>
      <c r="F17" s="10">
        <v>3245400</v>
      </c>
      <c r="G17" s="11">
        <v>12868.01</v>
      </c>
      <c r="H17" s="11">
        <v>2.38</v>
      </c>
      <c r="I17" s="12" t="s">
        <v>20</v>
      </c>
      <c r="J17" s="12" t="s">
        <v>20</v>
      </c>
      <c r="K17" s="13">
        <v>2.39</v>
      </c>
      <c r="L17" s="13">
        <v>0</v>
      </c>
    </row>
    <row r="18" spans="1:12" x14ac:dyDescent="0.25">
      <c r="A18" s="8" t="s">
        <v>20</v>
      </c>
      <c r="B18" s="9" t="s">
        <v>45</v>
      </c>
      <c r="C18" s="9" t="s">
        <v>20</v>
      </c>
      <c r="D18" s="9" t="s">
        <v>46</v>
      </c>
      <c r="E18" s="9" t="s">
        <v>47</v>
      </c>
      <c r="F18" s="10">
        <v>5907000</v>
      </c>
      <c r="G18" s="11">
        <v>11622.02</v>
      </c>
      <c r="H18" s="11">
        <v>2.15</v>
      </c>
      <c r="I18" s="12" t="s">
        <v>20</v>
      </c>
      <c r="J18" s="12" t="s">
        <v>20</v>
      </c>
      <c r="K18" s="13">
        <v>2.16</v>
      </c>
      <c r="L18" s="13">
        <v>0</v>
      </c>
    </row>
    <row r="19" spans="1:12" x14ac:dyDescent="0.25">
      <c r="A19" s="8" t="s">
        <v>20</v>
      </c>
      <c r="B19" s="9" t="s">
        <v>48</v>
      </c>
      <c r="C19" s="9" t="s">
        <v>20</v>
      </c>
      <c r="D19" s="9" t="s">
        <v>49</v>
      </c>
      <c r="E19" s="9" t="s">
        <v>25</v>
      </c>
      <c r="F19" s="10">
        <v>959850</v>
      </c>
      <c r="G19" s="11">
        <v>11065.15</v>
      </c>
      <c r="H19" s="11">
        <v>2.04</v>
      </c>
      <c r="I19" s="12" t="s">
        <v>20</v>
      </c>
      <c r="J19" s="12" t="s">
        <v>20</v>
      </c>
      <c r="K19" s="13">
        <v>2.0499999999999998</v>
      </c>
      <c r="L19" s="13">
        <v>0</v>
      </c>
    </row>
    <row r="20" spans="1:12" x14ac:dyDescent="0.25">
      <c r="A20" s="8" t="s">
        <v>20</v>
      </c>
      <c r="B20" s="9" t="s">
        <v>50</v>
      </c>
      <c r="C20" s="9" t="s">
        <v>20</v>
      </c>
      <c r="D20" s="9" t="s">
        <v>51</v>
      </c>
      <c r="E20" s="9" t="s">
        <v>52</v>
      </c>
      <c r="F20" s="10">
        <v>1557500</v>
      </c>
      <c r="G20" s="11">
        <v>10611.25</v>
      </c>
      <c r="H20" s="11">
        <v>1.96</v>
      </c>
      <c r="I20" s="12" t="s">
        <v>20</v>
      </c>
      <c r="J20" s="12" t="s">
        <v>20</v>
      </c>
      <c r="K20" s="13">
        <v>1.97</v>
      </c>
      <c r="L20" s="13">
        <v>0</v>
      </c>
    </row>
    <row r="21" spans="1:12" x14ac:dyDescent="0.25">
      <c r="A21" s="8" t="s">
        <v>20</v>
      </c>
      <c r="B21" s="9" t="s">
        <v>53</v>
      </c>
      <c r="C21" s="9" t="s">
        <v>20</v>
      </c>
      <c r="D21" s="9" t="s">
        <v>54</v>
      </c>
      <c r="E21" s="9" t="s">
        <v>55</v>
      </c>
      <c r="F21" s="10">
        <v>835800</v>
      </c>
      <c r="G21" s="11">
        <v>8254.7800000000007</v>
      </c>
      <c r="H21" s="11">
        <v>1.52</v>
      </c>
      <c r="I21" s="12" t="s">
        <v>20</v>
      </c>
      <c r="J21" s="12" t="s">
        <v>20</v>
      </c>
      <c r="K21" s="13">
        <v>1.53</v>
      </c>
      <c r="L21" s="13">
        <v>0</v>
      </c>
    </row>
    <row r="22" spans="1:12" x14ac:dyDescent="0.25">
      <c r="A22" s="8" t="s">
        <v>20</v>
      </c>
      <c r="B22" s="9" t="s">
        <v>56</v>
      </c>
      <c r="C22" s="9" t="s">
        <v>20</v>
      </c>
      <c r="D22" s="9" t="s">
        <v>57</v>
      </c>
      <c r="E22" s="9" t="s">
        <v>58</v>
      </c>
      <c r="F22" s="10">
        <v>640400</v>
      </c>
      <c r="G22" s="11">
        <v>8022.61</v>
      </c>
      <c r="H22" s="11">
        <v>1.48</v>
      </c>
      <c r="I22" s="12" t="s">
        <v>20</v>
      </c>
      <c r="J22" s="12" t="s">
        <v>20</v>
      </c>
      <c r="K22" s="13">
        <v>1.49</v>
      </c>
      <c r="L22" s="13">
        <v>0</v>
      </c>
    </row>
    <row r="23" spans="1:12" x14ac:dyDescent="0.25">
      <c r="A23" s="8" t="s">
        <v>20</v>
      </c>
      <c r="B23" s="9" t="s">
        <v>59</v>
      </c>
      <c r="C23" s="9" t="s">
        <v>20</v>
      </c>
      <c r="D23" s="9" t="s">
        <v>60</v>
      </c>
      <c r="E23" s="9" t="s">
        <v>61</v>
      </c>
      <c r="F23" s="10">
        <v>941875</v>
      </c>
      <c r="G23" s="11">
        <v>7319.78</v>
      </c>
      <c r="H23" s="11">
        <v>1.35</v>
      </c>
      <c r="I23" s="12" t="s">
        <v>20</v>
      </c>
      <c r="J23" s="12" t="s">
        <v>20</v>
      </c>
      <c r="K23" s="13">
        <v>1.36</v>
      </c>
      <c r="L23" s="13">
        <v>0</v>
      </c>
    </row>
    <row r="24" spans="1:12" x14ac:dyDescent="0.25">
      <c r="A24" s="8" t="s">
        <v>20</v>
      </c>
      <c r="B24" s="9" t="s">
        <v>62</v>
      </c>
      <c r="C24" s="9" t="s">
        <v>20</v>
      </c>
      <c r="D24" s="9" t="s">
        <v>63</v>
      </c>
      <c r="E24" s="9" t="s">
        <v>41</v>
      </c>
      <c r="F24" s="10">
        <v>84600</v>
      </c>
      <c r="G24" s="11">
        <v>7266.76</v>
      </c>
      <c r="H24" s="11">
        <v>1.34</v>
      </c>
      <c r="I24" s="12" t="s">
        <v>20</v>
      </c>
      <c r="J24" s="12" t="s">
        <v>20</v>
      </c>
      <c r="K24" s="13">
        <v>1.35</v>
      </c>
      <c r="L24" s="13">
        <v>0</v>
      </c>
    </row>
    <row r="25" spans="1:12" x14ac:dyDescent="0.25">
      <c r="A25" s="8" t="s">
        <v>20</v>
      </c>
      <c r="B25" s="9" t="s">
        <v>64</v>
      </c>
      <c r="C25" s="9" t="s">
        <v>20</v>
      </c>
      <c r="D25" s="9" t="s">
        <v>65</v>
      </c>
      <c r="E25" s="9" t="s">
        <v>32</v>
      </c>
      <c r="F25" s="10">
        <v>511500</v>
      </c>
      <c r="G25" s="11">
        <v>6929.03</v>
      </c>
      <c r="H25" s="11">
        <v>1.28</v>
      </c>
      <c r="I25" s="12" t="s">
        <v>20</v>
      </c>
      <c r="J25" s="12" t="s">
        <v>20</v>
      </c>
      <c r="K25" s="13">
        <v>1.28</v>
      </c>
      <c r="L25" s="13">
        <v>0</v>
      </c>
    </row>
    <row r="26" spans="1:12" x14ac:dyDescent="0.25">
      <c r="A26" s="8" t="s">
        <v>20</v>
      </c>
      <c r="B26" s="9" t="s">
        <v>66</v>
      </c>
      <c r="C26" s="9" t="s">
        <v>20</v>
      </c>
      <c r="D26" s="9" t="s">
        <v>67</v>
      </c>
      <c r="E26" s="9" t="s">
        <v>32</v>
      </c>
      <c r="F26" s="10">
        <v>6870000</v>
      </c>
      <c r="G26" s="11">
        <v>6031.86</v>
      </c>
      <c r="H26" s="11">
        <v>1.1100000000000001</v>
      </c>
      <c r="I26" s="12" t="s">
        <v>20</v>
      </c>
      <c r="J26" s="12" t="s">
        <v>20</v>
      </c>
      <c r="K26" s="13">
        <v>1.1200000000000001</v>
      </c>
      <c r="L26" s="13">
        <v>0</v>
      </c>
    </row>
    <row r="27" spans="1:12" x14ac:dyDescent="0.25">
      <c r="A27" s="8" t="s">
        <v>20</v>
      </c>
      <c r="B27" s="9" t="s">
        <v>68</v>
      </c>
      <c r="C27" s="9" t="s">
        <v>20</v>
      </c>
      <c r="D27" s="9" t="s">
        <v>69</v>
      </c>
      <c r="E27" s="9" t="s">
        <v>55</v>
      </c>
      <c r="F27" s="10">
        <v>103125</v>
      </c>
      <c r="G27" s="11">
        <v>5083.91</v>
      </c>
      <c r="H27" s="11">
        <v>0.94</v>
      </c>
      <c r="I27" s="12" t="s">
        <v>20</v>
      </c>
      <c r="J27" s="12" t="s">
        <v>20</v>
      </c>
      <c r="K27" s="13">
        <v>0.94</v>
      </c>
      <c r="L27" s="13">
        <v>0</v>
      </c>
    </row>
    <row r="28" spans="1:12" x14ac:dyDescent="0.25">
      <c r="A28" s="8" t="s">
        <v>20</v>
      </c>
      <c r="B28" s="9" t="s">
        <v>70</v>
      </c>
      <c r="C28" s="9" t="s">
        <v>20</v>
      </c>
      <c r="D28" s="9" t="s">
        <v>71</v>
      </c>
      <c r="E28" s="9" t="s">
        <v>55</v>
      </c>
      <c r="F28" s="10">
        <v>529100</v>
      </c>
      <c r="G28" s="11">
        <v>4804.49</v>
      </c>
      <c r="H28" s="11">
        <v>0.89</v>
      </c>
      <c r="I28" s="12" t="s">
        <v>20</v>
      </c>
      <c r="J28" s="12" t="s">
        <v>20</v>
      </c>
      <c r="K28" s="13">
        <v>0.89</v>
      </c>
      <c r="L28" s="13">
        <v>0</v>
      </c>
    </row>
    <row r="29" spans="1:12" x14ac:dyDescent="0.25">
      <c r="A29" s="8" t="s">
        <v>20</v>
      </c>
      <c r="B29" s="9" t="s">
        <v>72</v>
      </c>
      <c r="C29" s="9" t="s">
        <v>20</v>
      </c>
      <c r="D29" s="9" t="s">
        <v>73</v>
      </c>
      <c r="E29" s="9" t="s">
        <v>74</v>
      </c>
      <c r="F29" s="10">
        <v>183000</v>
      </c>
      <c r="G29" s="11">
        <v>4834.59</v>
      </c>
      <c r="H29" s="11">
        <v>0.89</v>
      </c>
      <c r="I29" s="12" t="s">
        <v>20</v>
      </c>
      <c r="J29" s="12" t="s">
        <v>20</v>
      </c>
      <c r="K29" s="13">
        <v>0.9</v>
      </c>
      <c r="L29" s="13">
        <v>0</v>
      </c>
    </row>
    <row r="30" spans="1:12" x14ac:dyDescent="0.25">
      <c r="A30" s="8" t="s">
        <v>20</v>
      </c>
      <c r="B30" s="9" t="s">
        <v>75</v>
      </c>
      <c r="C30" s="9" t="s">
        <v>20</v>
      </c>
      <c r="D30" s="9" t="s">
        <v>76</v>
      </c>
      <c r="E30" s="9" t="s">
        <v>44</v>
      </c>
      <c r="F30" s="10">
        <v>273125</v>
      </c>
      <c r="G30" s="11">
        <v>4698.57</v>
      </c>
      <c r="H30" s="11">
        <v>0.87</v>
      </c>
      <c r="I30" s="12" t="s">
        <v>20</v>
      </c>
      <c r="J30" s="12" t="s">
        <v>20</v>
      </c>
      <c r="K30" s="13">
        <v>0.87</v>
      </c>
      <c r="L30" s="13">
        <v>0</v>
      </c>
    </row>
    <row r="31" spans="1:12" x14ac:dyDescent="0.25">
      <c r="A31" s="8" t="s">
        <v>20</v>
      </c>
      <c r="B31" s="9" t="s">
        <v>77</v>
      </c>
      <c r="C31" s="9" t="s">
        <v>20</v>
      </c>
      <c r="D31" s="9" t="s">
        <v>78</v>
      </c>
      <c r="E31" s="9" t="s">
        <v>79</v>
      </c>
      <c r="F31" s="10">
        <v>1092300</v>
      </c>
      <c r="G31" s="11">
        <v>4655.38</v>
      </c>
      <c r="H31" s="11">
        <v>0.86</v>
      </c>
      <c r="I31" s="12" t="s">
        <v>20</v>
      </c>
      <c r="J31" s="12" t="s">
        <v>20</v>
      </c>
      <c r="K31" s="13">
        <v>0.86</v>
      </c>
      <c r="L31" s="13">
        <v>0</v>
      </c>
    </row>
    <row r="32" spans="1:12" x14ac:dyDescent="0.25">
      <c r="A32" s="8" t="s">
        <v>20</v>
      </c>
      <c r="B32" s="9" t="s">
        <v>80</v>
      </c>
      <c r="C32" s="9" t="s">
        <v>20</v>
      </c>
      <c r="D32" s="9" t="s">
        <v>81</v>
      </c>
      <c r="E32" s="9" t="s">
        <v>79</v>
      </c>
      <c r="F32" s="10">
        <v>511700</v>
      </c>
      <c r="G32" s="11">
        <v>4682.57</v>
      </c>
      <c r="H32" s="11">
        <v>0.86</v>
      </c>
      <c r="I32" s="12" t="s">
        <v>20</v>
      </c>
      <c r="J32" s="12" t="s">
        <v>20</v>
      </c>
      <c r="K32" s="13">
        <v>0.87</v>
      </c>
      <c r="L32" s="13">
        <v>0</v>
      </c>
    </row>
    <row r="33" spans="1:12" x14ac:dyDescent="0.25">
      <c r="A33" s="8" t="s">
        <v>20</v>
      </c>
      <c r="B33" s="9" t="s">
        <v>82</v>
      </c>
      <c r="C33" s="9" t="s">
        <v>20</v>
      </c>
      <c r="D33" s="9" t="s">
        <v>83</v>
      </c>
      <c r="E33" s="9" t="s">
        <v>55</v>
      </c>
      <c r="F33" s="10">
        <v>1980300</v>
      </c>
      <c r="G33" s="11">
        <v>4605.1899999999996</v>
      </c>
      <c r="H33" s="11">
        <v>0.85</v>
      </c>
      <c r="I33" s="12" t="s">
        <v>20</v>
      </c>
      <c r="J33" s="12" t="s">
        <v>20</v>
      </c>
      <c r="K33" s="13">
        <v>0.85</v>
      </c>
      <c r="L33" s="13">
        <v>0</v>
      </c>
    </row>
    <row r="34" spans="1:12" x14ac:dyDescent="0.25">
      <c r="A34" s="8" t="s">
        <v>20</v>
      </c>
      <c r="B34" s="9" t="s">
        <v>84</v>
      </c>
      <c r="C34" s="9" t="s">
        <v>20</v>
      </c>
      <c r="D34" s="9" t="s">
        <v>85</v>
      </c>
      <c r="E34" s="9" t="s">
        <v>86</v>
      </c>
      <c r="F34" s="10">
        <v>163125</v>
      </c>
      <c r="G34" s="11">
        <v>4143.78</v>
      </c>
      <c r="H34" s="11">
        <v>0.77</v>
      </c>
      <c r="I34" s="12" t="s">
        <v>20</v>
      </c>
      <c r="J34" s="12" t="s">
        <v>20</v>
      </c>
      <c r="K34" s="13">
        <v>0.77</v>
      </c>
      <c r="L34" s="13">
        <v>0</v>
      </c>
    </row>
    <row r="35" spans="1:12" x14ac:dyDescent="0.25">
      <c r="A35" s="8" t="s">
        <v>20</v>
      </c>
      <c r="B35" s="9" t="s">
        <v>87</v>
      </c>
      <c r="C35" s="9" t="s">
        <v>20</v>
      </c>
      <c r="D35" s="9" t="s">
        <v>88</v>
      </c>
      <c r="E35" s="9" t="s">
        <v>32</v>
      </c>
      <c r="F35" s="10">
        <v>2992000</v>
      </c>
      <c r="G35" s="11">
        <v>3953.93</v>
      </c>
      <c r="H35" s="11">
        <v>0.73</v>
      </c>
      <c r="I35" s="12" t="s">
        <v>20</v>
      </c>
      <c r="J35" s="12" t="s">
        <v>20</v>
      </c>
      <c r="K35" s="13">
        <v>0.73</v>
      </c>
      <c r="L35" s="13">
        <v>0</v>
      </c>
    </row>
    <row r="36" spans="1:12" x14ac:dyDescent="0.25">
      <c r="A36" s="8" t="s">
        <v>20</v>
      </c>
      <c r="B36" s="9" t="s">
        <v>89</v>
      </c>
      <c r="C36" s="9" t="s">
        <v>20</v>
      </c>
      <c r="D36" s="9" t="s">
        <v>90</v>
      </c>
      <c r="E36" s="9" t="s">
        <v>91</v>
      </c>
      <c r="F36" s="10">
        <v>102025</v>
      </c>
      <c r="G36" s="11">
        <v>3519.45</v>
      </c>
      <c r="H36" s="11">
        <v>0.65</v>
      </c>
      <c r="I36" s="12" t="s">
        <v>20</v>
      </c>
      <c r="J36" s="12" t="s">
        <v>20</v>
      </c>
      <c r="K36" s="13">
        <v>0.65</v>
      </c>
      <c r="L36" s="13">
        <v>0</v>
      </c>
    </row>
    <row r="37" spans="1:12" x14ac:dyDescent="0.25">
      <c r="A37" s="8" t="s">
        <v>20</v>
      </c>
      <c r="B37" s="9" t="s">
        <v>92</v>
      </c>
      <c r="C37" s="9" t="s">
        <v>20</v>
      </c>
      <c r="D37" s="9" t="s">
        <v>93</v>
      </c>
      <c r="E37" s="9" t="s">
        <v>44</v>
      </c>
      <c r="F37" s="10">
        <v>192250</v>
      </c>
      <c r="G37" s="11">
        <v>3389.08</v>
      </c>
      <c r="H37" s="11">
        <v>0.63</v>
      </c>
      <c r="I37" s="12" t="s">
        <v>20</v>
      </c>
      <c r="J37" s="12" t="s">
        <v>20</v>
      </c>
      <c r="K37" s="13">
        <v>0.63</v>
      </c>
      <c r="L37" s="13">
        <v>0</v>
      </c>
    </row>
    <row r="38" spans="1:12" x14ac:dyDescent="0.25">
      <c r="A38" s="8" t="s">
        <v>20</v>
      </c>
      <c r="B38" s="9" t="s">
        <v>94</v>
      </c>
      <c r="C38" s="9" t="s">
        <v>20</v>
      </c>
      <c r="D38" s="9" t="s">
        <v>95</v>
      </c>
      <c r="E38" s="9" t="s">
        <v>25</v>
      </c>
      <c r="F38" s="10">
        <v>1077300</v>
      </c>
      <c r="G38" s="11">
        <v>3419.89</v>
      </c>
      <c r="H38" s="11">
        <v>0.63</v>
      </c>
      <c r="I38" s="12" t="s">
        <v>20</v>
      </c>
      <c r="J38" s="12" t="s">
        <v>20</v>
      </c>
      <c r="K38" s="13">
        <v>0.64</v>
      </c>
      <c r="L38" s="13">
        <v>0</v>
      </c>
    </row>
    <row r="39" spans="1:12" x14ac:dyDescent="0.25">
      <c r="A39" s="8" t="s">
        <v>20</v>
      </c>
      <c r="B39" s="9" t="s">
        <v>96</v>
      </c>
      <c r="C39" s="9" t="s">
        <v>20</v>
      </c>
      <c r="D39" s="9" t="s">
        <v>97</v>
      </c>
      <c r="E39" s="9" t="s">
        <v>44</v>
      </c>
      <c r="F39" s="10">
        <v>44100</v>
      </c>
      <c r="G39" s="11">
        <v>3332.28</v>
      </c>
      <c r="H39" s="11">
        <v>0.62</v>
      </c>
      <c r="I39" s="12" t="s">
        <v>20</v>
      </c>
      <c r="J39" s="12" t="s">
        <v>20</v>
      </c>
      <c r="K39" s="13">
        <v>0.62</v>
      </c>
      <c r="L39" s="13">
        <v>0</v>
      </c>
    </row>
    <row r="40" spans="1:12" x14ac:dyDescent="0.25">
      <c r="A40" s="8" t="s">
        <v>20</v>
      </c>
      <c r="B40" s="9" t="s">
        <v>98</v>
      </c>
      <c r="C40" s="9" t="s">
        <v>20</v>
      </c>
      <c r="D40" s="9" t="s">
        <v>99</v>
      </c>
      <c r="E40" s="9" t="s">
        <v>74</v>
      </c>
      <c r="F40" s="10">
        <v>109200</v>
      </c>
      <c r="G40" s="11">
        <v>3169.37</v>
      </c>
      <c r="H40" s="11">
        <v>0.59</v>
      </c>
      <c r="I40" s="12" t="s">
        <v>20</v>
      </c>
      <c r="J40" s="12" t="s">
        <v>20</v>
      </c>
      <c r="K40" s="13">
        <v>0.59</v>
      </c>
      <c r="L40" s="13">
        <v>0</v>
      </c>
    </row>
    <row r="41" spans="1:12" x14ac:dyDescent="0.25">
      <c r="A41" s="8" t="s">
        <v>20</v>
      </c>
      <c r="B41" s="9" t="s">
        <v>100</v>
      </c>
      <c r="C41" s="9" t="s">
        <v>20</v>
      </c>
      <c r="D41" s="9" t="s">
        <v>101</v>
      </c>
      <c r="E41" s="9" t="s">
        <v>79</v>
      </c>
      <c r="F41" s="10">
        <v>242675</v>
      </c>
      <c r="G41" s="11">
        <v>3191.78</v>
      </c>
      <c r="H41" s="11">
        <v>0.59</v>
      </c>
      <c r="I41" s="12" t="s">
        <v>20</v>
      </c>
      <c r="J41" s="12" t="s">
        <v>20</v>
      </c>
      <c r="K41" s="13">
        <v>0.59</v>
      </c>
      <c r="L41" s="13">
        <v>0</v>
      </c>
    </row>
    <row r="42" spans="1:12" x14ac:dyDescent="0.25">
      <c r="A42" s="8" t="s">
        <v>20</v>
      </c>
      <c r="B42" s="9" t="s">
        <v>102</v>
      </c>
      <c r="C42" s="9" t="s">
        <v>20</v>
      </c>
      <c r="D42" s="9" t="s">
        <v>103</v>
      </c>
      <c r="E42" s="9" t="s">
        <v>104</v>
      </c>
      <c r="F42" s="10">
        <v>910000</v>
      </c>
      <c r="G42" s="11">
        <v>3085.81</v>
      </c>
      <c r="H42" s="11">
        <v>0.56999999999999995</v>
      </c>
      <c r="I42" s="12" t="s">
        <v>20</v>
      </c>
      <c r="J42" s="12" t="s">
        <v>20</v>
      </c>
      <c r="K42" s="13">
        <v>0.56999999999999995</v>
      </c>
      <c r="L42" s="13">
        <v>0</v>
      </c>
    </row>
    <row r="43" spans="1:12" x14ac:dyDescent="0.25">
      <c r="A43" s="8" t="s">
        <v>20</v>
      </c>
      <c r="B43" s="9" t="s">
        <v>105</v>
      </c>
      <c r="C43" s="9" t="s">
        <v>20</v>
      </c>
      <c r="D43" s="9" t="s">
        <v>106</v>
      </c>
      <c r="E43" s="9" t="s">
        <v>107</v>
      </c>
      <c r="F43" s="10">
        <v>127500</v>
      </c>
      <c r="G43" s="11">
        <v>3014.61</v>
      </c>
      <c r="H43" s="11">
        <v>0.56000000000000005</v>
      </c>
      <c r="I43" s="12" t="s">
        <v>20</v>
      </c>
      <c r="J43" s="12" t="s">
        <v>20</v>
      </c>
      <c r="K43" s="13">
        <v>0.56000000000000005</v>
      </c>
      <c r="L43" s="13">
        <v>0</v>
      </c>
    </row>
    <row r="44" spans="1:12" x14ac:dyDescent="0.25">
      <c r="A44" s="8" t="s">
        <v>20</v>
      </c>
      <c r="B44" s="9" t="s">
        <v>108</v>
      </c>
      <c r="C44" s="9" t="s">
        <v>20</v>
      </c>
      <c r="D44" s="9" t="s">
        <v>109</v>
      </c>
      <c r="E44" s="9" t="s">
        <v>35</v>
      </c>
      <c r="F44" s="10">
        <v>1413600</v>
      </c>
      <c r="G44" s="11">
        <v>2431.39</v>
      </c>
      <c r="H44" s="11">
        <v>0.45</v>
      </c>
      <c r="I44" s="12" t="s">
        <v>20</v>
      </c>
      <c r="J44" s="12" t="s">
        <v>20</v>
      </c>
      <c r="K44" s="13">
        <v>0.45</v>
      </c>
      <c r="L44" s="13">
        <v>0</v>
      </c>
    </row>
    <row r="45" spans="1:12" x14ac:dyDescent="0.25">
      <c r="A45" s="8" t="s">
        <v>20</v>
      </c>
      <c r="B45" s="9" t="s">
        <v>110</v>
      </c>
      <c r="C45" s="9" t="s">
        <v>20</v>
      </c>
      <c r="D45" s="9" t="s">
        <v>111</v>
      </c>
      <c r="E45" s="9" t="s">
        <v>112</v>
      </c>
      <c r="F45" s="10">
        <v>1575000</v>
      </c>
      <c r="G45" s="11">
        <v>2298.71</v>
      </c>
      <c r="H45" s="11">
        <v>0.42</v>
      </c>
      <c r="I45" s="12" t="s">
        <v>20</v>
      </c>
      <c r="J45" s="12" t="s">
        <v>20</v>
      </c>
      <c r="K45" s="13">
        <v>0.43</v>
      </c>
      <c r="L45" s="13">
        <v>0</v>
      </c>
    </row>
    <row r="46" spans="1:12" x14ac:dyDescent="0.25">
      <c r="A46" s="8" t="s">
        <v>20</v>
      </c>
      <c r="B46" s="9" t="s">
        <v>113</v>
      </c>
      <c r="C46" s="9" t="s">
        <v>20</v>
      </c>
      <c r="D46" s="9" t="s">
        <v>114</v>
      </c>
      <c r="E46" s="9" t="s">
        <v>115</v>
      </c>
      <c r="F46" s="10">
        <v>63500</v>
      </c>
      <c r="G46" s="11">
        <v>2149.16</v>
      </c>
      <c r="H46" s="11">
        <v>0.4</v>
      </c>
      <c r="I46" s="12" t="s">
        <v>20</v>
      </c>
      <c r="J46" s="12" t="s">
        <v>20</v>
      </c>
      <c r="K46" s="13">
        <v>0.4</v>
      </c>
      <c r="L46" s="13">
        <v>0</v>
      </c>
    </row>
    <row r="47" spans="1:12" x14ac:dyDescent="0.25">
      <c r="A47" s="8" t="s">
        <v>20</v>
      </c>
      <c r="B47" s="9" t="s">
        <v>116</v>
      </c>
      <c r="C47" s="9" t="s">
        <v>20</v>
      </c>
      <c r="D47" s="9" t="s">
        <v>117</v>
      </c>
      <c r="E47" s="9" t="s">
        <v>32</v>
      </c>
      <c r="F47" s="10">
        <v>291500</v>
      </c>
      <c r="G47" s="11">
        <v>2147.63</v>
      </c>
      <c r="H47" s="11">
        <v>0.4</v>
      </c>
      <c r="I47" s="12" t="s">
        <v>20</v>
      </c>
      <c r="J47" s="12" t="s">
        <v>20</v>
      </c>
      <c r="K47" s="13">
        <v>0.4</v>
      </c>
      <c r="L47" s="13">
        <v>0</v>
      </c>
    </row>
    <row r="48" spans="1:12" x14ac:dyDescent="0.25">
      <c r="A48" s="8" t="s">
        <v>20</v>
      </c>
      <c r="B48" s="9" t="s">
        <v>118</v>
      </c>
      <c r="C48" s="9" t="s">
        <v>20</v>
      </c>
      <c r="D48" s="9" t="s">
        <v>119</v>
      </c>
      <c r="E48" s="9" t="s">
        <v>58</v>
      </c>
      <c r="F48" s="10">
        <v>196000</v>
      </c>
      <c r="G48" s="11">
        <v>2085.64</v>
      </c>
      <c r="H48" s="11">
        <v>0.39</v>
      </c>
      <c r="I48" s="12" t="s">
        <v>20</v>
      </c>
      <c r="J48" s="12" t="s">
        <v>20</v>
      </c>
      <c r="K48" s="13">
        <v>0.39</v>
      </c>
      <c r="L48" s="13">
        <v>0</v>
      </c>
    </row>
    <row r="49" spans="1:12" x14ac:dyDescent="0.25">
      <c r="A49" s="8" t="s">
        <v>20</v>
      </c>
      <c r="B49" s="9" t="s">
        <v>120</v>
      </c>
      <c r="C49" s="9" t="s">
        <v>20</v>
      </c>
      <c r="D49" s="9" t="s">
        <v>121</v>
      </c>
      <c r="E49" s="9" t="s">
        <v>122</v>
      </c>
      <c r="F49" s="10">
        <v>1357500</v>
      </c>
      <c r="G49" s="11">
        <v>2125.17</v>
      </c>
      <c r="H49" s="11">
        <v>0.39</v>
      </c>
      <c r="I49" s="12" t="s">
        <v>20</v>
      </c>
      <c r="J49" s="12" t="s">
        <v>20</v>
      </c>
      <c r="K49" s="13">
        <v>0.39</v>
      </c>
      <c r="L49" s="13">
        <v>0</v>
      </c>
    </row>
    <row r="50" spans="1:12" x14ac:dyDescent="0.25">
      <c r="A50" s="8" t="s">
        <v>20</v>
      </c>
      <c r="B50" s="9" t="s">
        <v>123</v>
      </c>
      <c r="C50" s="9" t="s">
        <v>20</v>
      </c>
      <c r="D50" s="9" t="s">
        <v>124</v>
      </c>
      <c r="E50" s="9" t="s">
        <v>25</v>
      </c>
      <c r="F50" s="10">
        <v>909000</v>
      </c>
      <c r="G50" s="11">
        <v>2084.34</v>
      </c>
      <c r="H50" s="11">
        <v>0.38</v>
      </c>
      <c r="I50" s="12" t="s">
        <v>20</v>
      </c>
      <c r="J50" s="12" t="s">
        <v>20</v>
      </c>
      <c r="K50" s="13">
        <v>0.39</v>
      </c>
      <c r="L50" s="13">
        <v>0</v>
      </c>
    </row>
    <row r="51" spans="1:12" x14ac:dyDescent="0.25">
      <c r="A51" s="8" t="s">
        <v>20</v>
      </c>
      <c r="B51" s="9" t="s">
        <v>125</v>
      </c>
      <c r="C51" s="9" t="s">
        <v>20</v>
      </c>
      <c r="D51" s="9" t="s">
        <v>126</v>
      </c>
      <c r="E51" s="9" t="s">
        <v>22</v>
      </c>
      <c r="F51" s="10">
        <v>568800</v>
      </c>
      <c r="G51" s="11">
        <v>2034.03</v>
      </c>
      <c r="H51" s="11">
        <v>0.38</v>
      </c>
      <c r="I51" s="12" t="s">
        <v>20</v>
      </c>
      <c r="J51" s="12" t="s">
        <v>20</v>
      </c>
      <c r="K51" s="13">
        <v>0.38</v>
      </c>
      <c r="L51" s="13">
        <v>0</v>
      </c>
    </row>
    <row r="52" spans="1:12" x14ac:dyDescent="0.25">
      <c r="A52" s="8" t="s">
        <v>20</v>
      </c>
      <c r="B52" s="9" t="s">
        <v>127</v>
      </c>
      <c r="C52" s="9" t="s">
        <v>20</v>
      </c>
      <c r="D52" s="9" t="s">
        <v>128</v>
      </c>
      <c r="E52" s="9" t="s">
        <v>25</v>
      </c>
      <c r="F52" s="10">
        <v>3968000</v>
      </c>
      <c r="G52" s="11">
        <v>2073.2800000000002</v>
      </c>
      <c r="H52" s="11">
        <v>0.38</v>
      </c>
      <c r="I52" s="12" t="s">
        <v>20</v>
      </c>
      <c r="J52" s="12" t="s">
        <v>20</v>
      </c>
      <c r="K52" s="13">
        <v>0.38</v>
      </c>
      <c r="L52" s="13">
        <v>0</v>
      </c>
    </row>
    <row r="53" spans="1:12" x14ac:dyDescent="0.25">
      <c r="A53" s="8" t="s">
        <v>20</v>
      </c>
      <c r="B53" s="9" t="s">
        <v>129</v>
      </c>
      <c r="C53" s="9" t="s">
        <v>20</v>
      </c>
      <c r="D53" s="9" t="s">
        <v>130</v>
      </c>
      <c r="E53" s="9" t="s">
        <v>131</v>
      </c>
      <c r="F53" s="10">
        <v>149200</v>
      </c>
      <c r="G53" s="11">
        <v>2040.68</v>
      </c>
      <c r="H53" s="11">
        <v>0.38</v>
      </c>
      <c r="I53" s="12" t="s">
        <v>20</v>
      </c>
      <c r="J53" s="12" t="s">
        <v>20</v>
      </c>
      <c r="K53" s="13">
        <v>0.38</v>
      </c>
      <c r="L53" s="13">
        <v>0</v>
      </c>
    </row>
    <row r="54" spans="1:12" x14ac:dyDescent="0.25">
      <c r="A54" s="8" t="s">
        <v>20</v>
      </c>
      <c r="B54" s="9" t="s">
        <v>132</v>
      </c>
      <c r="C54" s="9" t="s">
        <v>20</v>
      </c>
      <c r="D54" s="9" t="s">
        <v>133</v>
      </c>
      <c r="E54" s="9" t="s">
        <v>41</v>
      </c>
      <c r="F54" s="10">
        <v>79200</v>
      </c>
      <c r="G54" s="11">
        <v>2026.41</v>
      </c>
      <c r="H54" s="11">
        <v>0.37</v>
      </c>
      <c r="I54" s="12" t="s">
        <v>20</v>
      </c>
      <c r="J54" s="12" t="s">
        <v>20</v>
      </c>
      <c r="K54" s="13">
        <v>0.38</v>
      </c>
      <c r="L54" s="13">
        <v>0</v>
      </c>
    </row>
    <row r="55" spans="1:12" x14ac:dyDescent="0.25">
      <c r="A55" s="8" t="s">
        <v>20</v>
      </c>
      <c r="B55" s="9" t="s">
        <v>134</v>
      </c>
      <c r="C55" s="9" t="s">
        <v>20</v>
      </c>
      <c r="D55" s="9" t="s">
        <v>135</v>
      </c>
      <c r="E55" s="9" t="s">
        <v>32</v>
      </c>
      <c r="F55" s="10">
        <v>2097140</v>
      </c>
      <c r="G55" s="11">
        <v>1940.9</v>
      </c>
      <c r="H55" s="11">
        <v>0.36</v>
      </c>
      <c r="I55" s="12" t="s">
        <v>20</v>
      </c>
      <c r="J55" s="12" t="s">
        <v>20</v>
      </c>
      <c r="K55" s="13">
        <v>0.36</v>
      </c>
      <c r="L55" s="13">
        <v>0</v>
      </c>
    </row>
    <row r="56" spans="1:12" x14ac:dyDescent="0.25">
      <c r="A56" s="8" t="s">
        <v>20</v>
      </c>
      <c r="B56" s="9" t="s">
        <v>136</v>
      </c>
      <c r="C56" s="9" t="s">
        <v>20</v>
      </c>
      <c r="D56" s="9" t="s">
        <v>137</v>
      </c>
      <c r="E56" s="9" t="s">
        <v>138</v>
      </c>
      <c r="F56" s="10">
        <v>36400</v>
      </c>
      <c r="G56" s="11">
        <v>1657.49</v>
      </c>
      <c r="H56" s="11">
        <v>0.31</v>
      </c>
      <c r="I56" s="12" t="s">
        <v>20</v>
      </c>
      <c r="J56" s="12" t="s">
        <v>20</v>
      </c>
      <c r="K56" s="13">
        <v>0.31</v>
      </c>
      <c r="L56" s="13">
        <v>0</v>
      </c>
    </row>
    <row r="57" spans="1:12" x14ac:dyDescent="0.25">
      <c r="A57" s="8" t="s">
        <v>20</v>
      </c>
      <c r="B57" s="9" t="s">
        <v>139</v>
      </c>
      <c r="C57" s="9" t="s">
        <v>20</v>
      </c>
      <c r="D57" s="9" t="s">
        <v>140</v>
      </c>
      <c r="E57" s="9" t="s">
        <v>141</v>
      </c>
      <c r="F57" s="10">
        <v>388500</v>
      </c>
      <c r="G57" s="11">
        <v>1688.03</v>
      </c>
      <c r="H57" s="11">
        <v>0.31</v>
      </c>
      <c r="I57" s="12" t="s">
        <v>20</v>
      </c>
      <c r="J57" s="12" t="s">
        <v>20</v>
      </c>
      <c r="K57" s="13">
        <v>0.31</v>
      </c>
      <c r="L57" s="13">
        <v>0</v>
      </c>
    </row>
    <row r="58" spans="1:12" x14ac:dyDescent="0.25">
      <c r="A58" s="8" t="s">
        <v>20</v>
      </c>
      <c r="B58" s="9" t="s">
        <v>142</v>
      </c>
      <c r="C58" s="9" t="s">
        <v>20</v>
      </c>
      <c r="D58" s="9" t="s">
        <v>143</v>
      </c>
      <c r="E58" s="9" t="s">
        <v>144</v>
      </c>
      <c r="F58" s="10">
        <v>180500</v>
      </c>
      <c r="G58" s="11">
        <v>1442.74</v>
      </c>
      <c r="H58" s="11">
        <v>0.27</v>
      </c>
      <c r="I58" s="12" t="s">
        <v>20</v>
      </c>
      <c r="J58" s="12" t="s">
        <v>20</v>
      </c>
      <c r="K58" s="13">
        <v>0.27</v>
      </c>
      <c r="L58" s="13">
        <v>0</v>
      </c>
    </row>
    <row r="59" spans="1:12" x14ac:dyDescent="0.25">
      <c r="A59" s="8" t="s">
        <v>20</v>
      </c>
      <c r="B59" s="9" t="s">
        <v>145</v>
      </c>
      <c r="C59" s="9" t="s">
        <v>20</v>
      </c>
      <c r="D59" s="9" t="s">
        <v>146</v>
      </c>
      <c r="E59" s="9" t="s">
        <v>58</v>
      </c>
      <c r="F59" s="10">
        <v>45325</v>
      </c>
      <c r="G59" s="11">
        <v>1459.13</v>
      </c>
      <c r="H59" s="11">
        <v>0.27</v>
      </c>
      <c r="I59" s="12" t="s">
        <v>20</v>
      </c>
      <c r="J59" s="12" t="s">
        <v>20</v>
      </c>
      <c r="K59" s="13">
        <v>0.27</v>
      </c>
      <c r="L59" s="13">
        <v>0</v>
      </c>
    </row>
    <row r="60" spans="1:12" x14ac:dyDescent="0.25">
      <c r="A60" s="8" t="s">
        <v>20</v>
      </c>
      <c r="B60" s="9" t="s">
        <v>147</v>
      </c>
      <c r="C60" s="9" t="s">
        <v>20</v>
      </c>
      <c r="D60" s="9" t="s">
        <v>148</v>
      </c>
      <c r="E60" s="9" t="s">
        <v>74</v>
      </c>
      <c r="F60" s="10">
        <v>90750</v>
      </c>
      <c r="G60" s="11">
        <v>1338.24</v>
      </c>
      <c r="H60" s="11">
        <v>0.25</v>
      </c>
      <c r="I60" s="12" t="s">
        <v>20</v>
      </c>
      <c r="J60" s="12" t="s">
        <v>20</v>
      </c>
      <c r="K60" s="13">
        <v>0.25</v>
      </c>
      <c r="L60" s="13">
        <v>0</v>
      </c>
    </row>
    <row r="61" spans="1:12" x14ac:dyDescent="0.25">
      <c r="A61" s="8" t="s">
        <v>20</v>
      </c>
      <c r="B61" s="9" t="s">
        <v>149</v>
      </c>
      <c r="C61" s="9" t="s">
        <v>20</v>
      </c>
      <c r="D61" s="9" t="s">
        <v>150</v>
      </c>
      <c r="E61" s="9" t="s">
        <v>32</v>
      </c>
      <c r="F61" s="10">
        <v>1252000</v>
      </c>
      <c r="G61" s="11">
        <v>1347.78</v>
      </c>
      <c r="H61" s="11">
        <v>0.25</v>
      </c>
      <c r="I61" s="12" t="s">
        <v>20</v>
      </c>
      <c r="J61" s="12" t="s">
        <v>20</v>
      </c>
      <c r="K61" s="13">
        <v>0.25</v>
      </c>
      <c r="L61" s="13">
        <v>0</v>
      </c>
    </row>
    <row r="62" spans="1:12" x14ac:dyDescent="0.25">
      <c r="A62" s="8" t="s">
        <v>20</v>
      </c>
      <c r="B62" s="9" t="s">
        <v>151</v>
      </c>
      <c r="C62" s="9" t="s">
        <v>20</v>
      </c>
      <c r="D62" s="9" t="s">
        <v>152</v>
      </c>
      <c r="E62" s="9" t="s">
        <v>58</v>
      </c>
      <c r="F62" s="10">
        <v>280000</v>
      </c>
      <c r="G62" s="11">
        <v>1248.52</v>
      </c>
      <c r="H62" s="11">
        <v>0.23</v>
      </c>
      <c r="I62" s="12" t="s">
        <v>20</v>
      </c>
      <c r="J62" s="12" t="s">
        <v>20</v>
      </c>
      <c r="K62" s="13">
        <v>0.23</v>
      </c>
      <c r="L62" s="13">
        <v>0</v>
      </c>
    </row>
    <row r="63" spans="1:12" x14ac:dyDescent="0.25">
      <c r="A63" s="8" t="s">
        <v>20</v>
      </c>
      <c r="B63" s="9" t="s">
        <v>153</v>
      </c>
      <c r="C63" s="9" t="s">
        <v>20</v>
      </c>
      <c r="D63" s="9" t="s">
        <v>154</v>
      </c>
      <c r="E63" s="9" t="s">
        <v>155</v>
      </c>
      <c r="F63" s="10">
        <v>1035000</v>
      </c>
      <c r="G63" s="11">
        <v>1122.98</v>
      </c>
      <c r="H63" s="11">
        <v>0.21</v>
      </c>
      <c r="I63" s="12" t="s">
        <v>20</v>
      </c>
      <c r="J63" s="12" t="s">
        <v>20</v>
      </c>
      <c r="K63" s="13">
        <v>0.21</v>
      </c>
      <c r="L63" s="13">
        <v>0</v>
      </c>
    </row>
    <row r="64" spans="1:12" x14ac:dyDescent="0.25">
      <c r="A64" s="8" t="s">
        <v>20</v>
      </c>
      <c r="B64" s="9" t="s">
        <v>156</v>
      </c>
      <c r="C64" s="9" t="s">
        <v>20</v>
      </c>
      <c r="D64" s="9" t="s">
        <v>157</v>
      </c>
      <c r="E64" s="9" t="s">
        <v>158</v>
      </c>
      <c r="F64" s="10">
        <v>450000</v>
      </c>
      <c r="G64" s="11">
        <v>1066.05</v>
      </c>
      <c r="H64" s="11">
        <v>0.2</v>
      </c>
      <c r="I64" s="12" t="s">
        <v>20</v>
      </c>
      <c r="J64" s="12" t="s">
        <v>20</v>
      </c>
      <c r="K64" s="13">
        <v>0.2</v>
      </c>
      <c r="L64" s="13">
        <v>0</v>
      </c>
    </row>
    <row r="65" spans="1:12" x14ac:dyDescent="0.25">
      <c r="A65" s="8" t="s">
        <v>20</v>
      </c>
      <c r="B65" s="9" t="s">
        <v>159</v>
      </c>
      <c r="C65" s="9" t="s">
        <v>20</v>
      </c>
      <c r="D65" s="9" t="s">
        <v>160</v>
      </c>
      <c r="E65" s="9" t="s">
        <v>161</v>
      </c>
      <c r="F65" s="10">
        <v>1328000</v>
      </c>
      <c r="G65" s="11">
        <v>1099.58</v>
      </c>
      <c r="H65" s="11">
        <v>0.2</v>
      </c>
      <c r="I65" s="12" t="s">
        <v>20</v>
      </c>
      <c r="J65" s="12" t="s">
        <v>20</v>
      </c>
      <c r="K65" s="13">
        <v>0.2</v>
      </c>
      <c r="L65" s="13">
        <v>0</v>
      </c>
    </row>
    <row r="66" spans="1:12" x14ac:dyDescent="0.25">
      <c r="A66" s="8" t="s">
        <v>20</v>
      </c>
      <c r="B66" s="9" t="s">
        <v>162</v>
      </c>
      <c r="C66" s="9" t="s">
        <v>20</v>
      </c>
      <c r="D66" s="9" t="s">
        <v>163</v>
      </c>
      <c r="E66" s="9" t="s">
        <v>164</v>
      </c>
      <c r="F66" s="10">
        <v>112000</v>
      </c>
      <c r="G66" s="11">
        <v>1016.4</v>
      </c>
      <c r="H66" s="11">
        <v>0.19</v>
      </c>
      <c r="I66" s="12" t="s">
        <v>20</v>
      </c>
      <c r="J66" s="12" t="s">
        <v>20</v>
      </c>
      <c r="K66" s="13">
        <v>0.19</v>
      </c>
      <c r="L66" s="13">
        <v>0</v>
      </c>
    </row>
    <row r="67" spans="1:12" x14ac:dyDescent="0.25">
      <c r="A67" s="8" t="s">
        <v>20</v>
      </c>
      <c r="B67" s="9" t="s">
        <v>165</v>
      </c>
      <c r="C67" s="9" t="s">
        <v>20</v>
      </c>
      <c r="D67" s="9" t="s">
        <v>166</v>
      </c>
      <c r="E67" s="9" t="s">
        <v>141</v>
      </c>
      <c r="F67" s="10">
        <v>80250</v>
      </c>
      <c r="G67" s="11">
        <v>914.93</v>
      </c>
      <c r="H67" s="11">
        <v>0.17</v>
      </c>
      <c r="I67" s="12" t="s">
        <v>20</v>
      </c>
      <c r="J67" s="12" t="s">
        <v>20</v>
      </c>
      <c r="K67" s="13">
        <v>0.17</v>
      </c>
      <c r="L67" s="13">
        <v>0</v>
      </c>
    </row>
    <row r="68" spans="1:12" x14ac:dyDescent="0.25">
      <c r="A68" s="8" t="s">
        <v>20</v>
      </c>
      <c r="B68" s="9" t="s">
        <v>167</v>
      </c>
      <c r="C68" s="9" t="s">
        <v>20</v>
      </c>
      <c r="D68" s="9" t="s">
        <v>168</v>
      </c>
      <c r="E68" s="9" t="s">
        <v>86</v>
      </c>
      <c r="F68" s="10">
        <v>143000</v>
      </c>
      <c r="G68" s="11">
        <v>841.56</v>
      </c>
      <c r="H68" s="11">
        <v>0.16</v>
      </c>
      <c r="I68" s="12" t="s">
        <v>20</v>
      </c>
      <c r="J68" s="12" t="s">
        <v>20</v>
      </c>
      <c r="K68" s="13">
        <v>0.16</v>
      </c>
      <c r="L68" s="13">
        <v>0</v>
      </c>
    </row>
    <row r="69" spans="1:12" x14ac:dyDescent="0.25">
      <c r="A69" s="8" t="s">
        <v>20</v>
      </c>
      <c r="B69" s="9" t="s">
        <v>169</v>
      </c>
      <c r="C69" s="9" t="s">
        <v>20</v>
      </c>
      <c r="D69" s="9" t="s">
        <v>170</v>
      </c>
      <c r="E69" s="9" t="s">
        <v>138</v>
      </c>
      <c r="F69" s="10">
        <v>4040</v>
      </c>
      <c r="G69" s="11">
        <v>879.16</v>
      </c>
      <c r="H69" s="11">
        <v>0.16</v>
      </c>
      <c r="I69" s="12" t="s">
        <v>20</v>
      </c>
      <c r="J69" s="12" t="s">
        <v>20</v>
      </c>
      <c r="K69" s="13">
        <v>0.16</v>
      </c>
      <c r="L69" s="13">
        <v>0</v>
      </c>
    </row>
    <row r="70" spans="1:12" x14ac:dyDescent="0.25">
      <c r="A70" s="8" t="s">
        <v>20</v>
      </c>
      <c r="B70" s="9" t="s">
        <v>171</v>
      </c>
      <c r="C70" s="9" t="s">
        <v>20</v>
      </c>
      <c r="D70" s="9" t="s">
        <v>172</v>
      </c>
      <c r="E70" s="9" t="s">
        <v>173</v>
      </c>
      <c r="F70" s="10">
        <v>16250</v>
      </c>
      <c r="G70" s="11">
        <v>733.48</v>
      </c>
      <c r="H70" s="11">
        <v>0.14000000000000001</v>
      </c>
      <c r="I70" s="12" t="s">
        <v>20</v>
      </c>
      <c r="J70" s="12" t="s">
        <v>20</v>
      </c>
      <c r="K70" s="13">
        <v>0.14000000000000001</v>
      </c>
      <c r="L70" s="13">
        <v>0</v>
      </c>
    </row>
    <row r="71" spans="1:12" x14ac:dyDescent="0.25">
      <c r="A71" s="8" t="s">
        <v>20</v>
      </c>
      <c r="B71" s="9" t="s">
        <v>174</v>
      </c>
      <c r="C71" s="9" t="s">
        <v>20</v>
      </c>
      <c r="D71" s="9" t="s">
        <v>175</v>
      </c>
      <c r="E71" s="9" t="s">
        <v>32</v>
      </c>
      <c r="F71" s="10">
        <v>220000</v>
      </c>
      <c r="G71" s="11">
        <v>757.24</v>
      </c>
      <c r="H71" s="11">
        <v>0.14000000000000001</v>
      </c>
      <c r="I71" s="12" t="s">
        <v>20</v>
      </c>
      <c r="J71" s="12" t="s">
        <v>20</v>
      </c>
      <c r="K71" s="13">
        <v>0.14000000000000001</v>
      </c>
      <c r="L71" s="13">
        <v>0</v>
      </c>
    </row>
    <row r="72" spans="1:12" x14ac:dyDescent="0.25">
      <c r="A72" s="8" t="s">
        <v>20</v>
      </c>
      <c r="B72" s="9" t="s">
        <v>176</v>
      </c>
      <c r="C72" s="9" t="s">
        <v>20</v>
      </c>
      <c r="D72" s="9" t="s">
        <v>177</v>
      </c>
      <c r="E72" s="9" t="s">
        <v>164</v>
      </c>
      <c r="F72" s="10">
        <v>136250</v>
      </c>
      <c r="G72" s="11">
        <v>726.08</v>
      </c>
      <c r="H72" s="11">
        <v>0.13</v>
      </c>
      <c r="I72" s="12" t="s">
        <v>20</v>
      </c>
      <c r="J72" s="12" t="s">
        <v>20</v>
      </c>
      <c r="K72" s="13">
        <v>0.13</v>
      </c>
      <c r="L72" s="13">
        <v>0</v>
      </c>
    </row>
    <row r="73" spans="1:12" x14ac:dyDescent="0.25">
      <c r="A73" s="8" t="s">
        <v>20</v>
      </c>
      <c r="B73" s="9" t="s">
        <v>178</v>
      </c>
      <c r="C73" s="9" t="s">
        <v>20</v>
      </c>
      <c r="D73" s="9" t="s">
        <v>179</v>
      </c>
      <c r="E73" s="9" t="s">
        <v>180</v>
      </c>
      <c r="F73" s="10">
        <v>140400</v>
      </c>
      <c r="G73" s="11">
        <v>696.95</v>
      </c>
      <c r="H73" s="11">
        <v>0.13</v>
      </c>
      <c r="I73" s="12" t="s">
        <v>20</v>
      </c>
      <c r="J73" s="12" t="s">
        <v>20</v>
      </c>
      <c r="K73" s="13">
        <v>0.13</v>
      </c>
      <c r="L73" s="13">
        <v>0</v>
      </c>
    </row>
    <row r="74" spans="1:12" x14ac:dyDescent="0.25">
      <c r="A74" s="8" t="s">
        <v>20</v>
      </c>
      <c r="B74" s="9" t="s">
        <v>181</v>
      </c>
      <c r="C74" s="9" t="s">
        <v>20</v>
      </c>
      <c r="D74" s="9" t="s">
        <v>182</v>
      </c>
      <c r="E74" s="9" t="s">
        <v>35</v>
      </c>
      <c r="F74" s="10">
        <v>302400</v>
      </c>
      <c r="G74" s="11">
        <v>717.44</v>
      </c>
      <c r="H74" s="11">
        <v>0.13</v>
      </c>
      <c r="I74" s="12" t="s">
        <v>20</v>
      </c>
      <c r="J74" s="12" t="s">
        <v>20</v>
      </c>
      <c r="K74" s="13">
        <v>0.13</v>
      </c>
      <c r="L74" s="13">
        <v>0</v>
      </c>
    </row>
    <row r="75" spans="1:12" x14ac:dyDescent="0.25">
      <c r="A75" s="8" t="s">
        <v>20</v>
      </c>
      <c r="B75" s="9" t="s">
        <v>183</v>
      </c>
      <c r="C75" s="9" t="s">
        <v>20</v>
      </c>
      <c r="D75" s="9" t="s">
        <v>184</v>
      </c>
      <c r="E75" s="9" t="s">
        <v>55</v>
      </c>
      <c r="F75" s="10">
        <v>196000</v>
      </c>
      <c r="G75" s="11">
        <v>588.69000000000005</v>
      </c>
      <c r="H75" s="11">
        <v>0.11</v>
      </c>
      <c r="I75" s="12" t="s">
        <v>20</v>
      </c>
      <c r="J75" s="12" t="s">
        <v>20</v>
      </c>
      <c r="K75" s="13">
        <v>0.11</v>
      </c>
      <c r="L75" s="13">
        <v>0</v>
      </c>
    </row>
    <row r="76" spans="1:12" x14ac:dyDescent="0.25">
      <c r="A76" s="8" t="s">
        <v>20</v>
      </c>
      <c r="B76" s="9" t="s">
        <v>185</v>
      </c>
      <c r="C76" s="9" t="s">
        <v>20</v>
      </c>
      <c r="D76" s="9" t="s">
        <v>186</v>
      </c>
      <c r="E76" s="9" t="s">
        <v>141</v>
      </c>
      <c r="F76" s="10">
        <v>57375</v>
      </c>
      <c r="G76" s="11">
        <v>619.16</v>
      </c>
      <c r="H76" s="11">
        <v>0.11</v>
      </c>
      <c r="I76" s="12" t="s">
        <v>20</v>
      </c>
      <c r="J76" s="12" t="s">
        <v>20</v>
      </c>
      <c r="K76" s="13">
        <v>0.12</v>
      </c>
      <c r="L76" s="13">
        <v>0</v>
      </c>
    </row>
    <row r="77" spans="1:12" x14ac:dyDescent="0.25">
      <c r="A77" s="8" t="s">
        <v>20</v>
      </c>
      <c r="B77" s="9" t="s">
        <v>187</v>
      </c>
      <c r="C77" s="9" t="s">
        <v>20</v>
      </c>
      <c r="D77" s="9" t="s">
        <v>188</v>
      </c>
      <c r="E77" s="9" t="s">
        <v>32</v>
      </c>
      <c r="F77" s="10">
        <v>456000</v>
      </c>
      <c r="G77" s="11">
        <v>591.42999999999995</v>
      </c>
      <c r="H77" s="11">
        <v>0.11</v>
      </c>
      <c r="I77" s="12" t="s">
        <v>20</v>
      </c>
      <c r="J77" s="12" t="s">
        <v>20</v>
      </c>
      <c r="K77" s="13">
        <v>0.11</v>
      </c>
      <c r="L77" s="13">
        <v>0</v>
      </c>
    </row>
    <row r="78" spans="1:12" x14ac:dyDescent="0.25">
      <c r="A78" s="8" t="s">
        <v>20</v>
      </c>
      <c r="B78" s="9" t="s">
        <v>189</v>
      </c>
      <c r="C78" s="9" t="s">
        <v>20</v>
      </c>
      <c r="D78" s="9" t="s">
        <v>190</v>
      </c>
      <c r="E78" s="9" t="s">
        <v>191</v>
      </c>
      <c r="F78" s="10">
        <v>27500</v>
      </c>
      <c r="G78" s="11">
        <v>529.36</v>
      </c>
      <c r="H78" s="11">
        <v>0.1</v>
      </c>
      <c r="I78" s="12" t="s">
        <v>20</v>
      </c>
      <c r="J78" s="12" t="s">
        <v>20</v>
      </c>
      <c r="K78" s="13">
        <v>0.1</v>
      </c>
      <c r="L78" s="13">
        <v>0</v>
      </c>
    </row>
    <row r="79" spans="1:12" x14ac:dyDescent="0.25">
      <c r="A79" s="8" t="s">
        <v>20</v>
      </c>
      <c r="B79" s="9" t="s">
        <v>192</v>
      </c>
      <c r="C79" s="9" t="s">
        <v>20</v>
      </c>
      <c r="D79" s="9" t="s">
        <v>193</v>
      </c>
      <c r="E79" s="9" t="s">
        <v>194</v>
      </c>
      <c r="F79" s="10">
        <v>86000</v>
      </c>
      <c r="G79" s="11">
        <v>526.05999999999995</v>
      </c>
      <c r="H79" s="11">
        <v>0.1</v>
      </c>
      <c r="I79" s="12" t="s">
        <v>20</v>
      </c>
      <c r="J79" s="12" t="s">
        <v>20</v>
      </c>
      <c r="K79" s="13">
        <v>0.1</v>
      </c>
      <c r="L79" s="13">
        <v>0</v>
      </c>
    </row>
    <row r="80" spans="1:12" x14ac:dyDescent="0.25">
      <c r="A80" s="8" t="s">
        <v>20</v>
      </c>
      <c r="B80" s="9" t="s">
        <v>195</v>
      </c>
      <c r="C80" s="9" t="s">
        <v>20</v>
      </c>
      <c r="D80" s="9" t="s">
        <v>196</v>
      </c>
      <c r="E80" s="9" t="s">
        <v>41</v>
      </c>
      <c r="F80" s="10">
        <v>42700</v>
      </c>
      <c r="G80" s="11">
        <v>523.89</v>
      </c>
      <c r="H80" s="11">
        <v>0.1</v>
      </c>
      <c r="I80" s="12" t="s">
        <v>20</v>
      </c>
      <c r="J80" s="12" t="s">
        <v>20</v>
      </c>
      <c r="K80" s="13">
        <v>0.1</v>
      </c>
      <c r="L80" s="13">
        <v>0</v>
      </c>
    </row>
    <row r="81" spans="1:12" x14ac:dyDescent="0.25">
      <c r="A81" s="8" t="s">
        <v>20</v>
      </c>
      <c r="B81" s="9" t="s">
        <v>197</v>
      </c>
      <c r="C81" s="9" t="s">
        <v>20</v>
      </c>
      <c r="D81" s="9" t="s">
        <v>198</v>
      </c>
      <c r="E81" s="9" t="s">
        <v>32</v>
      </c>
      <c r="F81" s="10">
        <v>328600</v>
      </c>
      <c r="G81" s="11">
        <v>558.29</v>
      </c>
      <c r="H81" s="11">
        <v>0.1</v>
      </c>
      <c r="I81" s="12" t="s">
        <v>20</v>
      </c>
      <c r="J81" s="12" t="s">
        <v>20</v>
      </c>
      <c r="K81" s="13">
        <v>0.1</v>
      </c>
      <c r="L81" s="13">
        <v>0</v>
      </c>
    </row>
    <row r="82" spans="1:12" x14ac:dyDescent="0.25">
      <c r="A82" s="8" t="s">
        <v>20</v>
      </c>
      <c r="B82" s="9" t="s">
        <v>199</v>
      </c>
      <c r="C82" s="9" t="s">
        <v>20</v>
      </c>
      <c r="D82" s="9" t="s">
        <v>200</v>
      </c>
      <c r="E82" s="9" t="s">
        <v>55</v>
      </c>
      <c r="F82" s="10">
        <v>33000</v>
      </c>
      <c r="G82" s="11">
        <v>545.26</v>
      </c>
      <c r="H82" s="11">
        <v>0.1</v>
      </c>
      <c r="I82" s="12" t="s">
        <v>20</v>
      </c>
      <c r="J82" s="12" t="s">
        <v>20</v>
      </c>
      <c r="K82" s="13">
        <v>0.1</v>
      </c>
      <c r="L82" s="13">
        <v>0</v>
      </c>
    </row>
    <row r="83" spans="1:12" x14ac:dyDescent="0.25">
      <c r="A83" s="8" t="s">
        <v>20</v>
      </c>
      <c r="B83" s="9" t="s">
        <v>201</v>
      </c>
      <c r="C83" s="9" t="s">
        <v>20</v>
      </c>
      <c r="D83" s="9" t="s">
        <v>202</v>
      </c>
      <c r="E83" s="9" t="s">
        <v>91</v>
      </c>
      <c r="F83" s="10">
        <v>14000</v>
      </c>
      <c r="G83" s="11">
        <v>478.51</v>
      </c>
      <c r="H83" s="11">
        <v>0.09</v>
      </c>
      <c r="I83" s="12" t="s">
        <v>20</v>
      </c>
      <c r="J83" s="12" t="s">
        <v>20</v>
      </c>
      <c r="K83" s="13">
        <v>0.09</v>
      </c>
      <c r="L83" s="13">
        <v>0</v>
      </c>
    </row>
    <row r="84" spans="1:12" x14ac:dyDescent="0.25">
      <c r="A84" s="8" t="s">
        <v>20</v>
      </c>
      <c r="B84" s="9" t="s">
        <v>203</v>
      </c>
      <c r="C84" s="9" t="s">
        <v>20</v>
      </c>
      <c r="D84" s="9" t="s">
        <v>204</v>
      </c>
      <c r="E84" s="9" t="s">
        <v>58</v>
      </c>
      <c r="F84" s="10">
        <v>9750</v>
      </c>
      <c r="G84" s="11">
        <v>430.9</v>
      </c>
      <c r="H84" s="11">
        <v>0.08</v>
      </c>
      <c r="I84" s="12" t="s">
        <v>20</v>
      </c>
      <c r="J84" s="12" t="s">
        <v>20</v>
      </c>
      <c r="K84" s="13">
        <v>0.08</v>
      </c>
      <c r="L84" s="13">
        <v>0</v>
      </c>
    </row>
    <row r="85" spans="1:12" x14ac:dyDescent="0.25">
      <c r="A85" s="8" t="s">
        <v>20</v>
      </c>
      <c r="B85" s="9" t="s">
        <v>205</v>
      </c>
      <c r="C85" s="9" t="s">
        <v>20</v>
      </c>
      <c r="D85" s="9" t="s">
        <v>206</v>
      </c>
      <c r="E85" s="9" t="s">
        <v>207</v>
      </c>
      <c r="F85" s="10">
        <v>261800</v>
      </c>
      <c r="G85" s="11">
        <v>416.13</v>
      </c>
      <c r="H85" s="11">
        <v>0.08</v>
      </c>
      <c r="I85" s="12" t="s">
        <v>20</v>
      </c>
      <c r="J85" s="12" t="s">
        <v>20</v>
      </c>
      <c r="K85" s="13">
        <v>0.08</v>
      </c>
      <c r="L85" s="13">
        <v>0</v>
      </c>
    </row>
    <row r="86" spans="1:12" x14ac:dyDescent="0.25">
      <c r="A86" s="8" t="s">
        <v>20</v>
      </c>
      <c r="B86" s="9" t="s">
        <v>208</v>
      </c>
      <c r="C86" s="9" t="s">
        <v>20</v>
      </c>
      <c r="D86" s="9" t="s">
        <v>209</v>
      </c>
      <c r="E86" s="9" t="s">
        <v>47</v>
      </c>
      <c r="F86" s="10">
        <v>30118</v>
      </c>
      <c r="G86" s="11">
        <v>440.67</v>
      </c>
      <c r="H86" s="11">
        <v>0.08</v>
      </c>
      <c r="I86" s="12" t="s">
        <v>20</v>
      </c>
      <c r="J86" s="12" t="s">
        <v>20</v>
      </c>
      <c r="K86" s="13">
        <v>0.08</v>
      </c>
      <c r="L86" s="13">
        <v>0</v>
      </c>
    </row>
    <row r="87" spans="1:12" x14ac:dyDescent="0.25">
      <c r="A87" s="8" t="s">
        <v>20</v>
      </c>
      <c r="B87" s="9" t="s">
        <v>210</v>
      </c>
      <c r="C87" s="9" t="s">
        <v>20</v>
      </c>
      <c r="D87" s="9" t="s">
        <v>211</v>
      </c>
      <c r="E87" s="9" t="s">
        <v>25</v>
      </c>
      <c r="F87" s="10">
        <v>43200</v>
      </c>
      <c r="G87" s="11">
        <v>371.52</v>
      </c>
      <c r="H87" s="11">
        <v>7.0000000000000007E-2</v>
      </c>
      <c r="I87" s="12" t="s">
        <v>20</v>
      </c>
      <c r="J87" s="12" t="s">
        <v>20</v>
      </c>
      <c r="K87" s="13">
        <v>7.0000000000000007E-2</v>
      </c>
      <c r="L87" s="13">
        <v>0</v>
      </c>
    </row>
    <row r="88" spans="1:12" x14ac:dyDescent="0.25">
      <c r="A88" s="8" t="s">
        <v>20</v>
      </c>
      <c r="B88" s="9" t="s">
        <v>212</v>
      </c>
      <c r="C88" s="9" t="s">
        <v>20</v>
      </c>
      <c r="D88" s="9" t="s">
        <v>213</v>
      </c>
      <c r="E88" s="9" t="s">
        <v>55</v>
      </c>
      <c r="F88" s="10">
        <v>65250</v>
      </c>
      <c r="G88" s="11">
        <v>367.65</v>
      </c>
      <c r="H88" s="11">
        <v>7.0000000000000007E-2</v>
      </c>
      <c r="I88" s="12" t="s">
        <v>20</v>
      </c>
      <c r="J88" s="12" t="s">
        <v>20</v>
      </c>
      <c r="K88" s="13">
        <v>7.0000000000000007E-2</v>
      </c>
      <c r="L88" s="13">
        <v>0</v>
      </c>
    </row>
    <row r="89" spans="1:12" x14ac:dyDescent="0.25">
      <c r="A89" s="8" t="s">
        <v>20</v>
      </c>
      <c r="B89" s="9" t="s">
        <v>214</v>
      </c>
      <c r="C89" s="9" t="s">
        <v>20</v>
      </c>
      <c r="D89" s="9" t="s">
        <v>215</v>
      </c>
      <c r="E89" s="9" t="s">
        <v>161</v>
      </c>
      <c r="F89" s="10">
        <v>67500</v>
      </c>
      <c r="G89" s="11">
        <v>393.42</v>
      </c>
      <c r="H89" s="11">
        <v>7.0000000000000007E-2</v>
      </c>
      <c r="I89" s="12" t="s">
        <v>20</v>
      </c>
      <c r="J89" s="12" t="s">
        <v>20</v>
      </c>
      <c r="K89" s="13">
        <v>7.0000000000000007E-2</v>
      </c>
      <c r="L89" s="13">
        <v>0</v>
      </c>
    </row>
    <row r="90" spans="1:12" x14ac:dyDescent="0.25">
      <c r="A90" s="8" t="s">
        <v>20</v>
      </c>
      <c r="B90" s="9" t="s">
        <v>216</v>
      </c>
      <c r="C90" s="9" t="s">
        <v>20</v>
      </c>
      <c r="D90" s="9" t="s">
        <v>217</v>
      </c>
      <c r="E90" s="9" t="s">
        <v>86</v>
      </c>
      <c r="F90" s="10">
        <v>42000</v>
      </c>
      <c r="G90" s="11">
        <v>400.13</v>
      </c>
      <c r="H90" s="11">
        <v>7.0000000000000007E-2</v>
      </c>
      <c r="I90" s="12" t="s">
        <v>20</v>
      </c>
      <c r="J90" s="12" t="s">
        <v>20</v>
      </c>
      <c r="K90" s="13">
        <v>7.0000000000000007E-2</v>
      </c>
      <c r="L90" s="13">
        <v>0</v>
      </c>
    </row>
    <row r="91" spans="1:12" x14ac:dyDescent="0.25">
      <c r="A91" s="8" t="s">
        <v>20</v>
      </c>
      <c r="B91" s="9" t="s">
        <v>218</v>
      </c>
      <c r="C91" s="9" t="s">
        <v>20</v>
      </c>
      <c r="D91" s="9" t="s">
        <v>219</v>
      </c>
      <c r="E91" s="9" t="s">
        <v>220</v>
      </c>
      <c r="F91" s="10">
        <v>1650</v>
      </c>
      <c r="G91" s="11">
        <v>319.64</v>
      </c>
      <c r="H91" s="11">
        <v>0.06</v>
      </c>
      <c r="I91" s="12" t="s">
        <v>20</v>
      </c>
      <c r="J91" s="12" t="s">
        <v>20</v>
      </c>
      <c r="K91" s="13">
        <v>0.06</v>
      </c>
      <c r="L91" s="13">
        <v>0</v>
      </c>
    </row>
    <row r="92" spans="1:12" x14ac:dyDescent="0.25">
      <c r="A92" s="8" t="s">
        <v>20</v>
      </c>
      <c r="B92" s="9" t="s">
        <v>221</v>
      </c>
      <c r="C92" s="9" t="s">
        <v>20</v>
      </c>
      <c r="D92" s="9" t="s">
        <v>222</v>
      </c>
      <c r="E92" s="9" t="s">
        <v>74</v>
      </c>
      <c r="F92" s="10">
        <v>132000</v>
      </c>
      <c r="G92" s="11">
        <v>336.47</v>
      </c>
      <c r="H92" s="11">
        <v>0.06</v>
      </c>
      <c r="I92" s="12" t="s">
        <v>20</v>
      </c>
      <c r="J92" s="12" t="s">
        <v>20</v>
      </c>
      <c r="K92" s="13">
        <v>0.06</v>
      </c>
      <c r="L92" s="13">
        <v>0</v>
      </c>
    </row>
    <row r="93" spans="1:12" x14ac:dyDescent="0.25">
      <c r="A93" s="8" t="s">
        <v>20</v>
      </c>
      <c r="B93" s="9" t="s">
        <v>223</v>
      </c>
      <c r="C93" s="9" t="s">
        <v>20</v>
      </c>
      <c r="D93" s="9" t="s">
        <v>224</v>
      </c>
      <c r="E93" s="9" t="s">
        <v>22</v>
      </c>
      <c r="F93" s="10">
        <v>132300</v>
      </c>
      <c r="G93" s="11">
        <v>332.4</v>
      </c>
      <c r="H93" s="11">
        <v>0.06</v>
      </c>
      <c r="I93" s="12" t="s">
        <v>20</v>
      </c>
      <c r="J93" s="12" t="s">
        <v>20</v>
      </c>
      <c r="K93" s="13">
        <v>0.06</v>
      </c>
      <c r="L93" s="13">
        <v>0</v>
      </c>
    </row>
    <row r="94" spans="1:12" x14ac:dyDescent="0.25">
      <c r="A94" s="8" t="s">
        <v>20</v>
      </c>
      <c r="B94" s="9" t="s">
        <v>225</v>
      </c>
      <c r="C94" s="9" t="s">
        <v>20</v>
      </c>
      <c r="D94" s="9" t="s">
        <v>226</v>
      </c>
      <c r="E94" s="9" t="s">
        <v>194</v>
      </c>
      <c r="F94" s="10">
        <v>16500</v>
      </c>
      <c r="G94" s="11">
        <v>333.46</v>
      </c>
      <c r="H94" s="11">
        <v>0.06</v>
      </c>
      <c r="I94" s="12" t="s">
        <v>20</v>
      </c>
      <c r="J94" s="12" t="s">
        <v>20</v>
      </c>
      <c r="K94" s="13">
        <v>0.06</v>
      </c>
      <c r="L94" s="13">
        <v>0</v>
      </c>
    </row>
    <row r="95" spans="1:12" x14ac:dyDescent="0.25">
      <c r="A95" s="8" t="s">
        <v>20</v>
      </c>
      <c r="B95" s="9" t="s">
        <v>227</v>
      </c>
      <c r="C95" s="9" t="s">
        <v>20</v>
      </c>
      <c r="D95" s="9" t="s">
        <v>228</v>
      </c>
      <c r="E95" s="9" t="s">
        <v>220</v>
      </c>
      <c r="F95" s="10">
        <v>133200</v>
      </c>
      <c r="G95" s="11">
        <v>260.87</v>
      </c>
      <c r="H95" s="11">
        <v>0.05</v>
      </c>
      <c r="I95" s="12" t="s">
        <v>20</v>
      </c>
      <c r="J95" s="12" t="s">
        <v>20</v>
      </c>
      <c r="K95" s="13">
        <v>0.05</v>
      </c>
      <c r="L95" s="13">
        <v>0</v>
      </c>
    </row>
    <row r="96" spans="1:12" x14ac:dyDescent="0.25">
      <c r="A96" s="8" t="s">
        <v>20</v>
      </c>
      <c r="B96" s="9" t="s">
        <v>229</v>
      </c>
      <c r="C96" s="9" t="s">
        <v>20</v>
      </c>
      <c r="D96" s="9" t="s">
        <v>230</v>
      </c>
      <c r="E96" s="9" t="s">
        <v>158</v>
      </c>
      <c r="F96" s="10">
        <v>52500</v>
      </c>
      <c r="G96" s="11">
        <v>245.57</v>
      </c>
      <c r="H96" s="11">
        <v>0.05</v>
      </c>
      <c r="I96" s="12" t="s">
        <v>20</v>
      </c>
      <c r="J96" s="12" t="s">
        <v>20</v>
      </c>
      <c r="K96" s="13">
        <v>0.05</v>
      </c>
      <c r="L96" s="13">
        <v>0</v>
      </c>
    </row>
    <row r="97" spans="1:12" x14ac:dyDescent="0.25">
      <c r="A97" s="8" t="s">
        <v>20</v>
      </c>
      <c r="B97" s="9" t="s">
        <v>231</v>
      </c>
      <c r="C97" s="9" t="s">
        <v>20</v>
      </c>
      <c r="D97" s="9" t="s">
        <v>232</v>
      </c>
      <c r="E97" s="9" t="s">
        <v>141</v>
      </c>
      <c r="F97" s="10">
        <v>46200</v>
      </c>
      <c r="G97" s="11">
        <v>244.74</v>
      </c>
      <c r="H97" s="11">
        <v>0.05</v>
      </c>
      <c r="I97" s="12" t="s">
        <v>20</v>
      </c>
      <c r="J97" s="12" t="s">
        <v>20</v>
      </c>
      <c r="K97" s="13">
        <v>0.05</v>
      </c>
      <c r="L97" s="13">
        <v>0</v>
      </c>
    </row>
    <row r="98" spans="1:12" x14ac:dyDescent="0.25">
      <c r="A98" s="8" t="s">
        <v>20</v>
      </c>
      <c r="B98" s="9" t="s">
        <v>233</v>
      </c>
      <c r="C98" s="9" t="s">
        <v>20</v>
      </c>
      <c r="D98" s="9" t="s">
        <v>234</v>
      </c>
      <c r="E98" s="9" t="s">
        <v>44</v>
      </c>
      <c r="F98" s="10">
        <v>159500</v>
      </c>
      <c r="G98" s="11">
        <v>295.95</v>
      </c>
      <c r="H98" s="11">
        <v>0.05</v>
      </c>
      <c r="I98" s="12" t="s">
        <v>20</v>
      </c>
      <c r="J98" s="12" t="s">
        <v>20</v>
      </c>
      <c r="K98" s="13">
        <v>0.06</v>
      </c>
      <c r="L98" s="13">
        <v>0</v>
      </c>
    </row>
    <row r="99" spans="1:12" x14ac:dyDescent="0.25">
      <c r="A99" s="8" t="s">
        <v>20</v>
      </c>
      <c r="B99" s="9" t="s">
        <v>235</v>
      </c>
      <c r="C99" s="9" t="s">
        <v>20</v>
      </c>
      <c r="D99" s="9" t="s">
        <v>236</v>
      </c>
      <c r="E99" s="9" t="s">
        <v>161</v>
      </c>
      <c r="F99" s="10">
        <v>247500</v>
      </c>
      <c r="G99" s="11">
        <v>267.18</v>
      </c>
      <c r="H99" s="11">
        <v>0.05</v>
      </c>
      <c r="I99" s="12" t="s">
        <v>20</v>
      </c>
      <c r="J99" s="12" t="s">
        <v>20</v>
      </c>
      <c r="K99" s="13">
        <v>0.05</v>
      </c>
      <c r="L99" s="13">
        <v>0</v>
      </c>
    </row>
    <row r="100" spans="1:12" x14ac:dyDescent="0.25">
      <c r="A100" s="8" t="s">
        <v>20</v>
      </c>
      <c r="B100" s="9" t="s">
        <v>237</v>
      </c>
      <c r="C100" s="9" t="s">
        <v>20</v>
      </c>
      <c r="D100" s="9" t="s">
        <v>238</v>
      </c>
      <c r="E100" s="9" t="s">
        <v>32</v>
      </c>
      <c r="F100" s="10">
        <v>129600</v>
      </c>
      <c r="G100" s="11">
        <v>216.69</v>
      </c>
      <c r="H100" s="11">
        <v>0.04</v>
      </c>
      <c r="I100" s="12" t="s">
        <v>20</v>
      </c>
      <c r="J100" s="12" t="s">
        <v>20</v>
      </c>
      <c r="K100" s="13">
        <v>0.04</v>
      </c>
      <c r="L100" s="13">
        <v>0</v>
      </c>
    </row>
    <row r="101" spans="1:12" x14ac:dyDescent="0.25">
      <c r="A101" s="8" t="s">
        <v>20</v>
      </c>
      <c r="B101" s="9" t="s">
        <v>239</v>
      </c>
      <c r="C101" s="9" t="s">
        <v>20</v>
      </c>
      <c r="D101" s="9" t="s">
        <v>240</v>
      </c>
      <c r="E101" s="9" t="s">
        <v>180</v>
      </c>
      <c r="F101" s="10">
        <v>56000</v>
      </c>
      <c r="G101" s="11">
        <v>232.68</v>
      </c>
      <c r="H101" s="11">
        <v>0.04</v>
      </c>
      <c r="I101" s="12" t="s">
        <v>20</v>
      </c>
      <c r="J101" s="12" t="s">
        <v>20</v>
      </c>
      <c r="K101" s="13">
        <v>0.04</v>
      </c>
      <c r="L101" s="13">
        <v>0</v>
      </c>
    </row>
    <row r="102" spans="1:12" x14ac:dyDescent="0.25">
      <c r="A102" s="8" t="s">
        <v>20</v>
      </c>
      <c r="B102" s="9" t="s">
        <v>241</v>
      </c>
      <c r="C102" s="9" t="s">
        <v>20</v>
      </c>
      <c r="D102" s="9" t="s">
        <v>242</v>
      </c>
      <c r="E102" s="9" t="s">
        <v>243</v>
      </c>
      <c r="F102" s="10">
        <v>8100</v>
      </c>
      <c r="G102" s="11">
        <v>236.54</v>
      </c>
      <c r="H102" s="11">
        <v>0.04</v>
      </c>
      <c r="I102" s="12" t="s">
        <v>20</v>
      </c>
      <c r="J102" s="12" t="s">
        <v>20</v>
      </c>
      <c r="K102" s="13">
        <v>0.04</v>
      </c>
      <c r="L102" s="13">
        <v>0</v>
      </c>
    </row>
    <row r="103" spans="1:12" x14ac:dyDescent="0.25">
      <c r="A103" s="8" t="s">
        <v>20</v>
      </c>
      <c r="B103" s="9" t="s">
        <v>244</v>
      </c>
      <c r="C103" s="9" t="s">
        <v>20</v>
      </c>
      <c r="D103" s="9" t="s">
        <v>245</v>
      </c>
      <c r="E103" s="9" t="s">
        <v>91</v>
      </c>
      <c r="F103" s="10">
        <v>210000</v>
      </c>
      <c r="G103" s="11">
        <v>164.64</v>
      </c>
      <c r="H103" s="11">
        <v>0.03</v>
      </c>
      <c r="I103" s="12" t="s">
        <v>20</v>
      </c>
      <c r="J103" s="12" t="s">
        <v>20</v>
      </c>
      <c r="K103" s="13">
        <v>0.03</v>
      </c>
      <c r="L103" s="13">
        <v>0</v>
      </c>
    </row>
    <row r="104" spans="1:12" x14ac:dyDescent="0.25">
      <c r="A104" s="8" t="s">
        <v>20</v>
      </c>
      <c r="B104" s="9" t="s">
        <v>246</v>
      </c>
      <c r="C104" s="9" t="s">
        <v>20</v>
      </c>
      <c r="D104" s="9" t="s">
        <v>247</v>
      </c>
      <c r="E104" s="9" t="s">
        <v>58</v>
      </c>
      <c r="F104" s="10">
        <v>54000</v>
      </c>
      <c r="G104" s="11">
        <v>147.38999999999999</v>
      </c>
      <c r="H104" s="11">
        <v>0.03</v>
      </c>
      <c r="I104" s="12" t="s">
        <v>20</v>
      </c>
      <c r="J104" s="12" t="s">
        <v>20</v>
      </c>
      <c r="K104" s="13">
        <v>0.03</v>
      </c>
      <c r="L104" s="13">
        <v>0</v>
      </c>
    </row>
    <row r="105" spans="1:12" x14ac:dyDescent="0.25">
      <c r="A105" s="8" t="s">
        <v>20</v>
      </c>
      <c r="B105" s="9" t="s">
        <v>248</v>
      </c>
      <c r="C105" s="9" t="s">
        <v>20</v>
      </c>
      <c r="D105" s="9" t="s">
        <v>249</v>
      </c>
      <c r="E105" s="9" t="s">
        <v>32</v>
      </c>
      <c r="F105" s="10">
        <v>5400</v>
      </c>
      <c r="G105" s="11">
        <v>149.88</v>
      </c>
      <c r="H105" s="11">
        <v>0.03</v>
      </c>
      <c r="I105" s="12" t="s">
        <v>20</v>
      </c>
      <c r="J105" s="12" t="s">
        <v>20</v>
      </c>
      <c r="K105" s="13">
        <v>0.03</v>
      </c>
      <c r="L105" s="13">
        <v>0</v>
      </c>
    </row>
    <row r="106" spans="1:12" x14ac:dyDescent="0.25">
      <c r="A106" s="8" t="s">
        <v>20</v>
      </c>
      <c r="B106" s="9" t="s">
        <v>250</v>
      </c>
      <c r="C106" s="9" t="s">
        <v>20</v>
      </c>
      <c r="D106" s="9" t="s">
        <v>251</v>
      </c>
      <c r="E106" s="9" t="s">
        <v>141</v>
      </c>
      <c r="F106" s="10">
        <v>27950</v>
      </c>
      <c r="G106" s="11">
        <v>178.81</v>
      </c>
      <c r="H106" s="11">
        <v>0.03</v>
      </c>
      <c r="I106" s="12" t="s">
        <v>20</v>
      </c>
      <c r="J106" s="12" t="s">
        <v>20</v>
      </c>
      <c r="K106" s="13">
        <v>0.03</v>
      </c>
      <c r="L106" s="13">
        <v>0</v>
      </c>
    </row>
    <row r="107" spans="1:12" x14ac:dyDescent="0.25">
      <c r="A107" s="8" t="s">
        <v>20</v>
      </c>
      <c r="B107" s="9" t="s">
        <v>252</v>
      </c>
      <c r="C107" s="9" t="s">
        <v>20</v>
      </c>
      <c r="D107" s="9" t="s">
        <v>253</v>
      </c>
      <c r="E107" s="9" t="s">
        <v>220</v>
      </c>
      <c r="F107" s="10">
        <v>216000</v>
      </c>
      <c r="G107" s="11">
        <v>158.54</v>
      </c>
      <c r="H107" s="11">
        <v>0.03</v>
      </c>
      <c r="I107" s="12" t="s">
        <v>20</v>
      </c>
      <c r="J107" s="12" t="s">
        <v>20</v>
      </c>
      <c r="K107" s="13">
        <v>0.03</v>
      </c>
      <c r="L107" s="13">
        <v>0</v>
      </c>
    </row>
    <row r="108" spans="1:12" x14ac:dyDescent="0.25">
      <c r="A108" s="8" t="s">
        <v>20</v>
      </c>
      <c r="B108" s="9" t="s">
        <v>254</v>
      </c>
      <c r="C108" s="9" t="s">
        <v>20</v>
      </c>
      <c r="D108" s="9" t="s">
        <v>255</v>
      </c>
      <c r="E108" s="9" t="s">
        <v>180</v>
      </c>
      <c r="F108" s="10">
        <v>20700</v>
      </c>
      <c r="G108" s="11">
        <v>158.12</v>
      </c>
      <c r="H108" s="11">
        <v>0.03</v>
      </c>
      <c r="I108" s="12" t="s">
        <v>20</v>
      </c>
      <c r="J108" s="12" t="s">
        <v>20</v>
      </c>
      <c r="K108" s="13">
        <v>0.03</v>
      </c>
      <c r="L108" s="13">
        <v>0</v>
      </c>
    </row>
    <row r="109" spans="1:12" x14ac:dyDescent="0.25">
      <c r="A109" s="8" t="s">
        <v>20</v>
      </c>
      <c r="B109" s="9" t="s">
        <v>256</v>
      </c>
      <c r="C109" s="9" t="s">
        <v>20</v>
      </c>
      <c r="D109" s="9" t="s">
        <v>257</v>
      </c>
      <c r="E109" s="9" t="s">
        <v>41</v>
      </c>
      <c r="F109" s="10">
        <v>13300</v>
      </c>
      <c r="G109" s="11">
        <v>151.4</v>
      </c>
      <c r="H109" s="11">
        <v>0.03</v>
      </c>
      <c r="I109" s="12" t="s">
        <v>20</v>
      </c>
      <c r="J109" s="12" t="s">
        <v>20</v>
      </c>
      <c r="K109" s="13">
        <v>0.03</v>
      </c>
      <c r="L109" s="13">
        <v>0</v>
      </c>
    </row>
    <row r="110" spans="1:12" x14ac:dyDescent="0.25">
      <c r="A110" s="8" t="s">
        <v>20</v>
      </c>
      <c r="B110" s="9" t="s">
        <v>258</v>
      </c>
      <c r="C110" s="9" t="s">
        <v>20</v>
      </c>
      <c r="D110" s="9" t="s">
        <v>259</v>
      </c>
      <c r="E110" s="9" t="s">
        <v>55</v>
      </c>
      <c r="F110" s="10">
        <v>14000</v>
      </c>
      <c r="G110" s="11">
        <v>86.38</v>
      </c>
      <c r="H110" s="11">
        <v>0.02</v>
      </c>
      <c r="I110" s="12" t="s">
        <v>20</v>
      </c>
      <c r="J110" s="12" t="s">
        <v>20</v>
      </c>
      <c r="K110" s="13">
        <v>0.02</v>
      </c>
      <c r="L110" s="13">
        <v>0</v>
      </c>
    </row>
    <row r="111" spans="1:12" x14ac:dyDescent="0.25">
      <c r="A111" s="8" t="s">
        <v>20</v>
      </c>
      <c r="B111" s="9" t="s">
        <v>260</v>
      </c>
      <c r="C111" s="9" t="s">
        <v>20</v>
      </c>
      <c r="D111" s="9" t="s">
        <v>261</v>
      </c>
      <c r="E111" s="9" t="s">
        <v>104</v>
      </c>
      <c r="F111" s="10">
        <v>18375</v>
      </c>
      <c r="G111" s="11">
        <v>113.52</v>
      </c>
      <c r="H111" s="11">
        <v>0.02</v>
      </c>
      <c r="I111" s="12" t="s">
        <v>20</v>
      </c>
      <c r="J111" s="12" t="s">
        <v>20</v>
      </c>
      <c r="K111" s="13">
        <v>0.02</v>
      </c>
      <c r="L111" s="13">
        <v>0</v>
      </c>
    </row>
    <row r="112" spans="1:12" x14ac:dyDescent="0.25">
      <c r="A112" s="8" t="s">
        <v>20</v>
      </c>
      <c r="B112" s="9" t="s">
        <v>262</v>
      </c>
      <c r="C112" s="9" t="s">
        <v>20</v>
      </c>
      <c r="D112" s="9" t="s">
        <v>263</v>
      </c>
      <c r="E112" s="9" t="s">
        <v>158</v>
      </c>
      <c r="F112" s="10">
        <v>12000</v>
      </c>
      <c r="G112" s="11">
        <v>121.04</v>
      </c>
      <c r="H112" s="11">
        <v>0.02</v>
      </c>
      <c r="I112" s="12" t="s">
        <v>20</v>
      </c>
      <c r="J112" s="12" t="s">
        <v>20</v>
      </c>
      <c r="K112" s="13">
        <v>0.02</v>
      </c>
      <c r="L112" s="13">
        <v>0</v>
      </c>
    </row>
    <row r="113" spans="1:12" x14ac:dyDescent="0.25">
      <c r="A113" s="8" t="s">
        <v>20</v>
      </c>
      <c r="B113" s="9" t="s">
        <v>264</v>
      </c>
      <c r="C113" s="9" t="s">
        <v>20</v>
      </c>
      <c r="D113" s="9" t="s">
        <v>265</v>
      </c>
      <c r="E113" s="9" t="s">
        <v>266</v>
      </c>
      <c r="F113" s="10">
        <v>127500</v>
      </c>
      <c r="G113" s="11">
        <v>105.7</v>
      </c>
      <c r="H113" s="11">
        <v>0.02</v>
      </c>
      <c r="I113" s="12" t="s">
        <v>20</v>
      </c>
      <c r="J113" s="12" t="s">
        <v>20</v>
      </c>
      <c r="K113" s="13">
        <v>0.02</v>
      </c>
      <c r="L113" s="13">
        <v>0</v>
      </c>
    </row>
    <row r="114" spans="1:12" x14ac:dyDescent="0.25">
      <c r="A114" s="8" t="s">
        <v>20</v>
      </c>
      <c r="B114" s="9" t="s">
        <v>267</v>
      </c>
      <c r="C114" s="9" t="s">
        <v>20</v>
      </c>
      <c r="D114" s="9" t="s">
        <v>268</v>
      </c>
      <c r="E114" s="9" t="s">
        <v>55</v>
      </c>
      <c r="F114" s="10">
        <v>16200</v>
      </c>
      <c r="G114" s="11">
        <v>84.22</v>
      </c>
      <c r="H114" s="11">
        <v>0.02</v>
      </c>
      <c r="I114" s="12" t="s">
        <v>20</v>
      </c>
      <c r="J114" s="12" t="s">
        <v>20</v>
      </c>
      <c r="K114" s="13">
        <v>0.02</v>
      </c>
      <c r="L114" s="13">
        <v>0</v>
      </c>
    </row>
    <row r="115" spans="1:12" x14ac:dyDescent="0.25">
      <c r="A115" s="8" t="s">
        <v>20</v>
      </c>
      <c r="B115" s="9" t="s">
        <v>269</v>
      </c>
      <c r="C115" s="9" t="s">
        <v>20</v>
      </c>
      <c r="D115" s="9" t="s">
        <v>270</v>
      </c>
      <c r="E115" s="9" t="s">
        <v>131</v>
      </c>
      <c r="F115" s="10">
        <v>28600</v>
      </c>
      <c r="G115" s="11">
        <v>63.68</v>
      </c>
      <c r="H115" s="11">
        <v>0.01</v>
      </c>
      <c r="I115" s="12" t="s">
        <v>20</v>
      </c>
      <c r="J115" s="12" t="s">
        <v>20</v>
      </c>
      <c r="K115" s="13">
        <v>0.01</v>
      </c>
      <c r="L115" s="13">
        <v>0</v>
      </c>
    </row>
    <row r="116" spans="1:12" x14ac:dyDescent="0.25">
      <c r="A116" s="8" t="s">
        <v>20</v>
      </c>
      <c r="B116" s="9" t="s">
        <v>271</v>
      </c>
      <c r="C116" s="9" t="s">
        <v>20</v>
      </c>
      <c r="D116" s="9" t="s">
        <v>272</v>
      </c>
      <c r="E116" s="9" t="s">
        <v>273</v>
      </c>
      <c r="F116" s="10">
        <v>3670</v>
      </c>
      <c r="G116" s="11">
        <v>53.12</v>
      </c>
      <c r="H116" s="11">
        <v>0.01</v>
      </c>
      <c r="I116" s="12" t="s">
        <v>20</v>
      </c>
      <c r="J116" s="12" t="s">
        <v>20</v>
      </c>
      <c r="K116" s="13">
        <v>0.01</v>
      </c>
      <c r="L116" s="13">
        <v>0</v>
      </c>
    </row>
    <row r="117" spans="1:12" x14ac:dyDescent="0.25">
      <c r="A117" s="8" t="s">
        <v>20</v>
      </c>
      <c r="B117" s="9" t="s">
        <v>274</v>
      </c>
      <c r="C117" s="9" t="s">
        <v>20</v>
      </c>
      <c r="D117" s="9" t="s">
        <v>275</v>
      </c>
      <c r="E117" s="9" t="s">
        <v>243</v>
      </c>
      <c r="F117" s="10">
        <v>74100</v>
      </c>
      <c r="G117" s="11">
        <v>76.55</v>
      </c>
      <c r="H117" s="11">
        <v>0.01</v>
      </c>
      <c r="I117" s="12" t="s">
        <v>20</v>
      </c>
      <c r="J117" s="12" t="s">
        <v>20</v>
      </c>
      <c r="K117" s="13">
        <v>0.01</v>
      </c>
      <c r="L117" s="13">
        <v>0</v>
      </c>
    </row>
    <row r="118" spans="1:12" x14ac:dyDescent="0.25">
      <c r="A118" s="8" t="s">
        <v>20</v>
      </c>
      <c r="B118" s="9" t="s">
        <v>276</v>
      </c>
      <c r="C118" s="9" t="s">
        <v>20</v>
      </c>
      <c r="D118" s="9" t="s">
        <v>277</v>
      </c>
      <c r="E118" s="9" t="s">
        <v>32</v>
      </c>
      <c r="F118" s="10">
        <v>9750</v>
      </c>
      <c r="G118" s="11">
        <v>60.13</v>
      </c>
      <c r="H118" s="11">
        <v>0.01</v>
      </c>
      <c r="I118" s="12" t="s">
        <v>20</v>
      </c>
      <c r="J118" s="12" t="s">
        <v>20</v>
      </c>
      <c r="K118" s="13">
        <v>0.01</v>
      </c>
      <c r="L118" s="13">
        <v>0</v>
      </c>
    </row>
    <row r="119" spans="1:12" x14ac:dyDescent="0.25">
      <c r="A119" s="8" t="s">
        <v>20</v>
      </c>
      <c r="B119" s="9" t="s">
        <v>278</v>
      </c>
      <c r="C119" s="9" t="s">
        <v>20</v>
      </c>
      <c r="D119" s="9" t="s">
        <v>279</v>
      </c>
      <c r="E119" s="9" t="s">
        <v>115</v>
      </c>
      <c r="F119" s="10">
        <v>13500</v>
      </c>
      <c r="G119" s="11">
        <v>38.56</v>
      </c>
      <c r="H119" s="11">
        <v>0.01</v>
      </c>
      <c r="I119" s="12" t="s">
        <v>20</v>
      </c>
      <c r="J119" s="12" t="s">
        <v>20</v>
      </c>
      <c r="K119" s="13">
        <v>0.01</v>
      </c>
      <c r="L119" s="13">
        <v>0</v>
      </c>
    </row>
    <row r="120" spans="1:12" x14ac:dyDescent="0.25">
      <c r="A120" s="8" t="s">
        <v>20</v>
      </c>
      <c r="B120" s="9" t="s">
        <v>280</v>
      </c>
      <c r="C120" s="9" t="s">
        <v>20</v>
      </c>
      <c r="D120" s="9" t="s">
        <v>281</v>
      </c>
      <c r="E120" s="9" t="s">
        <v>41</v>
      </c>
      <c r="F120" s="10">
        <v>1750</v>
      </c>
      <c r="G120" s="11">
        <v>57.77</v>
      </c>
      <c r="H120" s="11">
        <v>0.01</v>
      </c>
      <c r="I120" s="12" t="s">
        <v>20</v>
      </c>
      <c r="J120" s="12" t="s">
        <v>20</v>
      </c>
      <c r="K120" s="13">
        <v>0.01</v>
      </c>
      <c r="L120" s="13">
        <v>0</v>
      </c>
    </row>
    <row r="121" spans="1:12" x14ac:dyDescent="0.25">
      <c r="A121" s="8" t="s">
        <v>20</v>
      </c>
      <c r="B121" s="9" t="s">
        <v>282</v>
      </c>
      <c r="C121" s="9" t="s">
        <v>20</v>
      </c>
      <c r="D121" s="9" t="s">
        <v>283</v>
      </c>
      <c r="E121" s="9" t="s">
        <v>22</v>
      </c>
      <c r="F121" s="10">
        <v>39000</v>
      </c>
      <c r="G121" s="11">
        <v>31.75</v>
      </c>
      <c r="H121" s="11">
        <v>0.01</v>
      </c>
      <c r="I121" s="12" t="s">
        <v>20</v>
      </c>
      <c r="J121" s="12" t="s">
        <v>20</v>
      </c>
      <c r="K121" s="13">
        <v>0.01</v>
      </c>
      <c r="L121" s="13">
        <v>0</v>
      </c>
    </row>
    <row r="122" spans="1:12" x14ac:dyDescent="0.25">
      <c r="A122" s="8" t="s">
        <v>20</v>
      </c>
      <c r="B122" s="9" t="s">
        <v>284</v>
      </c>
      <c r="C122" s="9" t="s">
        <v>20</v>
      </c>
      <c r="D122" s="9" t="s">
        <v>285</v>
      </c>
      <c r="E122" s="9" t="s">
        <v>173</v>
      </c>
      <c r="F122" s="10">
        <v>3200</v>
      </c>
      <c r="G122" s="11">
        <v>40.049999999999997</v>
      </c>
      <c r="H122" s="11">
        <v>0.01</v>
      </c>
      <c r="I122" s="12" t="s">
        <v>20</v>
      </c>
      <c r="J122" s="12" t="s">
        <v>20</v>
      </c>
      <c r="K122" s="13">
        <v>0.01</v>
      </c>
      <c r="L122" s="13">
        <v>0</v>
      </c>
    </row>
    <row r="123" spans="1:12" x14ac:dyDescent="0.25">
      <c r="A123" s="8" t="s">
        <v>20</v>
      </c>
      <c r="B123" s="9" t="s">
        <v>286</v>
      </c>
      <c r="C123" s="9" t="s">
        <v>20</v>
      </c>
      <c r="D123" s="9" t="s">
        <v>287</v>
      </c>
      <c r="E123" s="9" t="s">
        <v>58</v>
      </c>
      <c r="F123" s="10">
        <v>1925</v>
      </c>
      <c r="G123" s="11">
        <v>34.93</v>
      </c>
      <c r="H123" s="11">
        <v>0.01</v>
      </c>
      <c r="I123" s="12" t="s">
        <v>20</v>
      </c>
      <c r="J123" s="12" t="s">
        <v>20</v>
      </c>
      <c r="K123" s="13">
        <v>0.01</v>
      </c>
      <c r="L123" s="13">
        <v>0</v>
      </c>
    </row>
    <row r="124" spans="1:12" x14ac:dyDescent="0.25">
      <c r="A124" s="8" t="s">
        <v>20</v>
      </c>
      <c r="B124" s="9" t="s">
        <v>288</v>
      </c>
      <c r="C124" s="9" t="s">
        <v>20</v>
      </c>
      <c r="D124" s="9" t="s">
        <v>289</v>
      </c>
      <c r="E124" s="9" t="s">
        <v>58</v>
      </c>
      <c r="F124" s="10">
        <v>6600</v>
      </c>
      <c r="G124" s="11">
        <v>67.56</v>
      </c>
      <c r="H124" s="11">
        <v>0.01</v>
      </c>
      <c r="I124" s="12" t="s">
        <v>20</v>
      </c>
      <c r="J124" s="12" t="s">
        <v>20</v>
      </c>
      <c r="K124" s="13">
        <v>0.01</v>
      </c>
      <c r="L124" s="13">
        <v>0</v>
      </c>
    </row>
    <row r="125" spans="1:12" x14ac:dyDescent="0.25">
      <c r="A125" s="8" t="s">
        <v>20</v>
      </c>
      <c r="B125" s="9" t="s">
        <v>290</v>
      </c>
      <c r="C125" s="9" t="s">
        <v>20</v>
      </c>
      <c r="D125" s="9" t="s">
        <v>291</v>
      </c>
      <c r="E125" s="9" t="s">
        <v>25</v>
      </c>
      <c r="F125" s="10">
        <v>11700</v>
      </c>
      <c r="G125" s="11">
        <v>21.97</v>
      </c>
      <c r="H125" s="11" t="s">
        <v>292</v>
      </c>
      <c r="I125" s="12" t="s">
        <v>20</v>
      </c>
      <c r="J125" s="12" t="s">
        <v>20</v>
      </c>
      <c r="K125" s="11" t="s">
        <v>292</v>
      </c>
      <c r="L125" s="11" t="s">
        <v>292</v>
      </c>
    </row>
    <row r="126" spans="1:12" x14ac:dyDescent="0.25">
      <c r="A126" s="14"/>
      <c r="B126" s="7" t="s">
        <v>293</v>
      </c>
      <c r="C126" s="14"/>
      <c r="D126" s="14"/>
      <c r="E126" s="14"/>
      <c r="F126" s="14"/>
      <c r="G126" s="15">
        <v>372471.60000000015</v>
      </c>
      <c r="H126" s="15">
        <v>68.81</v>
      </c>
      <c r="I126" s="14"/>
      <c r="J126" s="14"/>
      <c r="K126" s="14"/>
      <c r="L126" s="14"/>
    </row>
    <row r="127" spans="1:12" x14ac:dyDescent="0.25">
      <c r="A127" s="6"/>
      <c r="B127" s="7" t="s">
        <v>294</v>
      </c>
      <c r="C127" s="6"/>
      <c r="D127" s="6"/>
      <c r="E127" s="6"/>
      <c r="F127" s="6"/>
      <c r="G127" s="15">
        <v>372471.60000000015</v>
      </c>
      <c r="H127" s="15">
        <v>68.81</v>
      </c>
      <c r="I127" s="6"/>
      <c r="J127" s="6"/>
      <c r="K127" s="6"/>
      <c r="L127" s="6"/>
    </row>
    <row r="128" spans="1:12" x14ac:dyDescent="0.25">
      <c r="A128" s="6"/>
      <c r="B128" s="7" t="s">
        <v>295</v>
      </c>
      <c r="C128" s="6"/>
      <c r="D128" s="6"/>
      <c r="E128" s="6"/>
      <c r="F128" s="6"/>
      <c r="G128" s="6"/>
      <c r="H128" s="6"/>
      <c r="I128" s="6"/>
      <c r="J128" s="6"/>
      <c r="K128" s="6"/>
      <c r="L128" s="6"/>
    </row>
    <row r="129" spans="1:12" x14ac:dyDescent="0.25">
      <c r="A129" s="6"/>
      <c r="B129" s="7" t="s">
        <v>16</v>
      </c>
      <c r="C129" s="6"/>
      <c r="D129" s="6"/>
      <c r="E129" s="6"/>
      <c r="F129" s="6"/>
      <c r="G129" s="6"/>
      <c r="H129" s="6"/>
      <c r="I129" s="6"/>
      <c r="J129" s="6"/>
      <c r="K129" s="6"/>
      <c r="L129" s="6"/>
    </row>
    <row r="130" spans="1:12" x14ac:dyDescent="0.25">
      <c r="A130" s="6"/>
      <c r="B130" s="7" t="s">
        <v>296</v>
      </c>
      <c r="C130" s="6"/>
      <c r="D130" s="6"/>
      <c r="E130" s="6"/>
      <c r="F130" s="6"/>
      <c r="G130" s="6"/>
      <c r="H130" s="6"/>
      <c r="I130" s="6"/>
      <c r="J130" s="6"/>
      <c r="K130" s="6"/>
      <c r="L130" s="6"/>
    </row>
    <row r="131" spans="1:12" x14ac:dyDescent="0.25">
      <c r="A131" s="8" t="s">
        <v>20</v>
      </c>
      <c r="B131" s="9" t="s">
        <v>297</v>
      </c>
      <c r="C131" s="9">
        <v>4.26</v>
      </c>
      <c r="D131" s="9" t="s">
        <v>298</v>
      </c>
      <c r="E131" s="9" t="s">
        <v>299</v>
      </c>
      <c r="F131" s="10">
        <v>1000000</v>
      </c>
      <c r="G131" s="11">
        <v>998.9</v>
      </c>
      <c r="H131" s="11">
        <v>0.18</v>
      </c>
      <c r="I131" s="12">
        <v>6.7126999999999999</v>
      </c>
      <c r="J131" s="12" t="s">
        <v>20</v>
      </c>
      <c r="K131" s="13" t="s">
        <v>20</v>
      </c>
      <c r="L131" s="13" t="s">
        <v>20</v>
      </c>
    </row>
    <row r="132" spans="1:12" x14ac:dyDescent="0.25">
      <c r="A132" s="6"/>
      <c r="B132" s="7" t="s">
        <v>300</v>
      </c>
      <c r="C132" s="6"/>
      <c r="D132" s="6"/>
      <c r="E132" s="6"/>
      <c r="F132" s="6"/>
      <c r="G132" s="6"/>
      <c r="H132" s="6"/>
      <c r="I132" s="6"/>
      <c r="J132" s="6"/>
      <c r="K132" s="6"/>
      <c r="L132" s="6"/>
    </row>
    <row r="133" spans="1:12" x14ac:dyDescent="0.25">
      <c r="A133" s="8" t="s">
        <v>20</v>
      </c>
      <c r="B133" s="9" t="s">
        <v>301</v>
      </c>
      <c r="C133" s="9">
        <v>5.4</v>
      </c>
      <c r="D133" s="9" t="s">
        <v>302</v>
      </c>
      <c r="E133" s="9" t="s">
        <v>303</v>
      </c>
      <c r="F133" s="10">
        <v>1000</v>
      </c>
      <c r="G133" s="11">
        <v>9935.9500000000007</v>
      </c>
      <c r="H133" s="11">
        <v>1.83</v>
      </c>
      <c r="I133" s="12">
        <v>7.45</v>
      </c>
      <c r="J133" s="12" t="s">
        <v>20</v>
      </c>
      <c r="K133" s="13" t="s">
        <v>20</v>
      </c>
      <c r="L133" s="13" t="s">
        <v>20</v>
      </c>
    </row>
    <row r="134" spans="1:12" x14ac:dyDescent="0.25">
      <c r="A134" s="8" t="s">
        <v>20</v>
      </c>
      <c r="B134" s="9" t="s">
        <v>304</v>
      </c>
      <c r="C134" s="9">
        <v>9.8000000000000007</v>
      </c>
      <c r="D134" s="9" t="s">
        <v>305</v>
      </c>
      <c r="E134" s="9" t="s">
        <v>303</v>
      </c>
      <c r="F134" s="10">
        <v>500</v>
      </c>
      <c r="G134" s="11">
        <v>5027.7700000000004</v>
      </c>
      <c r="H134" s="11">
        <v>0.93</v>
      </c>
      <c r="I134" s="12">
        <v>7.7249999999999996</v>
      </c>
      <c r="J134" s="12" t="s">
        <v>20</v>
      </c>
      <c r="K134" s="13" t="s">
        <v>20</v>
      </c>
      <c r="L134" s="13" t="s">
        <v>20</v>
      </c>
    </row>
    <row r="135" spans="1:12" x14ac:dyDescent="0.25">
      <c r="A135" s="14"/>
      <c r="B135" s="7" t="s">
        <v>293</v>
      </c>
      <c r="C135" s="14"/>
      <c r="D135" s="14"/>
      <c r="E135" s="14"/>
      <c r="F135" s="14"/>
      <c r="G135" s="15">
        <v>15962.62</v>
      </c>
      <c r="H135" s="15">
        <v>2.9400000000000004</v>
      </c>
      <c r="I135" s="14"/>
      <c r="J135" s="14"/>
      <c r="K135" s="14"/>
      <c r="L135" s="14"/>
    </row>
    <row r="136" spans="1:12" x14ac:dyDescent="0.25">
      <c r="A136" s="6"/>
      <c r="B136" s="7" t="s">
        <v>294</v>
      </c>
      <c r="C136" s="6"/>
      <c r="D136" s="6"/>
      <c r="E136" s="6"/>
      <c r="F136" s="6"/>
      <c r="G136" s="15">
        <v>15962.62</v>
      </c>
      <c r="H136" s="15">
        <v>2.9400000000000004</v>
      </c>
      <c r="I136" s="6"/>
      <c r="J136" s="6"/>
      <c r="K136" s="6"/>
      <c r="L136" s="6"/>
    </row>
    <row r="137" spans="1:12" x14ac:dyDescent="0.25">
      <c r="A137" s="6"/>
      <c r="B137" s="7" t="s">
        <v>306</v>
      </c>
      <c r="C137" s="6"/>
      <c r="D137" s="6"/>
      <c r="E137" s="6"/>
      <c r="F137" s="6"/>
      <c r="G137" s="6"/>
      <c r="H137" s="6"/>
      <c r="I137" s="6"/>
      <c r="J137" s="6"/>
      <c r="K137" s="6"/>
      <c r="L137" s="6"/>
    </row>
    <row r="138" spans="1:12" x14ac:dyDescent="0.25">
      <c r="A138" s="6"/>
      <c r="B138" s="7" t="s">
        <v>307</v>
      </c>
      <c r="C138" s="6"/>
      <c r="D138" s="6"/>
      <c r="E138" s="6"/>
      <c r="F138" s="6"/>
      <c r="G138" s="6"/>
      <c r="H138" s="6"/>
      <c r="I138" s="6"/>
      <c r="J138" s="6"/>
      <c r="K138" s="6"/>
      <c r="L138" s="6"/>
    </row>
    <row r="139" spans="1:12" x14ac:dyDescent="0.25">
      <c r="A139" s="8" t="s">
        <v>20</v>
      </c>
      <c r="B139" s="9" t="s">
        <v>308</v>
      </c>
      <c r="C139" s="9" t="s">
        <v>20</v>
      </c>
      <c r="D139" s="9" t="s">
        <v>309</v>
      </c>
      <c r="E139" s="9" t="s">
        <v>310</v>
      </c>
      <c r="F139" s="10">
        <v>500</v>
      </c>
      <c r="G139" s="11">
        <v>2396.6999999999998</v>
      </c>
      <c r="H139" s="11">
        <v>0.44</v>
      </c>
      <c r="I139" s="12">
        <v>7.25</v>
      </c>
      <c r="J139" s="12" t="s">
        <v>20</v>
      </c>
      <c r="K139" s="13" t="s">
        <v>20</v>
      </c>
      <c r="L139" s="13" t="s">
        <v>20</v>
      </c>
    </row>
    <row r="140" spans="1:12" x14ac:dyDescent="0.25">
      <c r="A140" s="6"/>
      <c r="B140" s="7" t="s">
        <v>311</v>
      </c>
      <c r="C140" s="6"/>
      <c r="D140" s="6"/>
      <c r="E140" s="6"/>
      <c r="F140" s="6"/>
      <c r="G140" s="6"/>
      <c r="H140" s="6"/>
      <c r="I140" s="6"/>
      <c r="J140" s="6"/>
      <c r="K140" s="6"/>
      <c r="L140" s="6"/>
    </row>
    <row r="141" spans="1:12" x14ac:dyDescent="0.25">
      <c r="A141" s="8" t="s">
        <v>20</v>
      </c>
      <c r="B141" s="9" t="s">
        <v>20</v>
      </c>
      <c r="C141" s="9" t="s">
        <v>20</v>
      </c>
      <c r="D141" s="9" t="s">
        <v>311</v>
      </c>
      <c r="E141" s="9" t="s">
        <v>20</v>
      </c>
      <c r="F141" s="10" t="s">
        <v>20</v>
      </c>
      <c r="G141" s="11">
        <v>44006.86</v>
      </c>
      <c r="H141" s="11">
        <v>8.1199999999999992</v>
      </c>
      <c r="I141" s="12">
        <v>6.7972999999999999</v>
      </c>
      <c r="J141" s="12" t="s">
        <v>20</v>
      </c>
      <c r="K141" s="13" t="s">
        <v>20</v>
      </c>
      <c r="L141" s="13" t="s">
        <v>20</v>
      </c>
    </row>
    <row r="142" spans="1:12" x14ac:dyDescent="0.25">
      <c r="A142" s="6"/>
      <c r="B142" s="7" t="s">
        <v>312</v>
      </c>
      <c r="C142" s="6"/>
      <c r="D142" s="6"/>
      <c r="E142" s="6"/>
      <c r="F142" s="6"/>
      <c r="G142" s="6"/>
      <c r="H142" s="6"/>
      <c r="I142" s="6"/>
      <c r="J142" s="6"/>
      <c r="K142" s="6"/>
      <c r="L142" s="6"/>
    </row>
    <row r="143" spans="1:12" x14ac:dyDescent="0.25">
      <c r="A143" s="8" t="s">
        <v>20</v>
      </c>
      <c r="B143" s="9" t="s">
        <v>20</v>
      </c>
      <c r="C143" s="9" t="s">
        <v>20</v>
      </c>
      <c r="D143" s="9" t="s">
        <v>312</v>
      </c>
      <c r="E143" s="9" t="s">
        <v>20</v>
      </c>
      <c r="F143" s="10" t="s">
        <v>20</v>
      </c>
      <c r="G143" s="11">
        <v>11290.82</v>
      </c>
      <c r="H143" s="11">
        <v>2.08</v>
      </c>
      <c r="I143" s="12">
        <v>6.8441000000000001</v>
      </c>
      <c r="J143" s="12" t="s">
        <v>20</v>
      </c>
      <c r="K143" s="13" t="s">
        <v>20</v>
      </c>
      <c r="L143" s="13" t="s">
        <v>20</v>
      </c>
    </row>
    <row r="144" spans="1:12" x14ac:dyDescent="0.25">
      <c r="A144" s="14"/>
      <c r="B144" s="7" t="s">
        <v>293</v>
      </c>
      <c r="C144" s="14"/>
      <c r="D144" s="14"/>
      <c r="E144" s="14"/>
      <c r="F144" s="14"/>
      <c r="G144" s="15">
        <v>57694.38</v>
      </c>
      <c r="H144" s="15">
        <v>10.639999999999999</v>
      </c>
      <c r="I144" s="14"/>
      <c r="J144" s="14"/>
      <c r="K144" s="14"/>
      <c r="L144" s="14"/>
    </row>
    <row r="145" spans="1:12" x14ac:dyDescent="0.25">
      <c r="A145" s="6"/>
      <c r="B145" s="7" t="s">
        <v>294</v>
      </c>
      <c r="C145" s="6"/>
      <c r="D145" s="6"/>
      <c r="E145" s="6"/>
      <c r="F145" s="6"/>
      <c r="G145" s="15">
        <v>57694.38</v>
      </c>
      <c r="H145" s="15">
        <v>10.639999999999999</v>
      </c>
      <c r="I145" s="6"/>
      <c r="J145" s="6"/>
      <c r="K145" s="6"/>
      <c r="L145" s="6"/>
    </row>
    <row r="146" spans="1:12" x14ac:dyDescent="0.25">
      <c r="A146" s="6"/>
      <c r="B146" s="7" t="s">
        <v>313</v>
      </c>
      <c r="C146" s="6"/>
      <c r="D146" s="6"/>
      <c r="E146" s="6"/>
      <c r="F146" s="6"/>
      <c r="G146" s="6"/>
      <c r="H146" s="6"/>
      <c r="I146" s="6"/>
      <c r="J146" s="6"/>
      <c r="K146" s="6"/>
      <c r="L146" s="6"/>
    </row>
    <row r="147" spans="1:12" x14ac:dyDescent="0.25">
      <c r="A147" s="6"/>
      <c r="B147" s="7" t="s">
        <v>314</v>
      </c>
      <c r="C147" s="6"/>
      <c r="D147" s="6"/>
      <c r="E147" s="6"/>
      <c r="F147" s="6"/>
      <c r="G147" s="6"/>
      <c r="H147" s="6"/>
      <c r="I147" s="6"/>
      <c r="J147" s="6"/>
      <c r="K147" s="6"/>
      <c r="L147" s="6"/>
    </row>
    <row r="148" spans="1:12" x14ac:dyDescent="0.25">
      <c r="A148" s="8" t="s">
        <v>18</v>
      </c>
      <c r="B148" s="9" t="s">
        <v>315</v>
      </c>
      <c r="C148" s="9" t="s">
        <v>20</v>
      </c>
      <c r="D148" s="9" t="s">
        <v>316</v>
      </c>
      <c r="E148" s="9" t="s">
        <v>20</v>
      </c>
      <c r="F148" s="10">
        <v>1287370.8529999999</v>
      </c>
      <c r="G148" s="11">
        <v>63795.03</v>
      </c>
      <c r="H148" s="11">
        <v>11.78</v>
      </c>
      <c r="I148" s="12" t="s">
        <v>20</v>
      </c>
      <c r="J148" s="12" t="s">
        <v>20</v>
      </c>
      <c r="K148" s="13" t="s">
        <v>20</v>
      </c>
      <c r="L148" s="13" t="s">
        <v>20</v>
      </c>
    </row>
    <row r="149" spans="1:12" x14ac:dyDescent="0.25">
      <c r="A149" s="8" t="s">
        <v>18</v>
      </c>
      <c r="B149" s="9" t="s">
        <v>317</v>
      </c>
      <c r="C149" s="9" t="s">
        <v>20</v>
      </c>
      <c r="D149" s="9" t="s">
        <v>318</v>
      </c>
      <c r="E149" s="9" t="s">
        <v>20</v>
      </c>
      <c r="F149" s="10">
        <v>817126.35499999998</v>
      </c>
      <c r="G149" s="11">
        <v>36349.440000000002</v>
      </c>
      <c r="H149" s="11">
        <v>6.71</v>
      </c>
      <c r="I149" s="12" t="s">
        <v>20</v>
      </c>
      <c r="J149" s="12" t="s">
        <v>20</v>
      </c>
      <c r="K149" s="13" t="s">
        <v>20</v>
      </c>
      <c r="L149" s="13" t="s">
        <v>20</v>
      </c>
    </row>
    <row r="150" spans="1:12" x14ac:dyDescent="0.25">
      <c r="A150" s="6"/>
      <c r="B150" s="7" t="s">
        <v>319</v>
      </c>
      <c r="C150" s="6"/>
      <c r="D150" s="6"/>
      <c r="E150" s="6"/>
      <c r="F150" s="6"/>
      <c r="G150" s="6"/>
      <c r="H150" s="6"/>
      <c r="I150" s="6"/>
      <c r="J150" s="6"/>
      <c r="K150" s="6"/>
      <c r="L150" s="6"/>
    </row>
    <row r="151" spans="1:12" x14ac:dyDescent="0.25">
      <c r="A151" s="8" t="s">
        <v>20</v>
      </c>
      <c r="B151" s="9" t="s">
        <v>20</v>
      </c>
      <c r="C151" s="9" t="s">
        <v>20</v>
      </c>
      <c r="D151" s="9" t="s">
        <v>319</v>
      </c>
      <c r="E151" s="9" t="s">
        <v>20</v>
      </c>
      <c r="F151" s="10" t="s">
        <v>20</v>
      </c>
      <c r="G151" s="11">
        <v>-4646.82</v>
      </c>
      <c r="H151" s="11">
        <v>-0.88</v>
      </c>
      <c r="I151" s="12" t="s">
        <v>20</v>
      </c>
      <c r="J151" s="12" t="s">
        <v>20</v>
      </c>
      <c r="K151" s="13" t="s">
        <v>20</v>
      </c>
      <c r="L151" s="13" t="s">
        <v>20</v>
      </c>
    </row>
    <row r="152" spans="1:12" x14ac:dyDescent="0.25">
      <c r="A152" s="14"/>
      <c r="B152" s="7" t="s">
        <v>293</v>
      </c>
      <c r="C152" s="14"/>
      <c r="D152" s="14"/>
      <c r="E152" s="14"/>
      <c r="F152" s="14"/>
      <c r="G152" s="15">
        <v>95497.65</v>
      </c>
      <c r="H152" s="15">
        <v>17.61</v>
      </c>
      <c r="I152" s="14"/>
      <c r="J152" s="14"/>
      <c r="K152" s="14"/>
      <c r="L152" s="14"/>
    </row>
    <row r="153" spans="1:12" x14ac:dyDescent="0.25">
      <c r="A153" s="6"/>
      <c r="B153" s="7" t="s">
        <v>294</v>
      </c>
      <c r="C153" s="6"/>
      <c r="D153" s="6"/>
      <c r="E153" s="6"/>
      <c r="F153" s="6"/>
      <c r="G153" s="15">
        <v>95497.65</v>
      </c>
      <c r="H153" s="15">
        <v>17.61</v>
      </c>
      <c r="I153" s="6"/>
      <c r="J153" s="6"/>
      <c r="K153" s="6"/>
      <c r="L153" s="6"/>
    </row>
    <row r="154" spans="1:12" x14ac:dyDescent="0.25">
      <c r="A154" s="3"/>
      <c r="B154" s="3"/>
      <c r="C154" s="3"/>
      <c r="D154" s="3"/>
      <c r="E154" s="3"/>
      <c r="F154" s="3"/>
      <c r="G154" s="3"/>
      <c r="H154" s="3"/>
      <c r="I154" s="3"/>
      <c r="J154" s="3"/>
      <c r="K154" s="3"/>
      <c r="L154" s="3"/>
    </row>
    <row r="155" spans="1:12" x14ac:dyDescent="0.25">
      <c r="A155" s="3"/>
      <c r="B155" s="16" t="s">
        <v>320</v>
      </c>
      <c r="C155" s="3"/>
      <c r="D155" s="3"/>
      <c r="E155" s="3"/>
      <c r="F155" s="3"/>
      <c r="G155" s="17">
        <v>541626.25000000035</v>
      </c>
      <c r="H155" s="17">
        <v>100.00000000000001</v>
      </c>
      <c r="I155" s="3"/>
      <c r="J155" s="3"/>
      <c r="K155" s="3"/>
      <c r="L155" s="3"/>
    </row>
    <row r="156" spans="1:12" x14ac:dyDescent="0.25">
      <c r="A156" s="8" t="s">
        <v>18</v>
      </c>
      <c r="B156" s="37" t="s">
        <v>321</v>
      </c>
      <c r="C156" s="37" t="s">
        <v>321</v>
      </c>
      <c r="D156" s="37" t="s">
        <v>321</v>
      </c>
      <c r="E156" s="37" t="s">
        <v>321</v>
      </c>
      <c r="F156" s="37" t="s">
        <v>321</v>
      </c>
      <c r="G156" s="9"/>
      <c r="H156" s="9"/>
      <c r="I156" s="9"/>
      <c r="J156" s="9"/>
      <c r="K156" s="9"/>
      <c r="L156" s="9"/>
    </row>
    <row r="157" spans="1:12" x14ac:dyDescent="0.25">
      <c r="A157" s="9"/>
      <c r="B157" s="32" t="s">
        <v>322</v>
      </c>
      <c r="C157" s="32" t="s">
        <v>322</v>
      </c>
      <c r="D157" s="32" t="s">
        <v>322</v>
      </c>
      <c r="E157" s="32" t="s">
        <v>322</v>
      </c>
      <c r="F157" s="32" t="s">
        <v>322</v>
      </c>
      <c r="G157" s="9"/>
      <c r="H157" s="9"/>
      <c r="I157" s="9"/>
      <c r="J157" s="9"/>
      <c r="K157" s="9"/>
      <c r="L157" s="9"/>
    </row>
    <row r="158" spans="1:12" x14ac:dyDescent="0.25">
      <c r="A158" s="9"/>
      <c r="B158" s="32" t="s">
        <v>323</v>
      </c>
      <c r="C158" s="32" t="s">
        <v>323</v>
      </c>
      <c r="D158" s="32" t="s">
        <v>323</v>
      </c>
      <c r="E158" s="32" t="s">
        <v>323</v>
      </c>
      <c r="F158" s="32" t="s">
        <v>323</v>
      </c>
      <c r="G158" s="9"/>
      <c r="H158" s="9"/>
      <c r="I158" s="9"/>
      <c r="J158" s="9"/>
      <c r="K158" s="9"/>
      <c r="L158" s="9"/>
    </row>
    <row r="159" spans="1:12" x14ac:dyDescent="0.25">
      <c r="A159" s="9"/>
      <c r="B159" s="32" t="s">
        <v>324</v>
      </c>
      <c r="C159" s="32" t="s">
        <v>324</v>
      </c>
      <c r="D159" s="32" t="s">
        <v>324</v>
      </c>
      <c r="E159" s="32" t="s">
        <v>324</v>
      </c>
      <c r="F159" s="32" t="s">
        <v>324</v>
      </c>
      <c r="G159" s="9"/>
      <c r="H159" s="9"/>
      <c r="I159" s="9"/>
      <c r="J159" s="9"/>
      <c r="K159" s="9"/>
      <c r="L159" s="9"/>
    </row>
    <row r="160" spans="1:12" x14ac:dyDescent="0.25">
      <c r="A160" s="9"/>
      <c r="B160" s="32" t="s">
        <v>325</v>
      </c>
      <c r="C160" s="32" t="s">
        <v>325</v>
      </c>
      <c r="D160" s="32" t="s">
        <v>325</v>
      </c>
      <c r="E160" s="32" t="s">
        <v>325</v>
      </c>
      <c r="F160" s="32" t="s">
        <v>325</v>
      </c>
      <c r="G160" s="9"/>
      <c r="H160" s="9"/>
      <c r="I160" s="9"/>
      <c r="J160" s="9"/>
      <c r="K160" s="9"/>
      <c r="L160" s="9"/>
    </row>
    <row r="161" spans="1:12" x14ac:dyDescent="0.25">
      <c r="A161" s="9"/>
      <c r="B161" s="32" t="s">
        <v>326</v>
      </c>
      <c r="C161" s="32" t="s">
        <v>326</v>
      </c>
      <c r="D161" s="32" t="s">
        <v>326</v>
      </c>
      <c r="E161" s="32" t="s">
        <v>326</v>
      </c>
      <c r="F161" s="32" t="s">
        <v>326</v>
      </c>
      <c r="G161" s="9"/>
      <c r="H161" s="9"/>
      <c r="I161" s="9"/>
      <c r="J161" s="9"/>
      <c r="K161" s="9"/>
      <c r="L161" s="9"/>
    </row>
    <row r="162" spans="1:12" x14ac:dyDescent="0.25">
      <c r="A162" s="9"/>
      <c r="B162" s="32" t="s">
        <v>327</v>
      </c>
      <c r="C162" s="32" t="s">
        <v>327</v>
      </c>
      <c r="D162" s="32" t="s">
        <v>327</v>
      </c>
      <c r="E162" s="32" t="s">
        <v>327</v>
      </c>
      <c r="F162" s="32" t="s">
        <v>327</v>
      </c>
      <c r="G162" s="9"/>
      <c r="H162" s="9"/>
      <c r="I162" s="9"/>
      <c r="J162" s="9"/>
      <c r="K162" s="9"/>
      <c r="L162" s="9"/>
    </row>
    <row r="163" spans="1:12" x14ac:dyDescent="0.25">
      <c r="A163" s="9"/>
      <c r="B163" s="32" t="s">
        <v>328</v>
      </c>
      <c r="C163" s="32" t="s">
        <v>328</v>
      </c>
      <c r="D163" s="32" t="s">
        <v>328</v>
      </c>
      <c r="E163" s="32" t="s">
        <v>328</v>
      </c>
      <c r="F163" s="32" t="s">
        <v>328</v>
      </c>
      <c r="G163" s="9"/>
      <c r="H163" s="9"/>
      <c r="I163" s="9"/>
      <c r="J163" s="9"/>
      <c r="K163" s="9"/>
      <c r="L163" s="9"/>
    </row>
    <row r="164" spans="1:12" ht="30" customHeight="1" x14ac:dyDescent="0.25">
      <c r="A164" s="9"/>
      <c r="B164" s="33" t="s">
        <v>329</v>
      </c>
      <c r="C164" s="33" t="s">
        <v>329</v>
      </c>
      <c r="D164" s="33" t="s">
        <v>329</v>
      </c>
      <c r="E164" s="33" t="s">
        <v>329</v>
      </c>
      <c r="F164" s="33" t="s">
        <v>329</v>
      </c>
      <c r="G164" s="9"/>
      <c r="H164" s="9"/>
      <c r="I164" s="9"/>
      <c r="J164" s="9"/>
      <c r="K164" s="9"/>
      <c r="L164" s="9"/>
    </row>
    <row r="165" spans="1:12" x14ac:dyDescent="0.25">
      <c r="A165" s="9"/>
      <c r="B165" s="9"/>
      <c r="C165" s="9"/>
      <c r="D165" s="9"/>
      <c r="E165" s="9"/>
      <c r="F165" s="9"/>
      <c r="G165" s="9"/>
      <c r="H165" s="9"/>
    </row>
    <row r="166" spans="1:12" x14ac:dyDescent="0.25">
      <c r="A166" s="18"/>
      <c r="B166" s="19" t="s">
        <v>330</v>
      </c>
      <c r="C166" s="18"/>
      <c r="D166" s="18"/>
      <c r="E166" s="9"/>
      <c r="F166" s="9"/>
      <c r="G166" s="9"/>
      <c r="H166" s="9"/>
    </row>
    <row r="167" spans="1:12" x14ac:dyDescent="0.25">
      <c r="A167" s="18"/>
      <c r="B167" s="20" t="s">
        <v>243</v>
      </c>
      <c r="C167" s="21"/>
      <c r="D167" s="22">
        <v>0</v>
      </c>
      <c r="E167" s="9"/>
      <c r="F167" s="9"/>
      <c r="G167" s="9"/>
      <c r="H167" s="9"/>
    </row>
    <row r="168" spans="1:12" x14ac:dyDescent="0.25">
      <c r="A168" s="18"/>
      <c r="B168" s="20" t="s">
        <v>180</v>
      </c>
      <c r="C168" s="21"/>
      <c r="D168" s="22">
        <v>0</v>
      </c>
      <c r="E168" s="9"/>
      <c r="F168" s="9"/>
      <c r="G168" s="9"/>
      <c r="H168" s="9"/>
    </row>
    <row r="169" spans="1:12" x14ac:dyDescent="0.25">
      <c r="A169" s="18"/>
      <c r="B169" s="20" t="s">
        <v>220</v>
      </c>
      <c r="C169" s="21"/>
      <c r="D169" s="22">
        <v>0</v>
      </c>
      <c r="E169" s="9"/>
      <c r="F169" s="9"/>
      <c r="G169" s="9"/>
      <c r="H169" s="9"/>
    </row>
    <row r="170" spans="1:12" x14ac:dyDescent="0.25">
      <c r="A170" s="18"/>
      <c r="B170" s="20" t="s">
        <v>122</v>
      </c>
      <c r="C170" s="21"/>
      <c r="D170" s="22">
        <v>0</v>
      </c>
      <c r="E170" s="9"/>
      <c r="F170" s="9"/>
      <c r="G170" s="9"/>
      <c r="H170" s="9"/>
    </row>
    <row r="171" spans="1:12" x14ac:dyDescent="0.25">
      <c r="A171" s="18"/>
      <c r="B171" s="20" t="s">
        <v>86</v>
      </c>
      <c r="C171" s="21"/>
      <c r="D171" s="22">
        <v>0</v>
      </c>
      <c r="E171" s="9"/>
      <c r="F171" s="9"/>
      <c r="G171" s="9"/>
      <c r="H171" s="9"/>
    </row>
    <row r="172" spans="1:12" x14ac:dyDescent="0.25">
      <c r="A172" s="18"/>
      <c r="B172" s="20" t="s">
        <v>107</v>
      </c>
      <c r="C172" s="21"/>
      <c r="D172" s="22">
        <v>0</v>
      </c>
      <c r="E172" s="9"/>
      <c r="F172" s="9"/>
      <c r="G172" s="9"/>
      <c r="H172" s="9"/>
    </row>
    <row r="173" spans="1:12" x14ac:dyDescent="0.25">
      <c r="A173" s="18"/>
      <c r="B173" s="20" t="s">
        <v>91</v>
      </c>
      <c r="C173" s="21"/>
      <c r="D173" s="22">
        <v>0</v>
      </c>
      <c r="E173" s="9"/>
      <c r="F173" s="9"/>
      <c r="G173" s="9"/>
      <c r="H173" s="9"/>
    </row>
    <row r="174" spans="1:12" x14ac:dyDescent="0.25">
      <c r="A174" s="18"/>
      <c r="B174" s="20" t="s">
        <v>161</v>
      </c>
      <c r="C174" s="21"/>
      <c r="D174" s="22">
        <v>0</v>
      </c>
      <c r="E174" s="9"/>
      <c r="F174" s="9"/>
      <c r="G174" s="9"/>
      <c r="H174" s="9"/>
    </row>
    <row r="175" spans="1:12" x14ac:dyDescent="0.25">
      <c r="A175" s="18"/>
      <c r="B175" s="20" t="s">
        <v>115</v>
      </c>
      <c r="C175" s="21"/>
      <c r="D175" s="22">
        <v>0</v>
      </c>
      <c r="E175" s="9"/>
      <c r="F175" s="9"/>
      <c r="G175" s="9"/>
      <c r="H175" s="9"/>
    </row>
    <row r="176" spans="1:12" x14ac:dyDescent="0.25">
      <c r="A176" s="18"/>
      <c r="B176" s="20" t="s">
        <v>138</v>
      </c>
      <c r="C176" s="21"/>
      <c r="D176" s="22">
        <v>0</v>
      </c>
      <c r="E176" s="9"/>
      <c r="F176" s="9"/>
      <c r="G176" s="9"/>
      <c r="H176" s="9"/>
    </row>
    <row r="177" spans="1:8" x14ac:dyDescent="0.25">
      <c r="A177" s="18"/>
      <c r="B177" s="20" t="s">
        <v>158</v>
      </c>
      <c r="C177" s="21"/>
      <c r="D177" s="22">
        <v>0</v>
      </c>
      <c r="E177" s="9"/>
      <c r="F177" s="9"/>
      <c r="G177" s="9"/>
      <c r="H177" s="9"/>
    </row>
    <row r="178" spans="1:8" x14ac:dyDescent="0.25">
      <c r="A178" s="18"/>
      <c r="B178" s="20" t="s">
        <v>173</v>
      </c>
      <c r="C178" s="21"/>
      <c r="D178" s="22">
        <v>0</v>
      </c>
      <c r="E178" s="9"/>
      <c r="F178" s="9"/>
      <c r="G178" s="9"/>
      <c r="H178" s="9"/>
    </row>
    <row r="179" spans="1:8" x14ac:dyDescent="0.25">
      <c r="A179" s="18"/>
      <c r="B179" s="20" t="s">
        <v>273</v>
      </c>
      <c r="C179" s="21"/>
      <c r="D179" s="22">
        <v>0</v>
      </c>
      <c r="E179" s="9"/>
      <c r="F179" s="9"/>
      <c r="G179" s="9"/>
      <c r="H179" s="9"/>
    </row>
    <row r="180" spans="1:8" x14ac:dyDescent="0.25">
      <c r="A180" s="18"/>
      <c r="B180" s="20" t="s">
        <v>104</v>
      </c>
      <c r="C180" s="21"/>
      <c r="D180" s="22">
        <v>0</v>
      </c>
      <c r="E180" s="9"/>
      <c r="F180" s="9"/>
      <c r="G180" s="9"/>
      <c r="H180" s="9"/>
    </row>
    <row r="181" spans="1:8" x14ac:dyDescent="0.25">
      <c r="A181" s="18"/>
      <c r="B181" s="20" t="s">
        <v>191</v>
      </c>
      <c r="C181" s="21"/>
      <c r="D181" s="22">
        <v>0</v>
      </c>
      <c r="E181" s="9"/>
      <c r="F181" s="9"/>
      <c r="G181" s="9"/>
      <c r="H181" s="9"/>
    </row>
    <row r="182" spans="1:8" x14ac:dyDescent="0.25">
      <c r="A182" s="18"/>
      <c r="B182" s="20" t="s">
        <v>155</v>
      </c>
      <c r="C182" s="21"/>
      <c r="D182" s="22">
        <v>0</v>
      </c>
      <c r="E182" s="9"/>
      <c r="F182" s="9"/>
      <c r="G182" s="9"/>
      <c r="H182" s="9"/>
    </row>
    <row r="183" spans="1:8" x14ac:dyDescent="0.25">
      <c r="A183" s="18"/>
      <c r="B183" s="20" t="s">
        <v>266</v>
      </c>
      <c r="C183" s="21"/>
      <c r="D183" s="22">
        <v>0</v>
      </c>
      <c r="E183" s="9"/>
      <c r="F183" s="9"/>
      <c r="G183" s="9"/>
      <c r="H183" s="9"/>
    </row>
    <row r="184" spans="1:8" x14ac:dyDescent="0.25">
      <c r="A184" s="18"/>
      <c r="B184" s="20" t="s">
        <v>207</v>
      </c>
      <c r="C184" s="21"/>
      <c r="D184" s="22">
        <v>0</v>
      </c>
      <c r="E184" s="9"/>
      <c r="F184" s="9"/>
      <c r="G184" s="9"/>
      <c r="H184" s="9"/>
    </row>
    <row r="185" spans="1:8" x14ac:dyDescent="0.25">
      <c r="A185" s="18"/>
      <c r="B185" s="20" t="s">
        <v>164</v>
      </c>
      <c r="C185" s="21"/>
      <c r="D185" s="22">
        <v>0</v>
      </c>
      <c r="E185" s="9"/>
      <c r="F185" s="9"/>
      <c r="G185" s="9"/>
      <c r="H185" s="9"/>
    </row>
    <row r="186" spans="1:8" x14ac:dyDescent="0.25">
      <c r="A186" s="18"/>
      <c r="B186" s="20" t="s">
        <v>131</v>
      </c>
      <c r="C186" s="21"/>
      <c r="D186" s="22">
        <v>0</v>
      </c>
      <c r="E186" s="9"/>
      <c r="F186" s="9"/>
      <c r="G186" s="9"/>
      <c r="H186" s="9"/>
    </row>
    <row r="187" spans="1:8" x14ac:dyDescent="0.25">
      <c r="A187" s="18"/>
      <c r="B187" s="20" t="s">
        <v>144</v>
      </c>
      <c r="C187" s="21"/>
      <c r="D187" s="22">
        <v>0</v>
      </c>
      <c r="E187" s="9"/>
      <c r="F187" s="9"/>
      <c r="G187" s="9"/>
      <c r="H187" s="9"/>
    </row>
    <row r="188" spans="1:8" x14ac:dyDescent="0.25">
      <c r="A188" s="18"/>
      <c r="B188" s="20" t="s">
        <v>194</v>
      </c>
      <c r="C188" s="21"/>
      <c r="D188" s="22">
        <v>0</v>
      </c>
      <c r="E188" s="9"/>
      <c r="F188" s="9"/>
      <c r="G188" s="9"/>
      <c r="H188" s="9"/>
    </row>
    <row r="189" spans="1:8" x14ac:dyDescent="0.25">
      <c r="A189" s="18"/>
      <c r="B189" s="20" t="s">
        <v>38</v>
      </c>
      <c r="C189" s="21"/>
      <c r="D189" s="22">
        <v>-9.9999999999997868E-3</v>
      </c>
      <c r="E189" s="9"/>
      <c r="F189" s="9"/>
      <c r="G189" s="9"/>
      <c r="H189" s="9"/>
    </row>
    <row r="190" spans="1:8" x14ac:dyDescent="0.25">
      <c r="A190" s="18"/>
      <c r="B190" s="20" t="s">
        <v>141</v>
      </c>
      <c r="C190" s="21"/>
      <c r="D190" s="22">
        <v>-9.999999999999995E-3</v>
      </c>
      <c r="E190" s="9"/>
      <c r="F190" s="9"/>
      <c r="G190" s="9"/>
      <c r="H190" s="9"/>
    </row>
    <row r="191" spans="1:8" x14ac:dyDescent="0.25">
      <c r="A191" s="18"/>
      <c r="B191" s="20" t="s">
        <v>112</v>
      </c>
      <c r="C191" s="21"/>
      <c r="D191" s="22">
        <v>-1.0000000000000009E-2</v>
      </c>
      <c r="E191" s="9"/>
      <c r="F191" s="9"/>
      <c r="G191" s="9"/>
      <c r="H191" s="9"/>
    </row>
    <row r="192" spans="1:8" x14ac:dyDescent="0.25">
      <c r="A192" s="18"/>
      <c r="B192" s="20" t="s">
        <v>61</v>
      </c>
      <c r="C192" s="21"/>
      <c r="D192" s="22">
        <v>-1.0000000000000009E-2</v>
      </c>
      <c r="E192" s="9"/>
      <c r="F192" s="9"/>
      <c r="G192" s="9"/>
      <c r="H192" s="9"/>
    </row>
    <row r="193" spans="1:8" x14ac:dyDescent="0.25">
      <c r="A193" s="18"/>
      <c r="B193" s="20" t="s">
        <v>74</v>
      </c>
      <c r="C193" s="21"/>
      <c r="D193" s="22">
        <v>-1.0000000000000009E-2</v>
      </c>
      <c r="E193" s="9"/>
      <c r="F193" s="9"/>
      <c r="G193" s="9"/>
      <c r="H193" s="9"/>
    </row>
    <row r="194" spans="1:8" x14ac:dyDescent="0.25">
      <c r="A194" s="18"/>
      <c r="B194" s="20" t="s">
        <v>58</v>
      </c>
      <c r="C194" s="21"/>
      <c r="D194" s="22">
        <v>-1.0000000000000009E-2</v>
      </c>
      <c r="E194" s="9"/>
      <c r="F194" s="9"/>
      <c r="G194" s="9"/>
      <c r="H194" s="9"/>
    </row>
    <row r="195" spans="1:8" x14ac:dyDescent="0.25">
      <c r="A195" s="18"/>
      <c r="B195" s="20" t="s">
        <v>55</v>
      </c>
      <c r="C195" s="21"/>
      <c r="D195" s="22">
        <v>-1.0000000000000009E-2</v>
      </c>
      <c r="E195" s="9"/>
      <c r="F195" s="9"/>
      <c r="G195" s="9"/>
      <c r="H195" s="9"/>
    </row>
    <row r="196" spans="1:8" x14ac:dyDescent="0.25">
      <c r="A196" s="18"/>
      <c r="B196" s="20" t="s">
        <v>79</v>
      </c>
      <c r="C196" s="21"/>
      <c r="D196" s="22">
        <v>-1.0000000000000009E-2</v>
      </c>
      <c r="E196" s="9"/>
      <c r="F196" s="9"/>
      <c r="G196" s="9"/>
      <c r="H196" s="9"/>
    </row>
    <row r="197" spans="1:8" x14ac:dyDescent="0.25">
      <c r="A197" s="18"/>
      <c r="B197" s="20" t="s">
        <v>52</v>
      </c>
      <c r="C197" s="21"/>
      <c r="D197" s="22">
        <v>-1.0000000000000009E-2</v>
      </c>
      <c r="E197" s="9"/>
      <c r="F197" s="9"/>
      <c r="G197" s="9"/>
      <c r="H197" s="9"/>
    </row>
    <row r="198" spans="1:8" x14ac:dyDescent="0.25">
      <c r="A198" s="18"/>
      <c r="B198" s="20" t="s">
        <v>47</v>
      </c>
      <c r="C198" s="21"/>
      <c r="D198" s="22">
        <v>-1.0000000000000231E-2</v>
      </c>
      <c r="E198" s="9"/>
      <c r="F198" s="9"/>
      <c r="G198" s="9"/>
      <c r="H198" s="9"/>
    </row>
    <row r="199" spans="1:8" x14ac:dyDescent="0.25">
      <c r="A199" s="18"/>
      <c r="B199" s="20" t="s">
        <v>35</v>
      </c>
      <c r="C199" s="21"/>
      <c r="D199" s="22">
        <v>-1.9999999999999574E-2</v>
      </c>
      <c r="E199" s="9"/>
      <c r="F199" s="9"/>
      <c r="G199" s="9"/>
      <c r="H199" s="9"/>
    </row>
    <row r="200" spans="1:8" x14ac:dyDescent="0.25">
      <c r="A200" s="18"/>
      <c r="B200" s="20" t="s">
        <v>32</v>
      </c>
      <c r="C200" s="21"/>
      <c r="D200" s="22">
        <v>-1.9999999999999796E-2</v>
      </c>
      <c r="E200" s="9"/>
      <c r="F200" s="9"/>
      <c r="G200" s="9"/>
      <c r="H200" s="9"/>
    </row>
    <row r="201" spans="1:8" x14ac:dyDescent="0.25">
      <c r="A201" s="18"/>
      <c r="B201" s="20" t="s">
        <v>44</v>
      </c>
      <c r="C201" s="21"/>
      <c r="D201" s="22">
        <v>-2.0000000000000226E-2</v>
      </c>
      <c r="E201" s="9"/>
      <c r="F201" s="9"/>
      <c r="G201" s="9"/>
      <c r="H201" s="9"/>
    </row>
    <row r="202" spans="1:8" x14ac:dyDescent="0.25">
      <c r="A202" s="18"/>
      <c r="B202" s="20" t="s">
        <v>22</v>
      </c>
      <c r="C202" s="21"/>
      <c r="D202" s="22">
        <v>-3.0000000000000249E-2</v>
      </c>
      <c r="E202" s="9"/>
      <c r="F202" s="9"/>
      <c r="G202" s="9"/>
      <c r="H202" s="9"/>
    </row>
    <row r="203" spans="1:8" x14ac:dyDescent="0.25">
      <c r="A203" s="18"/>
      <c r="B203" s="20" t="s">
        <v>41</v>
      </c>
      <c r="C203" s="21"/>
      <c r="D203" s="22">
        <v>-4.0000000000000036E-2</v>
      </c>
      <c r="E203" s="9"/>
      <c r="F203" s="9"/>
      <c r="G203" s="9"/>
      <c r="H203" s="9"/>
    </row>
    <row r="204" spans="1:8" x14ac:dyDescent="0.25">
      <c r="A204" s="18"/>
      <c r="B204" s="20" t="s">
        <v>25</v>
      </c>
      <c r="C204" s="21"/>
      <c r="D204" s="22">
        <v>-5.9999999999999165E-2</v>
      </c>
      <c r="E204" s="9"/>
      <c r="F204" s="9"/>
      <c r="G204" s="9"/>
      <c r="H204" s="9"/>
    </row>
    <row r="205" spans="1:8" x14ac:dyDescent="0.25">
      <c r="A205" s="18"/>
      <c r="B205" s="20" t="s">
        <v>331</v>
      </c>
      <c r="C205" s="21"/>
      <c r="D205" s="22">
        <v>69.100000000000023</v>
      </c>
      <c r="E205" s="9"/>
      <c r="F205" s="9"/>
      <c r="G205" s="9"/>
      <c r="H205" s="9"/>
    </row>
    <row r="206" spans="1:8" x14ac:dyDescent="0.25">
      <c r="A206" s="18"/>
      <c r="B206" s="20" t="s">
        <v>332</v>
      </c>
      <c r="C206" s="21"/>
      <c r="D206" s="22">
        <v>0.18</v>
      </c>
      <c r="E206" s="9"/>
      <c r="F206" s="9"/>
      <c r="G206" s="9"/>
      <c r="H206" s="9"/>
    </row>
    <row r="207" spans="1:8" x14ac:dyDescent="0.25">
      <c r="A207" s="18"/>
      <c r="B207" s="20" t="s">
        <v>333</v>
      </c>
      <c r="C207" s="21"/>
      <c r="D207" s="22">
        <v>0.44</v>
      </c>
      <c r="E207" s="9"/>
      <c r="F207" s="9"/>
      <c r="G207" s="9"/>
      <c r="H207" s="9"/>
    </row>
    <row r="208" spans="1:8" x14ac:dyDescent="0.25">
      <c r="A208" s="18"/>
      <c r="B208" s="20" t="s">
        <v>334</v>
      </c>
      <c r="C208" s="21"/>
      <c r="D208" s="22">
        <v>2.7600000000000002</v>
      </c>
      <c r="E208" s="9"/>
      <c r="F208" s="9"/>
      <c r="G208" s="9"/>
      <c r="H208" s="9"/>
    </row>
    <row r="209" spans="1:8" x14ac:dyDescent="0.25">
      <c r="A209" s="18"/>
      <c r="B209" s="20" t="s">
        <v>314</v>
      </c>
      <c r="C209" s="21"/>
      <c r="D209" s="22">
        <v>18.489999999999998</v>
      </c>
      <c r="E209" s="9"/>
      <c r="F209" s="9"/>
      <c r="G209" s="9"/>
      <c r="H209" s="9"/>
    </row>
    <row r="210" spans="1:8" x14ac:dyDescent="0.25">
      <c r="A210" s="18"/>
      <c r="B210" s="20" t="s">
        <v>335</v>
      </c>
      <c r="C210" s="21"/>
      <c r="D210" s="22">
        <v>9.32</v>
      </c>
      <c r="E210" s="9"/>
      <c r="F210" s="9"/>
      <c r="G210" s="9"/>
      <c r="H210" s="9"/>
    </row>
    <row r="211" spans="1:8" x14ac:dyDescent="0.25">
      <c r="A211" s="23"/>
      <c r="B211" s="23"/>
      <c r="C211" s="23"/>
      <c r="D211" s="23"/>
      <c r="E211" s="23"/>
      <c r="F211" s="23"/>
      <c r="G211" s="23"/>
      <c r="H211" s="23"/>
    </row>
    <row r="212" spans="1:8" x14ac:dyDescent="0.25">
      <c r="A212" s="23"/>
      <c r="B212" s="6" t="s">
        <v>336</v>
      </c>
      <c r="C212" s="23"/>
      <c r="D212" s="23"/>
      <c r="E212" s="23"/>
      <c r="F212" s="23"/>
      <c r="G212" s="23"/>
      <c r="H212" s="23"/>
    </row>
    <row r="213" spans="1:8" x14ac:dyDescent="0.25">
      <c r="A213" s="9"/>
      <c r="B213" s="9" t="s">
        <v>337</v>
      </c>
      <c r="C213" s="9"/>
      <c r="D213" s="9"/>
      <c r="E213" s="9"/>
      <c r="F213" s="9"/>
      <c r="G213" s="9"/>
      <c r="H213" s="23"/>
    </row>
    <row r="214" spans="1:8" x14ac:dyDescent="0.25">
      <c r="A214" s="9"/>
      <c r="B214" s="24" t="s">
        <v>338</v>
      </c>
      <c r="C214" s="25" t="s">
        <v>339</v>
      </c>
      <c r="D214" s="24" t="s">
        <v>340</v>
      </c>
      <c r="E214" s="9"/>
      <c r="F214" s="9"/>
      <c r="G214" s="9"/>
      <c r="H214" s="23"/>
    </row>
    <row r="215" spans="1:8" x14ac:dyDescent="0.25">
      <c r="A215" s="9"/>
      <c r="B215" s="6" t="s">
        <v>341</v>
      </c>
      <c r="C215" s="26">
        <v>19.013999999999999</v>
      </c>
      <c r="D215" s="26">
        <v>18.902999999999999</v>
      </c>
      <c r="E215" s="9"/>
      <c r="F215" s="9"/>
      <c r="G215" s="9"/>
      <c r="H215" s="23"/>
    </row>
    <row r="216" spans="1:8" x14ac:dyDescent="0.25">
      <c r="A216" s="9"/>
      <c r="B216" s="6" t="s">
        <v>342</v>
      </c>
      <c r="C216" s="26">
        <v>18.187999999999999</v>
      </c>
      <c r="D216" s="26">
        <v>18.082000000000001</v>
      </c>
      <c r="E216" s="9"/>
      <c r="F216" s="9"/>
      <c r="G216" s="9"/>
      <c r="H216" s="23"/>
    </row>
    <row r="217" spans="1:8" x14ac:dyDescent="0.25">
      <c r="A217" s="9"/>
      <c r="B217" s="6" t="s">
        <v>343</v>
      </c>
      <c r="C217" s="26">
        <v>20.536000000000001</v>
      </c>
      <c r="D217" s="26">
        <v>20.408000000000001</v>
      </c>
      <c r="E217" s="9"/>
      <c r="F217" s="9"/>
      <c r="G217" s="9"/>
      <c r="H217" s="23"/>
    </row>
    <row r="218" spans="1:8" x14ac:dyDescent="0.25">
      <c r="A218" s="9"/>
      <c r="B218" s="6" t="s">
        <v>344</v>
      </c>
      <c r="C218" s="26">
        <v>25.513000000000002</v>
      </c>
      <c r="D218" s="26">
        <v>25.452000000000002</v>
      </c>
      <c r="E218" s="9"/>
      <c r="F218" s="9"/>
      <c r="G218" s="9"/>
      <c r="H218" s="23"/>
    </row>
    <row r="219" spans="1:8" x14ac:dyDescent="0.25">
      <c r="A219" s="9"/>
      <c r="B219" s="6" t="s">
        <v>345</v>
      </c>
      <c r="C219" s="26">
        <v>27.099</v>
      </c>
      <c r="D219" s="26">
        <v>26.931000000000001</v>
      </c>
      <c r="E219" s="9"/>
      <c r="F219" s="9"/>
      <c r="G219" s="9"/>
      <c r="H219" s="23"/>
    </row>
    <row r="220" spans="1:8" x14ac:dyDescent="0.25">
      <c r="A220" s="9"/>
      <c r="B220" s="6" t="s">
        <v>346</v>
      </c>
      <c r="C220" s="26">
        <v>10.888</v>
      </c>
      <c r="D220" s="26">
        <v>10.865</v>
      </c>
      <c r="E220" s="9"/>
      <c r="F220" s="9"/>
      <c r="G220" s="9"/>
      <c r="H220" s="23"/>
    </row>
    <row r="221" spans="1:8" x14ac:dyDescent="0.25">
      <c r="A221" s="9"/>
      <c r="B221" s="6" t="s">
        <v>347</v>
      </c>
      <c r="C221" s="26">
        <v>10.637</v>
      </c>
      <c r="D221" s="26">
        <v>10.61</v>
      </c>
      <c r="E221" s="9"/>
      <c r="F221" s="9"/>
      <c r="G221" s="9"/>
      <c r="H221" s="23"/>
    </row>
    <row r="222" spans="1:8" x14ac:dyDescent="0.25">
      <c r="A222" s="9"/>
      <c r="B222" s="6" t="s">
        <v>348</v>
      </c>
      <c r="C222" s="26">
        <v>10.506</v>
      </c>
      <c r="D222" s="26">
        <v>10.484</v>
      </c>
      <c r="E222" s="9"/>
      <c r="F222" s="9"/>
      <c r="G222" s="9"/>
      <c r="H222" s="23"/>
    </row>
    <row r="223" spans="1:8" x14ac:dyDescent="0.25">
      <c r="A223" s="9"/>
      <c r="B223" s="6" t="s">
        <v>349</v>
      </c>
      <c r="C223" s="26">
        <v>10.957000000000001</v>
      </c>
      <c r="D223" s="26">
        <v>10.929</v>
      </c>
      <c r="E223" s="9"/>
      <c r="F223" s="9"/>
      <c r="G223" s="9"/>
      <c r="H223" s="23"/>
    </row>
    <row r="224" spans="1:8" x14ac:dyDescent="0.25">
      <c r="A224" s="9"/>
      <c r="B224" s="6" t="s">
        <v>350</v>
      </c>
      <c r="C224" s="26">
        <v>26.268000000000001</v>
      </c>
      <c r="D224" s="26">
        <v>26.114999999999998</v>
      </c>
      <c r="E224" s="9"/>
      <c r="F224" s="9"/>
      <c r="G224" s="9"/>
      <c r="H224" s="23"/>
    </row>
    <row r="225" spans="1:8" x14ac:dyDescent="0.25">
      <c r="A225" s="9"/>
      <c r="B225" s="6" t="s">
        <v>351</v>
      </c>
      <c r="C225" s="26">
        <v>17.096</v>
      </c>
      <c r="D225" s="26">
        <v>16.989999999999998</v>
      </c>
      <c r="E225" s="9"/>
      <c r="F225" s="9"/>
      <c r="G225" s="9"/>
      <c r="H225" s="23"/>
    </row>
    <row r="226" spans="1:8" x14ac:dyDescent="0.25">
      <c r="A226" s="9"/>
      <c r="B226" s="6" t="s">
        <v>20</v>
      </c>
      <c r="C226" s="9"/>
      <c r="D226" s="9"/>
      <c r="E226" s="9"/>
      <c r="F226" s="9"/>
      <c r="G226" s="9"/>
      <c r="H226" s="23"/>
    </row>
    <row r="227" spans="1:8" x14ac:dyDescent="0.25">
      <c r="A227" s="9"/>
      <c r="B227" s="9"/>
      <c r="C227" s="9"/>
      <c r="D227" s="9"/>
      <c r="E227" s="9"/>
      <c r="F227" s="9"/>
      <c r="G227" s="9"/>
      <c r="H227" s="23"/>
    </row>
    <row r="228" spans="1:8" x14ac:dyDescent="0.25">
      <c r="A228" s="9"/>
      <c r="B228" s="9" t="s">
        <v>352</v>
      </c>
      <c r="C228" s="9"/>
      <c r="D228" s="9"/>
      <c r="E228" s="9"/>
      <c r="F228" s="9"/>
      <c r="G228" s="9"/>
      <c r="H228" s="23"/>
    </row>
    <row r="229" spans="1:8" x14ac:dyDescent="0.25">
      <c r="A229" s="9"/>
      <c r="B229" s="27" t="s">
        <v>20</v>
      </c>
      <c r="C229" s="28" t="s">
        <v>20</v>
      </c>
      <c r="D229" s="28" t="s">
        <v>20</v>
      </c>
      <c r="E229" s="34" t="s">
        <v>353</v>
      </c>
      <c r="F229" s="34" t="s">
        <v>353</v>
      </c>
      <c r="G229" s="9"/>
      <c r="H229" s="23"/>
    </row>
    <row r="230" spans="1:8" x14ac:dyDescent="0.25">
      <c r="A230" s="9"/>
      <c r="B230" s="29" t="s">
        <v>354</v>
      </c>
      <c r="C230" s="29" t="s">
        <v>355</v>
      </c>
      <c r="D230" s="29" t="s">
        <v>356</v>
      </c>
      <c r="E230" s="24" t="s">
        <v>357</v>
      </c>
      <c r="F230" s="24" t="s">
        <v>358</v>
      </c>
      <c r="G230" s="9"/>
      <c r="H230" s="23"/>
    </row>
    <row r="231" spans="1:8" x14ac:dyDescent="0.25">
      <c r="A231" s="9"/>
      <c r="B231" s="9" t="s">
        <v>348</v>
      </c>
      <c r="C231" s="30" t="s">
        <v>359</v>
      </c>
      <c r="D231" s="26">
        <v>10.523</v>
      </c>
      <c r="E231" s="26">
        <v>0.04</v>
      </c>
      <c r="F231" s="26">
        <v>0.04</v>
      </c>
      <c r="G231" s="9"/>
      <c r="H231" s="23"/>
    </row>
    <row r="232" spans="1:8" x14ac:dyDescent="0.25">
      <c r="A232" s="9"/>
      <c r="B232" s="9" t="s">
        <v>348</v>
      </c>
      <c r="C232" s="30" t="s">
        <v>359</v>
      </c>
      <c r="D232" s="26">
        <v>10.904</v>
      </c>
      <c r="E232" s="26">
        <v>0.04</v>
      </c>
      <c r="F232" s="26">
        <v>0.04</v>
      </c>
      <c r="G232" s="9"/>
      <c r="H232" s="23"/>
    </row>
    <row r="233" spans="1:8" x14ac:dyDescent="0.25">
      <c r="A233" s="9"/>
      <c r="B233" s="9" t="s">
        <v>349</v>
      </c>
      <c r="C233" s="30" t="s">
        <v>359</v>
      </c>
      <c r="D233" s="26">
        <v>10.972</v>
      </c>
      <c r="E233" s="26">
        <v>0.04</v>
      </c>
      <c r="F233" s="26">
        <v>0.04</v>
      </c>
      <c r="G233" s="9"/>
      <c r="H233" s="23"/>
    </row>
    <row r="234" spans="1:8" x14ac:dyDescent="0.25">
      <c r="A234" s="9"/>
      <c r="B234" s="9" t="s">
        <v>347</v>
      </c>
      <c r="C234" s="30" t="s">
        <v>359</v>
      </c>
      <c r="D234" s="26">
        <v>10.651999999999999</v>
      </c>
      <c r="E234" s="26">
        <v>0.04</v>
      </c>
      <c r="F234" s="26">
        <v>0.04</v>
      </c>
      <c r="G234" s="9"/>
      <c r="H234" s="23"/>
    </row>
    <row r="235" spans="1:8" x14ac:dyDescent="0.25">
      <c r="A235" s="9"/>
      <c r="B235" s="9"/>
      <c r="C235" s="9"/>
      <c r="D235" s="9"/>
      <c r="E235" s="9"/>
      <c r="F235" s="9"/>
      <c r="G235" s="9"/>
      <c r="H235" s="23"/>
    </row>
    <row r="236" spans="1:8" x14ac:dyDescent="0.25">
      <c r="A236" s="9"/>
      <c r="B236" s="9" t="s">
        <v>360</v>
      </c>
      <c r="C236" s="9"/>
      <c r="D236" s="9"/>
      <c r="E236" s="9"/>
      <c r="F236" s="9"/>
      <c r="G236" s="9"/>
      <c r="H236" s="23"/>
    </row>
    <row r="237" spans="1:8" x14ac:dyDescent="0.25">
      <c r="A237" s="23"/>
      <c r="B237" s="23"/>
      <c r="C237" s="23"/>
      <c r="D237" s="23"/>
      <c r="E237" s="23"/>
      <c r="F237" s="23"/>
      <c r="G237" s="23"/>
      <c r="H237" s="23"/>
    </row>
    <row r="238" spans="1:8" x14ac:dyDescent="0.25">
      <c r="A238" s="9"/>
      <c r="B238" s="9" t="s">
        <v>361</v>
      </c>
      <c r="C238" s="9"/>
      <c r="D238" s="9"/>
      <c r="E238" s="9"/>
      <c r="F238" s="9"/>
      <c r="G238" s="9"/>
      <c r="H238" s="9"/>
    </row>
    <row r="239" spans="1:8" x14ac:dyDescent="0.25">
      <c r="A239" s="9"/>
      <c r="B239" s="9" t="s">
        <v>362</v>
      </c>
      <c r="C239" s="9"/>
      <c r="D239" s="9"/>
      <c r="E239" s="9"/>
      <c r="F239" s="9"/>
      <c r="G239" s="9"/>
      <c r="H239" s="23"/>
    </row>
    <row r="240" spans="1:8" x14ac:dyDescent="0.25">
      <c r="A240" s="9"/>
      <c r="B240" s="9" t="s">
        <v>363</v>
      </c>
      <c r="C240" s="9"/>
      <c r="D240" s="9"/>
      <c r="E240" s="9"/>
      <c r="F240" s="9"/>
      <c r="G240" s="9"/>
      <c r="H240" s="23"/>
    </row>
    <row r="241" spans="1:8" x14ac:dyDescent="0.25">
      <c r="A241" s="9"/>
      <c r="B241" s="9" t="s">
        <v>364</v>
      </c>
      <c r="C241" s="9"/>
      <c r="D241" s="9"/>
      <c r="E241" s="9"/>
      <c r="F241" s="9"/>
      <c r="G241" s="9"/>
      <c r="H241" s="23"/>
    </row>
    <row r="242" spans="1:8" x14ac:dyDescent="0.25">
      <c r="A242" s="9"/>
      <c r="B242" s="9" t="s">
        <v>365</v>
      </c>
      <c r="C242" s="9"/>
      <c r="D242" s="9"/>
      <c r="E242" s="9"/>
      <c r="F242" s="9"/>
      <c r="G242" s="9"/>
      <c r="H242" s="23"/>
    </row>
    <row r="243" spans="1:8" x14ac:dyDescent="0.25">
      <c r="A243" s="9"/>
      <c r="B243" s="9" t="s">
        <v>366</v>
      </c>
      <c r="C243" s="9"/>
      <c r="D243" s="9"/>
      <c r="E243" s="9"/>
      <c r="F243" s="9"/>
      <c r="G243" s="9"/>
      <c r="H243" s="23"/>
    </row>
    <row r="244" spans="1:8" x14ac:dyDescent="0.25">
      <c r="A244" s="9"/>
      <c r="B244" s="9" t="s">
        <v>367</v>
      </c>
      <c r="C244" s="9"/>
      <c r="D244" s="9"/>
      <c r="E244" s="9"/>
      <c r="F244" s="9"/>
      <c r="G244" s="9"/>
      <c r="H244" s="23"/>
    </row>
    <row r="245" spans="1:8" x14ac:dyDescent="0.25">
      <c r="A245" s="9"/>
      <c r="B245" s="9" t="s">
        <v>368</v>
      </c>
      <c r="C245" s="9"/>
      <c r="D245" s="9"/>
      <c r="E245" s="9"/>
      <c r="F245" s="9"/>
      <c r="G245" s="9"/>
      <c r="H245" s="23"/>
    </row>
    <row r="246" spans="1:8" x14ac:dyDescent="0.25">
      <c r="A246" s="9"/>
      <c r="B246" s="9" t="s">
        <v>369</v>
      </c>
      <c r="C246" s="9"/>
      <c r="D246" s="9"/>
      <c r="E246" s="9"/>
      <c r="F246" s="9"/>
      <c r="G246" s="9"/>
      <c r="H246" s="23"/>
    </row>
    <row r="247" spans="1:8" x14ac:dyDescent="0.25">
      <c r="A247" s="9"/>
      <c r="B247" s="9" t="s">
        <v>370</v>
      </c>
      <c r="C247" s="9"/>
      <c r="D247" s="9"/>
      <c r="E247" s="9"/>
      <c r="F247" s="9"/>
      <c r="G247" s="9"/>
      <c r="H247" s="23"/>
    </row>
    <row r="248" spans="1:8" x14ac:dyDescent="0.25">
      <c r="A248" s="9"/>
      <c r="B248" s="9" t="s">
        <v>371</v>
      </c>
      <c r="C248" s="9"/>
      <c r="D248" s="9"/>
      <c r="E248" s="9"/>
      <c r="F248" s="9"/>
      <c r="G248" s="9"/>
      <c r="H248" s="23"/>
    </row>
    <row r="250" spans="1:8" x14ac:dyDescent="0.25">
      <c r="B250" s="31" t="s">
        <v>372</v>
      </c>
    </row>
    <row r="266" spans="2:2" x14ac:dyDescent="0.25">
      <c r="B266" s="31" t="s">
        <v>373</v>
      </c>
    </row>
  </sheetData>
  <mergeCells count="12">
    <mergeCell ref="E229:F229"/>
    <mergeCell ref="A1:J1"/>
    <mergeCell ref="A2:J2"/>
    <mergeCell ref="B156:F156"/>
    <mergeCell ref="B157:F157"/>
    <mergeCell ref="B158:F158"/>
    <mergeCell ref="B159:F159"/>
    <mergeCell ref="B160:F160"/>
    <mergeCell ref="B161:F161"/>
    <mergeCell ref="B162:F162"/>
    <mergeCell ref="B163:F163"/>
    <mergeCell ref="B164:F1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28"/>
  <sheetViews>
    <sheetView workbookViewId="0"/>
  </sheetViews>
  <sheetFormatPr defaultRowHeight="12.75" x14ac:dyDescent="0.2"/>
  <cols>
    <col min="1" max="1" width="46.5703125" style="38" customWidth="1"/>
    <col min="2" max="2" width="46.28515625" style="38" bestFit="1" customWidth="1"/>
    <col min="3" max="3" width="42.42578125" style="38" customWidth="1"/>
    <col min="4" max="4" width="22.7109375" style="38" customWidth="1"/>
    <col min="5" max="5" width="15.85546875" style="38" customWidth="1"/>
    <col min="6" max="6" width="16.140625" style="38" customWidth="1"/>
    <col min="7" max="7" width="13.7109375" style="38" customWidth="1"/>
    <col min="8" max="8" width="10.85546875" style="38" bestFit="1" customWidth="1"/>
    <col min="9" max="16384" width="9.140625" style="38"/>
  </cols>
  <sheetData>
    <row r="2" spans="1:8" x14ac:dyDescent="0.2">
      <c r="G2" s="39"/>
    </row>
    <row r="3" spans="1:8" x14ac:dyDescent="0.2">
      <c r="A3" s="40" t="s">
        <v>374</v>
      </c>
      <c r="B3" s="40"/>
      <c r="C3" s="40"/>
      <c r="D3" s="40"/>
      <c r="E3" s="40"/>
      <c r="F3" s="40"/>
      <c r="G3" s="40"/>
    </row>
    <row r="5" spans="1:8" x14ac:dyDescent="0.2">
      <c r="A5" s="38" t="s">
        <v>375</v>
      </c>
    </row>
    <row r="7" spans="1:8" x14ac:dyDescent="0.2">
      <c r="A7" s="41" t="s">
        <v>376</v>
      </c>
      <c r="B7" s="41"/>
      <c r="C7" s="41"/>
      <c r="D7" s="41"/>
      <c r="E7" s="41"/>
      <c r="F7" s="41"/>
    </row>
    <row r="8" spans="1:8" ht="54" x14ac:dyDescent="0.2">
      <c r="A8" s="42" t="s">
        <v>377</v>
      </c>
      <c r="B8" s="43" t="s">
        <v>378</v>
      </c>
      <c r="C8" s="43" t="s">
        <v>379</v>
      </c>
      <c r="D8" s="43" t="s">
        <v>380</v>
      </c>
      <c r="E8" s="43" t="s">
        <v>381</v>
      </c>
      <c r="F8" s="43" t="s">
        <v>382</v>
      </c>
      <c r="G8" s="43" t="s">
        <v>383</v>
      </c>
      <c r="H8" s="44" t="s">
        <v>384</v>
      </c>
    </row>
    <row r="9" spans="1:8" x14ac:dyDescent="0.2">
      <c r="A9" s="45" t="s">
        <v>385</v>
      </c>
      <c r="B9" s="46" t="s">
        <v>202</v>
      </c>
      <c r="C9" s="46" t="s">
        <v>91</v>
      </c>
      <c r="D9" s="47">
        <v>-14000</v>
      </c>
      <c r="E9" s="48">
        <v>3341.2579878571428</v>
      </c>
      <c r="F9" s="49">
        <v>3436.25</v>
      </c>
      <c r="G9" s="49">
        <v>95.855199999999996</v>
      </c>
      <c r="H9" s="50">
        <f>+(D9*F9)/100000</f>
        <v>-481.07499999999999</v>
      </c>
    </row>
    <row r="10" spans="1:8" x14ac:dyDescent="0.2">
      <c r="A10" s="51"/>
      <c r="B10" s="46" t="s">
        <v>93</v>
      </c>
      <c r="C10" s="46" t="s">
        <v>44</v>
      </c>
      <c r="D10" s="47">
        <v>-192250</v>
      </c>
      <c r="E10" s="48">
        <v>1752.055977373212</v>
      </c>
      <c r="F10" s="49">
        <v>1771.15</v>
      </c>
      <c r="G10" s="49">
        <v>720.01037439999993</v>
      </c>
      <c r="H10" s="50">
        <f t="shared" ref="H10:H73" si="0">+(D10*F10)/100000</f>
        <v>-3405.035875</v>
      </c>
    </row>
    <row r="11" spans="1:8" x14ac:dyDescent="0.2">
      <c r="A11" s="51"/>
      <c r="B11" s="46" t="s">
        <v>386</v>
      </c>
      <c r="C11" s="46" t="s">
        <v>191</v>
      </c>
      <c r="D11" s="47">
        <v>-27500</v>
      </c>
      <c r="E11" s="48">
        <v>1862.645372</v>
      </c>
      <c r="F11" s="49">
        <v>1939.6</v>
      </c>
      <c r="G11" s="49">
        <v>346.49560000000002</v>
      </c>
      <c r="H11" s="50">
        <f t="shared" si="0"/>
        <v>-533.39</v>
      </c>
    </row>
    <row r="12" spans="1:8" x14ac:dyDescent="0.2">
      <c r="A12" s="51"/>
      <c r="B12" s="46" t="s">
        <v>387</v>
      </c>
      <c r="C12" s="46" t="s">
        <v>32</v>
      </c>
      <c r="D12" s="47">
        <v>-129600</v>
      </c>
      <c r="E12" s="48">
        <v>161.4562</v>
      </c>
      <c r="F12" s="49">
        <v>168.3</v>
      </c>
      <c r="G12" s="49">
        <v>49.470587999999999</v>
      </c>
      <c r="H12" s="50">
        <f t="shared" si="0"/>
        <v>-218.11680000000001</v>
      </c>
    </row>
    <row r="13" spans="1:8" x14ac:dyDescent="0.2">
      <c r="A13" s="51"/>
      <c r="B13" s="46" t="s">
        <v>172</v>
      </c>
      <c r="C13" s="46" t="s">
        <v>173</v>
      </c>
      <c r="D13" s="47">
        <v>-16250</v>
      </c>
      <c r="E13" s="48">
        <v>4403.3011999999999</v>
      </c>
      <c r="F13" s="49">
        <v>4532.7</v>
      </c>
      <c r="G13" s="49">
        <v>142.3513456</v>
      </c>
      <c r="H13" s="50">
        <f t="shared" si="0"/>
        <v>-736.56375000000003</v>
      </c>
    </row>
    <row r="14" spans="1:8" x14ac:dyDescent="0.2">
      <c r="A14" s="51"/>
      <c r="B14" s="46" t="s">
        <v>388</v>
      </c>
      <c r="C14" s="46" t="s">
        <v>112</v>
      </c>
      <c r="D14" s="47">
        <v>-1575000</v>
      </c>
      <c r="E14" s="48">
        <v>140.60829971428572</v>
      </c>
      <c r="F14" s="49">
        <v>146.44999999999999</v>
      </c>
      <c r="G14" s="49">
        <v>481.74525</v>
      </c>
      <c r="H14" s="50">
        <f t="shared" si="0"/>
        <v>-2306.5874999999996</v>
      </c>
    </row>
    <row r="15" spans="1:8" x14ac:dyDescent="0.2">
      <c r="A15" s="51"/>
      <c r="B15" s="46" t="s">
        <v>389</v>
      </c>
      <c r="C15" s="46" t="s">
        <v>74</v>
      </c>
      <c r="D15" s="47">
        <v>-109200</v>
      </c>
      <c r="E15" s="48">
        <v>2914.748991941392</v>
      </c>
      <c r="F15" s="49">
        <v>2912.65</v>
      </c>
      <c r="G15" s="49">
        <v>562.12146899999993</v>
      </c>
      <c r="H15" s="50">
        <f t="shared" si="0"/>
        <v>-3180.6138000000001</v>
      </c>
    </row>
    <row r="16" spans="1:8" x14ac:dyDescent="0.2">
      <c r="A16" s="51"/>
      <c r="B16" s="46" t="s">
        <v>390</v>
      </c>
      <c r="C16" s="46" t="s">
        <v>273</v>
      </c>
      <c r="D16" s="47">
        <v>-3670</v>
      </c>
      <c r="E16" s="48">
        <v>1407.61</v>
      </c>
      <c r="F16" s="49">
        <v>1456.65</v>
      </c>
      <c r="G16" s="49">
        <v>11.332198500000001</v>
      </c>
      <c r="H16" s="50">
        <f t="shared" si="0"/>
        <v>-53.459054999999999</v>
      </c>
    </row>
    <row r="17" spans="1:8" x14ac:dyDescent="0.2">
      <c r="A17" s="51"/>
      <c r="B17" s="46" t="s">
        <v>259</v>
      </c>
      <c r="C17" s="46" t="s">
        <v>55</v>
      </c>
      <c r="D17" s="47">
        <v>-14000</v>
      </c>
      <c r="E17" s="48">
        <v>597.23214285714289</v>
      </c>
      <c r="F17" s="49">
        <v>619.04999999999995</v>
      </c>
      <c r="G17" s="49">
        <v>17.946950000000001</v>
      </c>
      <c r="H17" s="50">
        <f t="shared" si="0"/>
        <v>-86.667000000000002</v>
      </c>
    </row>
    <row r="18" spans="1:8" x14ac:dyDescent="0.2">
      <c r="A18" s="51"/>
      <c r="B18" s="46" t="s">
        <v>391</v>
      </c>
      <c r="C18" s="46" t="s">
        <v>32</v>
      </c>
      <c r="D18" s="47">
        <v>-239250</v>
      </c>
      <c r="E18" s="48">
        <v>6150.3970479414838</v>
      </c>
      <c r="F18" s="49">
        <v>6300.7</v>
      </c>
      <c r="G18" s="49">
        <v>3051.0039244</v>
      </c>
      <c r="H18" s="50">
        <f t="shared" si="0"/>
        <v>-15074.42475</v>
      </c>
    </row>
    <row r="19" spans="1:8" x14ac:dyDescent="0.2">
      <c r="A19" s="51"/>
      <c r="B19" s="46" t="s">
        <v>240</v>
      </c>
      <c r="C19" s="46" t="s">
        <v>392</v>
      </c>
      <c r="D19" s="47">
        <v>-56000</v>
      </c>
      <c r="E19" s="48">
        <v>421.08141142857141</v>
      </c>
      <c r="F19" s="49">
        <v>418.35</v>
      </c>
      <c r="G19" s="49">
        <v>58.36936</v>
      </c>
      <c r="H19" s="50">
        <f t="shared" si="0"/>
        <v>-234.27600000000001</v>
      </c>
    </row>
    <row r="20" spans="1:8" x14ac:dyDescent="0.2">
      <c r="A20" s="51"/>
      <c r="B20" s="46" t="s">
        <v>124</v>
      </c>
      <c r="C20" s="46" t="s">
        <v>25</v>
      </c>
      <c r="D20" s="47">
        <v>-909000</v>
      </c>
      <c r="E20" s="48">
        <v>223.6</v>
      </c>
      <c r="F20" s="49">
        <v>230.15</v>
      </c>
      <c r="G20" s="49">
        <v>511.70337000000001</v>
      </c>
      <c r="H20" s="50">
        <f t="shared" si="0"/>
        <v>-2092.0635000000002</v>
      </c>
    </row>
    <row r="21" spans="1:8" x14ac:dyDescent="0.2">
      <c r="A21" s="51"/>
      <c r="B21" s="46" t="s">
        <v>291</v>
      </c>
      <c r="C21" s="46" t="s">
        <v>25</v>
      </c>
      <c r="D21" s="47">
        <v>-11700</v>
      </c>
      <c r="E21" s="48">
        <v>186.3</v>
      </c>
      <c r="F21" s="49">
        <v>188.65</v>
      </c>
      <c r="G21" s="49">
        <v>5.3961569999999996</v>
      </c>
      <c r="H21" s="50">
        <f t="shared" si="0"/>
        <v>-22.072050000000001</v>
      </c>
    </row>
    <row r="22" spans="1:8" x14ac:dyDescent="0.2">
      <c r="A22" s="51"/>
      <c r="B22" s="46" t="s">
        <v>148</v>
      </c>
      <c r="C22" s="46" t="s">
        <v>74</v>
      </c>
      <c r="D22" s="47">
        <v>-90750</v>
      </c>
      <c r="E22" s="48">
        <v>1429.6507694765839</v>
      </c>
      <c r="F22" s="49">
        <v>1484</v>
      </c>
      <c r="G22" s="49">
        <v>237.54266749999999</v>
      </c>
      <c r="H22" s="50">
        <f t="shared" si="0"/>
        <v>-1346.73</v>
      </c>
    </row>
    <row r="23" spans="1:8" x14ac:dyDescent="0.2">
      <c r="A23" s="51"/>
      <c r="B23" s="46" t="s">
        <v>65</v>
      </c>
      <c r="C23" s="46" t="s">
        <v>32</v>
      </c>
      <c r="D23" s="47">
        <v>-511500</v>
      </c>
      <c r="E23" s="48">
        <v>1345.9960294232649</v>
      </c>
      <c r="F23" s="49">
        <v>1360.2</v>
      </c>
      <c r="G23" s="49">
        <v>1421.6567063</v>
      </c>
      <c r="H23" s="50">
        <f t="shared" si="0"/>
        <v>-6957.4229999999998</v>
      </c>
    </row>
    <row r="24" spans="1:8" x14ac:dyDescent="0.2">
      <c r="A24" s="51"/>
      <c r="B24" s="46" t="s">
        <v>245</v>
      </c>
      <c r="C24" s="46" t="s">
        <v>91</v>
      </c>
      <c r="D24" s="47">
        <v>-210000</v>
      </c>
      <c r="E24" s="48">
        <v>77.452500000000001</v>
      </c>
      <c r="F24" s="49">
        <v>78.849999999999994</v>
      </c>
      <c r="G24" s="49">
        <v>43.095149999999997</v>
      </c>
      <c r="H24" s="50">
        <f t="shared" si="0"/>
        <v>-165.58499999999998</v>
      </c>
    </row>
    <row r="25" spans="1:8" x14ac:dyDescent="0.2">
      <c r="A25" s="51"/>
      <c r="B25" s="46" t="s">
        <v>126</v>
      </c>
      <c r="C25" s="46" t="s">
        <v>22</v>
      </c>
      <c r="D25" s="47">
        <v>-568800</v>
      </c>
      <c r="E25" s="48">
        <v>348.73776582278481</v>
      </c>
      <c r="F25" s="49">
        <v>358.8</v>
      </c>
      <c r="G25" s="49">
        <v>360.83249999999998</v>
      </c>
      <c r="H25" s="50">
        <f t="shared" si="0"/>
        <v>-2040.8543999999999</v>
      </c>
    </row>
    <row r="26" spans="1:8" x14ac:dyDescent="0.2">
      <c r="A26" s="51"/>
      <c r="B26" s="46" t="s">
        <v>275</v>
      </c>
      <c r="C26" s="46" t="s">
        <v>243</v>
      </c>
      <c r="D26" s="47">
        <v>-74100</v>
      </c>
      <c r="E26" s="48">
        <v>101.88843076923077</v>
      </c>
      <c r="F26" s="49">
        <v>103.7</v>
      </c>
      <c r="G26" s="49">
        <v>15.617316000000001</v>
      </c>
      <c r="H26" s="50">
        <f t="shared" si="0"/>
        <v>-76.841700000000003</v>
      </c>
    </row>
    <row r="27" spans="1:8" x14ac:dyDescent="0.2">
      <c r="A27" s="51"/>
      <c r="B27" s="46" t="s">
        <v>143</v>
      </c>
      <c r="C27" s="46" t="s">
        <v>144</v>
      </c>
      <c r="D27" s="47">
        <v>-180500</v>
      </c>
      <c r="E27" s="48">
        <v>770.37617650969526</v>
      </c>
      <c r="F27" s="49">
        <v>801.9</v>
      </c>
      <c r="G27" s="49">
        <v>255.98509999999999</v>
      </c>
      <c r="H27" s="50">
        <f t="shared" si="0"/>
        <v>-1447.4295</v>
      </c>
    </row>
    <row r="28" spans="1:8" x14ac:dyDescent="0.2">
      <c r="A28" s="51"/>
      <c r="B28" s="46" t="s">
        <v>83</v>
      </c>
      <c r="C28" s="46" t="s">
        <v>55</v>
      </c>
      <c r="D28" s="47">
        <v>-1980300</v>
      </c>
      <c r="E28" s="48">
        <v>231.69244889663182</v>
      </c>
      <c r="F28" s="49">
        <v>233.4</v>
      </c>
      <c r="G28" s="49">
        <v>943.85058599999991</v>
      </c>
      <c r="H28" s="50">
        <f t="shared" si="0"/>
        <v>-4622.0201999999999</v>
      </c>
    </row>
    <row r="29" spans="1:8" x14ac:dyDescent="0.2">
      <c r="A29" s="51"/>
      <c r="B29" s="46" t="s">
        <v>137</v>
      </c>
      <c r="C29" s="46" t="s">
        <v>138</v>
      </c>
      <c r="D29" s="47">
        <v>-36400</v>
      </c>
      <c r="E29" s="48">
        <v>4412.3793387362639</v>
      </c>
      <c r="F29" s="49">
        <v>4568.1499999999996</v>
      </c>
      <c r="G29" s="49">
        <v>293.90269999999998</v>
      </c>
      <c r="H29" s="50">
        <f t="shared" si="0"/>
        <v>-1662.8065999999999</v>
      </c>
    </row>
    <row r="30" spans="1:8" x14ac:dyDescent="0.2">
      <c r="A30" s="51"/>
      <c r="B30" s="46" t="s">
        <v>393</v>
      </c>
      <c r="C30" s="46" t="s">
        <v>55</v>
      </c>
      <c r="D30" s="47">
        <v>-16200</v>
      </c>
      <c r="E30" s="48">
        <v>523.13331111111108</v>
      </c>
      <c r="F30" s="49">
        <v>522.95000000000005</v>
      </c>
      <c r="G30" s="49">
        <v>14.948955</v>
      </c>
      <c r="H30" s="50">
        <f t="shared" si="0"/>
        <v>-84.7179</v>
      </c>
    </row>
    <row r="31" spans="1:8" x14ac:dyDescent="0.2">
      <c r="A31" s="51"/>
      <c r="B31" s="46" t="s">
        <v>95</v>
      </c>
      <c r="C31" s="46" t="s">
        <v>25</v>
      </c>
      <c r="D31" s="47">
        <v>-1077300</v>
      </c>
      <c r="E31" s="48">
        <v>311.16948245614037</v>
      </c>
      <c r="F31" s="49">
        <v>319.39999999999998</v>
      </c>
      <c r="G31" s="49">
        <v>836.62848680000002</v>
      </c>
      <c r="H31" s="50">
        <f t="shared" si="0"/>
        <v>-3440.8962000000001</v>
      </c>
    </row>
    <row r="32" spans="1:8" x14ac:dyDescent="0.2">
      <c r="A32" s="51"/>
      <c r="B32" s="46" t="s">
        <v>394</v>
      </c>
      <c r="C32" s="46" t="s">
        <v>32</v>
      </c>
      <c r="D32" s="47">
        <v>-9750</v>
      </c>
      <c r="E32" s="48">
        <v>588.63499999999999</v>
      </c>
      <c r="F32" s="49">
        <v>621.4</v>
      </c>
      <c r="G32" s="49">
        <v>14.1048619</v>
      </c>
      <c r="H32" s="50">
        <f t="shared" si="0"/>
        <v>-60.586500000000001</v>
      </c>
    </row>
    <row r="33" spans="1:8" x14ac:dyDescent="0.2">
      <c r="A33" s="51"/>
      <c r="B33" s="46" t="s">
        <v>395</v>
      </c>
      <c r="C33" s="46" t="s">
        <v>74</v>
      </c>
      <c r="D33" s="47">
        <v>-132000</v>
      </c>
      <c r="E33" s="48">
        <v>269.10851704545456</v>
      </c>
      <c r="F33" s="49">
        <v>256.64999999999998</v>
      </c>
      <c r="G33" s="49">
        <v>70.209149999999994</v>
      </c>
      <c r="H33" s="50">
        <f t="shared" si="0"/>
        <v>-338.77800000000002</v>
      </c>
    </row>
    <row r="34" spans="1:8" x14ac:dyDescent="0.2">
      <c r="A34" s="51"/>
      <c r="B34" s="46" t="s">
        <v>279</v>
      </c>
      <c r="C34" s="46" t="s">
        <v>115</v>
      </c>
      <c r="D34" s="47">
        <v>-13500</v>
      </c>
      <c r="E34" s="48">
        <v>285.67777777777781</v>
      </c>
      <c r="F34" s="49">
        <v>287.5</v>
      </c>
      <c r="G34" s="49">
        <v>9.4005562999999999</v>
      </c>
      <c r="H34" s="50">
        <f t="shared" si="0"/>
        <v>-38.8125</v>
      </c>
    </row>
    <row r="35" spans="1:8" x14ac:dyDescent="0.2">
      <c r="A35" s="51"/>
      <c r="B35" s="46" t="s">
        <v>71</v>
      </c>
      <c r="C35" s="46" t="s">
        <v>55</v>
      </c>
      <c r="D35" s="47">
        <v>-529100</v>
      </c>
      <c r="E35" s="48">
        <v>911.49140714420719</v>
      </c>
      <c r="F35" s="49">
        <v>913.9</v>
      </c>
      <c r="G35" s="49">
        <v>852.8972953</v>
      </c>
      <c r="H35" s="50">
        <f t="shared" si="0"/>
        <v>-4835.4449000000004</v>
      </c>
    </row>
    <row r="36" spans="1:8" x14ac:dyDescent="0.2">
      <c r="A36" s="51"/>
      <c r="B36" s="46" t="s">
        <v>193</v>
      </c>
      <c r="C36" s="46" t="s">
        <v>194</v>
      </c>
      <c r="D36" s="47">
        <v>-86000</v>
      </c>
      <c r="E36" s="48">
        <v>609.89707906976741</v>
      </c>
      <c r="F36" s="49">
        <v>614.9</v>
      </c>
      <c r="G36" s="49">
        <v>104.10042</v>
      </c>
      <c r="H36" s="50">
        <f t="shared" si="0"/>
        <v>-528.81399999999996</v>
      </c>
    </row>
    <row r="37" spans="1:8" x14ac:dyDescent="0.2">
      <c r="A37" s="51"/>
      <c r="B37" s="46" t="s">
        <v>177</v>
      </c>
      <c r="C37" s="46" t="s">
        <v>164</v>
      </c>
      <c r="D37" s="47">
        <v>-136250</v>
      </c>
      <c r="E37" s="48">
        <v>529.61006788990824</v>
      </c>
      <c r="F37" s="49">
        <v>534.85</v>
      </c>
      <c r="G37" s="49">
        <v>128.81858439999999</v>
      </c>
      <c r="H37" s="50">
        <f t="shared" si="0"/>
        <v>-728.73312499999997</v>
      </c>
    </row>
    <row r="38" spans="1:8" x14ac:dyDescent="0.2">
      <c r="A38" s="51"/>
      <c r="B38" s="46" t="s">
        <v>396</v>
      </c>
      <c r="C38" s="46" t="s">
        <v>79</v>
      </c>
      <c r="D38" s="47">
        <v>-1092300</v>
      </c>
      <c r="E38" s="48">
        <v>415.56956562299735</v>
      </c>
      <c r="F38" s="49">
        <v>427.5</v>
      </c>
      <c r="G38" s="49">
        <v>1033.4141070000001</v>
      </c>
      <c r="H38" s="50">
        <f t="shared" si="0"/>
        <v>-4669.5825000000004</v>
      </c>
    </row>
    <row r="39" spans="1:8" x14ac:dyDescent="0.2">
      <c r="A39" s="51"/>
      <c r="B39" s="46" t="s">
        <v>397</v>
      </c>
      <c r="C39" s="46" t="s">
        <v>55</v>
      </c>
      <c r="D39" s="47">
        <v>-103125</v>
      </c>
      <c r="E39" s="48">
        <v>4881.4211955393939</v>
      </c>
      <c r="F39" s="49">
        <v>4946.1499999999996</v>
      </c>
      <c r="G39" s="49">
        <v>901.68555219999996</v>
      </c>
      <c r="H39" s="50">
        <f t="shared" si="0"/>
        <v>-5100.7171874999995</v>
      </c>
    </row>
    <row r="40" spans="1:8" x14ac:dyDescent="0.2">
      <c r="A40" s="51"/>
      <c r="B40" s="46" t="s">
        <v>281</v>
      </c>
      <c r="C40" s="46" t="s">
        <v>41</v>
      </c>
      <c r="D40" s="47">
        <v>-1750</v>
      </c>
      <c r="E40" s="48">
        <v>3248.9</v>
      </c>
      <c r="F40" s="49">
        <v>3317.8</v>
      </c>
      <c r="G40" s="49">
        <v>10.691856899999999</v>
      </c>
      <c r="H40" s="50">
        <f t="shared" si="0"/>
        <v>-58.061500000000002</v>
      </c>
    </row>
    <row r="41" spans="1:8" x14ac:dyDescent="0.2">
      <c r="A41" s="51"/>
      <c r="B41" s="46" t="s">
        <v>228</v>
      </c>
      <c r="C41" s="46" t="s">
        <v>220</v>
      </c>
      <c r="D41" s="47">
        <v>-133200</v>
      </c>
      <c r="E41" s="48">
        <v>190.72562702702703</v>
      </c>
      <c r="F41" s="49">
        <v>197.05</v>
      </c>
      <c r="G41" s="49">
        <v>46.306980000000003</v>
      </c>
      <c r="H41" s="50">
        <f t="shared" si="0"/>
        <v>-262.47059999999999</v>
      </c>
    </row>
    <row r="42" spans="1:8" x14ac:dyDescent="0.2">
      <c r="A42" s="51"/>
      <c r="B42" s="46" t="s">
        <v>198</v>
      </c>
      <c r="C42" s="46" t="s">
        <v>32</v>
      </c>
      <c r="D42" s="47">
        <v>-328600</v>
      </c>
      <c r="E42" s="48">
        <v>165.816</v>
      </c>
      <c r="F42" s="49">
        <v>171.1</v>
      </c>
      <c r="G42" s="49">
        <v>112.58493199999999</v>
      </c>
      <c r="H42" s="50">
        <f t="shared" si="0"/>
        <v>-562.2346</v>
      </c>
    </row>
    <row r="43" spans="1:8" x14ac:dyDescent="0.2">
      <c r="A43" s="51"/>
      <c r="B43" s="46" t="s">
        <v>213</v>
      </c>
      <c r="C43" s="46" t="s">
        <v>55</v>
      </c>
      <c r="D43" s="47">
        <v>-65250</v>
      </c>
      <c r="E43" s="48">
        <v>521.86248996168581</v>
      </c>
      <c r="F43" s="49">
        <v>566.5</v>
      </c>
      <c r="G43" s="49">
        <v>76.320641300000005</v>
      </c>
      <c r="H43" s="50">
        <f t="shared" si="0"/>
        <v>-369.64125000000001</v>
      </c>
    </row>
    <row r="44" spans="1:8" x14ac:dyDescent="0.2">
      <c r="A44" s="51"/>
      <c r="B44" s="46" t="s">
        <v>398</v>
      </c>
      <c r="C44" s="46" t="s">
        <v>86</v>
      </c>
      <c r="D44" s="47">
        <v>-143000</v>
      </c>
      <c r="E44" s="48">
        <v>577.13040000000001</v>
      </c>
      <c r="F44" s="49">
        <v>592.70000000000005</v>
      </c>
      <c r="G44" s="49">
        <v>231.576345</v>
      </c>
      <c r="H44" s="50">
        <f t="shared" si="0"/>
        <v>-847.56100000000004</v>
      </c>
    </row>
    <row r="45" spans="1:8" x14ac:dyDescent="0.2">
      <c r="A45" s="51"/>
      <c r="B45" s="46" t="s">
        <v>101</v>
      </c>
      <c r="C45" s="46" t="s">
        <v>79</v>
      </c>
      <c r="D45" s="47">
        <v>-242675</v>
      </c>
      <c r="E45" s="48">
        <v>1301.6922716390234</v>
      </c>
      <c r="F45" s="49">
        <v>1320.05</v>
      </c>
      <c r="G45" s="49">
        <v>752.54670709999994</v>
      </c>
      <c r="H45" s="50">
        <f t="shared" si="0"/>
        <v>-3203.4313375000002</v>
      </c>
    </row>
    <row r="46" spans="1:8" x14ac:dyDescent="0.2">
      <c r="A46" s="51"/>
      <c r="B46" s="46" t="s">
        <v>163</v>
      </c>
      <c r="C46" s="46" t="s">
        <v>164</v>
      </c>
      <c r="D46" s="47">
        <v>-112000</v>
      </c>
      <c r="E46" s="48">
        <v>944.52542500000004</v>
      </c>
      <c r="F46" s="49">
        <v>912.55</v>
      </c>
      <c r="G46" s="49">
        <v>182.4648</v>
      </c>
      <c r="H46" s="50">
        <f t="shared" si="0"/>
        <v>-1022.056</v>
      </c>
    </row>
    <row r="47" spans="1:8" x14ac:dyDescent="0.2">
      <c r="A47" s="51"/>
      <c r="B47" s="46" t="s">
        <v>184</v>
      </c>
      <c r="C47" s="46" t="s">
        <v>55</v>
      </c>
      <c r="D47" s="47">
        <v>-196000</v>
      </c>
      <c r="E47" s="48">
        <v>299.95</v>
      </c>
      <c r="F47" s="49">
        <v>302.45</v>
      </c>
      <c r="G47" s="49">
        <v>128.81806</v>
      </c>
      <c r="H47" s="50">
        <f t="shared" si="0"/>
        <v>-592.80200000000002</v>
      </c>
    </row>
    <row r="48" spans="1:8" x14ac:dyDescent="0.2">
      <c r="A48" s="51"/>
      <c r="B48" s="46" t="s">
        <v>76</v>
      </c>
      <c r="C48" s="46" t="s">
        <v>44</v>
      </c>
      <c r="D48" s="47">
        <v>-273125</v>
      </c>
      <c r="E48" s="48">
        <v>1701.2876393226545</v>
      </c>
      <c r="F48" s="49">
        <v>1732.55</v>
      </c>
      <c r="G48" s="49">
        <v>834.20090530000004</v>
      </c>
      <c r="H48" s="50">
        <f t="shared" si="0"/>
        <v>-4732.0271874999999</v>
      </c>
    </row>
    <row r="49" spans="1:8" x14ac:dyDescent="0.2">
      <c r="A49" s="51"/>
      <c r="B49" s="46" t="s">
        <v>43</v>
      </c>
      <c r="C49" s="46" t="s">
        <v>44</v>
      </c>
      <c r="D49" s="47">
        <v>-3245400</v>
      </c>
      <c r="E49" s="48">
        <v>388.25233643926788</v>
      </c>
      <c r="F49" s="49">
        <v>399.3</v>
      </c>
      <c r="G49" s="49">
        <v>4522.8462344999998</v>
      </c>
      <c r="H49" s="50">
        <f t="shared" si="0"/>
        <v>-12958.8822</v>
      </c>
    </row>
    <row r="50" spans="1:8" x14ac:dyDescent="0.2">
      <c r="A50" s="51"/>
      <c r="B50" s="46" t="s">
        <v>230</v>
      </c>
      <c r="C50" s="46" t="s">
        <v>158</v>
      </c>
      <c r="D50" s="47">
        <v>-52500</v>
      </c>
      <c r="E50" s="48">
        <v>467.93687142857141</v>
      </c>
      <c r="F50" s="49">
        <v>470.8</v>
      </c>
      <c r="G50" s="49">
        <v>51.238031299999996</v>
      </c>
      <c r="H50" s="50">
        <f t="shared" si="0"/>
        <v>-247.17</v>
      </c>
    </row>
    <row r="51" spans="1:8" x14ac:dyDescent="0.2">
      <c r="A51" s="51"/>
      <c r="B51" s="46" t="s">
        <v>399</v>
      </c>
      <c r="C51" s="46" t="s">
        <v>243</v>
      </c>
      <c r="D51" s="47">
        <v>-8100</v>
      </c>
      <c r="E51" s="48">
        <v>2834.7185333333332</v>
      </c>
      <c r="F51" s="49">
        <v>2935.45</v>
      </c>
      <c r="G51" s="49">
        <v>51.151499999999999</v>
      </c>
      <c r="H51" s="50">
        <f t="shared" si="0"/>
        <v>-237.77144999999999</v>
      </c>
    </row>
    <row r="52" spans="1:8" x14ac:dyDescent="0.2">
      <c r="A52" s="51"/>
      <c r="B52" s="46" t="s">
        <v>119</v>
      </c>
      <c r="C52" s="46" t="s">
        <v>58</v>
      </c>
      <c r="D52" s="47">
        <v>-196000</v>
      </c>
      <c r="E52" s="48">
        <v>1040.9740717857144</v>
      </c>
      <c r="F52" s="49">
        <v>1067.7</v>
      </c>
      <c r="G52" s="49">
        <v>370.1019</v>
      </c>
      <c r="H52" s="50">
        <f t="shared" si="0"/>
        <v>-2092.692</v>
      </c>
    </row>
    <row r="53" spans="1:8" x14ac:dyDescent="0.2">
      <c r="A53" s="51"/>
      <c r="B53" s="46" t="s">
        <v>29</v>
      </c>
      <c r="C53" s="46" t="s">
        <v>25</v>
      </c>
      <c r="D53" s="47">
        <v>-1008150</v>
      </c>
      <c r="E53" s="48">
        <v>1667.799069563061</v>
      </c>
      <c r="F53" s="49">
        <v>1676.35</v>
      </c>
      <c r="G53" s="49">
        <v>3012.3421185000002</v>
      </c>
      <c r="H53" s="50">
        <f t="shared" si="0"/>
        <v>-16900.122524999999</v>
      </c>
    </row>
    <row r="54" spans="1:8" x14ac:dyDescent="0.2">
      <c r="A54" s="51"/>
      <c r="B54" s="46" t="s">
        <v>400</v>
      </c>
      <c r="C54" s="46" t="s">
        <v>141</v>
      </c>
      <c r="D54" s="47">
        <v>-46200</v>
      </c>
      <c r="E54" s="48">
        <v>517.76790000000005</v>
      </c>
      <c r="F54" s="49">
        <v>532.79999999999995</v>
      </c>
      <c r="G54" s="49">
        <v>47.739268499999994</v>
      </c>
      <c r="H54" s="50">
        <f t="shared" si="0"/>
        <v>-246.15359999999995</v>
      </c>
    </row>
    <row r="55" spans="1:8" x14ac:dyDescent="0.2">
      <c r="A55" s="51"/>
      <c r="B55" s="46" t="s">
        <v>401</v>
      </c>
      <c r="C55" s="46" t="s">
        <v>32</v>
      </c>
      <c r="D55" s="47">
        <v>-5400</v>
      </c>
      <c r="E55" s="48">
        <v>2759.2887999999998</v>
      </c>
      <c r="F55" s="49">
        <v>2782.8</v>
      </c>
      <c r="G55" s="49">
        <v>26.742393</v>
      </c>
      <c r="H55" s="50">
        <f t="shared" si="0"/>
        <v>-150.27120000000002</v>
      </c>
    </row>
    <row r="56" spans="1:8" x14ac:dyDescent="0.2">
      <c r="A56" s="51"/>
      <c r="B56" s="46" t="s">
        <v>133</v>
      </c>
      <c r="C56" s="46" t="s">
        <v>41</v>
      </c>
      <c r="D56" s="47">
        <v>-79200</v>
      </c>
      <c r="E56" s="48">
        <v>2524.6573712121212</v>
      </c>
      <c r="F56" s="49">
        <v>2568.4</v>
      </c>
      <c r="G56" s="49">
        <v>359.59314599999999</v>
      </c>
      <c r="H56" s="50">
        <f t="shared" si="0"/>
        <v>-2034.1728000000001</v>
      </c>
    </row>
    <row r="57" spans="1:8" x14ac:dyDescent="0.2">
      <c r="A57" s="51"/>
      <c r="B57" s="46" t="s">
        <v>402</v>
      </c>
      <c r="C57" s="46" t="s">
        <v>22</v>
      </c>
      <c r="D57" s="47">
        <v>-132300</v>
      </c>
      <c r="E57" s="48">
        <v>242.09998979591836</v>
      </c>
      <c r="F57" s="49">
        <v>252.9</v>
      </c>
      <c r="G57" s="49">
        <v>68.338903500000001</v>
      </c>
      <c r="H57" s="50">
        <f t="shared" si="0"/>
        <v>-334.58670000000001</v>
      </c>
    </row>
    <row r="58" spans="1:8" x14ac:dyDescent="0.2">
      <c r="A58" s="51"/>
      <c r="B58" s="46" t="s">
        <v>37</v>
      </c>
      <c r="C58" s="46" t="s">
        <v>38</v>
      </c>
      <c r="D58" s="47">
        <v>-586800</v>
      </c>
      <c r="E58" s="48">
        <v>2500.5316725460125</v>
      </c>
      <c r="F58" s="49">
        <v>2468.15</v>
      </c>
      <c r="G58" s="49">
        <v>2559.4235549999999</v>
      </c>
      <c r="H58" s="50">
        <f t="shared" si="0"/>
        <v>-14483.1042</v>
      </c>
    </row>
    <row r="59" spans="1:8" x14ac:dyDescent="0.2">
      <c r="A59" s="51"/>
      <c r="B59" s="46" t="s">
        <v>403</v>
      </c>
      <c r="C59" s="46" t="s">
        <v>32</v>
      </c>
      <c r="D59" s="47">
        <v>-1252000</v>
      </c>
      <c r="E59" s="48">
        <v>103.24626932907348</v>
      </c>
      <c r="F59" s="49">
        <v>108.45</v>
      </c>
      <c r="G59" s="49">
        <v>452.11597999999998</v>
      </c>
      <c r="H59" s="50">
        <f t="shared" si="0"/>
        <v>-1357.7940000000001</v>
      </c>
    </row>
    <row r="60" spans="1:8" x14ac:dyDescent="0.2">
      <c r="A60" s="51"/>
      <c r="B60" s="46" t="s">
        <v>24</v>
      </c>
      <c r="C60" s="46" t="s">
        <v>25</v>
      </c>
      <c r="D60" s="47">
        <v>-3238200</v>
      </c>
      <c r="E60" s="48">
        <v>912.77023480946207</v>
      </c>
      <c r="F60" s="49">
        <v>923</v>
      </c>
      <c r="G60" s="49">
        <v>5275.4892435000002</v>
      </c>
      <c r="H60" s="50">
        <f t="shared" si="0"/>
        <v>-29888.585999999999</v>
      </c>
    </row>
    <row r="61" spans="1:8" x14ac:dyDescent="0.2">
      <c r="A61" s="51"/>
      <c r="B61" s="46" t="s">
        <v>404</v>
      </c>
      <c r="C61" s="46" t="s">
        <v>141</v>
      </c>
      <c r="D61" s="47">
        <v>-57375</v>
      </c>
      <c r="E61" s="48">
        <v>1078.7951179084966</v>
      </c>
      <c r="F61" s="49">
        <v>1086.75</v>
      </c>
      <c r="G61" s="49">
        <v>109.9069788</v>
      </c>
      <c r="H61" s="50">
        <f t="shared" si="0"/>
        <v>-623.52281249999999</v>
      </c>
    </row>
    <row r="62" spans="1:8" x14ac:dyDescent="0.2">
      <c r="A62" s="51"/>
      <c r="B62" s="46" t="s">
        <v>140</v>
      </c>
      <c r="C62" s="46" t="s">
        <v>141</v>
      </c>
      <c r="D62" s="47">
        <v>-388500</v>
      </c>
      <c r="E62" s="48">
        <v>438.10559034749036</v>
      </c>
      <c r="F62" s="49">
        <v>436.9</v>
      </c>
      <c r="G62" s="49">
        <v>336.97810130000005</v>
      </c>
      <c r="H62" s="50">
        <f t="shared" si="0"/>
        <v>-1697.3565000000001</v>
      </c>
    </row>
    <row r="63" spans="1:8" x14ac:dyDescent="0.2">
      <c r="A63" s="51"/>
      <c r="B63" s="46" t="s">
        <v>67</v>
      </c>
      <c r="C63" s="46" t="s">
        <v>32</v>
      </c>
      <c r="D63" s="47">
        <v>-6870000</v>
      </c>
      <c r="E63" s="48">
        <v>85.812390829694323</v>
      </c>
      <c r="F63" s="49">
        <v>88.4</v>
      </c>
      <c r="G63" s="49">
        <v>1474.1302499999999</v>
      </c>
      <c r="H63" s="50">
        <f t="shared" si="0"/>
        <v>-6073.08</v>
      </c>
    </row>
    <row r="64" spans="1:8" x14ac:dyDescent="0.2">
      <c r="A64" s="51"/>
      <c r="B64" s="46" t="s">
        <v>405</v>
      </c>
      <c r="C64" s="46" t="s">
        <v>104</v>
      </c>
      <c r="D64" s="47">
        <v>-910000</v>
      </c>
      <c r="E64" s="48">
        <v>337.42921186813186</v>
      </c>
      <c r="F64" s="49">
        <v>340.95</v>
      </c>
      <c r="G64" s="49">
        <v>665.92662499999994</v>
      </c>
      <c r="H64" s="50">
        <f t="shared" si="0"/>
        <v>-3102.645</v>
      </c>
    </row>
    <row r="65" spans="1:8" x14ac:dyDescent="0.2">
      <c r="A65" s="51"/>
      <c r="B65" s="46" t="s">
        <v>234</v>
      </c>
      <c r="C65" s="46" t="s">
        <v>44</v>
      </c>
      <c r="D65" s="47">
        <v>-159500</v>
      </c>
      <c r="E65" s="48">
        <v>181.8272</v>
      </c>
      <c r="F65" s="49">
        <v>186.95</v>
      </c>
      <c r="G65" s="49">
        <v>79.228036299999999</v>
      </c>
      <c r="H65" s="50">
        <f t="shared" si="0"/>
        <v>-298.18525</v>
      </c>
    </row>
    <row r="66" spans="1:8" x14ac:dyDescent="0.2">
      <c r="A66" s="51"/>
      <c r="B66" s="46" t="s">
        <v>406</v>
      </c>
      <c r="C66" s="46" t="s">
        <v>122</v>
      </c>
      <c r="D66" s="47">
        <v>-1357500</v>
      </c>
      <c r="E66" s="48">
        <v>153.3295049723757</v>
      </c>
      <c r="F66" s="49">
        <v>157.1</v>
      </c>
      <c r="G66" s="49">
        <v>491.28264380000002</v>
      </c>
      <c r="H66" s="50">
        <f t="shared" si="0"/>
        <v>-2132.6325000000002</v>
      </c>
    </row>
    <row r="67" spans="1:8" x14ac:dyDescent="0.2">
      <c r="A67" s="51"/>
      <c r="B67" s="46" t="s">
        <v>49</v>
      </c>
      <c r="C67" s="46" t="s">
        <v>25</v>
      </c>
      <c r="D67" s="47">
        <v>-959850</v>
      </c>
      <c r="E67" s="48">
        <v>1132.7202753034328</v>
      </c>
      <c r="F67" s="49">
        <v>1158.45</v>
      </c>
      <c r="G67" s="49">
        <v>2546.9139875000001</v>
      </c>
      <c r="H67" s="50">
        <f t="shared" si="0"/>
        <v>-11119.382325</v>
      </c>
    </row>
    <row r="68" spans="1:8" x14ac:dyDescent="0.2">
      <c r="A68" s="51"/>
      <c r="B68" s="46" t="s">
        <v>407</v>
      </c>
      <c r="C68" s="46" t="s">
        <v>58</v>
      </c>
      <c r="D68" s="47">
        <v>-640400</v>
      </c>
      <c r="E68" s="48">
        <v>1237.0855312929418</v>
      </c>
      <c r="F68" s="49">
        <v>1258.25</v>
      </c>
      <c r="G68" s="49">
        <v>1433.98368</v>
      </c>
      <c r="H68" s="50">
        <f t="shared" si="0"/>
        <v>-8057.8329999999996</v>
      </c>
    </row>
    <row r="69" spans="1:8" x14ac:dyDescent="0.2">
      <c r="A69" s="51"/>
      <c r="B69" s="46" t="s">
        <v>408</v>
      </c>
      <c r="C69" s="46" t="s">
        <v>58</v>
      </c>
      <c r="D69" s="47">
        <v>-280000</v>
      </c>
      <c r="E69" s="48">
        <v>436.91087428571427</v>
      </c>
      <c r="F69" s="49">
        <v>447.45</v>
      </c>
      <c r="G69" s="49">
        <v>329.97160000000002</v>
      </c>
      <c r="H69" s="50">
        <f t="shared" si="0"/>
        <v>-1252.8599999999999</v>
      </c>
    </row>
    <row r="70" spans="1:8" x14ac:dyDescent="0.2">
      <c r="A70" s="51"/>
      <c r="B70" s="46" t="s">
        <v>226</v>
      </c>
      <c r="C70" s="46" t="s">
        <v>194</v>
      </c>
      <c r="D70" s="47">
        <v>-16500</v>
      </c>
      <c r="E70" s="48">
        <v>2001.5626672727274</v>
      </c>
      <c r="F70" s="49">
        <v>2034.8</v>
      </c>
      <c r="G70" s="49">
        <v>69.050437500000001</v>
      </c>
      <c r="H70" s="50">
        <f t="shared" si="0"/>
        <v>-335.74200000000002</v>
      </c>
    </row>
    <row r="71" spans="1:8" x14ac:dyDescent="0.2">
      <c r="A71" s="51"/>
      <c r="B71" s="46" t="s">
        <v>283</v>
      </c>
      <c r="C71" s="46" t="s">
        <v>22</v>
      </c>
      <c r="D71" s="47">
        <v>-39000</v>
      </c>
      <c r="E71" s="48">
        <v>79</v>
      </c>
      <c r="F71" s="49">
        <v>81.75</v>
      </c>
      <c r="G71" s="49">
        <v>5.6307225000000001</v>
      </c>
      <c r="H71" s="50">
        <f t="shared" si="0"/>
        <v>-31.8825</v>
      </c>
    </row>
    <row r="72" spans="1:8" x14ac:dyDescent="0.2">
      <c r="A72" s="51"/>
      <c r="B72" s="46" t="s">
        <v>409</v>
      </c>
      <c r="C72" s="46" t="s">
        <v>104</v>
      </c>
      <c r="D72" s="47">
        <v>-18375</v>
      </c>
      <c r="E72" s="48">
        <v>611.20469986394562</v>
      </c>
      <c r="F72" s="49">
        <v>621.75</v>
      </c>
      <c r="G72" s="49">
        <v>25.146463100000002</v>
      </c>
      <c r="H72" s="50">
        <f t="shared" si="0"/>
        <v>-114.2465625</v>
      </c>
    </row>
    <row r="73" spans="1:8" x14ac:dyDescent="0.2">
      <c r="A73" s="51"/>
      <c r="B73" s="46" t="s">
        <v>215</v>
      </c>
      <c r="C73" s="46" t="s">
        <v>161</v>
      </c>
      <c r="D73" s="47">
        <v>-67500</v>
      </c>
      <c r="E73" s="48">
        <v>566.85709999999995</v>
      </c>
      <c r="F73" s="49">
        <v>584.70000000000005</v>
      </c>
      <c r="G73" s="49">
        <v>101.21625</v>
      </c>
      <c r="H73" s="50">
        <f t="shared" si="0"/>
        <v>-394.67250000000001</v>
      </c>
    </row>
    <row r="74" spans="1:8" x14ac:dyDescent="0.2">
      <c r="A74" s="51"/>
      <c r="B74" s="46" t="s">
        <v>410</v>
      </c>
      <c r="C74" s="46" t="s">
        <v>25</v>
      </c>
      <c r="D74" s="47">
        <v>-962000</v>
      </c>
      <c r="E74" s="48">
        <v>1903.1087647817048</v>
      </c>
      <c r="F74" s="49">
        <v>1946.05</v>
      </c>
      <c r="G74" s="49">
        <v>3308.0774999999999</v>
      </c>
      <c r="H74" s="50">
        <f t="shared" ref="H74:H126" si="1">+(D74*F74)/100000</f>
        <v>-18721.001</v>
      </c>
    </row>
    <row r="75" spans="1:8" x14ac:dyDescent="0.2">
      <c r="A75" s="51"/>
      <c r="B75" s="46" t="s">
        <v>411</v>
      </c>
      <c r="C75" s="46" t="s">
        <v>58</v>
      </c>
      <c r="D75" s="47">
        <v>-54000</v>
      </c>
      <c r="E75" s="48">
        <v>266.47399999999999</v>
      </c>
      <c r="F75" s="49">
        <v>274.85000000000002</v>
      </c>
      <c r="G75" s="49">
        <v>35.901629999999997</v>
      </c>
      <c r="H75" s="50">
        <f t="shared" si="1"/>
        <v>-148.41900000000001</v>
      </c>
    </row>
    <row r="76" spans="1:8" x14ac:dyDescent="0.2">
      <c r="A76" s="51"/>
      <c r="B76" s="46" t="s">
        <v>135</v>
      </c>
      <c r="C76" s="46" t="s">
        <v>32</v>
      </c>
      <c r="D76" s="47">
        <v>-2097140</v>
      </c>
      <c r="E76" s="48">
        <v>89.060163403492382</v>
      </c>
      <c r="F76" s="49">
        <v>93.25</v>
      </c>
      <c r="G76" s="49">
        <v>449.0029169</v>
      </c>
      <c r="H76" s="50">
        <f t="shared" si="1"/>
        <v>-1955.58305</v>
      </c>
    </row>
    <row r="77" spans="1:8" x14ac:dyDescent="0.2">
      <c r="A77" s="51"/>
      <c r="B77" s="46" t="s">
        <v>412</v>
      </c>
      <c r="C77" s="46" t="s">
        <v>58</v>
      </c>
      <c r="D77" s="47">
        <v>-9750</v>
      </c>
      <c r="E77" s="48">
        <v>4420.914615384615</v>
      </c>
      <c r="F77" s="49">
        <v>4449.8</v>
      </c>
      <c r="G77" s="49">
        <v>94.301512500000001</v>
      </c>
      <c r="H77" s="50">
        <f t="shared" si="1"/>
        <v>-433.85550000000001</v>
      </c>
    </row>
    <row r="78" spans="1:8" x14ac:dyDescent="0.2">
      <c r="A78" s="51"/>
      <c r="B78" s="46" t="s">
        <v>413</v>
      </c>
      <c r="C78" s="46" t="s">
        <v>107</v>
      </c>
      <c r="D78" s="47">
        <v>-127500</v>
      </c>
      <c r="E78" s="48">
        <v>2262.4077282352941</v>
      </c>
      <c r="F78" s="49">
        <v>2371.9</v>
      </c>
      <c r="G78" s="49">
        <v>534.80289379999999</v>
      </c>
      <c r="H78" s="50">
        <f t="shared" si="1"/>
        <v>-3024.1725000000001</v>
      </c>
    </row>
    <row r="79" spans="1:8" x14ac:dyDescent="0.2">
      <c r="A79" s="51"/>
      <c r="B79" s="46" t="s">
        <v>175</v>
      </c>
      <c r="C79" s="46" t="s">
        <v>32</v>
      </c>
      <c r="D79" s="47">
        <v>-220000</v>
      </c>
      <c r="E79" s="48">
        <v>341.10949727272725</v>
      </c>
      <c r="F79" s="49">
        <v>346.45</v>
      </c>
      <c r="G79" s="49">
        <v>159.43785</v>
      </c>
      <c r="H79" s="50">
        <f t="shared" si="1"/>
        <v>-762.19</v>
      </c>
    </row>
    <row r="80" spans="1:8" x14ac:dyDescent="0.2">
      <c r="A80" s="51"/>
      <c r="B80" s="46" t="s">
        <v>196</v>
      </c>
      <c r="C80" s="46" t="s">
        <v>41</v>
      </c>
      <c r="D80" s="47">
        <v>-42700</v>
      </c>
      <c r="E80" s="48">
        <v>1218.773780327869</v>
      </c>
      <c r="F80" s="49">
        <v>1231.4000000000001</v>
      </c>
      <c r="G80" s="49">
        <v>92.937297300000012</v>
      </c>
      <c r="H80" s="50">
        <f t="shared" si="1"/>
        <v>-525.80780000000004</v>
      </c>
    </row>
    <row r="81" spans="1:8" x14ac:dyDescent="0.2">
      <c r="A81" s="51"/>
      <c r="B81" s="46" t="s">
        <v>263</v>
      </c>
      <c r="C81" s="46" t="s">
        <v>158</v>
      </c>
      <c r="D81" s="47">
        <v>-12000</v>
      </c>
      <c r="E81" s="48">
        <v>1019.3033</v>
      </c>
      <c r="F81" s="49">
        <v>1015.1</v>
      </c>
      <c r="G81" s="49">
        <v>24.656009999999998</v>
      </c>
      <c r="H81" s="50">
        <f t="shared" si="1"/>
        <v>-121.812</v>
      </c>
    </row>
    <row r="82" spans="1:8" x14ac:dyDescent="0.2">
      <c r="A82" s="51"/>
      <c r="B82" s="46" t="s">
        <v>188</v>
      </c>
      <c r="C82" s="46" t="s">
        <v>32</v>
      </c>
      <c r="D82" s="47">
        <v>-456000</v>
      </c>
      <c r="E82" s="48">
        <v>128.6124842105263</v>
      </c>
      <c r="F82" s="49">
        <v>130</v>
      </c>
      <c r="G82" s="49">
        <v>137.85677999999999</v>
      </c>
      <c r="H82" s="50">
        <f t="shared" si="1"/>
        <v>-592.79999999999995</v>
      </c>
    </row>
    <row r="83" spans="1:8" x14ac:dyDescent="0.2">
      <c r="A83" s="51"/>
      <c r="B83" s="46" t="s">
        <v>179</v>
      </c>
      <c r="C83" s="46" t="s">
        <v>392</v>
      </c>
      <c r="D83" s="47">
        <v>-140400</v>
      </c>
      <c r="E83" s="48">
        <v>491.62089230769232</v>
      </c>
      <c r="F83" s="49">
        <v>499.5</v>
      </c>
      <c r="G83" s="49">
        <v>123.738732</v>
      </c>
      <c r="H83" s="50">
        <f t="shared" si="1"/>
        <v>-701.298</v>
      </c>
    </row>
    <row r="84" spans="1:8" x14ac:dyDescent="0.2">
      <c r="A84" s="51"/>
      <c r="B84" s="46" t="s">
        <v>414</v>
      </c>
      <c r="C84" s="46" t="s">
        <v>41</v>
      </c>
      <c r="D84" s="47">
        <v>-84600</v>
      </c>
      <c r="E84" s="48">
        <v>8569.5600096926719</v>
      </c>
      <c r="F84" s="49">
        <v>8648.2999999999993</v>
      </c>
      <c r="G84" s="49">
        <v>1290.3870915</v>
      </c>
      <c r="H84" s="50">
        <f t="shared" si="1"/>
        <v>-7316.4617999999991</v>
      </c>
    </row>
    <row r="85" spans="1:8" x14ac:dyDescent="0.2">
      <c r="A85" s="51"/>
      <c r="B85" s="46" t="s">
        <v>415</v>
      </c>
      <c r="C85" s="46" t="s">
        <v>141</v>
      </c>
      <c r="D85" s="47">
        <v>-27950</v>
      </c>
      <c r="E85" s="48">
        <v>613.28950017889088</v>
      </c>
      <c r="F85" s="49">
        <v>641.5</v>
      </c>
      <c r="G85" s="49">
        <v>38.191304299999999</v>
      </c>
      <c r="H85" s="50">
        <f t="shared" si="1"/>
        <v>-179.29925</v>
      </c>
    </row>
    <row r="86" spans="1:8" x14ac:dyDescent="0.2">
      <c r="A86" s="51"/>
      <c r="B86" s="46" t="s">
        <v>416</v>
      </c>
      <c r="C86" s="46" t="s">
        <v>61</v>
      </c>
      <c r="D86" s="47">
        <v>-941875</v>
      </c>
      <c r="E86" s="48">
        <v>772.17454081486392</v>
      </c>
      <c r="F86" s="49">
        <v>782.3</v>
      </c>
      <c r="G86" s="49">
        <v>1310.6873534000001</v>
      </c>
      <c r="H86" s="50">
        <f t="shared" si="1"/>
        <v>-7368.288125</v>
      </c>
    </row>
    <row r="87" spans="1:8" x14ac:dyDescent="0.2">
      <c r="A87" s="51"/>
      <c r="B87" s="46" t="s">
        <v>285</v>
      </c>
      <c r="C87" s="46" t="s">
        <v>173</v>
      </c>
      <c r="D87" s="47">
        <v>-3200</v>
      </c>
      <c r="E87" s="48">
        <v>1253.6687374999999</v>
      </c>
      <c r="F87" s="49">
        <v>1261.6500000000001</v>
      </c>
      <c r="G87" s="49">
        <v>9.437792</v>
      </c>
      <c r="H87" s="50">
        <f t="shared" si="1"/>
        <v>-40.372800000000005</v>
      </c>
    </row>
    <row r="88" spans="1:8" x14ac:dyDescent="0.2">
      <c r="A88" s="51"/>
      <c r="B88" s="46" t="s">
        <v>417</v>
      </c>
      <c r="C88" s="46" t="s">
        <v>220</v>
      </c>
      <c r="D88" s="47">
        <v>-1650</v>
      </c>
      <c r="E88" s="48">
        <v>19176.051503030303</v>
      </c>
      <c r="F88" s="49">
        <v>19501.05</v>
      </c>
      <c r="G88" s="49">
        <v>56.729145000000003</v>
      </c>
      <c r="H88" s="50">
        <f t="shared" si="1"/>
        <v>-321.76732500000003</v>
      </c>
    </row>
    <row r="89" spans="1:8" x14ac:dyDescent="0.2">
      <c r="A89" s="51"/>
      <c r="B89" s="46" t="s">
        <v>253</v>
      </c>
      <c r="C89" s="46" t="s">
        <v>220</v>
      </c>
      <c r="D89" s="47">
        <v>-216000</v>
      </c>
      <c r="E89" s="48">
        <v>69.334374999999994</v>
      </c>
      <c r="F89" s="49">
        <v>73.8</v>
      </c>
      <c r="G89" s="49">
        <v>37.849679999999999</v>
      </c>
      <c r="H89" s="50">
        <f t="shared" si="1"/>
        <v>-159.40799999999999</v>
      </c>
    </row>
    <row r="90" spans="1:8" x14ac:dyDescent="0.2">
      <c r="A90" s="51"/>
      <c r="B90" s="46" t="s">
        <v>418</v>
      </c>
      <c r="C90" s="46" t="s">
        <v>58</v>
      </c>
      <c r="D90" s="47">
        <v>-1925</v>
      </c>
      <c r="E90" s="48">
        <v>1777.45</v>
      </c>
      <c r="F90" s="49">
        <v>1825.95</v>
      </c>
      <c r="G90" s="49">
        <v>7.4938928000000002</v>
      </c>
      <c r="H90" s="50">
        <f t="shared" si="1"/>
        <v>-35.149537500000001</v>
      </c>
    </row>
    <row r="91" spans="1:8" x14ac:dyDescent="0.2">
      <c r="A91" s="51"/>
      <c r="B91" s="46" t="s">
        <v>419</v>
      </c>
      <c r="C91" s="46" t="s">
        <v>52</v>
      </c>
      <c r="D91" s="47">
        <v>-1557500</v>
      </c>
      <c r="E91" s="48">
        <v>674.17809165971107</v>
      </c>
      <c r="F91" s="49">
        <v>685.7</v>
      </c>
      <c r="G91" s="49">
        <v>3101.9948749999999</v>
      </c>
      <c r="H91" s="50">
        <f t="shared" si="1"/>
        <v>-10679.777500000002</v>
      </c>
    </row>
    <row r="92" spans="1:8" x14ac:dyDescent="0.2">
      <c r="A92" s="51"/>
      <c r="B92" s="46" t="s">
        <v>265</v>
      </c>
      <c r="C92" s="46" t="s">
        <v>266</v>
      </c>
      <c r="D92" s="47">
        <v>-127500</v>
      </c>
      <c r="E92" s="48">
        <v>83.064705882352939</v>
      </c>
      <c r="F92" s="49">
        <v>83.45</v>
      </c>
      <c r="G92" s="49">
        <v>26.097975000000002</v>
      </c>
      <c r="H92" s="50">
        <f t="shared" si="1"/>
        <v>-106.39875000000001</v>
      </c>
    </row>
    <row r="93" spans="1:8" x14ac:dyDescent="0.2">
      <c r="A93" s="51"/>
      <c r="B93" s="46" t="s">
        <v>170</v>
      </c>
      <c r="C93" s="46" t="s">
        <v>138</v>
      </c>
      <c r="D93" s="47">
        <v>-4040</v>
      </c>
      <c r="E93" s="48">
        <v>20793.244420792078</v>
      </c>
      <c r="F93" s="49">
        <v>21819.599999999999</v>
      </c>
      <c r="G93" s="49">
        <v>155.9746313</v>
      </c>
      <c r="H93" s="50">
        <f t="shared" si="1"/>
        <v>-881.51184000000001</v>
      </c>
    </row>
    <row r="94" spans="1:8" x14ac:dyDescent="0.2">
      <c r="A94" s="51"/>
      <c r="B94" s="46" t="s">
        <v>420</v>
      </c>
      <c r="C94" s="46" t="s">
        <v>32</v>
      </c>
      <c r="D94" s="47">
        <v>-291500</v>
      </c>
      <c r="E94" s="48">
        <v>721.31720963979421</v>
      </c>
      <c r="F94" s="49">
        <v>741.6</v>
      </c>
      <c r="G94" s="49">
        <v>529.31080129999998</v>
      </c>
      <c r="H94" s="50">
        <f t="shared" si="1"/>
        <v>-2161.7640000000001</v>
      </c>
    </row>
    <row r="95" spans="1:8" x14ac:dyDescent="0.2">
      <c r="A95" s="51"/>
      <c r="B95" s="46" t="s">
        <v>421</v>
      </c>
      <c r="C95" s="46" t="s">
        <v>155</v>
      </c>
      <c r="D95" s="47">
        <v>-1035000</v>
      </c>
      <c r="E95" s="48">
        <v>109.51238695652174</v>
      </c>
      <c r="F95" s="49">
        <v>109.3</v>
      </c>
      <c r="G95" s="49">
        <v>254.459925</v>
      </c>
      <c r="H95" s="50">
        <f t="shared" si="1"/>
        <v>-1131.2550000000001</v>
      </c>
    </row>
    <row r="96" spans="1:8" x14ac:dyDescent="0.2">
      <c r="A96" s="51"/>
      <c r="B96" s="46" t="s">
        <v>422</v>
      </c>
      <c r="C96" s="46" t="s">
        <v>35</v>
      </c>
      <c r="D96" s="47">
        <v>-1413600</v>
      </c>
      <c r="E96" s="48">
        <v>172.92457096774194</v>
      </c>
      <c r="F96" s="49">
        <v>172.7</v>
      </c>
      <c r="G96" s="49">
        <v>431.44485600000002</v>
      </c>
      <c r="H96" s="50">
        <f t="shared" si="1"/>
        <v>-2441.2871999999998</v>
      </c>
    </row>
    <row r="97" spans="1:8" x14ac:dyDescent="0.2">
      <c r="A97" s="51"/>
      <c r="B97" s="46" t="s">
        <v>81</v>
      </c>
      <c r="C97" s="46" t="s">
        <v>79</v>
      </c>
      <c r="D97" s="47">
        <v>-511700</v>
      </c>
      <c r="E97" s="48">
        <v>902.43339069767444</v>
      </c>
      <c r="F97" s="49">
        <v>920.9</v>
      </c>
      <c r="G97" s="49">
        <v>1020.5472725</v>
      </c>
      <c r="H97" s="50">
        <f t="shared" si="1"/>
        <v>-4712.2452999999996</v>
      </c>
    </row>
    <row r="98" spans="1:8" x14ac:dyDescent="0.2">
      <c r="A98" s="51"/>
      <c r="B98" s="46" t="s">
        <v>206</v>
      </c>
      <c r="C98" s="46" t="s">
        <v>207</v>
      </c>
      <c r="D98" s="47">
        <v>-261800</v>
      </c>
      <c r="E98" s="48">
        <v>161.24775443086327</v>
      </c>
      <c r="F98" s="49">
        <v>159.75</v>
      </c>
      <c r="G98" s="49">
        <v>86.007845000000003</v>
      </c>
      <c r="H98" s="50">
        <f t="shared" si="1"/>
        <v>-418.22550000000001</v>
      </c>
    </row>
    <row r="99" spans="1:8" x14ac:dyDescent="0.2">
      <c r="A99" s="51"/>
      <c r="B99" s="46" t="s">
        <v>270</v>
      </c>
      <c r="C99" s="46" t="s">
        <v>131</v>
      </c>
      <c r="D99" s="47">
        <v>-28600</v>
      </c>
      <c r="E99" s="48">
        <v>223.54545454545453</v>
      </c>
      <c r="F99" s="49">
        <v>223.45</v>
      </c>
      <c r="G99" s="49">
        <v>13.510496999999999</v>
      </c>
      <c r="H99" s="50">
        <f t="shared" si="1"/>
        <v>-63.906700000000001</v>
      </c>
    </row>
    <row r="100" spans="1:8" x14ac:dyDescent="0.2">
      <c r="A100" s="51"/>
      <c r="B100" s="46" t="s">
        <v>157</v>
      </c>
      <c r="C100" s="46" t="s">
        <v>158</v>
      </c>
      <c r="D100" s="47">
        <v>-450000</v>
      </c>
      <c r="E100" s="48">
        <v>238.66959151111112</v>
      </c>
      <c r="F100" s="49">
        <v>238.35</v>
      </c>
      <c r="G100" s="49">
        <v>189.21937500000001</v>
      </c>
      <c r="H100" s="50">
        <f t="shared" si="1"/>
        <v>-1072.575</v>
      </c>
    </row>
    <row r="101" spans="1:8" x14ac:dyDescent="0.2">
      <c r="A101" s="51"/>
      <c r="B101" s="46" t="s">
        <v>423</v>
      </c>
      <c r="C101" s="46" t="s">
        <v>115</v>
      </c>
      <c r="D101" s="47">
        <v>-63500</v>
      </c>
      <c r="E101" s="48">
        <v>3132.9617894488188</v>
      </c>
      <c r="F101" s="49">
        <v>3398.9</v>
      </c>
      <c r="G101" s="49">
        <v>443.56289880000003</v>
      </c>
      <c r="H101" s="50">
        <f t="shared" si="1"/>
        <v>-2158.3015</v>
      </c>
    </row>
    <row r="102" spans="1:8" x14ac:dyDescent="0.2">
      <c r="A102" s="51"/>
      <c r="B102" s="46" t="s">
        <v>128</v>
      </c>
      <c r="C102" s="46" t="s">
        <v>25</v>
      </c>
      <c r="D102" s="47">
        <v>-3968000</v>
      </c>
      <c r="E102" s="48">
        <v>50.027566129032259</v>
      </c>
      <c r="F102" s="49">
        <v>52.55</v>
      </c>
      <c r="G102" s="49">
        <v>518.51840000000004</v>
      </c>
      <c r="H102" s="50">
        <f t="shared" si="1"/>
        <v>-2085.1840000000002</v>
      </c>
    </row>
    <row r="103" spans="1:8" x14ac:dyDescent="0.2">
      <c r="A103" s="51"/>
      <c r="B103" s="46" t="s">
        <v>182</v>
      </c>
      <c r="C103" s="46" t="s">
        <v>35</v>
      </c>
      <c r="D103" s="47">
        <v>-302400</v>
      </c>
      <c r="E103" s="48">
        <v>232.35304732142856</v>
      </c>
      <c r="F103" s="49">
        <v>238.1</v>
      </c>
      <c r="G103" s="49">
        <v>127.264284</v>
      </c>
      <c r="H103" s="50">
        <f t="shared" si="1"/>
        <v>-720.01440000000002</v>
      </c>
    </row>
    <row r="104" spans="1:8" x14ac:dyDescent="0.2">
      <c r="A104" s="51"/>
      <c r="B104" s="46" t="s">
        <v>424</v>
      </c>
      <c r="C104" s="46" t="s">
        <v>47</v>
      </c>
      <c r="D104" s="47">
        <v>-30118</v>
      </c>
      <c r="E104" s="48">
        <v>1471.8722972972973</v>
      </c>
      <c r="F104" s="49">
        <v>1473.4</v>
      </c>
      <c r="G104" s="49">
        <v>94.471128800000002</v>
      </c>
      <c r="H104" s="50">
        <f t="shared" si="1"/>
        <v>-443.75861200000003</v>
      </c>
    </row>
    <row r="105" spans="1:8" x14ac:dyDescent="0.2">
      <c r="A105" s="51"/>
      <c r="B105" s="46" t="s">
        <v>21</v>
      </c>
      <c r="C105" s="46" t="s">
        <v>22</v>
      </c>
      <c r="D105" s="47">
        <v>-1347250</v>
      </c>
      <c r="E105" s="48">
        <v>2377.7695796845428</v>
      </c>
      <c r="F105" s="49">
        <v>2430.6</v>
      </c>
      <c r="G105" s="49">
        <v>5785.5428338000002</v>
      </c>
      <c r="H105" s="50">
        <f t="shared" si="1"/>
        <v>-32746.2585</v>
      </c>
    </row>
    <row r="106" spans="1:8" x14ac:dyDescent="0.2">
      <c r="A106" s="51"/>
      <c r="B106" s="46" t="s">
        <v>425</v>
      </c>
      <c r="C106" s="46" t="s">
        <v>32</v>
      </c>
      <c r="D106" s="47">
        <v>-2992000</v>
      </c>
      <c r="E106" s="48">
        <v>124.45330882352941</v>
      </c>
      <c r="F106" s="49">
        <v>132.69999999999999</v>
      </c>
      <c r="G106" s="49">
        <v>741.74671999999998</v>
      </c>
      <c r="H106" s="50">
        <f t="shared" si="1"/>
        <v>-3970.3839999999996</v>
      </c>
    </row>
    <row r="107" spans="1:8" x14ac:dyDescent="0.2">
      <c r="A107" s="51"/>
      <c r="B107" s="46" t="s">
        <v>426</v>
      </c>
      <c r="C107" s="46" t="s">
        <v>161</v>
      </c>
      <c r="D107" s="47">
        <v>-1328000</v>
      </c>
      <c r="E107" s="48">
        <v>83.227699999999999</v>
      </c>
      <c r="F107" s="49">
        <v>83.3</v>
      </c>
      <c r="G107" s="49">
        <v>266.51632000000001</v>
      </c>
      <c r="H107" s="50">
        <f t="shared" si="1"/>
        <v>-1106.2239999999999</v>
      </c>
    </row>
    <row r="108" spans="1:8" x14ac:dyDescent="0.2">
      <c r="A108" s="51"/>
      <c r="B108" s="46" t="s">
        <v>166</v>
      </c>
      <c r="C108" s="46" t="s">
        <v>141</v>
      </c>
      <c r="D108" s="47">
        <v>-80250</v>
      </c>
      <c r="E108" s="48">
        <v>1129.4616242990655</v>
      </c>
      <c r="F108" s="49">
        <v>1146.25</v>
      </c>
      <c r="G108" s="49">
        <v>162.3690225</v>
      </c>
      <c r="H108" s="50">
        <f t="shared" si="1"/>
        <v>-919.86562500000002</v>
      </c>
    </row>
    <row r="109" spans="1:8" x14ac:dyDescent="0.2">
      <c r="A109" s="51"/>
      <c r="B109" s="46" t="s">
        <v>90</v>
      </c>
      <c r="C109" s="46" t="s">
        <v>91</v>
      </c>
      <c r="D109" s="47">
        <v>-102025</v>
      </c>
      <c r="E109" s="48">
        <v>3353.1573623131585</v>
      </c>
      <c r="F109" s="49">
        <v>3475.4</v>
      </c>
      <c r="G109" s="49">
        <v>625.18879749999996</v>
      </c>
      <c r="H109" s="50">
        <f t="shared" si="1"/>
        <v>-3545.7768500000002</v>
      </c>
    </row>
    <row r="110" spans="1:8" x14ac:dyDescent="0.2">
      <c r="A110" s="51"/>
      <c r="B110" s="46" t="s">
        <v>85</v>
      </c>
      <c r="C110" s="46" t="s">
        <v>86</v>
      </c>
      <c r="D110" s="47">
        <v>-163125</v>
      </c>
      <c r="E110" s="48">
        <v>2502.530055172414</v>
      </c>
      <c r="F110" s="49">
        <v>2548.3000000000002</v>
      </c>
      <c r="G110" s="49">
        <v>807.05563590000008</v>
      </c>
      <c r="H110" s="50">
        <f t="shared" si="1"/>
        <v>-4156.9143750000003</v>
      </c>
    </row>
    <row r="111" spans="1:8" x14ac:dyDescent="0.2">
      <c r="A111" s="51"/>
      <c r="B111" s="46" t="s">
        <v>54</v>
      </c>
      <c r="C111" s="46" t="s">
        <v>55</v>
      </c>
      <c r="D111" s="47">
        <v>-835800</v>
      </c>
      <c r="E111" s="48">
        <v>978.30363601340036</v>
      </c>
      <c r="F111" s="49">
        <v>992.2</v>
      </c>
      <c r="G111" s="49">
        <v>1464.3947324999999</v>
      </c>
      <c r="H111" s="50">
        <f t="shared" si="1"/>
        <v>-8292.8076000000001</v>
      </c>
    </row>
    <row r="112" spans="1:8" x14ac:dyDescent="0.2">
      <c r="A112" s="51"/>
      <c r="B112" s="46" t="s">
        <v>217</v>
      </c>
      <c r="C112" s="46" t="s">
        <v>86</v>
      </c>
      <c r="D112" s="47">
        <v>-42000</v>
      </c>
      <c r="E112" s="48">
        <v>945.5476083333333</v>
      </c>
      <c r="F112" s="49">
        <v>958.4</v>
      </c>
      <c r="G112" s="49">
        <v>84.704864999999998</v>
      </c>
      <c r="H112" s="50">
        <f t="shared" si="1"/>
        <v>-402.52800000000002</v>
      </c>
    </row>
    <row r="113" spans="1:8" x14ac:dyDescent="0.2">
      <c r="A113" s="51"/>
      <c r="B113" s="46" t="s">
        <v>427</v>
      </c>
      <c r="C113" s="46" t="s">
        <v>35</v>
      </c>
      <c r="D113" s="47">
        <v>-7384500</v>
      </c>
      <c r="E113" s="48">
        <v>198.69046398672896</v>
      </c>
      <c r="F113" s="49">
        <v>202.55</v>
      </c>
      <c r="G113" s="49">
        <v>3211.5928950000002</v>
      </c>
      <c r="H113" s="50">
        <f t="shared" si="1"/>
        <v>-14957.304749999999</v>
      </c>
    </row>
    <row r="114" spans="1:8" x14ac:dyDescent="0.2">
      <c r="A114" s="51"/>
      <c r="B114" s="46" t="s">
        <v>428</v>
      </c>
      <c r="C114" s="46" t="s">
        <v>392</v>
      </c>
      <c r="D114" s="47">
        <v>-20700</v>
      </c>
      <c r="E114" s="48">
        <v>726.24779999999998</v>
      </c>
      <c r="F114" s="49">
        <v>757.8</v>
      </c>
      <c r="G114" s="49">
        <v>27.982829300000002</v>
      </c>
      <c r="H114" s="50">
        <f t="shared" si="1"/>
        <v>-156.86459999999997</v>
      </c>
    </row>
    <row r="115" spans="1:8" x14ac:dyDescent="0.2">
      <c r="A115" s="51"/>
      <c r="B115" s="46" t="s">
        <v>146</v>
      </c>
      <c r="C115" s="46" t="s">
        <v>58</v>
      </c>
      <c r="D115" s="47">
        <v>-42875</v>
      </c>
      <c r="E115" s="48">
        <v>3169.4</v>
      </c>
      <c r="F115" s="49">
        <v>3232.5</v>
      </c>
      <c r="G115" s="49">
        <v>260.21429789999996</v>
      </c>
      <c r="H115" s="50">
        <f t="shared" si="1"/>
        <v>-1385.934375</v>
      </c>
    </row>
    <row r="116" spans="1:8" x14ac:dyDescent="0.2">
      <c r="A116" s="51"/>
      <c r="B116" s="52" t="s">
        <v>146</v>
      </c>
      <c r="C116" s="46" t="s">
        <v>58</v>
      </c>
      <c r="D116" s="53">
        <v>-2450</v>
      </c>
      <c r="E116" s="54">
        <v>3120.1820979591835</v>
      </c>
      <c r="F116" s="55">
        <v>3229.2</v>
      </c>
      <c r="G116" s="55">
        <v>260.21429789999996</v>
      </c>
      <c r="H116" s="50">
        <f t="shared" si="1"/>
        <v>-79.115399999999994</v>
      </c>
    </row>
    <row r="117" spans="1:8" x14ac:dyDescent="0.2">
      <c r="A117" s="51"/>
      <c r="B117" s="46" t="s">
        <v>289</v>
      </c>
      <c r="C117" s="46" t="s">
        <v>58</v>
      </c>
      <c r="D117" s="47">
        <v>-6600</v>
      </c>
      <c r="E117" s="48">
        <v>1029.6044909090908</v>
      </c>
      <c r="F117" s="49">
        <v>1029.5999999999999</v>
      </c>
      <c r="G117" s="49">
        <v>13.0385805</v>
      </c>
      <c r="H117" s="50">
        <f t="shared" si="1"/>
        <v>-67.953599999999994</v>
      </c>
    </row>
    <row r="118" spans="1:8" x14ac:dyDescent="0.2">
      <c r="A118" s="51"/>
      <c r="B118" s="46" t="s">
        <v>40</v>
      </c>
      <c r="C118" s="46" t="s">
        <v>41</v>
      </c>
      <c r="D118" s="47">
        <v>-2713200</v>
      </c>
      <c r="E118" s="48">
        <v>476.74891717897685</v>
      </c>
      <c r="F118" s="49">
        <v>488.2</v>
      </c>
      <c r="G118" s="49">
        <v>3012.2489039999996</v>
      </c>
      <c r="H118" s="50">
        <f t="shared" si="1"/>
        <v>-13245.8424</v>
      </c>
    </row>
    <row r="119" spans="1:8" x14ac:dyDescent="0.2">
      <c r="A119" s="51"/>
      <c r="B119" s="46" t="s">
        <v>236</v>
      </c>
      <c r="C119" s="46" t="s">
        <v>161</v>
      </c>
      <c r="D119" s="47">
        <v>-247500</v>
      </c>
      <c r="E119" s="48">
        <v>107.68441333333334</v>
      </c>
      <c r="F119" s="49">
        <v>108.7</v>
      </c>
      <c r="G119" s="49">
        <v>59.312137499999999</v>
      </c>
      <c r="H119" s="50">
        <f t="shared" si="1"/>
        <v>-269.03250000000003</v>
      </c>
    </row>
    <row r="120" spans="1:8" x14ac:dyDescent="0.2">
      <c r="A120" s="51"/>
      <c r="B120" s="46" t="s">
        <v>73</v>
      </c>
      <c r="C120" s="46" t="s">
        <v>74</v>
      </c>
      <c r="D120" s="47">
        <v>-183000</v>
      </c>
      <c r="E120" s="48">
        <v>2625.9606854644808</v>
      </c>
      <c r="F120" s="49">
        <v>2649.3</v>
      </c>
      <c r="G120" s="49">
        <v>857.721</v>
      </c>
      <c r="H120" s="50">
        <f t="shared" si="1"/>
        <v>-4848.219000000001</v>
      </c>
    </row>
    <row r="121" spans="1:8" x14ac:dyDescent="0.2">
      <c r="A121" s="51"/>
      <c r="B121" s="46" t="s">
        <v>200</v>
      </c>
      <c r="C121" s="46" t="s">
        <v>55</v>
      </c>
      <c r="D121" s="47">
        <v>-33000</v>
      </c>
      <c r="E121" s="48">
        <v>1646.1370999999999</v>
      </c>
      <c r="F121" s="49">
        <v>1657.7</v>
      </c>
      <c r="G121" s="49">
        <v>96.742800000000003</v>
      </c>
      <c r="H121" s="50">
        <f t="shared" si="1"/>
        <v>-547.04100000000005</v>
      </c>
    </row>
    <row r="122" spans="1:8" x14ac:dyDescent="0.2">
      <c r="A122" s="51"/>
      <c r="B122" s="46" t="s">
        <v>130</v>
      </c>
      <c r="C122" s="46" t="s">
        <v>131</v>
      </c>
      <c r="D122" s="47">
        <v>-149200</v>
      </c>
      <c r="E122" s="48">
        <v>1390.8438565013405</v>
      </c>
      <c r="F122" s="49">
        <v>1368.95</v>
      </c>
      <c r="G122" s="49">
        <v>419.76897799999995</v>
      </c>
      <c r="H122" s="50">
        <f t="shared" si="1"/>
        <v>-2042.4734000000001</v>
      </c>
    </row>
    <row r="123" spans="1:8" x14ac:dyDescent="0.2">
      <c r="A123" s="51"/>
      <c r="B123" s="46" t="s">
        <v>257</v>
      </c>
      <c r="C123" s="46" t="s">
        <v>41</v>
      </c>
      <c r="D123" s="47">
        <v>-13300</v>
      </c>
      <c r="E123" s="48">
        <v>1135.2973</v>
      </c>
      <c r="F123" s="49">
        <v>1144.3499999999999</v>
      </c>
      <c r="G123" s="49">
        <v>29.520946000000002</v>
      </c>
      <c r="H123" s="50">
        <f t="shared" si="1"/>
        <v>-152.19854999999998</v>
      </c>
    </row>
    <row r="124" spans="1:8" x14ac:dyDescent="0.2">
      <c r="A124" s="51"/>
      <c r="B124" s="46" t="s">
        <v>429</v>
      </c>
      <c r="C124" s="46" t="s">
        <v>44</v>
      </c>
      <c r="D124" s="47">
        <v>-44100</v>
      </c>
      <c r="E124" s="48">
        <v>7444.3143845804989</v>
      </c>
      <c r="F124" s="49">
        <v>7602.5</v>
      </c>
      <c r="G124" s="49">
        <v>591.30051749999996</v>
      </c>
      <c r="H124" s="50">
        <f t="shared" si="1"/>
        <v>-3352.7024999999999</v>
      </c>
    </row>
    <row r="125" spans="1:8" x14ac:dyDescent="0.2">
      <c r="A125" s="51"/>
      <c r="B125" s="46" t="s">
        <v>211</v>
      </c>
      <c r="C125" s="46" t="s">
        <v>25</v>
      </c>
      <c r="D125" s="47">
        <v>-43200</v>
      </c>
      <c r="E125" s="48">
        <v>868.88471111111107</v>
      </c>
      <c r="F125" s="49">
        <v>865.1</v>
      </c>
      <c r="G125" s="49">
        <v>67.677227999999999</v>
      </c>
      <c r="H125" s="50">
        <f t="shared" si="1"/>
        <v>-373.72320000000002</v>
      </c>
    </row>
    <row r="126" spans="1:8" x14ac:dyDescent="0.2">
      <c r="A126" s="56"/>
      <c r="B126" s="46" t="s">
        <v>46</v>
      </c>
      <c r="C126" s="46" t="s">
        <v>47</v>
      </c>
      <c r="D126" s="47">
        <v>-5907000</v>
      </c>
      <c r="E126" s="48">
        <v>194.46836297613001</v>
      </c>
      <c r="F126" s="49">
        <v>198.25</v>
      </c>
      <c r="G126" s="49">
        <v>3136.469325</v>
      </c>
      <c r="H126" s="50">
        <f t="shared" si="1"/>
        <v>-11710.627500000001</v>
      </c>
    </row>
    <row r="127" spans="1:8" x14ac:dyDescent="0.2">
      <c r="A127" s="57"/>
      <c r="B127" s="58"/>
      <c r="C127" s="58"/>
      <c r="D127" s="59"/>
      <c r="E127" s="60"/>
      <c r="F127" s="61"/>
      <c r="G127" s="61"/>
    </row>
    <row r="128" spans="1:8" x14ac:dyDescent="0.2">
      <c r="A128" s="57"/>
      <c r="B128" s="58"/>
      <c r="C128" s="58"/>
      <c r="D128" s="59"/>
      <c r="E128" s="60"/>
      <c r="F128" s="61"/>
      <c r="G128" s="61"/>
    </row>
  </sheetData>
  <mergeCells count="3">
    <mergeCell ref="A3:G3"/>
    <mergeCell ref="A7:F7"/>
    <mergeCell ref="A9:A126"/>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HDFCAR</vt:lpstr>
      <vt:lpstr>DerivativeHDFCAR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2023-05-09T10:08:46Z</dcterms:created>
  <dcterms:modified xsi:type="dcterms:W3CDTF">2023-05-09T10:18:09Z</dcterms:modified>
</cp:coreProperties>
</file>