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K20" i="1" s="1"/>
  <c r="K17" i="1" s="1"/>
  <c r="L17" i="1" s="1"/>
  <c r="K15" i="1"/>
  <c r="K13" i="1"/>
  <c r="K11" i="1"/>
  <c r="K10" i="1"/>
  <c r="K9" i="1"/>
  <c r="K8" i="1"/>
</calcChain>
</file>

<file path=xl/sharedStrings.xml><?xml version="1.0" encoding="utf-8"?>
<sst xmlns="http://schemas.openxmlformats.org/spreadsheetml/2006/main" count="180" uniqueCount="74">
  <si>
    <t>HDFC Overnight Fund (An open ended debt scheme investing in overnight securities)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</si>
  <si>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</si>
  <si>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</si>
  <si>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</si>
  <si>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</si>
  <si>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</si>
  <si>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</si>
  <si>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</si>
  <si>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</si>
  <si>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</si>
  <si>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</si>
  <si>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</si>
  <si>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</si>
  <si>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</si>
  <si>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</si>
  <si>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</si>
  <si>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</si>
  <si>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IN002025X141</t>
  </si>
  <si>
    <t>91 Days Tbill ISD 030725 MAT 021025^</t>
  </si>
  <si>
    <t>Sovereign</t>
  </si>
  <si>
    <t>IN002025X166</t>
  </si>
  <si>
    <t>91 Days Tbill ISD 170725 Mat 161025</t>
  </si>
  <si>
    <t>IN002025X158</t>
  </si>
  <si>
    <t>91 Days Tbill Mat 091025</t>
  </si>
  <si>
    <t>IN002024Z271</t>
  </si>
  <si>
    <t>364 Days Tbill Mat 161025^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</si>
  <si>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</si>
  <si>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</si>
  <si>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</si>
  <si>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</si>
  <si>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</si>
  <si>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</si>
  <si>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</si>
  <si>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</si>
  <si>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</si>
  <si>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</si>
  <si>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</si>
  <si>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</si>
  <si>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</si>
  <si>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</si>
  <si>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</si>
  <si>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</si>
  <si>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</si>
  <si>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</si>
  <si>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</si>
  <si>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</si>
  <si>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</si>
  <si>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</si>
  <si>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</si>
  <si>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31, 2025</t>
  </si>
  <si>
    <t>Daily IDCW Option</t>
  </si>
  <si>
    <t>Direct Plan - Daily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</si>
  <si>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</si>
  <si>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</si>
  <si>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</si>
  <si>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</si>
  <si>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</si>
  <si>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</si>
  <si>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</si>
  <si>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</si>
  <si>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</si>
  <si>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</si>
  <si>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</si>
  <si>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</si>
  <si>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</si>
  <si>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</si>
  <si>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</si>
  <si>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5.55%</t>
  </si>
  <si>
    <t>7) Macaulay Duration : 1.33 Days</t>
  </si>
  <si>
    <t>8) Residual Maturity (Average Portfolio Maturity-other than equity investments) : 1.37 Days</t>
  </si>
  <si>
    <t>9) IDCW stands for Income Distribution cum Capital Withdrawal</t>
  </si>
  <si>
    <t>10) Riskometer based on Scheme Portfolio and Portfolio Benchmark "CRISIL Liquid Overnight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</si>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</sst>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10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73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319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5"/>
  <sheetViews>
    <sheetView tabSelected="1" topLeftCell="B34" workbookViewId="0">
      <selection activeCell="L17" sqref="L1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22500000</v>
      </c>
      <c r="G8" s="15">
        <v>22497.17</v>
      </c>
      <c r="H8" s="15">
        <v>1.75</v>
      </c>
      <c r="I8" s="16">
        <v>4.6100000000000003</v>
      </c>
      <c r="J8" s="16" t="s">
        <v>13</v>
      </c>
      <c r="K8" s="17">
        <f>+G8*I8</f>
        <v>103711.9537</v>
      </c>
      <c r="L8" s="18" t="s">
        <v>13</v>
      </c>
    </row>
    <row r="9" spans="1:12" x14ac:dyDescent="0.3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22500000</v>
      </c>
      <c r="G9" s="15">
        <v>22450.19</v>
      </c>
      <c r="H9" s="15">
        <v>1.75</v>
      </c>
      <c r="I9" s="16">
        <v>5.4</v>
      </c>
      <c r="J9" s="16" t="s">
        <v>13</v>
      </c>
      <c r="K9" s="17">
        <f t="shared" ref="K9:K15" si="0">+G9*I9</f>
        <v>121231.026</v>
      </c>
      <c r="L9" s="18" t="s">
        <v>13</v>
      </c>
    </row>
    <row r="10" spans="1:12" x14ac:dyDescent="0.3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11000000</v>
      </c>
      <c r="G10" s="15">
        <v>10987</v>
      </c>
      <c r="H10" s="15">
        <v>0.85</v>
      </c>
      <c r="I10" s="16">
        <v>5.4</v>
      </c>
      <c r="J10" s="16" t="s">
        <v>13</v>
      </c>
      <c r="K10" s="17">
        <f t="shared" si="0"/>
        <v>59329.8</v>
      </c>
      <c r="L10" s="18" t="s">
        <v>13</v>
      </c>
    </row>
    <row r="11" spans="1:12" x14ac:dyDescent="0.3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2000000</v>
      </c>
      <c r="G11" s="15">
        <v>1995.57</v>
      </c>
      <c r="H11" s="15">
        <v>0.16</v>
      </c>
      <c r="I11" s="16">
        <v>5.4</v>
      </c>
      <c r="J11" s="16" t="s">
        <v>13</v>
      </c>
      <c r="K11" s="17">
        <f t="shared" si="0"/>
        <v>10776.078</v>
      </c>
      <c r="L11" s="18" t="s">
        <v>13</v>
      </c>
    </row>
    <row r="12" spans="1:12" x14ac:dyDescent="0.35">
      <c r="A12" s="10"/>
      <c r="B12" s="11" t="s">
        <v>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26</v>
      </c>
      <c r="E13" s="13" t="s">
        <v>13</v>
      </c>
      <c r="F13" s="14" t="s">
        <v>13</v>
      </c>
      <c r="G13" s="15">
        <v>618359.16</v>
      </c>
      <c r="H13" s="15">
        <v>48.12</v>
      </c>
      <c r="I13" s="16">
        <v>5.49</v>
      </c>
      <c r="J13" s="16" t="s">
        <v>13</v>
      </c>
      <c r="K13" s="17">
        <f t="shared" si="0"/>
        <v>3394791.7884000004</v>
      </c>
      <c r="L13" s="18" t="s">
        <v>13</v>
      </c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7"/>
      <c r="L14" s="10"/>
    </row>
    <row r="15" spans="1:12" x14ac:dyDescent="0.35">
      <c r="A15" s="12" t="s">
        <v>16</v>
      </c>
      <c r="B15" s="13" t="s">
        <v>13</v>
      </c>
      <c r="C15" s="13" t="s">
        <v>13</v>
      </c>
      <c r="D15" s="13" t="s">
        <v>27</v>
      </c>
      <c r="E15" s="13" t="s">
        <v>13</v>
      </c>
      <c r="F15" s="14" t="s">
        <v>13</v>
      </c>
      <c r="G15" s="15">
        <v>602920.77</v>
      </c>
      <c r="H15" s="15">
        <v>46.92</v>
      </c>
      <c r="I15" s="16">
        <v>5.65</v>
      </c>
      <c r="J15" s="16" t="s">
        <v>13</v>
      </c>
      <c r="K15" s="17">
        <f t="shared" si="0"/>
        <v>3406502.3505000002</v>
      </c>
      <c r="L15" s="18" t="s">
        <v>13</v>
      </c>
    </row>
    <row r="16" spans="1:12" x14ac:dyDescent="0.35">
      <c r="A16" s="19"/>
      <c r="B16" s="11" t="s">
        <v>28</v>
      </c>
      <c r="C16" s="19"/>
      <c r="D16" s="19"/>
      <c r="E16" s="19"/>
      <c r="F16" s="19"/>
      <c r="G16" s="20">
        <v>1279209.8600000001</v>
      </c>
      <c r="H16" s="20">
        <v>99.55</v>
      </c>
      <c r="I16" s="19"/>
      <c r="J16" s="19"/>
      <c r="K16" s="21"/>
      <c r="L16" s="19"/>
    </row>
    <row r="17" spans="1:12" x14ac:dyDescent="0.35">
      <c r="A17" s="10"/>
      <c r="B17" s="11" t="s">
        <v>29</v>
      </c>
      <c r="C17" s="10"/>
      <c r="D17" s="10"/>
      <c r="E17" s="10"/>
      <c r="F17" s="10"/>
      <c r="G17" s="22">
        <v>1279209.8600000001</v>
      </c>
      <c r="H17" s="22">
        <v>99.55</v>
      </c>
      <c r="I17" s="10"/>
      <c r="J17" s="10"/>
      <c r="K17" s="23">
        <f>+SUM(K8:K15)+K20</f>
        <v>7129066.9693999998</v>
      </c>
      <c r="L17" s="24">
        <f>+K17/G24/100</f>
        <v>5.5475455118957503E-2</v>
      </c>
    </row>
    <row r="18" spans="1:12" x14ac:dyDescent="0.35">
      <c r="A18" s="10"/>
      <c r="B18" s="11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31</v>
      </c>
      <c r="E20" s="13" t="s">
        <v>13</v>
      </c>
      <c r="F20" s="14" t="s">
        <v>13</v>
      </c>
      <c r="G20" s="15">
        <v>5875.04</v>
      </c>
      <c r="H20" s="15">
        <v>0.45</v>
      </c>
      <c r="I20" s="16">
        <f>+(I15+I13)/2</f>
        <v>5.57</v>
      </c>
      <c r="J20" s="16" t="s">
        <v>13</v>
      </c>
      <c r="K20" s="17">
        <f t="shared" ref="K20" si="1">+G20*I20</f>
        <v>32723.972800000003</v>
      </c>
      <c r="L20" s="18" t="s">
        <v>13</v>
      </c>
    </row>
    <row r="21" spans="1:12" x14ac:dyDescent="0.35">
      <c r="A21" s="19"/>
      <c r="B21" s="11" t="s">
        <v>28</v>
      </c>
      <c r="C21" s="19"/>
      <c r="D21" s="19"/>
      <c r="E21" s="19"/>
      <c r="F21" s="19"/>
      <c r="G21" s="20">
        <v>5875.04</v>
      </c>
      <c r="H21" s="20">
        <v>0.45</v>
      </c>
      <c r="I21" s="19"/>
      <c r="J21" s="19"/>
      <c r="K21" s="19"/>
      <c r="L21" s="19"/>
    </row>
    <row r="22" spans="1:12" x14ac:dyDescent="0.35">
      <c r="A22" s="10"/>
      <c r="B22" s="11" t="s">
        <v>29</v>
      </c>
      <c r="C22" s="10"/>
      <c r="D22" s="10"/>
      <c r="E22" s="10"/>
      <c r="F22" s="10"/>
      <c r="G22" s="22">
        <v>5875.04</v>
      </c>
      <c r="H22" s="22">
        <v>0.45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5" t="s">
        <v>32</v>
      </c>
      <c r="C24" s="6"/>
      <c r="D24" s="6"/>
      <c r="E24" s="6"/>
      <c r="F24" s="6"/>
      <c r="G24" s="26">
        <v>1285084.9000000001</v>
      </c>
      <c r="H24" s="26">
        <v>100</v>
      </c>
      <c r="I24" s="6"/>
      <c r="J24" s="6"/>
      <c r="K24" s="6"/>
      <c r="L24" s="6"/>
    </row>
    <row r="25" spans="1:12" x14ac:dyDescent="0.35">
      <c r="A25" s="12" t="s">
        <v>16</v>
      </c>
      <c r="B25" s="27" t="s">
        <v>33</v>
      </c>
      <c r="C25" s="27" t="s">
        <v>33</v>
      </c>
      <c r="D25" s="27" t="s">
        <v>33</v>
      </c>
      <c r="E25" s="27" t="s">
        <v>33</v>
      </c>
      <c r="F25" s="27" t="s">
        <v>33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8" t="s">
        <v>34</v>
      </c>
      <c r="C26" s="28" t="s">
        <v>34</v>
      </c>
      <c r="D26" s="28" t="s">
        <v>34</v>
      </c>
      <c r="E26" s="28" t="s">
        <v>34</v>
      </c>
      <c r="F26" s="28" t="s">
        <v>34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8" t="s">
        <v>35</v>
      </c>
      <c r="C27" s="28" t="s">
        <v>35</v>
      </c>
      <c r="D27" s="28" t="s">
        <v>35</v>
      </c>
      <c r="E27" s="28" t="s">
        <v>35</v>
      </c>
      <c r="F27" s="28" t="s">
        <v>35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8" t="s">
        <v>36</v>
      </c>
      <c r="C28" s="28" t="s">
        <v>36</v>
      </c>
      <c r="D28" s="28" t="s">
        <v>36</v>
      </c>
      <c r="E28" s="28" t="s">
        <v>36</v>
      </c>
      <c r="F28" s="28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8" t="s">
        <v>37</v>
      </c>
      <c r="C29" s="28" t="s">
        <v>37</v>
      </c>
      <c r="D29" s="28" t="s">
        <v>37</v>
      </c>
      <c r="E29" s="28" t="s">
        <v>37</v>
      </c>
      <c r="F29" s="28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8" t="s">
        <v>38</v>
      </c>
      <c r="C30" s="28" t="s">
        <v>38</v>
      </c>
      <c r="D30" s="28" t="s">
        <v>38</v>
      </c>
      <c r="E30" s="28" t="s">
        <v>38</v>
      </c>
      <c r="F30" s="28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8" t="s">
        <v>39</v>
      </c>
      <c r="C31" s="28" t="s">
        <v>39</v>
      </c>
      <c r="D31" s="28" t="s">
        <v>39</v>
      </c>
      <c r="E31" s="28" t="s">
        <v>39</v>
      </c>
      <c r="F31" s="28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8" t="s">
        <v>40</v>
      </c>
      <c r="C32" s="28" t="s">
        <v>40</v>
      </c>
      <c r="D32" s="28" t="s">
        <v>40</v>
      </c>
      <c r="E32" s="28" t="s">
        <v>40</v>
      </c>
      <c r="F32" s="28" t="s">
        <v>40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9"/>
      <c r="B34" s="29" t="s">
        <v>41</v>
      </c>
      <c r="C34" s="29"/>
      <c r="D34" s="29"/>
      <c r="E34" s="13"/>
      <c r="F34" s="13"/>
      <c r="G34" s="13"/>
      <c r="H34" s="13"/>
    </row>
    <row r="35" spans="1:8" x14ac:dyDescent="0.35">
      <c r="A35" s="29"/>
      <c r="B35" s="30" t="s">
        <v>42</v>
      </c>
      <c r="C35" s="30"/>
      <c r="D35" s="31">
        <v>4.51</v>
      </c>
      <c r="E35" s="13"/>
      <c r="F35" s="13"/>
      <c r="G35" s="13"/>
      <c r="H35" s="13"/>
    </row>
    <row r="36" spans="1:8" x14ac:dyDescent="0.35">
      <c r="A36" s="29"/>
      <c r="B36" s="30" t="s">
        <v>43</v>
      </c>
      <c r="C36" s="30"/>
      <c r="D36" s="31">
        <v>95.490000000000009</v>
      </c>
      <c r="E36" s="13"/>
      <c r="F36" s="13"/>
      <c r="G36" s="13"/>
      <c r="H36" s="13"/>
    </row>
    <row r="37" spans="1:8" x14ac:dyDescent="0.35">
      <c r="A37" s="29"/>
      <c r="B37" s="29" t="s">
        <v>44</v>
      </c>
      <c r="C37" s="29"/>
      <c r="D37" s="29"/>
      <c r="E37" s="13"/>
      <c r="F37" s="13"/>
      <c r="G37" s="13"/>
      <c r="H37" s="13"/>
    </row>
    <row r="38" spans="1:8" x14ac:dyDescent="0.35">
      <c r="A38" s="29"/>
      <c r="B38" s="30" t="s">
        <v>19</v>
      </c>
      <c r="C38" s="30"/>
      <c r="D38" s="31">
        <v>4.51</v>
      </c>
      <c r="E38" s="13"/>
      <c r="F38" s="13"/>
      <c r="G38" s="13"/>
      <c r="H38" s="13"/>
    </row>
    <row r="39" spans="1:8" x14ac:dyDescent="0.35">
      <c r="A39" s="29"/>
      <c r="B39" s="30" t="s">
        <v>43</v>
      </c>
      <c r="C39" s="30"/>
      <c r="D39" s="31">
        <v>95.490000000000009</v>
      </c>
      <c r="E39" s="13"/>
      <c r="F39" s="13"/>
      <c r="G39" s="13"/>
      <c r="H39" s="13"/>
    </row>
    <row r="40" spans="1:8" x14ac:dyDescent="0.35">
      <c r="A40" s="32"/>
      <c r="B40" s="32"/>
      <c r="C40" s="32"/>
      <c r="D40" s="32"/>
      <c r="E40" s="32"/>
      <c r="F40" s="32"/>
      <c r="G40" s="32"/>
      <c r="H40" s="32"/>
    </row>
    <row r="41" spans="1:8" x14ac:dyDescent="0.35">
      <c r="A41" s="32"/>
      <c r="B41" s="10" t="s">
        <v>45</v>
      </c>
      <c r="C41" s="32"/>
      <c r="D41" s="32"/>
      <c r="E41" s="32"/>
      <c r="F41" s="32"/>
      <c r="G41" s="32"/>
      <c r="H41" s="32"/>
    </row>
    <row r="42" spans="1:8" x14ac:dyDescent="0.35">
      <c r="A42" s="13"/>
      <c r="B42" s="13" t="s">
        <v>46</v>
      </c>
      <c r="C42" s="13"/>
      <c r="D42" s="13"/>
      <c r="E42" s="13"/>
      <c r="F42" s="13"/>
      <c r="G42" s="13"/>
      <c r="H42" s="32"/>
    </row>
    <row r="43" spans="1:8" x14ac:dyDescent="0.35">
      <c r="A43" s="13"/>
      <c r="B43" s="33" t="s">
        <v>47</v>
      </c>
      <c r="C43" s="34" t="s">
        <v>48</v>
      </c>
      <c r="D43" s="33" t="s">
        <v>49</v>
      </c>
      <c r="E43" s="13"/>
      <c r="F43" s="13"/>
      <c r="G43" s="13"/>
      <c r="H43" s="32"/>
    </row>
    <row r="44" spans="1:8" x14ac:dyDescent="0.35">
      <c r="A44" s="13"/>
      <c r="B44" s="10" t="s">
        <v>50</v>
      </c>
      <c r="C44" s="16">
        <v>1042.6600000000001</v>
      </c>
      <c r="D44" s="16">
        <v>1042.6600000000001</v>
      </c>
      <c r="E44" s="13"/>
      <c r="F44" s="13"/>
      <c r="G44" s="13"/>
      <c r="H44" s="32"/>
    </row>
    <row r="45" spans="1:8" x14ac:dyDescent="0.35">
      <c r="A45" s="13"/>
      <c r="B45" s="10" t="s">
        <v>51</v>
      </c>
      <c r="C45" s="16">
        <v>1042.6600000000001</v>
      </c>
      <c r="D45" s="16">
        <v>1042.6600000000001</v>
      </c>
      <c r="E45" s="13"/>
      <c r="F45" s="13"/>
      <c r="G45" s="13"/>
      <c r="H45" s="32"/>
    </row>
    <row r="46" spans="1:8" x14ac:dyDescent="0.35">
      <c r="A46" s="13"/>
      <c r="B46" s="10" t="s">
        <v>52</v>
      </c>
      <c r="C46" s="16">
        <v>3853.3350999999998</v>
      </c>
      <c r="D46" s="16">
        <v>3836.8611000000001</v>
      </c>
      <c r="E46" s="13"/>
      <c r="F46" s="13"/>
      <c r="G46" s="13"/>
      <c r="H46" s="32"/>
    </row>
    <row r="47" spans="1:8" x14ac:dyDescent="0.35">
      <c r="A47" s="13"/>
      <c r="B47" s="10" t="s">
        <v>53</v>
      </c>
      <c r="C47" s="16">
        <v>3891.4241000000002</v>
      </c>
      <c r="D47" s="16">
        <v>3874.4690999999998</v>
      </c>
      <c r="E47" s="13"/>
      <c r="F47" s="13"/>
      <c r="G47" s="13"/>
      <c r="H47" s="32"/>
    </row>
    <row r="48" spans="1:8" x14ac:dyDescent="0.35">
      <c r="A48" s="13"/>
      <c r="B48" s="10" t="s">
        <v>13</v>
      </c>
      <c r="C48" s="13"/>
      <c r="D48" s="13"/>
      <c r="E48" s="13"/>
      <c r="F48" s="13"/>
      <c r="G48" s="13"/>
      <c r="H48" s="32"/>
    </row>
    <row r="49" spans="1:8" x14ac:dyDescent="0.35">
      <c r="A49" s="13"/>
      <c r="B49" s="13"/>
      <c r="C49" s="13"/>
      <c r="D49" s="13"/>
      <c r="E49" s="13"/>
      <c r="F49" s="13"/>
      <c r="G49" s="13"/>
      <c r="H49" s="32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32"/>
    </row>
    <row r="51" spans="1:8" x14ac:dyDescent="0.35">
      <c r="A51" s="13"/>
      <c r="B51" s="35" t="s">
        <v>13</v>
      </c>
      <c r="C51" s="36" t="s">
        <v>13</v>
      </c>
      <c r="D51" s="36" t="s">
        <v>13</v>
      </c>
      <c r="E51" s="37" t="s">
        <v>55</v>
      </c>
      <c r="F51" s="37" t="s">
        <v>55</v>
      </c>
      <c r="G51" s="13"/>
      <c r="H51" s="32"/>
    </row>
    <row r="52" spans="1:8" x14ac:dyDescent="0.35">
      <c r="A52" s="13"/>
      <c r="B52" s="38" t="s">
        <v>56</v>
      </c>
      <c r="C52" s="38" t="s">
        <v>57</v>
      </c>
      <c r="D52" s="38" t="s">
        <v>58</v>
      </c>
      <c r="E52" s="33" t="s">
        <v>59</v>
      </c>
      <c r="F52" s="33" t="s">
        <v>60</v>
      </c>
      <c r="G52" s="13"/>
      <c r="H52" s="32"/>
    </row>
    <row r="53" spans="1:8" x14ac:dyDescent="0.35">
      <c r="A53" s="13"/>
      <c r="B53" s="13" t="s">
        <v>50</v>
      </c>
      <c r="C53" s="39" t="s">
        <v>61</v>
      </c>
      <c r="D53" s="16">
        <v>1042.6600000000001</v>
      </c>
      <c r="E53" s="16">
        <v>4.4711999999999996</v>
      </c>
      <c r="F53" s="16">
        <v>4.4711999999999996</v>
      </c>
      <c r="G53" s="13"/>
      <c r="H53" s="32"/>
    </row>
    <row r="54" spans="1:8" x14ac:dyDescent="0.35">
      <c r="A54" s="13"/>
      <c r="B54" s="13" t="s">
        <v>51</v>
      </c>
      <c r="C54" s="39" t="s">
        <v>61</v>
      </c>
      <c r="D54" s="16">
        <v>1042.6600000000001</v>
      </c>
      <c r="E54" s="16">
        <v>4.5538999999999996</v>
      </c>
      <c r="F54" s="16">
        <v>4.5538999999999996</v>
      </c>
      <c r="G54" s="13"/>
      <c r="H54" s="32"/>
    </row>
    <row r="55" spans="1:8" x14ac:dyDescent="0.35">
      <c r="A55" s="13"/>
      <c r="B55" s="13"/>
      <c r="C55" s="13"/>
      <c r="D55" s="13"/>
      <c r="E55" s="13"/>
      <c r="F55" s="13"/>
      <c r="G55" s="13"/>
      <c r="H55" s="32"/>
    </row>
    <row r="56" spans="1:8" x14ac:dyDescent="0.35">
      <c r="A56" s="13"/>
      <c r="B56" s="13" t="s">
        <v>62</v>
      </c>
      <c r="C56" s="13"/>
      <c r="D56" s="13"/>
      <c r="E56" s="13"/>
      <c r="F56" s="13"/>
      <c r="G56" s="13"/>
      <c r="H56" s="32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13"/>
      <c r="B58" s="13" t="s">
        <v>63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64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65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66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/>
      <c r="C67" s="13"/>
      <c r="D67" s="13"/>
      <c r="E67" s="13"/>
      <c r="F67" s="13"/>
      <c r="G67" s="13"/>
      <c r="H67" s="32"/>
    </row>
    <row r="69" spans="1:8" x14ac:dyDescent="0.35">
      <c r="B69" s="40" t="s">
        <v>72</v>
      </c>
    </row>
    <row r="85" spans="2:2" x14ac:dyDescent="0.35">
      <c r="B85" s="40" t="s">
        <v>73</v>
      </c>
    </row>
  </sheetData>
  <mergeCells count="11">
    <mergeCell ref="B29:F29"/>
    <mergeCell ref="B30:F30"/>
    <mergeCell ref="B31:F31"/>
    <mergeCell ref="B32:F32"/>
    <mergeCell ref="E51:F51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2025-10-07T08:55:29Z</dcterms:created>
  <dcterms:modified xsi:type="dcterms:W3CDTF">2025-10-07T08:55:30Z</dcterms:modified>
</cp:coreProperties>
</file>