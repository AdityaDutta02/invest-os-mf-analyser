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RETHDP" sheetId="2" r:id="rId1"/>
    <sheet name="DerivativeHDFCRETHDP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localSheetId="1" hidden="1">_xll.Formula.SK([3]Stack!$BH$5,1)</definedName>
    <definedName name="SheetKraftFormula104" hidden="1">_xll.Formula.SK([3]Stack!$BG$5,1)</definedName>
    <definedName name="SheetKraftFormula105" localSheetId="1" hidden="1">_xll.Formula.SK([3]Stack!$DA$6,1)</definedName>
    <definedName name="SheetKraftFormula105" hidden="1">_xll.Formula.SK([3]Stack!$CZ$6,1)</definedName>
    <definedName name="SheetKraftFormula106" localSheetId="1" hidden="1">_xll.Formula.SK([3]Stack!$DK$5,1)</definedName>
    <definedName name="SheetKraftFormula106" hidden="1">_xll.Formula.SK([3]Stack!$DI$5,1)</definedName>
    <definedName name="SheetKraftFormula107" localSheetId="1" hidden="1">_xll.Formula.SK([3]Stack!$DJ$5,1)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localSheetId="1" hidden="1">_xll.Formula.SK([3]Stack!$FE$5,1)</definedName>
    <definedName name="SheetKraftFormula110" hidden="1">_xll.Formula.SK([3]Stack!$FC$5,1)</definedName>
    <definedName name="SheetKraftFormula111" localSheetId="1" hidden="1">_xll.Formula.SK('[5]Asset Master'!#REF!,1)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localSheetId="1" hidden="1">_xll.Formula.SK([3]Stack!$DC$5,1)</definedName>
    <definedName name="SheetKraftFormula113" hidden="1">_xll.Formula.SK([3]Stack!$DB$5,1)</definedName>
    <definedName name="SheetKraftFormula114" localSheetId="1" hidden="1">_xll.Formula.SK([3]Stack!$BG$5,1)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1" hidden="1">_xll.Formula.SK([35]Hyperlinks!$A$2,1)</definedName>
    <definedName name="SheetKraftFormula117" hidden="1">_xll.Formula.SK([6]Hyperlinks!$A$2,1)</definedName>
    <definedName name="SheetKraftFormula118" localSheetId="1" hidden="1">_xll.Formula.SK([35]Hyperlinks!$C$3,)</definedName>
    <definedName name="SheetKraftFormula118" hidden="1">_xll.Formula.SK([6]Hyperlinks!$C$3,)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localSheetId="1" hidden="1">_xll.Formula.SK([3]Stack!$DD$5,1)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localSheetId="1" hidden="1">_xll.Formula.SK([10]Derivatives!$X$10,1)</definedName>
    <definedName name="SheetKraftFormula152" hidden="1">_xll.Formula.SK([10]Derivatives!$Y$10,1)</definedName>
    <definedName name="SheetKraftFormula153" localSheetId="1" hidden="1">_xll.Formula.SK([10]Derivatives!$Y$11,1)</definedName>
    <definedName name="SheetKraftFormula153" hidden="1">_xll.Formula.SK([10]Derivatives!$AA$11,1)</definedName>
    <definedName name="SheetKraftFormula154" localSheetId="1" hidden="1">_xll.Formula.SK([10]Derivatives!$Z$11,1)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localSheetId="1" hidden="1">_xll.Formula.SK([10]Derivatives!$AE$10,1)</definedName>
    <definedName name="SheetKraftFormula156" hidden="1">_xll.Formula.SK([10]Derivatives!$AF$10,1)</definedName>
    <definedName name="SheetKraftFormula157" localSheetId="1" hidden="1">_xll.Formula.SK([10]Derivatives!$AG$10,1)</definedName>
    <definedName name="SheetKraftFormula157" hidden="1">_xll.Formula.SK([10]Derivatives!$AH$10,1)</definedName>
    <definedName name="SheetKraftFormula158" localSheetId="1" hidden="1">_xll.Formula.SK([10]Derivatives!$AH$11,1)</definedName>
    <definedName name="SheetKraftFormula158" hidden="1">_xll.Formula.SK([10]Derivatives!$AI$11,1)</definedName>
    <definedName name="SheetKraftFormula159" localSheetId="1" hidden="1">_xll.Formula.SK([10]Derivatives!$AH$10,)</definedName>
    <definedName name="SheetKraftFormula159" hidden="1">_xll.Formula.SK([10]Derivatives!$AI$10,)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_xll.Formula.SK([10]Derivatives!$AI$10,)</definedName>
    <definedName name="SheetKraftFormula160" hidden="1">_xll.Formula.SK([10]Derivatives!$AJ$10,)</definedName>
    <definedName name="SheetKraftFormula161" localSheetId="1" hidden="1">_xll.Formula.SK([10]Derivatives!$AJ$10,)</definedName>
    <definedName name="SheetKraftFormula161" hidden="1">_xll.Formula.SK([10]Derivatives!$AK$10,)</definedName>
    <definedName name="SheetKraftFormula162" localSheetId="1" hidden="1">_xll.Formula.SK([10]Derivatives!$AN$10,1)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localSheetId="1" hidden="1">_xll.Formula.SK([35]Hyperlinks!$C$2,1)</definedName>
    <definedName name="SheetKraftFormula193" hidden="1">_xll.Formula.SK([6]Hyperlinks!$C$2,1)</definedName>
    <definedName name="SheetKraftFormula194" localSheetId="1" hidden="1">_xll.Formula.SK([35]Hyperlinks!$A$3,1)</definedName>
    <definedName name="SheetKraftFormula194" hidden="1">_xll.Formula.SK([6]Hyperlinks!$A$3,1)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localSheetId="1" hidden="1">_xll.Formula.SK([3]Stack!$FF$6,1)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localSheetId="1" hidden="1">_xll.Formula.SK([35]Hyperlinks!$B$2,1)</definedName>
    <definedName name="SheetKraftFormula228" hidden="1">_xll.Formula.SK([6]Hyperlinks!$B$2,1)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localSheetId="1" hidden="1">_xll.Formula.SK([3]Stack!$BF$6,1)</definedName>
    <definedName name="SheetKraftFormula350" hidden="1">_xll.Formula.SK([3]Stack!$BE$6,1)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localSheetId="1" hidden="1">_xll.Formula.SK([3]Stack!$FH$5,1)</definedName>
    <definedName name="SheetKraftFormula414" hidden="1">_xll.Formula.SK([3]Stack!$FF$5,1)</definedName>
    <definedName name="SheetKraftFormula415" localSheetId="1" hidden="1">_xll.Formula.SK([3]Stack!$FI$5,1)</definedName>
    <definedName name="SheetKraftFormula415" hidden="1">_xll.Formula.SK([3]Stack!$FG$5,1)</definedName>
    <definedName name="SheetKraftFormula416" localSheetId="1" hidden="1">_xll.Formula.SK([3]Stack!$FG$6,1)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localSheetId="1" hidden="1">_xll.Formula.SK([36]Perpetual!$J$14,)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localSheetId="1" hidden="1">_xll.Formula.SK([36]Perpetual!$I$15,)</definedName>
    <definedName name="SheetKraftFormula420" hidden="1">_xll.Formula.SK('[26]Perpetual &amp; BT2'!$I$15,)</definedName>
    <definedName name="SheetKraftFormula421" localSheetId="1" hidden="1">_xll.Formula.SK([36]Perpetual!$G$14,)</definedName>
    <definedName name="SheetKraftFormula421" hidden="1">_xll.Formula.SK('[26]Perpetual &amp; BT2'!$G$14,)</definedName>
    <definedName name="SheetKraftFormula422" localSheetId="1" hidden="1">_xll.Formula.SK([36]Perpetual!$F$14,)</definedName>
    <definedName name="SheetKraftFormula422" hidden="1">_xll.Formula.SK('[26]Perpetual &amp; BT2'!$F$14,)</definedName>
    <definedName name="SheetKraftFormula423" localSheetId="1" hidden="1">_xll.Formula.SK([36]Perpetual!$H$15,)</definedName>
    <definedName name="SheetKraftFormula423" hidden="1">_xll.Formula.SK('[26]Perpetual &amp; BT2'!$H$15,)</definedName>
    <definedName name="SheetKraftFormula424" localSheetId="1" hidden="1">_xll.Formula.SK([36]Perpetual!$C$15,)</definedName>
    <definedName name="SheetKraftFormula424" hidden="1">_xll.Formula.SK('[26]Perpetual &amp; BT2'!$C$15,)</definedName>
    <definedName name="SheetKraftFormula425" localSheetId="1" hidden="1">_xll.Formula.SK([36]Perpetual!$D$15,)</definedName>
    <definedName name="SheetKraftFormula425" hidden="1">_xll.Formula.SK('[26]Perpetual &amp; BT2'!$D$15,)</definedName>
    <definedName name="SheetKraftFormula426" localSheetId="1" hidden="1">_xll.Formula.SK([36]Perpetual!$E$15,)</definedName>
    <definedName name="SheetKraftFormula426" hidden="1">_xll.Formula.SK('[26]Perpetual &amp; BT2'!$E$15,)</definedName>
    <definedName name="SheetKraftFormula427" localSheetId="1" hidden="1">_xll.Formula.SK([36]Perpetual!$B$15,)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localSheetId="1" hidden="1">_xll.Formula.SK([4]Template_Formula!$O$9,1)</definedName>
    <definedName name="SheetKraftFormula430" hidden="1">_xll.Formula.SK('[9]Notes Data'!$EM$22,1)</definedName>
    <definedName name="SheetKraftFormula431" localSheetId="1" hidden="1">_xll.Formula.SK('[9]Notes Data'!$J$10,1)</definedName>
    <definedName name="SheetKraftFormula431" hidden="1">_xll.Formula.SK('[9]Notes Data'!$EN$9,)</definedName>
    <definedName name="SheetKraftFormula432" localSheetId="1" hidden="1">_xll.Formula.SK('[24]Notes Data 2'!$AE$9,)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localSheetId="1" hidden="1">_xll.Formula.SK('[24]Notes Data 2'!$AM$9,)</definedName>
    <definedName name="SheetKraftFormula440" hidden="1">_xll.Formula.SK('[24]Notes Data 2'!$AM$9,1)</definedName>
    <definedName name="SheetKraftFormula441" localSheetId="1" hidden="1">_xll.Formula.SK('[9]Notes Data'!$K$9,1)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localSheetId="1" hidden="1">_xll.Formula.SK('[27]Liquid Schemes Working Day'!$I$11,1)</definedName>
    <definedName name="SheetKraftFormula443" hidden="1">_xll.Formula.SK('[27]Liquid Schemes Working Day'!$I$11,)</definedName>
    <definedName name="SheetKraftFormula444" localSheetId="1" hidden="1">_xll.Formula.SK('[27]Liquid Schemes Working Day'!$J$12,1)</definedName>
    <definedName name="SheetKraftFormula444" hidden="1">_xll.Formula.SK('[27]Liquid Schemes Working Day'!$J$12,)</definedName>
    <definedName name="SheetKraftFormula445" localSheetId="1" hidden="1">_xll.Formula.SK('[27]Liquid Schemes Working Day'!$K$12,1)</definedName>
    <definedName name="SheetKraftFormula445" hidden="1">_xll.Formula.SK('[27]Liquid Schemes Working Day'!$K$12,)</definedName>
    <definedName name="SheetKraftFormula446" localSheetId="1" hidden="1">_xll.Formula.SK('[27]Liquid Schemes Working Day'!$L$12,1)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localSheetId="1" hidden="1">_xll.Formula.SK('[18]Month NAV Last Date Calc'!$U$10,)</definedName>
    <definedName name="SheetKraftFormula448" hidden="1">_xll.Formula.SK('[27]Liquid Schemes Working Day'!$M$12,1)</definedName>
    <definedName name="SheetKraftFormula449" localSheetId="1" hidden="1">_xll.Formula.SK('[18]Month NAV Last Date Calc'!$AI$10,)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localSheetId="1" hidden="1">_xll.Formula.SK('[9]Notes Data'!$GC$9,1)</definedName>
    <definedName name="SheetKraftFormula450" hidden="1">_xll.Formula.SK('[18]Month NAV Last Date Calc'!$AI$10,)</definedName>
    <definedName name="SheetKraftFormula451" localSheetId="1" hidden="1">_xll.Formula.SK('[24]Notes Data 2'!$C$9,)</definedName>
    <definedName name="SheetKraftFormula451" hidden="1">_xll.Formula.SK(#REF!,1)</definedName>
    <definedName name="SheetKraftFormula452" localSheetId="1" hidden="1">_xll.Formula.SK('[9]Notes Data'!$GB$9,)</definedName>
    <definedName name="SheetKraftFormula452" hidden="1">_xll.Formula.SK([13]Formats!$G$21,1)</definedName>
    <definedName name="SheetKraftFormula453" localSheetId="1" hidden="1">_xll.Formula.SK('[9]Notes Data'!$GD$9,)</definedName>
    <definedName name="SheetKraftFormula453" hidden="1">_xll.Formula.SK('[28]Riskometer Levels'!$G$18,1)</definedName>
    <definedName name="SheetKraftFormula454" localSheetId="1" hidden="1">_xll.Formula.SK('[9]Notes Data'!$GH$9,)</definedName>
    <definedName name="SheetKraftFormula454" hidden="1">_xll.Formula.SK([3]Stack!$FM$5,1)</definedName>
    <definedName name="SheetKraftFormula455" localSheetId="1" hidden="1">_xll.Formula.SK('[9]Notes Data'!$GG$9,)</definedName>
    <definedName name="SheetKraftFormula455" hidden="1">_xll.Formula.SK('[9]Notes Data'!$GC$9,)</definedName>
    <definedName name="SheetKraftFormula456" localSheetId="1" hidden="1">_xll.Formula.SK('[9]Notes Data'!$GI$9,)</definedName>
    <definedName name="SheetKraftFormula456" hidden="1">_xll.Formula.SK('[9]Notes Data'!$GD$9,)</definedName>
    <definedName name="SheetKraftFormula457" localSheetId="1" hidden="1">_xll.Formula.SK('[29]Avg YTC'!$E$13,1)</definedName>
    <definedName name="SheetKraftFormula457" hidden="1">_xll.Formula.SK('[9]Notes Data'!$GB$9,)</definedName>
    <definedName name="SheetKraftFormula458" localSheetId="1" hidden="1">_xll.Formula.SK('[29]Avg YTC'!$D$14,1)</definedName>
    <definedName name="SheetKraftFormula458" hidden="1">_xll.Formula.SK('[9]Notes Data'!$GH$9,)</definedName>
    <definedName name="SheetKraftFormula459" localSheetId="1" hidden="1">_xll.Formula.SK([3]Stack!$FM$5,1)</definedName>
    <definedName name="SheetKraftFormula459" hidden="1">_xll.Formula.SK('[9]Notes Data'!$GG$9,)</definedName>
    <definedName name="SheetKraftFormula460" localSheetId="1" hidden="1">_xll.Formula.SK('[2]Holding Positions'!$C$10,1)</definedName>
    <definedName name="SheetKraftFormula460" hidden="1">_xll.Formula.SK('[9]Notes Data'!$GI$9,)</definedName>
    <definedName name="SheetKraftFormula461" localSheetId="1" hidden="1">_xll.Formula.SK([3]Stack!$B$5,1)</definedName>
    <definedName name="SheetKraftFormula461" hidden="1">_xll.Formula.SK('[29]Avg YTC'!$E$13,)</definedName>
    <definedName name="SheetKraftFormula462" localSheetId="1" hidden="1">_xll.Formula.SK('[18]Month NAV Last Date Calc'!$AV$7,1)</definedName>
    <definedName name="SheetKraftFormula462" hidden="1">_xll.Formula.SK('[29]Avg YTC'!$D$14,1)</definedName>
    <definedName name="SheetKraftFormula463" localSheetId="1" hidden="1">_xll.Formula.SK('[25]Avg Yield'!$AI$14,1)</definedName>
    <definedName name="SheetKraftFormula463" hidden="1">_xll.Formula.SK([3]Stack!$FN$5,1)</definedName>
    <definedName name="SheetKraftFormula464" localSheetId="1" hidden="1">_xll.Formula.SK([3]Stack!$FN$5,1)</definedName>
    <definedName name="SheetKraftFormula464" hidden="1">_xll.Formula.SK('[23]Yes Bank Filter'!$Q$9,1)</definedName>
    <definedName name="SheetKraftFormula465" localSheetId="1" hidden="1">_xll.Formula.SK('[9]Notes Data'!$BP$9,)</definedName>
    <definedName name="SheetKraftFormula465" hidden="1">_xll.Formula.SK('[23]Yes Bank Filter'!$S$9,1)</definedName>
    <definedName name="SheetKraftFormula466" localSheetId="1" hidden="1">_xll.Formula.SK('[9]Notes Data'!$BQ$10,1)</definedName>
    <definedName name="SheetKraftFormula466" hidden="1">_xll.Formula.SK('[23]Yes Bank Filter'!$T$9,1)</definedName>
    <definedName name="SheetKraftFormula467" localSheetId="1" hidden="1">_xll.Formula.SK('[9]Notes Data'!$BR$10,1)</definedName>
    <definedName name="SheetKraftFormula467" hidden="1">_xll.Formula.SK([3]Stack!$B$5,1)</definedName>
    <definedName name="SheetKraftFormula468" localSheetId="1" hidden="1">_xll.Formula.SK('[9]Notes Data'!$HC$10,1)</definedName>
    <definedName name="SheetKraftFormula468" hidden="1">_xll.Formula.SK('[18]Month NAV Last Date Calc'!$AV$7,1)</definedName>
    <definedName name="SheetKraftFormula469" localSheetId="1" hidden="1">_xll.Formula.SK('[19]Pre Working'!$AT$6,1)</definedName>
    <definedName name="SheetKraftFormula469" hidden="1">_xll.Formula.SK('[25]Avg Yield'!$AI$13,1)</definedName>
    <definedName name="SheetKraftFormula470" localSheetId="1" hidden="1">_xll.Formula.SK([3]Stack!$BC$6,1)</definedName>
    <definedName name="SheetKraftFormula470" hidden="1">_xll.Formula.SK([3]Stack!$FO$5,1)</definedName>
    <definedName name="SheetKraftFormula471" localSheetId="1" hidden="1">_xll.Formula.SK([10]Derivatives!$T$10,)</definedName>
    <definedName name="SheetKraftFormula471" hidden="1">_xll.Formula.SK('[9]Notes Data'!$IC$10,1)</definedName>
    <definedName name="SheetKraftFormula472" localSheetId="1" hidden="1">_xll.Formula.SK([10]Derivatives!$R$10,1)</definedName>
    <definedName name="SheetKraftFormula472" hidden="1">_xll.Formula.SK('[9]Notes Data'!$IB$10,)</definedName>
    <definedName name="SheetKraftFormula473" localSheetId="1" hidden="1">_xll.Formula.SK([10]Derivatives!$Q$10,)</definedName>
    <definedName name="SheetKraftFormula473" hidden="1">_xll.Formula.SK('[9]Notes Data'!$IA$10,1)</definedName>
    <definedName name="SheetKraftFormula474" localSheetId="1" hidden="1">_xll.Formula.SK([1]Inputs!$R$9,1)</definedName>
    <definedName name="SheetKraftFormula474" hidden="1">_xll.Formula.SK('[9]Notes Data'!$HZ$10,1)</definedName>
    <definedName name="SheetKraftFormula475" localSheetId="1" hidden="1">_xll.Formula.SK([1]Inputs!$N$6,)</definedName>
    <definedName name="SheetKraftFormula475" hidden="1">_xll.Formula.SK('[9]Notes Data'!$HY$11,1)</definedName>
    <definedName name="SheetKraftFormula476" localSheetId="1" hidden="1">_xll.Formula.SK('[25]Avg Yield'!$BA$15,1)</definedName>
    <definedName name="SheetKraftFormula476" hidden="1">_xll.Formula.SK('[9]Notes Data'!$IE$11,1)</definedName>
    <definedName name="SheetKraftFormula477" localSheetId="1" hidden="1">_xll.Formula.SK([3]Stack!$FO$5,1)</definedName>
    <definedName name="SheetKraftFormula477" hidden="1">_xll.Formula.SK('[28]Riskometer Levels'!$L$18,1)</definedName>
    <definedName name="SheetKraftFormula478" localSheetId="1" hidden="1">_xll.Formula.SK([3]Stack!$FY$8,)</definedName>
    <definedName name="SheetKraftFormula478" hidden="1">_xll.Formula.SK([3]Stack!$FP$5,1)</definedName>
    <definedName name="SheetKraftFormula479" localSheetId="1" hidden="1">_xll.Formula.SK([3]Stack!$FQ$5,1)</definedName>
    <definedName name="SheetKraftFormula479" hidden="1">_xll.Formula.SK('[9]Notes Data'!$IF$10,1)</definedName>
    <definedName name="SheetKraftFormula48" localSheetId="1" hidden="1">_xll.Formula.SK('[2]Holding Positions'!#REF!,1)</definedName>
    <definedName name="SheetKraftFormula48" hidden="1">_xll.Formula.SK('[2]Holding Positions'!#REF!,1)</definedName>
    <definedName name="SheetKraftFormula480" localSheetId="1" hidden="1">_xll.Formula.SK([3]Stack!$FP$6,1)</definedName>
    <definedName name="SheetKraftFormula480" hidden="1">_xll.Formula.SK('[9]Notes Data'!$II$10,1)</definedName>
    <definedName name="SheetKraftFormula481" localSheetId="1" hidden="1">_xll.Formula.SK('[9]Notes Data'!$IO$10,1)</definedName>
    <definedName name="SheetKraftFormula481" hidden="1">_xll.Formula.SK('[9]Notes Data'!$HC$10,1)</definedName>
    <definedName name="SheetKraftFormula482" localSheetId="1" hidden="1">_xll.Formula.SK('[9]Notes Data'!$IP$10,)</definedName>
    <definedName name="SheetKraftFormula482" hidden="1">_xll.Formula.SK('[9]Notes Data'!$BP$9,1)</definedName>
    <definedName name="SheetKraftFormula483" localSheetId="1" hidden="1">_xll.Formula.SK('[30]Foreign Securities'!$D$9,1)</definedName>
    <definedName name="SheetKraftFormula483" hidden="1">_xll.Formula.SK('[9]Notes Data'!$BQ$10,1)</definedName>
    <definedName name="SheetKraftFormula484" localSheetId="1" hidden="1">_xll.Formula.SK('[30]Foreign Securities'!$I$9,1)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localSheetId="1" hidden="1">_xll.Formula.SK('[9]Notes Data'!$DX$10,1)</definedName>
    <definedName name="SheetKraftFormula486" hidden="1">_xll.Formula.SK('[25]Avg Yield'!$AZ$14,1)</definedName>
    <definedName name="SheetKraftFormula487" localSheetId="1" hidden="1">_xll.Formula.SK([3]Stack!$DE$5,1)</definedName>
    <definedName name="SheetKraftFormula487" hidden="1">_xll.Formula.SK([3]Stack!$FQ$5,1)</definedName>
    <definedName name="SheetKraftFormula488" localSheetId="1" hidden="1">_xll.Formula.SK([36]Perpetual!$A$15,1)</definedName>
    <definedName name="SheetKraftFormula488" hidden="1">_xll.Formula.SK([10]Derivatives!$U$10,)</definedName>
    <definedName name="SheetKraftFormula489" localSheetId="1" hidden="1">_xll.Formula.SK('[9]Notes Data'!$IT$10,)</definedName>
    <definedName name="SheetKraftFormula489" hidden="1">_xll.Formula.SK([10]Derivatives!$S$10,1)</definedName>
    <definedName name="SheetKraftFormula490" localSheetId="1" hidden="1">_xll.Formula.SK('[9]Notes Data'!$IV$10,1)</definedName>
    <definedName name="SheetKraftFormula490" hidden="1">_xll.Formula.SK([10]Derivatives!$R$10,)</definedName>
    <definedName name="SheetKraftFormula491" localSheetId="1" hidden="1">_xll.Formula.SK('[9]Notes Data'!$IY$11,1)</definedName>
    <definedName name="SheetKraftFormula491" hidden="1">_xll.Formula.SK([1]Inputs!$N$14,1)</definedName>
    <definedName name="SheetKraftFormula492" localSheetId="1" hidden="1">_xll.Formula.SK('[9]Notes Data'!$JC$10,1)</definedName>
    <definedName name="SheetKraftFormula492" hidden="1">_xll.Formula.SK([1]Inputs!$N$6,)</definedName>
    <definedName name="SheetKraftFormula493" localSheetId="1" hidden="1">_xll.Formula.SK('[9]Notes Data'!$JF$11,1)</definedName>
    <definedName name="SheetKraftFormula493" hidden="1">_xll.Formula.SK([3]Stack!$FR$6,1)</definedName>
    <definedName name="SheetKraftFormula494" localSheetId="1" hidden="1">_xll.Formula.SK('[33]Avg Yield Annualised'!$D$11,)</definedName>
    <definedName name="SheetKraftFormula494" hidden="1">_xll.Formula.SK([3]Stack!$GB$8,1)</definedName>
    <definedName name="SheetKraftFormula495" localSheetId="1" hidden="1">_xll.Formula.SK([3]Stack!$FR$5,1)</definedName>
    <definedName name="SheetKraftFormula495" hidden="1">_xll.Formula.SK([3]Stack!$FS$5,1)</definedName>
    <definedName name="SheetKraftFormula496" localSheetId="1" hidden="1">_xll.Formula.SK('[17]Security Master'!$Z$9,1)</definedName>
    <definedName name="SheetKraftFormula496" hidden="1">_xll.Formula.SK('[9]Notes Data'!$IO$10,1)</definedName>
    <definedName name="SheetKraftFormula497" localSheetId="1" hidden="1">_xll.Formula.SK([3]Stack!$BC$5,1)</definedName>
    <definedName name="SheetKraftFormula497" hidden="1">_xll.Formula.SK('[9]Notes Data'!$IP$10,)</definedName>
    <definedName name="SheetKraftFormula498" localSheetId="1" hidden="1">_xll.Formula.SK([3]Stack!$BD$6,1)</definedName>
    <definedName name="SheetKraftFormula498" hidden="1">_xll.Formula.SK('[30]Foreign Securities'!$E$8,1)</definedName>
    <definedName name="SheetKraftFormula499" localSheetId="1" hidden="1">_xll.Formula.SK('[34]IRS Data'!$O$6,1)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localSheetId="1" hidden="1">_xll.Formula.SK('[31]Debt Derivative'!$B$4,1)</definedName>
    <definedName name="SheetKraftFormula500" hidden="1">_xll.Formula.SK('[9]Notes Data'!$DY$9,1)</definedName>
    <definedName name="SheetKraftFormula501" localSheetId="1" hidden="1">_xll.Formula.SK('[31]Debt Derivative'!$G$4,)</definedName>
    <definedName name="SheetKraftFormula501" hidden="1">_xll.Formula.SK('[9]Notes Data'!$DX$10,1)</definedName>
    <definedName name="SheetKraftFormula502" localSheetId="1" hidden="1">_xll.Formula.SK('[31]Debt Derivative'!$J$4,1)</definedName>
    <definedName name="SheetKraftFormula502" hidden="1">_xll.Formula.SK([3]Stack!$BD$5,1)</definedName>
    <definedName name="SheetKraftFormula503" localSheetId="1" hidden="1">_xll.Formula.SK('[31]Debt Derivative'!$P$4,1)</definedName>
    <definedName name="SheetKraftFormula503" hidden="1">_xll.Formula.SK([3]Stack!$BD$6,1)</definedName>
    <definedName name="SheetKraftFormula504" localSheetId="1" hidden="1">_xll.Formula.SK('[31]Debt Derivative'!$X$4,1)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localSheetId="1" hidden="1">_xll.Formula.SK('[31]Debt Derivative'!$AH$4,1)</definedName>
    <definedName name="SheetKraftFormula506" hidden="1">_xll.Formula.SK([3]Stack!$FT$5,1)</definedName>
    <definedName name="SheetKraftFormula507" localSheetId="1" hidden="1">_xll.Formula.SK('[31]Debt Derivative'!$AG$5,1)</definedName>
    <definedName name="SheetKraftFormula507" hidden="1">_xll.Formula.SK([3]Stack!$DG$5,1)</definedName>
    <definedName name="SheetKraftFormula508" localSheetId="1" hidden="1">_xll.Formula.SK('[31]Debt Derivative'!$AO$5,1)</definedName>
    <definedName name="SheetKraftFormula508" hidden="1">_xll.Formula.SK([3]Stack!$GG$8,1)</definedName>
    <definedName name="SheetKraftFormula509" localSheetId="1" hidden="1">_xll.Formula.SK('[31]Debt Derivative'!$AP$5,1)</definedName>
    <definedName name="SheetKraftFormula509" hidden="1">_xll.Formula.SK('[8]Pivots Data'!$CE$4,1)</definedName>
    <definedName name="SheetKraftFormula51" localSheetId="1" hidden="1">_xll.Formula.SK('[2]Holding Positions'!#REF!,1)</definedName>
    <definedName name="SheetKraftFormula51" hidden="1">_xll.Formula.SK('[2]Holding Positions'!#REF!,1)</definedName>
    <definedName name="SheetKraftFormula510" localSheetId="1" hidden="1">_xll.Formula.SK('[31]Debt Derivative'!$AF$4,)</definedName>
    <definedName name="SheetKraftFormula510" hidden="1">_xll.Formula.SK('[32]Management Group'!$B$6,1)</definedName>
    <definedName name="SheetKraftFormula511" localSheetId="1" hidden="1">_xll.Formula.SK('[34]IRS Data'!$C$6,1)</definedName>
    <definedName name="SheetKraftFormula511" hidden="1">_xll.Formula.SK([3]Stack!$FU$5,1)</definedName>
    <definedName name="SheetKraftFormula512" localSheetId="1" hidden="1">_xll.Formula.SK('[34]IRS Data'!$AJ$11,1)</definedName>
    <definedName name="SheetKraftFormula512" hidden="1">_xll.Formula.SK([3]Stack!$GP$8,1)</definedName>
    <definedName name="SheetKraftFormula513" localSheetId="1" hidden="1">_xll.Formula.SK('[34]IRS Data'!#REF!,)</definedName>
    <definedName name="SheetKraftFormula513" hidden="1">_xll.Formula.SK('[8]Pivots Data'!$CJ$4,1)</definedName>
    <definedName name="SheetKraftFormula514" localSheetId="1" hidden="1">_xll.Formula.SK('[34]IRS Data'!$X$6,1)</definedName>
    <definedName name="SheetKraftFormula514" hidden="1">_xll.Formula.SK([3]Stack!$GX$8,1)</definedName>
    <definedName name="SheetKraftFormula515" localSheetId="1" hidden="1">_xll.Formula.SK('[31]Debt Derivative'!$AQ$5,1)</definedName>
    <definedName name="SheetKraftFormula515" hidden="1">_xll.Formula.SK([3]Stack!$GX$1,1)</definedName>
    <definedName name="SheetKraftFormula516" localSheetId="1" hidden="1">_xll.Formula.SK('[31]Debt Derivative'!$AR$5,1)</definedName>
    <definedName name="SheetKraftFormula516" hidden="1">_xll.Formula.SK('[16]Issuer Master'!$W$10,)</definedName>
    <definedName name="SheetKraftFormula517" localSheetId="1" hidden="1">_xll.Formula.SK('[31]Debt Derivative'!$AV$13,)</definedName>
    <definedName name="SheetKraftFormula517" hidden="1">_xll.Formula.SK('[26]Perpetual &amp; BT2'!$A$15,1)</definedName>
    <definedName name="SheetKraftFormula518" localSheetId="1" hidden="1">_xll.Formula.SK('[34]IRS Data'!$K$6,1)</definedName>
    <definedName name="SheetKraftFormula518" hidden="1">_xll.Formula.SK([3]Stack!$DD$5,1)</definedName>
    <definedName name="SheetKraftFormula519" localSheetId="1" hidden="1">_xll.Formula.SK([10]Derivatives!$AW$10,1)</definedName>
    <definedName name="SheetKraftFormula519" hidden="1">_xll.Formula.SK('[9]Notes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_xll.Formula.SK('[9]Notes Data'!$EZ$9,1)</definedName>
    <definedName name="SheetKraftFormula520" hidden="1">_xll.Formula.SK('[9]Notes Data'!$IY$11,)</definedName>
    <definedName name="SheetKraftFormula521" localSheetId="1" hidden="1">_xll.Formula.SK('[9]Notes Data'!$EW$9,1)</definedName>
    <definedName name="SheetKraftFormula521" hidden="1">_xll.Formula.SK('[9]Notes Data'!$JC$10,)</definedName>
    <definedName name="SheetKraftFormula522" localSheetId="1" hidden="1">_xll.Formula.SK('[9]Notes Data'!$EY$9,)</definedName>
    <definedName name="SheetKraftFormula522" hidden="1">_xll.Formula.SK('[9]Notes Data'!$JF$11,)</definedName>
    <definedName name="SheetKraftFormula523" localSheetId="1" hidden="1">_xll.Formula.SK('[9]Notes Data'!$FA$10,1)</definedName>
    <definedName name="SheetKraftFormula523" hidden="1">_xll.Formula.SK('[33]Avg Yield Annualised'!$D$11,1)</definedName>
    <definedName name="SheetKraftFormula524" localSheetId="1" hidden="1">_xll.Formula.SK('[9]Notes Data'!$FB$9,1)</definedName>
    <definedName name="SheetKraftFormula524" hidden="1">_xll.Formula.SK([3]Stack!$FV$5,1)</definedName>
    <definedName name="SheetKraftFormula525" localSheetId="1" hidden="1">_xll.Formula.SK([10]Derivatives!$S$10,)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localSheetId="1" hidden="1">_xll.Formula.SK('[8]Pivots Data'!$O$5,)</definedName>
    <definedName name="SheetKraftFormula527" hidden="1">_xll.Formula.SK([10]Derivatives!$O$11,1)</definedName>
    <definedName name="SheetKraftFormula528" localSheetId="1" hidden="1">_xll.Formula.SK([3]Stack!$DH$6,1)</definedName>
    <definedName name="SheetKraftFormula528" hidden="1">_xll.Formula.SK([3]Stack!$FJ$6,1)</definedName>
    <definedName name="SheetKraftFormula529" localSheetId="1" hidden="1">_xll.Formula.SK([3]Stack!$DI$6,)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localSheetId="1" hidden="1">_xll.Formula.SK([10]Derivatives!$AA$11,1)</definedName>
    <definedName name="SheetKraftFormula530" hidden="1">_xll.Formula.SK('[34]IRS Data'!$E$11,1)</definedName>
    <definedName name="SheetKraftFormula531" localSheetId="1" hidden="1">_xll.Formula.SK([10]Derivatives!$AB$11,1)</definedName>
    <definedName name="SheetKraftFormula531" hidden="1">_xll.Formula.SK('[34]IRS Data'!$P$11,1)</definedName>
    <definedName name="SheetKraftFormula532" localSheetId="1" hidden="1">_xll.Formula.SK([3]Stack!$DH$5,)</definedName>
    <definedName name="SheetKraftFormula532" hidden="1">_xll.Formula.SK('[31]Debt Derivative'!$B$5,1)</definedName>
    <definedName name="SheetKraftFormula533" localSheetId="1" hidden="1">_xll.Formula.SK([3]Stack!$FJ$6,1)</definedName>
    <definedName name="SheetKraftFormula533" hidden="1">_xll.Formula.SK('[31]Debt Derivative'!$J$5,1)</definedName>
    <definedName name="SheetKraftFormula534" localSheetId="1" hidden="1">_xll.Formula.SK([3]Stack!$FK$6,)</definedName>
    <definedName name="SheetKraftFormula534" hidden="1">_xll.Formula.SK('[31]Debt Derivative'!$G$5,)</definedName>
    <definedName name="SheetKraftFormula535" localSheetId="1" hidden="1">_xll.Formula.SK('[24]Notes Data 2'!$AX$9,1)</definedName>
    <definedName name="SheetKraftFormula535" hidden="1">_xll.Formula.SK('[31]Debt Derivative'!$P$5,1)</definedName>
    <definedName name="SheetKraftFormula536" localSheetId="1" hidden="1">_xll.Formula.SK('[24]Notes Data 2'!$AU$9,1)</definedName>
    <definedName name="SheetKraftFormula536" hidden="1">_xll.Formula.SK('[31]Debt Derivative'!$W$4,1)</definedName>
    <definedName name="SheetKraftFormula537" localSheetId="1" hidden="1">_xll.Formula.SK('[24]Notes Data 2'!$AV$10,1)</definedName>
    <definedName name="SheetKraftFormula537" hidden="1">_xll.Formula.SK('[31]Debt Derivative'!$AC$5,1)</definedName>
    <definedName name="SheetKraftFormula538" localSheetId="1" hidden="1">_xll.Formula.SK('[5]Asset Master'!$I$8,1)</definedName>
    <definedName name="SheetKraftFormula538" hidden="1">_xll.Formula.SK('[31]Debt Derivative'!$AH$5,1)</definedName>
    <definedName name="SheetKraftFormula539" localSheetId="1" hidden="1">_xll.Formula.SK('[34]IRS Data'!$W$6,1)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localSheetId="1" hidden="1">_xll.Formula.SK('[34]IRS Data'!$T$6,1)</definedName>
    <definedName name="SheetKraftFormula540" hidden="1">_xll.Formula.SK('[31]Debt Derivative'!$AF$5,)</definedName>
    <definedName name="SheetKraftFormula541" localSheetId="1" hidden="1">_xll.Formula.SK('[21]Asset Pivots Grouping'!$O$13,1)</definedName>
    <definedName name="SheetKraftFormula541" hidden="1">_xll.Formula.SK('[31]Debt Derivative'!$AO$6,1)</definedName>
    <definedName name="SheetKraftFormula542" localSheetId="1" hidden="1">_xll.Formula.SK('[21]Asset Pivots Grouping'!$P$13,1)</definedName>
    <definedName name="SheetKraftFormula542" hidden="1">_xll.Formula.SK('[31]Debt Derivative'!$AP$6,1)</definedName>
    <definedName name="SheetKraftFormula543" localSheetId="1" hidden="1">_xll.Formula.SK('[8]Pivots Data'!$BC$5,1)</definedName>
    <definedName name="SheetKraftFormula543" hidden="1">_xll.Formula.SK('[31]Debt Derivative'!$AQ$6,1)</definedName>
    <definedName name="SheetKraftFormula544" localSheetId="1" hidden="1">_xll.Formula.SK('[34]IRS Data'!$AD$6,1)</definedName>
    <definedName name="SheetKraftFormula544" hidden="1">_xll.Formula.SK('[31]Debt Derivative'!$AR$6,)</definedName>
    <definedName name="SheetKraftFormula545" localSheetId="1" hidden="1">_xll.Formula.SK('[34]IRS Data'!$AC$6,1)</definedName>
    <definedName name="SheetKraftFormula545" hidden="1">_xll.Formula.SK('[31]Debt Derivative'!$AV$13,1)</definedName>
    <definedName name="SheetKraftFormula546" localSheetId="1" hidden="1">_xll.Formula.SK([1]Inputs!$AG$3,1)</definedName>
    <definedName name="SheetKraftFormula546" hidden="1">_xll.Formula.SK('[34]IRS Data'!$M$11,1)</definedName>
    <definedName name="SheetKraftFormula547" localSheetId="1" hidden="1">_xll.Formula.SK([1]Inputs!$AK$3,1)</definedName>
    <definedName name="SheetKraftFormula547" hidden="1">_xll.Formula.SK('[9]Notes Data'!$EZ$9,1)</definedName>
    <definedName name="SheetKraftFormula548" localSheetId="1" hidden="1">_xll.Formula.SK('[9]Notes Data'!$X$10,1)</definedName>
    <definedName name="SheetKraftFormula548" hidden="1">_xll.Formula.SK('[9]Notes Data'!$EY$9,)</definedName>
    <definedName name="SheetKraftFormula549" localSheetId="1" hidden="1">_xll.Formula.SK('[18]Month NAV Last Date Calc'!$R$7,1)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localSheetId="1" hidden="1">_xll.Formula.SK('[27]Liquid Schemes Working Day'!$N$12,1)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3" l="1"/>
  <c r="H10" i="3"/>
  <c r="H11" i="3"/>
  <c r="H13" i="3"/>
</calcChain>
</file>

<file path=xl/sharedStrings.xml><?xml version="1.0" encoding="utf-8"?>
<sst xmlns="http://schemas.openxmlformats.org/spreadsheetml/2006/main" count="542" uniqueCount="218">
  <si>
    <t>Benchmark Riskometer:</t>
  </si>
  <si>
    <t>Scheme Riskometer:</t>
  </si>
  <si>
    <t>10) Riskometer based on Scheme Portfolio and Portfolio Benchmark "NIFTY 50 Hybrid Composite Debt 15:85 Index" as on Nov 30, 2024</t>
  </si>
  <si>
    <t>9) IDCW stands for Income Distribution cum Capital Withdrawal</t>
  </si>
  <si>
    <t>8) Residual Maturity (Average Portfolio Maturity-other than equity investments) : 2926.06 Days</t>
  </si>
  <si>
    <t>7) Macaulay Duration : 1804.7 Days</t>
  </si>
  <si>
    <t>6) Annualised Portfolio YTM : 7.23%</t>
  </si>
  <si>
    <t>5) Total outstanding exposure in Derivative Instruments as on Nov 30, 2024 : Rs.(2415.05)Lacs</t>
  </si>
  <si>
    <t>4) Repo in Corporate Debt : Nil</t>
  </si>
  <si>
    <t>3) Total investments in Foreign Securities / Overseas ETFs / ADRs / GDRs : Nil</t>
  </si>
  <si>
    <t>2) Total below investment grade or default provided for and its percentage to NAV : Nil</t>
  </si>
  <si>
    <t>Bonus History - Bonus declared during the month ended November 30, 2024: Nil</t>
  </si>
  <si>
    <t>Dividend History - Dividend declared during the month ended November 30, 2024 : Nil</t>
  </si>
  <si>
    <t/>
  </si>
  <si>
    <t>Growth Option - Direct Plan</t>
  </si>
  <si>
    <t>Growth Option</t>
  </si>
  <si>
    <t>October 31, 2024</t>
  </si>
  <si>
    <t>November 29, 2024</t>
  </si>
  <si>
    <t>NAVs per unit (Rs.)</t>
  </si>
  <si>
    <t>1) NAV History</t>
  </si>
  <si>
    <t>Notes :</t>
  </si>
  <si>
    <t>Cash, Cash Equivalents and Net Current Assets</t>
  </si>
  <si>
    <t>AA+</t>
  </si>
  <si>
    <t>AAA/AAA(SO)/A1+/A1+(SO) &amp; Equivalent</t>
  </si>
  <si>
    <t>Sovereign</t>
  </si>
  <si>
    <t>Equity</t>
  </si>
  <si>
    <t>Portfolio Classification by Rating Class(%)</t>
  </si>
  <si>
    <t>Credit Exposure</t>
  </si>
  <si>
    <t>G-Sec</t>
  </si>
  <si>
    <t>Total Hedged Exposure</t>
  </si>
  <si>
    <t>Portfolio Classification by Asset Class(%)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</si>
  <si>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</si>
  <si>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@ Less than 0.01%.</t>
  </si>
  <si>
    <t># Non Sensex Scrips</t>
  </si>
  <si>
    <t>^ Non-Traded Securities (Debt) as on November 29, 2024</t>
  </si>
  <si>
    <t>** Thinly Traded/ Non-Traded Securities (Equity) as on November 29, 2024</t>
  </si>
  <si>
    <t>£ - Sponsor Company</t>
  </si>
  <si>
    <t>+ Industry Classification as recommended by AMFI</t>
  </si>
  <si>
    <t>Top Ten Holdings</t>
  </si>
  <si>
    <t>|</t>
  </si>
  <si>
    <t>Grand Total</t>
  </si>
  <si>
    <t>Total</t>
  </si>
  <si>
    <t>Sub Total</t>
  </si>
  <si>
    <t>Net Current Assets</t>
  </si>
  <si>
    <t>OTHERS</t>
  </si>
  <si>
    <t>TREPS - Tri-party Repo</t>
  </si>
  <si>
    <t>MONEY MARKET INSTRUMENTS</t>
  </si>
  <si>
    <t>CRISIL - AAA</t>
  </si>
  <si>
    <t>Power Finance Corporation Ltd.^</t>
  </si>
  <si>
    <t>INE134E08JX9</t>
  </si>
  <si>
    <t>HDFC Bank Ltd.£^</t>
  </si>
  <si>
    <t>INE040A08864</t>
  </si>
  <si>
    <t>Indian Railways Finance Corp. Ltd.^</t>
  </si>
  <si>
    <t>INE053F07AZ4</t>
  </si>
  <si>
    <t>CRISIL - AA+</t>
  </si>
  <si>
    <t>TMF Holdings Ltd. (Subsidiary of Tata Motors Ltd.) (Perpetual)^</t>
  </si>
  <si>
    <t>INE909H08337</t>
  </si>
  <si>
    <t>IND - AA+</t>
  </si>
  <si>
    <t>Mahindra Rural Housing Finance Ltd^</t>
  </si>
  <si>
    <t>INE950O07396</t>
  </si>
  <si>
    <t>Non-Convertible debentures / Bonds</t>
  </si>
  <si>
    <t>7.54% GOI MAT 230536</t>
  </si>
  <si>
    <t>IN0020220029</t>
  </si>
  <si>
    <t>7.5% GOI MAT 100834^</t>
  </si>
  <si>
    <t>IN0020040039</t>
  </si>
  <si>
    <t>8.97% GOI MAT 051230</t>
  </si>
  <si>
    <t>IN0020110055</t>
  </si>
  <si>
    <t>7.57% GOI MAT 170633</t>
  </si>
  <si>
    <t>IN0020190065</t>
  </si>
  <si>
    <t>6.19% GOI MAT 160934</t>
  </si>
  <si>
    <t>IN0020200096</t>
  </si>
  <si>
    <t>6.67% GOI MAT 171250</t>
  </si>
  <si>
    <t>IN0020200252</t>
  </si>
  <si>
    <t>Government Securities (Central/State)</t>
  </si>
  <si>
    <t>(a) Listed / awaiting listing on Stock Exchanges</t>
  </si>
  <si>
    <t>DEBT INSTRUMENTS</t>
  </si>
  <si>
    <t>Chemicals &amp; Petrochemicals</t>
  </si>
  <si>
    <t>Oriental Carbon &amp; Chemicals Ltd.</t>
  </si>
  <si>
    <t>INE321D01016</t>
  </si>
  <si>
    <t>OCCL Limited</t>
  </si>
  <si>
    <t>INE0PK601023</t>
  </si>
  <si>
    <t>Automobiles</t>
  </si>
  <si>
    <t>Popular Vehicles and Services Limited</t>
  </si>
  <si>
    <t>INE772T01024</t>
  </si>
  <si>
    <t>Entertainment</t>
  </si>
  <si>
    <t>PVR LIMITED</t>
  </si>
  <si>
    <t>INE191H01014</t>
  </si>
  <si>
    <t>Fertilizers &amp; Agrochemicals</t>
  </si>
  <si>
    <t>Insecticides (India) Ltd.</t>
  </si>
  <si>
    <t>INE070I01018</t>
  </si>
  <si>
    <t>Auto Components</t>
  </si>
  <si>
    <t>Lumax Industries Ltd</t>
  </si>
  <si>
    <t>INE162B01018</t>
  </si>
  <si>
    <t>Commercial Services &amp; Supplies</t>
  </si>
  <si>
    <t>Redington Ltd.</t>
  </si>
  <si>
    <t>INE891D01026</t>
  </si>
  <si>
    <t>Textiles &amp; Apparels</t>
  </si>
  <si>
    <t>Vardhman Textiles Ltd.</t>
  </si>
  <si>
    <t>INE825A01020</t>
  </si>
  <si>
    <t>Goodyear India Ltd.</t>
  </si>
  <si>
    <t>INE533A01012</t>
  </si>
  <si>
    <t>Healthcare Services</t>
  </si>
  <si>
    <t>Global Health Limited</t>
  </si>
  <si>
    <t>INE474Q01031</t>
  </si>
  <si>
    <t>Transport Services</t>
  </si>
  <si>
    <t>Gateway Distriparks Limited</t>
  </si>
  <si>
    <t>INE079J01017</t>
  </si>
  <si>
    <t>Power</t>
  </si>
  <si>
    <t>Power Grid Corporation of India Ltd.</t>
  </si>
  <si>
    <t>INE752E01010</t>
  </si>
  <si>
    <t>Banks</t>
  </si>
  <si>
    <t>City Union Bank Ltd.</t>
  </si>
  <si>
    <t>INE491A01021</t>
  </si>
  <si>
    <t>Pharmaceuticals &amp; Biotechnology</t>
  </si>
  <si>
    <t>Alembic Pharmaceuticals Limited</t>
  </si>
  <si>
    <t>INE901L01018</t>
  </si>
  <si>
    <t>Construction</t>
  </si>
  <si>
    <t>Kalpataru Projects International Ltd</t>
  </si>
  <si>
    <t>INE220B01022</t>
  </si>
  <si>
    <t>Transport Infrastructure</t>
  </si>
  <si>
    <t>Gujarat Pipavav Port Ltd.</t>
  </si>
  <si>
    <t>INE517F01014</t>
  </si>
  <si>
    <t>Petroleum Products</t>
  </si>
  <si>
    <t>Hindustan Petroleum Corp. Ltd.</t>
  </si>
  <si>
    <t>INE094A01015</t>
  </si>
  <si>
    <t>Industrial Products</t>
  </si>
  <si>
    <t>Finolex Cables Ltd.</t>
  </si>
  <si>
    <t>INE235A01022</t>
  </si>
  <si>
    <t>Agricultural Food &amp; Other Products</t>
  </si>
  <si>
    <t>Balrampur Chini Mills Ltd.</t>
  </si>
  <si>
    <t>INE119A01028</t>
  </si>
  <si>
    <t>Beverages</t>
  </si>
  <si>
    <t>United Spirits Limited</t>
  </si>
  <si>
    <t>INE854D01024</t>
  </si>
  <si>
    <t>Bayer Cropscience Ltd</t>
  </si>
  <si>
    <t>INE462A01022</t>
  </si>
  <si>
    <t>Torrent Pharmaceuticals Ltd.</t>
  </si>
  <si>
    <t>INE685A01028</t>
  </si>
  <si>
    <t>Consumer Durables</t>
  </si>
  <si>
    <t>Symphony Ltd.</t>
  </si>
  <si>
    <t>INE225D01027</t>
  </si>
  <si>
    <t>Aerospace &amp; Defense</t>
  </si>
  <si>
    <t>Hindustan Aeronautics Limited</t>
  </si>
  <si>
    <t>INE066F01020</t>
  </si>
  <si>
    <t>Electrical Equipment</t>
  </si>
  <si>
    <t>Voltamp Transformers Ltd.</t>
  </si>
  <si>
    <t>INE540H01012</t>
  </si>
  <si>
    <t>Gas</t>
  </si>
  <si>
    <t>Gujarat State Petronet Ltd.</t>
  </si>
  <si>
    <t>INE246F01010</t>
  </si>
  <si>
    <t>Industrial Manufacturing</t>
  </si>
  <si>
    <t>The Anup Engineering Limited</t>
  </si>
  <si>
    <t>INE294Z01018</t>
  </si>
  <si>
    <t>Insurance</t>
  </si>
  <si>
    <t>SBI Life Insurance Company Ltd.</t>
  </si>
  <si>
    <t>INE123W01016</t>
  </si>
  <si>
    <t>Vesuvius India Ltd.</t>
  </si>
  <si>
    <t>INE386A01015</t>
  </si>
  <si>
    <t>Maruti Suzuki India Limited</t>
  </si>
  <si>
    <t>INE585B01010</t>
  </si>
  <si>
    <t>Dr Reddys Laboratories Ltd.</t>
  </si>
  <si>
    <t>INE089A01031</t>
  </si>
  <si>
    <t>Transport Corporation of India Ltd.</t>
  </si>
  <si>
    <t>INE688A01022</t>
  </si>
  <si>
    <t>ICICI Lombard General Insurance Co</t>
  </si>
  <si>
    <t>INE765G01017</t>
  </si>
  <si>
    <t>Diversified FMCG</t>
  </si>
  <si>
    <t>ITC LIMITED</t>
  </si>
  <si>
    <t>INE154A01025</t>
  </si>
  <si>
    <t>Axis Bank Ltd.</t>
  </si>
  <si>
    <t>INE238A01034</t>
  </si>
  <si>
    <t>State Bank of India</t>
  </si>
  <si>
    <t>INE062A01020</t>
  </si>
  <si>
    <t>Telecom - Services</t>
  </si>
  <si>
    <t>Bharti Airtel Ltd.</t>
  </si>
  <si>
    <t>INE397D01024</t>
  </si>
  <si>
    <t>IT - Software</t>
  </si>
  <si>
    <t>Infosys Limited</t>
  </si>
  <si>
    <t>INE009A01021</t>
  </si>
  <si>
    <t>ICICI Bank Ltd.</t>
  </si>
  <si>
    <t>INE090A01021</t>
  </si>
  <si>
    <t>HDFC Bank Ltd.£</t>
  </si>
  <si>
    <t>INE040A01034</t>
  </si>
  <si>
    <t>Reliance Industries Ltd.</t>
  </si>
  <si>
    <t>INE002A01018</t>
  </si>
  <si>
    <t>Larsen and Toubro Ltd.</t>
  </si>
  <si>
    <t>INE018A01030</t>
  </si>
  <si>
    <t>Tata Consultancy Services Ltd.</t>
  </si>
  <si>
    <t>INE467B01029</t>
  </si>
  <si>
    <t>EQUITY &amp; EQUITY RELATED</t>
  </si>
  <si>
    <t>Unhedged
% to NAV</t>
  </si>
  <si>
    <t>Derivative
% to NAV</t>
  </si>
  <si>
    <t>~YTC (AT1/Tier 2 bonds)</t>
  </si>
  <si>
    <t>Yield</t>
  </si>
  <si>
    <t>% to NAV</t>
  </si>
  <si>
    <t>Market/ Fair Value (Rs. in Lacs.)</t>
  </si>
  <si>
    <t>Quantity</t>
  </si>
  <si>
    <t>Industry+ /Rating</t>
  </si>
  <si>
    <t>Name Of the Instrument</t>
  </si>
  <si>
    <t>Coupon (%)</t>
  </si>
  <si>
    <t>ISIN</t>
  </si>
  <si>
    <t>Portfolio as on 30-Nov-2024</t>
  </si>
  <si>
    <t>Hybrid</t>
  </si>
  <si>
    <t>Income</t>
  </si>
  <si>
    <t>HDFC Retirement Savings Fund - Hybrid-Debt Plan ( An open ended retirement solution oriented scheme having a lock-in of 5 years or till retirement age whichever is earlier)</t>
  </si>
  <si>
    <t>Larsen &amp; Toubro Ltd.</t>
  </si>
  <si>
    <t>HDFC RETIREMENT SAVINNGS FUND -HYBRID- DEBT PLAN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</si>
  <si>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</si>
  <si>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</si>
  <si>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</si>
  <si>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</si>
  <si>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</si>
  <si>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</si>
  <si>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</si>
  <si>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Scheme Name</t>
  </si>
  <si>
    <t>A.  Hedging Positions through Futures as on November 30, 2024</t>
  </si>
  <si>
    <t>Disclosure regarding Derivative positions pursuant to SEBI Circular no. CIR/IMD/DF/11/2010 dated August 30, 2010.</t>
  </si>
  <si>
    <t>DERIVATIVE DISCLOSURE - HDFC RETIREMENT SAVINNGS FUND -HYBRID- DEBT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</si>
</sst>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,##0.0000"/>
    <numFmt numFmtId="165" formatCode="_(* #,##0.00_);_(* \(#,##0.0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7"/>
      <color rgb="FF000000"/>
      <name val="Tahoma"/>
      <family val="2"/>
    </font>
    <font>
      <sz val="10"/>
      <color rgb="FFFF0000"/>
      <name val="Wingdings"/>
    </font>
    <font>
      <b/>
      <sz val="10"/>
      <color rgb="FFFF0000"/>
      <name val="Tahoma"/>
      <family val="2"/>
    </font>
    <font>
      <sz val="10"/>
      <color theme="1"/>
      <name val="Wingdings"/>
    </font>
    <font>
      <sz val="17"/>
      <color rgb="FFFFFFFF"/>
      <name val="Tahoma"/>
      <family val="2"/>
    </font>
    <font>
      <b/>
      <sz val="17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Franklin Gothic Book"/>
      <family val="2"/>
    </font>
    <font>
      <b/>
      <sz val="10"/>
      <name val="Arial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FFFFBB"/>
      </patternFill>
    </fill>
    <fill>
      <patternFill patternType="solid">
        <fgColor rgb="FFDFDFD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165" fontId="1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center"/>
    </xf>
    <xf numFmtId="15" fontId="4" fillId="2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right"/>
    </xf>
    <xf numFmtId="0" fontId="2" fillId="3" borderId="0" xfId="0" applyNumberFormat="1" applyFont="1" applyFill="1" applyBorder="1"/>
    <xf numFmtId="0" fontId="5" fillId="3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/>
    <xf numFmtId="2" fontId="2" fillId="0" borderId="0" xfId="0" applyNumberFormat="1" applyFont="1" applyFill="1" applyBorder="1"/>
    <xf numFmtId="2" fontId="2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center" wrapText="1"/>
    </xf>
    <xf numFmtId="4" fontId="5" fillId="4" borderId="0" xfId="0" applyNumberFormat="1" applyFont="1" applyFill="1" applyBorder="1" applyAlignment="1">
      <alignment horizontal="right" wrapText="1"/>
    </xf>
    <xf numFmtId="4" fontId="5" fillId="4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11" fillId="2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43" fontId="13" fillId="0" borderId="0" xfId="1" applyNumberFormat="1" applyFont="1" applyFill="1" applyBorder="1" applyAlignment="1"/>
    <xf numFmtId="165" fontId="13" fillId="0" borderId="0" xfId="1" applyNumberFormat="1" applyFont="1" applyFill="1" applyBorder="1" applyAlignment="1"/>
    <xf numFmtId="165" fontId="13" fillId="0" borderId="1" xfId="2" applyFont="1" applyFill="1" applyBorder="1" applyAlignment="1"/>
    <xf numFmtId="165" fontId="14" fillId="0" borderId="2" xfId="2" applyFont="1" applyFill="1" applyBorder="1" applyAlignment="1">
      <alignment horizontal="right" vertical="top"/>
    </xf>
    <xf numFmtId="0" fontId="13" fillId="0" borderId="1" xfId="1" applyFont="1" applyFill="1" applyBorder="1" applyAlignment="1"/>
    <xf numFmtId="15" fontId="13" fillId="0" borderId="0" xfId="2" quotePrefix="1" applyNumberFormat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0" fontId="13" fillId="0" borderId="1" xfId="1" applyFont="1" applyFill="1" applyBorder="1" applyAlignment="1">
      <alignment vertical="top"/>
    </xf>
    <xf numFmtId="165" fontId="15" fillId="0" borderId="1" xfId="2" applyFont="1" applyBorder="1" applyAlignment="1">
      <alignment vertical="center" wrapText="1"/>
    </xf>
    <xf numFmtId="0" fontId="16" fillId="0" borderId="1" xfId="1" applyFont="1" applyFill="1" applyBorder="1" applyAlignment="1">
      <alignment wrapText="1"/>
    </xf>
    <xf numFmtId="0" fontId="16" fillId="0" borderId="1" xfId="1" applyFont="1" applyFill="1" applyBorder="1" applyAlignment="1"/>
    <xf numFmtId="0" fontId="17" fillId="0" borderId="0" xfId="1" applyFont="1" applyFill="1" applyBorder="1" applyAlignment="1">
      <alignment horizontal="left" vertical="justify"/>
    </xf>
    <xf numFmtId="0" fontId="16" fillId="0" borderId="0" xfId="1" applyFont="1" applyFill="1" applyBorder="1" applyAlignment="1">
      <alignment horizontal="left"/>
    </xf>
    <xf numFmtId="0" fontId="13" fillId="0" borderId="0" xfId="1" applyFont="1" applyFill="1" applyBorder="1" applyAlignment="1">
      <alignment horizontal="right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126</xdr:row>
      <xdr:rowOff>0</xdr:rowOff>
    </xdr:from>
    <xdr:ext cx="3721100" cy="2540000"/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003000"/>
          <a:ext cx="3721100" cy="254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3721100" cy="2540000"/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051000"/>
          <a:ext cx="3721100" cy="2540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November%202024/Fortnightly%2030112024/Portfolios/Debt%20-%20Fortnightly%20Portfolios%20for%2030%20November%202024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RETHDP"/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CMO"/>
      <sheetName val="HDFCLI"/>
      <sheetName val="HDFLSP"/>
      <sheetName val="HDFCLONGDF"/>
      <sheetName val="HDFCIG"/>
      <sheetName val="HDFCSO"/>
      <sheetName val="HNGDEC26IF"/>
      <sheetName val="HNGJUN36IF"/>
      <sheetName val="HDFCLT"/>
      <sheetName val="HNGJUL31IF"/>
      <sheetName val="HNGJUN27IF"/>
      <sheetName val="HNGSEP32IF"/>
      <sheetName val="HIFSTP"/>
      <sheetName val="HDFCBNKPSU"/>
      <sheetName val="HDFCMS"/>
      <sheetName val="HDFCIN"/>
      <sheetName val="HDFCUSTF"/>
      <sheetName val="HNGAPR29IF"/>
      <sheetName val="HDFCHI"/>
      <sheetName val="HDFCCORPDO"/>
      <sheetName val="HNSOCT26IF"/>
      <sheetName val="HNSJUN27IF"/>
      <sheetName val="HDFCMC"/>
      <sheetName val="HDFCAALFOF"/>
      <sheetName val="HDFC1DLET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sqref="A1:J1"/>
    </sheetView>
  </sheetViews>
  <sheetFormatPr defaultRowHeight="15"/>
  <cols>
    <col min="1" max="1" width="3.710937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8" width="16.42578125" style="1" customWidth="1"/>
    <col min="9" max="9" width="14.7109375" style="1" customWidth="1"/>
    <col min="10" max="11" width="15.7109375" style="1" customWidth="1"/>
    <col min="12" max="12" width="10.42578125" style="1" customWidth="1"/>
    <col min="13" max="16384" width="9.140625" style="1"/>
  </cols>
  <sheetData>
    <row r="1" spans="1:12" ht="54" customHeight="1">
      <c r="A1" s="31" t="s">
        <v>204</v>
      </c>
      <c r="B1" s="31" t="s">
        <v>204</v>
      </c>
      <c r="C1" s="31" t="s">
        <v>204</v>
      </c>
      <c r="D1" s="31" t="s">
        <v>204</v>
      </c>
      <c r="E1" s="31" t="s">
        <v>204</v>
      </c>
      <c r="F1" s="31" t="s">
        <v>204</v>
      </c>
      <c r="G1" s="31" t="s">
        <v>204</v>
      </c>
      <c r="H1" s="31" t="s">
        <v>204</v>
      </c>
      <c r="I1" s="31" t="s">
        <v>204</v>
      </c>
      <c r="J1" s="31" t="s">
        <v>204</v>
      </c>
      <c r="K1" s="28" t="s">
        <v>203</v>
      </c>
      <c r="L1" s="27" t="s">
        <v>202</v>
      </c>
    </row>
    <row r="2" spans="1:12">
      <c r="A2" s="32" t="s">
        <v>201</v>
      </c>
      <c r="B2" s="32" t="s">
        <v>201</v>
      </c>
      <c r="C2" s="32" t="s">
        <v>201</v>
      </c>
      <c r="D2" s="32" t="s">
        <v>201</v>
      </c>
      <c r="E2" s="32" t="s">
        <v>201</v>
      </c>
      <c r="F2" s="32" t="s">
        <v>201</v>
      </c>
      <c r="G2" s="32" t="s">
        <v>201</v>
      </c>
      <c r="H2" s="32" t="s">
        <v>201</v>
      </c>
      <c r="I2" s="32" t="s">
        <v>201</v>
      </c>
      <c r="J2" s="32" t="s">
        <v>201</v>
      </c>
      <c r="K2" s="13"/>
      <c r="L2" s="13"/>
    </row>
    <row r="3" spans="1:12">
      <c r="A3" s="13"/>
      <c r="D3" s="13"/>
      <c r="E3" s="13"/>
      <c r="F3" s="13"/>
      <c r="G3" s="13"/>
      <c r="H3" s="13"/>
      <c r="I3" s="13"/>
      <c r="J3" s="13"/>
      <c r="K3" s="13"/>
      <c r="L3" s="13"/>
    </row>
    <row r="4" spans="1:1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26.25">
      <c r="A5" s="13"/>
      <c r="B5" s="24" t="s">
        <v>200</v>
      </c>
      <c r="C5" s="24" t="s">
        <v>199</v>
      </c>
      <c r="D5" s="24" t="s">
        <v>198</v>
      </c>
      <c r="E5" s="24" t="s">
        <v>197</v>
      </c>
      <c r="F5" s="24" t="s">
        <v>196</v>
      </c>
      <c r="G5" s="26" t="s">
        <v>195</v>
      </c>
      <c r="H5" s="26" t="s">
        <v>194</v>
      </c>
      <c r="I5" s="26" t="s">
        <v>193</v>
      </c>
      <c r="J5" s="26" t="s">
        <v>192</v>
      </c>
      <c r="K5" s="25" t="s">
        <v>191</v>
      </c>
      <c r="L5" s="24" t="s">
        <v>190</v>
      </c>
    </row>
    <row r="6" spans="1:12">
      <c r="A6" s="5"/>
      <c r="B6" s="17" t="s">
        <v>189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/>
      <c r="B7" s="17" t="s">
        <v>74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/>
      <c r="B8" s="17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12" t="s">
        <v>39</v>
      </c>
      <c r="B9" s="4" t="s">
        <v>188</v>
      </c>
      <c r="C9" s="4" t="s">
        <v>13</v>
      </c>
      <c r="D9" s="4" t="s">
        <v>187</v>
      </c>
      <c r="E9" s="4" t="s">
        <v>176</v>
      </c>
      <c r="F9" s="23">
        <v>32977</v>
      </c>
      <c r="G9" s="22">
        <v>1408.4</v>
      </c>
      <c r="H9" s="22">
        <v>8.7200000000000006</v>
      </c>
      <c r="I9" s="6" t="s">
        <v>13</v>
      </c>
      <c r="J9" s="6" t="s">
        <v>13</v>
      </c>
      <c r="K9" s="21">
        <v>8.18</v>
      </c>
      <c r="L9" s="20">
        <v>0.57999999999999996</v>
      </c>
    </row>
    <row r="10" spans="1:12">
      <c r="A10" s="12" t="s">
        <v>39</v>
      </c>
      <c r="B10" s="4" t="s">
        <v>186</v>
      </c>
      <c r="C10" s="4" t="s">
        <v>13</v>
      </c>
      <c r="D10" s="4" t="s">
        <v>185</v>
      </c>
      <c r="E10" s="4" t="s">
        <v>116</v>
      </c>
      <c r="F10" s="23">
        <v>19700</v>
      </c>
      <c r="G10" s="22">
        <v>733.79</v>
      </c>
      <c r="H10" s="22">
        <v>4.55</v>
      </c>
      <c r="I10" s="6" t="s">
        <v>13</v>
      </c>
      <c r="J10" s="6" t="s">
        <v>13</v>
      </c>
      <c r="K10" s="21">
        <v>3.76</v>
      </c>
      <c r="L10" s="20">
        <v>0.81</v>
      </c>
    </row>
    <row r="11" spans="1:12">
      <c r="A11" s="12" t="s">
        <v>39</v>
      </c>
      <c r="B11" s="4" t="s">
        <v>184</v>
      </c>
      <c r="C11" s="4" t="s">
        <v>13</v>
      </c>
      <c r="D11" s="4" t="s">
        <v>183</v>
      </c>
      <c r="E11" s="4" t="s">
        <v>122</v>
      </c>
      <c r="F11" s="23">
        <v>49500</v>
      </c>
      <c r="G11" s="22">
        <v>639.64</v>
      </c>
      <c r="H11" s="22">
        <v>3.96</v>
      </c>
      <c r="I11" s="6" t="s">
        <v>13</v>
      </c>
      <c r="J11" s="6" t="s">
        <v>13</v>
      </c>
      <c r="K11" s="21">
        <v>3.02</v>
      </c>
      <c r="L11" s="20">
        <v>0.96</v>
      </c>
    </row>
    <row r="12" spans="1:12">
      <c r="A12" s="12" t="s">
        <v>13</v>
      </c>
      <c r="B12" s="4" t="s">
        <v>182</v>
      </c>
      <c r="C12" s="4" t="s">
        <v>13</v>
      </c>
      <c r="D12" s="4" t="s">
        <v>181</v>
      </c>
      <c r="E12" s="4" t="s">
        <v>110</v>
      </c>
      <c r="F12" s="23">
        <v>21900</v>
      </c>
      <c r="G12" s="22">
        <v>393.33</v>
      </c>
      <c r="H12" s="22">
        <v>2.44</v>
      </c>
      <c r="I12" s="6" t="s">
        <v>13</v>
      </c>
      <c r="J12" s="6" t="s">
        <v>13</v>
      </c>
      <c r="K12" s="21">
        <v>0</v>
      </c>
      <c r="L12" s="20">
        <v>2.44</v>
      </c>
    </row>
    <row r="13" spans="1:12">
      <c r="A13" s="12" t="s">
        <v>13</v>
      </c>
      <c r="B13" s="4" t="s">
        <v>180</v>
      </c>
      <c r="C13" s="4" t="s">
        <v>13</v>
      </c>
      <c r="D13" s="4" t="s">
        <v>179</v>
      </c>
      <c r="E13" s="4" t="s">
        <v>110</v>
      </c>
      <c r="F13" s="23">
        <v>30000</v>
      </c>
      <c r="G13" s="22">
        <v>390.03</v>
      </c>
      <c r="H13" s="22">
        <v>2.42</v>
      </c>
      <c r="I13" s="6" t="s">
        <v>13</v>
      </c>
      <c r="J13" s="6" t="s">
        <v>13</v>
      </c>
      <c r="K13" s="21">
        <v>0</v>
      </c>
      <c r="L13" s="20">
        <v>2.42</v>
      </c>
    </row>
    <row r="14" spans="1:12">
      <c r="A14" s="12" t="s">
        <v>13</v>
      </c>
      <c r="B14" s="4" t="s">
        <v>178</v>
      </c>
      <c r="C14" s="4" t="s">
        <v>13</v>
      </c>
      <c r="D14" s="4" t="s">
        <v>177</v>
      </c>
      <c r="E14" s="4" t="s">
        <v>176</v>
      </c>
      <c r="F14" s="23">
        <v>10000</v>
      </c>
      <c r="G14" s="22">
        <v>185.79</v>
      </c>
      <c r="H14" s="22">
        <v>1.1499999999999999</v>
      </c>
      <c r="I14" s="6" t="s">
        <v>13</v>
      </c>
      <c r="J14" s="6" t="s">
        <v>13</v>
      </c>
      <c r="K14" s="21">
        <v>0</v>
      </c>
      <c r="L14" s="20">
        <v>1.1499999999999999</v>
      </c>
    </row>
    <row r="15" spans="1:12">
      <c r="A15" s="12" t="s">
        <v>13</v>
      </c>
      <c r="B15" s="4" t="s">
        <v>175</v>
      </c>
      <c r="C15" s="4" t="s">
        <v>13</v>
      </c>
      <c r="D15" s="4" t="s">
        <v>174</v>
      </c>
      <c r="E15" s="4" t="s">
        <v>173</v>
      </c>
      <c r="F15" s="23">
        <v>10000</v>
      </c>
      <c r="G15" s="22">
        <v>162.72</v>
      </c>
      <c r="H15" s="22">
        <v>1.01</v>
      </c>
      <c r="I15" s="6" t="s">
        <v>13</v>
      </c>
      <c r="J15" s="6" t="s">
        <v>13</v>
      </c>
      <c r="K15" s="21">
        <v>0</v>
      </c>
      <c r="L15" s="20">
        <v>1.01</v>
      </c>
    </row>
    <row r="16" spans="1:12">
      <c r="A16" s="12" t="s">
        <v>13</v>
      </c>
      <c r="B16" s="4" t="s">
        <v>172</v>
      </c>
      <c r="C16" s="4" t="s">
        <v>13</v>
      </c>
      <c r="D16" s="4" t="s">
        <v>171</v>
      </c>
      <c r="E16" s="4" t="s">
        <v>110</v>
      </c>
      <c r="F16" s="23">
        <v>19500</v>
      </c>
      <c r="G16" s="22">
        <v>163.6</v>
      </c>
      <c r="H16" s="22">
        <v>1.01</v>
      </c>
      <c r="I16" s="6" t="s">
        <v>13</v>
      </c>
      <c r="J16" s="6" t="s">
        <v>13</v>
      </c>
      <c r="K16" s="21">
        <v>0</v>
      </c>
      <c r="L16" s="20">
        <v>1.01</v>
      </c>
    </row>
    <row r="17" spans="1:12">
      <c r="A17" s="12" t="s">
        <v>13</v>
      </c>
      <c r="B17" s="4" t="s">
        <v>170</v>
      </c>
      <c r="C17" s="4" t="s">
        <v>13</v>
      </c>
      <c r="D17" s="4" t="s">
        <v>169</v>
      </c>
      <c r="E17" s="4" t="s">
        <v>110</v>
      </c>
      <c r="F17" s="23">
        <v>13000</v>
      </c>
      <c r="G17" s="22">
        <v>147.72</v>
      </c>
      <c r="H17" s="22">
        <v>0.92</v>
      </c>
      <c r="I17" s="6" t="s">
        <v>13</v>
      </c>
      <c r="J17" s="6" t="s">
        <v>13</v>
      </c>
      <c r="K17" s="21">
        <v>0</v>
      </c>
      <c r="L17" s="20">
        <v>0.92</v>
      </c>
    </row>
    <row r="18" spans="1:12">
      <c r="A18" s="12" t="s">
        <v>13</v>
      </c>
      <c r="B18" s="4" t="s">
        <v>168</v>
      </c>
      <c r="C18" s="4" t="s">
        <v>13</v>
      </c>
      <c r="D18" s="4" t="s">
        <v>167</v>
      </c>
      <c r="E18" s="4" t="s">
        <v>166</v>
      </c>
      <c r="F18" s="23">
        <v>30000</v>
      </c>
      <c r="G18" s="22">
        <v>143.03</v>
      </c>
      <c r="H18" s="22">
        <v>0.89</v>
      </c>
      <c r="I18" s="6" t="s">
        <v>13</v>
      </c>
      <c r="J18" s="6" t="s">
        <v>13</v>
      </c>
      <c r="K18" s="21">
        <v>0</v>
      </c>
      <c r="L18" s="20">
        <v>0.89</v>
      </c>
    </row>
    <row r="19" spans="1:12">
      <c r="A19" s="12" t="s">
        <v>13</v>
      </c>
      <c r="B19" s="4" t="s">
        <v>165</v>
      </c>
      <c r="C19" s="4" t="s">
        <v>13</v>
      </c>
      <c r="D19" s="4" t="s">
        <v>164</v>
      </c>
      <c r="E19" s="4" t="s">
        <v>153</v>
      </c>
      <c r="F19" s="23">
        <v>6000</v>
      </c>
      <c r="G19" s="22">
        <v>111.71</v>
      </c>
      <c r="H19" s="22">
        <v>0.69</v>
      </c>
      <c r="I19" s="6" t="s">
        <v>13</v>
      </c>
      <c r="J19" s="6" t="s">
        <v>13</v>
      </c>
      <c r="K19" s="21">
        <v>0</v>
      </c>
      <c r="L19" s="20">
        <v>0.69</v>
      </c>
    </row>
    <row r="20" spans="1:12">
      <c r="A20" s="12" t="s">
        <v>13</v>
      </c>
      <c r="B20" s="4" t="s">
        <v>163</v>
      </c>
      <c r="C20" s="4" t="s">
        <v>13</v>
      </c>
      <c r="D20" s="4" t="s">
        <v>162</v>
      </c>
      <c r="E20" s="4" t="s">
        <v>104</v>
      </c>
      <c r="F20" s="23">
        <v>10000</v>
      </c>
      <c r="G20" s="22">
        <v>106.86</v>
      </c>
      <c r="H20" s="22">
        <v>0.66</v>
      </c>
      <c r="I20" s="6" t="s">
        <v>13</v>
      </c>
      <c r="J20" s="6" t="s">
        <v>13</v>
      </c>
      <c r="K20" s="21">
        <v>0</v>
      </c>
      <c r="L20" s="20">
        <v>0.66</v>
      </c>
    </row>
    <row r="21" spans="1:12">
      <c r="A21" s="12" t="s">
        <v>13</v>
      </c>
      <c r="B21" s="4" t="s">
        <v>161</v>
      </c>
      <c r="C21" s="4" t="s">
        <v>13</v>
      </c>
      <c r="D21" s="4" t="s">
        <v>160</v>
      </c>
      <c r="E21" s="4" t="s">
        <v>113</v>
      </c>
      <c r="F21" s="23">
        <v>7500</v>
      </c>
      <c r="G21" s="22">
        <v>90.17</v>
      </c>
      <c r="H21" s="22">
        <v>0.56000000000000005</v>
      </c>
      <c r="I21" s="6" t="s">
        <v>13</v>
      </c>
      <c r="J21" s="6" t="s">
        <v>13</v>
      </c>
      <c r="K21" s="21">
        <v>0</v>
      </c>
      <c r="L21" s="20">
        <v>0.56000000000000005</v>
      </c>
    </row>
    <row r="22" spans="1:12">
      <c r="A22" s="12" t="s">
        <v>13</v>
      </c>
      <c r="B22" s="4" t="s">
        <v>159</v>
      </c>
      <c r="C22" s="4" t="s">
        <v>13</v>
      </c>
      <c r="D22" s="4" t="s">
        <v>158</v>
      </c>
      <c r="E22" s="4" t="s">
        <v>81</v>
      </c>
      <c r="F22" s="23">
        <v>800</v>
      </c>
      <c r="G22" s="22">
        <v>88.59</v>
      </c>
      <c r="H22" s="22">
        <v>0.55000000000000004</v>
      </c>
      <c r="I22" s="6" t="s">
        <v>13</v>
      </c>
      <c r="J22" s="6" t="s">
        <v>13</v>
      </c>
      <c r="K22" s="21">
        <v>0</v>
      </c>
      <c r="L22" s="20">
        <v>0.55000000000000004</v>
      </c>
    </row>
    <row r="23" spans="1:12">
      <c r="A23" s="12" t="s">
        <v>13</v>
      </c>
      <c r="B23" s="4" t="s">
        <v>157</v>
      </c>
      <c r="C23" s="4" t="s">
        <v>13</v>
      </c>
      <c r="D23" s="4" t="s">
        <v>156</v>
      </c>
      <c r="E23" s="4" t="s">
        <v>125</v>
      </c>
      <c r="F23" s="23">
        <v>1500</v>
      </c>
      <c r="G23" s="22">
        <v>80.61</v>
      </c>
      <c r="H23" s="22">
        <v>0.5</v>
      </c>
      <c r="I23" s="6" t="s">
        <v>13</v>
      </c>
      <c r="J23" s="6" t="s">
        <v>13</v>
      </c>
      <c r="K23" s="21">
        <v>0</v>
      </c>
      <c r="L23" s="20">
        <v>0.5</v>
      </c>
    </row>
    <row r="24" spans="1:12">
      <c r="A24" s="12" t="s">
        <v>13</v>
      </c>
      <c r="B24" s="4" t="s">
        <v>155</v>
      </c>
      <c r="C24" s="4" t="s">
        <v>13</v>
      </c>
      <c r="D24" s="4" t="s">
        <v>154</v>
      </c>
      <c r="E24" s="4" t="s">
        <v>153</v>
      </c>
      <c r="F24" s="23">
        <v>5000</v>
      </c>
      <c r="G24" s="22">
        <v>71.89</v>
      </c>
      <c r="H24" s="22">
        <v>0.45</v>
      </c>
      <c r="I24" s="6" t="s">
        <v>13</v>
      </c>
      <c r="J24" s="6" t="s">
        <v>13</v>
      </c>
      <c r="K24" s="21">
        <v>0</v>
      </c>
      <c r="L24" s="20">
        <v>0.45</v>
      </c>
    </row>
    <row r="25" spans="1:12">
      <c r="A25" s="12" t="s">
        <v>13</v>
      </c>
      <c r="B25" s="4" t="s">
        <v>152</v>
      </c>
      <c r="C25" s="4" t="s">
        <v>13</v>
      </c>
      <c r="D25" s="4" t="s">
        <v>151</v>
      </c>
      <c r="E25" s="4" t="s">
        <v>150</v>
      </c>
      <c r="F25" s="23">
        <v>2000</v>
      </c>
      <c r="G25" s="22">
        <v>73.099999999999994</v>
      </c>
      <c r="H25" s="22">
        <v>0.45</v>
      </c>
      <c r="I25" s="6" t="s">
        <v>13</v>
      </c>
      <c r="J25" s="6" t="s">
        <v>13</v>
      </c>
      <c r="K25" s="21">
        <v>0</v>
      </c>
      <c r="L25" s="20">
        <v>0.45</v>
      </c>
    </row>
    <row r="26" spans="1:12">
      <c r="A26" s="12" t="s">
        <v>13</v>
      </c>
      <c r="B26" s="4" t="s">
        <v>149</v>
      </c>
      <c r="C26" s="4" t="s">
        <v>13</v>
      </c>
      <c r="D26" s="4" t="s">
        <v>148</v>
      </c>
      <c r="E26" s="4" t="s">
        <v>147</v>
      </c>
      <c r="F26" s="23">
        <v>20000</v>
      </c>
      <c r="G26" s="22">
        <v>70.83</v>
      </c>
      <c r="H26" s="22">
        <v>0.44</v>
      </c>
      <c r="I26" s="6" t="s">
        <v>13</v>
      </c>
      <c r="J26" s="6" t="s">
        <v>13</v>
      </c>
      <c r="K26" s="21">
        <v>0</v>
      </c>
      <c r="L26" s="20">
        <v>0.44</v>
      </c>
    </row>
    <row r="27" spans="1:12">
      <c r="A27" s="12" t="s">
        <v>13</v>
      </c>
      <c r="B27" s="4" t="s">
        <v>146</v>
      </c>
      <c r="C27" s="4" t="s">
        <v>13</v>
      </c>
      <c r="D27" s="4" t="s">
        <v>145</v>
      </c>
      <c r="E27" s="4" t="s">
        <v>144</v>
      </c>
      <c r="F27" s="23">
        <v>700</v>
      </c>
      <c r="G27" s="22">
        <v>71.13</v>
      </c>
      <c r="H27" s="22">
        <v>0.44</v>
      </c>
      <c r="I27" s="6" t="s">
        <v>13</v>
      </c>
      <c r="J27" s="6" t="s">
        <v>13</v>
      </c>
      <c r="K27" s="21">
        <v>0</v>
      </c>
      <c r="L27" s="20">
        <v>0.44</v>
      </c>
    </row>
    <row r="28" spans="1:12">
      <c r="A28" s="12" t="s">
        <v>13</v>
      </c>
      <c r="B28" s="4" t="s">
        <v>143</v>
      </c>
      <c r="C28" s="4" t="s">
        <v>13</v>
      </c>
      <c r="D28" s="4" t="s">
        <v>142</v>
      </c>
      <c r="E28" s="4" t="s">
        <v>141</v>
      </c>
      <c r="F28" s="23">
        <v>1500</v>
      </c>
      <c r="G28" s="22">
        <v>67.150000000000006</v>
      </c>
      <c r="H28" s="22">
        <v>0.42</v>
      </c>
      <c r="I28" s="6" t="s">
        <v>13</v>
      </c>
      <c r="J28" s="6" t="s">
        <v>13</v>
      </c>
      <c r="K28" s="21">
        <v>0</v>
      </c>
      <c r="L28" s="20">
        <v>0.42</v>
      </c>
    </row>
    <row r="29" spans="1:12">
      <c r="A29" s="12" t="s">
        <v>13</v>
      </c>
      <c r="B29" s="4" t="s">
        <v>140</v>
      </c>
      <c r="C29" s="4" t="s">
        <v>13</v>
      </c>
      <c r="D29" s="4" t="s">
        <v>139</v>
      </c>
      <c r="E29" s="4" t="s">
        <v>138</v>
      </c>
      <c r="F29" s="23">
        <v>4921</v>
      </c>
      <c r="G29" s="22">
        <v>66.16</v>
      </c>
      <c r="H29" s="22">
        <v>0.41</v>
      </c>
      <c r="I29" s="6" t="s">
        <v>13</v>
      </c>
      <c r="J29" s="6" t="s">
        <v>13</v>
      </c>
      <c r="K29" s="21">
        <v>0</v>
      </c>
      <c r="L29" s="20">
        <v>0.41</v>
      </c>
    </row>
    <row r="30" spans="1:12">
      <c r="A30" s="12" t="s">
        <v>13</v>
      </c>
      <c r="B30" s="4" t="s">
        <v>137</v>
      </c>
      <c r="C30" s="4" t="s">
        <v>13</v>
      </c>
      <c r="D30" s="4" t="s">
        <v>136</v>
      </c>
      <c r="E30" s="4" t="s">
        <v>113</v>
      </c>
      <c r="F30" s="23">
        <v>2000</v>
      </c>
      <c r="G30" s="22">
        <v>66.48</v>
      </c>
      <c r="H30" s="22">
        <v>0.41</v>
      </c>
      <c r="I30" s="6" t="s">
        <v>13</v>
      </c>
      <c r="J30" s="6" t="s">
        <v>13</v>
      </c>
      <c r="K30" s="21">
        <v>0</v>
      </c>
      <c r="L30" s="20">
        <v>0.41</v>
      </c>
    </row>
    <row r="31" spans="1:12">
      <c r="A31" s="12" t="s">
        <v>13</v>
      </c>
      <c r="B31" s="4" t="s">
        <v>135</v>
      </c>
      <c r="C31" s="4" t="s">
        <v>13</v>
      </c>
      <c r="D31" s="4" t="s">
        <v>134</v>
      </c>
      <c r="E31" s="4" t="s">
        <v>87</v>
      </c>
      <c r="F31" s="23">
        <v>1100</v>
      </c>
      <c r="G31" s="22">
        <v>62.62</v>
      </c>
      <c r="H31" s="22">
        <v>0.39</v>
      </c>
      <c r="I31" s="6" t="s">
        <v>13</v>
      </c>
      <c r="J31" s="6" t="s">
        <v>13</v>
      </c>
      <c r="K31" s="21">
        <v>0</v>
      </c>
      <c r="L31" s="20">
        <v>0.39</v>
      </c>
    </row>
    <row r="32" spans="1:12">
      <c r="A32" s="12" t="s">
        <v>13</v>
      </c>
      <c r="B32" s="4" t="s">
        <v>133</v>
      </c>
      <c r="C32" s="4" t="s">
        <v>13</v>
      </c>
      <c r="D32" s="4" t="s">
        <v>132</v>
      </c>
      <c r="E32" s="4" t="s">
        <v>131</v>
      </c>
      <c r="F32" s="23">
        <v>4000</v>
      </c>
      <c r="G32" s="22">
        <v>61.16</v>
      </c>
      <c r="H32" s="22">
        <v>0.38</v>
      </c>
      <c r="I32" s="6" t="s">
        <v>13</v>
      </c>
      <c r="J32" s="6" t="s">
        <v>13</v>
      </c>
      <c r="K32" s="21">
        <v>0</v>
      </c>
      <c r="L32" s="20">
        <v>0.38</v>
      </c>
    </row>
    <row r="33" spans="1:12">
      <c r="A33" s="12" t="s">
        <v>13</v>
      </c>
      <c r="B33" s="4" t="s">
        <v>130</v>
      </c>
      <c r="C33" s="4" t="s">
        <v>13</v>
      </c>
      <c r="D33" s="4" t="s">
        <v>129</v>
      </c>
      <c r="E33" s="4" t="s">
        <v>128</v>
      </c>
      <c r="F33" s="23">
        <v>10000</v>
      </c>
      <c r="G33" s="22">
        <v>58.51</v>
      </c>
      <c r="H33" s="22">
        <v>0.36</v>
      </c>
      <c r="I33" s="6" t="s">
        <v>13</v>
      </c>
      <c r="J33" s="6" t="s">
        <v>13</v>
      </c>
      <c r="K33" s="21">
        <v>0</v>
      </c>
      <c r="L33" s="20">
        <v>0.36</v>
      </c>
    </row>
    <row r="34" spans="1:12">
      <c r="A34" s="12" t="s">
        <v>13</v>
      </c>
      <c r="B34" s="4" t="s">
        <v>127</v>
      </c>
      <c r="C34" s="4" t="s">
        <v>13</v>
      </c>
      <c r="D34" s="4" t="s">
        <v>126</v>
      </c>
      <c r="E34" s="4" t="s">
        <v>125</v>
      </c>
      <c r="F34" s="23">
        <v>5000</v>
      </c>
      <c r="G34" s="22">
        <v>57.49</v>
      </c>
      <c r="H34" s="22">
        <v>0.36</v>
      </c>
      <c r="I34" s="6" t="s">
        <v>13</v>
      </c>
      <c r="J34" s="6" t="s">
        <v>13</v>
      </c>
      <c r="K34" s="21">
        <v>0</v>
      </c>
      <c r="L34" s="20">
        <v>0.36</v>
      </c>
    </row>
    <row r="35" spans="1:12">
      <c r="A35" s="12" t="s">
        <v>13</v>
      </c>
      <c r="B35" s="4" t="s">
        <v>124</v>
      </c>
      <c r="C35" s="4" t="s">
        <v>13</v>
      </c>
      <c r="D35" s="4" t="s">
        <v>123</v>
      </c>
      <c r="E35" s="4" t="s">
        <v>122</v>
      </c>
      <c r="F35" s="23">
        <v>15000</v>
      </c>
      <c r="G35" s="22">
        <v>57.47</v>
      </c>
      <c r="H35" s="22">
        <v>0.36</v>
      </c>
      <c r="I35" s="6" t="s">
        <v>13</v>
      </c>
      <c r="J35" s="6" t="s">
        <v>13</v>
      </c>
      <c r="K35" s="21">
        <v>0</v>
      </c>
      <c r="L35" s="20">
        <v>0.36</v>
      </c>
    </row>
    <row r="36" spans="1:12">
      <c r="A36" s="12" t="s">
        <v>13</v>
      </c>
      <c r="B36" s="4" t="s">
        <v>121</v>
      </c>
      <c r="C36" s="4" t="s">
        <v>13</v>
      </c>
      <c r="D36" s="4" t="s">
        <v>120</v>
      </c>
      <c r="E36" s="4" t="s">
        <v>119</v>
      </c>
      <c r="F36" s="23">
        <v>30000</v>
      </c>
      <c r="G36" s="22">
        <v>56.27</v>
      </c>
      <c r="H36" s="22">
        <v>0.35</v>
      </c>
      <c r="I36" s="6" t="s">
        <v>13</v>
      </c>
      <c r="J36" s="6" t="s">
        <v>13</v>
      </c>
      <c r="K36" s="21">
        <v>0</v>
      </c>
      <c r="L36" s="20">
        <v>0.35</v>
      </c>
    </row>
    <row r="37" spans="1:12">
      <c r="A37" s="12" t="s">
        <v>13</v>
      </c>
      <c r="B37" s="4" t="s">
        <v>118</v>
      </c>
      <c r="C37" s="4" t="s">
        <v>13</v>
      </c>
      <c r="D37" s="4" t="s">
        <v>117</v>
      </c>
      <c r="E37" s="4" t="s">
        <v>116</v>
      </c>
      <c r="F37" s="23">
        <v>5015</v>
      </c>
      <c r="G37" s="22">
        <v>57.17</v>
      </c>
      <c r="H37" s="22">
        <v>0.35</v>
      </c>
      <c r="I37" s="6" t="s">
        <v>13</v>
      </c>
      <c r="J37" s="6" t="s">
        <v>13</v>
      </c>
      <c r="K37" s="21">
        <v>0</v>
      </c>
      <c r="L37" s="20">
        <v>0.35</v>
      </c>
    </row>
    <row r="38" spans="1:12">
      <c r="A38" s="12" t="s">
        <v>13</v>
      </c>
      <c r="B38" s="4" t="s">
        <v>115</v>
      </c>
      <c r="C38" s="4" t="s">
        <v>13</v>
      </c>
      <c r="D38" s="4" t="s">
        <v>114</v>
      </c>
      <c r="E38" s="4" t="s">
        <v>113</v>
      </c>
      <c r="F38" s="23">
        <v>5000</v>
      </c>
      <c r="G38" s="22">
        <v>54.61</v>
      </c>
      <c r="H38" s="22">
        <v>0.34</v>
      </c>
      <c r="I38" s="6" t="s">
        <v>13</v>
      </c>
      <c r="J38" s="6" t="s">
        <v>13</v>
      </c>
      <c r="K38" s="21">
        <v>0</v>
      </c>
      <c r="L38" s="20">
        <v>0.34</v>
      </c>
    </row>
    <row r="39" spans="1:12">
      <c r="A39" s="12" t="s">
        <v>13</v>
      </c>
      <c r="B39" s="4" t="s">
        <v>112</v>
      </c>
      <c r="C39" s="4" t="s">
        <v>13</v>
      </c>
      <c r="D39" s="4" t="s">
        <v>111</v>
      </c>
      <c r="E39" s="4" t="s">
        <v>110</v>
      </c>
      <c r="F39" s="23">
        <v>30000</v>
      </c>
      <c r="G39" s="22">
        <v>53.86</v>
      </c>
      <c r="H39" s="22">
        <v>0.33</v>
      </c>
      <c r="I39" s="6" t="s">
        <v>13</v>
      </c>
      <c r="J39" s="6" t="s">
        <v>13</v>
      </c>
      <c r="K39" s="21">
        <v>0</v>
      </c>
      <c r="L39" s="20">
        <v>0.33</v>
      </c>
    </row>
    <row r="40" spans="1:12">
      <c r="A40" s="12" t="s">
        <v>13</v>
      </c>
      <c r="B40" s="4" t="s">
        <v>109</v>
      </c>
      <c r="C40" s="4" t="s">
        <v>13</v>
      </c>
      <c r="D40" s="4" t="s">
        <v>108</v>
      </c>
      <c r="E40" s="4" t="s">
        <v>107</v>
      </c>
      <c r="F40" s="23">
        <v>16000</v>
      </c>
      <c r="G40" s="22">
        <v>52.7</v>
      </c>
      <c r="H40" s="22">
        <v>0.33</v>
      </c>
      <c r="I40" s="6" t="s">
        <v>13</v>
      </c>
      <c r="J40" s="6" t="s">
        <v>13</v>
      </c>
      <c r="K40" s="21">
        <v>0</v>
      </c>
      <c r="L40" s="20">
        <v>0.33</v>
      </c>
    </row>
    <row r="41" spans="1:12">
      <c r="A41" s="12" t="s">
        <v>13</v>
      </c>
      <c r="B41" s="4" t="s">
        <v>106</v>
      </c>
      <c r="C41" s="4" t="s">
        <v>13</v>
      </c>
      <c r="D41" s="4" t="s">
        <v>105</v>
      </c>
      <c r="E41" s="4" t="s">
        <v>104</v>
      </c>
      <c r="F41" s="23">
        <v>60000</v>
      </c>
      <c r="G41" s="22">
        <v>49.57</v>
      </c>
      <c r="H41" s="22">
        <v>0.31</v>
      </c>
      <c r="I41" s="6" t="s">
        <v>13</v>
      </c>
      <c r="J41" s="6" t="s">
        <v>13</v>
      </c>
      <c r="K41" s="21">
        <v>0</v>
      </c>
      <c r="L41" s="20">
        <v>0.31</v>
      </c>
    </row>
    <row r="42" spans="1:12">
      <c r="A42" s="12" t="s">
        <v>13</v>
      </c>
      <c r="B42" s="4" t="s">
        <v>103</v>
      </c>
      <c r="C42" s="4" t="s">
        <v>13</v>
      </c>
      <c r="D42" s="4" t="s">
        <v>102</v>
      </c>
      <c r="E42" s="4" t="s">
        <v>101</v>
      </c>
      <c r="F42" s="23">
        <v>4000</v>
      </c>
      <c r="G42" s="22">
        <v>43.01</v>
      </c>
      <c r="H42" s="22">
        <v>0.27</v>
      </c>
      <c r="I42" s="6" t="s">
        <v>13</v>
      </c>
      <c r="J42" s="6" t="s">
        <v>13</v>
      </c>
      <c r="K42" s="21">
        <v>0</v>
      </c>
      <c r="L42" s="20">
        <v>0.27</v>
      </c>
    </row>
    <row r="43" spans="1:12">
      <c r="A43" s="12" t="s">
        <v>13</v>
      </c>
      <c r="B43" s="4" t="s">
        <v>100</v>
      </c>
      <c r="C43" s="4" t="s">
        <v>13</v>
      </c>
      <c r="D43" s="4" t="s">
        <v>99</v>
      </c>
      <c r="E43" s="4" t="s">
        <v>90</v>
      </c>
      <c r="F43" s="23">
        <v>4000</v>
      </c>
      <c r="G43" s="22">
        <v>41.55</v>
      </c>
      <c r="H43" s="22">
        <v>0.26</v>
      </c>
      <c r="I43" s="6" t="s">
        <v>13</v>
      </c>
      <c r="J43" s="6" t="s">
        <v>13</v>
      </c>
      <c r="K43" s="21">
        <v>0</v>
      </c>
      <c r="L43" s="20">
        <v>0.26</v>
      </c>
    </row>
    <row r="44" spans="1:12">
      <c r="A44" s="12" t="s">
        <v>13</v>
      </c>
      <c r="B44" s="4" t="s">
        <v>98</v>
      </c>
      <c r="C44" s="4" t="s">
        <v>13</v>
      </c>
      <c r="D44" s="4" t="s">
        <v>97</v>
      </c>
      <c r="E44" s="4" t="s">
        <v>96</v>
      </c>
      <c r="F44" s="23">
        <v>8500</v>
      </c>
      <c r="G44" s="22">
        <v>40.47</v>
      </c>
      <c r="H44" s="22">
        <v>0.25</v>
      </c>
      <c r="I44" s="6" t="s">
        <v>13</v>
      </c>
      <c r="J44" s="6" t="s">
        <v>13</v>
      </c>
      <c r="K44" s="21">
        <v>0</v>
      </c>
      <c r="L44" s="20">
        <v>0.25</v>
      </c>
    </row>
    <row r="45" spans="1:12">
      <c r="A45" s="12" t="s">
        <v>13</v>
      </c>
      <c r="B45" s="4" t="s">
        <v>95</v>
      </c>
      <c r="C45" s="4" t="s">
        <v>13</v>
      </c>
      <c r="D45" s="4" t="s">
        <v>94</v>
      </c>
      <c r="E45" s="4" t="s">
        <v>93</v>
      </c>
      <c r="F45" s="23">
        <v>20000</v>
      </c>
      <c r="G45" s="22">
        <v>39.53</v>
      </c>
      <c r="H45" s="22">
        <v>0.24</v>
      </c>
      <c r="I45" s="6" t="s">
        <v>13</v>
      </c>
      <c r="J45" s="6" t="s">
        <v>13</v>
      </c>
      <c r="K45" s="21">
        <v>0</v>
      </c>
      <c r="L45" s="20">
        <v>0.24</v>
      </c>
    </row>
    <row r="46" spans="1:12">
      <c r="A46" s="12" t="s">
        <v>13</v>
      </c>
      <c r="B46" s="4" t="s">
        <v>92</v>
      </c>
      <c r="C46" s="4" t="s">
        <v>13</v>
      </c>
      <c r="D46" s="4" t="s">
        <v>91</v>
      </c>
      <c r="E46" s="4" t="s">
        <v>90</v>
      </c>
      <c r="F46" s="23">
        <v>1500</v>
      </c>
      <c r="G46" s="22">
        <v>34.590000000000003</v>
      </c>
      <c r="H46" s="22">
        <v>0.21</v>
      </c>
      <c r="I46" s="6" t="s">
        <v>13</v>
      </c>
      <c r="J46" s="6" t="s">
        <v>13</v>
      </c>
      <c r="K46" s="21">
        <v>0</v>
      </c>
      <c r="L46" s="20">
        <v>0.21</v>
      </c>
    </row>
    <row r="47" spans="1:12">
      <c r="A47" s="12" t="s">
        <v>13</v>
      </c>
      <c r="B47" s="4" t="s">
        <v>89</v>
      </c>
      <c r="C47" s="4" t="s">
        <v>13</v>
      </c>
      <c r="D47" s="4" t="s">
        <v>88</v>
      </c>
      <c r="E47" s="4" t="s">
        <v>87</v>
      </c>
      <c r="F47" s="23">
        <v>4200</v>
      </c>
      <c r="G47" s="22">
        <v>31.54</v>
      </c>
      <c r="H47" s="22">
        <v>0.2</v>
      </c>
      <c r="I47" s="6" t="s">
        <v>13</v>
      </c>
      <c r="J47" s="6" t="s">
        <v>13</v>
      </c>
      <c r="K47" s="21">
        <v>0</v>
      </c>
      <c r="L47" s="20">
        <v>0.2</v>
      </c>
    </row>
    <row r="48" spans="1:12">
      <c r="A48" s="12" t="s">
        <v>13</v>
      </c>
      <c r="B48" s="4" t="s">
        <v>86</v>
      </c>
      <c r="C48" s="4" t="s">
        <v>13</v>
      </c>
      <c r="D48" s="4" t="s">
        <v>85</v>
      </c>
      <c r="E48" s="4" t="s">
        <v>84</v>
      </c>
      <c r="F48" s="23">
        <v>2000</v>
      </c>
      <c r="G48" s="22">
        <v>30.8</v>
      </c>
      <c r="H48" s="22">
        <v>0.19</v>
      </c>
      <c r="I48" s="6" t="s">
        <v>13</v>
      </c>
      <c r="J48" s="6" t="s">
        <v>13</v>
      </c>
      <c r="K48" s="21">
        <v>0</v>
      </c>
      <c r="L48" s="20">
        <v>0.19</v>
      </c>
    </row>
    <row r="49" spans="1:12">
      <c r="A49" s="12" t="s">
        <v>13</v>
      </c>
      <c r="B49" s="4" t="s">
        <v>83</v>
      </c>
      <c r="C49" s="4" t="s">
        <v>13</v>
      </c>
      <c r="D49" s="4" t="s">
        <v>82</v>
      </c>
      <c r="E49" s="4" t="s">
        <v>81</v>
      </c>
      <c r="F49" s="23">
        <v>10050</v>
      </c>
      <c r="G49" s="22">
        <v>15.86</v>
      </c>
      <c r="H49" s="22">
        <v>0.1</v>
      </c>
      <c r="I49" s="6" t="s">
        <v>13</v>
      </c>
      <c r="J49" s="6" t="s">
        <v>13</v>
      </c>
      <c r="K49" s="21">
        <v>0</v>
      </c>
      <c r="L49" s="20">
        <v>0.1</v>
      </c>
    </row>
    <row r="50" spans="1:12">
      <c r="A50" s="12" t="s">
        <v>13</v>
      </c>
      <c r="B50" s="4" t="s">
        <v>80</v>
      </c>
      <c r="C50" s="4" t="s">
        <v>13</v>
      </c>
      <c r="D50" s="4" t="s">
        <v>79</v>
      </c>
      <c r="E50" s="4" t="s">
        <v>76</v>
      </c>
      <c r="F50" s="23">
        <v>13000</v>
      </c>
      <c r="G50" s="22">
        <v>11.43</v>
      </c>
      <c r="H50" s="22">
        <v>7.0000000000000007E-2</v>
      </c>
      <c r="I50" s="6" t="s">
        <v>13</v>
      </c>
      <c r="J50" s="6" t="s">
        <v>13</v>
      </c>
      <c r="K50" s="21">
        <v>0</v>
      </c>
      <c r="L50" s="20">
        <v>7.0000000000000007E-2</v>
      </c>
    </row>
    <row r="51" spans="1:12">
      <c r="A51" s="12" t="s">
        <v>13</v>
      </c>
      <c r="B51" s="4" t="s">
        <v>78</v>
      </c>
      <c r="C51" s="4" t="s">
        <v>13</v>
      </c>
      <c r="D51" s="4" t="s">
        <v>77</v>
      </c>
      <c r="E51" s="4" t="s">
        <v>76</v>
      </c>
      <c r="F51" s="23">
        <v>2600</v>
      </c>
      <c r="G51" s="22">
        <v>6.18</v>
      </c>
      <c r="H51" s="22">
        <v>0.04</v>
      </c>
      <c r="I51" s="6" t="s">
        <v>13</v>
      </c>
      <c r="J51" s="6" t="s">
        <v>13</v>
      </c>
      <c r="K51" s="21">
        <v>0</v>
      </c>
      <c r="L51" s="20">
        <v>0.04</v>
      </c>
    </row>
    <row r="52" spans="1:12">
      <c r="A52" s="18"/>
      <c r="B52" s="17" t="s">
        <v>42</v>
      </c>
      <c r="C52" s="18"/>
      <c r="D52" s="18"/>
      <c r="E52" s="18"/>
      <c r="F52" s="18"/>
      <c r="G52" s="19">
        <v>6249.119999999999</v>
      </c>
      <c r="H52" s="19">
        <v>38.740000000000016</v>
      </c>
      <c r="I52" s="18"/>
      <c r="J52" s="18"/>
      <c r="K52" s="18"/>
      <c r="L52" s="18"/>
    </row>
    <row r="53" spans="1:12">
      <c r="A53" s="5"/>
      <c r="B53" s="17" t="s">
        <v>41</v>
      </c>
      <c r="C53" s="5"/>
      <c r="D53" s="5"/>
      <c r="E53" s="5"/>
      <c r="F53" s="5"/>
      <c r="G53" s="16">
        <v>6249.119999999999</v>
      </c>
      <c r="H53" s="16">
        <v>38.740000000000016</v>
      </c>
      <c r="I53" s="5"/>
      <c r="J53" s="5"/>
      <c r="K53" s="5"/>
      <c r="L53" s="5"/>
    </row>
    <row r="54" spans="1:12">
      <c r="A54" s="5"/>
      <c r="B54" s="17" t="s">
        <v>75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17" t="s">
        <v>74</v>
      </c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17" t="s">
        <v>73</v>
      </c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12" t="s">
        <v>39</v>
      </c>
      <c r="B57" s="4" t="s">
        <v>72</v>
      </c>
      <c r="C57" s="4">
        <v>6.67</v>
      </c>
      <c r="D57" s="4" t="s">
        <v>71</v>
      </c>
      <c r="E57" s="4" t="s">
        <v>24</v>
      </c>
      <c r="F57" s="23">
        <v>1500000</v>
      </c>
      <c r="G57" s="22">
        <v>1442.99</v>
      </c>
      <c r="H57" s="22">
        <v>8.94</v>
      </c>
      <c r="I57" s="6">
        <v>7.1105999999999998</v>
      </c>
      <c r="J57" s="6" t="s">
        <v>13</v>
      </c>
      <c r="K57" s="21" t="s">
        <v>13</v>
      </c>
      <c r="L57" s="20" t="s">
        <v>13</v>
      </c>
    </row>
    <row r="58" spans="1:12">
      <c r="A58" s="12" t="s">
        <v>39</v>
      </c>
      <c r="B58" s="4" t="s">
        <v>70</v>
      </c>
      <c r="C58" s="4">
        <v>6.19</v>
      </c>
      <c r="D58" s="4" t="s">
        <v>69</v>
      </c>
      <c r="E58" s="4" t="s">
        <v>24</v>
      </c>
      <c r="F58" s="23">
        <v>1000000</v>
      </c>
      <c r="G58" s="22">
        <v>953.33</v>
      </c>
      <c r="H58" s="22">
        <v>5.91</v>
      </c>
      <c r="I58" s="6">
        <v>6.9676</v>
      </c>
      <c r="J58" s="6" t="s">
        <v>13</v>
      </c>
      <c r="K58" s="21" t="s">
        <v>13</v>
      </c>
      <c r="L58" s="20" t="s">
        <v>13</v>
      </c>
    </row>
    <row r="59" spans="1:12">
      <c r="A59" s="12" t="s">
        <v>39</v>
      </c>
      <c r="B59" s="4" t="s">
        <v>68</v>
      </c>
      <c r="C59" s="4">
        <v>7.57</v>
      </c>
      <c r="D59" s="4" t="s">
        <v>67</v>
      </c>
      <c r="E59" s="4" t="s">
        <v>24</v>
      </c>
      <c r="F59" s="23">
        <v>750000</v>
      </c>
      <c r="G59" s="22">
        <v>786.01</v>
      </c>
      <c r="H59" s="22">
        <v>4.87</v>
      </c>
      <c r="I59" s="6">
        <v>6.9348000000000001</v>
      </c>
      <c r="J59" s="6" t="s">
        <v>13</v>
      </c>
      <c r="K59" s="21" t="s">
        <v>13</v>
      </c>
      <c r="L59" s="20" t="s">
        <v>13</v>
      </c>
    </row>
    <row r="60" spans="1:12">
      <c r="A60" s="12" t="s">
        <v>39</v>
      </c>
      <c r="B60" s="4" t="s">
        <v>66</v>
      </c>
      <c r="C60" s="4">
        <v>8.9700000000000006</v>
      </c>
      <c r="D60" s="4" t="s">
        <v>65</v>
      </c>
      <c r="E60" s="4" t="s">
        <v>24</v>
      </c>
      <c r="F60" s="23">
        <v>550000</v>
      </c>
      <c r="G60" s="22">
        <v>607.66</v>
      </c>
      <c r="H60" s="22">
        <v>3.76</v>
      </c>
      <c r="I60" s="6">
        <v>6.9310999999999998</v>
      </c>
      <c r="J60" s="6" t="s">
        <v>13</v>
      </c>
      <c r="K60" s="21" t="s">
        <v>13</v>
      </c>
      <c r="L60" s="20" t="s">
        <v>13</v>
      </c>
    </row>
    <row r="61" spans="1:12">
      <c r="A61" s="12" t="s">
        <v>39</v>
      </c>
      <c r="B61" s="4" t="s">
        <v>64</v>
      </c>
      <c r="C61" s="4">
        <v>7.5</v>
      </c>
      <c r="D61" s="4" t="s">
        <v>63</v>
      </c>
      <c r="E61" s="4" t="s">
        <v>24</v>
      </c>
      <c r="F61" s="23">
        <v>500000</v>
      </c>
      <c r="G61" s="22">
        <v>524.14</v>
      </c>
      <c r="H61" s="22">
        <v>3.25</v>
      </c>
      <c r="I61" s="6">
        <v>6.9252000000000002</v>
      </c>
      <c r="J61" s="6" t="s">
        <v>13</v>
      </c>
      <c r="K61" s="21" t="s">
        <v>13</v>
      </c>
      <c r="L61" s="20" t="s">
        <v>13</v>
      </c>
    </row>
    <row r="62" spans="1:12">
      <c r="A62" s="12" t="s">
        <v>13</v>
      </c>
      <c r="B62" s="4" t="s">
        <v>62</v>
      </c>
      <c r="C62" s="4">
        <v>7.54</v>
      </c>
      <c r="D62" s="4" t="s">
        <v>61</v>
      </c>
      <c r="E62" s="4" t="s">
        <v>24</v>
      </c>
      <c r="F62" s="23">
        <v>15000</v>
      </c>
      <c r="G62" s="22">
        <v>15.78</v>
      </c>
      <c r="H62" s="22">
        <v>0.1</v>
      </c>
      <c r="I62" s="6">
        <v>6.9920999999999998</v>
      </c>
      <c r="J62" s="6" t="s">
        <v>13</v>
      </c>
      <c r="K62" s="21" t="s">
        <v>13</v>
      </c>
      <c r="L62" s="20" t="s">
        <v>13</v>
      </c>
    </row>
    <row r="63" spans="1:12">
      <c r="A63" s="5"/>
      <c r="B63" s="17" t="s">
        <v>60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12" t="s">
        <v>39</v>
      </c>
      <c r="B64" s="4" t="s">
        <v>59</v>
      </c>
      <c r="C64" s="4">
        <v>8.35</v>
      </c>
      <c r="D64" s="4" t="s">
        <v>58</v>
      </c>
      <c r="E64" s="4" t="s">
        <v>57</v>
      </c>
      <c r="F64" s="23">
        <v>100</v>
      </c>
      <c r="G64" s="22">
        <v>1016.09</v>
      </c>
      <c r="H64" s="22">
        <v>6.29</v>
      </c>
      <c r="I64" s="6">
        <v>8.0549999999999997</v>
      </c>
      <c r="J64" s="6" t="s">
        <v>13</v>
      </c>
      <c r="K64" s="21" t="s">
        <v>13</v>
      </c>
      <c r="L64" s="20" t="s">
        <v>13</v>
      </c>
    </row>
    <row r="65" spans="1:12">
      <c r="A65" s="12" t="s">
        <v>39</v>
      </c>
      <c r="B65" s="4" t="s">
        <v>56</v>
      </c>
      <c r="C65" s="4">
        <v>7.7504999999999997</v>
      </c>
      <c r="D65" s="4" t="s">
        <v>55</v>
      </c>
      <c r="E65" s="4" t="s">
        <v>54</v>
      </c>
      <c r="F65" s="23">
        <v>100</v>
      </c>
      <c r="G65" s="22">
        <v>993.97</v>
      </c>
      <c r="H65" s="22">
        <v>6.16</v>
      </c>
      <c r="I65" s="6">
        <v>8.4</v>
      </c>
      <c r="J65" s="6" t="s">
        <v>13</v>
      </c>
      <c r="K65" s="21" t="s">
        <v>13</v>
      </c>
      <c r="L65" s="20" t="s">
        <v>13</v>
      </c>
    </row>
    <row r="66" spans="1:12">
      <c r="A66" s="12" t="s">
        <v>13</v>
      </c>
      <c r="B66" s="4" t="s">
        <v>53</v>
      </c>
      <c r="C66" s="4">
        <v>8.4</v>
      </c>
      <c r="D66" s="4" t="s">
        <v>52</v>
      </c>
      <c r="E66" s="4" t="s">
        <v>47</v>
      </c>
      <c r="F66" s="23">
        <v>50</v>
      </c>
      <c r="G66" s="22">
        <v>519.91999999999996</v>
      </c>
      <c r="H66" s="22">
        <v>3.22</v>
      </c>
      <c r="I66" s="6">
        <v>7.2450000000000001</v>
      </c>
      <c r="J66" s="6" t="s">
        <v>13</v>
      </c>
      <c r="K66" s="21" t="s">
        <v>13</v>
      </c>
      <c r="L66" s="20" t="s">
        <v>13</v>
      </c>
    </row>
    <row r="67" spans="1:12">
      <c r="A67" s="12" t="s">
        <v>13</v>
      </c>
      <c r="B67" s="4" t="s">
        <v>51</v>
      </c>
      <c r="C67" s="4">
        <v>6.83</v>
      </c>
      <c r="D67" s="4" t="s">
        <v>50</v>
      </c>
      <c r="E67" s="4" t="s">
        <v>47</v>
      </c>
      <c r="F67" s="23">
        <v>50</v>
      </c>
      <c r="G67" s="22">
        <v>482.55</v>
      </c>
      <c r="H67" s="22">
        <v>2.99</v>
      </c>
      <c r="I67" s="6">
        <v>7.56</v>
      </c>
      <c r="J67" s="6" t="s">
        <v>13</v>
      </c>
      <c r="K67" s="21" t="s">
        <v>13</v>
      </c>
      <c r="L67" s="20" t="s">
        <v>13</v>
      </c>
    </row>
    <row r="68" spans="1:12">
      <c r="A68" s="12" t="s">
        <v>13</v>
      </c>
      <c r="B68" s="4" t="s">
        <v>49</v>
      </c>
      <c r="C68" s="4">
        <v>9.1</v>
      </c>
      <c r="D68" s="4" t="s">
        <v>48</v>
      </c>
      <c r="E68" s="4" t="s">
        <v>47</v>
      </c>
      <c r="F68" s="23">
        <v>10</v>
      </c>
      <c r="G68" s="22">
        <v>105.83</v>
      </c>
      <c r="H68" s="22">
        <v>0.66</v>
      </c>
      <c r="I68" s="6">
        <v>7.45</v>
      </c>
      <c r="J68" s="6" t="s">
        <v>13</v>
      </c>
      <c r="K68" s="21" t="s">
        <v>13</v>
      </c>
      <c r="L68" s="20" t="s">
        <v>13</v>
      </c>
    </row>
    <row r="69" spans="1:12">
      <c r="A69" s="18"/>
      <c r="B69" s="17" t="s">
        <v>42</v>
      </c>
      <c r="C69" s="18"/>
      <c r="D69" s="18"/>
      <c r="E69" s="18"/>
      <c r="F69" s="18"/>
      <c r="G69" s="19">
        <v>7448.27</v>
      </c>
      <c r="H69" s="19">
        <v>46.15</v>
      </c>
      <c r="I69" s="18"/>
      <c r="J69" s="18"/>
      <c r="K69" s="18"/>
      <c r="L69" s="18"/>
    </row>
    <row r="70" spans="1:12">
      <c r="A70" s="5"/>
      <c r="B70" s="17" t="s">
        <v>41</v>
      </c>
      <c r="C70" s="5"/>
      <c r="D70" s="5"/>
      <c r="E70" s="5"/>
      <c r="F70" s="5"/>
      <c r="G70" s="16">
        <v>7448.27</v>
      </c>
      <c r="H70" s="16">
        <v>46.15</v>
      </c>
      <c r="I70" s="5"/>
      <c r="J70" s="5"/>
      <c r="K70" s="5"/>
      <c r="L70" s="5"/>
    </row>
    <row r="71" spans="1:12">
      <c r="A71" s="5"/>
      <c r="B71" s="17" t="s">
        <v>46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7" t="s">
        <v>45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12" t="s">
        <v>13</v>
      </c>
      <c r="B73" s="4" t="s">
        <v>13</v>
      </c>
      <c r="C73" s="4" t="s">
        <v>13</v>
      </c>
      <c r="D73" s="4" t="s">
        <v>45</v>
      </c>
      <c r="E73" s="4" t="s">
        <v>13</v>
      </c>
      <c r="F73" s="23" t="s">
        <v>13</v>
      </c>
      <c r="G73" s="22">
        <v>1911.72</v>
      </c>
      <c r="H73" s="22">
        <v>11.84</v>
      </c>
      <c r="I73" s="6">
        <v>6.6460999999999997</v>
      </c>
      <c r="J73" s="6" t="s">
        <v>13</v>
      </c>
      <c r="K73" s="21" t="s">
        <v>13</v>
      </c>
      <c r="L73" s="20" t="s">
        <v>13</v>
      </c>
    </row>
    <row r="74" spans="1:12">
      <c r="A74" s="18"/>
      <c r="B74" s="17" t="s">
        <v>42</v>
      </c>
      <c r="C74" s="18"/>
      <c r="D74" s="18"/>
      <c r="E74" s="18"/>
      <c r="F74" s="18"/>
      <c r="G74" s="19">
        <v>1911.72</v>
      </c>
      <c r="H74" s="19">
        <v>11.84</v>
      </c>
      <c r="I74" s="18"/>
      <c r="J74" s="18"/>
      <c r="K74" s="18"/>
      <c r="L74" s="18"/>
    </row>
    <row r="75" spans="1:12">
      <c r="A75" s="5"/>
      <c r="B75" s="17" t="s">
        <v>41</v>
      </c>
      <c r="C75" s="5"/>
      <c r="D75" s="5"/>
      <c r="E75" s="5"/>
      <c r="F75" s="5"/>
      <c r="G75" s="16">
        <v>1911.72</v>
      </c>
      <c r="H75" s="16">
        <v>11.84</v>
      </c>
      <c r="I75" s="5"/>
      <c r="J75" s="5"/>
      <c r="K75" s="5"/>
      <c r="L75" s="5"/>
    </row>
    <row r="76" spans="1:12">
      <c r="A76" s="5"/>
      <c r="B76" s="17" t="s">
        <v>44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5"/>
      <c r="B77" s="17" t="s">
        <v>43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12" t="s">
        <v>13</v>
      </c>
      <c r="B78" s="4" t="s">
        <v>13</v>
      </c>
      <c r="C78" s="4" t="s">
        <v>13</v>
      </c>
      <c r="D78" s="4" t="s">
        <v>43</v>
      </c>
      <c r="E78" s="4" t="s">
        <v>13</v>
      </c>
      <c r="F78" s="23" t="s">
        <v>13</v>
      </c>
      <c r="G78" s="22">
        <v>533.33000000000004</v>
      </c>
      <c r="H78" s="22">
        <v>3.27</v>
      </c>
      <c r="I78" s="6" t="s">
        <v>13</v>
      </c>
      <c r="J78" s="6" t="s">
        <v>13</v>
      </c>
      <c r="K78" s="21" t="s">
        <v>13</v>
      </c>
      <c r="L78" s="20" t="s">
        <v>13</v>
      </c>
    </row>
    <row r="79" spans="1:12">
      <c r="A79" s="18"/>
      <c r="B79" s="17" t="s">
        <v>42</v>
      </c>
      <c r="C79" s="18"/>
      <c r="D79" s="18"/>
      <c r="E79" s="18"/>
      <c r="F79" s="18"/>
      <c r="G79" s="19">
        <v>533.33000000000004</v>
      </c>
      <c r="H79" s="19">
        <v>3.27</v>
      </c>
      <c r="I79" s="18"/>
      <c r="J79" s="18"/>
      <c r="K79" s="18"/>
      <c r="L79" s="18"/>
    </row>
    <row r="80" spans="1:12">
      <c r="A80" s="5"/>
      <c r="B80" s="17" t="s">
        <v>41</v>
      </c>
      <c r="C80" s="5"/>
      <c r="D80" s="5"/>
      <c r="E80" s="5"/>
      <c r="F80" s="5"/>
      <c r="G80" s="16">
        <v>533.33000000000004</v>
      </c>
      <c r="H80" s="16">
        <v>3.27</v>
      </c>
      <c r="I80" s="5"/>
      <c r="J80" s="5"/>
      <c r="K80" s="5"/>
      <c r="L80" s="5"/>
    </row>
    <row r="81" spans="1:1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>
      <c r="A82" s="13"/>
      <c r="B82" s="15" t="s">
        <v>40</v>
      </c>
      <c r="C82" s="13"/>
      <c r="D82" s="13"/>
      <c r="E82" s="13"/>
      <c r="F82" s="13"/>
      <c r="G82" s="14">
        <v>16142.439999999997</v>
      </c>
      <c r="H82" s="14">
        <v>100</v>
      </c>
      <c r="I82" s="13"/>
      <c r="J82" s="13"/>
      <c r="K82" s="13"/>
      <c r="L82" s="13"/>
    </row>
    <row r="83" spans="1:12">
      <c r="A83" s="12" t="s">
        <v>39</v>
      </c>
      <c r="B83" s="30" t="s">
        <v>38</v>
      </c>
      <c r="C83" s="30" t="s">
        <v>38</v>
      </c>
      <c r="D83" s="30" t="s">
        <v>38</v>
      </c>
      <c r="E83" s="30" t="s">
        <v>38</v>
      </c>
      <c r="F83" s="30" t="s">
        <v>38</v>
      </c>
      <c r="G83" s="4"/>
      <c r="H83" s="4"/>
      <c r="I83" s="4"/>
      <c r="J83" s="4"/>
      <c r="K83" s="4"/>
      <c r="L83" s="4"/>
    </row>
    <row r="84" spans="1:12">
      <c r="A84" s="4"/>
      <c r="B84" s="29" t="s">
        <v>37</v>
      </c>
      <c r="C84" s="29" t="s">
        <v>37</v>
      </c>
      <c r="D84" s="29" t="s">
        <v>37</v>
      </c>
      <c r="E84" s="29" t="s">
        <v>37</v>
      </c>
      <c r="F84" s="29" t="s">
        <v>37</v>
      </c>
      <c r="G84" s="4"/>
      <c r="H84" s="4"/>
      <c r="I84" s="4"/>
      <c r="J84" s="4"/>
      <c r="K84" s="4"/>
      <c r="L84" s="4"/>
    </row>
    <row r="85" spans="1:12">
      <c r="A85" s="4"/>
      <c r="B85" s="29" t="s">
        <v>36</v>
      </c>
      <c r="C85" s="29" t="s">
        <v>36</v>
      </c>
      <c r="D85" s="29" t="s">
        <v>36</v>
      </c>
      <c r="E85" s="29" t="s">
        <v>36</v>
      </c>
      <c r="F85" s="29" t="s">
        <v>36</v>
      </c>
      <c r="G85" s="4"/>
      <c r="H85" s="4"/>
      <c r="I85" s="4"/>
      <c r="J85" s="4"/>
      <c r="K85" s="4"/>
      <c r="L85" s="4"/>
    </row>
    <row r="86" spans="1:12">
      <c r="A86" s="4"/>
      <c r="B86" s="29" t="s">
        <v>35</v>
      </c>
      <c r="C86" s="29" t="s">
        <v>35</v>
      </c>
      <c r="D86" s="29" t="s">
        <v>35</v>
      </c>
      <c r="E86" s="29" t="s">
        <v>35</v>
      </c>
      <c r="F86" s="29" t="s">
        <v>35</v>
      </c>
      <c r="G86" s="4"/>
      <c r="H86" s="4"/>
      <c r="I86" s="4"/>
      <c r="J86" s="4"/>
      <c r="K86" s="4"/>
      <c r="L86" s="4"/>
    </row>
    <row r="87" spans="1:12">
      <c r="A87" s="4"/>
      <c r="B87" s="29" t="s">
        <v>34</v>
      </c>
      <c r="C87" s="29" t="s">
        <v>34</v>
      </c>
      <c r="D87" s="29" t="s">
        <v>34</v>
      </c>
      <c r="E87" s="29" t="s">
        <v>34</v>
      </c>
      <c r="F87" s="29" t="s">
        <v>34</v>
      </c>
      <c r="G87" s="4"/>
      <c r="H87" s="4"/>
      <c r="I87" s="4"/>
      <c r="J87" s="4"/>
      <c r="K87" s="4"/>
      <c r="L87" s="4"/>
    </row>
    <row r="88" spans="1:12">
      <c r="A88" s="4"/>
      <c r="B88" s="29" t="s">
        <v>33</v>
      </c>
      <c r="C88" s="29" t="s">
        <v>33</v>
      </c>
      <c r="D88" s="29" t="s">
        <v>33</v>
      </c>
      <c r="E88" s="29" t="s">
        <v>33</v>
      </c>
      <c r="F88" s="29" t="s">
        <v>33</v>
      </c>
      <c r="G88" s="4"/>
      <c r="H88" s="4"/>
      <c r="I88" s="4"/>
      <c r="J88" s="4"/>
      <c r="K88" s="4"/>
      <c r="L88" s="4"/>
    </row>
    <row r="89" spans="1:12">
      <c r="A89" s="4"/>
      <c r="B89" s="29" t="s">
        <v>32</v>
      </c>
      <c r="C89" s="29" t="s">
        <v>32</v>
      </c>
      <c r="D89" s="29" t="s">
        <v>32</v>
      </c>
      <c r="E89" s="29" t="s">
        <v>32</v>
      </c>
      <c r="F89" s="29" t="s">
        <v>32</v>
      </c>
      <c r="G89" s="4"/>
      <c r="H89" s="4"/>
      <c r="I89" s="4"/>
      <c r="J89" s="4"/>
      <c r="K89" s="4"/>
      <c r="L89" s="4"/>
    </row>
    <row r="90" spans="1:12">
      <c r="A90" s="4"/>
      <c r="B90" s="29" t="s">
        <v>31</v>
      </c>
      <c r="C90" s="29" t="s">
        <v>31</v>
      </c>
      <c r="D90" s="29" t="s">
        <v>31</v>
      </c>
      <c r="E90" s="29" t="s">
        <v>31</v>
      </c>
      <c r="F90" s="29" t="s">
        <v>31</v>
      </c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</row>
    <row r="92" spans="1:12">
      <c r="A92" s="11"/>
      <c r="B92" s="11" t="s">
        <v>30</v>
      </c>
      <c r="C92" s="11"/>
      <c r="D92" s="11"/>
      <c r="E92" s="4"/>
      <c r="F92" s="4"/>
      <c r="G92" s="4"/>
      <c r="H92" s="4"/>
    </row>
    <row r="93" spans="1:12">
      <c r="A93" s="11"/>
      <c r="B93" s="10" t="s">
        <v>25</v>
      </c>
      <c r="C93" s="10"/>
      <c r="D93" s="9">
        <v>23.78</v>
      </c>
      <c r="E93" s="4"/>
      <c r="F93" s="4"/>
      <c r="G93" s="4"/>
      <c r="H93" s="4"/>
    </row>
    <row r="94" spans="1:12">
      <c r="A94" s="11"/>
      <c r="B94" s="10" t="s">
        <v>29</v>
      </c>
      <c r="C94" s="10"/>
      <c r="D94" s="9">
        <v>14.959999999999999</v>
      </c>
      <c r="E94" s="4"/>
      <c r="F94" s="4"/>
      <c r="G94" s="4"/>
      <c r="H94" s="4"/>
    </row>
    <row r="95" spans="1:12">
      <c r="A95" s="11"/>
      <c r="B95" s="10" t="s">
        <v>28</v>
      </c>
      <c r="C95" s="10"/>
      <c r="D95" s="9">
        <v>26.830000000000005</v>
      </c>
      <c r="E95" s="4"/>
      <c r="F95" s="4"/>
      <c r="G95" s="4"/>
      <c r="H95" s="4"/>
    </row>
    <row r="96" spans="1:12">
      <c r="A96" s="11"/>
      <c r="B96" s="10" t="s">
        <v>27</v>
      </c>
      <c r="C96" s="10"/>
      <c r="D96" s="9">
        <v>19.32</v>
      </c>
      <c r="E96" s="4"/>
      <c r="F96" s="4"/>
      <c r="G96" s="4"/>
      <c r="H96" s="4"/>
    </row>
    <row r="97" spans="1:8">
      <c r="A97" s="11"/>
      <c r="B97" s="10" t="s">
        <v>21</v>
      </c>
      <c r="C97" s="10"/>
      <c r="D97" s="9">
        <v>15.11</v>
      </c>
      <c r="E97" s="4"/>
      <c r="F97" s="4"/>
      <c r="G97" s="4"/>
      <c r="H97" s="4"/>
    </row>
    <row r="98" spans="1:8">
      <c r="A98" s="11"/>
      <c r="B98" s="11" t="s">
        <v>26</v>
      </c>
      <c r="C98" s="11"/>
      <c r="D98" s="11"/>
      <c r="E98" s="4"/>
      <c r="F98" s="4"/>
      <c r="G98" s="4"/>
      <c r="H98" s="4"/>
    </row>
    <row r="99" spans="1:8">
      <c r="A99" s="11"/>
      <c r="B99" s="10" t="s">
        <v>25</v>
      </c>
      <c r="C99" s="10"/>
      <c r="D99" s="9">
        <v>38.739999999999995</v>
      </c>
      <c r="E99" s="4"/>
      <c r="F99" s="4"/>
      <c r="G99" s="4"/>
      <c r="H99" s="4"/>
    </row>
    <row r="100" spans="1:8">
      <c r="A100" s="11"/>
      <c r="B100" s="10" t="s">
        <v>24</v>
      </c>
      <c r="C100" s="10"/>
      <c r="D100" s="9">
        <v>26.830000000000005</v>
      </c>
      <c r="E100" s="4"/>
      <c r="F100" s="4"/>
      <c r="G100" s="4"/>
      <c r="H100" s="4"/>
    </row>
    <row r="101" spans="1:8">
      <c r="A101" s="11"/>
      <c r="B101" s="10" t="s">
        <v>23</v>
      </c>
      <c r="C101" s="10"/>
      <c r="D101" s="9">
        <v>6.870000000000001</v>
      </c>
      <c r="E101" s="4"/>
      <c r="F101" s="4"/>
      <c r="G101" s="4"/>
      <c r="H101" s="4"/>
    </row>
    <row r="102" spans="1:8">
      <c r="A102" s="11"/>
      <c r="B102" s="10" t="s">
        <v>22</v>
      </c>
      <c r="C102" s="10"/>
      <c r="D102" s="9">
        <v>12.45</v>
      </c>
      <c r="E102" s="4"/>
      <c r="F102" s="4"/>
      <c r="G102" s="4"/>
      <c r="H102" s="4"/>
    </row>
    <row r="103" spans="1:8">
      <c r="A103" s="11"/>
      <c r="B103" s="10" t="s">
        <v>21</v>
      </c>
      <c r="C103" s="10"/>
      <c r="D103" s="9">
        <v>15.11</v>
      </c>
      <c r="E103" s="4"/>
      <c r="F103" s="4"/>
      <c r="G103" s="4"/>
      <c r="H103" s="4"/>
    </row>
    <row r="104" spans="1:8">
      <c r="A104" s="3"/>
      <c r="B104" s="3"/>
      <c r="C104" s="3"/>
      <c r="D104" s="3"/>
      <c r="E104" s="3"/>
      <c r="F104" s="3"/>
      <c r="G104" s="3"/>
      <c r="H104" s="3"/>
    </row>
    <row r="105" spans="1:8">
      <c r="A105" s="3"/>
      <c r="B105" s="5" t="s">
        <v>20</v>
      </c>
      <c r="C105" s="3"/>
      <c r="D105" s="3"/>
      <c r="E105" s="3"/>
      <c r="F105" s="3"/>
      <c r="G105" s="3"/>
      <c r="H105" s="3"/>
    </row>
    <row r="106" spans="1:8">
      <c r="A106" s="4"/>
      <c r="B106" s="4" t="s">
        <v>19</v>
      </c>
      <c r="C106" s="4"/>
      <c r="D106" s="4"/>
      <c r="E106" s="4"/>
      <c r="F106" s="4"/>
      <c r="G106" s="4"/>
      <c r="H106" s="3"/>
    </row>
    <row r="107" spans="1:8">
      <c r="A107" s="4"/>
      <c r="B107" s="7" t="s">
        <v>18</v>
      </c>
      <c r="C107" s="8" t="s">
        <v>17</v>
      </c>
      <c r="D107" s="7" t="s">
        <v>16</v>
      </c>
      <c r="E107" s="4"/>
      <c r="F107" s="4"/>
      <c r="G107" s="4"/>
      <c r="H107" s="3"/>
    </row>
    <row r="108" spans="1:8">
      <c r="A108" s="4"/>
      <c r="B108" s="5" t="s">
        <v>15</v>
      </c>
      <c r="C108" s="6">
        <v>20.887799999999999</v>
      </c>
      <c r="D108" s="6">
        <v>20.881499999999999</v>
      </c>
      <c r="E108" s="4"/>
      <c r="F108" s="4"/>
      <c r="G108" s="4"/>
      <c r="H108" s="3"/>
    </row>
    <row r="109" spans="1:8">
      <c r="A109" s="4"/>
      <c r="B109" s="5" t="s">
        <v>14</v>
      </c>
      <c r="C109" s="6">
        <v>23.3994</v>
      </c>
      <c r="D109" s="6">
        <v>23.371500000000001</v>
      </c>
      <c r="E109" s="4"/>
      <c r="F109" s="4"/>
      <c r="G109" s="4"/>
      <c r="H109" s="3"/>
    </row>
    <row r="110" spans="1:8">
      <c r="A110" s="4"/>
      <c r="B110" s="5" t="s">
        <v>13</v>
      </c>
      <c r="C110" s="4"/>
      <c r="D110" s="4"/>
      <c r="E110" s="4"/>
      <c r="F110" s="4"/>
      <c r="G110" s="4"/>
      <c r="H110" s="3"/>
    </row>
    <row r="111" spans="1:8">
      <c r="A111" s="4"/>
      <c r="B111" s="4"/>
      <c r="C111" s="4"/>
      <c r="D111" s="4"/>
      <c r="E111" s="4"/>
      <c r="F111" s="4"/>
      <c r="G111" s="4"/>
      <c r="H111" s="3"/>
    </row>
    <row r="112" spans="1:8">
      <c r="A112" s="4"/>
      <c r="B112" s="4" t="s">
        <v>12</v>
      </c>
      <c r="C112" s="4"/>
      <c r="D112" s="4"/>
      <c r="E112" s="4"/>
      <c r="F112" s="4"/>
      <c r="G112" s="4"/>
      <c r="H112" s="3"/>
    </row>
    <row r="113" spans="1:8">
      <c r="A113" s="4"/>
      <c r="B113" s="4"/>
      <c r="C113" s="4"/>
      <c r="D113" s="4"/>
      <c r="E113" s="4"/>
      <c r="F113" s="4"/>
      <c r="G113" s="4"/>
      <c r="H113" s="3"/>
    </row>
    <row r="114" spans="1:8">
      <c r="A114" s="4"/>
      <c r="B114" s="4" t="s">
        <v>11</v>
      </c>
      <c r="C114" s="4"/>
      <c r="D114" s="4"/>
      <c r="E114" s="4"/>
      <c r="F114" s="4"/>
      <c r="G114" s="4"/>
      <c r="H114" s="3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4"/>
      <c r="B116" s="4" t="s">
        <v>10</v>
      </c>
      <c r="C116" s="4"/>
      <c r="D116" s="4"/>
      <c r="E116" s="4"/>
      <c r="F116" s="4"/>
      <c r="G116" s="4"/>
      <c r="H116" s="4"/>
    </row>
    <row r="117" spans="1:8">
      <c r="A117" s="4"/>
      <c r="B117" s="4" t="s">
        <v>9</v>
      </c>
      <c r="C117" s="4"/>
      <c r="D117" s="4"/>
      <c r="E117" s="4"/>
      <c r="F117" s="4"/>
      <c r="G117" s="4"/>
      <c r="H117" s="3"/>
    </row>
    <row r="118" spans="1:8">
      <c r="A118" s="4"/>
      <c r="B118" s="4" t="s">
        <v>8</v>
      </c>
      <c r="C118" s="4"/>
      <c r="D118" s="4"/>
      <c r="E118" s="4"/>
      <c r="F118" s="4"/>
      <c r="G118" s="4"/>
      <c r="H118" s="3"/>
    </row>
    <row r="119" spans="1:8">
      <c r="A119" s="4"/>
      <c r="B119" s="4" t="s">
        <v>7</v>
      </c>
      <c r="C119" s="4"/>
      <c r="D119" s="4"/>
      <c r="E119" s="4"/>
      <c r="F119" s="4"/>
      <c r="G119" s="4"/>
      <c r="H119" s="3"/>
    </row>
    <row r="120" spans="1:8">
      <c r="A120" s="4"/>
      <c r="B120" s="4" t="s">
        <v>6</v>
      </c>
      <c r="C120" s="4"/>
      <c r="D120" s="4"/>
      <c r="E120" s="4"/>
      <c r="F120" s="4"/>
      <c r="G120" s="4"/>
      <c r="H120" s="3"/>
    </row>
    <row r="121" spans="1:8">
      <c r="A121" s="4"/>
      <c r="B121" s="4" t="s">
        <v>5</v>
      </c>
      <c r="C121" s="4"/>
      <c r="D121" s="4"/>
      <c r="E121" s="4"/>
      <c r="F121" s="4"/>
      <c r="G121" s="4"/>
      <c r="H121" s="3"/>
    </row>
    <row r="122" spans="1:8">
      <c r="A122" s="4"/>
      <c r="B122" s="4" t="s">
        <v>4</v>
      </c>
      <c r="C122" s="4"/>
      <c r="D122" s="4"/>
      <c r="E122" s="4"/>
      <c r="F122" s="4"/>
      <c r="G122" s="4"/>
      <c r="H122" s="3"/>
    </row>
    <row r="123" spans="1:8">
      <c r="A123" s="4"/>
      <c r="B123" s="4" t="s">
        <v>3</v>
      </c>
      <c r="C123" s="4"/>
      <c r="D123" s="4"/>
      <c r="E123" s="4"/>
      <c r="F123" s="4"/>
      <c r="G123" s="4"/>
      <c r="H123" s="3"/>
    </row>
    <row r="124" spans="1:8">
      <c r="A124" s="4"/>
      <c r="B124" s="4" t="s">
        <v>2</v>
      </c>
      <c r="C124" s="4"/>
      <c r="D124" s="4"/>
      <c r="E124" s="4"/>
      <c r="F124" s="4"/>
      <c r="G124" s="4"/>
      <c r="H124" s="3"/>
    </row>
    <row r="126" spans="1:8">
      <c r="B126" s="2" t="s">
        <v>1</v>
      </c>
    </row>
    <row r="142" spans="2:2">
      <c r="B142" s="2" t="s">
        <v>0</v>
      </c>
    </row>
  </sheetData>
  <mergeCells count="10">
    <mergeCell ref="B89:F89"/>
    <mergeCell ref="B90:F90"/>
    <mergeCell ref="B83:F83"/>
    <mergeCell ref="A1:J1"/>
    <mergeCell ref="A2:J2"/>
    <mergeCell ref="B84:F84"/>
    <mergeCell ref="B85:F85"/>
    <mergeCell ref="B86:F86"/>
    <mergeCell ref="B87:F87"/>
    <mergeCell ref="B88:F8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workbookViewId="0"/>
  </sheetViews>
  <sheetFormatPr defaultColWidth="9.140625" defaultRowHeight="12.75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16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9">
      <c r="G2" s="47"/>
    </row>
    <row r="3" spans="1:9">
      <c r="A3" s="46" t="s">
        <v>217</v>
      </c>
      <c r="B3" s="46"/>
      <c r="C3" s="46"/>
      <c r="D3" s="46"/>
      <c r="E3" s="46"/>
      <c r="F3" s="46"/>
      <c r="G3" s="46"/>
    </row>
    <row r="4" spans="1:9" ht="13.5" customHeight="1"/>
    <row r="5" spans="1:9">
      <c r="A5" s="33" t="s">
        <v>216</v>
      </c>
    </row>
    <row r="7" spans="1:9" ht="12.75" customHeight="1">
      <c r="A7" s="45" t="s">
        <v>215</v>
      </c>
      <c r="B7" s="45"/>
      <c r="C7" s="45"/>
      <c r="D7" s="45"/>
      <c r="E7" s="45"/>
      <c r="F7" s="45"/>
    </row>
    <row r="8" spans="1:9" ht="38.25">
      <c r="A8" s="44" t="s">
        <v>214</v>
      </c>
      <c r="B8" s="43" t="s">
        <v>213</v>
      </c>
      <c r="C8" s="43" t="s">
        <v>212</v>
      </c>
      <c r="D8" s="43" t="s">
        <v>211</v>
      </c>
      <c r="E8" s="43" t="s">
        <v>210</v>
      </c>
      <c r="F8" s="43" t="s">
        <v>209</v>
      </c>
      <c r="G8" s="43" t="s">
        <v>208</v>
      </c>
      <c r="H8" s="42" t="s">
        <v>207</v>
      </c>
    </row>
    <row r="9" spans="1:9">
      <c r="A9" s="41" t="s">
        <v>206</v>
      </c>
      <c r="B9" s="38" t="s">
        <v>205</v>
      </c>
      <c r="C9" s="38" t="s">
        <v>116</v>
      </c>
      <c r="D9" s="40">
        <v>-16200</v>
      </c>
      <c r="E9" s="37">
        <v>3723</v>
      </c>
      <c r="F9" s="36">
        <v>3743.5</v>
      </c>
      <c r="G9" s="36">
        <v>106.10554500000001</v>
      </c>
      <c r="H9" s="36">
        <f>(D9*F9)/100000</f>
        <v>-606.447</v>
      </c>
      <c r="I9" s="39"/>
    </row>
    <row r="10" spans="1:9">
      <c r="A10" s="41"/>
      <c r="B10" s="38" t="s">
        <v>183</v>
      </c>
      <c r="C10" s="38" t="s">
        <v>122</v>
      </c>
      <c r="D10" s="40">
        <v>-37500</v>
      </c>
      <c r="E10" s="37">
        <v>1303.8072999999999</v>
      </c>
      <c r="F10" s="36">
        <v>1300.7</v>
      </c>
      <c r="G10" s="36">
        <v>84.901687499999994</v>
      </c>
      <c r="H10" s="36">
        <f>(D10*F10)/100000</f>
        <v>-487.76249999999999</v>
      </c>
      <c r="I10" s="39"/>
    </row>
    <row r="11" spans="1:9">
      <c r="A11" s="38"/>
      <c r="B11" s="38" t="s">
        <v>187</v>
      </c>
      <c r="C11" s="38" t="s">
        <v>176</v>
      </c>
      <c r="D11" s="36">
        <v>-30800</v>
      </c>
      <c r="E11" s="37">
        <v>4356.6152999999995</v>
      </c>
      <c r="F11" s="36">
        <v>4288.45</v>
      </c>
      <c r="G11" s="36">
        <v>232.32925100000003</v>
      </c>
      <c r="H11" s="36">
        <f>(D11*F11)/100000</f>
        <v>-1320.8425999999999</v>
      </c>
      <c r="I11" s="35"/>
    </row>
    <row r="13" spans="1:9">
      <c r="H13" s="34">
        <f>SUM(H9:H12)</f>
        <v>-2415.0520999999999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2024-12-07T06:04:05Z</dcterms:created>
  <dcterms:modified xsi:type="dcterms:W3CDTF">2024-12-07T06:23:34Z</dcterms:modified>
</cp:coreProperties>
</file>