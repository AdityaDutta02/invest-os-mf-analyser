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D090BED9-21F7-4B14-9CED-A1804BAB3FD5}" xr6:coauthVersionLast="36" xr6:coauthVersionMax="36" xr10:uidLastSave="{00000000-0000-0000-0000-000000000000}"/>
  <bookViews>
    <workbookView xWindow="0" yWindow="0" windowWidth="28800" windowHeight="11685" xr2:uid="{FB1388FE-7CD5-487A-A6F3-E0234BB1438D}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HDFCMY___MY2005">[10]Inputs!$S$6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localSheetId="1" hidden="1">_xll.Formula.SK(#REF!,)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localSheetId="1" hidden="1">_xll.Formula.SK([3]Stack!$BH$5,1)</definedName>
    <definedName name="SheetKraftFormula104" hidden="1">_xll.Formula.SK([3]Stack!$BG$5,1)</definedName>
    <definedName name="SheetKraftFormula105" localSheetId="1" hidden="1">_xll.Formula.SK([3]Stack!$DA$6,1)</definedName>
    <definedName name="SheetKraftFormula105" hidden="1">_xll.Formula.SK([3]Stack!$CZ$6,1)</definedName>
    <definedName name="SheetKraftFormula106" localSheetId="1" hidden="1">_xll.Formula.SK([3]Stack!$DK$5,1)</definedName>
    <definedName name="SheetKraftFormula106" hidden="1">_xll.Formula.SK([3]Stack!$DI$5,1)</definedName>
    <definedName name="SheetKraftFormula107" localSheetId="1" hidden="1">_xll.Formula.SK([3]Stack!$DJ$5,1)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localSheetId="1" hidden="1">_xll.Formula.SK(#REF!,)</definedName>
    <definedName name="SheetKraftFormula11" hidden="1">_xll.Formula.SK(#REF!,)</definedName>
    <definedName name="SheetKraftFormula110" localSheetId="1" hidden="1">_xll.Formula.SK([3]Stack!$FE$5,1)</definedName>
    <definedName name="SheetKraftFormula110" hidden="1">_xll.Formula.SK([3]Stack!$FC$5,1)</definedName>
    <definedName name="SheetKraftFormula111" localSheetId="1" hidden="1">_xll.Formula.SK('[5]Asset Master'!#REF!,1)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localSheetId="1" hidden="1">_xll.Formula.SK([3]Stack!$DC$5,1)</definedName>
    <definedName name="SheetKraftFormula113" hidden="1">_xll.Formula.SK([3]Stack!$DB$5,1)</definedName>
    <definedName name="SheetKraftFormula114" localSheetId="1" hidden="1">_xll.Formula.SK([3]Stack!$BG$5,1)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1" hidden="1">_xll.Formula.SK([36]Hyperlinks!$A$2,1)</definedName>
    <definedName name="SheetKraftFormula117" hidden="1">_xll.Formula.SK(#REF!,1)</definedName>
    <definedName name="SheetKraftFormula118" localSheetId="1" hidden="1">_xll.Formula.SK([36]Hyperlinks!$C$3,)</definedName>
    <definedName name="SheetKraftFormula118" hidden="1">_xll.Formula.SK(#REF!,)</definedName>
    <definedName name="SheetKraftFormula119" hidden="1">_xll.Formula.SK('[6]NCA Rows'!$R$5,1)</definedName>
    <definedName name="SheetKraftFormula12" localSheetId="1" hidden="1">_xll.Formula.SK(#REF!,)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_xll.Formula.SK([10]Inputs!$G$4,1)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localSheetId="1" hidden="1">_xll.Formula.SK(#REF!,)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localSheetId="1" hidden="1">_xll.Formula.SK([3]Stack!$DD$5,1)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localSheetId="1" hidden="1">_xll.Formula.SK(#REF!,)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localSheetId="1" hidden="1">_xll.Formula.SK(#REF!,)</definedName>
    <definedName name="SheetKraftFormula15" hidden="1">_xll.Formula.SK(#REF!,)</definedName>
    <definedName name="SheetKraftFormula150" hidden="1">_xll.Formula.SK([4]Template_Formula!$O$9,1)</definedName>
    <definedName name="SheetKraftFormula152" localSheetId="1" hidden="1">_xll.Formula.SK([9]Derivatives!$X$10,1)</definedName>
    <definedName name="SheetKraftFormula152" hidden="1">_xll.Formula.SK([9]Derivatives!$Y$10,1)</definedName>
    <definedName name="SheetKraftFormula153" localSheetId="1" hidden="1">_xll.Formula.SK([9]Derivatives!$Y$11,1)</definedName>
    <definedName name="SheetKraftFormula153" hidden="1">_xll.Formula.SK([9]Derivatives!$AA$11,1)</definedName>
    <definedName name="SheetKraftFormula154" localSheetId="1" hidden="1">_xll.Formula.SK([9]Derivatives!$Z$11,1)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localSheetId="1" hidden="1">_xll.Formula.SK([9]Derivatives!$AE$10,1)</definedName>
    <definedName name="SheetKraftFormula156" hidden="1">_xll.Formula.SK([9]Derivatives!$AF$10,1)</definedName>
    <definedName name="SheetKraftFormula157" localSheetId="1" hidden="1">_xll.Formula.SK([9]Derivatives!$AG$10,1)</definedName>
    <definedName name="SheetKraftFormula157" hidden="1">_xll.Formula.SK([9]Derivatives!$AH$10,1)</definedName>
    <definedName name="SheetKraftFormula158" localSheetId="1" hidden="1">_xll.Formula.SK([9]Derivatives!$AH$11,1)</definedName>
    <definedName name="SheetKraftFormula158" hidden="1">_xll.Formula.SK([9]Derivatives!$AI$11,1)</definedName>
    <definedName name="SheetKraftFormula159" localSheetId="1" hidden="1">_xll.Formula.SK([9]Derivatives!$AH$10,)</definedName>
    <definedName name="SheetKraftFormula159" hidden="1">_xll.Formula.SK([9]Derivatives!$AI$10,)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localSheetId="1" hidden="1">_xll.Formula.SK([9]Derivatives!$AI$10,)</definedName>
    <definedName name="SheetKraftFormula160" hidden="1">_xll.Formula.SK([9]Derivatives!$AJ$10,)</definedName>
    <definedName name="SheetKraftFormula161" localSheetId="1" hidden="1">_xll.Formula.SK([9]Derivatives!$AJ$10,)</definedName>
    <definedName name="SheetKraftFormula161" hidden="1">_xll.Formula.SK([9]Derivatives!$AK$10,)</definedName>
    <definedName name="SheetKraftFormula162" localSheetId="1" hidden="1">_xll.Formula.SK([9]Derivatives!$AN$10,1)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localSheetId="1" hidden="1">_xll.Formula.SK(#REF!,)</definedName>
    <definedName name="SheetKraftFormula17" hidden="1">_xll.Formula.SK(#REF!,)</definedName>
    <definedName name="SheetKraftFormula170" localSheetId="1" hidden="1">_xll.Formula.SK(#REF!,1)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localSheetId="1" hidden="1">_xll.Formula.SK(#REF!,)</definedName>
    <definedName name="SheetKraftFormula18" hidden="1">_xll.Formula.SK(#REF!,)</definedName>
    <definedName name="SheetKraftFormula180" localSheetId="1" hidden="1">_xll.Formula.SK(#REF!,)</definedName>
    <definedName name="SheetKraftFormula180" hidden="1">_xll.Formula.SK(#REF!,)</definedName>
    <definedName name="SheetKraftFormula181" localSheetId="1" hidden="1">_xll.Formula.SK(#REF!,)</definedName>
    <definedName name="SheetKraftFormula181" hidden="1">_xll.Formula.SK(#REF!,)</definedName>
    <definedName name="SheetKraftFormula182" localSheetId="1" hidden="1">_xll.Formula.SK(#REF!,)</definedName>
    <definedName name="SheetKraftFormula182" hidden="1">_xll.Formula.SK(#REF!,)</definedName>
    <definedName name="SheetKraftFormula183" localSheetId="1" hidden="1">_xll.Formula.SK(#REF!,)</definedName>
    <definedName name="SheetKraftFormula183" hidden="1">_xll.Formula.SK(#REF!,)</definedName>
    <definedName name="SheetKraftFormula184" localSheetId="1" hidden="1">_xll.Formula.SK(#REF!,)</definedName>
    <definedName name="SheetKraftFormula184" hidden="1">_xll.Formula.SK(#REF!,)</definedName>
    <definedName name="SheetKraftFormula185" localSheetId="1" hidden="1">_xll.Formula.SK(#REF!,)</definedName>
    <definedName name="SheetKraftFormula185" hidden="1">_xll.Formula.SK(#REF!,)</definedName>
    <definedName name="SheetKraftFormula186" localSheetId="1" hidden="1">_xll.Formula.SK(#REF!,)</definedName>
    <definedName name="SheetKraftFormula186" hidden="1">_xll.Formula.SK(#REF!,)</definedName>
    <definedName name="SheetKraftFormula187" localSheetId="1" hidden="1">_xll.Formula.SK(#REF!,)</definedName>
    <definedName name="SheetKraftFormula187" hidden="1">_xll.Formula.SK(#REF!,)</definedName>
    <definedName name="SheetKraftFormula188" localSheetId="1" hidden="1">_xll.Formula.SK(#REF!,)</definedName>
    <definedName name="SheetKraftFormula188" hidden="1">_xll.Formula.SK(#REF!,)</definedName>
    <definedName name="SheetKraftFormula189" localSheetId="1" hidden="1">_xll.Formula.SK(#REF!,1)</definedName>
    <definedName name="SheetKraftFormula189" hidden="1">_xll.Formula.SK(#REF!,1)</definedName>
    <definedName name="SheetKraftFormula19" localSheetId="1" hidden="1">_xll.Formula.SK(#REF!,)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localSheetId="1" hidden="1">_xll.Formula.SK([36]Hyperlinks!$C$2,1)</definedName>
    <definedName name="SheetKraftFormula193" hidden="1">_xll.Formula.SK(#REF!,1)</definedName>
    <definedName name="SheetKraftFormula194" localSheetId="1" hidden="1">_xll.Formula.SK([36]Hyperlinks!$A$3,1)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localSheetId="1" hidden="1">_xll.Formula.SK(#REF!,)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localSheetId="1" hidden="1">_xll.Formula.SK([3]Stack!$FF$6,1)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localSheetId="1" hidden="1">_xll.Formula.SK(#REF!,1)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localSheetId="1" hidden="1">_xll.Formula.SK(#REF!,1)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localSheetId="1" hidden="1">_xll.Formula.SK([36]Hyperlinks!$B$2,1)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localSheetId="1" hidden="1">_xll.Formula.SK([3]Stack!$BF$6,1)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localSheetId="1" hidden="1">_xll.Formula.SK([3]Stack!$FH$5,1)</definedName>
    <definedName name="SheetKraftFormula414" hidden="1">_xll.Formula.SK([3]Stack!$FF$5,1)</definedName>
    <definedName name="SheetKraftFormula415" localSheetId="1" hidden="1">_xll.Formula.SK([3]Stack!$FI$5,1)</definedName>
    <definedName name="SheetKraftFormula415" hidden="1">_xll.Formula.SK([3]Stack!$FG$5,1)</definedName>
    <definedName name="SheetKraftFormula416" localSheetId="1" hidden="1">_xll.Formula.SK([3]Stack!$FG$6,1)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localSheetId="1" hidden="1">_xll.Formula.SK([37]Perpetual!$J$14,)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localSheetId="1" hidden="1">_xll.Formula.SK([37]Perpetual!$I$15,)</definedName>
    <definedName name="SheetKraftFormula420" hidden="1">_xll.Formula.SK('[26]Perpetual &amp; BT2'!$I$15,)</definedName>
    <definedName name="SheetKraftFormula421" localSheetId="1" hidden="1">_xll.Formula.SK([37]Perpetual!$G$14,)</definedName>
    <definedName name="SheetKraftFormula421" hidden="1">_xll.Formula.SK('[26]Perpetual &amp; BT2'!$G$14,)</definedName>
    <definedName name="SheetKraftFormula422" localSheetId="1" hidden="1">_xll.Formula.SK([37]Perpetual!$F$14,)</definedName>
    <definedName name="SheetKraftFormula422" hidden="1">_xll.Formula.SK('[26]Perpetual &amp; BT2'!$F$14,)</definedName>
    <definedName name="SheetKraftFormula423" localSheetId="1" hidden="1">_xll.Formula.SK([37]Perpetual!$H$15,)</definedName>
    <definedName name="SheetKraftFormula423" hidden="1">_xll.Formula.SK('[26]Perpetual &amp; BT2'!$H$15,)</definedName>
    <definedName name="SheetKraftFormula424" localSheetId="1" hidden="1">_xll.Formula.SK([37]Perpetual!$C$15,)</definedName>
    <definedName name="SheetKraftFormula424" hidden="1">_xll.Formula.SK('[26]Perpetual &amp; BT2'!$C$15,)</definedName>
    <definedName name="SheetKraftFormula425" localSheetId="1" hidden="1">_xll.Formula.SK([37]Perpetual!$D$15,)</definedName>
    <definedName name="SheetKraftFormula425" hidden="1">_xll.Formula.SK('[26]Perpetual &amp; BT2'!$D$15,)</definedName>
    <definedName name="SheetKraftFormula426" localSheetId="1" hidden="1">_xll.Formula.SK([37]Perpetual!$E$15,)</definedName>
    <definedName name="SheetKraftFormula426" hidden="1">_xll.Formula.SK('[26]Perpetual &amp; BT2'!$E$15,)</definedName>
    <definedName name="SheetKraftFormula427" localSheetId="1" hidden="1">_xll.Formula.SK([37]Perpetual!$B$15,)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localSheetId="1" hidden="1">_xll.Formula.SK([4]Template_Formula!$O$9,1)</definedName>
    <definedName name="SheetKraftFormula430" hidden="1">_xll.Formula.SK('[8]Notes Data'!$EM$22,1)</definedName>
    <definedName name="SheetKraftFormula431" localSheetId="1" hidden="1">_xll.Formula.SK('[8]Notes Data'!$J$10,1)</definedName>
    <definedName name="SheetKraftFormula431" hidden="1">_xll.Formula.SK('[8]Notes Data'!$EN$9,)</definedName>
    <definedName name="SheetKraftFormula432" localSheetId="1" hidden="1">_xll.Formula.SK('[24]Notes Data 2'!$AE$9,)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localSheetId="1" hidden="1">_xll.Formula.SK('[24]Notes Data 2'!$AM$9,)</definedName>
    <definedName name="SheetKraftFormula440" hidden="1">_xll.Formula.SK('[24]Notes Data 2'!$AM$9,1)</definedName>
    <definedName name="SheetKraftFormula441" localSheetId="1" hidden="1">_xll.Formula.SK('[8]Notes Data'!$K$9,1)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localSheetId="1" hidden="1">_xll.Formula.SK('[27]Liquid Schemes Working Day'!$I$11,1)</definedName>
    <definedName name="SheetKraftFormula443" hidden="1">_xll.Formula.SK('[27]Liquid Schemes Working Day'!$I$11,)</definedName>
    <definedName name="SheetKraftFormula444" localSheetId="1" hidden="1">_xll.Formula.SK('[27]Liquid Schemes Working Day'!$J$12,1)</definedName>
    <definedName name="SheetKraftFormula444" hidden="1">_xll.Formula.SK('[27]Liquid Schemes Working Day'!$J$12,)</definedName>
    <definedName name="SheetKraftFormula445" localSheetId="1" hidden="1">_xll.Formula.SK('[27]Liquid Schemes Working Day'!$K$12,1)</definedName>
    <definedName name="SheetKraftFormula445" hidden="1">_xll.Formula.SK('[27]Liquid Schemes Working Day'!$K$12,)</definedName>
    <definedName name="SheetKraftFormula446" localSheetId="1" hidden="1">_xll.Formula.SK('[27]Liquid Schemes Working Day'!$L$12,1)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localSheetId="1" hidden="1">_xll.Formula.SK('[18]Month NAV Last Date Calc'!$U$10,)</definedName>
    <definedName name="SheetKraftFormula448" hidden="1">_xll.Formula.SK('[27]Liquid Schemes Working Day'!$M$12,1)</definedName>
    <definedName name="SheetKraftFormula449" localSheetId="1" hidden="1">_xll.Formula.SK('[18]Month NAV Last Date Calc'!$AI$10,)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localSheetId="1" hidden="1">_xll.Formula.SK('[8]Notes Data'!$GC$9,1)</definedName>
    <definedName name="SheetKraftFormula450" hidden="1">_xll.Formula.SK('[18]Month NAV Last Date Calc'!$AI$10,)</definedName>
    <definedName name="SheetKraftFormula451" localSheetId="1" hidden="1">_xll.Formula.SK('[24]Notes Data 2'!$C$9,)</definedName>
    <definedName name="SheetKraftFormula451" hidden="1">_xll.Formula.SK(#REF!,1)</definedName>
    <definedName name="SheetKraftFormula452" localSheetId="1" hidden="1">_xll.Formula.SK('[8]Notes Data'!$GB$9,)</definedName>
    <definedName name="SheetKraftFormula452" hidden="1">_xll.Formula.SK([13]Formats!$G$21,1)</definedName>
    <definedName name="SheetKraftFormula453" localSheetId="1" hidden="1">_xll.Formula.SK('[8]Notes Data'!$GD$9,)</definedName>
    <definedName name="SheetKraftFormula453" hidden="1">_xll.Formula.SK('[28]Riskometer Levels'!$G$18,1)</definedName>
    <definedName name="SheetKraftFormula454" localSheetId="1" hidden="1">_xll.Formula.SK('[8]Notes Data'!$GH$9,)</definedName>
    <definedName name="SheetKraftFormula454" hidden="1">_xll.Formula.SK([3]Stack!$FM$5,1)</definedName>
    <definedName name="SheetKraftFormula455" localSheetId="1" hidden="1">_xll.Formula.SK('[8]Notes Data'!$GG$9,)</definedName>
    <definedName name="SheetKraftFormula455" hidden="1">_xll.Formula.SK('[8]Notes Data'!$GC$9,)</definedName>
    <definedName name="SheetKraftFormula456" localSheetId="1" hidden="1">_xll.Formula.SK('[8]Notes Data'!$GI$9,)</definedName>
    <definedName name="SheetKraftFormula456" hidden="1">_xll.Formula.SK('[8]Notes Data'!$GD$9,)</definedName>
    <definedName name="SheetKraftFormula457" localSheetId="1" hidden="1">_xll.Formula.SK('[29]Avg YTC'!$E$13,1)</definedName>
    <definedName name="SheetKraftFormula457" hidden="1">_xll.Formula.SK('[8]Notes Data'!$GB$9,)</definedName>
    <definedName name="SheetKraftFormula458" localSheetId="1" hidden="1">_xll.Formula.SK('[29]Avg YTC'!$D$14,1)</definedName>
    <definedName name="SheetKraftFormula458" hidden="1">_xll.Formula.SK('[8]Notes Data'!$GH$9,)</definedName>
    <definedName name="SheetKraftFormula459" localSheetId="1" hidden="1">_xll.Formula.SK([3]Stack!$FM$5,1)</definedName>
    <definedName name="SheetKraftFormula459" hidden="1">_xll.Formula.SK('[8]Notes Data'!$GG$9,)</definedName>
    <definedName name="SheetKraftFormula460" localSheetId="1" hidden="1">_xll.Formula.SK('[1]Holding Positions'!$C$10,1)</definedName>
    <definedName name="SheetKraftFormula460" hidden="1">_xll.Formula.SK('[8]Notes Data'!$GI$9,)</definedName>
    <definedName name="SheetKraftFormula461" localSheetId="1" hidden="1">_xll.Formula.SK([3]Stack!$B$5,1)</definedName>
    <definedName name="SheetKraftFormula461" hidden="1">_xll.Formula.SK('[29]Avg YTC'!$E$13,)</definedName>
    <definedName name="SheetKraftFormula462" localSheetId="1" hidden="1">_xll.Formula.SK('[18]Month NAV Last Date Calc'!$AV$7,1)</definedName>
    <definedName name="SheetKraftFormula462" hidden="1">_xll.Formula.SK('[29]Avg YTC'!$D$14,1)</definedName>
    <definedName name="SheetKraftFormula463" localSheetId="1" hidden="1">_xll.Formula.SK('[25]Avg Yield'!$AI$14,1)</definedName>
    <definedName name="SheetKraftFormula463" hidden="1">_xll.Formula.SK([3]Stack!$FN$5,1)</definedName>
    <definedName name="SheetKraftFormula464" localSheetId="1" hidden="1">_xll.Formula.SK([3]Stack!$FN$5,1)</definedName>
    <definedName name="SheetKraftFormula464" hidden="1">_xll.Formula.SK('[23]Yes Bank Filter'!$Q$9,1)</definedName>
    <definedName name="SheetKraftFormula465" localSheetId="1" hidden="1">_xll.Formula.SK('[8]Notes Data'!$BP$9,)</definedName>
    <definedName name="SheetKraftFormula465" hidden="1">_xll.Formula.SK('[23]Yes Bank Filter'!$S$9,1)</definedName>
    <definedName name="SheetKraftFormula466" localSheetId="1" hidden="1">_xll.Formula.SK('[8]Notes Data'!$BQ$10,1)</definedName>
    <definedName name="SheetKraftFormula466" hidden="1">_xll.Formula.SK('[23]Yes Bank Filter'!$T$9,1)</definedName>
    <definedName name="SheetKraftFormula467" localSheetId="1" hidden="1">_xll.Formula.SK('[8]Notes Data'!$BR$10,1)</definedName>
    <definedName name="SheetKraftFormula467" hidden="1">_xll.Formula.SK([3]Stack!$B$5,1)</definedName>
    <definedName name="SheetKraftFormula468" localSheetId="1" hidden="1">_xll.Formula.SK('[8]Notes Data'!$HC$10,1)</definedName>
    <definedName name="SheetKraftFormula468" hidden="1">_xll.Formula.SK('[18]Month NAV Last Date Calc'!$AV$7,1)</definedName>
    <definedName name="SheetKraftFormula469" localSheetId="1" hidden="1">_xll.Formula.SK('[19]Pre Working'!$AT$6,1)</definedName>
    <definedName name="SheetKraftFormula469" hidden="1">_xll.Formula.SK('[25]Avg Yield'!$AI$13,1)</definedName>
    <definedName name="SheetKraftFormula470" localSheetId="1" hidden="1">_xll.Formula.SK([3]Stack!$BC$6,1)</definedName>
    <definedName name="SheetKraftFormula470" hidden="1">_xll.Formula.SK([3]Stack!$FO$5,1)</definedName>
    <definedName name="SheetKraftFormula471" localSheetId="1" hidden="1">_xll.Formula.SK([9]Derivatives!$T$10,)</definedName>
    <definedName name="SheetKraftFormula471" hidden="1">_xll.Formula.SK('[8]Notes Data'!$IC$10,1)</definedName>
    <definedName name="SheetKraftFormula472" localSheetId="1" hidden="1">_xll.Formula.SK([9]Derivatives!$R$10,1)</definedName>
    <definedName name="SheetKraftFormula472" hidden="1">_xll.Formula.SK('[8]Notes Data'!$IB$10,)</definedName>
    <definedName name="SheetKraftFormula473" localSheetId="1" hidden="1">_xll.Formula.SK([9]Derivatives!$Q$10,)</definedName>
    <definedName name="SheetKraftFormula473" hidden="1">_xll.Formula.SK('[8]Notes Data'!$IA$10,1)</definedName>
    <definedName name="SheetKraftFormula474" localSheetId="1" hidden="1">_xll.Formula.SK([10]Inputs!$R$9,1)</definedName>
    <definedName name="SheetKraftFormula474" hidden="1">_xll.Formula.SK('[8]Notes Data'!$HZ$10,1)</definedName>
    <definedName name="SheetKraftFormula475" localSheetId="1" hidden="1">_xll.Formula.SK([10]Inputs!$N$6,)</definedName>
    <definedName name="SheetKraftFormula475" hidden="1">_xll.Formula.SK('[8]Notes Data'!$HY$11,1)</definedName>
    <definedName name="SheetKraftFormula476" localSheetId="1" hidden="1">_xll.Formula.SK('[25]Avg Yield'!$BA$15,1)</definedName>
    <definedName name="SheetKraftFormula476" hidden="1">_xll.Formula.SK('[8]Notes Data'!$IE$11,1)</definedName>
    <definedName name="SheetKraftFormula477" localSheetId="1" hidden="1">_xll.Formula.SK([3]Stack!$FO$5,1)</definedName>
    <definedName name="SheetKraftFormula477" hidden="1">_xll.Formula.SK('[28]Riskometer Levels'!$L$18,1)</definedName>
    <definedName name="SheetKraftFormula478" localSheetId="1" hidden="1">_xll.Formula.SK([3]Stack!$FY$8,)</definedName>
    <definedName name="SheetKraftFormula478" hidden="1">_xll.Formula.SK([3]Stack!$FP$5,1)</definedName>
    <definedName name="SheetKraftFormula479" localSheetId="1" hidden="1">_xll.Formula.SK([3]Stack!$FQ$5,1)</definedName>
    <definedName name="SheetKraftFormula479" hidden="1">_xll.Formula.SK('[8]Notes Data'!$IF$10,1)</definedName>
    <definedName name="SheetKraftFormula48" localSheetId="1" hidden="1">_xll.Formula.SK('[1]Holding Positions'!#REF!,1)</definedName>
    <definedName name="SheetKraftFormula48" hidden="1">_xll.Formula.SK('[1]Holding Positions'!#REF!,1)</definedName>
    <definedName name="SheetKraftFormula480" localSheetId="1" hidden="1">_xll.Formula.SK([3]Stack!$FP$6,1)</definedName>
    <definedName name="SheetKraftFormula480" hidden="1">_xll.Formula.SK('[8]Notes Data'!$II$10,1)</definedName>
    <definedName name="SheetKraftFormula481" localSheetId="1" hidden="1">_xll.Formula.SK('[8]Notes Data'!$IO$10,1)</definedName>
    <definedName name="SheetKraftFormula481" hidden="1">_xll.Formula.SK('[8]Notes Data'!$HC$10,1)</definedName>
    <definedName name="SheetKraftFormula482" localSheetId="1" hidden="1">_xll.Formula.SK('[8]Notes Data'!$IP$10,)</definedName>
    <definedName name="SheetKraftFormula482" hidden="1">_xll.Formula.SK('[8]Notes Data'!$BP$9,1)</definedName>
    <definedName name="SheetKraftFormula483" localSheetId="1" hidden="1">_xll.Formula.SK('[30]Foreign Securities'!$D$9,1)</definedName>
    <definedName name="SheetKraftFormula483" hidden="1">_xll.Formula.SK('[8]Notes Data'!$BQ$10,1)</definedName>
    <definedName name="SheetKraftFormula484" localSheetId="1" hidden="1">_xll.Formula.SK('[30]Foreign Securities'!$I$9,1)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localSheetId="1" hidden="1">_xll.Formula.SK('[8]Notes Data'!$DX$10,1)</definedName>
    <definedName name="SheetKraftFormula486" hidden="1">_xll.Formula.SK('[25]Avg Yield'!$AZ$14,1)</definedName>
    <definedName name="SheetKraftFormula487" localSheetId="1" hidden="1">_xll.Formula.SK([3]Stack!$DE$5,1)</definedName>
    <definedName name="SheetKraftFormula487" hidden="1">_xll.Formula.SK([3]Stack!$FQ$5,1)</definedName>
    <definedName name="SheetKraftFormula488" localSheetId="1" hidden="1">_xll.Formula.SK([37]Perpetual!$A$15,1)</definedName>
    <definedName name="SheetKraftFormula488" hidden="1">_xll.Formula.SK([9]Derivatives!$U$10,)</definedName>
    <definedName name="SheetKraftFormula489" localSheetId="1" hidden="1">_xll.Formula.SK('[8]Notes Data'!$IT$10,)</definedName>
    <definedName name="SheetKraftFormula489" hidden="1">_xll.Formula.SK([9]Derivatives!$S$10,1)</definedName>
    <definedName name="SheetKraftFormula490" localSheetId="1" hidden="1">_xll.Formula.SK('[8]Notes Data'!$IV$10,1)</definedName>
    <definedName name="SheetKraftFormula490" hidden="1">_xll.Formula.SK([9]Derivatives!$R$10,)</definedName>
    <definedName name="SheetKraftFormula491" localSheetId="1" hidden="1">_xll.Formula.SK('[8]Notes Data'!$IY$11,1)</definedName>
    <definedName name="SheetKraftFormula491" hidden="1">_xll.Formula.SK([10]Inputs!$N$14,1)</definedName>
    <definedName name="SheetKraftFormula492" localSheetId="1" hidden="1">_xll.Formula.SK('[8]Notes Data'!$JC$10,1)</definedName>
    <definedName name="SheetKraftFormula492" hidden="1">_xll.Formula.SK([10]Inputs!$N$6,)</definedName>
    <definedName name="SheetKraftFormula493" localSheetId="1" hidden="1">_xll.Formula.SK('[8]Notes Data'!$JF$11,1)</definedName>
    <definedName name="SheetKraftFormula493" hidden="1">_xll.Formula.SK([3]Stack!$FR$6,1)</definedName>
    <definedName name="SheetKraftFormula494" localSheetId="1" hidden="1">_xll.Formula.SK('[32]Avg Yield Annualised'!$D$11,)</definedName>
    <definedName name="SheetKraftFormula494" hidden="1">_xll.Formula.SK([3]Stack!$GB$8,1)</definedName>
    <definedName name="SheetKraftFormula495" localSheetId="1" hidden="1">_xll.Formula.SK([3]Stack!$FR$5,1)</definedName>
    <definedName name="SheetKraftFormula495" hidden="1">_xll.Formula.SK([3]Stack!$FS$5,1)</definedName>
    <definedName name="SheetKraftFormula496" localSheetId="1" hidden="1">_xll.Formula.SK('[17]Security Master'!$Z$9,1)</definedName>
    <definedName name="SheetKraftFormula496" hidden="1">_xll.Formula.SK('[8]Notes Data'!$IO$10,1)</definedName>
    <definedName name="SheetKraftFormula497" localSheetId="1" hidden="1">_xll.Formula.SK([3]Stack!$BC$5,1)</definedName>
    <definedName name="SheetKraftFormula497" hidden="1">_xll.Formula.SK('[8]Notes Data'!$IP$10,)</definedName>
    <definedName name="SheetKraftFormula498" localSheetId="1" hidden="1">_xll.Formula.SK([3]Stack!$BD$6,1)</definedName>
    <definedName name="SheetKraftFormula498" hidden="1">_xll.Formula.SK('[30]Foreign Securities'!$E$8,1)</definedName>
    <definedName name="SheetKraftFormula499" localSheetId="1" hidden="1">_xll.Formula.SK('[33]IRS Data'!$O$6,1)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localSheetId="1" hidden="1">_xll.Formula.SK('[34]Debt Derivative'!$B$4,1)</definedName>
    <definedName name="SheetKraftFormula500" hidden="1">_xll.Formula.SK('[8]Notes Data'!$DY$9,1)</definedName>
    <definedName name="SheetKraftFormula501" localSheetId="1" hidden="1">_xll.Formula.SK('[34]Debt Derivative'!$G$4,)</definedName>
    <definedName name="SheetKraftFormula501" hidden="1">_xll.Formula.SK('[8]Notes Data'!$DX$10,1)</definedName>
    <definedName name="SheetKraftFormula502" localSheetId="1" hidden="1">_xll.Formula.SK('[34]Debt Derivative'!$J$4,1)</definedName>
    <definedName name="SheetKraftFormula502" hidden="1">_xll.Formula.SK([3]Stack!$BD$5,1)</definedName>
    <definedName name="SheetKraftFormula503" localSheetId="1" hidden="1">_xll.Formula.SK('[34]Debt Derivative'!$P$4,1)</definedName>
    <definedName name="SheetKraftFormula503" hidden="1">_xll.Formula.SK([3]Stack!$BD$6,1)</definedName>
    <definedName name="SheetKraftFormula504" localSheetId="1" hidden="1">_xll.Formula.SK('[34]Debt Derivative'!$X$4,1)</definedName>
    <definedName name="SheetKraftFormula504" hidden="1">_xll.Formula.SK('[8]Notes Data'!$CX$9,1)</definedName>
    <definedName name="SheetKraftFormula505" hidden="1">_xll.Formula.SK('[34]Debt Derivative'!$AD$4,1)</definedName>
    <definedName name="SheetKraftFormula506" localSheetId="1" hidden="1">_xll.Formula.SK('[34]Debt Derivative'!$AH$4,1)</definedName>
    <definedName name="SheetKraftFormula506" hidden="1">_xll.Formula.SK([3]Stack!$FT$5,1)</definedName>
    <definedName name="SheetKraftFormula507" localSheetId="1" hidden="1">_xll.Formula.SK('[34]Debt Derivative'!$AG$5,1)</definedName>
    <definedName name="SheetKraftFormula507" hidden="1">_xll.Formula.SK([3]Stack!$DG$5,1)</definedName>
    <definedName name="SheetKraftFormula508" localSheetId="1" hidden="1">_xll.Formula.SK('[34]Debt Derivative'!$AO$5,1)</definedName>
    <definedName name="SheetKraftFormula508" hidden="1">_xll.Formula.SK([3]Stack!$GG$8,1)</definedName>
    <definedName name="SheetKraftFormula509" localSheetId="1" hidden="1">_xll.Formula.SK('[34]Debt Derivative'!$AP$5,1)</definedName>
    <definedName name="SheetKraftFormula509" hidden="1">_xll.Formula.SK('[7]Pivots Data'!$CE$4,1)</definedName>
    <definedName name="SheetKraftFormula51" localSheetId="1" hidden="1">_xll.Formula.SK('[1]Holding Positions'!#REF!,1)</definedName>
    <definedName name="SheetKraftFormula51" hidden="1">_xll.Formula.SK('[1]Holding Positions'!#REF!,1)</definedName>
    <definedName name="SheetKraftFormula510" localSheetId="1" hidden="1">_xll.Formula.SK('[34]Debt Derivative'!$AF$4,)</definedName>
    <definedName name="SheetKraftFormula510" hidden="1">_xll.Formula.SK('[31]Management Group'!$B$6,1)</definedName>
    <definedName name="SheetKraftFormula511" localSheetId="1" hidden="1">_xll.Formula.SK('[33]IRS Data'!$C$6,1)</definedName>
    <definedName name="SheetKraftFormula511" hidden="1">_xll.Formula.SK([3]Stack!$FU$5,1)</definedName>
    <definedName name="SheetKraftFormula512" localSheetId="1" hidden="1">_xll.Formula.SK('[33]IRS Data'!$AJ$11,1)</definedName>
    <definedName name="SheetKraftFormula512" hidden="1">_xll.Formula.SK([3]Stack!$GP$8,1)</definedName>
    <definedName name="SheetKraftFormula513" localSheetId="1" hidden="1">_xll.Formula.SK('[33]IRS Data'!#REF!,)</definedName>
    <definedName name="SheetKraftFormula513" hidden="1">_xll.Formula.SK('[7]Pivots Data'!$CJ$4,1)</definedName>
    <definedName name="SheetKraftFormula514" localSheetId="1" hidden="1">_xll.Formula.SK('[33]IRS Data'!$X$6,1)</definedName>
    <definedName name="SheetKraftFormula514" hidden="1">_xll.Formula.SK([3]Stack!$GX$8,1)</definedName>
    <definedName name="SheetKraftFormula515" localSheetId="1" hidden="1">_xll.Formula.SK('[34]Debt Derivative'!$AQ$5,1)</definedName>
    <definedName name="SheetKraftFormula515" hidden="1">_xll.Formula.SK([3]Stack!$GX$1,1)</definedName>
    <definedName name="SheetKraftFormula516" localSheetId="1" hidden="1">_xll.Formula.SK('[34]Debt Derivative'!$AR$5,1)</definedName>
    <definedName name="SheetKraftFormula516" hidden="1">_xll.Formula.SK('[16]Issuer Master'!$W$10,)</definedName>
    <definedName name="SheetKraftFormula517" localSheetId="1" hidden="1">_xll.Formula.SK('[34]Debt Derivative'!$AV$13,)</definedName>
    <definedName name="SheetKraftFormula517" hidden="1">_xll.Formula.SK('[26]Perpetual &amp; BT2'!$A$15,1)</definedName>
    <definedName name="SheetKraftFormula518" localSheetId="1" hidden="1">_xll.Formula.SK('[33]IRS Data'!$K$6,1)</definedName>
    <definedName name="SheetKraftFormula518" hidden="1">_xll.Formula.SK([3]Stack!$DD$5,1)</definedName>
    <definedName name="SheetKraftFormula519" localSheetId="1" hidden="1">_xll.Formula.SK([9]Derivatives!$AW$10,1)</definedName>
    <definedName name="SheetKraftFormula519" hidden="1">_xll.Formula.SK('[8]Notes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localSheetId="1" hidden="1">_xll.Formula.SK('[8]Notes Data'!$EZ$9,1)</definedName>
    <definedName name="SheetKraftFormula520" hidden="1">_xll.Formula.SK('[8]Notes Data'!$IY$11,)</definedName>
    <definedName name="SheetKraftFormula521" localSheetId="1" hidden="1">_xll.Formula.SK('[8]Notes Data'!$EW$9,1)</definedName>
    <definedName name="SheetKraftFormula521" hidden="1">_xll.Formula.SK('[8]Notes Data'!$JC$10,)</definedName>
    <definedName name="SheetKraftFormula522" localSheetId="1" hidden="1">_xll.Formula.SK('[8]Notes Data'!$EY$9,)</definedName>
    <definedName name="SheetKraftFormula522" hidden="1">_xll.Formula.SK('[8]Notes Data'!$JF$11,)</definedName>
    <definedName name="SheetKraftFormula523" localSheetId="1" hidden="1">_xll.Formula.SK('[8]Notes Data'!$FA$10,1)</definedName>
    <definedName name="SheetKraftFormula523" hidden="1">_xll.Formula.SK('[32]Avg Yield Annualised'!$D$11,1)</definedName>
    <definedName name="SheetKraftFormula524" localSheetId="1" hidden="1">_xll.Formula.SK('[8]Notes Data'!$FB$9,1)</definedName>
    <definedName name="SheetKraftFormula524" hidden="1">_xll.Formula.SK([3]Stack!$FV$5,1)</definedName>
    <definedName name="SheetKraftFormula525" localSheetId="1" hidden="1">_xll.Formula.SK([9]Derivatives!$S$10,)</definedName>
    <definedName name="SheetKraftFormula525" hidden="1">_xll.Formula.SK('[17]Security Master'!$Z$9,1)</definedName>
    <definedName name="SheetKraftFormula526" hidden="1">_xll.Formula.SK([9]Derivatives!$O$11,1)</definedName>
    <definedName name="SheetKraftFormula527" localSheetId="1" hidden="1">_xll.Formula.SK('[7]Pivots Data'!$O$5,)</definedName>
    <definedName name="SheetKraftFormula527" hidden="1">_xll.Formula.SK([9]Derivatives!$O$11,1)</definedName>
    <definedName name="SheetKraftFormula528" localSheetId="1" hidden="1">_xll.Formula.SK([3]Stack!$DH$6,1)</definedName>
    <definedName name="SheetKraftFormula528" hidden="1">_xll.Formula.SK([3]Stack!$FJ$6,1)</definedName>
    <definedName name="SheetKraftFormula529" localSheetId="1" hidden="1">_xll.Formula.SK([3]Stack!$DI$6,)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localSheetId="1" hidden="1">_xll.Formula.SK([9]Derivatives!$AA$11,1)</definedName>
    <definedName name="SheetKraftFormula530" hidden="1">_xll.Formula.SK('[33]IRS Data'!$E$11,1)</definedName>
    <definedName name="SheetKraftFormula531" localSheetId="1" hidden="1">_xll.Formula.SK([9]Derivatives!$AB$11,1)</definedName>
    <definedName name="SheetKraftFormula531" hidden="1">_xll.Formula.SK('[33]IRS Data'!$P$11,1)</definedName>
    <definedName name="SheetKraftFormula532" localSheetId="1" hidden="1">_xll.Formula.SK([3]Stack!$DH$5,)</definedName>
    <definedName name="SheetKraftFormula532" hidden="1">_xll.Formula.SK('[34]Debt Derivative'!$B$5,1)</definedName>
    <definedName name="SheetKraftFormula533" localSheetId="1" hidden="1">_xll.Formula.SK([3]Stack!$FJ$6,1)</definedName>
    <definedName name="SheetKraftFormula533" hidden="1">_xll.Formula.SK('[34]Debt Derivative'!$J$5,1)</definedName>
    <definedName name="SheetKraftFormula534" localSheetId="1" hidden="1">_xll.Formula.SK([3]Stack!$FK$6,)</definedName>
    <definedName name="SheetKraftFormula534" hidden="1">_xll.Formula.SK('[34]Debt Derivative'!$G$5,)</definedName>
    <definedName name="SheetKraftFormula535" localSheetId="1" hidden="1">_xll.Formula.SK('[24]Notes Data 2'!$AX$9,1)</definedName>
    <definedName name="SheetKraftFormula535" hidden="1">_xll.Formula.SK('[34]Debt Derivative'!$P$5,1)</definedName>
    <definedName name="SheetKraftFormula536" localSheetId="1" hidden="1">_xll.Formula.SK('[24]Notes Data 2'!$AU$9,1)</definedName>
    <definedName name="SheetKraftFormula536" hidden="1">_xll.Formula.SK('[34]Debt Derivative'!$W$4,1)</definedName>
    <definedName name="SheetKraftFormula537" localSheetId="1" hidden="1">_xll.Formula.SK('[24]Notes Data 2'!$AV$10,1)</definedName>
    <definedName name="SheetKraftFormula537" hidden="1">_xll.Formula.SK('[34]Debt Derivative'!$AC$5,1)</definedName>
    <definedName name="SheetKraftFormula538" localSheetId="1" hidden="1">_xll.Formula.SK('[5]Asset Master'!$I$8,1)</definedName>
    <definedName name="SheetKraftFormula538" hidden="1">_xll.Formula.SK('[34]Debt Derivative'!$AH$5,1)</definedName>
    <definedName name="SheetKraftFormula539" localSheetId="1" hidden="1">_xll.Formula.SK('[33]IRS Data'!$W$6,1)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localSheetId="1" hidden="1">_xll.Formula.SK('[33]IRS Data'!$T$6,1)</definedName>
    <definedName name="SheetKraftFormula540" hidden="1">_xll.Formula.SK('[34]Debt Derivative'!$AF$5,)</definedName>
    <definedName name="SheetKraftFormula541" localSheetId="1" hidden="1">_xll.Formula.SK('[21]Asset Pivots Grouping'!$O$13,1)</definedName>
    <definedName name="SheetKraftFormula541" hidden="1">_xll.Formula.SK('[34]Debt Derivative'!$AO$6,1)</definedName>
    <definedName name="SheetKraftFormula542" localSheetId="1" hidden="1">_xll.Formula.SK('[21]Asset Pivots Grouping'!$P$13,1)</definedName>
    <definedName name="SheetKraftFormula542" hidden="1">_xll.Formula.SK('[34]Debt Derivative'!$AP$6,1)</definedName>
    <definedName name="SheetKraftFormula543" localSheetId="1" hidden="1">_xll.Formula.SK('[7]Pivots Data'!$BC$5,1)</definedName>
    <definedName name="SheetKraftFormula543" hidden="1">_xll.Formula.SK('[34]Debt Derivative'!$AQ$6,1)</definedName>
    <definedName name="SheetKraftFormula544" localSheetId="1" hidden="1">_xll.Formula.SK('[33]IRS Data'!$AD$6,1)</definedName>
    <definedName name="SheetKraftFormula544" hidden="1">_xll.Formula.SK('[34]Debt Derivative'!$AR$6,)</definedName>
    <definedName name="SheetKraftFormula545" localSheetId="1" hidden="1">_xll.Formula.SK('[33]IRS Data'!$AC$6,1)</definedName>
    <definedName name="SheetKraftFormula545" hidden="1">_xll.Formula.SK('[34]Debt Derivative'!$AV$13,1)</definedName>
    <definedName name="SheetKraftFormula546" localSheetId="1" hidden="1">_xll.Formula.SK([10]Inputs!$AG$3,1)</definedName>
    <definedName name="SheetKraftFormula546" hidden="1">_xll.Formula.SK('[33]IRS Data'!$M$11,1)</definedName>
    <definedName name="SheetKraftFormula547" localSheetId="1" hidden="1">_xll.Formula.SK([10]Inputs!$AK$3,1)</definedName>
    <definedName name="SheetKraftFormula547" hidden="1">_xll.Formula.SK('[8]Notes Data'!$EZ$9,1)</definedName>
    <definedName name="SheetKraftFormula548" localSheetId="1" hidden="1">_xll.Formula.SK('[8]Notes Data'!$X$10,1)</definedName>
    <definedName name="SheetKraftFormula548" hidden="1">_xll.Formula.SK('[8]Notes Data'!$EY$9,)</definedName>
    <definedName name="SheetKraftFormula549" localSheetId="1" hidden="1">_xll.Formula.SK('[18]Month NAV Last Date Calc'!$R$7,1)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localSheetId="1" hidden="1">_xll.Formula.SK('[27]Liquid Schemes Working Day'!$N$12,1)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localSheetId="1" hidden="1">_xll.Formula.SK(#REF!,1)</definedName>
    <definedName name="SheetKraftFormula68" hidden="1">_xll.Formula.SK(#REF!,1)</definedName>
    <definedName name="SheetKraftFormula69" localSheetId="1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localSheetId="1" hidden="1">_xll.Formula.SK(#REF!,)</definedName>
    <definedName name="SheetKraftFormula70" hidden="1">_xll.Formula.SK(#REF!,)</definedName>
    <definedName name="SheetKraftFormula71" localSheetId="1" hidden="1">_xll.Formula.SK(#REF!,)</definedName>
    <definedName name="SheetKraftFormula71" hidden="1">_xll.Formula.SK(#REF!,)</definedName>
    <definedName name="SheetKraftFormula72" localSheetId="1" hidden="1">_xll.Formula.SK(#REF!,1)</definedName>
    <definedName name="SheetKraftFormula72" hidden="1">_xll.Formula.SK(#REF!,1)</definedName>
    <definedName name="SheetKraftFormula73" localSheetId="1" hidden="1">_xll.Formula.SK(#REF!,1)</definedName>
    <definedName name="SheetKraftFormula73" hidden="1">_xll.Formula.SK(#REF!,1)</definedName>
    <definedName name="SheetKraftFormula74" localSheetId="1" hidden="1">_xll.Formula.SK(#REF!,1)</definedName>
    <definedName name="SheetKraftFormula74" hidden="1">_xll.Formula.SK(#REF!,1)</definedName>
    <definedName name="SheetKraftFormula75" localSheetId="1" hidden="1">_xll.Formula.SK(#REF!,1)</definedName>
    <definedName name="SheetKraftFormula75" hidden="1">_xll.Formula.SK(#REF!,1)</definedName>
    <definedName name="SheetKraftFormula76" localSheetId="1" hidden="1">_xll.Formula.SK(#REF!,1)</definedName>
    <definedName name="SheetKraftFormula76" hidden="1">_xll.Formula.SK(#REF!,1)</definedName>
    <definedName name="SheetKraftFormula77" localSheetId="1" hidden="1">_xll.Formula.SK(#REF!,1)</definedName>
    <definedName name="SheetKraftFormula77" hidden="1">_xll.Formula.SK(#REF!,1)</definedName>
    <definedName name="SheetKraftFormula78" localSheetId="1" hidden="1">_xll.Formula.SK(#REF!,)</definedName>
    <definedName name="SheetKraftFormula78" hidden="1">_xll.Formula.SK(#REF!,)</definedName>
    <definedName name="SheetKraftFormula79" localSheetId="1" hidden="1">_xll.Formula.SK(#REF!,1)</definedName>
    <definedName name="SheetKraftFormula79" hidden="1">_xll.Formula.SK(#REF!,1)</definedName>
    <definedName name="SheetKraftFormula8" hidden="1">_xll.Formula.SK('[17]Security Master'!$V$9,1)</definedName>
    <definedName name="SheetKraftFormula80" localSheetId="1" hidden="1">_xll.Formula.SK(#REF!,1)</definedName>
    <definedName name="SheetKraftFormula80" hidden="1">_xll.Formula.SK(#REF!,1)</definedName>
    <definedName name="SheetKraftFormula81" localSheetId="1" hidden="1">_xll.Formula.SK(#REF!,)</definedName>
    <definedName name="SheetKraftFormula81" hidden="1">_xll.Formula.SK(#REF!,)</definedName>
    <definedName name="SheetKraftFormula82" localSheetId="1" hidden="1">_xll.Formula.SK(#REF!,)</definedName>
    <definedName name="SheetKraftFormula82" hidden="1">_xll.Formula.SK(#REF!,)</definedName>
    <definedName name="SheetKraftFormula83" localSheetId="1" hidden="1">_xll.Formula.SK(#REF!,1)</definedName>
    <definedName name="SheetKraftFormula83" hidden="1">_xll.Formula.SK(#REF!,1)</definedName>
    <definedName name="SheetKraftFormula84" localSheetId="1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E12" i="2"/>
  <c r="D12" i="2"/>
  <c r="C12" i="2"/>
  <c r="G11" i="2"/>
  <c r="G10" i="2"/>
  <c r="G9" i="2"/>
  <c r="G12" i="2" s="1"/>
</calcChain>
</file>

<file path=xl/sharedStrings.xml><?xml version="1.0" encoding="utf-8"?>
<sst xmlns="http://schemas.openxmlformats.org/spreadsheetml/2006/main" count="487" uniqueCount="199">
  <si>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</si>
  <si>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</si>
  <si>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</si>
  <si>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</si>
  <si>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</si>
  <si>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</si>
  <si>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</si>
  <si>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</si>
  <si>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</si>
  <si>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</si>
  <si>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</si>
  <si>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</si>
  <si>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</si>
  <si>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</si>
  <si>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</si>
  <si>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</si>
  <si>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</si>
  <si>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</si>
  <si>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</si>
  <si>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INE018A01030</t>
  </si>
  <si>
    <t/>
  </si>
  <si>
    <t>Larsen and Toubro Ltd.</t>
  </si>
  <si>
    <t>Construction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</si>
  <si>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</si>
  <si>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</si>
  <si>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</si>
  <si>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</si>
  <si>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</si>
  <si>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</si>
  <si>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</si>
  <si>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</si>
  <si>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</si>
  <si>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</si>
  <si>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Ltd.£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</si>
  <si>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</si>
  <si>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</si>
  <si>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</si>
  <si>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</si>
  <si>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</si>
  <si>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</si>
  <si>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</si>
  <si>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</si>
  <si>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</si>
  <si>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INE585B01010</t>
  </si>
  <si>
    <t>Maruti Suzuki India Limited</t>
  </si>
  <si>
    <t>Automobiles</t>
  </si>
  <si>
    <t>INE154A01025</t>
  </si>
  <si>
    <t>ITC LIMITED</t>
  </si>
  <si>
    <t>Diversified FMCG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</si>
  <si>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</si>
  <si>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</si>
  <si>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</si>
  <si>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</si>
  <si>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</si>
  <si>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</si>
  <si>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INE123W01016</t>
  </si>
  <si>
    <t>SBI Life Insurance Company Ltd.</t>
  </si>
  <si>
    <t>INE386A01023</t>
  </si>
  <si>
    <t>Vesuvius India Ltd.</t>
  </si>
  <si>
    <t>Industrial Products</t>
  </si>
  <si>
    <t>INE752E01010</t>
  </si>
  <si>
    <t>Power Grid Corporation of India Ltd.</t>
  </si>
  <si>
    <t>Power</t>
  </si>
  <si>
    <t>INE462A01022</t>
  </si>
  <si>
    <t>Bayer Cropscience Ltd</t>
  </si>
  <si>
    <t>Fertilizers &amp; Agrochemicals</t>
  </si>
  <si>
    <t>INE491A01021</t>
  </si>
  <si>
    <t>City Union Bank Ltd.</t>
  </si>
  <si>
    <t>INE600L01024</t>
  </si>
  <si>
    <t>Dr. Lal Path Labs Ltd</t>
  </si>
  <si>
    <t>Healthcare Services</t>
  </si>
  <si>
    <t>INE246F01010</t>
  </si>
  <si>
    <t>Gujarat State Petronet Ltd.</t>
  </si>
  <si>
    <t>Gas</t>
  </si>
  <si>
    <t>INE162B01018</t>
  </si>
  <si>
    <t>Lumax Industries Ltd</t>
  </si>
  <si>
    <t>Auto Components</t>
  </si>
  <si>
    <t>INE220B01022</t>
  </si>
  <si>
    <t>Kalpataru Projects International Ltd</t>
  </si>
  <si>
    <t>INE225D01027</t>
  </si>
  <si>
    <t>Symphony Ltd.</t>
  </si>
  <si>
    <t>Consumer Durables</t>
  </si>
  <si>
    <t>INE901L01018</t>
  </si>
  <si>
    <t>Alembic Pharmaceuticals Limited</t>
  </si>
  <si>
    <t>Pharmaceuticals &amp; Biotechnology</t>
  </si>
  <si>
    <t>INE517F01014</t>
  </si>
  <si>
    <t>Gujarat Pipavav Port Ltd.</t>
  </si>
  <si>
    <t>Transport Infrastructure</t>
  </si>
  <si>
    <t>INE235A01022</t>
  </si>
  <si>
    <t>Finolex Cables Ltd.</t>
  </si>
  <si>
    <t>INE079J01017</t>
  </si>
  <si>
    <t>Gateway Distriparks Limited</t>
  </si>
  <si>
    <t>INE094A01015</t>
  </si>
  <si>
    <t>Hindustan Petroleum Corp. Ltd.</t>
  </si>
  <si>
    <t>INE533A01012</t>
  </si>
  <si>
    <t>Goodyear India Ltd.</t>
  </si>
  <si>
    <t>INE825A01020</t>
  </si>
  <si>
    <t>Vardhman Textiles Ltd.</t>
  </si>
  <si>
    <t>Textiles &amp; Apparels</t>
  </si>
  <si>
    <t>INE540H01012</t>
  </si>
  <si>
    <t>Voltamp Transformers Ltd.</t>
  </si>
  <si>
    <t>Electrical Equipment</t>
  </si>
  <si>
    <t>INE294Z01018</t>
  </si>
  <si>
    <t>The Anup Engineering Limited</t>
  </si>
  <si>
    <t>Industrial Manufacturing</t>
  </si>
  <si>
    <t>INE854D01024</t>
  </si>
  <si>
    <t>United Spirits Limited</t>
  </si>
  <si>
    <t>Beverages</t>
  </si>
  <si>
    <t>INE191H01014</t>
  </si>
  <si>
    <t>PVR LIMITED</t>
  </si>
  <si>
    <t>Entertainment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</si>
  <si>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</si>
  <si>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</si>
  <si>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</si>
  <si>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</si>
  <si>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</si>
  <si>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</si>
  <si>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</si>
  <si>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</si>
  <si>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</si>
  <si>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</si>
  <si>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</si>
  <si>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</si>
  <si>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</si>
  <si>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</si>
  <si>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</si>
  <si>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</si>
  <si>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</si>
  <si>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</si>
  <si>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</si>
  <si>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</si>
  <si>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</si>
  <si>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</si>
  <si>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</si>
  <si>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</si>
  <si>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</si>
  <si>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</si>
  <si>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</si>
  <si>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</si>
  <si>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</si>
  <si>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</si>
  <si>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</si>
  <si>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</si>
  <si>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</si>
  <si>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</si>
  <si>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</si>
  <si>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</si>
  <si>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</si>
  <si>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</si>
  <si>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</si>
  <si>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</si>
  <si>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</si>
  <si>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</si>
  <si>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</si>
  <si>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</si>
  <si>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</si>
  <si>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</si>
  <si>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</si>
  <si>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</si>
  <si>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</si>
  <si>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</si>
  <si>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</si>
  <si>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</si>
  <si>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</si>
  <si>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</si>
  <si>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</si>
  <si>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</si>
  <si>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</si>
  <si>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</si>
  <si>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</si>
  <si>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</si>
  <si>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</si>
  <si>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</si>
  <si>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</si>
  <si>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</si>
  <si>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</si>
  <si>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</si>
  <si>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Rs.(2619.59)Lacs</t>
  </si>
  <si>
    <t>6) Annualised Portfolio YTM : 6.6%</t>
  </si>
  <si>
    <t>7) Macaulay Duration : 1677.99 Days</t>
  </si>
  <si>
    <t>8) Residual Maturity (Average Portfolio Maturity-other than equity investments) : 2670.21 Days</t>
  </si>
  <si>
    <t>9) IDCW stands for Income Distribution cum Capital Withdrawal</t>
  </si>
  <si>
    <t>10) Riskometer based on Scheme Portfolio and Portfolio Benchmark "NIFTY 50 Hybrid Composite Debt 15:85 Index" as on Jul 31, 2025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</si>
  <si>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</si>
  <si>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</si>
  <si>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</si>
  <si>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30, 2010.</t>
  </si>
  <si>
    <t>A.  Hedging Positions through Futures as on July 31,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</si>
  <si>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</si>
  <si>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</si>
  <si>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</si>
  <si>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</si>
  <si>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</si>
  <si>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</si>
  <si>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</si>
  <si>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Larsen &amp; Toubro Ltd.</t>
  </si>
  <si>
    <t>B.  Other than Hedging Positions through Futures as on July 31, 2025 - Nil</t>
  </si>
  <si>
    <t>C.  Hedging Positions through Options as on July 31, 2025 - Nil</t>
  </si>
  <si>
    <t>D.  Other than Hedging Positions through Options as on July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</si>
</sst>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3" fillId="0" borderId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2" applyFont="1" applyFill="1" applyBorder="1" applyAlignment="1"/>
    <xf numFmtId="0" fontId="14" fillId="0" borderId="0" xfId="2" applyFont="1" applyFill="1" applyBorder="1" applyAlignment="1">
      <alignment horizontal="right"/>
    </xf>
    <xf numFmtId="0" fontId="15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5" fillId="0" borderId="1" xfId="2" applyFont="1" applyFill="1" applyBorder="1" applyAlignment="1">
      <alignment horizontal="center" vertical="center" wrapText="1"/>
    </xf>
    <xf numFmtId="43" fontId="16" fillId="0" borderId="1" xfId="1" applyFont="1" applyBorder="1" applyAlignment="1">
      <alignment horizontal="center" vertical="center" wrapText="1"/>
    </xf>
    <xf numFmtId="0" fontId="14" fillId="0" borderId="1" xfId="2" applyFont="1" applyFill="1" applyBorder="1" applyAlignment="1"/>
    <xf numFmtId="43" fontId="14" fillId="0" borderId="1" xfId="1" applyFont="1" applyFill="1" applyBorder="1" applyAlignment="1">
      <alignment horizontal="right" vertical="center"/>
    </xf>
    <xf numFmtId="43" fontId="14" fillId="0" borderId="2" xfId="1" applyFont="1" applyFill="1" applyBorder="1" applyAlignment="1">
      <alignment horizontal="right" vertical="top"/>
    </xf>
    <xf numFmtId="43" fontId="14" fillId="0" borderId="1" xfId="1" applyFont="1" applyFill="1" applyBorder="1" applyAlignment="1"/>
    <xf numFmtId="0" fontId="14" fillId="0" borderId="3" xfId="2" applyFont="1" applyFill="1" applyBorder="1" applyAlignment="1"/>
    <xf numFmtId="0" fontId="14" fillId="0" borderId="2" xfId="2" applyFont="1" applyFill="1" applyBorder="1" applyAlignment="1"/>
    <xf numFmtId="43" fontId="15" fillId="0" borderId="1" xfId="1" applyFont="1" applyFill="1" applyBorder="1" applyAlignment="1"/>
    <xf numFmtId="43" fontId="14" fillId="0" borderId="0" xfId="1" applyFont="1" applyFill="1" applyBorder="1" applyAlignment="1"/>
    <xf numFmtId="0" fontId="14" fillId="0" borderId="4" xfId="2" applyFont="1" applyFill="1" applyBorder="1" applyAlignment="1">
      <alignment vertical="top"/>
    </xf>
  </cellXfs>
  <cellStyles count="3">
    <cellStyle name="Comma" xfId="1" builtinId="3"/>
    <cellStyle name="Normal" xfId="0" builtinId="0"/>
    <cellStyle name="Normal 2" xfId="2" xr:uid="{5A7CE5AC-D1E4-46E4-889D-AFF7F50A90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B8611-7611-4BAF-8AF1-FF35ED60CB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5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93665F-7846-4B3D-9D1F-F0146F832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098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July%202025/Monthly%20Portfolios/Monthly%20Portfolios%20for%20July%202025%20-%20Debt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July%202025/Fortnightly%2031.07.2025/Portfolios/Fortnightly%20Portfolios%20for%20%2031%20July%202025-Deb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DFLSP"/>
      <sheetName val="HDFCMO"/>
      <sheetName val="HDFCLONGDF"/>
      <sheetName val="HDFCIG"/>
      <sheetName val="HNGJUN36IF"/>
      <sheetName val="HNGDEC26IF"/>
      <sheetName val="HDFCSO"/>
      <sheetName val="HNGJUL31IF"/>
      <sheetName val="HNGSEP32IF"/>
      <sheetName val="HNGJUN27IF"/>
      <sheetName val="HDFCMS"/>
      <sheetName val="HDFCLT"/>
      <sheetName val="HIFSTP"/>
      <sheetName val="HDFCLI"/>
      <sheetName val="HDFCBNKPSU"/>
      <sheetName val="HDFCIN"/>
      <sheetName val="HNGAPR29IF"/>
      <sheetName val="HDFCHI"/>
      <sheetName val="HDFCCORPDO"/>
      <sheetName val="HDFCUSTF"/>
      <sheetName val="HNSOCT26IF"/>
      <sheetName val="HNSJUN27IF"/>
      <sheetName val="HDFCRSLFSF"/>
      <sheetName val="HDFCMC"/>
      <sheetName val="HDFCAALFOF"/>
      <sheetName val="HDFC1DLETF"/>
      <sheetName val="HDFCDPEFOF"/>
      <sheetName val="HDFCRETHDP"/>
      <sheetName val="DerivativeHDFCBNKPSU"/>
      <sheetName val="DerivativeHDFCCORPDO"/>
      <sheetName val="DerivativeHDFCHI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>
        <row r="2">
          <cell r="A2" t="str">
            <v>HDFC1DLETF</v>
          </cell>
          <cell r="B2" t="str">
            <v>HDFC NIFTY 1D RATE LIQUID ETF</v>
          </cell>
          <cell r="C2" t="str">
            <v>HDFC1DLETF</v>
          </cell>
        </row>
        <row r="3">
          <cell r="A3" t="str">
            <v>HDFCAALFOF</v>
          </cell>
          <cell r="C3" t="str">
            <v>HDFCAALFOF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BEC2-1139-4FAE-930E-39AA464A3172}">
  <sheetPr codeName="Sheet2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28700</v>
      </c>
      <c r="G9" s="14">
        <v>1043.68</v>
      </c>
      <c r="H9" s="14">
        <v>6.43</v>
      </c>
      <c r="I9" s="15" t="s">
        <v>20</v>
      </c>
      <c r="J9" s="15" t="s">
        <v>20</v>
      </c>
      <c r="K9" s="16">
        <v>5.67</v>
      </c>
      <c r="L9" s="17">
        <v>0.78</v>
      </c>
    </row>
    <row r="10" spans="1:12" x14ac:dyDescent="0.2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33800</v>
      </c>
      <c r="G10" s="14">
        <v>1026.44</v>
      </c>
      <c r="H10" s="14">
        <v>6.32</v>
      </c>
      <c r="I10" s="15" t="s">
        <v>20</v>
      </c>
      <c r="J10" s="15" t="s">
        <v>20</v>
      </c>
      <c r="K10" s="16">
        <v>5.79</v>
      </c>
      <c r="L10" s="17">
        <v>0.56000000000000005</v>
      </c>
    </row>
    <row r="11" spans="1:12" x14ac:dyDescent="0.2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924.48</v>
      </c>
      <c r="H11" s="14">
        <v>5.7</v>
      </c>
      <c r="I11" s="15" t="s">
        <v>20</v>
      </c>
      <c r="J11" s="15" t="s">
        <v>20</v>
      </c>
      <c r="K11" s="16">
        <v>4.68</v>
      </c>
      <c r="L11" s="17">
        <v>1.03</v>
      </c>
    </row>
    <row r="12" spans="1:12" x14ac:dyDescent="0.2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30000</v>
      </c>
      <c r="G12" s="14">
        <v>444.42</v>
      </c>
      <c r="H12" s="14">
        <v>2.74</v>
      </c>
      <c r="I12" s="15" t="s">
        <v>20</v>
      </c>
      <c r="J12" s="15" t="s">
        <v>20</v>
      </c>
      <c r="K12" s="16">
        <v>0</v>
      </c>
      <c r="L12" s="17">
        <v>2.74</v>
      </c>
    </row>
    <row r="13" spans="1:12" x14ac:dyDescent="0.2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21900</v>
      </c>
      <c r="G13" s="14">
        <v>441.99</v>
      </c>
      <c r="H13" s="14">
        <v>2.72</v>
      </c>
      <c r="I13" s="15" t="s">
        <v>20</v>
      </c>
      <c r="J13" s="15" t="s">
        <v>20</v>
      </c>
      <c r="K13" s="16">
        <v>0</v>
      </c>
      <c r="L13" s="17">
        <v>2.72</v>
      </c>
    </row>
    <row r="14" spans="1:12" x14ac:dyDescent="0.2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19500</v>
      </c>
      <c r="G14" s="14">
        <v>155.33000000000001</v>
      </c>
      <c r="H14" s="14">
        <v>0.96</v>
      </c>
      <c r="I14" s="15" t="s">
        <v>20</v>
      </c>
      <c r="J14" s="15" t="s">
        <v>20</v>
      </c>
      <c r="K14" s="16">
        <v>0</v>
      </c>
      <c r="L14" s="17">
        <v>0.96</v>
      </c>
    </row>
    <row r="15" spans="1:12" x14ac:dyDescent="0.25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38</v>
      </c>
      <c r="F15" s="13">
        <v>8000</v>
      </c>
      <c r="G15" s="14">
        <v>153.13999999999999</v>
      </c>
      <c r="H15" s="14">
        <v>0.94</v>
      </c>
      <c r="I15" s="15" t="s">
        <v>20</v>
      </c>
      <c r="J15" s="15" t="s">
        <v>20</v>
      </c>
      <c r="K15" s="16">
        <v>0</v>
      </c>
      <c r="L15" s="17">
        <v>0.94</v>
      </c>
    </row>
    <row r="16" spans="1:12" x14ac:dyDescent="0.25">
      <c r="A16" s="11" t="s">
        <v>20</v>
      </c>
      <c r="B16" s="12" t="s">
        <v>39</v>
      </c>
      <c r="C16" s="12" t="s">
        <v>20</v>
      </c>
      <c r="D16" s="12" t="s">
        <v>40</v>
      </c>
      <c r="E16" s="12" t="s">
        <v>31</v>
      </c>
      <c r="F16" s="13">
        <v>13000</v>
      </c>
      <c r="G16" s="14">
        <v>138.88999999999999</v>
      </c>
      <c r="H16" s="14">
        <v>0.86</v>
      </c>
      <c r="I16" s="15" t="s">
        <v>20</v>
      </c>
      <c r="J16" s="15" t="s">
        <v>20</v>
      </c>
      <c r="K16" s="16">
        <v>0</v>
      </c>
      <c r="L16" s="17">
        <v>0.86</v>
      </c>
    </row>
    <row r="17" spans="1:12" x14ac:dyDescent="0.25">
      <c r="A17" s="11" t="s">
        <v>20</v>
      </c>
      <c r="B17" s="12" t="s">
        <v>41</v>
      </c>
      <c r="C17" s="12" t="s">
        <v>20</v>
      </c>
      <c r="D17" s="12" t="s">
        <v>42</v>
      </c>
      <c r="E17" s="12" t="s">
        <v>25</v>
      </c>
      <c r="F17" s="13">
        <v>9000</v>
      </c>
      <c r="G17" s="14">
        <v>135.81</v>
      </c>
      <c r="H17" s="14">
        <v>0.84</v>
      </c>
      <c r="I17" s="15" t="s">
        <v>20</v>
      </c>
      <c r="J17" s="15" t="s">
        <v>20</v>
      </c>
      <c r="K17" s="16">
        <v>0</v>
      </c>
      <c r="L17" s="17">
        <v>0.84</v>
      </c>
    </row>
    <row r="18" spans="1:12" x14ac:dyDescent="0.25">
      <c r="A18" s="11" t="s">
        <v>20</v>
      </c>
      <c r="B18" s="12" t="s">
        <v>43</v>
      </c>
      <c r="C18" s="12" t="s">
        <v>20</v>
      </c>
      <c r="D18" s="12" t="s">
        <v>44</v>
      </c>
      <c r="E18" s="12" t="s">
        <v>45</v>
      </c>
      <c r="F18" s="13">
        <v>1000</v>
      </c>
      <c r="G18" s="14">
        <v>126.08</v>
      </c>
      <c r="H18" s="14">
        <v>0.78</v>
      </c>
      <c r="I18" s="15" t="s">
        <v>20</v>
      </c>
      <c r="J18" s="15" t="s">
        <v>20</v>
      </c>
      <c r="K18" s="16">
        <v>0</v>
      </c>
      <c r="L18" s="17">
        <v>0.78</v>
      </c>
    </row>
    <row r="19" spans="1:12" x14ac:dyDescent="0.2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30000</v>
      </c>
      <c r="G19" s="14">
        <v>123.59</v>
      </c>
      <c r="H19" s="14">
        <v>0.76</v>
      </c>
      <c r="I19" s="15" t="s">
        <v>20</v>
      </c>
      <c r="J19" s="15" t="s">
        <v>20</v>
      </c>
      <c r="K19" s="16">
        <v>0</v>
      </c>
      <c r="L19" s="17">
        <v>0.76</v>
      </c>
    </row>
    <row r="20" spans="1:12" x14ac:dyDescent="0.2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10000</v>
      </c>
      <c r="G20" s="14">
        <v>117.3</v>
      </c>
      <c r="H20" s="14">
        <v>0.72</v>
      </c>
      <c r="I20" s="15" t="s">
        <v>20</v>
      </c>
      <c r="J20" s="15" t="s">
        <v>20</v>
      </c>
      <c r="K20" s="16">
        <v>0</v>
      </c>
      <c r="L20" s="17">
        <v>0.72</v>
      </c>
    </row>
    <row r="21" spans="1:12" x14ac:dyDescent="0.25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6000</v>
      </c>
      <c r="G21" s="14">
        <v>115.62</v>
      </c>
      <c r="H21" s="14">
        <v>0.71</v>
      </c>
      <c r="I21" s="15" t="s">
        <v>20</v>
      </c>
      <c r="J21" s="15" t="s">
        <v>20</v>
      </c>
      <c r="K21" s="16">
        <v>0</v>
      </c>
      <c r="L21" s="17">
        <v>0.71</v>
      </c>
    </row>
    <row r="22" spans="1:12" x14ac:dyDescent="0.25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54</v>
      </c>
      <c r="F22" s="13">
        <v>5000</v>
      </c>
      <c r="G22" s="14">
        <v>92.04</v>
      </c>
      <c r="H22" s="14">
        <v>0.56999999999999995</v>
      </c>
      <c r="I22" s="15" t="s">
        <v>20</v>
      </c>
      <c r="J22" s="15" t="s">
        <v>20</v>
      </c>
      <c r="K22" s="16">
        <v>0</v>
      </c>
      <c r="L22" s="17">
        <v>0.56999999999999995</v>
      </c>
    </row>
    <row r="23" spans="1:12" x14ac:dyDescent="0.2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15000</v>
      </c>
      <c r="G23" s="14">
        <v>77.36</v>
      </c>
      <c r="H23" s="14">
        <v>0.48</v>
      </c>
      <c r="I23" s="15" t="s">
        <v>20</v>
      </c>
      <c r="J23" s="15" t="s">
        <v>20</v>
      </c>
      <c r="K23" s="16">
        <v>0</v>
      </c>
      <c r="L23" s="17">
        <v>0.48</v>
      </c>
    </row>
    <row r="24" spans="1:12" x14ac:dyDescent="0.25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62</v>
      </c>
      <c r="F24" s="13">
        <v>25000</v>
      </c>
      <c r="G24" s="14">
        <v>72.75</v>
      </c>
      <c r="H24" s="14">
        <v>0.45</v>
      </c>
      <c r="I24" s="15" t="s">
        <v>20</v>
      </c>
      <c r="J24" s="15" t="s">
        <v>20</v>
      </c>
      <c r="K24" s="16">
        <v>0</v>
      </c>
      <c r="L24" s="17">
        <v>0.45</v>
      </c>
    </row>
    <row r="25" spans="1:12" x14ac:dyDescent="0.25">
      <c r="A25" s="11" t="s">
        <v>20</v>
      </c>
      <c r="B25" s="12" t="s">
        <v>63</v>
      </c>
      <c r="C25" s="12" t="s">
        <v>20</v>
      </c>
      <c r="D25" s="12" t="s">
        <v>64</v>
      </c>
      <c r="E25" s="12" t="s">
        <v>65</v>
      </c>
      <c r="F25" s="13">
        <v>1100</v>
      </c>
      <c r="G25" s="14">
        <v>69.55</v>
      </c>
      <c r="H25" s="14">
        <v>0.43</v>
      </c>
      <c r="I25" s="15" t="s">
        <v>20</v>
      </c>
      <c r="J25" s="15" t="s">
        <v>20</v>
      </c>
      <c r="K25" s="16">
        <v>0</v>
      </c>
      <c r="L25" s="17">
        <v>0.43</v>
      </c>
    </row>
    <row r="26" spans="1:12" x14ac:dyDescent="0.25">
      <c r="A26" s="11" t="s">
        <v>20</v>
      </c>
      <c r="B26" s="12" t="s">
        <v>66</v>
      </c>
      <c r="C26" s="12" t="s">
        <v>20</v>
      </c>
      <c r="D26" s="12" t="s">
        <v>67</v>
      </c>
      <c r="E26" s="12" t="s">
        <v>31</v>
      </c>
      <c r="F26" s="13">
        <v>30000</v>
      </c>
      <c r="G26" s="14">
        <v>64.28</v>
      </c>
      <c r="H26" s="14">
        <v>0.4</v>
      </c>
      <c r="I26" s="15" t="s">
        <v>20</v>
      </c>
      <c r="J26" s="15" t="s">
        <v>20</v>
      </c>
      <c r="K26" s="16">
        <v>0</v>
      </c>
      <c r="L26" s="17">
        <v>0.4</v>
      </c>
    </row>
    <row r="27" spans="1:12" x14ac:dyDescent="0.25">
      <c r="A27" s="11" t="s">
        <v>20</v>
      </c>
      <c r="B27" s="12" t="s">
        <v>68</v>
      </c>
      <c r="C27" s="12" t="s">
        <v>20</v>
      </c>
      <c r="D27" s="12" t="s">
        <v>69</v>
      </c>
      <c r="E27" s="12" t="s">
        <v>70</v>
      </c>
      <c r="F27" s="13">
        <v>2000</v>
      </c>
      <c r="G27" s="14">
        <v>63.02</v>
      </c>
      <c r="H27" s="14">
        <v>0.39</v>
      </c>
      <c r="I27" s="15" t="s">
        <v>20</v>
      </c>
      <c r="J27" s="15" t="s">
        <v>20</v>
      </c>
      <c r="K27" s="16">
        <v>0</v>
      </c>
      <c r="L27" s="17">
        <v>0.39</v>
      </c>
    </row>
    <row r="28" spans="1:12" x14ac:dyDescent="0.25">
      <c r="A28" s="11" t="s">
        <v>20</v>
      </c>
      <c r="B28" s="12" t="s">
        <v>71</v>
      </c>
      <c r="C28" s="12" t="s">
        <v>20</v>
      </c>
      <c r="D28" s="12" t="s">
        <v>72</v>
      </c>
      <c r="E28" s="12" t="s">
        <v>73</v>
      </c>
      <c r="F28" s="13">
        <v>20000</v>
      </c>
      <c r="G28" s="14">
        <v>63.05</v>
      </c>
      <c r="H28" s="14">
        <v>0.39</v>
      </c>
      <c r="I28" s="15" t="s">
        <v>20</v>
      </c>
      <c r="J28" s="15" t="s">
        <v>20</v>
      </c>
      <c r="K28" s="16">
        <v>0</v>
      </c>
      <c r="L28" s="17">
        <v>0.39</v>
      </c>
    </row>
    <row r="29" spans="1:12" x14ac:dyDescent="0.25">
      <c r="A29" s="11" t="s">
        <v>20</v>
      </c>
      <c r="B29" s="12" t="s">
        <v>74</v>
      </c>
      <c r="C29" s="12" t="s">
        <v>20</v>
      </c>
      <c r="D29" s="12" t="s">
        <v>75</v>
      </c>
      <c r="E29" s="12" t="s">
        <v>76</v>
      </c>
      <c r="F29" s="13">
        <v>1500</v>
      </c>
      <c r="G29" s="14">
        <v>58.49</v>
      </c>
      <c r="H29" s="14">
        <v>0.36</v>
      </c>
      <c r="I29" s="15" t="s">
        <v>20</v>
      </c>
      <c r="J29" s="15" t="s">
        <v>20</v>
      </c>
      <c r="K29" s="16">
        <v>0</v>
      </c>
      <c r="L29" s="17">
        <v>0.36</v>
      </c>
    </row>
    <row r="30" spans="1:12" x14ac:dyDescent="0.25">
      <c r="A30" s="11" t="s">
        <v>20</v>
      </c>
      <c r="B30" s="12" t="s">
        <v>77</v>
      </c>
      <c r="C30" s="12" t="s">
        <v>20</v>
      </c>
      <c r="D30" s="12" t="s">
        <v>78</v>
      </c>
      <c r="E30" s="12" t="s">
        <v>22</v>
      </c>
      <c r="F30" s="13">
        <v>5015</v>
      </c>
      <c r="G30" s="14">
        <v>57.54</v>
      </c>
      <c r="H30" s="14">
        <v>0.35</v>
      </c>
      <c r="I30" s="15" t="s">
        <v>20</v>
      </c>
      <c r="J30" s="15" t="s">
        <v>20</v>
      </c>
      <c r="K30" s="16">
        <v>0</v>
      </c>
      <c r="L30" s="17">
        <v>0.35</v>
      </c>
    </row>
    <row r="31" spans="1:12" x14ac:dyDescent="0.25">
      <c r="A31" s="11" t="s">
        <v>20</v>
      </c>
      <c r="B31" s="12" t="s">
        <v>79</v>
      </c>
      <c r="C31" s="12" t="s">
        <v>20</v>
      </c>
      <c r="D31" s="12" t="s">
        <v>80</v>
      </c>
      <c r="E31" s="12" t="s">
        <v>81</v>
      </c>
      <c r="F31" s="13">
        <v>4921</v>
      </c>
      <c r="G31" s="14">
        <v>54.86</v>
      </c>
      <c r="H31" s="14">
        <v>0.34</v>
      </c>
      <c r="I31" s="15" t="s">
        <v>20</v>
      </c>
      <c r="J31" s="15" t="s">
        <v>20</v>
      </c>
      <c r="K31" s="16">
        <v>0</v>
      </c>
      <c r="L31" s="17">
        <v>0.34</v>
      </c>
    </row>
    <row r="32" spans="1:12" x14ac:dyDescent="0.25">
      <c r="A32" s="11" t="s">
        <v>20</v>
      </c>
      <c r="B32" s="12" t="s">
        <v>82</v>
      </c>
      <c r="C32" s="12" t="s">
        <v>20</v>
      </c>
      <c r="D32" s="12" t="s">
        <v>83</v>
      </c>
      <c r="E32" s="12" t="s">
        <v>84</v>
      </c>
      <c r="F32" s="13">
        <v>5000</v>
      </c>
      <c r="G32" s="14">
        <v>48.9</v>
      </c>
      <c r="H32" s="14">
        <v>0.3</v>
      </c>
      <c r="I32" s="15" t="s">
        <v>20</v>
      </c>
      <c r="J32" s="15" t="s">
        <v>20</v>
      </c>
      <c r="K32" s="16">
        <v>0</v>
      </c>
      <c r="L32" s="17">
        <v>0.3</v>
      </c>
    </row>
    <row r="33" spans="1:12" x14ac:dyDescent="0.25">
      <c r="A33" s="11" t="s">
        <v>20</v>
      </c>
      <c r="B33" s="12" t="s">
        <v>85</v>
      </c>
      <c r="C33" s="12" t="s">
        <v>20</v>
      </c>
      <c r="D33" s="12" t="s">
        <v>86</v>
      </c>
      <c r="E33" s="12" t="s">
        <v>87</v>
      </c>
      <c r="F33" s="13">
        <v>30000</v>
      </c>
      <c r="G33" s="14">
        <v>47.47</v>
      </c>
      <c r="H33" s="14">
        <v>0.28999999999999998</v>
      </c>
      <c r="I33" s="15" t="s">
        <v>20</v>
      </c>
      <c r="J33" s="15" t="s">
        <v>20</v>
      </c>
      <c r="K33" s="16">
        <v>0</v>
      </c>
      <c r="L33" s="17">
        <v>0.28999999999999998</v>
      </c>
    </row>
    <row r="34" spans="1:12" x14ac:dyDescent="0.25">
      <c r="A34" s="11" t="s">
        <v>20</v>
      </c>
      <c r="B34" s="12" t="s">
        <v>88</v>
      </c>
      <c r="C34" s="12" t="s">
        <v>20</v>
      </c>
      <c r="D34" s="12" t="s">
        <v>89</v>
      </c>
      <c r="E34" s="12" t="s">
        <v>59</v>
      </c>
      <c r="F34" s="13">
        <v>5000</v>
      </c>
      <c r="G34" s="14">
        <v>44.17</v>
      </c>
      <c r="H34" s="14">
        <v>0.27</v>
      </c>
      <c r="I34" s="15" t="s">
        <v>20</v>
      </c>
      <c r="J34" s="15" t="s">
        <v>20</v>
      </c>
      <c r="K34" s="16">
        <v>0</v>
      </c>
      <c r="L34" s="17">
        <v>0.27</v>
      </c>
    </row>
    <row r="35" spans="1:12" x14ac:dyDescent="0.25">
      <c r="A35" s="11" t="s">
        <v>20</v>
      </c>
      <c r="B35" s="12" t="s">
        <v>90</v>
      </c>
      <c r="C35" s="12" t="s">
        <v>20</v>
      </c>
      <c r="D35" s="12" t="s">
        <v>91</v>
      </c>
      <c r="E35" s="12" t="s">
        <v>51</v>
      </c>
      <c r="F35" s="13">
        <v>60000</v>
      </c>
      <c r="G35" s="14">
        <v>42.5</v>
      </c>
      <c r="H35" s="14">
        <v>0.26</v>
      </c>
      <c r="I35" s="15" t="s">
        <v>20</v>
      </c>
      <c r="J35" s="15" t="s">
        <v>20</v>
      </c>
      <c r="K35" s="16">
        <v>0</v>
      </c>
      <c r="L35" s="17">
        <v>0.26</v>
      </c>
    </row>
    <row r="36" spans="1:12" x14ac:dyDescent="0.25">
      <c r="A36" s="11" t="s">
        <v>20</v>
      </c>
      <c r="B36" s="12" t="s">
        <v>92</v>
      </c>
      <c r="C36" s="12" t="s">
        <v>20</v>
      </c>
      <c r="D36" s="12" t="s">
        <v>93</v>
      </c>
      <c r="E36" s="12" t="s">
        <v>28</v>
      </c>
      <c r="F36" s="13">
        <v>10000</v>
      </c>
      <c r="G36" s="14">
        <v>41.85</v>
      </c>
      <c r="H36" s="14">
        <v>0.26</v>
      </c>
      <c r="I36" s="15" t="s">
        <v>20</v>
      </c>
      <c r="J36" s="15" t="s">
        <v>20</v>
      </c>
      <c r="K36" s="16">
        <v>0</v>
      </c>
      <c r="L36" s="17">
        <v>0.26</v>
      </c>
    </row>
    <row r="37" spans="1:12" x14ac:dyDescent="0.25">
      <c r="A37" s="11" t="s">
        <v>20</v>
      </c>
      <c r="B37" s="12" t="s">
        <v>94</v>
      </c>
      <c r="C37" s="12" t="s">
        <v>20</v>
      </c>
      <c r="D37" s="12" t="s">
        <v>95</v>
      </c>
      <c r="E37" s="12" t="s">
        <v>76</v>
      </c>
      <c r="F37" s="13">
        <v>4000</v>
      </c>
      <c r="G37" s="14">
        <v>39.24</v>
      </c>
      <c r="H37" s="14">
        <v>0.24</v>
      </c>
      <c r="I37" s="15" t="s">
        <v>20</v>
      </c>
      <c r="J37" s="15" t="s">
        <v>20</v>
      </c>
      <c r="K37" s="16">
        <v>0</v>
      </c>
      <c r="L37" s="17">
        <v>0.24</v>
      </c>
    </row>
    <row r="38" spans="1:12" x14ac:dyDescent="0.25">
      <c r="A38" s="11" t="s">
        <v>20</v>
      </c>
      <c r="B38" s="12" t="s">
        <v>96</v>
      </c>
      <c r="C38" s="12" t="s">
        <v>20</v>
      </c>
      <c r="D38" s="12" t="s">
        <v>97</v>
      </c>
      <c r="E38" s="12" t="s">
        <v>98</v>
      </c>
      <c r="F38" s="13">
        <v>8500</v>
      </c>
      <c r="G38" s="14">
        <v>37.14</v>
      </c>
      <c r="H38" s="14">
        <v>0.23</v>
      </c>
      <c r="I38" s="15" t="s">
        <v>20</v>
      </c>
      <c r="J38" s="15" t="s">
        <v>20</v>
      </c>
      <c r="K38" s="16">
        <v>0</v>
      </c>
      <c r="L38" s="17">
        <v>0.23</v>
      </c>
    </row>
    <row r="39" spans="1:12" x14ac:dyDescent="0.25">
      <c r="A39" s="11" t="s">
        <v>20</v>
      </c>
      <c r="B39" s="12" t="s">
        <v>99</v>
      </c>
      <c r="C39" s="12" t="s">
        <v>20</v>
      </c>
      <c r="D39" s="12" t="s">
        <v>100</v>
      </c>
      <c r="E39" s="12" t="s">
        <v>101</v>
      </c>
      <c r="F39" s="13">
        <v>400</v>
      </c>
      <c r="G39" s="14">
        <v>35.340000000000003</v>
      </c>
      <c r="H39" s="14">
        <v>0.22</v>
      </c>
      <c r="I39" s="15" t="s">
        <v>20</v>
      </c>
      <c r="J39" s="15" t="s">
        <v>20</v>
      </c>
      <c r="K39" s="16">
        <v>0</v>
      </c>
      <c r="L39" s="17">
        <v>0.22</v>
      </c>
    </row>
    <row r="40" spans="1:12" x14ac:dyDescent="0.25">
      <c r="A40" s="11" t="s">
        <v>20</v>
      </c>
      <c r="B40" s="12" t="s">
        <v>102</v>
      </c>
      <c r="C40" s="12" t="s">
        <v>20</v>
      </c>
      <c r="D40" s="12" t="s">
        <v>103</v>
      </c>
      <c r="E40" s="12" t="s">
        <v>104</v>
      </c>
      <c r="F40" s="13">
        <v>1300</v>
      </c>
      <c r="G40" s="14">
        <v>34.39</v>
      </c>
      <c r="H40" s="14">
        <v>0.21</v>
      </c>
      <c r="I40" s="15" t="s">
        <v>20</v>
      </c>
      <c r="J40" s="15" t="s">
        <v>20</v>
      </c>
      <c r="K40" s="16">
        <v>0</v>
      </c>
      <c r="L40" s="17">
        <v>0.21</v>
      </c>
    </row>
    <row r="41" spans="1:12" x14ac:dyDescent="0.25">
      <c r="A41" s="11" t="s">
        <v>20</v>
      </c>
      <c r="B41" s="12" t="s">
        <v>105</v>
      </c>
      <c r="C41" s="12" t="s">
        <v>20</v>
      </c>
      <c r="D41" s="12" t="s">
        <v>106</v>
      </c>
      <c r="E41" s="12" t="s">
        <v>107</v>
      </c>
      <c r="F41" s="13">
        <v>2000</v>
      </c>
      <c r="G41" s="14">
        <v>26.8</v>
      </c>
      <c r="H41" s="14">
        <v>0.17</v>
      </c>
      <c r="I41" s="15" t="s">
        <v>20</v>
      </c>
      <c r="J41" s="15" t="s">
        <v>20</v>
      </c>
      <c r="K41" s="16">
        <v>0</v>
      </c>
      <c r="L41" s="17">
        <v>0.17</v>
      </c>
    </row>
    <row r="42" spans="1:12" x14ac:dyDescent="0.25">
      <c r="A42" s="11" t="s">
        <v>20</v>
      </c>
      <c r="B42" s="12" t="s">
        <v>108</v>
      </c>
      <c r="C42" s="12" t="s">
        <v>20</v>
      </c>
      <c r="D42" s="12" t="s">
        <v>109</v>
      </c>
      <c r="E42" s="12" t="s">
        <v>110</v>
      </c>
      <c r="F42" s="13">
        <v>2000</v>
      </c>
      <c r="G42" s="14">
        <v>20</v>
      </c>
      <c r="H42" s="14">
        <v>0.12</v>
      </c>
      <c r="I42" s="15" t="s">
        <v>20</v>
      </c>
      <c r="J42" s="15" t="s">
        <v>20</v>
      </c>
      <c r="K42" s="16">
        <v>0</v>
      </c>
      <c r="L42" s="17">
        <v>0.12</v>
      </c>
    </row>
    <row r="43" spans="1:12" x14ac:dyDescent="0.25">
      <c r="A43" s="11" t="s">
        <v>20</v>
      </c>
      <c r="B43" s="12" t="s">
        <v>111</v>
      </c>
      <c r="C43" s="12" t="s">
        <v>20</v>
      </c>
      <c r="D43" s="12" t="s">
        <v>112</v>
      </c>
      <c r="E43" s="12" t="s">
        <v>45</v>
      </c>
      <c r="F43" s="13">
        <v>10050</v>
      </c>
      <c r="G43" s="14">
        <v>12.29</v>
      </c>
      <c r="H43" s="14">
        <v>0.08</v>
      </c>
      <c r="I43" s="15" t="s">
        <v>20</v>
      </c>
      <c r="J43" s="15" t="s">
        <v>20</v>
      </c>
      <c r="K43" s="16">
        <v>0</v>
      </c>
      <c r="L43" s="17">
        <v>0.08</v>
      </c>
    </row>
    <row r="44" spans="1:12" x14ac:dyDescent="0.25">
      <c r="A44" s="18"/>
      <c r="B44" s="10" t="s">
        <v>113</v>
      </c>
      <c r="C44" s="18"/>
      <c r="D44" s="18"/>
      <c r="E44" s="18"/>
      <c r="F44" s="18"/>
      <c r="G44" s="19">
        <v>6049.800000000002</v>
      </c>
      <c r="H44" s="19">
        <v>37.29</v>
      </c>
      <c r="I44" s="18"/>
      <c r="J44" s="18"/>
      <c r="K44" s="18"/>
      <c r="L44" s="18"/>
    </row>
    <row r="45" spans="1:12" x14ac:dyDescent="0.25">
      <c r="A45" s="9"/>
      <c r="B45" s="10" t="s">
        <v>114</v>
      </c>
      <c r="C45" s="9"/>
      <c r="D45" s="9"/>
      <c r="E45" s="9"/>
      <c r="F45" s="9"/>
      <c r="G45" s="20">
        <v>6049.800000000002</v>
      </c>
      <c r="H45" s="20">
        <v>37.29</v>
      </c>
      <c r="I45" s="9"/>
      <c r="J45" s="9"/>
      <c r="K45" s="9"/>
      <c r="L45" s="9"/>
    </row>
    <row r="46" spans="1:12" x14ac:dyDescent="0.25">
      <c r="A46" s="9"/>
      <c r="B46" s="10" t="s">
        <v>115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16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116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18</v>
      </c>
      <c r="B49" s="12" t="s">
        <v>117</v>
      </c>
      <c r="C49" s="12">
        <v>6.67</v>
      </c>
      <c r="D49" s="12" t="s">
        <v>118</v>
      </c>
      <c r="E49" s="12" t="s">
        <v>119</v>
      </c>
      <c r="F49" s="13">
        <v>1500000</v>
      </c>
      <c r="G49" s="14">
        <v>1445.91</v>
      </c>
      <c r="H49" s="14">
        <v>8.91</v>
      </c>
      <c r="I49" s="15">
        <v>7.0957999999999997</v>
      </c>
      <c r="J49" s="15" t="s">
        <v>20</v>
      </c>
      <c r="K49" s="16" t="s">
        <v>20</v>
      </c>
      <c r="L49" s="17" t="s">
        <v>20</v>
      </c>
    </row>
    <row r="50" spans="1:12" x14ac:dyDescent="0.25">
      <c r="A50" s="11" t="s">
        <v>18</v>
      </c>
      <c r="B50" s="12" t="s">
        <v>120</v>
      </c>
      <c r="C50" s="12">
        <v>6.19</v>
      </c>
      <c r="D50" s="12" t="s">
        <v>121</v>
      </c>
      <c r="E50" s="12" t="s">
        <v>119</v>
      </c>
      <c r="F50" s="13">
        <v>1000000</v>
      </c>
      <c r="G50" s="14">
        <v>983</v>
      </c>
      <c r="H50" s="14">
        <v>6.06</v>
      </c>
      <c r="I50" s="15">
        <v>6.5415000000000001</v>
      </c>
      <c r="J50" s="15" t="s">
        <v>20</v>
      </c>
      <c r="K50" s="16" t="s">
        <v>20</v>
      </c>
      <c r="L50" s="17" t="s">
        <v>20</v>
      </c>
    </row>
    <row r="51" spans="1:12" x14ac:dyDescent="0.25">
      <c r="A51" s="11" t="s">
        <v>18</v>
      </c>
      <c r="B51" s="12" t="s">
        <v>122</v>
      </c>
      <c r="C51" s="12">
        <v>7.57</v>
      </c>
      <c r="D51" s="12" t="s">
        <v>123</v>
      </c>
      <c r="E51" s="12" t="s">
        <v>119</v>
      </c>
      <c r="F51" s="13">
        <v>750000</v>
      </c>
      <c r="G51" s="14">
        <v>802.13</v>
      </c>
      <c r="H51" s="14">
        <v>4.9400000000000004</v>
      </c>
      <c r="I51" s="15">
        <v>6.5332999999999997</v>
      </c>
      <c r="J51" s="15" t="s">
        <v>20</v>
      </c>
      <c r="K51" s="16" t="s">
        <v>20</v>
      </c>
      <c r="L51" s="17" t="s">
        <v>20</v>
      </c>
    </row>
    <row r="52" spans="1:12" x14ac:dyDescent="0.25">
      <c r="A52" s="11" t="s">
        <v>18</v>
      </c>
      <c r="B52" s="12" t="s">
        <v>124</v>
      </c>
      <c r="C52" s="12">
        <v>8.9700000000000006</v>
      </c>
      <c r="D52" s="12" t="s">
        <v>125</v>
      </c>
      <c r="E52" s="12" t="s">
        <v>119</v>
      </c>
      <c r="F52" s="13">
        <v>550000</v>
      </c>
      <c r="G52" s="14">
        <v>618.55999999999995</v>
      </c>
      <c r="H52" s="14">
        <v>3.81</v>
      </c>
      <c r="I52" s="15">
        <v>6.2876000000000003</v>
      </c>
      <c r="J52" s="15" t="s">
        <v>20</v>
      </c>
      <c r="K52" s="16" t="s">
        <v>20</v>
      </c>
      <c r="L52" s="17" t="s">
        <v>20</v>
      </c>
    </row>
    <row r="53" spans="1:12" x14ac:dyDescent="0.25">
      <c r="A53" s="11" t="s">
        <v>18</v>
      </c>
      <c r="B53" s="12" t="s">
        <v>126</v>
      </c>
      <c r="C53" s="12">
        <v>7.5</v>
      </c>
      <c r="D53" s="12" t="s">
        <v>127</v>
      </c>
      <c r="E53" s="12" t="s">
        <v>119</v>
      </c>
      <c r="F53" s="13">
        <v>500000</v>
      </c>
      <c r="G53" s="14">
        <v>534.95000000000005</v>
      </c>
      <c r="H53" s="14">
        <v>3.3</v>
      </c>
      <c r="I53" s="15">
        <v>6.5694999999999997</v>
      </c>
      <c r="J53" s="15" t="s">
        <v>20</v>
      </c>
      <c r="K53" s="16" t="s">
        <v>20</v>
      </c>
      <c r="L53" s="17" t="s">
        <v>20</v>
      </c>
    </row>
    <row r="54" spans="1:12" x14ac:dyDescent="0.25">
      <c r="A54" s="11" t="s">
        <v>20</v>
      </c>
      <c r="B54" s="12" t="s">
        <v>128</v>
      </c>
      <c r="C54" s="12">
        <v>7.54</v>
      </c>
      <c r="D54" s="12" t="s">
        <v>129</v>
      </c>
      <c r="E54" s="12" t="s">
        <v>119</v>
      </c>
      <c r="F54" s="13">
        <v>15000</v>
      </c>
      <c r="G54" s="14">
        <v>16.100000000000001</v>
      </c>
      <c r="H54" s="14">
        <v>0.1</v>
      </c>
      <c r="I54" s="15">
        <v>6.6882000000000001</v>
      </c>
      <c r="J54" s="15" t="s">
        <v>20</v>
      </c>
      <c r="K54" s="16" t="s">
        <v>20</v>
      </c>
      <c r="L54" s="17" t="s">
        <v>20</v>
      </c>
    </row>
    <row r="55" spans="1:12" x14ac:dyDescent="0.25">
      <c r="A55" s="9"/>
      <c r="B55" s="10" t="s">
        <v>130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18</v>
      </c>
      <c r="B56" s="12" t="s">
        <v>131</v>
      </c>
      <c r="C56" s="12">
        <v>8.35</v>
      </c>
      <c r="D56" s="12" t="s">
        <v>132</v>
      </c>
      <c r="E56" s="12" t="s">
        <v>133</v>
      </c>
      <c r="F56" s="13">
        <v>100</v>
      </c>
      <c r="G56" s="14">
        <v>1031.6099999999999</v>
      </c>
      <c r="H56" s="14">
        <v>6.36</v>
      </c>
      <c r="I56" s="15">
        <v>7.75</v>
      </c>
      <c r="J56" s="15" t="s">
        <v>20</v>
      </c>
      <c r="K56" s="16" t="s">
        <v>20</v>
      </c>
      <c r="L56" s="17" t="s">
        <v>20</v>
      </c>
    </row>
    <row r="57" spans="1:12" x14ac:dyDescent="0.25">
      <c r="A57" s="11" t="s">
        <v>18</v>
      </c>
      <c r="B57" s="12" t="s">
        <v>134</v>
      </c>
      <c r="C57" s="12">
        <v>7.7504999999999997</v>
      </c>
      <c r="D57" s="12" t="s">
        <v>135</v>
      </c>
      <c r="E57" s="12" t="s">
        <v>136</v>
      </c>
      <c r="F57" s="13">
        <v>100</v>
      </c>
      <c r="G57" s="14">
        <v>999.72</v>
      </c>
      <c r="H57" s="14">
        <v>6.16</v>
      </c>
      <c r="I57" s="15">
        <v>7.4950000000000001</v>
      </c>
      <c r="J57" s="15" t="s">
        <v>20</v>
      </c>
      <c r="K57" s="16" t="s">
        <v>20</v>
      </c>
      <c r="L57" s="17" t="s">
        <v>20</v>
      </c>
    </row>
    <row r="58" spans="1:12" x14ac:dyDescent="0.25">
      <c r="A58" s="11" t="s">
        <v>20</v>
      </c>
      <c r="B58" s="12" t="s">
        <v>137</v>
      </c>
      <c r="C58" s="12">
        <v>8.4</v>
      </c>
      <c r="D58" s="12" t="s">
        <v>138</v>
      </c>
      <c r="E58" s="12" t="s">
        <v>139</v>
      </c>
      <c r="F58" s="13">
        <v>50</v>
      </c>
      <c r="G58" s="14">
        <v>526.1</v>
      </c>
      <c r="H58" s="14">
        <v>3.24</v>
      </c>
      <c r="I58" s="15">
        <v>6.65</v>
      </c>
      <c r="J58" s="15" t="s">
        <v>20</v>
      </c>
      <c r="K58" s="16" t="s">
        <v>20</v>
      </c>
      <c r="L58" s="17" t="s">
        <v>20</v>
      </c>
    </row>
    <row r="59" spans="1:12" x14ac:dyDescent="0.25">
      <c r="A59" s="11" t="s">
        <v>20</v>
      </c>
      <c r="B59" s="12" t="s">
        <v>140</v>
      </c>
      <c r="C59" s="12">
        <v>6.83</v>
      </c>
      <c r="D59" s="12" t="s">
        <v>141</v>
      </c>
      <c r="E59" s="12" t="s">
        <v>139</v>
      </c>
      <c r="F59" s="13">
        <v>50</v>
      </c>
      <c r="G59" s="14">
        <v>494.24</v>
      </c>
      <c r="H59" s="14">
        <v>3.04</v>
      </c>
      <c r="I59" s="15">
        <v>7.08</v>
      </c>
      <c r="J59" s="15" t="s">
        <v>20</v>
      </c>
      <c r="K59" s="16" t="s">
        <v>20</v>
      </c>
      <c r="L59" s="17" t="s">
        <v>20</v>
      </c>
    </row>
    <row r="60" spans="1:12" x14ac:dyDescent="0.25">
      <c r="A60" s="11" t="s">
        <v>20</v>
      </c>
      <c r="B60" s="12" t="s">
        <v>142</v>
      </c>
      <c r="C60" s="12">
        <v>9.1</v>
      </c>
      <c r="D60" s="12" t="s">
        <v>143</v>
      </c>
      <c r="E60" s="12" t="s">
        <v>139</v>
      </c>
      <c r="F60" s="13">
        <v>10</v>
      </c>
      <c r="G60" s="14">
        <v>107.02</v>
      </c>
      <c r="H60" s="14">
        <v>0.66</v>
      </c>
      <c r="I60" s="15">
        <v>6.835</v>
      </c>
      <c r="J60" s="15" t="s">
        <v>20</v>
      </c>
      <c r="K60" s="16" t="s">
        <v>20</v>
      </c>
      <c r="L60" s="17" t="s">
        <v>20</v>
      </c>
    </row>
    <row r="61" spans="1:12" x14ac:dyDescent="0.25">
      <c r="A61" s="18"/>
      <c r="B61" s="10" t="s">
        <v>113</v>
      </c>
      <c r="C61" s="18"/>
      <c r="D61" s="18"/>
      <c r="E61" s="18"/>
      <c r="F61" s="18"/>
      <c r="G61" s="19">
        <v>7559.3400000000011</v>
      </c>
      <c r="H61" s="19">
        <v>46.58</v>
      </c>
      <c r="I61" s="18"/>
      <c r="J61" s="18"/>
      <c r="K61" s="18"/>
      <c r="L61" s="18"/>
    </row>
    <row r="62" spans="1:12" x14ac:dyDescent="0.25">
      <c r="A62" s="9"/>
      <c r="B62" s="10" t="s">
        <v>114</v>
      </c>
      <c r="C62" s="9"/>
      <c r="D62" s="9"/>
      <c r="E62" s="9"/>
      <c r="F62" s="9"/>
      <c r="G62" s="20">
        <v>7559.3400000000011</v>
      </c>
      <c r="H62" s="20">
        <v>46.58</v>
      </c>
      <c r="I62" s="9"/>
      <c r="J62" s="9"/>
      <c r="K62" s="9"/>
      <c r="L62" s="9"/>
    </row>
    <row r="63" spans="1:12" x14ac:dyDescent="0.25">
      <c r="A63" s="9"/>
      <c r="B63" s="10" t="s">
        <v>144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20</v>
      </c>
      <c r="B65" s="12" t="s">
        <v>20</v>
      </c>
      <c r="C65" s="12" t="s">
        <v>20</v>
      </c>
      <c r="D65" s="12" t="s">
        <v>145</v>
      </c>
      <c r="E65" s="12" t="s">
        <v>20</v>
      </c>
      <c r="F65" s="13" t="s">
        <v>20</v>
      </c>
      <c r="G65" s="14">
        <v>2045.69</v>
      </c>
      <c r="H65" s="14">
        <v>12.6</v>
      </c>
      <c r="I65" s="15">
        <v>5.3914</v>
      </c>
      <c r="J65" s="15" t="s">
        <v>20</v>
      </c>
      <c r="K65" s="16" t="s">
        <v>20</v>
      </c>
      <c r="L65" s="17" t="s">
        <v>20</v>
      </c>
    </row>
    <row r="66" spans="1:12" x14ac:dyDescent="0.25">
      <c r="A66" s="18"/>
      <c r="B66" s="10" t="s">
        <v>113</v>
      </c>
      <c r="C66" s="18"/>
      <c r="D66" s="18"/>
      <c r="E66" s="18"/>
      <c r="F66" s="18"/>
      <c r="G66" s="19">
        <v>2045.69</v>
      </c>
      <c r="H66" s="19">
        <v>12.6</v>
      </c>
      <c r="I66" s="18"/>
      <c r="J66" s="18"/>
      <c r="K66" s="18"/>
      <c r="L66" s="18"/>
    </row>
    <row r="67" spans="1:12" x14ac:dyDescent="0.25">
      <c r="A67" s="9"/>
      <c r="B67" s="10" t="s">
        <v>114</v>
      </c>
      <c r="C67" s="9"/>
      <c r="D67" s="9"/>
      <c r="E67" s="9"/>
      <c r="F67" s="9"/>
      <c r="G67" s="20">
        <v>2045.69</v>
      </c>
      <c r="H67" s="20">
        <v>12.6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20</v>
      </c>
      <c r="B70" s="12" t="s">
        <v>20</v>
      </c>
      <c r="C70" s="12" t="s">
        <v>20</v>
      </c>
      <c r="D70" s="12" t="s">
        <v>147</v>
      </c>
      <c r="E70" s="12" t="s">
        <v>20</v>
      </c>
      <c r="F70" s="13" t="s">
        <v>20</v>
      </c>
      <c r="G70" s="14">
        <v>578.09</v>
      </c>
      <c r="H70" s="14">
        <v>3.53</v>
      </c>
      <c r="I70" s="15" t="s">
        <v>20</v>
      </c>
      <c r="J70" s="15" t="s">
        <v>20</v>
      </c>
      <c r="K70" s="16" t="s">
        <v>20</v>
      </c>
      <c r="L70" s="17" t="s">
        <v>20</v>
      </c>
    </row>
    <row r="71" spans="1:12" x14ac:dyDescent="0.25">
      <c r="A71" s="18"/>
      <c r="B71" s="10" t="s">
        <v>113</v>
      </c>
      <c r="C71" s="18"/>
      <c r="D71" s="18"/>
      <c r="E71" s="18"/>
      <c r="F71" s="18"/>
      <c r="G71" s="19">
        <v>578.09</v>
      </c>
      <c r="H71" s="19">
        <v>3.53</v>
      </c>
      <c r="I71" s="18"/>
      <c r="J71" s="18"/>
      <c r="K71" s="18"/>
      <c r="L71" s="18"/>
    </row>
    <row r="72" spans="1:12" x14ac:dyDescent="0.25">
      <c r="A72" s="9"/>
      <c r="B72" s="10" t="s">
        <v>114</v>
      </c>
      <c r="C72" s="9"/>
      <c r="D72" s="9"/>
      <c r="E72" s="9"/>
      <c r="F72" s="9"/>
      <c r="G72" s="20">
        <v>578.09</v>
      </c>
      <c r="H72" s="20">
        <v>3.53</v>
      </c>
      <c r="I72" s="9"/>
      <c r="J72" s="9"/>
      <c r="K72" s="9"/>
      <c r="L72" s="9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148</v>
      </c>
      <c r="C74" s="6"/>
      <c r="D74" s="6"/>
      <c r="E74" s="6"/>
      <c r="F74" s="6"/>
      <c r="G74" s="22">
        <v>16232.920000000004</v>
      </c>
      <c r="H74" s="22">
        <v>99.999999999999986</v>
      </c>
      <c r="I74" s="6"/>
      <c r="J74" s="6"/>
      <c r="K74" s="6"/>
      <c r="L74" s="6"/>
    </row>
    <row r="75" spans="1:12" x14ac:dyDescent="0.25">
      <c r="A75" s="11" t="s">
        <v>18</v>
      </c>
      <c r="B75" s="23" t="s">
        <v>149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4" t="s">
        <v>150</v>
      </c>
      <c r="C76" s="24" t="s">
        <v>150</v>
      </c>
      <c r="D76" s="24" t="s">
        <v>150</v>
      </c>
      <c r="E76" s="24" t="s">
        <v>150</v>
      </c>
      <c r="F76" s="24" t="s">
        <v>150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4" t="s">
        <v>151</v>
      </c>
      <c r="C77" s="24" t="s">
        <v>151</v>
      </c>
      <c r="D77" s="24" t="s">
        <v>151</v>
      </c>
      <c r="E77" s="24" t="s">
        <v>151</v>
      </c>
      <c r="F77" s="24" t="s">
        <v>151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4" t="s">
        <v>152</v>
      </c>
      <c r="C78" s="24" t="s">
        <v>152</v>
      </c>
      <c r="D78" s="24" t="s">
        <v>152</v>
      </c>
      <c r="E78" s="24" t="s">
        <v>152</v>
      </c>
      <c r="F78" s="24" t="s">
        <v>152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4" t="s">
        <v>153</v>
      </c>
      <c r="C79" s="24" t="s">
        <v>153</v>
      </c>
      <c r="D79" s="24" t="s">
        <v>153</v>
      </c>
      <c r="E79" s="24" t="s">
        <v>153</v>
      </c>
      <c r="F79" s="24" t="s">
        <v>153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4" t="s">
        <v>154</v>
      </c>
      <c r="C80" s="24" t="s">
        <v>154</v>
      </c>
      <c r="D80" s="24" t="s">
        <v>154</v>
      </c>
      <c r="E80" s="24" t="s">
        <v>154</v>
      </c>
      <c r="F80" s="24" t="s">
        <v>154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155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156</v>
      </c>
      <c r="C82" s="24" t="s">
        <v>156</v>
      </c>
      <c r="D82" s="24" t="s">
        <v>156</v>
      </c>
      <c r="E82" s="24" t="s">
        <v>156</v>
      </c>
      <c r="F82" s="24" t="s">
        <v>156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5"/>
      <c r="B84" s="25" t="s">
        <v>157</v>
      </c>
      <c r="C84" s="25"/>
      <c r="D84" s="25"/>
      <c r="E84" s="12"/>
      <c r="F84" s="12"/>
      <c r="G84" s="12"/>
      <c r="H84" s="12"/>
    </row>
    <row r="85" spans="1:12" x14ac:dyDescent="0.25">
      <c r="A85" s="25"/>
      <c r="B85" s="26" t="s">
        <v>17</v>
      </c>
      <c r="C85" s="26"/>
      <c r="D85" s="27">
        <v>21.150000000000006</v>
      </c>
      <c r="E85" s="12"/>
      <c r="F85" s="12"/>
      <c r="G85" s="12"/>
      <c r="H85" s="12"/>
    </row>
    <row r="86" spans="1:12" x14ac:dyDescent="0.25">
      <c r="A86" s="25"/>
      <c r="B86" s="26" t="s">
        <v>158</v>
      </c>
      <c r="C86" s="26"/>
      <c r="D86" s="27">
        <v>16.14</v>
      </c>
      <c r="E86" s="12"/>
      <c r="F86" s="12"/>
      <c r="G86" s="12"/>
      <c r="H86" s="12"/>
    </row>
    <row r="87" spans="1:12" x14ac:dyDescent="0.25">
      <c r="A87" s="25"/>
      <c r="B87" s="26" t="s">
        <v>159</v>
      </c>
      <c r="C87" s="26"/>
      <c r="D87" s="27">
        <v>27.12</v>
      </c>
      <c r="E87" s="12"/>
      <c r="F87" s="12"/>
      <c r="G87" s="12"/>
      <c r="H87" s="12"/>
    </row>
    <row r="88" spans="1:12" x14ac:dyDescent="0.25">
      <c r="A88" s="25"/>
      <c r="B88" s="26" t="s">
        <v>160</v>
      </c>
      <c r="C88" s="26"/>
      <c r="D88" s="27">
        <v>19.46</v>
      </c>
      <c r="E88" s="12"/>
      <c r="F88" s="12"/>
      <c r="G88" s="12"/>
      <c r="H88" s="12"/>
    </row>
    <row r="89" spans="1:12" x14ac:dyDescent="0.25">
      <c r="A89" s="25"/>
      <c r="B89" s="26" t="s">
        <v>161</v>
      </c>
      <c r="C89" s="26"/>
      <c r="D89" s="27">
        <v>16.13</v>
      </c>
      <c r="E89" s="12"/>
      <c r="F89" s="12"/>
      <c r="G89" s="12"/>
      <c r="H89" s="12"/>
    </row>
    <row r="90" spans="1:12" x14ac:dyDescent="0.25">
      <c r="A90" s="25"/>
      <c r="B90" s="25" t="s">
        <v>162</v>
      </c>
      <c r="C90" s="25"/>
      <c r="D90" s="25"/>
      <c r="E90" s="12"/>
      <c r="F90" s="12"/>
      <c r="G90" s="12"/>
      <c r="H90" s="12"/>
    </row>
    <row r="91" spans="1:12" x14ac:dyDescent="0.25">
      <c r="A91" s="25"/>
      <c r="B91" s="26" t="s">
        <v>17</v>
      </c>
      <c r="C91" s="26"/>
      <c r="D91" s="27">
        <v>37.29</v>
      </c>
      <c r="E91" s="12"/>
      <c r="F91" s="12"/>
      <c r="G91" s="12"/>
      <c r="H91" s="12"/>
    </row>
    <row r="92" spans="1:12" x14ac:dyDescent="0.25">
      <c r="A92" s="25"/>
      <c r="B92" s="26" t="s">
        <v>119</v>
      </c>
      <c r="C92" s="26"/>
      <c r="D92" s="27">
        <v>27.12</v>
      </c>
      <c r="E92" s="12"/>
      <c r="F92" s="12"/>
      <c r="G92" s="12"/>
      <c r="H92" s="12"/>
    </row>
    <row r="93" spans="1:12" x14ac:dyDescent="0.25">
      <c r="A93" s="25"/>
      <c r="B93" s="26" t="s">
        <v>163</v>
      </c>
      <c r="C93" s="26"/>
      <c r="D93" s="27">
        <v>6.94</v>
      </c>
      <c r="E93" s="12"/>
      <c r="F93" s="12"/>
      <c r="G93" s="12"/>
      <c r="H93" s="12"/>
    </row>
    <row r="94" spans="1:12" x14ac:dyDescent="0.25">
      <c r="A94" s="25"/>
      <c r="B94" s="26" t="s">
        <v>164</v>
      </c>
      <c r="C94" s="26"/>
      <c r="D94" s="27">
        <v>12.52</v>
      </c>
      <c r="E94" s="12"/>
      <c r="F94" s="12"/>
      <c r="G94" s="12"/>
      <c r="H94" s="12"/>
    </row>
    <row r="95" spans="1:12" x14ac:dyDescent="0.25">
      <c r="A95" s="25"/>
      <c r="B95" s="26" t="s">
        <v>161</v>
      </c>
      <c r="C95" s="26"/>
      <c r="D95" s="27">
        <v>16.13</v>
      </c>
      <c r="E95" s="12"/>
      <c r="F95" s="12"/>
      <c r="G95" s="12"/>
      <c r="H95" s="12"/>
    </row>
    <row r="96" spans="1:12" x14ac:dyDescent="0.25">
      <c r="A96" s="28"/>
      <c r="B96" s="28"/>
      <c r="C96" s="28"/>
      <c r="D96" s="28"/>
      <c r="E96" s="28"/>
      <c r="F96" s="28"/>
      <c r="G96" s="28"/>
      <c r="H96" s="28"/>
    </row>
    <row r="97" spans="1:8" x14ac:dyDescent="0.25">
      <c r="A97" s="28"/>
      <c r="B97" s="9" t="s">
        <v>165</v>
      </c>
      <c r="C97" s="28"/>
      <c r="D97" s="28"/>
      <c r="E97" s="28"/>
      <c r="F97" s="28"/>
      <c r="G97" s="28"/>
      <c r="H97" s="28"/>
    </row>
    <row r="98" spans="1:8" x14ac:dyDescent="0.25">
      <c r="A98" s="12"/>
      <c r="B98" s="12" t="s">
        <v>166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29" t="s">
        <v>167</v>
      </c>
      <c r="C99" s="30" t="s">
        <v>168</v>
      </c>
      <c r="D99" s="29" t="s">
        <v>169</v>
      </c>
      <c r="E99" s="12"/>
      <c r="F99" s="12"/>
      <c r="G99" s="12"/>
      <c r="H99" s="28"/>
    </row>
    <row r="100" spans="1:8" x14ac:dyDescent="0.25">
      <c r="A100" s="12"/>
      <c r="B100" s="9" t="s">
        <v>170</v>
      </c>
      <c r="C100" s="15">
        <v>21.642499999999998</v>
      </c>
      <c r="D100" s="15">
        <v>21.669799999999999</v>
      </c>
      <c r="E100" s="12"/>
      <c r="F100" s="12"/>
      <c r="G100" s="12"/>
      <c r="H100" s="28"/>
    </row>
    <row r="101" spans="1:8" x14ac:dyDescent="0.25">
      <c r="A101" s="12"/>
      <c r="B101" s="9" t="s">
        <v>171</v>
      </c>
      <c r="C101" s="15">
        <v>24.424700000000001</v>
      </c>
      <c r="D101" s="15">
        <v>24.432200000000002</v>
      </c>
      <c r="E101" s="12"/>
      <c r="F101" s="12"/>
      <c r="G101" s="12"/>
      <c r="H101" s="28"/>
    </row>
    <row r="102" spans="1:8" x14ac:dyDescent="0.25">
      <c r="A102" s="12"/>
      <c r="B102" s="9" t="s">
        <v>20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/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172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/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173</v>
      </c>
      <c r="C106" s="12"/>
      <c r="D106" s="12"/>
      <c r="E106" s="12"/>
      <c r="F106" s="12"/>
      <c r="G106" s="12"/>
      <c r="H106" s="28"/>
    </row>
    <row r="107" spans="1:8" x14ac:dyDescent="0.25">
      <c r="A107" s="28"/>
      <c r="B107" s="28"/>
      <c r="C107" s="28"/>
      <c r="D107" s="28"/>
      <c r="E107" s="28"/>
      <c r="F107" s="28"/>
      <c r="G107" s="28"/>
      <c r="H107" s="28"/>
    </row>
    <row r="108" spans="1:8" x14ac:dyDescent="0.25">
      <c r="A108" s="12"/>
      <c r="B108" s="12" t="s">
        <v>174</v>
      </c>
      <c r="C108" s="12"/>
      <c r="D108" s="12"/>
      <c r="E108" s="12"/>
      <c r="F108" s="12"/>
      <c r="G108" s="12"/>
      <c r="H108" s="12"/>
    </row>
    <row r="109" spans="1:8" x14ac:dyDescent="0.25">
      <c r="A109" s="12"/>
      <c r="B109" s="12" t="s">
        <v>175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176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177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178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179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180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181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182</v>
      </c>
      <c r="C116" s="12"/>
      <c r="D116" s="12"/>
      <c r="E116" s="12"/>
      <c r="F116" s="12"/>
      <c r="G116" s="12"/>
      <c r="H116" s="28"/>
    </row>
    <row r="118" spans="1:8" x14ac:dyDescent="0.25">
      <c r="B118" s="31" t="s">
        <v>183</v>
      </c>
    </row>
    <row r="134" spans="2:2" x14ac:dyDescent="0.25">
      <c r="B134" s="31" t="s">
        <v>184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4E1B-2F3D-4BAE-AD7A-1AF68B337977}">
  <dimension ref="A2:G20"/>
  <sheetViews>
    <sheetView workbookViewId="0">
      <selection activeCell="D14" sqref="D14"/>
    </sheetView>
  </sheetViews>
  <sheetFormatPr defaultColWidth="9.140625" defaultRowHeight="15.75" x14ac:dyDescent="0.25"/>
  <cols>
    <col min="1" max="1" width="55" style="32" customWidth="1"/>
    <col min="2" max="2" width="41.28515625" style="32" bestFit="1" customWidth="1"/>
    <col min="3" max="3" width="32.42578125" style="32" customWidth="1"/>
    <col min="4" max="4" width="22.7109375" style="32" customWidth="1"/>
    <col min="5" max="5" width="18.7109375" style="32" customWidth="1"/>
    <col min="6" max="6" width="16.140625" style="32" customWidth="1"/>
    <col min="7" max="7" width="13.7109375" style="32" customWidth="1"/>
    <col min="8" max="8" width="38.5703125" style="32" customWidth="1"/>
    <col min="9" max="16384" width="9.140625" style="32"/>
  </cols>
  <sheetData>
    <row r="2" spans="1:7" x14ac:dyDescent="0.25">
      <c r="G2" s="33"/>
    </row>
    <row r="3" spans="1:7" x14ac:dyDescent="0.25">
      <c r="A3" s="34" t="s">
        <v>185</v>
      </c>
      <c r="B3" s="34"/>
      <c r="C3" s="34"/>
      <c r="D3" s="34"/>
      <c r="E3" s="34"/>
      <c r="F3" s="34"/>
      <c r="G3" s="34"/>
    </row>
    <row r="4" spans="1:7" ht="13.5" customHeight="1" x14ac:dyDescent="0.25"/>
    <row r="5" spans="1:7" x14ac:dyDescent="0.25">
      <c r="A5" s="32" t="s">
        <v>186</v>
      </c>
    </row>
    <row r="7" spans="1:7" x14ac:dyDescent="0.25">
      <c r="A7" s="35" t="s">
        <v>187</v>
      </c>
      <c r="B7" s="35"/>
      <c r="C7" s="35"/>
      <c r="D7" s="35"/>
      <c r="E7" s="35"/>
      <c r="F7" s="35"/>
    </row>
    <row r="8" spans="1:7" ht="47.25" x14ac:dyDescent="0.25">
      <c r="A8" s="36" t="s">
        <v>188</v>
      </c>
      <c r="B8" s="36" t="s">
        <v>189</v>
      </c>
      <c r="C8" s="36" t="s">
        <v>190</v>
      </c>
      <c r="D8" s="36" t="s">
        <v>191</v>
      </c>
      <c r="E8" s="36" t="s">
        <v>192</v>
      </c>
      <c r="F8" s="36" t="s">
        <v>193</v>
      </c>
      <c r="G8" s="37" t="s">
        <v>194</v>
      </c>
    </row>
    <row r="9" spans="1:7" x14ac:dyDescent="0.25">
      <c r="A9" s="38" t="s">
        <v>195</v>
      </c>
      <c r="B9" s="38" t="s">
        <v>22</v>
      </c>
      <c r="C9" s="39">
        <v>-25200</v>
      </c>
      <c r="D9" s="40">
        <v>3497.4</v>
      </c>
      <c r="E9" s="41">
        <v>3650.5</v>
      </c>
      <c r="F9" s="41">
        <v>163.63305</v>
      </c>
      <c r="G9" s="41">
        <f>(C9*E9)/100000</f>
        <v>-919.92600000000004</v>
      </c>
    </row>
    <row r="10" spans="1:7" x14ac:dyDescent="0.25">
      <c r="A10" s="38" t="s">
        <v>27</v>
      </c>
      <c r="B10" s="38" t="s">
        <v>28</v>
      </c>
      <c r="C10" s="39">
        <v>-54500</v>
      </c>
      <c r="D10" s="40">
        <v>1399.7761</v>
      </c>
      <c r="E10" s="41">
        <v>1393.9</v>
      </c>
      <c r="F10" s="41">
        <v>135.95379249999999</v>
      </c>
      <c r="G10" s="41">
        <f>(C10*E10)/100000</f>
        <v>-759.67550000000006</v>
      </c>
    </row>
    <row r="11" spans="1:7" x14ac:dyDescent="0.25">
      <c r="A11" s="38" t="s">
        <v>24</v>
      </c>
      <c r="B11" s="38" t="s">
        <v>25</v>
      </c>
      <c r="C11" s="41">
        <v>-30800</v>
      </c>
      <c r="D11" s="40">
        <v>3070.2096999999999</v>
      </c>
      <c r="E11" s="41">
        <v>3051.9</v>
      </c>
      <c r="F11" s="41">
        <v>166.740882</v>
      </c>
      <c r="G11" s="41">
        <f>(C11*E11)/100000</f>
        <v>-939.98519999999996</v>
      </c>
    </row>
    <row r="12" spans="1:7" x14ac:dyDescent="0.25">
      <c r="A12" s="42"/>
      <c r="B12" s="43"/>
      <c r="C12" s="44">
        <f>SUM(C9:C11)</f>
        <v>-110500</v>
      </c>
      <c r="D12" s="44">
        <f>SUM(D9:D11)</f>
        <v>7967.3858</v>
      </c>
      <c r="E12" s="44">
        <f>SUM(E9:E11)</f>
        <v>8096.2999999999993</v>
      </c>
      <c r="F12" s="44">
        <f t="shared" ref="F12:G12" si="0">SUM(F9:F11)</f>
        <v>466.32772449999999</v>
      </c>
      <c r="G12" s="44">
        <f t="shared" si="0"/>
        <v>-2619.5867000000003</v>
      </c>
    </row>
    <row r="13" spans="1:7" x14ac:dyDescent="0.25">
      <c r="G13" s="45"/>
    </row>
    <row r="16" spans="1:7" x14ac:dyDescent="0.25">
      <c r="A16" s="35" t="s">
        <v>196</v>
      </c>
      <c r="B16" s="35"/>
      <c r="C16" s="35"/>
      <c r="D16" s="35"/>
      <c r="E16" s="35"/>
      <c r="F16" s="35"/>
    </row>
    <row r="17" spans="1:6" x14ac:dyDescent="0.25">
      <c r="A17" s="46"/>
    </row>
    <row r="18" spans="1:6" x14ac:dyDescent="0.25">
      <c r="A18" s="35" t="s">
        <v>197</v>
      </c>
      <c r="B18" s="35"/>
      <c r="C18" s="35"/>
      <c r="D18" s="35"/>
      <c r="E18" s="35"/>
      <c r="F18" s="35"/>
    </row>
    <row r="19" spans="1:6" x14ac:dyDescent="0.25">
      <c r="A19" s="35"/>
      <c r="B19" s="35"/>
      <c r="C19" s="35"/>
      <c r="D19" s="35"/>
      <c r="E19" s="35"/>
      <c r="F19" s="35"/>
    </row>
    <row r="20" spans="1:6" x14ac:dyDescent="0.25">
      <c r="A20" s="35" t="s">
        <v>198</v>
      </c>
      <c r="B20" s="35"/>
      <c r="C20" s="35"/>
      <c r="D20" s="35"/>
      <c r="E20" s="35"/>
      <c r="F20" s="35"/>
    </row>
  </sheetData>
  <mergeCells count="6">
    <mergeCell ref="A3:G3"/>
    <mergeCell ref="A7:F7"/>
    <mergeCell ref="A16:F16"/>
    <mergeCell ref="A18:F18"/>
    <mergeCell ref="A19:F19"/>
    <mergeCell ref="A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2025-08-06T10:56:32Z</dcterms:created>
  <dcterms:modified xsi:type="dcterms:W3CDTF">2025-08-06T11:01:13Z</dcterms:modified>
</cp:coreProperties>
</file>