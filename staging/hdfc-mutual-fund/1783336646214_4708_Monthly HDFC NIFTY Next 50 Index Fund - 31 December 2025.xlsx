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9" i="1" l="1"/>
</calcChain>
</file>

<file path=xl/sharedStrings.xml><?xml version="1.0" encoding="utf-8"?>
<sst xmlns="http://schemas.openxmlformats.org/spreadsheetml/2006/main" count="613" uniqueCount="185">
  <si>
    <t>HDFC NIFTY Next 50 Index Fund (An open ended scheme replicating / tracking NIFTY Next 50 Index)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</si>
  <si>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</si>
  <si>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</si>
  <si>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</si>
  <si>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</si>
  <si>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</si>
  <si>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</si>
  <si>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</si>
  <si>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</si>
  <si>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</si>
  <si>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</si>
  <si>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</si>
  <si>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</si>
  <si>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</si>
  <si>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</si>
  <si>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</si>
  <si>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</si>
  <si>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</si>
  <si>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INE205A01025</t>
  </si>
  <si>
    <t>Vedanta Ltd.</t>
  </si>
  <si>
    <t>Diversified Metals</t>
  </si>
  <si>
    <t>INE494B01023</t>
  </si>
  <si>
    <t>TVS Motor Company Ltd.</t>
  </si>
  <si>
    <t>Automobiles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</si>
  <si>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</si>
  <si>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</si>
  <si>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</si>
  <si>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</si>
  <si>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</si>
  <si>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</si>
  <si>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INE029A01011</t>
  </si>
  <si>
    <t>Bharat Petroleum Corporation Ltd.</t>
  </si>
  <si>
    <t>Petroleum Products</t>
  </si>
  <si>
    <t>INE121A01024</t>
  </si>
  <si>
    <t>Cholamandalam Investment &amp; Finance Co. Ltd.</t>
  </si>
  <si>
    <t>Finance</t>
  </si>
  <si>
    <t>INE216A01030</t>
  </si>
  <si>
    <t>Britannia Industries Ltd.</t>
  </si>
  <si>
    <t>Food Products</t>
  </si>
  <si>
    <t>INE200M01039</t>
  </si>
  <si>
    <t>Varun Beverages Ltd</t>
  </si>
  <si>
    <t>Beverages</t>
  </si>
  <si>
    <t>INE053A01029</t>
  </si>
  <si>
    <t>Indian Hotels Company Ltd.</t>
  </si>
  <si>
    <t>Leisure Services</t>
  </si>
  <si>
    <t>INE245A01021</t>
  </si>
  <si>
    <t>The Tata Power Company Ltd.</t>
  </si>
  <si>
    <t>Power</t>
  </si>
  <si>
    <t>INE242A01010</t>
  </si>
  <si>
    <t>Indian Oil Corporation Ltd.</t>
  </si>
  <si>
    <t>INE814H01029</t>
  </si>
  <si>
    <t>Adani Power (Mundra) Limited</t>
  </si>
  <si>
    <t>INE214T01019</t>
  </si>
  <si>
    <t>LTIMindtree Limited</t>
  </si>
  <si>
    <t>IT - Software</t>
  </si>
  <si>
    <t>INE192R01011</t>
  </si>
  <si>
    <t>Avenue Supermarts Ltd.</t>
  </si>
  <si>
    <t>Retailing</t>
  </si>
  <si>
    <t>INE028A01039</t>
  </si>
  <si>
    <t>Bank of Baroda</t>
  </si>
  <si>
    <t>Banks</t>
  </si>
  <si>
    <t>INE775A01035</t>
  </si>
  <si>
    <t>Samvardhana Motherson International Ltd.</t>
  </si>
  <si>
    <t>Auto Components</t>
  </si>
  <si>
    <t>INE476A01022</t>
  </si>
  <si>
    <t>Canara Bank</t>
  </si>
  <si>
    <t>INE663F01032</t>
  </si>
  <si>
    <t>INFO EDGE (INDIA) LIMITED</t>
  </si>
  <si>
    <t>INE134E01011</t>
  </si>
  <si>
    <t>Power Finance Corporation Ltd.</t>
  </si>
  <si>
    <t>INE118A01012</t>
  </si>
  <si>
    <t>Bajaj Holdings &amp; Investment Ltd</t>
  </si>
  <si>
    <t>INE102D01028</t>
  </si>
  <si>
    <t>Godrej Consumer Products Ltd.</t>
  </si>
  <si>
    <t>Personal Products</t>
  </si>
  <si>
    <t>INE765G01017</t>
  </si>
  <si>
    <t>ICICI Lombard General Insurance Co</t>
  </si>
  <si>
    <t>Insurance</t>
  </si>
  <si>
    <t>INE129A01019</t>
  </si>
  <si>
    <t>GAIL (India) Ltd.</t>
  </si>
  <si>
    <t>Gas</t>
  </si>
  <si>
    <t>INE318A01026</t>
  </si>
  <si>
    <t>Pidilite Industries Ltd.</t>
  </si>
  <si>
    <t>Chemicals &amp; Petrochemicals</t>
  </si>
  <si>
    <t>INE020B01018</t>
  </si>
  <si>
    <t>REC Limited.</t>
  </si>
  <si>
    <t>INE067A01029</t>
  </si>
  <si>
    <t>CG Power and Industrial Solutions Ltd.</t>
  </si>
  <si>
    <t>Electrical Equipment</t>
  </si>
  <si>
    <t>INE271C01023</t>
  </si>
  <si>
    <t>DLF LIMITED</t>
  </si>
  <si>
    <t>Realty</t>
  </si>
  <si>
    <t>INE160A01022</t>
  </si>
  <si>
    <t>Punjab National Bank</t>
  </si>
  <si>
    <t>INE854D01024</t>
  </si>
  <si>
    <t>United Spirits Limited</t>
  </si>
  <si>
    <t>INE685A01028</t>
  </si>
  <si>
    <t>Torrent Pharmaceuticals Ltd.</t>
  </si>
  <si>
    <t>INE749A01030</t>
  </si>
  <si>
    <t>Jindal Steel Limited.</t>
  </si>
  <si>
    <t>Ferrous Metals</t>
  </si>
  <si>
    <t>INE176B01034</t>
  </si>
  <si>
    <t>Havells India Ltd.</t>
  </si>
  <si>
    <t>Consumer Durables</t>
  </si>
  <si>
    <t>INE931S01010</t>
  </si>
  <si>
    <t>Adani Energy Solutions  Limited</t>
  </si>
  <si>
    <t>INE070A01015</t>
  </si>
  <si>
    <t>Shree Cement Ltd.</t>
  </si>
  <si>
    <t>Cement &amp; Cement Products</t>
  </si>
  <si>
    <t>INE079A01024</t>
  </si>
  <si>
    <t>Ambuja Cements Ltd.</t>
  </si>
  <si>
    <t>INE0V6F01027</t>
  </si>
  <si>
    <t>Hyundai Motor India Limited</t>
  </si>
  <si>
    <t>INE323A01026</t>
  </si>
  <si>
    <t>Bosch Limited</t>
  </si>
  <si>
    <t>INE364U01010</t>
  </si>
  <si>
    <t>Adani Green Energy Limited</t>
  </si>
  <si>
    <t>INE670K01029</t>
  </si>
  <si>
    <t>Lodha Developers Limited</t>
  </si>
  <si>
    <t>INE343H01029</t>
  </si>
  <si>
    <t>Solar Industries India Ltd.</t>
  </si>
  <si>
    <t>INE117A01022</t>
  </si>
  <si>
    <t>ABB India Ltd.</t>
  </si>
  <si>
    <t>INE003A01024</t>
  </si>
  <si>
    <t>Siemens Ltd.</t>
  </si>
  <si>
    <t>INE267A01025</t>
  </si>
  <si>
    <t>Hindustan Zinc Ltd.</t>
  </si>
  <si>
    <t>Non - Ferrous Metals</t>
  </si>
  <si>
    <t>INE121E01018</t>
  </si>
  <si>
    <t>JSW Energy Ltd.</t>
  </si>
  <si>
    <t>INE010B01027</t>
  </si>
  <si>
    <t>Zydus Lifesciences Limited</t>
  </si>
  <si>
    <t>INE1NPP01017</t>
  </si>
  <si>
    <t>Siemens Energy India Limited</t>
  </si>
  <si>
    <t>INE053F01010</t>
  </si>
  <si>
    <t>Indian Railways Finance Corp. Ltd.</t>
  </si>
  <si>
    <t>INE0J1Y01017</t>
  </si>
  <si>
    <t>Life Insurance Corporation of India</t>
  </si>
  <si>
    <t>INE249Z01020</t>
  </si>
  <si>
    <t>Mazagon Dock Shipbuilders Ltd</t>
  </si>
  <si>
    <t>Industrial Manufacturing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</si>
  <si>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</si>
  <si>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</si>
  <si>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</si>
  <si>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</si>
  <si>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</si>
  <si>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</si>
  <si>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</si>
  <si>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</si>
  <si>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</si>
  <si>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</si>
  <si>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</si>
  <si>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</si>
  <si>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</si>
  <si>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</si>
  <si>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</si>
  <si>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</si>
  <si>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</si>
  <si>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</si>
  <si>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</si>
  <si>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</si>
  <si>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</si>
  <si>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</si>
  <si>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</si>
  <si>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</si>
  <si>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</si>
  <si>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</si>
  <si>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</si>
  <si>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</si>
  <si>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</si>
  <si>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</si>
  <si>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</si>
  <si>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</si>
  <si>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</si>
  <si>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</si>
  <si>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</si>
  <si>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</si>
  <si>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</si>
  <si>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25.55%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</si>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</sst>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12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060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15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1582592</v>
      </c>
      <c r="G9" s="15">
        <v>9565.19</v>
      </c>
      <c r="H9" s="15">
        <v>4.43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219040</v>
      </c>
      <c r="G10" s="15">
        <v>8147.85</v>
      </c>
      <c r="H10" s="15">
        <v>3.77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177006</v>
      </c>
      <c r="G11" s="15">
        <v>7768.26</v>
      </c>
      <c r="H11" s="15">
        <v>3.6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118530</v>
      </c>
      <c r="G12" s="15">
        <v>7577.03</v>
      </c>
      <c r="H12" s="15">
        <v>3.51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1808224</v>
      </c>
      <c r="G13" s="15">
        <v>6943.58</v>
      </c>
      <c r="H13" s="15">
        <v>3.22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394549</v>
      </c>
      <c r="G14" s="15">
        <v>6716.01</v>
      </c>
      <c r="H14" s="15">
        <v>3.11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110025</v>
      </c>
      <c r="G15" s="15">
        <v>6635.61</v>
      </c>
      <c r="H15" s="15">
        <v>3.07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1276661</v>
      </c>
      <c r="G16" s="15">
        <v>6253.72</v>
      </c>
      <c r="H16" s="15">
        <v>2.9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819389</v>
      </c>
      <c r="G17" s="15">
        <v>6054.06</v>
      </c>
      <c r="H17" s="15">
        <v>2.8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1566585</v>
      </c>
      <c r="G18" s="15">
        <v>5946.76</v>
      </c>
      <c r="H18" s="15">
        <v>2.75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32</v>
      </c>
      <c r="F19" s="14">
        <v>3485723</v>
      </c>
      <c r="G19" s="15">
        <v>5802.33</v>
      </c>
      <c r="H19" s="15">
        <v>2.69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47</v>
      </c>
      <c r="F20" s="14">
        <v>3680271</v>
      </c>
      <c r="G20" s="15">
        <v>5262.42</v>
      </c>
      <c r="H20" s="15">
        <v>2.44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86508</v>
      </c>
      <c r="G21" s="15">
        <v>5245.41</v>
      </c>
      <c r="H21" s="15">
        <v>2.4300000000000002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137374</v>
      </c>
      <c r="G22" s="15">
        <v>5195.76</v>
      </c>
      <c r="H22" s="15">
        <v>2.41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1730701</v>
      </c>
      <c r="G23" s="15">
        <v>5121.1400000000003</v>
      </c>
      <c r="H23" s="15">
        <v>2.37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4143330</v>
      </c>
      <c r="G24" s="15">
        <v>4969.51</v>
      </c>
      <c r="H24" s="15">
        <v>2.2999999999999998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60</v>
      </c>
      <c r="F25" s="14">
        <v>3145160</v>
      </c>
      <c r="G25" s="15">
        <v>4872.17</v>
      </c>
      <c r="H25" s="15">
        <v>2.2599999999999998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57</v>
      </c>
      <c r="F26" s="14">
        <v>362443</v>
      </c>
      <c r="G26" s="15">
        <v>4833.54</v>
      </c>
      <c r="H26" s="15">
        <v>2.2400000000000002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35</v>
      </c>
      <c r="F27" s="14">
        <v>1358350</v>
      </c>
      <c r="G27" s="15">
        <v>4827.58</v>
      </c>
      <c r="H27" s="15">
        <v>2.2400000000000002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35</v>
      </c>
      <c r="F28" s="14">
        <v>40394</v>
      </c>
      <c r="G28" s="15">
        <v>4575.83</v>
      </c>
      <c r="H28" s="15">
        <v>2.12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375366</v>
      </c>
      <c r="G29" s="15">
        <v>4587.72</v>
      </c>
      <c r="H29" s="15">
        <v>2.12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225813</v>
      </c>
      <c r="G30" s="15">
        <v>4430.68</v>
      </c>
      <c r="H30" s="15">
        <v>2.0499999999999998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2516368</v>
      </c>
      <c r="G31" s="15">
        <v>4332.18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289691</v>
      </c>
      <c r="G32" s="15">
        <v>4294.38</v>
      </c>
      <c r="H32" s="15">
        <v>1.99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35</v>
      </c>
      <c r="F33" s="14">
        <v>1165195</v>
      </c>
      <c r="G33" s="15">
        <v>4157.42</v>
      </c>
      <c r="H33" s="15">
        <v>1.93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640571</v>
      </c>
      <c r="G34" s="15">
        <v>4150.26</v>
      </c>
      <c r="H34" s="15">
        <v>1.92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598456</v>
      </c>
      <c r="G35" s="15">
        <v>4113.79</v>
      </c>
      <c r="H35" s="15">
        <v>1.91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60</v>
      </c>
      <c r="F36" s="14">
        <v>3216628</v>
      </c>
      <c r="G36" s="15">
        <v>3975.11</v>
      </c>
      <c r="H36" s="15">
        <v>1.84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41</v>
      </c>
      <c r="F37" s="14">
        <v>275533</v>
      </c>
      <c r="G37" s="15">
        <v>3977.87</v>
      </c>
      <c r="H37" s="15">
        <v>1.84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29</v>
      </c>
      <c r="F38" s="14">
        <v>97570</v>
      </c>
      <c r="G38" s="15">
        <v>3756.45</v>
      </c>
      <c r="H38" s="15">
        <v>1.74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348617</v>
      </c>
      <c r="G39" s="15">
        <v>3673.73</v>
      </c>
      <c r="H39" s="15">
        <v>1.7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235278</v>
      </c>
      <c r="G40" s="15">
        <v>3352.48</v>
      </c>
      <c r="H40" s="15">
        <v>1.55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47</v>
      </c>
      <c r="F41" s="14">
        <v>323626</v>
      </c>
      <c r="G41" s="15">
        <v>3324.77</v>
      </c>
      <c r="H41" s="15">
        <v>1.54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108</v>
      </c>
      <c r="F42" s="14">
        <v>12475</v>
      </c>
      <c r="G42" s="15">
        <v>3315.23</v>
      </c>
      <c r="H42" s="15">
        <v>1.54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108</v>
      </c>
      <c r="F43" s="14">
        <v>568912</v>
      </c>
      <c r="G43" s="15">
        <v>3165.14</v>
      </c>
      <c r="H43" s="15">
        <v>1.47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23</v>
      </c>
      <c r="F44" s="14">
        <v>133022</v>
      </c>
      <c r="G44" s="15">
        <v>3056.85</v>
      </c>
      <c r="H44" s="15">
        <v>1.42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63</v>
      </c>
      <c r="F45" s="14">
        <v>8089</v>
      </c>
      <c r="G45" s="15">
        <v>2915.28</v>
      </c>
      <c r="H45" s="15">
        <v>1.35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47</v>
      </c>
      <c r="F46" s="14">
        <v>285966</v>
      </c>
      <c r="G46" s="15">
        <v>2902.84</v>
      </c>
      <c r="H46" s="15">
        <v>1.34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91</v>
      </c>
      <c r="F47" s="14">
        <v>262428</v>
      </c>
      <c r="G47" s="15">
        <v>2785.15</v>
      </c>
      <c r="H47" s="15">
        <v>1.29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83</v>
      </c>
      <c r="F48" s="14">
        <v>22728</v>
      </c>
      <c r="G48" s="15">
        <v>2784.63</v>
      </c>
      <c r="H48" s="15">
        <v>1.29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88</v>
      </c>
      <c r="F49" s="14">
        <v>48923</v>
      </c>
      <c r="G49" s="15">
        <v>2529.3200000000002</v>
      </c>
      <c r="H49" s="15">
        <v>1.17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88</v>
      </c>
      <c r="F50" s="14">
        <v>82456</v>
      </c>
      <c r="G50" s="15">
        <v>2525.87</v>
      </c>
      <c r="H50" s="15">
        <v>1.17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404412</v>
      </c>
      <c r="G51" s="15">
        <v>2476.8200000000002</v>
      </c>
      <c r="H51" s="15">
        <v>1.1499999999999999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47</v>
      </c>
      <c r="F52" s="14">
        <v>500591</v>
      </c>
      <c r="G52" s="15">
        <v>2415.1</v>
      </c>
      <c r="H52" s="15">
        <v>1.1200000000000001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29</v>
      </c>
      <c r="F53" s="14">
        <v>233438</v>
      </c>
      <c r="G53" s="15">
        <v>2134.44</v>
      </c>
      <c r="H53" s="15">
        <v>0.99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88</v>
      </c>
      <c r="F54" s="14">
        <v>82502</v>
      </c>
      <c r="G54" s="15">
        <v>2112.13</v>
      </c>
      <c r="H54" s="15">
        <v>0.98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35</v>
      </c>
      <c r="F55" s="14">
        <v>1666864</v>
      </c>
      <c r="G55" s="15">
        <v>2077.25</v>
      </c>
      <c r="H55" s="15">
        <v>0.96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77</v>
      </c>
      <c r="F56" s="14">
        <v>207089</v>
      </c>
      <c r="G56" s="15">
        <v>1770.4</v>
      </c>
      <c r="H56" s="15">
        <v>0.82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70878</v>
      </c>
      <c r="G57" s="15">
        <v>1765</v>
      </c>
      <c r="H57" s="15">
        <v>0.82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35</v>
      </c>
      <c r="F58" s="14">
        <v>873583</v>
      </c>
      <c r="G58" s="15">
        <v>824.05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143</v>
      </c>
      <c r="C59" s="19"/>
      <c r="D59" s="19"/>
      <c r="E59" s="19"/>
      <c r="F59" s="19"/>
      <c r="G59" s="20">
        <v>215996.10000000006</v>
      </c>
      <c r="H59" s="20">
        <f>SUM(H9:H58)</f>
        <v>100.06</v>
      </c>
      <c r="I59" s="19"/>
      <c r="J59" s="19"/>
      <c r="K59" s="19"/>
      <c r="L59" s="19"/>
    </row>
    <row r="60" spans="1:12" x14ac:dyDescent="0.25">
      <c r="A60" s="10"/>
      <c r="B60" s="11" t="s">
        <v>144</v>
      </c>
      <c r="C60" s="10"/>
      <c r="D60" s="10"/>
      <c r="E60" s="10"/>
      <c r="F60" s="10"/>
      <c r="G60" s="21">
        <v>215996.10000000006</v>
      </c>
      <c r="H60" s="21">
        <v>100.06</v>
      </c>
      <c r="I60" s="10"/>
      <c r="J60" s="10"/>
      <c r="K60" s="10"/>
      <c r="L60" s="10"/>
    </row>
    <row r="61" spans="1:12" x14ac:dyDescent="0.25">
      <c r="A61" s="10"/>
      <c r="B61" s="11"/>
      <c r="C61" s="10"/>
      <c r="D61" s="10"/>
      <c r="E61" s="10"/>
      <c r="F61" s="10"/>
      <c r="G61" s="21"/>
      <c r="H61" s="21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21"/>
      <c r="H62" s="21"/>
      <c r="I62" s="10"/>
      <c r="J62" s="10"/>
      <c r="K62" s="10"/>
      <c r="L62" s="10"/>
    </row>
    <row r="63" spans="1:12" x14ac:dyDescent="0.25">
      <c r="A63" s="10"/>
      <c r="B63" s="11" t="s">
        <v>15</v>
      </c>
      <c r="C63" s="10"/>
      <c r="D63" s="10"/>
      <c r="E63" s="10"/>
      <c r="F63" s="10"/>
      <c r="G63" s="21"/>
      <c r="H63" s="21"/>
      <c r="I63" s="10"/>
      <c r="J63" s="10"/>
      <c r="K63" s="10"/>
      <c r="L63" s="10"/>
    </row>
    <row r="64" spans="1:12" x14ac:dyDescent="0.25">
      <c r="A64" s="10"/>
      <c r="B64" s="13" t="s">
        <v>146</v>
      </c>
      <c r="C64" s="13" t="s">
        <v>13</v>
      </c>
      <c r="D64" s="13" t="s">
        <v>147</v>
      </c>
      <c r="E64" s="13" t="s">
        <v>148</v>
      </c>
      <c r="F64" s="14">
        <v>810468</v>
      </c>
      <c r="G64" s="15">
        <v>82.55</v>
      </c>
      <c r="H64" s="15">
        <v>0.04</v>
      </c>
      <c r="I64" s="22">
        <v>0.06</v>
      </c>
      <c r="J64" s="10"/>
      <c r="K64" s="10"/>
      <c r="L64" s="10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3">
        <v>82.55</v>
      </c>
      <c r="H65" s="23">
        <v>0.04</v>
      </c>
      <c r="I65" s="10"/>
      <c r="J65" s="10"/>
      <c r="K65" s="10"/>
      <c r="L65" s="10"/>
    </row>
    <row r="66" spans="1:12" x14ac:dyDescent="0.25">
      <c r="A66" s="10"/>
      <c r="B66" s="11" t="s">
        <v>144</v>
      </c>
      <c r="C66" s="10"/>
      <c r="D66" s="10"/>
      <c r="E66" s="10"/>
      <c r="F66" s="10"/>
      <c r="G66" s="23">
        <v>82.55</v>
      </c>
      <c r="H66" s="23">
        <v>0.04</v>
      </c>
      <c r="I66" s="10"/>
      <c r="J66" s="10"/>
      <c r="K66" s="10"/>
      <c r="L66" s="10"/>
    </row>
    <row r="67" spans="1:12" x14ac:dyDescent="0.25">
      <c r="A67" s="10"/>
      <c r="B67" s="11"/>
      <c r="C67" s="10"/>
      <c r="D67" s="10"/>
      <c r="E67" s="10"/>
      <c r="F67" s="10"/>
      <c r="G67" s="21"/>
      <c r="H67" s="21"/>
      <c r="I67" s="10"/>
      <c r="J67" s="10"/>
      <c r="K67" s="10"/>
      <c r="L67" s="10"/>
    </row>
    <row r="68" spans="1:12" x14ac:dyDescent="0.25">
      <c r="A68" s="10"/>
      <c r="B68" s="11" t="s">
        <v>149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150</v>
      </c>
      <c r="E70" s="13" t="s">
        <v>13</v>
      </c>
      <c r="F70" s="14" t="s">
        <v>13</v>
      </c>
      <c r="G70" s="15">
        <v>405.94</v>
      </c>
      <c r="H70" s="15">
        <v>0.19</v>
      </c>
      <c r="I70" s="16">
        <v>5.35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143</v>
      </c>
      <c r="C71" s="19"/>
      <c r="D71" s="19"/>
      <c r="E71" s="19"/>
      <c r="F71" s="19"/>
      <c r="G71" s="20">
        <v>405.94</v>
      </c>
      <c r="H71" s="20">
        <v>0.19</v>
      </c>
      <c r="I71" s="19"/>
      <c r="J71" s="19"/>
      <c r="K71" s="19"/>
      <c r="L71" s="19"/>
    </row>
    <row r="72" spans="1:12" x14ac:dyDescent="0.25">
      <c r="A72" s="10"/>
      <c r="B72" s="11" t="s">
        <v>144</v>
      </c>
      <c r="C72" s="10"/>
      <c r="D72" s="10"/>
      <c r="E72" s="10"/>
      <c r="F72" s="10"/>
      <c r="G72" s="21">
        <v>405.94</v>
      </c>
      <c r="H72" s="21">
        <v>0.19</v>
      </c>
      <c r="I72" s="10"/>
      <c r="J72" s="10"/>
      <c r="K72" s="10"/>
      <c r="L72" s="10"/>
    </row>
    <row r="73" spans="1:12" x14ac:dyDescent="0.25">
      <c r="A73" s="10"/>
      <c r="B73" s="11" t="s">
        <v>151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152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13</v>
      </c>
      <c r="C75" s="13" t="s">
        <v>13</v>
      </c>
      <c r="D75" s="13" t="s">
        <v>152</v>
      </c>
      <c r="E75" s="13" t="s">
        <v>13</v>
      </c>
      <c r="F75" s="14" t="s">
        <v>13</v>
      </c>
      <c r="G75" s="15">
        <v>-540.92999999999995</v>
      </c>
      <c r="H75" s="15">
        <v>-0.28999999999999998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143</v>
      </c>
      <c r="C76" s="19"/>
      <c r="D76" s="19"/>
      <c r="E76" s="19"/>
      <c r="F76" s="19"/>
      <c r="G76" s="20">
        <v>-540.92999999999995</v>
      </c>
      <c r="H76" s="20">
        <v>-0.28999999999999998</v>
      </c>
      <c r="I76" s="19"/>
      <c r="J76" s="19"/>
      <c r="K76" s="19"/>
      <c r="L76" s="19"/>
    </row>
    <row r="77" spans="1:12" x14ac:dyDescent="0.25">
      <c r="A77" s="10"/>
      <c r="B77" s="11" t="s">
        <v>144</v>
      </c>
      <c r="C77" s="10"/>
      <c r="D77" s="10"/>
      <c r="E77" s="10"/>
      <c r="F77" s="10"/>
      <c r="G77" s="21">
        <v>-540.92999999999995</v>
      </c>
      <c r="H77" s="21">
        <v>-0.28999999999999998</v>
      </c>
      <c r="I77" s="10"/>
      <c r="J77" s="10"/>
      <c r="K77" s="10"/>
      <c r="L77" s="10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24" t="s">
        <v>153</v>
      </c>
      <c r="C79" s="6"/>
      <c r="D79" s="6"/>
      <c r="E79" s="6"/>
      <c r="F79" s="6"/>
      <c r="G79" s="23">
        <v>215943.66000000006</v>
      </c>
      <c r="H79" s="23">
        <v>100</v>
      </c>
      <c r="I79" s="6"/>
      <c r="J79" s="6"/>
      <c r="K79" s="6"/>
      <c r="L79" s="6"/>
    </row>
    <row r="80" spans="1:12" x14ac:dyDescent="0.25">
      <c r="A80" s="12" t="s">
        <v>17</v>
      </c>
      <c r="B80" s="25" t="s">
        <v>154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6" t="s">
        <v>156</v>
      </c>
      <c r="C81" s="26" t="s">
        <v>156</v>
      </c>
      <c r="D81" s="26" t="s">
        <v>156</v>
      </c>
      <c r="E81" s="26" t="s">
        <v>156</v>
      </c>
      <c r="F81" s="26" t="s">
        <v>156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6" t="s">
        <v>157</v>
      </c>
      <c r="C82" s="26" t="s">
        <v>157</v>
      </c>
      <c r="D82" s="26" t="s">
        <v>157</v>
      </c>
      <c r="E82" s="26" t="s">
        <v>157</v>
      </c>
      <c r="F82" s="26" t="s">
        <v>157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6" t="s">
        <v>158</v>
      </c>
      <c r="C83" s="26" t="s">
        <v>158</v>
      </c>
      <c r="D83" s="26" t="s">
        <v>158</v>
      </c>
      <c r="E83" s="26" t="s">
        <v>158</v>
      </c>
      <c r="F83" s="26" t="s">
        <v>158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6" t="s">
        <v>159</v>
      </c>
      <c r="C84" s="26" t="s">
        <v>159</v>
      </c>
      <c r="D84" s="26" t="s">
        <v>159</v>
      </c>
      <c r="E84" s="26" t="s">
        <v>159</v>
      </c>
      <c r="F84" s="26" t="s">
        <v>159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6" t="s">
        <v>160</v>
      </c>
      <c r="C85" s="26" t="s">
        <v>160</v>
      </c>
      <c r="D85" s="26" t="s">
        <v>160</v>
      </c>
      <c r="E85" s="26" t="s">
        <v>160</v>
      </c>
      <c r="F85" s="26" t="s">
        <v>160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6" t="s">
        <v>161</v>
      </c>
      <c r="C86" s="26" t="s">
        <v>161</v>
      </c>
      <c r="D86" s="26" t="s">
        <v>161</v>
      </c>
      <c r="E86" s="26" t="s">
        <v>161</v>
      </c>
      <c r="F86" s="26" t="s">
        <v>161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6" t="s">
        <v>162</v>
      </c>
      <c r="C87" s="26" t="s">
        <v>162</v>
      </c>
      <c r="D87" s="26" t="s">
        <v>162</v>
      </c>
      <c r="E87" s="26" t="s">
        <v>162</v>
      </c>
      <c r="F87" s="26" t="s">
        <v>162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13"/>
      <c r="C88" s="13"/>
      <c r="D88" s="13"/>
      <c r="E88" s="13"/>
      <c r="F88" s="13"/>
      <c r="G88" s="13"/>
      <c r="H88" s="13"/>
    </row>
    <row r="89" spans="1:12" x14ac:dyDescent="0.25">
      <c r="A89" s="27"/>
      <c r="B89" s="28" t="s">
        <v>163</v>
      </c>
      <c r="C89" s="27"/>
      <c r="D89" s="27"/>
      <c r="E89" s="13"/>
      <c r="F89" s="13"/>
      <c r="G89" s="13"/>
      <c r="H89" s="13"/>
    </row>
    <row r="90" spans="1:12" x14ac:dyDescent="0.25">
      <c r="A90" s="27"/>
      <c r="B90" s="29" t="s">
        <v>35</v>
      </c>
      <c r="C90" s="30"/>
      <c r="D90" s="31">
        <v>10.739999999999998</v>
      </c>
      <c r="E90" s="13"/>
      <c r="F90" s="13"/>
      <c r="G90" s="13"/>
      <c r="H90" s="13"/>
    </row>
    <row r="91" spans="1:12" x14ac:dyDescent="0.25">
      <c r="A91" s="27"/>
      <c r="B91" s="29" t="s">
        <v>47</v>
      </c>
      <c r="C91" s="30"/>
      <c r="D91" s="31">
        <v>9.1900000000000013</v>
      </c>
      <c r="E91" s="13"/>
      <c r="F91" s="13"/>
      <c r="G91" s="13"/>
      <c r="H91" s="13"/>
    </row>
    <row r="92" spans="1:12" x14ac:dyDescent="0.25">
      <c r="A92" s="27"/>
      <c r="B92" s="29" t="s">
        <v>60</v>
      </c>
      <c r="C92" s="30"/>
      <c r="D92" s="31">
        <v>6.47</v>
      </c>
      <c r="E92" s="13"/>
      <c r="F92" s="13"/>
      <c r="G92" s="13"/>
      <c r="H92" s="13"/>
    </row>
    <row r="93" spans="1:12" x14ac:dyDescent="0.25">
      <c r="A93" s="27"/>
      <c r="B93" s="29" t="s">
        <v>29</v>
      </c>
      <c r="C93" s="30"/>
      <c r="D93" s="31">
        <v>6.24</v>
      </c>
      <c r="E93" s="13"/>
      <c r="F93" s="13"/>
      <c r="G93" s="13"/>
      <c r="H93" s="13"/>
    </row>
    <row r="94" spans="1:12" x14ac:dyDescent="0.25">
      <c r="A94" s="27"/>
      <c r="B94" s="29" t="s">
        <v>32</v>
      </c>
      <c r="C94" s="30"/>
      <c r="D94" s="31">
        <v>5.91</v>
      </c>
      <c r="E94" s="13"/>
      <c r="F94" s="13"/>
      <c r="G94" s="13"/>
      <c r="H94" s="13"/>
    </row>
    <row r="95" spans="1:12" x14ac:dyDescent="0.25">
      <c r="A95" s="27"/>
      <c r="B95" s="29" t="s">
        <v>88</v>
      </c>
      <c r="C95" s="30"/>
      <c r="D95" s="31">
        <v>5.24</v>
      </c>
      <c r="E95" s="13"/>
      <c r="F95" s="13"/>
      <c r="G95" s="13"/>
      <c r="H95" s="13"/>
    </row>
    <row r="96" spans="1:12" x14ac:dyDescent="0.25">
      <c r="A96" s="27"/>
      <c r="B96" s="29" t="s">
        <v>23</v>
      </c>
      <c r="C96" s="30"/>
      <c r="D96" s="31">
        <v>5.2299999999999995</v>
      </c>
      <c r="E96" s="13"/>
      <c r="F96" s="13"/>
      <c r="G96" s="13"/>
      <c r="H96" s="13"/>
    </row>
    <row r="97" spans="1:8" x14ac:dyDescent="0.25">
      <c r="A97" s="27"/>
      <c r="B97" s="29" t="s">
        <v>41</v>
      </c>
      <c r="C97" s="30"/>
      <c r="D97" s="31">
        <v>4.74</v>
      </c>
      <c r="E97" s="13"/>
      <c r="F97" s="13"/>
      <c r="G97" s="13"/>
      <c r="H97" s="13"/>
    </row>
    <row r="98" spans="1:8" x14ac:dyDescent="0.25">
      <c r="A98" s="27"/>
      <c r="B98" s="29" t="s">
        <v>57</v>
      </c>
      <c r="C98" s="30"/>
      <c r="D98" s="31">
        <v>4.6500000000000004</v>
      </c>
      <c r="E98" s="13"/>
      <c r="F98" s="13"/>
      <c r="G98" s="13"/>
      <c r="H98" s="13"/>
    </row>
    <row r="99" spans="1:8" x14ac:dyDescent="0.25">
      <c r="A99" s="27"/>
      <c r="B99" s="29" t="s">
        <v>20</v>
      </c>
      <c r="C99" s="30"/>
      <c r="D99" s="31">
        <v>4.43</v>
      </c>
      <c r="E99" s="13"/>
      <c r="F99" s="13"/>
      <c r="G99" s="13"/>
      <c r="H99" s="13"/>
    </row>
    <row r="100" spans="1:8" x14ac:dyDescent="0.25">
      <c r="A100" s="27"/>
      <c r="B100" s="29" t="s">
        <v>63</v>
      </c>
      <c r="C100" s="30"/>
      <c r="D100" s="31">
        <v>3.65</v>
      </c>
      <c r="E100" s="13"/>
      <c r="F100" s="13"/>
      <c r="G100" s="13"/>
      <c r="H100" s="13"/>
    </row>
    <row r="101" spans="1:8" x14ac:dyDescent="0.25">
      <c r="A101" s="27"/>
      <c r="B101" s="29" t="s">
        <v>26</v>
      </c>
      <c r="C101" s="30"/>
      <c r="D101" s="31">
        <v>3.6</v>
      </c>
      <c r="E101" s="13"/>
      <c r="F101" s="13"/>
      <c r="G101" s="13"/>
      <c r="H101" s="13"/>
    </row>
    <row r="102" spans="1:8" x14ac:dyDescent="0.25">
      <c r="A102" s="27"/>
      <c r="B102" s="29" t="s">
        <v>83</v>
      </c>
      <c r="C102" s="30"/>
      <c r="D102" s="31">
        <v>3.2800000000000002</v>
      </c>
      <c r="E102" s="13"/>
      <c r="F102" s="13"/>
      <c r="G102" s="13"/>
      <c r="H102" s="13"/>
    </row>
    <row r="103" spans="1:8" x14ac:dyDescent="0.25">
      <c r="A103" s="27"/>
      <c r="B103" s="29" t="s">
        <v>91</v>
      </c>
      <c r="C103" s="30"/>
      <c r="D103" s="31">
        <v>3.2</v>
      </c>
      <c r="E103" s="13"/>
      <c r="F103" s="13"/>
      <c r="G103" s="13"/>
      <c r="H103" s="13"/>
    </row>
    <row r="104" spans="1:8" x14ac:dyDescent="0.25">
      <c r="A104" s="27"/>
      <c r="B104" s="29" t="s">
        <v>38</v>
      </c>
      <c r="C104" s="30"/>
      <c r="D104" s="31">
        <v>3.07</v>
      </c>
      <c r="E104" s="13"/>
      <c r="F104" s="13"/>
      <c r="G104" s="13"/>
      <c r="H104" s="13"/>
    </row>
    <row r="105" spans="1:8" x14ac:dyDescent="0.25">
      <c r="A105" s="27"/>
      <c r="B105" s="29" t="s">
        <v>108</v>
      </c>
      <c r="C105" s="30"/>
      <c r="D105" s="31">
        <v>3.01</v>
      </c>
      <c r="E105" s="13"/>
      <c r="F105" s="13"/>
      <c r="G105" s="13"/>
      <c r="H105" s="13"/>
    </row>
    <row r="106" spans="1:8" x14ac:dyDescent="0.25">
      <c r="A106" s="27"/>
      <c r="B106" s="29" t="s">
        <v>77</v>
      </c>
      <c r="C106" s="30"/>
      <c r="D106" s="31">
        <v>2.8699999999999997</v>
      </c>
      <c r="E106" s="13"/>
      <c r="F106" s="13"/>
      <c r="G106" s="13"/>
      <c r="H106" s="13"/>
    </row>
    <row r="107" spans="1:8" x14ac:dyDescent="0.25">
      <c r="A107" s="27"/>
      <c r="B107" s="29" t="s">
        <v>44</v>
      </c>
      <c r="C107" s="30"/>
      <c r="D107" s="31">
        <v>2.8</v>
      </c>
      <c r="E107" s="13"/>
      <c r="F107" s="13"/>
      <c r="G107" s="13"/>
      <c r="H107" s="13"/>
    </row>
    <row r="108" spans="1:8" x14ac:dyDescent="0.25">
      <c r="A108" s="27"/>
      <c r="B108" s="29" t="s">
        <v>54</v>
      </c>
      <c r="C108" s="30"/>
      <c r="D108" s="31">
        <v>2.4300000000000002</v>
      </c>
      <c r="E108" s="13"/>
      <c r="F108" s="13"/>
      <c r="G108" s="13"/>
      <c r="H108" s="13"/>
    </row>
    <row r="109" spans="1:8" x14ac:dyDescent="0.25">
      <c r="A109" s="27"/>
      <c r="B109" s="29" t="s">
        <v>74</v>
      </c>
      <c r="C109" s="30"/>
      <c r="D109" s="31">
        <v>2.12</v>
      </c>
      <c r="E109" s="13"/>
      <c r="F109" s="13"/>
      <c r="G109" s="13"/>
      <c r="H109" s="13"/>
    </row>
    <row r="110" spans="1:8" x14ac:dyDescent="0.25">
      <c r="A110" s="27"/>
      <c r="B110" s="29" t="s">
        <v>80</v>
      </c>
      <c r="C110" s="30"/>
      <c r="D110" s="31">
        <v>2.0099999999999998</v>
      </c>
      <c r="E110" s="13"/>
      <c r="F110" s="13"/>
      <c r="G110" s="13"/>
      <c r="H110" s="13"/>
    </row>
    <row r="111" spans="1:8" x14ac:dyDescent="0.25">
      <c r="A111" s="27"/>
      <c r="B111" s="29" t="s">
        <v>100</v>
      </c>
      <c r="C111" s="30"/>
      <c r="D111" s="31">
        <v>1.7</v>
      </c>
      <c r="E111" s="13"/>
      <c r="F111" s="13"/>
      <c r="G111" s="13"/>
      <c r="H111" s="13"/>
    </row>
    <row r="112" spans="1:8" x14ac:dyDescent="0.25">
      <c r="A112" s="27"/>
      <c r="B112" s="29" t="s">
        <v>103</v>
      </c>
      <c r="C112" s="30"/>
      <c r="D112" s="31">
        <v>1.55</v>
      </c>
      <c r="E112" s="13"/>
      <c r="F112" s="13"/>
      <c r="G112" s="13"/>
      <c r="H112" s="13"/>
    </row>
    <row r="113" spans="1:8" x14ac:dyDescent="0.25">
      <c r="A113" s="27"/>
      <c r="B113" s="29" t="s">
        <v>127</v>
      </c>
      <c r="C113" s="30"/>
      <c r="D113" s="31">
        <v>1.1499999999999999</v>
      </c>
      <c r="E113" s="13"/>
      <c r="F113" s="13"/>
      <c r="G113" s="13"/>
      <c r="H113" s="13"/>
    </row>
    <row r="114" spans="1:8" x14ac:dyDescent="0.25">
      <c r="A114" s="27"/>
      <c r="B114" s="29" t="s">
        <v>140</v>
      </c>
      <c r="C114" s="30"/>
      <c r="D114" s="31">
        <v>0.82</v>
      </c>
      <c r="E114" s="13"/>
      <c r="F114" s="13"/>
      <c r="G114" s="13"/>
      <c r="H114" s="13"/>
    </row>
    <row r="115" spans="1:8" x14ac:dyDescent="0.25">
      <c r="A115" s="27"/>
      <c r="B115" s="29" t="s">
        <v>164</v>
      </c>
      <c r="C115" s="30"/>
      <c r="D115" s="31">
        <v>-9.9999999999999978E-2</v>
      </c>
      <c r="E115" s="13"/>
      <c r="F115" s="13"/>
      <c r="G115" s="13"/>
      <c r="H115" s="13"/>
    </row>
    <row r="116" spans="1:8" x14ac:dyDescent="0.25">
      <c r="A116" s="27"/>
      <c r="B116" s="27"/>
      <c r="C116" s="27"/>
      <c r="D116" s="27"/>
      <c r="E116" s="13"/>
      <c r="F116" s="13"/>
      <c r="G116" s="13"/>
      <c r="H116" s="13"/>
    </row>
    <row r="117" spans="1:8" x14ac:dyDescent="0.25">
      <c r="A117" s="32"/>
      <c r="B117" s="32"/>
      <c r="C117" s="32"/>
      <c r="D117" s="32"/>
      <c r="E117" s="32"/>
      <c r="F117" s="32"/>
      <c r="G117" s="32"/>
      <c r="H117" s="32"/>
    </row>
    <row r="118" spans="1:8" x14ac:dyDescent="0.25">
      <c r="A118" s="32"/>
      <c r="B118" s="10" t="s">
        <v>165</v>
      </c>
      <c r="C118" s="32"/>
      <c r="D118" s="32"/>
      <c r="E118" s="32"/>
      <c r="F118" s="32"/>
      <c r="G118" s="32"/>
      <c r="H118" s="32"/>
    </row>
    <row r="119" spans="1:8" x14ac:dyDescent="0.25">
      <c r="A119" s="13"/>
      <c r="B119" s="13" t="s">
        <v>166</v>
      </c>
      <c r="C119" s="13"/>
      <c r="D119" s="13"/>
      <c r="E119" s="13"/>
      <c r="F119" s="13"/>
      <c r="G119" s="13"/>
      <c r="H119" s="32"/>
    </row>
    <row r="120" spans="1:8" x14ac:dyDescent="0.25">
      <c r="A120" s="13"/>
      <c r="B120" s="33" t="s">
        <v>167</v>
      </c>
      <c r="C120" s="34" t="s">
        <v>168</v>
      </c>
      <c r="D120" s="33" t="s">
        <v>169</v>
      </c>
      <c r="E120" s="13"/>
      <c r="F120" s="13"/>
      <c r="G120" s="13"/>
      <c r="H120" s="32"/>
    </row>
    <row r="121" spans="1:8" x14ac:dyDescent="0.25">
      <c r="A121" s="13"/>
      <c r="B121" s="10" t="s">
        <v>170</v>
      </c>
      <c r="C121" s="16">
        <v>16.047799999999999</v>
      </c>
      <c r="D121" s="16">
        <v>16.005700000000001</v>
      </c>
      <c r="E121" s="13"/>
      <c r="F121" s="13"/>
      <c r="G121" s="13"/>
      <c r="H121" s="32"/>
    </row>
    <row r="122" spans="1:8" x14ac:dyDescent="0.25">
      <c r="A122" s="13"/>
      <c r="B122" s="10" t="s">
        <v>171</v>
      </c>
      <c r="C122" s="16">
        <v>16.3414</v>
      </c>
      <c r="D122" s="16">
        <v>16.293199999999999</v>
      </c>
      <c r="E122" s="13"/>
      <c r="F122" s="13"/>
      <c r="G122" s="13"/>
      <c r="H122" s="32"/>
    </row>
    <row r="123" spans="1:8" x14ac:dyDescent="0.25">
      <c r="A123" s="13"/>
      <c r="B123" s="10" t="s">
        <v>13</v>
      </c>
      <c r="C123" s="13"/>
      <c r="D123" s="13"/>
      <c r="E123" s="13"/>
      <c r="F123" s="13"/>
      <c r="G123" s="13"/>
      <c r="H123" s="32"/>
    </row>
    <row r="124" spans="1:8" x14ac:dyDescent="0.25">
      <c r="A124" s="13"/>
      <c r="B124" s="13"/>
      <c r="C124" s="13"/>
      <c r="D124" s="13"/>
      <c r="E124" s="13"/>
      <c r="F124" s="13"/>
      <c r="G124" s="13"/>
      <c r="H124" s="32"/>
    </row>
    <row r="125" spans="1:8" x14ac:dyDescent="0.25">
      <c r="A125" s="13"/>
      <c r="B125" s="13" t="s">
        <v>172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13"/>
      <c r="C126" s="13"/>
      <c r="D126" s="13"/>
      <c r="E126" s="13"/>
      <c r="F126" s="13"/>
      <c r="G126" s="13"/>
      <c r="H126" s="32"/>
    </row>
    <row r="127" spans="1:8" x14ac:dyDescent="0.25">
      <c r="A127" s="13"/>
      <c r="B127" s="13" t="s">
        <v>173</v>
      </c>
      <c r="C127" s="13"/>
      <c r="D127" s="13"/>
      <c r="E127" s="13"/>
      <c r="F127" s="13"/>
      <c r="G127" s="13"/>
      <c r="H127" s="32"/>
    </row>
    <row r="128" spans="1:8" x14ac:dyDescent="0.25">
      <c r="A128" s="32"/>
      <c r="B128" s="32"/>
      <c r="C128" s="32"/>
      <c r="D128" s="32"/>
      <c r="E128" s="32"/>
      <c r="F128" s="32"/>
      <c r="G128" s="32"/>
      <c r="H128" s="32"/>
    </row>
    <row r="129" spans="1:8" x14ac:dyDescent="0.25">
      <c r="A129" s="13"/>
      <c r="B129" s="13" t="s">
        <v>174</v>
      </c>
      <c r="C129" s="13"/>
      <c r="D129" s="13"/>
      <c r="E129" s="13"/>
      <c r="F129" s="13"/>
      <c r="G129" s="13"/>
      <c r="H129" s="13"/>
    </row>
    <row r="130" spans="1:8" x14ac:dyDescent="0.25">
      <c r="A130" s="13"/>
      <c r="B130" s="13" t="s">
        <v>175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176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177</v>
      </c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178</v>
      </c>
      <c r="C133" s="13"/>
      <c r="D133" s="13"/>
      <c r="E133" s="13"/>
      <c r="F133" s="13"/>
      <c r="G133" s="13"/>
      <c r="H133" s="32"/>
    </row>
    <row r="134" spans="1:8" x14ac:dyDescent="0.25">
      <c r="A134" s="13"/>
      <c r="B134" s="13" t="s">
        <v>179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180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181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182</v>
      </c>
      <c r="C137" s="13"/>
      <c r="D137" s="13"/>
      <c r="E137" s="13"/>
      <c r="F137" s="13"/>
      <c r="G137" s="13"/>
      <c r="H137" s="32"/>
    </row>
    <row r="139" spans="1:8" x14ac:dyDescent="0.25">
      <c r="B139" s="35" t="s">
        <v>183</v>
      </c>
    </row>
    <row r="155" spans="2:2" x14ac:dyDescent="0.25">
      <c r="B155" s="35" t="s">
        <v>184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2026-01-08T09:00:38Z</dcterms:created>
  <dcterms:modified xsi:type="dcterms:W3CDTF">2026-01-08T09:00:39Z</dcterms:modified>
</cp:coreProperties>
</file>