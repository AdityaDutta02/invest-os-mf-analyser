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HDFCRETHDP" sheetId="1" r:id="rId1"/>
    <sheet name="DerivativeHDFCRETHD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1" hidden="1">_xll.Formula.SK([35]Hyperlinks!$A$2,1)</definedName>
    <definedName name="SheetKraftFormula117" hidden="1">_xll.Formula.SK(#REF!,1)</definedName>
    <definedName name="SheetKraftFormula118" localSheetId="1" hidden="1">_xll.Formula.SK([35]Hyperlinks!$C$3,)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localSheetId="1" hidden="1">_xll.Formula.SK([35]Hyperlinks!$C$2,1)</definedName>
    <definedName name="SheetKraftFormula193" hidden="1">_xll.Formula.SK(#REF!,1)</definedName>
    <definedName name="SheetKraftFormula194" localSheetId="1" hidden="1">_xll.Formula.SK([35]Hyperlinks!$A$3,1)</definedName>
    <definedName name="SheetKraftFormula194" hidden="1">_xll.Formula.SK(#REF!,1)</definedName>
    <definedName name="SheetKraftFormula195" localSheetId="1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localSheetId="1" hidden="1">_xll.Formula.SK([35]Hyperlinks!$B$2,1)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2" l="1"/>
  <c r="E12" i="2"/>
  <c r="D12" i="2"/>
  <c r="C12" i="2"/>
  <c r="G11" i="2"/>
  <c r="G10" i="2"/>
  <c r="G9" i="2"/>
  <c r="G12" i="2" s="1"/>
</calcChain>
</file>

<file path=xl/sharedStrings.xml><?xml version="1.0" encoding="utf-8"?>
<sst xmlns="http://schemas.openxmlformats.org/spreadsheetml/2006/main" count="509" uniqueCount="207">
  <si>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</si>
  <si>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</si>
  <si>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</si>
  <si>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</si>
  <si>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</si>
  <si>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</si>
  <si>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</si>
  <si>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</si>
  <si>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</si>
  <si>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</si>
  <si>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</si>
  <si>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</si>
  <si>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</si>
  <si>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</si>
  <si>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</si>
  <si>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</si>
  <si>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</si>
  <si>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</si>
  <si>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</si>
  <si>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INE018A01030</t>
  </si>
  <si>
    <t/>
  </si>
  <si>
    <t>Larsen and Toubro Ltd.</t>
  </si>
  <si>
    <t>Construction</t>
  </si>
  <si>
    <t>INE467B01029</t>
  </si>
  <si>
    <t>Tata Consultancy Services Ltd.</t>
  </si>
  <si>
    <t>IT - Software</t>
  </si>
  <si>
    <t>INE002A01018</t>
  </si>
  <si>
    <t>Reliance Industries Ltd.</t>
  </si>
  <si>
    <t>Petroleum Products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</si>
  <si>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</si>
  <si>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</si>
  <si>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</si>
  <si>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</si>
  <si>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</si>
  <si>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</si>
  <si>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</si>
  <si>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INE397D01024</t>
  </si>
  <si>
    <t>Bharti Airtel Ltd.</t>
  </si>
  <si>
    <t>Telecom - Services</t>
  </si>
  <si>
    <t>INE238A01034</t>
  </si>
  <si>
    <t>Axis Bank Ltd.</t>
  </si>
  <si>
    <t>INE585B01010</t>
  </si>
  <si>
    <t>Maruti Suzuki India Limited</t>
  </si>
  <si>
    <t>Automobiles</t>
  </si>
  <si>
    <t>INE009A01021</t>
  </si>
  <si>
    <t>Infosys Limited</t>
  </si>
  <si>
    <t>INE765G01017</t>
  </si>
  <si>
    <t>ICICI Lombard General Insurance Co</t>
  </si>
  <si>
    <t>Insurance</t>
  </si>
  <si>
    <t>INE688A01022</t>
  </si>
  <si>
    <t>Transport Corporation of India Ltd.</t>
  </si>
  <si>
    <t>Transport Services</t>
  </si>
  <si>
    <t>INE154A01025</t>
  </si>
  <si>
    <t>ITC LIMITED</t>
  </si>
  <si>
    <t>Diversified FMCG</t>
  </si>
  <si>
    <t>INE123W01016</t>
  </si>
  <si>
    <t>SBI Life Insurance Company Ltd.</t>
  </si>
  <si>
    <t>INE162B01018</t>
  </si>
  <si>
    <t>Lumax Industries Ltd</t>
  </si>
  <si>
    <t>Auto Components</t>
  </si>
  <si>
    <t>INE491A01021</t>
  </si>
  <si>
    <t>City Union Bank Ltd.</t>
  </si>
  <si>
    <t>INE326A01037</t>
  </si>
  <si>
    <t>Lupin Ltd.</t>
  </si>
  <si>
    <t>Pharmaceuticals &amp; Biotechnology</t>
  </si>
  <si>
    <t>INE386A01023</t>
  </si>
  <si>
    <t>Vesuvius India Ltd.</t>
  </si>
  <si>
    <t>Industrial Products</t>
  </si>
  <si>
    <t>INE752E01010</t>
  </si>
  <si>
    <t>Power Grid Corporation of India Ltd.</t>
  </si>
  <si>
    <t>Power</t>
  </si>
  <si>
    <t>INE600L01024</t>
  </si>
  <si>
    <t>Dr. Lal Path Labs Ltd</t>
  </si>
  <si>
    <t>Healthcare Services</t>
  </si>
  <si>
    <t>INE220B01022</t>
  </si>
  <si>
    <t>Kalpataru Projects International Ltd</t>
  </si>
  <si>
    <t>INE246F01010</t>
  </si>
  <si>
    <t>Gujarat State Petronet Ltd.</t>
  </si>
  <si>
    <t>Gas</t>
  </si>
  <si>
    <t>INE540L01014</t>
  </si>
  <si>
    <t>Alkem Laboratories Ltd.</t>
  </si>
  <si>
    <t>INE517F01014</t>
  </si>
  <si>
    <t>Gujarat Pipavav Port Ltd.</t>
  </si>
  <si>
    <t>Transport Infrastructure</t>
  </si>
  <si>
    <t>INE462A01022</t>
  </si>
  <si>
    <t>Bayer Cropscience Ltd</t>
  </si>
  <si>
    <t>Fertilizers &amp; Agrochemicals</t>
  </si>
  <si>
    <t>INE901L01018</t>
  </si>
  <si>
    <t>Alembic Pharmaceuticals Limited</t>
  </si>
  <si>
    <t>INE094A01015</t>
  </si>
  <si>
    <t>Hindustan Petroleum Corp. Ltd.</t>
  </si>
  <si>
    <t>INE225D01027</t>
  </si>
  <si>
    <t>Symphony Ltd.</t>
  </si>
  <si>
    <t>Consumer Durables</t>
  </si>
  <si>
    <t>INE331A01037</t>
  </si>
  <si>
    <t>The Ramco Cements Ltd.</t>
  </si>
  <si>
    <t>Cement &amp; Cement Products</t>
  </si>
  <si>
    <t>INE235A01022</t>
  </si>
  <si>
    <t>Finolex Cables Ltd.</t>
  </si>
  <si>
    <t>INE825A01020</t>
  </si>
  <si>
    <t>Vardhman Textiles Ltd.</t>
  </si>
  <si>
    <t>Textiles &amp; Apparels</t>
  </si>
  <si>
    <t>INE079J01017</t>
  </si>
  <si>
    <t>Gateway Distriparks Limited</t>
  </si>
  <si>
    <t>INE533A01012</t>
  </si>
  <si>
    <t>Goodyear India Ltd.</t>
  </si>
  <si>
    <t>INE275B01026</t>
  </si>
  <si>
    <t>Huhtamaki India Limited</t>
  </si>
  <si>
    <t>INE540H01012</t>
  </si>
  <si>
    <t>Voltamp Transformers Ltd.</t>
  </si>
  <si>
    <t>Electrical Equipment</t>
  </si>
  <si>
    <t>INE294Z01018</t>
  </si>
  <si>
    <t>The Anup Engineering Limited</t>
  </si>
  <si>
    <t>Industrial Manufacturing</t>
  </si>
  <si>
    <t>INE854D01024</t>
  </si>
  <si>
    <t>United Spirits Limited</t>
  </si>
  <si>
    <t>Beverages</t>
  </si>
  <si>
    <t>INE191H01014</t>
  </si>
  <si>
    <t>PVR LIMITED</t>
  </si>
  <si>
    <t>Entertainment</t>
  </si>
  <si>
    <t>INE19RI01016</t>
  </si>
  <si>
    <t>TENNECO CLEAN AIR INDIA LIMITED</t>
  </si>
  <si>
    <t>INE772T01024</t>
  </si>
  <si>
    <t>Popular Vehicles and Services Limited</t>
  </si>
  <si>
    <t>Sub Total</t>
  </si>
  <si>
    <t>Total</t>
  </si>
  <si>
    <t>DEBT INSTRUMENTS</t>
  </si>
  <si>
    <t>Government Securities (Central/State)</t>
  </si>
  <si>
    <t>IN0020200252</t>
  </si>
  <si>
    <t>6.67% GOI MAT 171250</t>
  </si>
  <si>
    <t>Sovereign</t>
  </si>
  <si>
    <t>IN0020200096</t>
  </si>
  <si>
    <t>6.19% GOI MAT 160934</t>
  </si>
  <si>
    <t>IN0020190065</t>
  </si>
  <si>
    <t>7.57% GOI MAT 170633^</t>
  </si>
  <si>
    <t>IN0020110055</t>
  </si>
  <si>
    <t>8.97% GOI MAT 051230^</t>
  </si>
  <si>
    <t>IN0020040039</t>
  </si>
  <si>
    <t>7.5% GOI MAT 100834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</si>
  <si>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</si>
  <si>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</si>
  <si>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</si>
  <si>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</si>
  <si>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</si>
  <si>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</si>
  <si>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</si>
  <si>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(Perpetual)^</t>
  </si>
  <si>
    <t>CRISIL - AA+</t>
  </si>
  <si>
    <t>INE053F07AZ4</t>
  </si>
  <si>
    <t>Indian Railways Finance Corp. Ltd.^</t>
  </si>
  <si>
    <t>CRISIL - AAA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</si>
  <si>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</si>
  <si>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</si>
  <si>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</si>
  <si>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</si>
  <si>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</si>
  <si>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</si>
  <si>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</si>
  <si>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</si>
  <si>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</si>
  <si>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</si>
  <si>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</si>
  <si>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</si>
  <si>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</si>
  <si>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</si>
  <si>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</si>
  <si>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</si>
  <si>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</si>
  <si>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</si>
  <si>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</si>
  <si>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</si>
  <si>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</si>
  <si>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</si>
  <si>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</si>
  <si>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</si>
  <si>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</si>
  <si>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</si>
  <si>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</si>
  <si>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</si>
  <si>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</si>
  <si>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</si>
  <si>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</si>
  <si>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</si>
  <si>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</si>
  <si>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Rs.(2863.58)Lacs</t>
  </si>
  <si>
    <t>6) Annualised Portfolio YTM : 6.62%</t>
  </si>
  <si>
    <t>7) Macaulay Duration : 1605.13 Days</t>
  </si>
  <si>
    <t>8) Residual Maturity (Average Portfolio Maturity-other than equity investments) : 2613.44 Days</t>
  </si>
  <si>
    <t>9) IDCW stands for Income Distribution cum Capital Withdrawal</t>
  </si>
  <si>
    <t>10) Riskometer based on Scheme Portfolio and Portfolio Benchmark "NIFTY 50 Hybrid Composite Debt 15:85 Index" as on Nov 30, 2025</t>
  </si>
  <si>
    <t>11) Please follow this link for Scheme Performances: https://www.hdfcfund.com/statutory-disclosure/scheme-performance</t>
  </si>
  <si>
    <t>Scheme Riskometer:</t>
  </si>
  <si>
    <t>Benchmark Riskometer:</t>
  </si>
  <si>
    <t>DERIVATIVE DISCLOSURE - HDFC RETIREMENT SAVINGS FUND -HYBRID- DEBT PLAN</t>
  </si>
  <si>
    <t>Disclosure regarding Derivative positions pursuant to SEBI Circular no. CIR/IMD/DF/11/2010 dated August 30, 2010.</t>
  </si>
  <si>
    <t>A.  Hedging Positions through Futures as on November 30, 2025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</si>
  <si>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</si>
  <si>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</si>
  <si>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</si>
  <si>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</si>
  <si>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</si>
  <si>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</si>
  <si>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</si>
  <si>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Larsen &amp; Toubro Ltd.</t>
  </si>
  <si>
    <t>B.  Other than Hedging Positions through Futures as on November 30, 2025 - Nil</t>
  </si>
  <si>
    <t>C.  Hedging Positions through Options as on November 30, 2025 - Nil</t>
  </si>
  <si>
    <t>D.  Other than Hedging Positions through Options as on November 30,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</si>
</sst>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3" fillId="0" borderId="0"/>
    <xf numFmtId="165" fontId="12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4" fillId="0" borderId="0" xfId="1" applyFont="1" applyFill="1" applyBorder="1" applyAlignment="1"/>
    <xf numFmtId="0" fontId="14" fillId="0" borderId="0" xfId="1" applyFont="1" applyFill="1" applyBorder="1" applyAlignment="1">
      <alignment horizontal="right"/>
    </xf>
    <xf numFmtId="0" fontId="15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  <xf numFmtId="0" fontId="15" fillId="0" borderId="1" xfId="1" applyFont="1" applyFill="1" applyBorder="1" applyAlignment="1">
      <alignment horizontal="center" vertical="center" wrapText="1"/>
    </xf>
    <xf numFmtId="165" fontId="16" fillId="0" borderId="1" xfId="2" applyFont="1" applyBorder="1" applyAlignment="1">
      <alignment horizontal="center" vertical="center" wrapText="1"/>
    </xf>
    <xf numFmtId="0" fontId="14" fillId="0" borderId="1" xfId="1" applyFont="1" applyFill="1" applyBorder="1" applyAlignment="1"/>
    <xf numFmtId="165" fontId="14" fillId="0" borderId="1" xfId="2" applyFont="1" applyFill="1" applyBorder="1" applyAlignment="1">
      <alignment horizontal="right" vertical="center"/>
    </xf>
    <xf numFmtId="165" fontId="14" fillId="0" borderId="2" xfId="2" applyFont="1" applyFill="1" applyBorder="1" applyAlignment="1">
      <alignment horizontal="right" vertical="top"/>
    </xf>
    <xf numFmtId="165" fontId="14" fillId="0" borderId="1" xfId="2" applyFont="1" applyFill="1" applyBorder="1" applyAlignment="1"/>
    <xf numFmtId="0" fontId="14" fillId="0" borderId="3" xfId="1" applyFont="1" applyFill="1" applyBorder="1" applyAlignment="1"/>
    <xf numFmtId="0" fontId="14" fillId="0" borderId="2" xfId="1" applyFont="1" applyFill="1" applyBorder="1" applyAlignment="1"/>
    <xf numFmtId="165" fontId="15" fillId="0" borderId="1" xfId="2" applyFont="1" applyFill="1" applyBorder="1" applyAlignment="1"/>
    <xf numFmtId="165" fontId="14" fillId="0" borderId="0" xfId="2" applyFont="1" applyFill="1" applyBorder="1" applyAlignment="1"/>
    <xf numFmtId="0" fontId="14" fillId="0" borderId="4" xfId="1" applyFont="1" applyFill="1" applyBorder="1" applyAlignment="1">
      <alignment vertical="top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1492250</xdr:colOff>
      <xdr:row>135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694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2</xdr:col>
      <xdr:colOff>1492250</xdr:colOff>
      <xdr:row>151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641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5-26/November%202025/Monthly/Portfolio/Monthly%20Portfolios%20for%20November%202025-%20Deb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HI"/>
      <sheetName val="HDFCIN"/>
      <sheetName val="HDFLSP"/>
      <sheetName val="HIFSTP"/>
      <sheetName val="HDFCMO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>
        <row r="2">
          <cell r="A2" t="str">
            <v>HDFC1DLETF</v>
          </cell>
          <cell r="B2" t="str">
            <v>HDFC NIFTY 1D RATE LIQUID ETF</v>
          </cell>
          <cell r="C2" t="str">
            <v>HDFC1DLETF</v>
          </cell>
        </row>
        <row r="3">
          <cell r="A3" t="str">
            <v>HDFCAALFOF</v>
          </cell>
          <cell r="C3" t="str">
            <v>HDFCAALFOF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38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1" width="15.7265625" style="3" customWidth="1"/>
    <col min="12" max="12" width="10.453125" style="3" customWidth="1"/>
    <col min="13" max="16384" width="8.7265625" style="3"/>
  </cols>
  <sheetData>
    <row r="1" spans="1:12" ht="34" customHeight="1" x14ac:dyDescent="0.4">
      <c r="A1" s="30" t="s">
        <v>0</v>
      </c>
      <c r="B1" s="30" t="s">
        <v>0</v>
      </c>
      <c r="C1" s="30" t="s">
        <v>0</v>
      </c>
      <c r="D1" s="30" t="s">
        <v>0</v>
      </c>
      <c r="E1" s="30" t="s">
        <v>0</v>
      </c>
      <c r="F1" s="30" t="s">
        <v>0</v>
      </c>
      <c r="G1" s="30" t="s">
        <v>0</v>
      </c>
      <c r="H1" s="30" t="s">
        <v>0</v>
      </c>
      <c r="I1" s="30" t="s">
        <v>0</v>
      </c>
      <c r="J1" s="30" t="s">
        <v>0</v>
      </c>
      <c r="K1" s="1" t="s">
        <v>1</v>
      </c>
      <c r="L1" s="2" t="s">
        <v>2</v>
      </c>
    </row>
    <row r="2" spans="1:12" x14ac:dyDescent="0.35">
      <c r="A2" s="31" t="s">
        <v>3</v>
      </c>
      <c r="B2" s="31" t="s">
        <v>3</v>
      </c>
      <c r="C2" s="31" t="s">
        <v>3</v>
      </c>
      <c r="D2" s="31" t="s">
        <v>3</v>
      </c>
      <c r="E2" s="31" t="s">
        <v>3</v>
      </c>
      <c r="F2" s="31" t="s">
        <v>3</v>
      </c>
      <c r="G2" s="31" t="s">
        <v>3</v>
      </c>
      <c r="H2" s="31" t="s">
        <v>3</v>
      </c>
      <c r="I2" s="31" t="s">
        <v>3</v>
      </c>
      <c r="J2" s="31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5" t="s">
        <v>14</v>
      </c>
    </row>
    <row r="6" spans="1:12" x14ac:dyDescent="0.3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28200</v>
      </c>
      <c r="G9" s="13">
        <v>1147.6300000000001</v>
      </c>
      <c r="H9" s="13">
        <v>7.1</v>
      </c>
      <c r="I9" s="14" t="s">
        <v>20</v>
      </c>
      <c r="J9" s="14" t="s">
        <v>20</v>
      </c>
      <c r="K9" s="15">
        <v>6.39</v>
      </c>
      <c r="L9" s="16">
        <v>0.76</v>
      </c>
    </row>
    <row r="10" spans="1:12" x14ac:dyDescent="0.3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35800</v>
      </c>
      <c r="G10" s="13">
        <v>1123.23</v>
      </c>
      <c r="H10" s="13">
        <v>6.95</v>
      </c>
      <c r="I10" s="14" t="s">
        <v>20</v>
      </c>
      <c r="J10" s="14" t="s">
        <v>20</v>
      </c>
      <c r="K10" s="15">
        <v>6.01</v>
      </c>
      <c r="L10" s="16">
        <v>0.97</v>
      </c>
    </row>
    <row r="11" spans="1:12" x14ac:dyDescent="0.35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66500</v>
      </c>
      <c r="G11" s="13">
        <v>1042.3900000000001</v>
      </c>
      <c r="H11" s="13">
        <v>6.45</v>
      </c>
      <c r="I11" s="14" t="s">
        <v>20</v>
      </c>
      <c r="J11" s="14" t="s">
        <v>20</v>
      </c>
      <c r="K11" s="15">
        <v>5.31</v>
      </c>
      <c r="L11" s="16">
        <v>1.1599999999999999</v>
      </c>
    </row>
    <row r="12" spans="1:12" x14ac:dyDescent="0.35">
      <c r="A12" s="10" t="s">
        <v>20</v>
      </c>
      <c r="B12" s="11" t="s">
        <v>29</v>
      </c>
      <c r="C12" s="11" t="s">
        <v>20</v>
      </c>
      <c r="D12" s="11" t="s">
        <v>30</v>
      </c>
      <c r="E12" s="11" t="s">
        <v>31</v>
      </c>
      <c r="F12" s="12">
        <v>43800</v>
      </c>
      <c r="G12" s="13">
        <v>441.33</v>
      </c>
      <c r="H12" s="13">
        <v>2.73</v>
      </c>
      <c r="I12" s="14" t="s">
        <v>20</v>
      </c>
      <c r="J12" s="14" t="s">
        <v>20</v>
      </c>
      <c r="K12" s="15">
        <v>0</v>
      </c>
      <c r="L12" s="16">
        <v>2.73</v>
      </c>
    </row>
    <row r="13" spans="1:12" x14ac:dyDescent="0.35">
      <c r="A13" s="10" t="s">
        <v>20</v>
      </c>
      <c r="B13" s="11" t="s">
        <v>32</v>
      </c>
      <c r="C13" s="11" t="s">
        <v>20</v>
      </c>
      <c r="D13" s="11" t="s">
        <v>33</v>
      </c>
      <c r="E13" s="11" t="s">
        <v>31</v>
      </c>
      <c r="F13" s="12">
        <v>30000</v>
      </c>
      <c r="G13" s="13">
        <v>416.64</v>
      </c>
      <c r="H13" s="13">
        <v>2.58</v>
      </c>
      <c r="I13" s="14" t="s">
        <v>20</v>
      </c>
      <c r="J13" s="14" t="s">
        <v>20</v>
      </c>
      <c r="K13" s="15">
        <v>0</v>
      </c>
      <c r="L13" s="16">
        <v>2.58</v>
      </c>
    </row>
    <row r="14" spans="1:12" x14ac:dyDescent="0.35">
      <c r="A14" s="10" t="s">
        <v>20</v>
      </c>
      <c r="B14" s="11" t="s">
        <v>34</v>
      </c>
      <c r="C14" s="11" t="s">
        <v>20</v>
      </c>
      <c r="D14" s="11" t="s">
        <v>35</v>
      </c>
      <c r="E14" s="11" t="s">
        <v>31</v>
      </c>
      <c r="F14" s="12">
        <v>19500</v>
      </c>
      <c r="G14" s="13">
        <v>190.91</v>
      </c>
      <c r="H14" s="13">
        <v>1.18</v>
      </c>
      <c r="I14" s="14" t="s">
        <v>20</v>
      </c>
      <c r="J14" s="14" t="s">
        <v>20</v>
      </c>
      <c r="K14" s="15">
        <v>0</v>
      </c>
      <c r="L14" s="16">
        <v>1.18</v>
      </c>
    </row>
    <row r="15" spans="1:12" x14ac:dyDescent="0.35">
      <c r="A15" s="10" t="s">
        <v>20</v>
      </c>
      <c r="B15" s="11" t="s">
        <v>36</v>
      </c>
      <c r="C15" s="11" t="s">
        <v>20</v>
      </c>
      <c r="D15" s="11" t="s">
        <v>37</v>
      </c>
      <c r="E15" s="11" t="s">
        <v>38</v>
      </c>
      <c r="F15" s="12">
        <v>8000</v>
      </c>
      <c r="G15" s="13">
        <v>168.13</v>
      </c>
      <c r="H15" s="13">
        <v>1.04</v>
      </c>
      <c r="I15" s="14" t="s">
        <v>20</v>
      </c>
      <c r="J15" s="14" t="s">
        <v>20</v>
      </c>
      <c r="K15" s="15">
        <v>0</v>
      </c>
      <c r="L15" s="16">
        <v>1.04</v>
      </c>
    </row>
    <row r="16" spans="1:12" x14ac:dyDescent="0.35">
      <c r="A16" s="10" t="s">
        <v>20</v>
      </c>
      <c r="B16" s="11" t="s">
        <v>39</v>
      </c>
      <c r="C16" s="11" t="s">
        <v>20</v>
      </c>
      <c r="D16" s="11" t="s">
        <v>40</v>
      </c>
      <c r="E16" s="11" t="s">
        <v>31</v>
      </c>
      <c r="F16" s="12">
        <v>13000</v>
      </c>
      <c r="G16" s="13">
        <v>166.36</v>
      </c>
      <c r="H16" s="13">
        <v>1.03</v>
      </c>
      <c r="I16" s="14" t="s">
        <v>20</v>
      </c>
      <c r="J16" s="14" t="s">
        <v>20</v>
      </c>
      <c r="K16" s="15">
        <v>0</v>
      </c>
      <c r="L16" s="16">
        <v>1.03</v>
      </c>
    </row>
    <row r="17" spans="1:12" x14ac:dyDescent="0.35">
      <c r="A17" s="10" t="s">
        <v>20</v>
      </c>
      <c r="B17" s="11" t="s">
        <v>41</v>
      </c>
      <c r="C17" s="11" t="s">
        <v>20</v>
      </c>
      <c r="D17" s="11" t="s">
        <v>42</v>
      </c>
      <c r="E17" s="11" t="s">
        <v>43</v>
      </c>
      <c r="F17" s="12">
        <v>1000</v>
      </c>
      <c r="G17" s="13">
        <v>159</v>
      </c>
      <c r="H17" s="13">
        <v>0.98</v>
      </c>
      <c r="I17" s="14" t="s">
        <v>20</v>
      </c>
      <c r="J17" s="14" t="s">
        <v>20</v>
      </c>
      <c r="K17" s="15">
        <v>0</v>
      </c>
      <c r="L17" s="16">
        <v>0.98</v>
      </c>
    </row>
    <row r="18" spans="1:12" x14ac:dyDescent="0.35">
      <c r="A18" s="10" t="s">
        <v>20</v>
      </c>
      <c r="B18" s="11" t="s">
        <v>44</v>
      </c>
      <c r="C18" s="11" t="s">
        <v>20</v>
      </c>
      <c r="D18" s="11" t="s">
        <v>45</v>
      </c>
      <c r="E18" s="11" t="s">
        <v>25</v>
      </c>
      <c r="F18" s="12">
        <v>9000</v>
      </c>
      <c r="G18" s="13">
        <v>140.41</v>
      </c>
      <c r="H18" s="13">
        <v>0.87</v>
      </c>
      <c r="I18" s="14" t="s">
        <v>20</v>
      </c>
      <c r="J18" s="14" t="s">
        <v>20</v>
      </c>
      <c r="K18" s="15">
        <v>0</v>
      </c>
      <c r="L18" s="16">
        <v>0.87</v>
      </c>
    </row>
    <row r="19" spans="1:12" x14ac:dyDescent="0.35">
      <c r="A19" s="10" t="s">
        <v>20</v>
      </c>
      <c r="B19" s="11" t="s">
        <v>46</v>
      </c>
      <c r="C19" s="11" t="s">
        <v>20</v>
      </c>
      <c r="D19" s="11" t="s">
        <v>47</v>
      </c>
      <c r="E19" s="11" t="s">
        <v>48</v>
      </c>
      <c r="F19" s="12">
        <v>6000</v>
      </c>
      <c r="G19" s="13">
        <v>118.23</v>
      </c>
      <c r="H19" s="13">
        <v>0.73</v>
      </c>
      <c r="I19" s="14" t="s">
        <v>20</v>
      </c>
      <c r="J19" s="14" t="s">
        <v>20</v>
      </c>
      <c r="K19" s="15">
        <v>0</v>
      </c>
      <c r="L19" s="16">
        <v>0.73</v>
      </c>
    </row>
    <row r="20" spans="1:12" x14ac:dyDescent="0.35">
      <c r="A20" s="10" t="s">
        <v>20</v>
      </c>
      <c r="B20" s="11" t="s">
        <v>49</v>
      </c>
      <c r="C20" s="11" t="s">
        <v>20</v>
      </c>
      <c r="D20" s="11" t="s">
        <v>50</v>
      </c>
      <c r="E20" s="11" t="s">
        <v>51</v>
      </c>
      <c r="F20" s="12">
        <v>10000</v>
      </c>
      <c r="G20" s="13">
        <v>109.28</v>
      </c>
      <c r="H20" s="13">
        <v>0.68</v>
      </c>
      <c r="I20" s="14" t="s">
        <v>20</v>
      </c>
      <c r="J20" s="14" t="s">
        <v>20</v>
      </c>
      <c r="K20" s="15">
        <v>0</v>
      </c>
      <c r="L20" s="16">
        <v>0.68</v>
      </c>
    </row>
    <row r="21" spans="1:12" x14ac:dyDescent="0.35">
      <c r="A21" s="10" t="s">
        <v>20</v>
      </c>
      <c r="B21" s="11" t="s">
        <v>52</v>
      </c>
      <c r="C21" s="11" t="s">
        <v>20</v>
      </c>
      <c r="D21" s="11" t="s">
        <v>53</v>
      </c>
      <c r="E21" s="11" t="s">
        <v>54</v>
      </c>
      <c r="F21" s="12">
        <v>25000</v>
      </c>
      <c r="G21" s="13">
        <v>101.06</v>
      </c>
      <c r="H21" s="13">
        <v>0.63</v>
      </c>
      <c r="I21" s="14" t="s">
        <v>20</v>
      </c>
      <c r="J21" s="14" t="s">
        <v>20</v>
      </c>
      <c r="K21" s="15">
        <v>0</v>
      </c>
      <c r="L21" s="16">
        <v>0.63</v>
      </c>
    </row>
    <row r="22" spans="1:12" x14ac:dyDescent="0.35">
      <c r="A22" s="10" t="s">
        <v>20</v>
      </c>
      <c r="B22" s="11" t="s">
        <v>55</v>
      </c>
      <c r="C22" s="11" t="s">
        <v>20</v>
      </c>
      <c r="D22" s="11" t="s">
        <v>56</v>
      </c>
      <c r="E22" s="11" t="s">
        <v>48</v>
      </c>
      <c r="F22" s="12">
        <v>5000</v>
      </c>
      <c r="G22" s="13">
        <v>98.3</v>
      </c>
      <c r="H22" s="13">
        <v>0.61</v>
      </c>
      <c r="I22" s="14" t="s">
        <v>20</v>
      </c>
      <c r="J22" s="14" t="s">
        <v>20</v>
      </c>
      <c r="K22" s="15">
        <v>0</v>
      </c>
      <c r="L22" s="16">
        <v>0.61</v>
      </c>
    </row>
    <row r="23" spans="1:12" x14ac:dyDescent="0.35">
      <c r="A23" s="10" t="s">
        <v>20</v>
      </c>
      <c r="B23" s="11" t="s">
        <v>57</v>
      </c>
      <c r="C23" s="11" t="s">
        <v>20</v>
      </c>
      <c r="D23" s="11" t="s">
        <v>58</v>
      </c>
      <c r="E23" s="11" t="s">
        <v>59</v>
      </c>
      <c r="F23" s="12">
        <v>1500</v>
      </c>
      <c r="G23" s="13">
        <v>84.16</v>
      </c>
      <c r="H23" s="13">
        <v>0.52</v>
      </c>
      <c r="I23" s="14" t="s">
        <v>20</v>
      </c>
      <c r="J23" s="14" t="s">
        <v>20</v>
      </c>
      <c r="K23" s="15">
        <v>0</v>
      </c>
      <c r="L23" s="16">
        <v>0.52</v>
      </c>
    </row>
    <row r="24" spans="1:12" x14ac:dyDescent="0.35">
      <c r="A24" s="10" t="s">
        <v>20</v>
      </c>
      <c r="B24" s="11" t="s">
        <v>60</v>
      </c>
      <c r="C24" s="11" t="s">
        <v>20</v>
      </c>
      <c r="D24" s="11" t="s">
        <v>61</v>
      </c>
      <c r="E24" s="11" t="s">
        <v>31</v>
      </c>
      <c r="F24" s="12">
        <v>30000</v>
      </c>
      <c r="G24" s="13">
        <v>81.319999999999993</v>
      </c>
      <c r="H24" s="13">
        <v>0.5</v>
      </c>
      <c r="I24" s="14" t="s">
        <v>20</v>
      </c>
      <c r="J24" s="14" t="s">
        <v>20</v>
      </c>
      <c r="K24" s="15">
        <v>0</v>
      </c>
      <c r="L24" s="16">
        <v>0.5</v>
      </c>
    </row>
    <row r="25" spans="1:12" x14ac:dyDescent="0.35">
      <c r="A25" s="10" t="s">
        <v>20</v>
      </c>
      <c r="B25" s="11" t="s">
        <v>62</v>
      </c>
      <c r="C25" s="11" t="s">
        <v>20</v>
      </c>
      <c r="D25" s="11" t="s">
        <v>63</v>
      </c>
      <c r="E25" s="11" t="s">
        <v>64</v>
      </c>
      <c r="F25" s="12">
        <v>3500</v>
      </c>
      <c r="G25" s="13">
        <v>72.88</v>
      </c>
      <c r="H25" s="13">
        <v>0.45</v>
      </c>
      <c r="I25" s="14" t="s">
        <v>20</v>
      </c>
      <c r="J25" s="14" t="s">
        <v>20</v>
      </c>
      <c r="K25" s="15">
        <v>0</v>
      </c>
      <c r="L25" s="16">
        <v>0.45</v>
      </c>
    </row>
    <row r="26" spans="1:12" x14ac:dyDescent="0.35">
      <c r="A26" s="10" t="s">
        <v>20</v>
      </c>
      <c r="B26" s="11" t="s">
        <v>65</v>
      </c>
      <c r="C26" s="11" t="s">
        <v>20</v>
      </c>
      <c r="D26" s="11" t="s">
        <v>66</v>
      </c>
      <c r="E26" s="11" t="s">
        <v>67</v>
      </c>
      <c r="F26" s="12">
        <v>15000</v>
      </c>
      <c r="G26" s="13">
        <v>71.62</v>
      </c>
      <c r="H26" s="13">
        <v>0.44</v>
      </c>
      <c r="I26" s="14" t="s">
        <v>20</v>
      </c>
      <c r="J26" s="14" t="s">
        <v>20</v>
      </c>
      <c r="K26" s="15">
        <v>0</v>
      </c>
      <c r="L26" s="16">
        <v>0.44</v>
      </c>
    </row>
    <row r="27" spans="1:12" x14ac:dyDescent="0.35">
      <c r="A27" s="10" t="s">
        <v>20</v>
      </c>
      <c r="B27" s="11" t="s">
        <v>68</v>
      </c>
      <c r="C27" s="11" t="s">
        <v>20</v>
      </c>
      <c r="D27" s="11" t="s">
        <v>69</v>
      </c>
      <c r="E27" s="11" t="s">
        <v>70</v>
      </c>
      <c r="F27" s="12">
        <v>25000</v>
      </c>
      <c r="G27" s="13">
        <v>67.489999999999995</v>
      </c>
      <c r="H27" s="13">
        <v>0.42</v>
      </c>
      <c r="I27" s="14" t="s">
        <v>20</v>
      </c>
      <c r="J27" s="14" t="s">
        <v>20</v>
      </c>
      <c r="K27" s="15">
        <v>0</v>
      </c>
      <c r="L27" s="16">
        <v>0.42</v>
      </c>
    </row>
    <row r="28" spans="1:12" x14ac:dyDescent="0.35">
      <c r="A28" s="10" t="s">
        <v>20</v>
      </c>
      <c r="B28" s="11" t="s">
        <v>71</v>
      </c>
      <c r="C28" s="11" t="s">
        <v>20</v>
      </c>
      <c r="D28" s="11" t="s">
        <v>72</v>
      </c>
      <c r="E28" s="11" t="s">
        <v>73</v>
      </c>
      <c r="F28" s="12">
        <v>2000</v>
      </c>
      <c r="G28" s="13">
        <v>61.04</v>
      </c>
      <c r="H28" s="13">
        <v>0.38</v>
      </c>
      <c r="I28" s="14" t="s">
        <v>20</v>
      </c>
      <c r="J28" s="14" t="s">
        <v>20</v>
      </c>
      <c r="K28" s="15">
        <v>0</v>
      </c>
      <c r="L28" s="16">
        <v>0.38</v>
      </c>
    </row>
    <row r="29" spans="1:12" x14ac:dyDescent="0.35">
      <c r="A29" s="10" t="s">
        <v>20</v>
      </c>
      <c r="B29" s="11" t="s">
        <v>74</v>
      </c>
      <c r="C29" s="11" t="s">
        <v>20</v>
      </c>
      <c r="D29" s="11" t="s">
        <v>75</v>
      </c>
      <c r="E29" s="11" t="s">
        <v>22</v>
      </c>
      <c r="F29" s="12">
        <v>5015</v>
      </c>
      <c r="G29" s="13">
        <v>60.16</v>
      </c>
      <c r="H29" s="13">
        <v>0.37</v>
      </c>
      <c r="I29" s="14" t="s">
        <v>20</v>
      </c>
      <c r="J29" s="14" t="s">
        <v>20</v>
      </c>
      <c r="K29" s="15">
        <v>0</v>
      </c>
      <c r="L29" s="16">
        <v>0.37</v>
      </c>
    </row>
    <row r="30" spans="1:12" x14ac:dyDescent="0.35">
      <c r="A30" s="10" t="s">
        <v>20</v>
      </c>
      <c r="B30" s="11" t="s">
        <v>76</v>
      </c>
      <c r="C30" s="11" t="s">
        <v>20</v>
      </c>
      <c r="D30" s="11" t="s">
        <v>77</v>
      </c>
      <c r="E30" s="11" t="s">
        <v>78</v>
      </c>
      <c r="F30" s="12">
        <v>20000</v>
      </c>
      <c r="G30" s="13">
        <v>57.5</v>
      </c>
      <c r="H30" s="13">
        <v>0.36</v>
      </c>
      <c r="I30" s="14" t="s">
        <v>20</v>
      </c>
      <c r="J30" s="14" t="s">
        <v>20</v>
      </c>
      <c r="K30" s="15">
        <v>0</v>
      </c>
      <c r="L30" s="16">
        <v>0.36</v>
      </c>
    </row>
    <row r="31" spans="1:12" x14ac:dyDescent="0.35">
      <c r="A31" s="10" t="s">
        <v>20</v>
      </c>
      <c r="B31" s="11" t="s">
        <v>79</v>
      </c>
      <c r="C31" s="11" t="s">
        <v>20</v>
      </c>
      <c r="D31" s="11" t="s">
        <v>80</v>
      </c>
      <c r="E31" s="11" t="s">
        <v>64</v>
      </c>
      <c r="F31" s="12">
        <v>1000</v>
      </c>
      <c r="G31" s="13">
        <v>56.85</v>
      </c>
      <c r="H31" s="13">
        <v>0.35</v>
      </c>
      <c r="I31" s="14" t="s">
        <v>20</v>
      </c>
      <c r="J31" s="14" t="s">
        <v>20</v>
      </c>
      <c r="K31" s="15">
        <v>0</v>
      </c>
      <c r="L31" s="16">
        <v>0.35</v>
      </c>
    </row>
    <row r="32" spans="1:12" x14ac:dyDescent="0.35">
      <c r="A32" s="10" t="s">
        <v>20</v>
      </c>
      <c r="B32" s="11" t="s">
        <v>81</v>
      </c>
      <c r="C32" s="11" t="s">
        <v>20</v>
      </c>
      <c r="D32" s="11" t="s">
        <v>82</v>
      </c>
      <c r="E32" s="11" t="s">
        <v>83</v>
      </c>
      <c r="F32" s="12">
        <v>30000</v>
      </c>
      <c r="G32" s="13">
        <v>53.62</v>
      </c>
      <c r="H32" s="13">
        <v>0.33</v>
      </c>
      <c r="I32" s="14" t="s">
        <v>20</v>
      </c>
      <c r="J32" s="14" t="s">
        <v>20</v>
      </c>
      <c r="K32" s="15">
        <v>0</v>
      </c>
      <c r="L32" s="16">
        <v>0.33</v>
      </c>
    </row>
    <row r="33" spans="1:12" x14ac:dyDescent="0.35">
      <c r="A33" s="10" t="s">
        <v>20</v>
      </c>
      <c r="B33" s="11" t="s">
        <v>84</v>
      </c>
      <c r="C33" s="11" t="s">
        <v>20</v>
      </c>
      <c r="D33" s="11" t="s">
        <v>85</v>
      </c>
      <c r="E33" s="11" t="s">
        <v>86</v>
      </c>
      <c r="F33" s="12">
        <v>1100</v>
      </c>
      <c r="G33" s="13">
        <v>51.24</v>
      </c>
      <c r="H33" s="13">
        <v>0.32</v>
      </c>
      <c r="I33" s="14" t="s">
        <v>20</v>
      </c>
      <c r="J33" s="14" t="s">
        <v>20</v>
      </c>
      <c r="K33" s="15">
        <v>0</v>
      </c>
      <c r="L33" s="16">
        <v>0.32</v>
      </c>
    </row>
    <row r="34" spans="1:12" x14ac:dyDescent="0.35">
      <c r="A34" s="10" t="s">
        <v>20</v>
      </c>
      <c r="B34" s="11" t="s">
        <v>87</v>
      </c>
      <c r="C34" s="11" t="s">
        <v>20</v>
      </c>
      <c r="D34" s="11" t="s">
        <v>88</v>
      </c>
      <c r="E34" s="11" t="s">
        <v>64</v>
      </c>
      <c r="F34" s="12">
        <v>5000</v>
      </c>
      <c r="G34" s="13">
        <v>45.36</v>
      </c>
      <c r="H34" s="13">
        <v>0.28000000000000003</v>
      </c>
      <c r="I34" s="14" t="s">
        <v>20</v>
      </c>
      <c r="J34" s="14" t="s">
        <v>20</v>
      </c>
      <c r="K34" s="15">
        <v>0</v>
      </c>
      <c r="L34" s="16">
        <v>0.28000000000000003</v>
      </c>
    </row>
    <row r="35" spans="1:12" x14ac:dyDescent="0.35">
      <c r="A35" s="10" t="s">
        <v>20</v>
      </c>
      <c r="B35" s="11" t="s">
        <v>89</v>
      </c>
      <c r="C35" s="11" t="s">
        <v>20</v>
      </c>
      <c r="D35" s="11" t="s">
        <v>90</v>
      </c>
      <c r="E35" s="11" t="s">
        <v>28</v>
      </c>
      <c r="F35" s="12">
        <v>10000</v>
      </c>
      <c r="G35" s="13">
        <v>45.75</v>
      </c>
      <c r="H35" s="13">
        <v>0.28000000000000003</v>
      </c>
      <c r="I35" s="14" t="s">
        <v>20</v>
      </c>
      <c r="J35" s="14" t="s">
        <v>20</v>
      </c>
      <c r="K35" s="15">
        <v>0</v>
      </c>
      <c r="L35" s="16">
        <v>0.28000000000000003</v>
      </c>
    </row>
    <row r="36" spans="1:12" x14ac:dyDescent="0.35">
      <c r="A36" s="10" t="s">
        <v>20</v>
      </c>
      <c r="B36" s="11" t="s">
        <v>91</v>
      </c>
      <c r="C36" s="11" t="s">
        <v>20</v>
      </c>
      <c r="D36" s="11" t="s">
        <v>92</v>
      </c>
      <c r="E36" s="11" t="s">
        <v>93</v>
      </c>
      <c r="F36" s="12">
        <v>4921</v>
      </c>
      <c r="G36" s="13">
        <v>42.41</v>
      </c>
      <c r="H36" s="13">
        <v>0.26</v>
      </c>
      <c r="I36" s="14" t="s">
        <v>20</v>
      </c>
      <c r="J36" s="14" t="s">
        <v>20</v>
      </c>
      <c r="K36" s="15">
        <v>0</v>
      </c>
      <c r="L36" s="16">
        <v>0.26</v>
      </c>
    </row>
    <row r="37" spans="1:12" x14ac:dyDescent="0.35">
      <c r="A37" s="10" t="s">
        <v>20</v>
      </c>
      <c r="B37" s="11" t="s">
        <v>94</v>
      </c>
      <c r="C37" s="11" t="s">
        <v>20</v>
      </c>
      <c r="D37" s="11" t="s">
        <v>95</v>
      </c>
      <c r="E37" s="11" t="s">
        <v>96</v>
      </c>
      <c r="F37" s="12">
        <v>4000</v>
      </c>
      <c r="G37" s="13">
        <v>41.5</v>
      </c>
      <c r="H37" s="13">
        <v>0.26</v>
      </c>
      <c r="I37" s="14" t="s">
        <v>20</v>
      </c>
      <c r="J37" s="14" t="s">
        <v>20</v>
      </c>
      <c r="K37" s="15">
        <v>0</v>
      </c>
      <c r="L37" s="16">
        <v>0.26</v>
      </c>
    </row>
    <row r="38" spans="1:12" x14ac:dyDescent="0.35">
      <c r="A38" s="10" t="s">
        <v>20</v>
      </c>
      <c r="B38" s="11" t="s">
        <v>97</v>
      </c>
      <c r="C38" s="11" t="s">
        <v>20</v>
      </c>
      <c r="D38" s="11" t="s">
        <v>98</v>
      </c>
      <c r="E38" s="11" t="s">
        <v>67</v>
      </c>
      <c r="F38" s="12">
        <v>5000</v>
      </c>
      <c r="G38" s="13">
        <v>37.46</v>
      </c>
      <c r="H38" s="13">
        <v>0.23</v>
      </c>
      <c r="I38" s="14" t="s">
        <v>20</v>
      </c>
      <c r="J38" s="14" t="s">
        <v>20</v>
      </c>
      <c r="K38" s="15">
        <v>0</v>
      </c>
      <c r="L38" s="16">
        <v>0.23</v>
      </c>
    </row>
    <row r="39" spans="1:12" x14ac:dyDescent="0.35">
      <c r="A39" s="10" t="s">
        <v>20</v>
      </c>
      <c r="B39" s="11" t="s">
        <v>99</v>
      </c>
      <c r="C39" s="11" t="s">
        <v>20</v>
      </c>
      <c r="D39" s="11" t="s">
        <v>100</v>
      </c>
      <c r="E39" s="11" t="s">
        <v>101</v>
      </c>
      <c r="F39" s="12">
        <v>8500</v>
      </c>
      <c r="G39" s="13">
        <v>37.15</v>
      </c>
      <c r="H39" s="13">
        <v>0.23</v>
      </c>
      <c r="I39" s="14" t="s">
        <v>20</v>
      </c>
      <c r="J39" s="14" t="s">
        <v>20</v>
      </c>
      <c r="K39" s="15">
        <v>0</v>
      </c>
      <c r="L39" s="16">
        <v>0.23</v>
      </c>
    </row>
    <row r="40" spans="1:12" x14ac:dyDescent="0.35">
      <c r="A40" s="10" t="s">
        <v>20</v>
      </c>
      <c r="B40" s="11" t="s">
        <v>102</v>
      </c>
      <c r="C40" s="11" t="s">
        <v>20</v>
      </c>
      <c r="D40" s="11" t="s">
        <v>103</v>
      </c>
      <c r="E40" s="11" t="s">
        <v>51</v>
      </c>
      <c r="F40" s="12">
        <v>60000</v>
      </c>
      <c r="G40" s="13">
        <v>35.299999999999997</v>
      </c>
      <c r="H40" s="13">
        <v>0.22</v>
      </c>
      <c r="I40" s="14" t="s">
        <v>20</v>
      </c>
      <c r="J40" s="14" t="s">
        <v>20</v>
      </c>
      <c r="K40" s="15">
        <v>0</v>
      </c>
      <c r="L40" s="16">
        <v>0.22</v>
      </c>
    </row>
    <row r="41" spans="1:12" x14ac:dyDescent="0.35">
      <c r="A41" s="10" t="s">
        <v>20</v>
      </c>
      <c r="B41" s="11" t="s">
        <v>104</v>
      </c>
      <c r="C41" s="11" t="s">
        <v>20</v>
      </c>
      <c r="D41" s="11" t="s">
        <v>105</v>
      </c>
      <c r="E41" s="11" t="s">
        <v>59</v>
      </c>
      <c r="F41" s="12">
        <v>4000</v>
      </c>
      <c r="G41" s="13">
        <v>34.28</v>
      </c>
      <c r="H41" s="13">
        <v>0.21</v>
      </c>
      <c r="I41" s="14" t="s">
        <v>20</v>
      </c>
      <c r="J41" s="14" t="s">
        <v>20</v>
      </c>
      <c r="K41" s="15">
        <v>0</v>
      </c>
      <c r="L41" s="16">
        <v>0.21</v>
      </c>
    </row>
    <row r="42" spans="1:12" x14ac:dyDescent="0.35">
      <c r="A42" s="10" t="s">
        <v>20</v>
      </c>
      <c r="B42" s="11" t="s">
        <v>106</v>
      </c>
      <c r="C42" s="11" t="s">
        <v>20</v>
      </c>
      <c r="D42" s="11" t="s">
        <v>107</v>
      </c>
      <c r="E42" s="11" t="s">
        <v>67</v>
      </c>
      <c r="F42" s="12">
        <v>15000</v>
      </c>
      <c r="G42" s="13">
        <v>32.869999999999997</v>
      </c>
      <c r="H42" s="13">
        <v>0.2</v>
      </c>
      <c r="I42" s="14" t="s">
        <v>20</v>
      </c>
      <c r="J42" s="14" t="s">
        <v>20</v>
      </c>
      <c r="K42" s="15">
        <v>0</v>
      </c>
      <c r="L42" s="16">
        <v>0.2</v>
      </c>
    </row>
    <row r="43" spans="1:12" x14ac:dyDescent="0.35">
      <c r="A43" s="10" t="s">
        <v>20</v>
      </c>
      <c r="B43" s="11" t="s">
        <v>108</v>
      </c>
      <c r="C43" s="11" t="s">
        <v>20</v>
      </c>
      <c r="D43" s="11" t="s">
        <v>109</v>
      </c>
      <c r="E43" s="11" t="s">
        <v>110</v>
      </c>
      <c r="F43" s="12">
        <v>400</v>
      </c>
      <c r="G43" s="13">
        <v>32.64</v>
      </c>
      <c r="H43" s="13">
        <v>0.2</v>
      </c>
      <c r="I43" s="14" t="s">
        <v>20</v>
      </c>
      <c r="J43" s="14" t="s">
        <v>20</v>
      </c>
      <c r="K43" s="15">
        <v>0</v>
      </c>
      <c r="L43" s="16">
        <v>0.2</v>
      </c>
    </row>
    <row r="44" spans="1:12" x14ac:dyDescent="0.35">
      <c r="A44" s="10" t="s">
        <v>20</v>
      </c>
      <c r="B44" s="11" t="s">
        <v>111</v>
      </c>
      <c r="C44" s="11" t="s">
        <v>20</v>
      </c>
      <c r="D44" s="11" t="s">
        <v>112</v>
      </c>
      <c r="E44" s="11" t="s">
        <v>113</v>
      </c>
      <c r="F44" s="12">
        <v>1300</v>
      </c>
      <c r="G44" s="13">
        <v>29.38</v>
      </c>
      <c r="H44" s="13">
        <v>0.18</v>
      </c>
      <c r="I44" s="14" t="s">
        <v>20</v>
      </c>
      <c r="J44" s="14" t="s">
        <v>20</v>
      </c>
      <c r="K44" s="15">
        <v>0</v>
      </c>
      <c r="L44" s="16">
        <v>0.18</v>
      </c>
    </row>
    <row r="45" spans="1:12" x14ac:dyDescent="0.35">
      <c r="A45" s="10" t="s">
        <v>20</v>
      </c>
      <c r="B45" s="11" t="s">
        <v>114</v>
      </c>
      <c r="C45" s="11" t="s">
        <v>20</v>
      </c>
      <c r="D45" s="11" t="s">
        <v>115</v>
      </c>
      <c r="E45" s="11" t="s">
        <v>116</v>
      </c>
      <c r="F45" s="12">
        <v>2000</v>
      </c>
      <c r="G45" s="13">
        <v>29.03</v>
      </c>
      <c r="H45" s="13">
        <v>0.18</v>
      </c>
      <c r="I45" s="14" t="s">
        <v>20</v>
      </c>
      <c r="J45" s="14" t="s">
        <v>20</v>
      </c>
      <c r="K45" s="15">
        <v>0</v>
      </c>
      <c r="L45" s="16">
        <v>0.18</v>
      </c>
    </row>
    <row r="46" spans="1:12" x14ac:dyDescent="0.35">
      <c r="A46" s="10" t="s">
        <v>20</v>
      </c>
      <c r="B46" s="11" t="s">
        <v>117</v>
      </c>
      <c r="C46" s="11" t="s">
        <v>20</v>
      </c>
      <c r="D46" s="11" t="s">
        <v>118</v>
      </c>
      <c r="E46" s="11" t="s">
        <v>119</v>
      </c>
      <c r="F46" s="12">
        <v>2000</v>
      </c>
      <c r="G46" s="13">
        <v>21.36</v>
      </c>
      <c r="H46" s="13">
        <v>0.13</v>
      </c>
      <c r="I46" s="14" t="s">
        <v>20</v>
      </c>
      <c r="J46" s="14" t="s">
        <v>20</v>
      </c>
      <c r="K46" s="15">
        <v>0</v>
      </c>
      <c r="L46" s="16">
        <v>0.13</v>
      </c>
    </row>
    <row r="47" spans="1:12" x14ac:dyDescent="0.35">
      <c r="A47" s="10" t="s">
        <v>20</v>
      </c>
      <c r="B47" s="11" t="s">
        <v>120</v>
      </c>
      <c r="C47" s="11" t="s">
        <v>20</v>
      </c>
      <c r="D47" s="11" t="s">
        <v>121</v>
      </c>
      <c r="E47" s="11" t="s">
        <v>59</v>
      </c>
      <c r="F47" s="12">
        <v>2862</v>
      </c>
      <c r="G47" s="13">
        <v>13.85</v>
      </c>
      <c r="H47" s="13">
        <v>0.09</v>
      </c>
      <c r="I47" s="14" t="s">
        <v>20</v>
      </c>
      <c r="J47" s="14" t="s">
        <v>20</v>
      </c>
      <c r="K47" s="15">
        <v>0</v>
      </c>
      <c r="L47" s="16">
        <v>0.09</v>
      </c>
    </row>
    <row r="48" spans="1:12" x14ac:dyDescent="0.35">
      <c r="A48" s="10" t="s">
        <v>20</v>
      </c>
      <c r="B48" s="11" t="s">
        <v>122</v>
      </c>
      <c r="C48" s="11" t="s">
        <v>20</v>
      </c>
      <c r="D48" s="11" t="s">
        <v>123</v>
      </c>
      <c r="E48" s="11" t="s">
        <v>43</v>
      </c>
      <c r="F48" s="12">
        <v>10050</v>
      </c>
      <c r="G48" s="13">
        <v>13.5</v>
      </c>
      <c r="H48" s="13">
        <v>0.08</v>
      </c>
      <c r="I48" s="14" t="s">
        <v>20</v>
      </c>
      <c r="J48" s="14" t="s">
        <v>20</v>
      </c>
      <c r="K48" s="15">
        <v>0</v>
      </c>
      <c r="L48" s="16">
        <v>0.08</v>
      </c>
    </row>
    <row r="49" spans="1:12" x14ac:dyDescent="0.35">
      <c r="A49" s="17"/>
      <c r="B49" s="9" t="s">
        <v>124</v>
      </c>
      <c r="C49" s="17"/>
      <c r="D49" s="17"/>
      <c r="E49" s="17"/>
      <c r="F49" s="17"/>
      <c r="G49" s="18">
        <v>6632.6199999999981</v>
      </c>
      <c r="H49" s="18">
        <v>41.030000000000015</v>
      </c>
      <c r="I49" s="17"/>
      <c r="J49" s="17"/>
      <c r="K49" s="17"/>
      <c r="L49" s="17"/>
    </row>
    <row r="50" spans="1:12" x14ac:dyDescent="0.35">
      <c r="A50" s="8"/>
      <c r="B50" s="9" t="s">
        <v>125</v>
      </c>
      <c r="C50" s="8"/>
      <c r="D50" s="8"/>
      <c r="E50" s="8"/>
      <c r="F50" s="8"/>
      <c r="G50" s="19">
        <v>6632.6199999999981</v>
      </c>
      <c r="H50" s="19">
        <v>41.030000000000015</v>
      </c>
      <c r="I50" s="8"/>
      <c r="J50" s="8"/>
      <c r="K50" s="8"/>
      <c r="L50" s="8"/>
    </row>
    <row r="51" spans="1:12" x14ac:dyDescent="0.35">
      <c r="A51" s="8"/>
      <c r="B51" s="9" t="s">
        <v>126</v>
      </c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1:12" x14ac:dyDescent="0.35">
      <c r="A52" s="8"/>
      <c r="B52" s="9" t="s">
        <v>16</v>
      </c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1:12" x14ac:dyDescent="0.35">
      <c r="A53" s="8"/>
      <c r="B53" s="9" t="s">
        <v>127</v>
      </c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2" x14ac:dyDescent="0.35">
      <c r="A54" s="10" t="s">
        <v>18</v>
      </c>
      <c r="B54" s="11" t="s">
        <v>128</v>
      </c>
      <c r="C54" s="11">
        <v>6.67</v>
      </c>
      <c r="D54" s="11" t="s">
        <v>129</v>
      </c>
      <c r="E54" s="11" t="s">
        <v>130</v>
      </c>
      <c r="F54" s="12">
        <v>1500000</v>
      </c>
      <c r="G54" s="13">
        <v>1409.48</v>
      </c>
      <c r="H54" s="13">
        <v>8.7200000000000006</v>
      </c>
      <c r="I54" s="14">
        <v>7.32</v>
      </c>
      <c r="J54" s="14" t="s">
        <v>20</v>
      </c>
      <c r="K54" s="15" t="s">
        <v>20</v>
      </c>
      <c r="L54" s="16" t="s">
        <v>20</v>
      </c>
    </row>
    <row r="55" spans="1:12" x14ac:dyDescent="0.35">
      <c r="A55" s="10" t="s">
        <v>18</v>
      </c>
      <c r="B55" s="11" t="s">
        <v>131</v>
      </c>
      <c r="C55" s="11">
        <v>6.19</v>
      </c>
      <c r="D55" s="11" t="s">
        <v>132</v>
      </c>
      <c r="E55" s="11" t="s">
        <v>130</v>
      </c>
      <c r="F55" s="12">
        <v>1000000</v>
      </c>
      <c r="G55" s="13">
        <v>975.5</v>
      </c>
      <c r="H55" s="13">
        <v>6.03</v>
      </c>
      <c r="I55" s="14">
        <v>6.67</v>
      </c>
      <c r="J55" s="14" t="s">
        <v>20</v>
      </c>
      <c r="K55" s="15" t="s">
        <v>20</v>
      </c>
      <c r="L55" s="16" t="s">
        <v>20</v>
      </c>
    </row>
    <row r="56" spans="1:12" x14ac:dyDescent="0.35">
      <c r="A56" s="10" t="s">
        <v>18</v>
      </c>
      <c r="B56" s="11" t="s">
        <v>133</v>
      </c>
      <c r="C56" s="11">
        <v>7.57</v>
      </c>
      <c r="D56" s="11" t="s">
        <v>134</v>
      </c>
      <c r="E56" s="11" t="s">
        <v>130</v>
      </c>
      <c r="F56" s="12">
        <v>750000</v>
      </c>
      <c r="G56" s="13">
        <v>794.39</v>
      </c>
      <c r="H56" s="13">
        <v>4.91</v>
      </c>
      <c r="I56" s="14">
        <v>6.67</v>
      </c>
      <c r="J56" s="14" t="s">
        <v>20</v>
      </c>
      <c r="K56" s="15" t="s">
        <v>20</v>
      </c>
      <c r="L56" s="16" t="s">
        <v>20</v>
      </c>
    </row>
    <row r="57" spans="1:12" x14ac:dyDescent="0.35">
      <c r="A57" s="10" t="s">
        <v>18</v>
      </c>
      <c r="B57" s="11" t="s">
        <v>135</v>
      </c>
      <c r="C57" s="11">
        <v>8.9700000000000006</v>
      </c>
      <c r="D57" s="11" t="s">
        <v>136</v>
      </c>
      <c r="E57" s="11" t="s">
        <v>130</v>
      </c>
      <c r="F57" s="12">
        <v>550000</v>
      </c>
      <c r="G57" s="13">
        <v>611.62</v>
      </c>
      <c r="H57" s="13">
        <v>3.78</v>
      </c>
      <c r="I57" s="14">
        <v>6.43</v>
      </c>
      <c r="J57" s="14" t="s">
        <v>20</v>
      </c>
      <c r="K57" s="15" t="s">
        <v>20</v>
      </c>
      <c r="L57" s="16" t="s">
        <v>20</v>
      </c>
    </row>
    <row r="58" spans="1:12" x14ac:dyDescent="0.35">
      <c r="A58" s="10" t="s">
        <v>18</v>
      </c>
      <c r="B58" s="11" t="s">
        <v>137</v>
      </c>
      <c r="C58" s="11">
        <v>7.5</v>
      </c>
      <c r="D58" s="11" t="s">
        <v>138</v>
      </c>
      <c r="E58" s="11" t="s">
        <v>130</v>
      </c>
      <c r="F58" s="12">
        <v>500000</v>
      </c>
      <c r="G58" s="13">
        <v>529.36</v>
      </c>
      <c r="H58" s="13">
        <v>3.27</v>
      </c>
      <c r="I58" s="14">
        <v>6.71</v>
      </c>
      <c r="J58" s="14" t="s">
        <v>20</v>
      </c>
      <c r="K58" s="15" t="s">
        <v>20</v>
      </c>
      <c r="L58" s="16" t="s">
        <v>20</v>
      </c>
    </row>
    <row r="59" spans="1:12" x14ac:dyDescent="0.35">
      <c r="A59" s="10" t="s">
        <v>20</v>
      </c>
      <c r="B59" s="11" t="s">
        <v>139</v>
      </c>
      <c r="C59" s="11">
        <v>7.54</v>
      </c>
      <c r="D59" s="11" t="s">
        <v>140</v>
      </c>
      <c r="E59" s="11" t="s">
        <v>130</v>
      </c>
      <c r="F59" s="12">
        <v>15000</v>
      </c>
      <c r="G59" s="13">
        <v>15.92</v>
      </c>
      <c r="H59" s="13">
        <v>0.1</v>
      </c>
      <c r="I59" s="14">
        <v>6.83</v>
      </c>
      <c r="J59" s="14" t="s">
        <v>20</v>
      </c>
      <c r="K59" s="15" t="s">
        <v>20</v>
      </c>
      <c r="L59" s="16" t="s">
        <v>20</v>
      </c>
    </row>
    <row r="60" spans="1:12" x14ac:dyDescent="0.35">
      <c r="A60" s="8"/>
      <c r="B60" s="9" t="s">
        <v>141</v>
      </c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35">
      <c r="A61" s="10" t="s">
        <v>18</v>
      </c>
      <c r="B61" s="11" t="s">
        <v>142</v>
      </c>
      <c r="C61" s="11">
        <v>8.35</v>
      </c>
      <c r="D61" s="11" t="s">
        <v>143</v>
      </c>
      <c r="E61" s="11" t="s">
        <v>144</v>
      </c>
      <c r="F61" s="12">
        <v>100</v>
      </c>
      <c r="G61" s="13">
        <v>1039.42</v>
      </c>
      <c r="H61" s="13">
        <v>6.43</v>
      </c>
      <c r="I61" s="14">
        <v>7.58</v>
      </c>
      <c r="J61" s="14" t="s">
        <v>20</v>
      </c>
      <c r="K61" s="15" t="s">
        <v>20</v>
      </c>
      <c r="L61" s="16" t="s">
        <v>20</v>
      </c>
    </row>
    <row r="62" spans="1:12" x14ac:dyDescent="0.35">
      <c r="A62" s="10" t="s">
        <v>18</v>
      </c>
      <c r="B62" s="11" t="s">
        <v>145</v>
      </c>
      <c r="C62" s="11">
        <v>7.7504999999999997</v>
      </c>
      <c r="D62" s="11" t="s">
        <v>146</v>
      </c>
      <c r="E62" s="11" t="s">
        <v>147</v>
      </c>
      <c r="F62" s="12">
        <v>100</v>
      </c>
      <c r="G62" s="13">
        <v>999.99</v>
      </c>
      <c r="H62" s="13">
        <v>6.19</v>
      </c>
      <c r="I62" s="14">
        <v>7.63</v>
      </c>
      <c r="J62" s="14" t="s">
        <v>20</v>
      </c>
      <c r="K62" s="15" t="s">
        <v>20</v>
      </c>
      <c r="L62" s="16" t="s">
        <v>20</v>
      </c>
    </row>
    <row r="63" spans="1:12" x14ac:dyDescent="0.35">
      <c r="A63" s="10" t="s">
        <v>20</v>
      </c>
      <c r="B63" s="11" t="s">
        <v>148</v>
      </c>
      <c r="C63" s="11">
        <v>8.4</v>
      </c>
      <c r="D63" s="11" t="s">
        <v>149</v>
      </c>
      <c r="E63" s="11" t="s">
        <v>150</v>
      </c>
      <c r="F63" s="12">
        <v>50</v>
      </c>
      <c r="G63" s="13">
        <v>522.9</v>
      </c>
      <c r="H63" s="13">
        <v>3.23</v>
      </c>
      <c r="I63" s="14">
        <v>6.72</v>
      </c>
      <c r="J63" s="14" t="s">
        <v>20</v>
      </c>
      <c r="K63" s="15" t="s">
        <v>20</v>
      </c>
      <c r="L63" s="16" t="s">
        <v>20</v>
      </c>
    </row>
    <row r="64" spans="1:12" x14ac:dyDescent="0.35">
      <c r="A64" s="17"/>
      <c r="B64" s="9" t="s">
        <v>124</v>
      </c>
      <c r="C64" s="17"/>
      <c r="D64" s="17"/>
      <c r="E64" s="17"/>
      <c r="F64" s="17"/>
      <c r="G64" s="18">
        <v>6898.579999999999</v>
      </c>
      <c r="H64" s="18">
        <v>42.66</v>
      </c>
      <c r="I64" s="17"/>
      <c r="J64" s="17"/>
      <c r="K64" s="17"/>
      <c r="L64" s="17"/>
    </row>
    <row r="65" spans="1:12" x14ac:dyDescent="0.35">
      <c r="A65" s="8"/>
      <c r="B65" s="9" t="s">
        <v>125</v>
      </c>
      <c r="C65" s="8"/>
      <c r="D65" s="8"/>
      <c r="E65" s="8"/>
      <c r="F65" s="8"/>
      <c r="G65" s="19">
        <v>6898.579999999999</v>
      </c>
      <c r="H65" s="19">
        <v>42.66</v>
      </c>
      <c r="I65" s="8"/>
      <c r="J65" s="8"/>
      <c r="K65" s="8"/>
      <c r="L65" s="8"/>
    </row>
    <row r="66" spans="1:12" x14ac:dyDescent="0.35">
      <c r="A66" s="8"/>
      <c r="B66" s="9" t="s">
        <v>151</v>
      </c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 x14ac:dyDescent="0.35">
      <c r="A67" s="8"/>
      <c r="B67" s="9" t="s">
        <v>152</v>
      </c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2" x14ac:dyDescent="0.35">
      <c r="A68" s="10" t="s">
        <v>20</v>
      </c>
      <c r="B68" s="11" t="s">
        <v>20</v>
      </c>
      <c r="C68" s="11" t="s">
        <v>20</v>
      </c>
      <c r="D68" s="11" t="s">
        <v>152</v>
      </c>
      <c r="E68" s="11" t="s">
        <v>20</v>
      </c>
      <c r="F68" s="12" t="s">
        <v>20</v>
      </c>
      <c r="G68" s="13">
        <v>2048.21</v>
      </c>
      <c r="H68" s="13">
        <v>12.67</v>
      </c>
      <c r="I68" s="14">
        <v>5.31</v>
      </c>
      <c r="J68" s="14" t="s">
        <v>20</v>
      </c>
      <c r="K68" s="15" t="s">
        <v>20</v>
      </c>
      <c r="L68" s="16" t="s">
        <v>20</v>
      </c>
    </row>
    <row r="69" spans="1:12" x14ac:dyDescent="0.35">
      <c r="A69" s="17"/>
      <c r="B69" s="9" t="s">
        <v>124</v>
      </c>
      <c r="C69" s="17"/>
      <c r="D69" s="17"/>
      <c r="E69" s="17"/>
      <c r="F69" s="17"/>
      <c r="G69" s="18">
        <v>2048.21</v>
      </c>
      <c r="H69" s="18">
        <v>12.67</v>
      </c>
      <c r="I69" s="17"/>
      <c r="J69" s="17"/>
      <c r="K69" s="17"/>
      <c r="L69" s="17"/>
    </row>
    <row r="70" spans="1:12" x14ac:dyDescent="0.35">
      <c r="A70" s="8"/>
      <c r="B70" s="9" t="s">
        <v>125</v>
      </c>
      <c r="C70" s="8"/>
      <c r="D70" s="8"/>
      <c r="E70" s="8"/>
      <c r="F70" s="8"/>
      <c r="G70" s="19">
        <v>2048.21</v>
      </c>
      <c r="H70" s="19">
        <v>12.67</v>
      </c>
      <c r="I70" s="8"/>
      <c r="J70" s="8"/>
      <c r="K70" s="8"/>
      <c r="L70" s="8"/>
    </row>
    <row r="71" spans="1:12" x14ac:dyDescent="0.35">
      <c r="A71" s="8"/>
      <c r="B71" s="9" t="s">
        <v>153</v>
      </c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35">
      <c r="A72" s="8"/>
      <c r="B72" s="9" t="s">
        <v>154</v>
      </c>
      <c r="C72" s="8"/>
      <c r="D72" s="8"/>
      <c r="E72" s="8"/>
      <c r="F72" s="8"/>
      <c r="G72" s="8"/>
      <c r="H72" s="8"/>
      <c r="I72" s="8"/>
      <c r="J72" s="8"/>
      <c r="K72" s="8"/>
      <c r="L72" s="8"/>
    </row>
    <row r="73" spans="1:12" x14ac:dyDescent="0.35">
      <c r="A73" s="10" t="s">
        <v>20</v>
      </c>
      <c r="B73" s="11" t="s">
        <v>20</v>
      </c>
      <c r="C73" s="11" t="s">
        <v>20</v>
      </c>
      <c r="D73" s="11" t="s">
        <v>154</v>
      </c>
      <c r="E73" s="11" t="s">
        <v>20</v>
      </c>
      <c r="F73" s="12" t="s">
        <v>20</v>
      </c>
      <c r="G73" s="13">
        <v>587.88</v>
      </c>
      <c r="H73" s="13">
        <v>3.64</v>
      </c>
      <c r="I73" s="14" t="s">
        <v>20</v>
      </c>
      <c r="J73" s="14" t="s">
        <v>20</v>
      </c>
      <c r="K73" s="15" t="s">
        <v>20</v>
      </c>
      <c r="L73" s="16" t="s">
        <v>20</v>
      </c>
    </row>
    <row r="74" spans="1:12" x14ac:dyDescent="0.35">
      <c r="A74" s="17"/>
      <c r="B74" s="9" t="s">
        <v>124</v>
      </c>
      <c r="C74" s="17"/>
      <c r="D74" s="17"/>
      <c r="E74" s="17"/>
      <c r="F74" s="17"/>
      <c r="G74" s="18">
        <v>587.88</v>
      </c>
      <c r="H74" s="18">
        <v>3.64</v>
      </c>
      <c r="I74" s="17"/>
      <c r="J74" s="17"/>
      <c r="K74" s="17"/>
      <c r="L74" s="17"/>
    </row>
    <row r="75" spans="1:12" x14ac:dyDescent="0.35">
      <c r="A75" s="8"/>
      <c r="B75" s="9" t="s">
        <v>125</v>
      </c>
      <c r="C75" s="8"/>
      <c r="D75" s="8"/>
      <c r="E75" s="8"/>
      <c r="F75" s="8"/>
      <c r="G75" s="19">
        <v>587.88</v>
      </c>
      <c r="H75" s="19">
        <v>3.64</v>
      </c>
      <c r="I75" s="8"/>
      <c r="J75" s="8"/>
      <c r="K75" s="8"/>
      <c r="L75" s="8"/>
    </row>
    <row r="76" spans="1:12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x14ac:dyDescent="0.35">
      <c r="A77" s="4"/>
      <c r="B77" s="20" t="s">
        <v>155</v>
      </c>
      <c r="C77" s="4"/>
      <c r="D77" s="4"/>
      <c r="E77" s="4"/>
      <c r="F77" s="4"/>
      <c r="G77" s="21">
        <v>16167.289999999999</v>
      </c>
      <c r="H77" s="21">
        <v>100.00000000000001</v>
      </c>
      <c r="I77" s="4"/>
      <c r="J77" s="4"/>
      <c r="K77" s="4"/>
      <c r="L77" s="4"/>
    </row>
    <row r="78" spans="1:12" x14ac:dyDescent="0.35">
      <c r="A78" s="10" t="s">
        <v>18</v>
      </c>
      <c r="B78" s="32" t="s">
        <v>156</v>
      </c>
      <c r="C78" s="32" t="s">
        <v>156</v>
      </c>
      <c r="D78" s="32" t="s">
        <v>156</v>
      </c>
      <c r="E78" s="32" t="s">
        <v>156</v>
      </c>
      <c r="F78" s="32" t="s">
        <v>156</v>
      </c>
      <c r="G78" s="11"/>
      <c r="H78" s="11"/>
      <c r="I78" s="11"/>
      <c r="J78" s="11"/>
      <c r="K78" s="11"/>
      <c r="L78" s="11"/>
    </row>
    <row r="79" spans="1:12" x14ac:dyDescent="0.35">
      <c r="A79" s="11"/>
      <c r="B79" s="29" t="s">
        <v>157</v>
      </c>
      <c r="C79" s="29" t="s">
        <v>157</v>
      </c>
      <c r="D79" s="29" t="s">
        <v>157</v>
      </c>
      <c r="E79" s="29" t="s">
        <v>157</v>
      </c>
      <c r="F79" s="29" t="s">
        <v>157</v>
      </c>
      <c r="G79" s="11"/>
      <c r="H79" s="11"/>
      <c r="I79" s="11"/>
      <c r="J79" s="11"/>
      <c r="K79" s="11"/>
      <c r="L79" s="11"/>
    </row>
    <row r="80" spans="1:12" x14ac:dyDescent="0.35">
      <c r="A80" s="11"/>
      <c r="B80" s="29" t="s">
        <v>158</v>
      </c>
      <c r="C80" s="29" t="s">
        <v>158</v>
      </c>
      <c r="D80" s="29" t="s">
        <v>158</v>
      </c>
      <c r="E80" s="29" t="s">
        <v>158</v>
      </c>
      <c r="F80" s="29" t="s">
        <v>158</v>
      </c>
      <c r="G80" s="11"/>
      <c r="H80" s="11"/>
      <c r="I80" s="11"/>
      <c r="J80" s="11"/>
      <c r="K80" s="11"/>
      <c r="L80" s="11"/>
    </row>
    <row r="81" spans="1:12" x14ac:dyDescent="0.35">
      <c r="A81" s="11"/>
      <c r="B81" s="29" t="s">
        <v>159</v>
      </c>
      <c r="C81" s="29" t="s">
        <v>159</v>
      </c>
      <c r="D81" s="29" t="s">
        <v>159</v>
      </c>
      <c r="E81" s="29" t="s">
        <v>159</v>
      </c>
      <c r="F81" s="29" t="s">
        <v>159</v>
      </c>
      <c r="G81" s="11"/>
      <c r="H81" s="11"/>
      <c r="I81" s="11"/>
      <c r="J81" s="11"/>
      <c r="K81" s="11"/>
      <c r="L81" s="11"/>
    </row>
    <row r="82" spans="1:12" x14ac:dyDescent="0.35">
      <c r="A82" s="11"/>
      <c r="B82" s="29" t="s">
        <v>160</v>
      </c>
      <c r="C82" s="29" t="s">
        <v>160</v>
      </c>
      <c r="D82" s="29" t="s">
        <v>160</v>
      </c>
      <c r="E82" s="29" t="s">
        <v>160</v>
      </c>
      <c r="F82" s="29" t="s">
        <v>160</v>
      </c>
      <c r="G82" s="11"/>
      <c r="H82" s="11"/>
      <c r="I82" s="11"/>
      <c r="J82" s="11"/>
      <c r="K82" s="11"/>
      <c r="L82" s="11"/>
    </row>
    <row r="83" spans="1:12" x14ac:dyDescent="0.35">
      <c r="A83" s="11"/>
      <c r="B83" s="29" t="s">
        <v>161</v>
      </c>
      <c r="C83" s="29" t="s">
        <v>161</v>
      </c>
      <c r="D83" s="29" t="s">
        <v>161</v>
      </c>
      <c r="E83" s="29" t="s">
        <v>161</v>
      </c>
      <c r="F83" s="29" t="s">
        <v>161</v>
      </c>
      <c r="G83" s="11"/>
      <c r="H83" s="11"/>
      <c r="I83" s="11"/>
      <c r="J83" s="11"/>
      <c r="K83" s="11"/>
      <c r="L83" s="11"/>
    </row>
    <row r="84" spans="1:12" x14ac:dyDescent="0.35">
      <c r="A84" s="11"/>
      <c r="B84" s="29" t="s">
        <v>162</v>
      </c>
      <c r="C84" s="29" t="s">
        <v>162</v>
      </c>
      <c r="D84" s="29" t="s">
        <v>162</v>
      </c>
      <c r="E84" s="29" t="s">
        <v>162</v>
      </c>
      <c r="F84" s="29" t="s">
        <v>162</v>
      </c>
      <c r="G84" s="11"/>
      <c r="H84" s="11"/>
      <c r="I84" s="11"/>
      <c r="J84" s="11"/>
      <c r="K84" s="11"/>
      <c r="L84" s="11"/>
    </row>
    <row r="85" spans="1:12" x14ac:dyDescent="0.35">
      <c r="A85" s="11"/>
      <c r="B85" s="29" t="s">
        <v>163</v>
      </c>
      <c r="C85" s="29" t="s">
        <v>163</v>
      </c>
      <c r="D85" s="29" t="s">
        <v>163</v>
      </c>
      <c r="E85" s="29" t="s">
        <v>163</v>
      </c>
      <c r="F85" s="29" t="s">
        <v>163</v>
      </c>
      <c r="G85" s="11"/>
      <c r="H85" s="11"/>
      <c r="I85" s="11"/>
      <c r="J85" s="11"/>
      <c r="K85" s="11"/>
      <c r="L85" s="11"/>
    </row>
    <row r="86" spans="1:12" x14ac:dyDescent="0.35">
      <c r="A86" s="11"/>
      <c r="B86" s="11"/>
      <c r="C86" s="11"/>
      <c r="D86" s="11"/>
      <c r="E86" s="11"/>
      <c r="F86" s="11"/>
      <c r="G86" s="11"/>
      <c r="H86" s="11"/>
    </row>
    <row r="87" spans="1:12" x14ac:dyDescent="0.35">
      <c r="A87" s="22"/>
      <c r="B87" s="22" t="s">
        <v>164</v>
      </c>
      <c r="C87" s="22"/>
      <c r="D87" s="22"/>
      <c r="E87" s="11"/>
      <c r="F87" s="11"/>
      <c r="G87" s="11"/>
      <c r="H87" s="11"/>
    </row>
    <row r="88" spans="1:12" x14ac:dyDescent="0.35">
      <c r="A88" s="22"/>
      <c r="B88" s="23" t="s">
        <v>17</v>
      </c>
      <c r="C88" s="23"/>
      <c r="D88" s="24">
        <v>23.32</v>
      </c>
      <c r="E88" s="11"/>
      <c r="F88" s="11"/>
      <c r="G88" s="11"/>
      <c r="H88" s="11"/>
    </row>
    <row r="89" spans="1:12" x14ac:dyDescent="0.35">
      <c r="A89" s="22"/>
      <c r="B89" s="23" t="s">
        <v>165</v>
      </c>
      <c r="C89" s="23"/>
      <c r="D89" s="24">
        <v>17.709999999999997</v>
      </c>
      <c r="E89" s="11"/>
      <c r="F89" s="11"/>
      <c r="G89" s="11"/>
      <c r="H89" s="11"/>
    </row>
    <row r="90" spans="1:12" x14ac:dyDescent="0.35">
      <c r="A90" s="22"/>
      <c r="B90" s="23" t="s">
        <v>166</v>
      </c>
      <c r="C90" s="23"/>
      <c r="D90" s="24">
        <v>26.810000000000002</v>
      </c>
      <c r="E90" s="11"/>
      <c r="F90" s="11"/>
      <c r="G90" s="11"/>
      <c r="H90" s="11"/>
    </row>
    <row r="91" spans="1:12" x14ac:dyDescent="0.35">
      <c r="A91" s="22"/>
      <c r="B91" s="23" t="s">
        <v>167</v>
      </c>
      <c r="C91" s="23"/>
      <c r="D91" s="24">
        <v>15.850000000000001</v>
      </c>
      <c r="E91" s="11"/>
      <c r="F91" s="11"/>
      <c r="G91" s="11"/>
      <c r="H91" s="11"/>
    </row>
    <row r="92" spans="1:12" x14ac:dyDescent="0.35">
      <c r="A92" s="22"/>
      <c r="B92" s="23" t="s">
        <v>168</v>
      </c>
      <c r="C92" s="23"/>
      <c r="D92" s="24">
        <v>16.309999999999999</v>
      </c>
      <c r="E92" s="11"/>
      <c r="F92" s="11"/>
      <c r="G92" s="11"/>
      <c r="H92" s="11"/>
    </row>
    <row r="93" spans="1:12" x14ac:dyDescent="0.35">
      <c r="A93" s="22"/>
      <c r="B93" s="22" t="s">
        <v>169</v>
      </c>
      <c r="C93" s="22"/>
      <c r="D93" s="22"/>
      <c r="E93" s="11"/>
      <c r="F93" s="11"/>
      <c r="G93" s="11"/>
      <c r="H93" s="11"/>
    </row>
    <row r="94" spans="1:12" x14ac:dyDescent="0.35">
      <c r="A94" s="22"/>
      <c r="B94" s="23" t="s">
        <v>17</v>
      </c>
      <c r="C94" s="23"/>
      <c r="D94" s="24">
        <v>41.03</v>
      </c>
      <c r="E94" s="11"/>
      <c r="F94" s="11"/>
      <c r="G94" s="11"/>
      <c r="H94" s="11"/>
    </row>
    <row r="95" spans="1:12" x14ac:dyDescent="0.35">
      <c r="A95" s="22"/>
      <c r="B95" s="23" t="s">
        <v>130</v>
      </c>
      <c r="C95" s="23"/>
      <c r="D95" s="24">
        <v>26.810000000000002</v>
      </c>
      <c r="E95" s="11"/>
      <c r="F95" s="11"/>
      <c r="G95" s="11"/>
      <c r="H95" s="11"/>
    </row>
    <row r="96" spans="1:12" x14ac:dyDescent="0.35">
      <c r="A96" s="22"/>
      <c r="B96" s="23" t="s">
        <v>170</v>
      </c>
      <c r="C96" s="23"/>
      <c r="D96" s="24">
        <v>3.23</v>
      </c>
      <c r="E96" s="11"/>
      <c r="F96" s="11"/>
      <c r="G96" s="11"/>
      <c r="H96" s="11"/>
    </row>
    <row r="97" spans="1:8" x14ac:dyDescent="0.35">
      <c r="A97" s="22"/>
      <c r="B97" s="23" t="s">
        <v>171</v>
      </c>
      <c r="C97" s="23"/>
      <c r="D97" s="24">
        <v>12.620000000000001</v>
      </c>
      <c r="E97" s="11"/>
      <c r="F97" s="11"/>
      <c r="G97" s="11"/>
      <c r="H97" s="11"/>
    </row>
    <row r="98" spans="1:8" x14ac:dyDescent="0.35">
      <c r="A98" s="22"/>
      <c r="B98" s="23" t="s">
        <v>168</v>
      </c>
      <c r="C98" s="23"/>
      <c r="D98" s="24">
        <v>16.309999999999999</v>
      </c>
      <c r="E98" s="11"/>
      <c r="F98" s="11"/>
      <c r="G98" s="11"/>
      <c r="H98" s="11"/>
    </row>
    <row r="99" spans="1:8" x14ac:dyDescent="0.35">
      <c r="A99" s="25"/>
      <c r="B99" s="25"/>
      <c r="C99" s="25"/>
      <c r="D99" s="25"/>
      <c r="E99" s="25"/>
      <c r="F99" s="25"/>
      <c r="G99" s="25"/>
      <c r="H99" s="25"/>
    </row>
    <row r="100" spans="1:8" x14ac:dyDescent="0.35">
      <c r="A100" s="25"/>
      <c r="B100" s="8" t="s">
        <v>172</v>
      </c>
      <c r="C100" s="25"/>
      <c r="D100" s="25"/>
      <c r="E100" s="25"/>
      <c r="F100" s="25"/>
      <c r="G100" s="25"/>
      <c r="H100" s="25"/>
    </row>
    <row r="101" spans="1:8" x14ac:dyDescent="0.35">
      <c r="A101" s="11"/>
      <c r="B101" s="11" t="s">
        <v>173</v>
      </c>
      <c r="C101" s="11"/>
      <c r="D101" s="11"/>
      <c r="E101" s="11"/>
      <c r="F101" s="11"/>
      <c r="G101" s="11"/>
      <c r="H101" s="25"/>
    </row>
    <row r="102" spans="1:8" x14ac:dyDescent="0.35">
      <c r="A102" s="11"/>
      <c r="B102" s="26" t="s">
        <v>174</v>
      </c>
      <c r="C102" s="27" t="s">
        <v>175</v>
      </c>
      <c r="D102" s="26" t="s">
        <v>176</v>
      </c>
      <c r="E102" s="11"/>
      <c r="F102" s="11"/>
      <c r="G102" s="11"/>
      <c r="H102" s="25"/>
    </row>
    <row r="103" spans="1:8" x14ac:dyDescent="0.35">
      <c r="A103" s="11"/>
      <c r="B103" s="8" t="s">
        <v>177</v>
      </c>
      <c r="C103" s="14">
        <v>21.955400000000001</v>
      </c>
      <c r="D103" s="14">
        <v>21.820900000000002</v>
      </c>
      <c r="E103" s="11"/>
      <c r="F103" s="11"/>
      <c r="G103" s="11"/>
      <c r="H103" s="25"/>
    </row>
    <row r="104" spans="1:8" x14ac:dyDescent="0.35">
      <c r="A104" s="11"/>
      <c r="B104" s="8" t="s">
        <v>178</v>
      </c>
      <c r="C104" s="14">
        <v>24.866</v>
      </c>
      <c r="D104" s="14">
        <v>24.6937</v>
      </c>
      <c r="E104" s="11"/>
      <c r="F104" s="11"/>
      <c r="G104" s="11"/>
      <c r="H104" s="25"/>
    </row>
    <row r="105" spans="1:8" x14ac:dyDescent="0.35">
      <c r="A105" s="11"/>
      <c r="B105" s="8" t="s">
        <v>20</v>
      </c>
      <c r="C105" s="11"/>
      <c r="D105" s="11"/>
      <c r="E105" s="11"/>
      <c r="F105" s="11"/>
      <c r="G105" s="11"/>
      <c r="H105" s="25"/>
    </row>
    <row r="106" spans="1:8" x14ac:dyDescent="0.35">
      <c r="A106" s="11"/>
      <c r="B106" s="11"/>
      <c r="C106" s="11"/>
      <c r="D106" s="11"/>
      <c r="E106" s="11"/>
      <c r="F106" s="11"/>
      <c r="G106" s="11"/>
      <c r="H106" s="25"/>
    </row>
    <row r="107" spans="1:8" x14ac:dyDescent="0.35">
      <c r="A107" s="11"/>
      <c r="B107" s="11" t="s">
        <v>179</v>
      </c>
      <c r="C107" s="11"/>
      <c r="D107" s="11"/>
      <c r="E107" s="11"/>
      <c r="F107" s="11"/>
      <c r="G107" s="11"/>
      <c r="H107" s="25"/>
    </row>
    <row r="108" spans="1:8" x14ac:dyDescent="0.35">
      <c r="A108" s="11"/>
      <c r="B108" s="11"/>
      <c r="C108" s="11"/>
      <c r="D108" s="11"/>
      <c r="E108" s="11"/>
      <c r="F108" s="11"/>
      <c r="G108" s="11"/>
      <c r="H108" s="25"/>
    </row>
    <row r="109" spans="1:8" x14ac:dyDescent="0.35">
      <c r="A109" s="11"/>
      <c r="B109" s="11" t="s">
        <v>180</v>
      </c>
      <c r="C109" s="11"/>
      <c r="D109" s="11"/>
      <c r="E109" s="11"/>
      <c r="F109" s="11"/>
      <c r="G109" s="11"/>
      <c r="H109" s="25"/>
    </row>
    <row r="110" spans="1:8" x14ac:dyDescent="0.35">
      <c r="A110" s="25"/>
      <c r="B110" s="25"/>
      <c r="C110" s="25"/>
      <c r="D110" s="25"/>
      <c r="E110" s="25"/>
      <c r="F110" s="25"/>
      <c r="G110" s="25"/>
      <c r="H110" s="25"/>
    </row>
    <row r="111" spans="1:8" x14ac:dyDescent="0.35">
      <c r="A111" s="11"/>
      <c r="B111" s="11" t="s">
        <v>181</v>
      </c>
      <c r="C111" s="11"/>
      <c r="D111" s="11"/>
      <c r="E111" s="11"/>
      <c r="F111" s="11"/>
      <c r="G111" s="11"/>
      <c r="H111" s="11"/>
    </row>
    <row r="112" spans="1:8" x14ac:dyDescent="0.35">
      <c r="A112" s="11"/>
      <c r="B112" s="11" t="s">
        <v>182</v>
      </c>
      <c r="C112" s="11"/>
      <c r="D112" s="11"/>
      <c r="E112" s="11"/>
      <c r="F112" s="11"/>
      <c r="G112" s="11"/>
      <c r="H112" s="25"/>
    </row>
    <row r="113" spans="1:8" x14ac:dyDescent="0.35">
      <c r="A113" s="11"/>
      <c r="B113" s="11" t="s">
        <v>183</v>
      </c>
      <c r="C113" s="11"/>
      <c r="D113" s="11"/>
      <c r="E113" s="11"/>
      <c r="F113" s="11"/>
      <c r="G113" s="11"/>
      <c r="H113" s="25"/>
    </row>
    <row r="114" spans="1:8" x14ac:dyDescent="0.35">
      <c r="A114" s="11"/>
      <c r="B114" s="11" t="s">
        <v>184</v>
      </c>
      <c r="C114" s="11"/>
      <c r="D114" s="11"/>
      <c r="E114" s="11"/>
      <c r="F114" s="11"/>
      <c r="G114" s="11"/>
      <c r="H114" s="25"/>
    </row>
    <row r="115" spans="1:8" x14ac:dyDescent="0.35">
      <c r="A115" s="11"/>
      <c r="B115" s="11" t="s">
        <v>185</v>
      </c>
      <c r="C115" s="11"/>
      <c r="D115" s="11"/>
      <c r="E115" s="11"/>
      <c r="F115" s="11"/>
      <c r="G115" s="11"/>
      <c r="H115" s="25"/>
    </row>
    <row r="116" spans="1:8" x14ac:dyDescent="0.35">
      <c r="A116" s="11"/>
      <c r="B116" s="11" t="s">
        <v>186</v>
      </c>
      <c r="C116" s="11"/>
      <c r="D116" s="11"/>
      <c r="E116" s="11"/>
      <c r="F116" s="11"/>
      <c r="G116" s="11"/>
      <c r="H116" s="25"/>
    </row>
    <row r="117" spans="1:8" x14ac:dyDescent="0.35">
      <c r="A117" s="11"/>
      <c r="B117" s="11" t="s">
        <v>187</v>
      </c>
      <c r="C117" s="11"/>
      <c r="D117" s="11"/>
      <c r="E117" s="11"/>
      <c r="F117" s="11"/>
      <c r="G117" s="11"/>
      <c r="H117" s="25"/>
    </row>
    <row r="118" spans="1:8" x14ac:dyDescent="0.35">
      <c r="A118" s="11"/>
      <c r="B118" s="11" t="s">
        <v>188</v>
      </c>
      <c r="C118" s="11"/>
      <c r="D118" s="11"/>
      <c r="E118" s="11"/>
      <c r="F118" s="11"/>
      <c r="G118" s="11"/>
      <c r="H118" s="25"/>
    </row>
    <row r="119" spans="1:8" x14ac:dyDescent="0.35">
      <c r="A119" s="11"/>
      <c r="B119" s="11" t="s">
        <v>189</v>
      </c>
      <c r="C119" s="11"/>
      <c r="D119" s="11"/>
      <c r="E119" s="11"/>
      <c r="F119" s="11"/>
      <c r="G119" s="11"/>
      <c r="H119" s="25"/>
    </row>
    <row r="120" spans="1:8" x14ac:dyDescent="0.35">
      <c r="A120" s="11"/>
      <c r="B120" s="11" t="s">
        <v>190</v>
      </c>
      <c r="C120" s="11"/>
      <c r="D120" s="11"/>
      <c r="E120" s="11"/>
      <c r="F120" s="11"/>
      <c r="G120" s="11"/>
      <c r="H120" s="25"/>
    </row>
    <row r="122" spans="1:8" x14ac:dyDescent="0.35">
      <c r="B122" s="28" t="s">
        <v>191</v>
      </c>
    </row>
    <row r="138" spans="2:2" x14ac:dyDescent="0.35">
      <c r="B138" s="28" t="s">
        <v>192</v>
      </c>
    </row>
  </sheetData>
  <mergeCells count="10">
    <mergeCell ref="B82:F82"/>
    <mergeCell ref="B83:F83"/>
    <mergeCell ref="B84:F84"/>
    <mergeCell ref="B85:F85"/>
    <mergeCell ref="A1:J1"/>
    <mergeCell ref="A2:J2"/>
    <mergeCell ref="B78:F78"/>
    <mergeCell ref="B79:F79"/>
    <mergeCell ref="B80:F80"/>
    <mergeCell ref="B81:F8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Views>
    <sheetView workbookViewId="0">
      <selection activeCell="A3" sqref="A3:G3"/>
    </sheetView>
  </sheetViews>
  <sheetFormatPr defaultColWidth="9.1796875" defaultRowHeight="15.5" x14ac:dyDescent="0.35"/>
  <cols>
    <col min="1" max="1" width="55" style="33" customWidth="1"/>
    <col min="2" max="2" width="41.26953125" style="33" bestFit="1" customWidth="1"/>
    <col min="3" max="3" width="32.453125" style="33" customWidth="1"/>
    <col min="4" max="4" width="22.7265625" style="33" customWidth="1"/>
    <col min="5" max="5" width="18.7265625" style="33" customWidth="1"/>
    <col min="6" max="6" width="16.1796875" style="33" customWidth="1"/>
    <col min="7" max="7" width="15.26953125" style="33" bestFit="1" customWidth="1"/>
    <col min="8" max="8" width="38.54296875" style="33" customWidth="1"/>
    <col min="9" max="16384" width="9.1796875" style="33"/>
  </cols>
  <sheetData>
    <row r="2" spans="1:7" x14ac:dyDescent="0.35">
      <c r="G2" s="34"/>
    </row>
    <row r="3" spans="1:7" x14ac:dyDescent="0.35">
      <c r="A3" s="35" t="s">
        <v>193</v>
      </c>
      <c r="B3" s="35"/>
      <c r="C3" s="35"/>
      <c r="D3" s="35"/>
      <c r="E3" s="35"/>
      <c r="F3" s="35"/>
      <c r="G3" s="35"/>
    </row>
    <row r="4" spans="1:7" ht="13.5" customHeight="1" x14ac:dyDescent="0.35"/>
    <row r="5" spans="1:7" x14ac:dyDescent="0.35">
      <c r="A5" s="33" t="s">
        <v>194</v>
      </c>
    </row>
    <row r="7" spans="1:7" x14ac:dyDescent="0.35">
      <c r="A7" s="36" t="s">
        <v>195</v>
      </c>
      <c r="B7" s="36"/>
      <c r="C7" s="36"/>
      <c r="D7" s="36"/>
      <c r="E7" s="36"/>
      <c r="F7" s="36"/>
    </row>
    <row r="8" spans="1:7" ht="46.5" x14ac:dyDescent="0.35">
      <c r="A8" s="37" t="s">
        <v>196</v>
      </c>
      <c r="B8" s="37" t="s">
        <v>197</v>
      </c>
      <c r="C8" s="37" t="s">
        <v>198</v>
      </c>
      <c r="D8" s="37" t="s">
        <v>199</v>
      </c>
      <c r="E8" s="37" t="s">
        <v>200</v>
      </c>
      <c r="F8" s="37" t="s">
        <v>201</v>
      </c>
      <c r="G8" s="38" t="s">
        <v>202</v>
      </c>
    </row>
    <row r="9" spans="1:7" x14ac:dyDescent="0.35">
      <c r="A9" s="39" t="s">
        <v>203</v>
      </c>
      <c r="B9" s="39" t="s">
        <v>22</v>
      </c>
      <c r="C9" s="40">
        <v>-25200</v>
      </c>
      <c r="D9" s="41">
        <v>4049.15</v>
      </c>
      <c r="E9" s="42">
        <v>4097.2</v>
      </c>
      <c r="F9" s="42">
        <v>182.626668</v>
      </c>
      <c r="G9" s="42">
        <f>(C9*E9)/100000</f>
        <v>-1032.4944</v>
      </c>
    </row>
    <row r="10" spans="1:7" x14ac:dyDescent="0.35">
      <c r="A10" s="39" t="s">
        <v>27</v>
      </c>
      <c r="B10" s="39" t="s">
        <v>28</v>
      </c>
      <c r="C10" s="40">
        <v>-54500</v>
      </c>
      <c r="D10" s="41">
        <v>1548.3036</v>
      </c>
      <c r="E10" s="42">
        <v>1576.5</v>
      </c>
      <c r="F10" s="42">
        <v>151.4372425</v>
      </c>
      <c r="G10" s="42">
        <f t="shared" ref="G10:G11" si="0">(C10*E10)/100000</f>
        <v>-859.1925</v>
      </c>
    </row>
    <row r="11" spans="1:7" x14ac:dyDescent="0.35">
      <c r="A11" s="39" t="s">
        <v>24</v>
      </c>
      <c r="B11" s="39" t="s">
        <v>25</v>
      </c>
      <c r="C11" s="42">
        <v>-30800</v>
      </c>
      <c r="D11" s="41">
        <v>3178.7948000000001</v>
      </c>
      <c r="E11" s="42">
        <v>3155.5</v>
      </c>
      <c r="F11" s="42">
        <v>171.59603999999999</v>
      </c>
      <c r="G11" s="42">
        <f t="shared" si="0"/>
        <v>-971.89400000000001</v>
      </c>
    </row>
    <row r="12" spans="1:7" x14ac:dyDescent="0.35">
      <c r="A12" s="43"/>
      <c r="B12" s="44"/>
      <c r="C12" s="45">
        <f>SUM(C9:C11)</f>
        <v>-110500</v>
      </c>
      <c r="D12" s="45">
        <f>SUM(D9:D11)</f>
        <v>8776.2484000000004</v>
      </c>
      <c r="E12" s="45">
        <f>SUM(E9:E11)</f>
        <v>8829.2000000000007</v>
      </c>
      <c r="F12" s="45">
        <f>SUM(F9:F11)</f>
        <v>505.65995050000004</v>
      </c>
      <c r="G12" s="45">
        <f>SUM(G9:G11)</f>
        <v>-2863.5808999999999</v>
      </c>
    </row>
    <row r="13" spans="1:7" x14ac:dyDescent="0.35">
      <c r="G13" s="46"/>
    </row>
    <row r="16" spans="1:7" x14ac:dyDescent="0.35">
      <c r="A16" s="36" t="s">
        <v>204</v>
      </c>
      <c r="B16" s="36"/>
      <c r="C16" s="36"/>
      <c r="D16" s="36"/>
      <c r="E16" s="36"/>
      <c r="F16" s="36"/>
    </row>
    <row r="17" spans="1:6" x14ac:dyDescent="0.35">
      <c r="A17" s="47"/>
    </row>
    <row r="18" spans="1:6" x14ac:dyDescent="0.35">
      <c r="A18" s="36" t="s">
        <v>205</v>
      </c>
      <c r="B18" s="36"/>
      <c r="C18" s="36"/>
      <c r="D18" s="36"/>
      <c r="E18" s="36"/>
      <c r="F18" s="36"/>
    </row>
    <row r="19" spans="1:6" x14ac:dyDescent="0.35">
      <c r="A19" s="36"/>
      <c r="B19" s="36"/>
      <c r="C19" s="36"/>
      <c r="D19" s="36"/>
      <c r="E19" s="36"/>
      <c r="F19" s="36"/>
    </row>
    <row r="20" spans="1:6" x14ac:dyDescent="0.35">
      <c r="A20" s="36" t="s">
        <v>206</v>
      </c>
      <c r="B20" s="36"/>
      <c r="C20" s="36"/>
      <c r="D20" s="36"/>
      <c r="E20" s="36"/>
      <c r="F20" s="36"/>
    </row>
  </sheetData>
  <mergeCells count="6">
    <mergeCell ref="A3:G3"/>
    <mergeCell ref="A7:F7"/>
    <mergeCell ref="A16:F16"/>
    <mergeCell ref="A18:F18"/>
    <mergeCell ref="A19:F19"/>
    <mergeCell ref="A20:F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2025-12-08T10:34:55Z</dcterms:created>
  <dcterms:modified xsi:type="dcterms:W3CDTF">2025-12-08T10:49:35Z</dcterms:modified>
</cp:coreProperties>
</file>