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Equity\"/>
    </mc:Choice>
  </mc:AlternateContent>
  <bookViews>
    <workbookView xWindow="0" yWindow="0" windowWidth="20490" windowHeight="8910"/>
  </bookViews>
  <sheets>
    <sheet name="HDFCMY" sheetId="1" r:id="rId1"/>
    <sheet name="Derivative 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 i="2" l="1"/>
  <c r="H35" i="2"/>
  <c r="H34" i="2"/>
  <c r="H33" i="2"/>
  <c r="H32" i="2"/>
  <c r="H31" i="2"/>
  <c r="H30" i="2"/>
  <c r="H29" i="2"/>
  <c r="H28" i="2"/>
  <c r="H27" i="2"/>
  <c r="H26" i="2"/>
  <c r="H25" i="2"/>
  <c r="H24" i="2"/>
  <c r="H23" i="2"/>
  <c r="H22" i="2"/>
  <c r="H21" i="2"/>
  <c r="H20" i="2"/>
  <c r="H19" i="2"/>
  <c r="H18" i="2"/>
  <c r="H17" i="2"/>
  <c r="H16" i="2"/>
  <c r="H15" i="2"/>
  <c r="H14" i="2"/>
  <c r="H13" i="2"/>
  <c r="H12" i="2"/>
  <c r="H11" i="2"/>
  <c r="H10" i="2"/>
  <c r="H9" i="2"/>
  <c r="A7" i="2"/>
</calcChain>
</file>

<file path=xl/sharedStrings.xml><?xml version="1.0" encoding="utf-8"?>
<sst xmlns="http://schemas.openxmlformats.org/spreadsheetml/2006/main" count="941" uniqueCount="322">
  <si>
    <t>HDFC Equity Savings Fund (An open ended scheme investing in equity, arbitrage and debt)</t>
  </si>
  <si>
    <t>HDFC Equity Savings Fund (AN OPEN-ENDED EQUITY SCHEME)</t>
  </si>
  <si>
    <t>Income</t>
  </si>
  <si>
    <t>Hybrid</t>
  </si>
  <si>
    <t>Portfolio as on 31-Oct-2023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</si>
  <si>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</si>
  <si>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</si>
  <si>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</si>
  <si>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</si>
  <si>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</si>
  <si>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</si>
  <si>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</si>
  <si>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</si>
  <si>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</si>
  <si>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</si>
  <si>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</si>
  <si>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</si>
  <si>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</si>
  <si>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</si>
  <si>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</si>
  <si>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</si>
  <si>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</si>
  <si>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</si>
  <si>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</si>
  <si>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INE062A01020</t>
  </si>
  <si>
    <t>State Bank of India</t>
  </si>
  <si>
    <t>INE280A01028</t>
  </si>
  <si>
    <t>Titan Company Ltd.</t>
  </si>
  <si>
    <t>Consumer Durables</t>
  </si>
  <si>
    <t>INE090A01021</t>
  </si>
  <si>
    <t>ICICI Bank Ltd.</t>
  </si>
  <si>
    <t>INE585B01010</t>
  </si>
  <si>
    <t>Maruti Suzuki India Limited</t>
  </si>
  <si>
    <t>Automobiles</t>
  </si>
  <si>
    <t>INE018A01030</t>
  </si>
  <si>
    <t>Larsen and Toubro Ltd.</t>
  </si>
  <si>
    <t>Construction</t>
  </si>
  <si>
    <t>INE238A01034</t>
  </si>
  <si>
    <t>Axis Bank Ltd.</t>
  </si>
  <si>
    <t>INE044A01036</t>
  </si>
  <si>
    <t>Sun Pharmaceutical Industries Ltd.</t>
  </si>
  <si>
    <t>Pharmaceuticals &amp; Biotechnology</t>
  </si>
  <si>
    <t>INE742F01042</t>
  </si>
  <si>
    <t>Adani Ports &amp; Special Economic Zone</t>
  </si>
  <si>
    <t>Transport Infrastructure</t>
  </si>
  <si>
    <t>INE009A01021</t>
  </si>
  <si>
    <t>Infosys Limited</t>
  </si>
  <si>
    <t>IT - Software</t>
  </si>
  <si>
    <t>INE397D01024</t>
  </si>
  <si>
    <t>Bharti Airtel Ltd.</t>
  </si>
  <si>
    <t>Telecom - Services</t>
  </si>
  <si>
    <t>INE019A01038</t>
  </si>
  <si>
    <t>JSW Steel Ltd.</t>
  </si>
  <si>
    <t>Ferrous Metals</t>
  </si>
  <si>
    <t>INE155A01022</t>
  </si>
  <si>
    <t>Tata Motors Ltd.</t>
  </si>
  <si>
    <t>INE296A01024</t>
  </si>
  <si>
    <t>Bajaj Finance Ltd.</t>
  </si>
  <si>
    <t>Finance</t>
  </si>
  <si>
    <t>INE089A01023</t>
  </si>
  <si>
    <t>Dr Reddys Laboratories Ltd.</t>
  </si>
  <si>
    <t>INE854D01024</t>
  </si>
  <si>
    <t>United Spirits Limited</t>
  </si>
  <si>
    <t>Beverages</t>
  </si>
  <si>
    <t>INE081A01020</t>
  </si>
  <si>
    <t>Tata Steel Ltd.</t>
  </si>
  <si>
    <t>INE002A01018</t>
  </si>
  <si>
    <t>Reliance Industries Ltd.</t>
  </si>
  <si>
    <t>Petroleum Products</t>
  </si>
  <si>
    <t>INE208A01029</t>
  </si>
  <si>
    <t>Ashok Leyland  Ltd</t>
  </si>
  <si>
    <t>Agricultural, Commercial &amp; Construction Vehicles</t>
  </si>
  <si>
    <t>INE038A01020</t>
  </si>
  <si>
    <t>Hindalco Industries Ltd.</t>
  </si>
  <si>
    <t>Non - Ferrous Metals</t>
  </si>
  <si>
    <t>INE733E01010</t>
  </si>
  <si>
    <t>NTPC Limited</t>
  </si>
  <si>
    <t>Power</t>
  </si>
  <si>
    <t>INE154A01025</t>
  </si>
  <si>
    <t>ITC Ltd.</t>
  </si>
  <si>
    <t>Diversified FMCG</t>
  </si>
  <si>
    <t>INE101A01026</t>
  </si>
  <si>
    <t>Mahindra &amp; Mahindra Ltd.</t>
  </si>
  <si>
    <t>INE245A01021</t>
  </si>
  <si>
    <t>The Tata Power Company Ltd.</t>
  </si>
  <si>
    <t>INE860A01027</t>
  </si>
  <si>
    <t>HCL Technologies Ltd.</t>
  </si>
  <si>
    <t>INE522F01014</t>
  </si>
  <si>
    <t>Coal India Ltd.</t>
  </si>
  <si>
    <t>Consumable Fuels</t>
  </si>
  <si>
    <t>INE059A01026</t>
  </si>
  <si>
    <t>Cipla Ltd.</t>
  </si>
  <si>
    <t>INE517F01014</t>
  </si>
  <si>
    <t>Gujarat Pipavav Port Ltd.</t>
  </si>
  <si>
    <t>INE237A01028</t>
  </si>
  <si>
    <t>Kotak Mahindra Bank Limited</t>
  </si>
  <si>
    <t>INE016A01026</t>
  </si>
  <si>
    <t>Dabur India Ltd.</t>
  </si>
  <si>
    <t>Personal Products</t>
  </si>
  <si>
    <t>INE917I01010</t>
  </si>
  <si>
    <t>Bajaj Auto Limited</t>
  </si>
  <si>
    <t>INE029A01011</t>
  </si>
  <si>
    <t>Bharat Petroleum Corporation Ltd.</t>
  </si>
  <si>
    <t>INE752E01010</t>
  </si>
  <si>
    <t>Power Grid Corporation of India Ltd.</t>
  </si>
  <si>
    <t>INE180A01020</t>
  </si>
  <si>
    <t>Max Financial Services Ltd.</t>
  </si>
  <si>
    <t>Insurance</t>
  </si>
  <si>
    <t>INE326A01037</t>
  </si>
  <si>
    <t>Lupin Ltd.</t>
  </si>
  <si>
    <t>INE066F01020</t>
  </si>
  <si>
    <t>Hindustan Aeronautics Limited</t>
  </si>
  <si>
    <t>Aerospace &amp; Defense</t>
  </si>
  <si>
    <t>INE263A01024</t>
  </si>
  <si>
    <t>Bharat Electronics Ltd.</t>
  </si>
  <si>
    <t>INE213A01029</t>
  </si>
  <si>
    <t>Oil &amp; Natural Gas Corporation Ltd.</t>
  </si>
  <si>
    <t>Oil</t>
  </si>
  <si>
    <t>INE406A01037</t>
  </si>
  <si>
    <t>Aurobindo Pharma Ltd.</t>
  </si>
  <si>
    <t>INE095A01012</t>
  </si>
  <si>
    <t>Indusind Bank Ltd.</t>
  </si>
  <si>
    <t>INE220B01022</t>
  </si>
  <si>
    <t>Kalpataru Projects International Ltd</t>
  </si>
  <si>
    <t>INE018E01016</t>
  </si>
  <si>
    <t>SBI CARDS AND PAYMENT SERVICES LIMITED</t>
  </si>
  <si>
    <t>INE258A01016</t>
  </si>
  <si>
    <t>BEML Limited</t>
  </si>
  <si>
    <t>INE795G01014</t>
  </si>
  <si>
    <t>HDFC Life Insurance Company Limited</t>
  </si>
  <si>
    <t>INE481G01011</t>
  </si>
  <si>
    <t>UltraTech Cement Limited</t>
  </si>
  <si>
    <t>Cement &amp; Cement Products</t>
  </si>
  <si>
    <t>INE571A01038</t>
  </si>
  <si>
    <t>Ipca Laboratories Ltd.</t>
  </si>
  <si>
    <t>INE536H01010</t>
  </si>
  <si>
    <t>CIE Automotive India Ltd</t>
  </si>
  <si>
    <t>Auto Components</t>
  </si>
  <si>
    <t>INE533A01012</t>
  </si>
  <si>
    <t>Goodyear India Ltd.</t>
  </si>
  <si>
    <t>INE068V01023</t>
  </si>
  <si>
    <t>Gland Pharma Ltd.</t>
  </si>
  <si>
    <t>INE212H01026</t>
  </si>
  <si>
    <t>AIA Engineering Ltd.</t>
  </si>
  <si>
    <t>Industrial Products</t>
  </si>
  <si>
    <t>INE028A01039</t>
  </si>
  <si>
    <t>Bank of Baroda</t>
  </si>
  <si>
    <t>INE462A01022</t>
  </si>
  <si>
    <t>Bayer Cropscience Ltd</t>
  </si>
  <si>
    <t>Fertilizers &amp; Agrochemicals</t>
  </si>
  <si>
    <t>INE094A01015</t>
  </si>
  <si>
    <t>Hindustan Petroleum Corp. Ltd.</t>
  </si>
  <si>
    <t>INE075A01022</t>
  </si>
  <si>
    <t>Wipro Ltd.</t>
  </si>
  <si>
    <t>INE115A01026</t>
  </si>
  <si>
    <t>LIC Housing Finance Ltd.</t>
  </si>
  <si>
    <t>INE225D01027</t>
  </si>
  <si>
    <t>Symphony Ltd.</t>
  </si>
  <si>
    <t>INE488A01050</t>
  </si>
  <si>
    <t>Chemplast Sanmar Limited</t>
  </si>
  <si>
    <t>Chemicals &amp; Petrochemicals</t>
  </si>
  <si>
    <t>INE461C01038</t>
  </si>
  <si>
    <t>Greenply Industries Ltd.</t>
  </si>
  <si>
    <t>INE191H01014</t>
  </si>
  <si>
    <t>PVR LIMITED</t>
  </si>
  <si>
    <t>Entertainment</t>
  </si>
  <si>
    <t>INE442H01029</t>
  </si>
  <si>
    <t>Ashoka Buildcon Ltd.</t>
  </si>
  <si>
    <t>INE437A01024</t>
  </si>
  <si>
    <t>Apollo Hospitals Enterprise Ltd.</t>
  </si>
  <si>
    <t>Healthcare Services</t>
  </si>
  <si>
    <t>INE192A01025</t>
  </si>
  <si>
    <t>Tata Consumer Products Limited</t>
  </si>
  <si>
    <t>Agricultural Food &amp; Other Products</t>
  </si>
  <si>
    <t>INE079A01024</t>
  </si>
  <si>
    <t>Ambuja Cements Ltd.</t>
  </si>
  <si>
    <t>INE047A01021</t>
  </si>
  <si>
    <t>Grasim Industries Ltd.</t>
  </si>
  <si>
    <t>INE376G01013</t>
  </si>
  <si>
    <t>Biocon Ltd.</t>
  </si>
  <si>
    <t>Sub Total</t>
  </si>
  <si>
    <t>Total</t>
  </si>
  <si>
    <t>DEBT INSTRUMENTS</t>
  </si>
  <si>
    <t>Government Securities (Central/State)</t>
  </si>
  <si>
    <t>IN0020220011</t>
  </si>
  <si>
    <t>7.1% GOI MAT 180429</t>
  </si>
  <si>
    <t>Sovereign</t>
  </si>
  <si>
    <t>IN0020230036</t>
  </si>
  <si>
    <t>7.17% GOI MAT 170430</t>
  </si>
  <si>
    <t>IN0020220037</t>
  </si>
  <si>
    <t>7.38% GOI MAT 200627</t>
  </si>
  <si>
    <t>IN0020210160</t>
  </si>
  <si>
    <t>Floating Rate GOI 2028</t>
  </si>
  <si>
    <t>IN000327C048</t>
  </si>
  <si>
    <t>GOI STRIPS - Mat 190327^</t>
  </si>
  <si>
    <t>IN000928C043</t>
  </si>
  <si>
    <t>GOI STRIPS - Mat 190928^</t>
  </si>
  <si>
    <t>IN0020150093</t>
  </si>
  <si>
    <t>7.59% GOI MAT 110126^</t>
  </si>
  <si>
    <t>IN000228C022</t>
  </si>
  <si>
    <t>GOI STRIPS - Mat 220228^</t>
  </si>
  <si>
    <t>IN0020160035</t>
  </si>
  <si>
    <t>6.97% GOI MAT 060926</t>
  </si>
  <si>
    <t>IN0020230010</t>
  </si>
  <si>
    <t>7.06% GOI MAT 100428</t>
  </si>
  <si>
    <t>IN0020230085</t>
  </si>
  <si>
    <t>7.18% GOI MAT 140833</t>
  </si>
  <si>
    <t>IN0020210012</t>
  </si>
  <si>
    <t>5.63% GOI MAT 120426</t>
  </si>
  <si>
    <t>IN0020220151</t>
  </si>
  <si>
    <t>7.26% GOI MAT 060233</t>
  </si>
  <si>
    <t>IN0020210244</t>
  </si>
  <si>
    <t>6.54% GOI MAT 170132</t>
  </si>
  <si>
    <t>Non-Convertible debentures / Bonds</t>
  </si>
  <si>
    <t>INE121J08046</t>
  </si>
  <si>
    <t>Indus Towers Limited^</t>
  </si>
  <si>
    <t>CRISIL - AA+</t>
  </si>
  <si>
    <t>INE756I07EB9</t>
  </si>
  <si>
    <t>HDB Financial Services Ltd.^</t>
  </si>
  <si>
    <t>CRISIL - AAA</t>
  </si>
  <si>
    <t>INE163N08255</t>
  </si>
  <si>
    <t>ONGC Petro additions Ltd. (OPAL) (Put on ONGC Ltd.)^</t>
  </si>
  <si>
    <t>CRISIL - AA</t>
  </si>
  <si>
    <t>INE403D08140</t>
  </si>
  <si>
    <t>Bharti Telecom Limited^</t>
  </si>
  <si>
    <t>INE377Y07326</t>
  </si>
  <si>
    <t>Bajaj Housing Finance Ltd.^</t>
  </si>
  <si>
    <t>INE296A07SF4</t>
  </si>
  <si>
    <t>Bajaj Finance Ltd.^</t>
  </si>
  <si>
    <t>INE134E08KV1</t>
  </si>
  <si>
    <t>Power Finance Corporation Ltd.^</t>
  </si>
  <si>
    <t>INE556F08KK5</t>
  </si>
  <si>
    <t>Small Industries Development Bank</t>
  </si>
  <si>
    <t>INE040A08AH8</t>
  </si>
  <si>
    <t>HDFC Bank Ltd.£^</t>
  </si>
  <si>
    <t>INE134E08KQ1</t>
  </si>
  <si>
    <t>INE556F08KD0</t>
  </si>
  <si>
    <t>Small Industries Development Bank^</t>
  </si>
  <si>
    <t>CARE - AAA</t>
  </si>
  <si>
    <t>INE233A08030</t>
  </si>
  <si>
    <t>Godrej Industries Ltd.^</t>
  </si>
  <si>
    <t>INE306N07NF5</t>
  </si>
  <si>
    <t>Tata Capital Financial Services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</si>
  <si>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</si>
  <si>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</si>
  <si>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</si>
  <si>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</si>
  <si>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</si>
  <si>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</si>
  <si>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</si>
  <si>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</si>
  <si>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</si>
  <si>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</si>
  <si>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</si>
  <si>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</si>
  <si>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</si>
  <si>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</si>
  <si>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</si>
  <si>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</si>
  <si>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</si>
  <si>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</si>
  <si>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</si>
  <si>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</si>
  <si>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</si>
  <si>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</si>
  <si>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</si>
  <si>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</si>
  <si>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</si>
  <si>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</si>
  <si>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</si>
  <si>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</si>
  <si>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</si>
  <si>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t>
  </si>
  <si>
    <t>Credit Exposure</t>
  </si>
  <si>
    <t>Cash, Cash Equivalents and Net Current Assets</t>
  </si>
  <si>
    <t>Notes :</t>
  </si>
  <si>
    <t>1) NAV History</t>
  </si>
  <si>
    <t>NAVs per unit (Rs.)</t>
  </si>
  <si>
    <t>October 31, 2023</t>
  </si>
  <si>
    <t>September 29, 2023</t>
  </si>
  <si>
    <t>IDCW PLAN</t>
  </si>
  <si>
    <t>IDCW Option - Direct Plan</t>
  </si>
  <si>
    <t>GROWTH PLAN</t>
  </si>
  <si>
    <t>Growth Option - Direct Plan</t>
  </si>
  <si>
    <t>Dividend History - Dividend declared during the month ended October 31, 2023 : Nil</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</si>
  <si>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</si>
  <si>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</si>
  <si>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</si>
  <si>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</si>
  <si>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101233.17 Lacs</t>
  </si>
  <si>
    <t>6) Portfolio Turnover Ratio : 17.9%</t>
  </si>
  <si>
    <t>7) Annualised Portfolio YTM : 7.62%</t>
  </si>
  <si>
    <t>8) Macaulay Duration : 869.6 Days</t>
  </si>
  <si>
    <t>9) Residual Maturity (Average Portfolio Maturity-other than equity investments) : 1081.15 Days</t>
  </si>
  <si>
    <t>10) Total value and percentage of Illiquid Equity Shares : Nil</t>
  </si>
  <si>
    <t>11) IDCW stands for Income Distribution cum Capital Withdrawal</t>
  </si>
  <si>
    <t>12) Riskometer based on Scheme Portfolio and Portfolio Benchmark "NIFTY Equity Savings Index" as on Oct 31, 2023</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</si>
  <si>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</si>
  <si>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</si>
  <si>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</si>
  <si>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</si>
  <si>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</si>
  <si>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</si>
  <si>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</si>
  <si>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</si>
  <si>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</si>
  <si>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</si>
  <si>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</si>
  <si>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</si>
  <si>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</si>
  <si>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</si>
  <si>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Dr. Reddy's Laboratories Ltd.</t>
  </si>
  <si>
    <t>HDFC Bank Ltd.</t>
  </si>
  <si>
    <t>HDFC Life Insurance Company Ltd.</t>
  </si>
  <si>
    <t>Larsen &amp; Toubro Ltd.</t>
  </si>
  <si>
    <t>Maruti Suzuki India Ltd.</t>
  </si>
  <si>
    <t>United Spirits Ltd.</t>
  </si>
  <si>
    <t>Adani Ports and Special Economic Zone Ltd.</t>
  </si>
  <si>
    <t>Tata Power Co. Ltd.</t>
  </si>
  <si>
    <t>Tata Consumer Products Ltd.</t>
  </si>
  <si>
    <t>Agricultural Food &amp; other Products</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</si>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</sst>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6" fontId="13" fillId="0" borderId="0" applyFont="0" applyFill="0" applyBorder="0" applyAlignment="0" applyProtection="0"/>
  </cellStyleXfs>
  <cellXfs count="57">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4" fontId="13" fillId="0" borderId="0" xfId="2" applyNumberFormat="1" applyFont="1" applyFill="1" applyBorder="1" applyAlignment="1"/>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2" xfId="2" applyFont="1" applyFill="1" applyBorder="1" applyAlignment="1">
      <alignment wrapText="1"/>
    </xf>
    <xf numFmtId="43" fontId="16" fillId="0" borderId="2" xfId="1" applyFont="1" applyBorder="1" applyAlignment="1">
      <alignment vertical="center" wrapText="1"/>
    </xf>
    <xf numFmtId="0" fontId="13" fillId="0" borderId="3" xfId="2" applyFont="1" applyFill="1" applyBorder="1" applyAlignment="1">
      <alignment vertical="top"/>
    </xf>
    <xf numFmtId="0" fontId="17" fillId="0" borderId="2" xfId="2" applyFont="1" applyFill="1" applyBorder="1" applyAlignment="1">
      <alignment vertical="top"/>
    </xf>
    <xf numFmtId="167" fontId="17" fillId="0" borderId="2" xfId="3" applyNumberFormat="1" applyFont="1" applyFill="1" applyBorder="1" applyAlignment="1">
      <alignment horizontal="right" vertical="center"/>
    </xf>
    <xf numFmtId="4" fontId="17" fillId="0" borderId="2" xfId="2" applyNumberFormat="1" applyFont="1" applyFill="1" applyBorder="1" applyAlignment="1">
      <alignment horizontal="right" vertical="top"/>
    </xf>
    <xf numFmtId="4" fontId="13" fillId="0" borderId="2" xfId="2" applyNumberFormat="1" applyFont="1" applyFill="1" applyBorder="1" applyAlignment="1"/>
    <xf numFmtId="43" fontId="13" fillId="0" borderId="2" xfId="1" applyFont="1" applyFill="1" applyBorder="1" applyAlignment="1"/>
    <xf numFmtId="0" fontId="13" fillId="0" borderId="4" xfId="2" applyFont="1" applyFill="1" applyBorder="1" applyAlignment="1">
      <alignment vertical="top"/>
    </xf>
    <xf numFmtId="0" fontId="17" fillId="0" borderId="5" xfId="2" applyFont="1" applyFill="1" applyBorder="1" applyAlignment="1">
      <alignment vertical="top"/>
    </xf>
    <xf numFmtId="0" fontId="13" fillId="0" borderId="0" xfId="2" applyFont="1" applyFill="1" applyBorder="1" applyAlignment="1">
      <alignment horizontal="center" vertical="center"/>
    </xf>
    <xf numFmtId="0" fontId="15" fillId="0" borderId="0" xfId="2" applyFont="1" applyFill="1" applyBorder="1" applyAlignment="1">
      <alignment horizontal="left" vertical="justify"/>
    </xf>
    <xf numFmtId="0" fontId="13" fillId="0" borderId="2" xfId="2" applyFont="1" applyFill="1" applyBorder="1" applyAlignment="1"/>
    <xf numFmtId="0" fontId="13" fillId="0" borderId="6" xfId="2" applyFont="1" applyFill="1" applyBorder="1" applyAlignment="1"/>
    <xf numFmtId="166" fontId="13" fillId="0" borderId="0"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1492250</xdr:colOff>
      <xdr:row>216</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9081075"/>
          <a:ext cx="3721100" cy="2540000"/>
        </a:xfrm>
        <a:prstGeom prst="rect">
          <a:avLst/>
        </a:prstGeom>
      </xdr:spPr>
    </xdr:pic>
    <xdr:clientData/>
  </xdr:twoCellAnchor>
  <xdr:twoCellAnchor editAs="oneCell">
    <xdr:from>
      <xdr:col>1</xdr:col>
      <xdr:colOff>0</xdr:colOff>
      <xdr:row>219</xdr:row>
      <xdr:rowOff>0</xdr:rowOff>
    </xdr:from>
    <xdr:to>
      <xdr:col>2</xdr:col>
      <xdr:colOff>1492250</xdr:colOff>
      <xdr:row>232</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212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Oct%202023/Derivative/equity%20derivative%20disclosure%20Oct%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MY."/>
      <sheetName val="DerivativeHDFCGR"/>
      <sheetName val="DerivativeMY2005"/>
    </sheetNames>
    <sheetDataSet>
      <sheetData sheetId="0">
        <row r="7">
          <cell r="A7" t="str">
            <v>A.  Hedging Positions through Futures as on  October 31, 2023</v>
          </cell>
        </row>
      </sheetData>
      <sheetData sheetId="1">
        <row r="7">
          <cell r="A7" t="str">
            <v>A.  Hedging Positions through Futures as on  October 31, 2023</v>
          </cell>
        </row>
      </sheetData>
      <sheetData sheetId="2">
        <row r="7">
          <cell r="A7" t="str">
            <v>A.  Hedging Positions through Futures as on  October 31, 2023</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L21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3" t="s">
        <v>0</v>
      </c>
      <c r="B1" s="33" t="s">
        <v>1</v>
      </c>
      <c r="C1" s="33" t="s">
        <v>1</v>
      </c>
      <c r="D1" s="33" t="s">
        <v>1</v>
      </c>
      <c r="E1" s="33" t="s">
        <v>1</v>
      </c>
      <c r="F1" s="33" t="s">
        <v>1</v>
      </c>
      <c r="G1" s="33" t="s">
        <v>1</v>
      </c>
      <c r="H1" s="33" t="s">
        <v>1</v>
      </c>
      <c r="I1" s="33" t="s">
        <v>1</v>
      </c>
      <c r="J1" s="33" t="s">
        <v>1</v>
      </c>
      <c r="K1" s="1" t="s">
        <v>2</v>
      </c>
      <c r="L1" s="2" t="s">
        <v>3</v>
      </c>
    </row>
    <row r="2" spans="1:12" x14ac:dyDescent="0.25">
      <c r="A2" s="34" t="s">
        <v>4</v>
      </c>
      <c r="B2" s="34" t="s">
        <v>4</v>
      </c>
      <c r="C2" s="34" t="s">
        <v>4</v>
      </c>
      <c r="D2" s="34" t="s">
        <v>4</v>
      </c>
      <c r="E2" s="34" t="s">
        <v>4</v>
      </c>
      <c r="F2" s="34" t="s">
        <v>4</v>
      </c>
      <c r="G2" s="34" t="s">
        <v>4</v>
      </c>
      <c r="H2" s="34" t="s">
        <v>4</v>
      </c>
      <c r="I2" s="34" t="s">
        <v>4</v>
      </c>
      <c r="J2" s="34"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5" t="s">
        <v>15</v>
      </c>
    </row>
    <row r="6" spans="1:12" x14ac:dyDescent="0.25">
      <c r="A6" s="8"/>
      <c r="B6" s="9" t="s">
        <v>16</v>
      </c>
      <c r="C6" s="8"/>
      <c r="D6" s="8"/>
      <c r="E6" s="8"/>
      <c r="F6" s="8"/>
      <c r="G6" s="8"/>
      <c r="H6" s="8"/>
      <c r="I6" s="8"/>
      <c r="J6" s="8"/>
      <c r="K6" s="8"/>
      <c r="L6" s="8"/>
    </row>
    <row r="7" spans="1:12" x14ac:dyDescent="0.25">
      <c r="A7" s="8"/>
      <c r="B7" s="9" t="s">
        <v>17</v>
      </c>
      <c r="C7" s="8"/>
      <c r="D7" s="8"/>
      <c r="E7" s="8"/>
      <c r="F7" s="8"/>
      <c r="G7" s="8"/>
      <c r="H7" s="8"/>
      <c r="I7" s="8"/>
      <c r="J7" s="8"/>
      <c r="K7" s="8"/>
      <c r="L7" s="8"/>
    </row>
    <row r="8" spans="1:12" x14ac:dyDescent="0.25">
      <c r="A8" s="8"/>
      <c r="B8" s="9" t="s">
        <v>18</v>
      </c>
      <c r="C8" s="8"/>
      <c r="D8" s="8"/>
      <c r="E8" s="8"/>
      <c r="F8" s="8"/>
      <c r="G8" s="8"/>
      <c r="H8" s="8"/>
      <c r="I8" s="8"/>
      <c r="J8" s="8"/>
      <c r="K8" s="8"/>
      <c r="L8" s="8"/>
    </row>
    <row r="9" spans="1:12" x14ac:dyDescent="0.25">
      <c r="A9" s="10" t="s">
        <v>19</v>
      </c>
      <c r="B9" s="11" t="s">
        <v>20</v>
      </c>
      <c r="C9" s="11" t="s">
        <v>21</v>
      </c>
      <c r="D9" s="11" t="s">
        <v>22</v>
      </c>
      <c r="E9" s="11" t="s">
        <v>23</v>
      </c>
      <c r="F9" s="12">
        <v>1256550</v>
      </c>
      <c r="G9" s="13">
        <v>18552.96</v>
      </c>
      <c r="H9" s="13">
        <v>5.86</v>
      </c>
      <c r="I9" s="14" t="s">
        <v>21</v>
      </c>
      <c r="J9" s="14" t="s">
        <v>21</v>
      </c>
      <c r="K9" s="15">
        <v>3.41</v>
      </c>
      <c r="L9" s="16">
        <v>2.4700000000000002</v>
      </c>
    </row>
    <row r="10" spans="1:12" x14ac:dyDescent="0.25">
      <c r="A10" s="10" t="s">
        <v>19</v>
      </c>
      <c r="B10" s="11" t="s">
        <v>24</v>
      </c>
      <c r="C10" s="11" t="s">
        <v>21</v>
      </c>
      <c r="D10" s="11" t="s">
        <v>25</v>
      </c>
      <c r="E10" s="11" t="s">
        <v>23</v>
      </c>
      <c r="F10" s="12">
        <v>2516500</v>
      </c>
      <c r="G10" s="13">
        <v>14232.07</v>
      </c>
      <c r="H10" s="13">
        <v>4.49</v>
      </c>
      <c r="I10" s="14" t="s">
        <v>21</v>
      </c>
      <c r="J10" s="14" t="s">
        <v>21</v>
      </c>
      <c r="K10" s="15">
        <v>1.97</v>
      </c>
      <c r="L10" s="16">
        <v>2.54</v>
      </c>
    </row>
    <row r="11" spans="1:12" x14ac:dyDescent="0.25">
      <c r="A11" s="10" t="s">
        <v>19</v>
      </c>
      <c r="B11" s="11" t="s">
        <v>26</v>
      </c>
      <c r="C11" s="11" t="s">
        <v>21</v>
      </c>
      <c r="D11" s="11" t="s">
        <v>27</v>
      </c>
      <c r="E11" s="11" t="s">
        <v>28</v>
      </c>
      <c r="F11" s="12">
        <v>392625</v>
      </c>
      <c r="G11" s="13">
        <v>12523.36</v>
      </c>
      <c r="H11" s="13">
        <v>3.95</v>
      </c>
      <c r="I11" s="14" t="s">
        <v>21</v>
      </c>
      <c r="J11" s="14" t="s">
        <v>21</v>
      </c>
      <c r="K11" s="15">
        <v>3.97</v>
      </c>
      <c r="L11" s="16">
        <v>0</v>
      </c>
    </row>
    <row r="12" spans="1:12" x14ac:dyDescent="0.25">
      <c r="A12" s="10" t="s">
        <v>19</v>
      </c>
      <c r="B12" s="11" t="s">
        <v>29</v>
      </c>
      <c r="C12" s="11" t="s">
        <v>21</v>
      </c>
      <c r="D12" s="11" t="s">
        <v>30</v>
      </c>
      <c r="E12" s="11" t="s">
        <v>23</v>
      </c>
      <c r="F12" s="12">
        <v>1134300</v>
      </c>
      <c r="G12" s="13">
        <v>10382.82</v>
      </c>
      <c r="H12" s="13">
        <v>3.28</v>
      </c>
      <c r="I12" s="14" t="s">
        <v>21</v>
      </c>
      <c r="J12" s="14" t="s">
        <v>21</v>
      </c>
      <c r="K12" s="15">
        <v>0.61</v>
      </c>
      <c r="L12" s="16">
        <v>2.67</v>
      </c>
    </row>
    <row r="13" spans="1:12" x14ac:dyDescent="0.25">
      <c r="A13" s="10" t="s">
        <v>19</v>
      </c>
      <c r="B13" s="11" t="s">
        <v>31</v>
      </c>
      <c r="C13" s="11" t="s">
        <v>21</v>
      </c>
      <c r="D13" s="11" t="s">
        <v>32</v>
      </c>
      <c r="E13" s="11" t="s">
        <v>33</v>
      </c>
      <c r="F13" s="12">
        <v>99400</v>
      </c>
      <c r="G13" s="13">
        <v>10329.950000000001</v>
      </c>
      <c r="H13" s="13">
        <v>3.26</v>
      </c>
      <c r="I13" s="14" t="s">
        <v>21</v>
      </c>
      <c r="J13" s="14" t="s">
        <v>21</v>
      </c>
      <c r="K13" s="15">
        <v>2.82</v>
      </c>
      <c r="L13" s="16">
        <v>0.46</v>
      </c>
    </row>
    <row r="14" spans="1:12" x14ac:dyDescent="0.25">
      <c r="A14" s="10" t="s">
        <v>19</v>
      </c>
      <c r="B14" s="11" t="s">
        <v>34</v>
      </c>
      <c r="C14" s="11" t="s">
        <v>21</v>
      </c>
      <c r="D14" s="11" t="s">
        <v>35</v>
      </c>
      <c r="E14" s="11" t="s">
        <v>36</v>
      </c>
      <c r="F14" s="12">
        <v>267686</v>
      </c>
      <c r="G14" s="13">
        <v>7840.66</v>
      </c>
      <c r="H14" s="13">
        <v>2.48</v>
      </c>
      <c r="I14" s="14" t="s">
        <v>21</v>
      </c>
      <c r="J14" s="14" t="s">
        <v>21</v>
      </c>
      <c r="K14" s="15">
        <v>1.33</v>
      </c>
      <c r="L14" s="16">
        <v>1.1499999999999999</v>
      </c>
    </row>
    <row r="15" spans="1:12" x14ac:dyDescent="0.25">
      <c r="A15" s="10" t="s">
        <v>19</v>
      </c>
      <c r="B15" s="11" t="s">
        <v>37</v>
      </c>
      <c r="C15" s="11" t="s">
        <v>21</v>
      </c>
      <c r="D15" s="11" t="s">
        <v>38</v>
      </c>
      <c r="E15" s="11" t="s">
        <v>23</v>
      </c>
      <c r="F15" s="12">
        <v>721250</v>
      </c>
      <c r="G15" s="13">
        <v>7081.59</v>
      </c>
      <c r="H15" s="13">
        <v>2.2400000000000002</v>
      </c>
      <c r="I15" s="14" t="s">
        <v>21</v>
      </c>
      <c r="J15" s="14" t="s">
        <v>21</v>
      </c>
      <c r="K15" s="15">
        <v>1.1599999999999999</v>
      </c>
      <c r="L15" s="16">
        <v>1.0900000000000001</v>
      </c>
    </row>
    <row r="16" spans="1:12" x14ac:dyDescent="0.25">
      <c r="A16" s="10" t="s">
        <v>19</v>
      </c>
      <c r="B16" s="11" t="s">
        <v>39</v>
      </c>
      <c r="C16" s="11" t="s">
        <v>21</v>
      </c>
      <c r="D16" s="11" t="s">
        <v>40</v>
      </c>
      <c r="E16" s="11" t="s">
        <v>41</v>
      </c>
      <c r="F16" s="12">
        <v>610200</v>
      </c>
      <c r="G16" s="13">
        <v>6642.64</v>
      </c>
      <c r="H16" s="13">
        <v>2.1</v>
      </c>
      <c r="I16" s="14" t="s">
        <v>21</v>
      </c>
      <c r="J16" s="14" t="s">
        <v>21</v>
      </c>
      <c r="K16" s="15">
        <v>1.41</v>
      </c>
      <c r="L16" s="16">
        <v>0.69</v>
      </c>
    </row>
    <row r="17" spans="1:12" x14ac:dyDescent="0.25">
      <c r="A17" s="10" t="s">
        <v>19</v>
      </c>
      <c r="B17" s="11" t="s">
        <v>42</v>
      </c>
      <c r="C17" s="11" t="s">
        <v>21</v>
      </c>
      <c r="D17" s="11" t="s">
        <v>43</v>
      </c>
      <c r="E17" s="11" t="s">
        <v>44</v>
      </c>
      <c r="F17" s="12">
        <v>793600</v>
      </c>
      <c r="G17" s="13">
        <v>6227.78</v>
      </c>
      <c r="H17" s="13">
        <v>1.97</v>
      </c>
      <c r="I17" s="14" t="s">
        <v>21</v>
      </c>
      <c r="J17" s="14" t="s">
        <v>21</v>
      </c>
      <c r="K17" s="15">
        <v>1.98</v>
      </c>
      <c r="L17" s="16">
        <v>0</v>
      </c>
    </row>
    <row r="18" spans="1:12" x14ac:dyDescent="0.25">
      <c r="A18" s="10" t="s">
        <v>21</v>
      </c>
      <c r="B18" s="11" t="s">
        <v>45</v>
      </c>
      <c r="C18" s="11" t="s">
        <v>21</v>
      </c>
      <c r="D18" s="11" t="s">
        <v>46</v>
      </c>
      <c r="E18" s="11" t="s">
        <v>47</v>
      </c>
      <c r="F18" s="12">
        <v>400000</v>
      </c>
      <c r="G18" s="13">
        <v>5473.6</v>
      </c>
      <c r="H18" s="13">
        <v>1.73</v>
      </c>
      <c r="I18" s="14" t="s">
        <v>21</v>
      </c>
      <c r="J18" s="14" t="s">
        <v>21</v>
      </c>
      <c r="K18" s="15">
        <v>0</v>
      </c>
      <c r="L18" s="16">
        <v>1.73</v>
      </c>
    </row>
    <row r="19" spans="1:12" x14ac:dyDescent="0.25">
      <c r="A19" s="10" t="s">
        <v>21</v>
      </c>
      <c r="B19" s="11" t="s">
        <v>48</v>
      </c>
      <c r="C19" s="11" t="s">
        <v>21</v>
      </c>
      <c r="D19" s="11" t="s">
        <v>49</v>
      </c>
      <c r="E19" s="11" t="s">
        <v>50</v>
      </c>
      <c r="F19" s="12">
        <v>550000</v>
      </c>
      <c r="G19" s="13">
        <v>5029.2</v>
      </c>
      <c r="H19" s="13">
        <v>1.59</v>
      </c>
      <c r="I19" s="14" t="s">
        <v>21</v>
      </c>
      <c r="J19" s="14" t="s">
        <v>21</v>
      </c>
      <c r="K19" s="15">
        <v>0</v>
      </c>
      <c r="L19" s="16">
        <v>1.59</v>
      </c>
    </row>
    <row r="20" spans="1:12" x14ac:dyDescent="0.25">
      <c r="A20" s="10" t="s">
        <v>21</v>
      </c>
      <c r="B20" s="11" t="s">
        <v>51</v>
      </c>
      <c r="C20" s="11" t="s">
        <v>21</v>
      </c>
      <c r="D20" s="11" t="s">
        <v>52</v>
      </c>
      <c r="E20" s="11" t="s">
        <v>53</v>
      </c>
      <c r="F20" s="12">
        <v>677700</v>
      </c>
      <c r="G20" s="13">
        <v>4990.24</v>
      </c>
      <c r="H20" s="13">
        <v>1.58</v>
      </c>
      <c r="I20" s="14" t="s">
        <v>21</v>
      </c>
      <c r="J20" s="14" t="s">
        <v>21</v>
      </c>
      <c r="K20" s="15">
        <v>1.58</v>
      </c>
      <c r="L20" s="16">
        <v>0</v>
      </c>
    </row>
    <row r="21" spans="1:12" x14ac:dyDescent="0.25">
      <c r="A21" s="10" t="s">
        <v>21</v>
      </c>
      <c r="B21" s="11" t="s">
        <v>54</v>
      </c>
      <c r="C21" s="11" t="s">
        <v>21</v>
      </c>
      <c r="D21" s="11" t="s">
        <v>55</v>
      </c>
      <c r="E21" s="11" t="s">
        <v>33</v>
      </c>
      <c r="F21" s="12">
        <v>741625</v>
      </c>
      <c r="G21" s="13">
        <v>4662.2299999999996</v>
      </c>
      <c r="H21" s="13">
        <v>1.47</v>
      </c>
      <c r="I21" s="14" t="s">
        <v>21</v>
      </c>
      <c r="J21" s="14" t="s">
        <v>21</v>
      </c>
      <c r="K21" s="15">
        <v>0.98</v>
      </c>
      <c r="L21" s="16">
        <v>0.5</v>
      </c>
    </row>
    <row r="22" spans="1:12" x14ac:dyDescent="0.25">
      <c r="A22" s="10" t="s">
        <v>21</v>
      </c>
      <c r="B22" s="11" t="s">
        <v>56</v>
      </c>
      <c r="C22" s="11" t="s">
        <v>21</v>
      </c>
      <c r="D22" s="11" t="s">
        <v>57</v>
      </c>
      <c r="E22" s="11" t="s">
        <v>58</v>
      </c>
      <c r="F22" s="12">
        <v>60625</v>
      </c>
      <c r="G22" s="13">
        <v>4542.42</v>
      </c>
      <c r="H22" s="13">
        <v>1.43</v>
      </c>
      <c r="I22" s="14" t="s">
        <v>21</v>
      </c>
      <c r="J22" s="14" t="s">
        <v>21</v>
      </c>
      <c r="K22" s="15">
        <v>1.44</v>
      </c>
      <c r="L22" s="16">
        <v>0</v>
      </c>
    </row>
    <row r="23" spans="1:12" x14ac:dyDescent="0.25">
      <c r="A23" s="10" t="s">
        <v>21</v>
      </c>
      <c r="B23" s="11" t="s">
        <v>59</v>
      </c>
      <c r="C23" s="11" t="s">
        <v>21</v>
      </c>
      <c r="D23" s="11" t="s">
        <v>60</v>
      </c>
      <c r="E23" s="11" t="s">
        <v>41</v>
      </c>
      <c r="F23" s="12">
        <v>83000</v>
      </c>
      <c r="G23" s="13">
        <v>4455.07</v>
      </c>
      <c r="H23" s="13">
        <v>1.41</v>
      </c>
      <c r="I23" s="14" t="s">
        <v>21</v>
      </c>
      <c r="J23" s="14" t="s">
        <v>21</v>
      </c>
      <c r="K23" s="15">
        <v>1.42</v>
      </c>
      <c r="L23" s="16">
        <v>0</v>
      </c>
    </row>
    <row r="24" spans="1:12" x14ac:dyDescent="0.25">
      <c r="A24" s="10" t="s">
        <v>21</v>
      </c>
      <c r="B24" s="11" t="s">
        <v>61</v>
      </c>
      <c r="C24" s="11" t="s">
        <v>21</v>
      </c>
      <c r="D24" s="11" t="s">
        <v>62</v>
      </c>
      <c r="E24" s="11" t="s">
        <v>63</v>
      </c>
      <c r="F24" s="12">
        <v>430700</v>
      </c>
      <c r="G24" s="13">
        <v>4445.6899999999996</v>
      </c>
      <c r="H24" s="13">
        <v>1.4</v>
      </c>
      <c r="I24" s="14" t="s">
        <v>21</v>
      </c>
      <c r="J24" s="14" t="s">
        <v>21</v>
      </c>
      <c r="K24" s="15">
        <v>0.67</v>
      </c>
      <c r="L24" s="16">
        <v>0.74</v>
      </c>
    </row>
    <row r="25" spans="1:12" x14ac:dyDescent="0.25">
      <c r="A25" s="10" t="s">
        <v>21</v>
      </c>
      <c r="B25" s="11" t="s">
        <v>64</v>
      </c>
      <c r="C25" s="11" t="s">
        <v>21</v>
      </c>
      <c r="D25" s="11" t="s">
        <v>65</v>
      </c>
      <c r="E25" s="11" t="s">
        <v>53</v>
      </c>
      <c r="F25" s="12">
        <v>3710570</v>
      </c>
      <c r="G25" s="13">
        <v>4406.3</v>
      </c>
      <c r="H25" s="13">
        <v>1.39</v>
      </c>
      <c r="I25" s="14" t="s">
        <v>21</v>
      </c>
      <c r="J25" s="14" t="s">
        <v>21</v>
      </c>
      <c r="K25" s="15">
        <v>1.02</v>
      </c>
      <c r="L25" s="16">
        <v>0.37</v>
      </c>
    </row>
    <row r="26" spans="1:12" x14ac:dyDescent="0.25">
      <c r="A26" s="10" t="s">
        <v>21</v>
      </c>
      <c r="B26" s="11" t="s">
        <v>66</v>
      </c>
      <c r="C26" s="11" t="s">
        <v>21</v>
      </c>
      <c r="D26" s="11" t="s">
        <v>67</v>
      </c>
      <c r="E26" s="11" t="s">
        <v>68</v>
      </c>
      <c r="F26" s="12">
        <v>190000</v>
      </c>
      <c r="G26" s="13">
        <v>4347.01</v>
      </c>
      <c r="H26" s="13">
        <v>1.37</v>
      </c>
      <c r="I26" s="14" t="s">
        <v>21</v>
      </c>
      <c r="J26" s="14" t="s">
        <v>21</v>
      </c>
      <c r="K26" s="15">
        <v>0</v>
      </c>
      <c r="L26" s="16">
        <v>1.37</v>
      </c>
    </row>
    <row r="27" spans="1:12" x14ac:dyDescent="0.25">
      <c r="A27" s="10" t="s">
        <v>21</v>
      </c>
      <c r="B27" s="11" t="s">
        <v>69</v>
      </c>
      <c r="C27" s="11" t="s">
        <v>21</v>
      </c>
      <c r="D27" s="11" t="s">
        <v>70</v>
      </c>
      <c r="E27" s="11" t="s">
        <v>71</v>
      </c>
      <c r="F27" s="12">
        <v>2360000</v>
      </c>
      <c r="G27" s="13">
        <v>3957.72</v>
      </c>
      <c r="H27" s="13">
        <v>1.25</v>
      </c>
      <c r="I27" s="14" t="s">
        <v>21</v>
      </c>
      <c r="J27" s="14" t="s">
        <v>21</v>
      </c>
      <c r="K27" s="15">
        <v>1.26</v>
      </c>
      <c r="L27" s="16">
        <v>0</v>
      </c>
    </row>
    <row r="28" spans="1:12" x14ac:dyDescent="0.25">
      <c r="A28" s="10" t="s">
        <v>21</v>
      </c>
      <c r="B28" s="11" t="s">
        <v>72</v>
      </c>
      <c r="C28" s="11" t="s">
        <v>21</v>
      </c>
      <c r="D28" s="11" t="s">
        <v>73</v>
      </c>
      <c r="E28" s="11" t="s">
        <v>74</v>
      </c>
      <c r="F28" s="12">
        <v>831200</v>
      </c>
      <c r="G28" s="13">
        <v>3819.36</v>
      </c>
      <c r="H28" s="13">
        <v>1.21</v>
      </c>
      <c r="I28" s="14" t="s">
        <v>21</v>
      </c>
      <c r="J28" s="14" t="s">
        <v>21</v>
      </c>
      <c r="K28" s="15">
        <v>0.89</v>
      </c>
      <c r="L28" s="16">
        <v>0.33</v>
      </c>
    </row>
    <row r="29" spans="1:12" x14ac:dyDescent="0.25">
      <c r="A29" s="10" t="s">
        <v>21</v>
      </c>
      <c r="B29" s="11" t="s">
        <v>75</v>
      </c>
      <c r="C29" s="11" t="s">
        <v>21</v>
      </c>
      <c r="D29" s="11" t="s">
        <v>76</v>
      </c>
      <c r="E29" s="11" t="s">
        <v>77</v>
      </c>
      <c r="F29" s="12">
        <v>1562875</v>
      </c>
      <c r="G29" s="13">
        <v>3685.26</v>
      </c>
      <c r="H29" s="13">
        <v>1.1599999999999999</v>
      </c>
      <c r="I29" s="14" t="s">
        <v>21</v>
      </c>
      <c r="J29" s="14" t="s">
        <v>21</v>
      </c>
      <c r="K29" s="15">
        <v>0</v>
      </c>
      <c r="L29" s="16">
        <v>1.1599999999999999</v>
      </c>
    </row>
    <row r="30" spans="1:12" x14ac:dyDescent="0.25">
      <c r="A30" s="10" t="s">
        <v>21</v>
      </c>
      <c r="B30" s="11" t="s">
        <v>78</v>
      </c>
      <c r="C30" s="11" t="s">
        <v>21</v>
      </c>
      <c r="D30" s="11" t="s">
        <v>79</v>
      </c>
      <c r="E30" s="11" t="s">
        <v>80</v>
      </c>
      <c r="F30" s="12">
        <v>823600</v>
      </c>
      <c r="G30" s="13">
        <v>3528.3</v>
      </c>
      <c r="H30" s="13">
        <v>1.1100000000000001</v>
      </c>
      <c r="I30" s="14" t="s">
        <v>21</v>
      </c>
      <c r="J30" s="14" t="s">
        <v>21</v>
      </c>
      <c r="K30" s="15">
        <v>0.1</v>
      </c>
      <c r="L30" s="16">
        <v>1.01</v>
      </c>
    </row>
    <row r="31" spans="1:12" x14ac:dyDescent="0.25">
      <c r="A31" s="10" t="s">
        <v>21</v>
      </c>
      <c r="B31" s="11" t="s">
        <v>81</v>
      </c>
      <c r="C31" s="11" t="s">
        <v>21</v>
      </c>
      <c r="D31" s="11" t="s">
        <v>82</v>
      </c>
      <c r="E31" s="11" t="s">
        <v>33</v>
      </c>
      <c r="F31" s="12">
        <v>207900</v>
      </c>
      <c r="G31" s="13">
        <v>3032.43</v>
      </c>
      <c r="H31" s="13">
        <v>0.96</v>
      </c>
      <c r="I31" s="14" t="s">
        <v>21</v>
      </c>
      <c r="J31" s="14" t="s">
        <v>21</v>
      </c>
      <c r="K31" s="15">
        <v>0.96</v>
      </c>
      <c r="L31" s="16">
        <v>0</v>
      </c>
    </row>
    <row r="32" spans="1:12" x14ac:dyDescent="0.25">
      <c r="A32" s="10" t="s">
        <v>21</v>
      </c>
      <c r="B32" s="11" t="s">
        <v>83</v>
      </c>
      <c r="C32" s="11" t="s">
        <v>21</v>
      </c>
      <c r="D32" s="11" t="s">
        <v>84</v>
      </c>
      <c r="E32" s="11" t="s">
        <v>77</v>
      </c>
      <c r="F32" s="12">
        <v>1188000</v>
      </c>
      <c r="G32" s="13">
        <v>2843.48</v>
      </c>
      <c r="H32" s="13">
        <v>0.9</v>
      </c>
      <c r="I32" s="14" t="s">
        <v>21</v>
      </c>
      <c r="J32" s="14" t="s">
        <v>21</v>
      </c>
      <c r="K32" s="15">
        <v>0.9</v>
      </c>
      <c r="L32" s="16">
        <v>0</v>
      </c>
    </row>
    <row r="33" spans="1:12" x14ac:dyDescent="0.25">
      <c r="A33" s="10" t="s">
        <v>21</v>
      </c>
      <c r="B33" s="11" t="s">
        <v>85</v>
      </c>
      <c r="C33" s="11" t="s">
        <v>21</v>
      </c>
      <c r="D33" s="11" t="s">
        <v>86</v>
      </c>
      <c r="E33" s="11" t="s">
        <v>47</v>
      </c>
      <c r="F33" s="12">
        <v>206600</v>
      </c>
      <c r="G33" s="13">
        <v>2636.22</v>
      </c>
      <c r="H33" s="13">
        <v>0.83</v>
      </c>
      <c r="I33" s="14" t="s">
        <v>21</v>
      </c>
      <c r="J33" s="14" t="s">
        <v>21</v>
      </c>
      <c r="K33" s="15">
        <v>0</v>
      </c>
      <c r="L33" s="16">
        <v>0.83</v>
      </c>
    </row>
    <row r="34" spans="1:12" x14ac:dyDescent="0.25">
      <c r="A34" s="10" t="s">
        <v>21</v>
      </c>
      <c r="B34" s="11" t="s">
        <v>87</v>
      </c>
      <c r="C34" s="11" t="s">
        <v>21</v>
      </c>
      <c r="D34" s="11" t="s">
        <v>88</v>
      </c>
      <c r="E34" s="11" t="s">
        <v>89</v>
      </c>
      <c r="F34" s="12">
        <v>800000</v>
      </c>
      <c r="G34" s="13">
        <v>2514</v>
      </c>
      <c r="H34" s="13">
        <v>0.79</v>
      </c>
      <c r="I34" s="14" t="s">
        <v>21</v>
      </c>
      <c r="J34" s="14" t="s">
        <v>21</v>
      </c>
      <c r="K34" s="15">
        <v>0</v>
      </c>
      <c r="L34" s="16">
        <v>0.79</v>
      </c>
    </row>
    <row r="35" spans="1:12" x14ac:dyDescent="0.25">
      <c r="A35" s="10" t="s">
        <v>21</v>
      </c>
      <c r="B35" s="11" t="s">
        <v>90</v>
      </c>
      <c r="C35" s="11" t="s">
        <v>21</v>
      </c>
      <c r="D35" s="11" t="s">
        <v>91</v>
      </c>
      <c r="E35" s="11" t="s">
        <v>41</v>
      </c>
      <c r="F35" s="12">
        <v>206500</v>
      </c>
      <c r="G35" s="13">
        <v>2478</v>
      </c>
      <c r="H35" s="13">
        <v>0.78</v>
      </c>
      <c r="I35" s="14" t="s">
        <v>21</v>
      </c>
      <c r="J35" s="14" t="s">
        <v>21</v>
      </c>
      <c r="K35" s="15">
        <v>0</v>
      </c>
      <c r="L35" s="16">
        <v>0.78</v>
      </c>
    </row>
    <row r="36" spans="1:12" x14ac:dyDescent="0.25">
      <c r="A36" s="10" t="s">
        <v>21</v>
      </c>
      <c r="B36" s="11" t="s">
        <v>92</v>
      </c>
      <c r="C36" s="11" t="s">
        <v>21</v>
      </c>
      <c r="D36" s="11" t="s">
        <v>93</v>
      </c>
      <c r="E36" s="11" t="s">
        <v>44</v>
      </c>
      <c r="F36" s="12">
        <v>2014846</v>
      </c>
      <c r="G36" s="13">
        <v>2455.09</v>
      </c>
      <c r="H36" s="13">
        <v>0.78</v>
      </c>
      <c r="I36" s="14" t="s">
        <v>21</v>
      </c>
      <c r="J36" s="14" t="s">
        <v>21</v>
      </c>
      <c r="K36" s="15">
        <v>0</v>
      </c>
      <c r="L36" s="16">
        <v>0.78</v>
      </c>
    </row>
    <row r="37" spans="1:12" x14ac:dyDescent="0.25">
      <c r="A37" s="10" t="s">
        <v>21</v>
      </c>
      <c r="B37" s="11" t="s">
        <v>94</v>
      </c>
      <c r="C37" s="11" t="s">
        <v>21</v>
      </c>
      <c r="D37" s="11" t="s">
        <v>95</v>
      </c>
      <c r="E37" s="11" t="s">
        <v>23</v>
      </c>
      <c r="F37" s="12">
        <v>135000</v>
      </c>
      <c r="G37" s="13">
        <v>2348.19</v>
      </c>
      <c r="H37" s="13">
        <v>0.74</v>
      </c>
      <c r="I37" s="14" t="s">
        <v>21</v>
      </c>
      <c r="J37" s="14" t="s">
        <v>21</v>
      </c>
      <c r="K37" s="15">
        <v>0</v>
      </c>
      <c r="L37" s="16">
        <v>0.74</v>
      </c>
    </row>
    <row r="38" spans="1:12" x14ac:dyDescent="0.25">
      <c r="A38" s="10" t="s">
        <v>21</v>
      </c>
      <c r="B38" s="11" t="s">
        <v>96</v>
      </c>
      <c r="C38" s="11" t="s">
        <v>21</v>
      </c>
      <c r="D38" s="11" t="s">
        <v>97</v>
      </c>
      <c r="E38" s="11" t="s">
        <v>98</v>
      </c>
      <c r="F38" s="12">
        <v>438750</v>
      </c>
      <c r="G38" s="13">
        <v>2320.5500000000002</v>
      </c>
      <c r="H38" s="13">
        <v>0.73</v>
      </c>
      <c r="I38" s="14" t="s">
        <v>21</v>
      </c>
      <c r="J38" s="14" t="s">
        <v>21</v>
      </c>
      <c r="K38" s="15">
        <v>0.73</v>
      </c>
      <c r="L38" s="16">
        <v>0</v>
      </c>
    </row>
    <row r="39" spans="1:12" x14ac:dyDescent="0.25">
      <c r="A39" s="10" t="s">
        <v>21</v>
      </c>
      <c r="B39" s="11" t="s">
        <v>99</v>
      </c>
      <c r="C39" s="11" t="s">
        <v>21</v>
      </c>
      <c r="D39" s="11" t="s">
        <v>100</v>
      </c>
      <c r="E39" s="11" t="s">
        <v>33</v>
      </c>
      <c r="F39" s="12">
        <v>40000</v>
      </c>
      <c r="G39" s="13">
        <v>2125.62</v>
      </c>
      <c r="H39" s="13">
        <v>0.67</v>
      </c>
      <c r="I39" s="14" t="s">
        <v>21</v>
      </c>
      <c r="J39" s="14" t="s">
        <v>21</v>
      </c>
      <c r="K39" s="15">
        <v>0</v>
      </c>
      <c r="L39" s="16">
        <v>0.67</v>
      </c>
    </row>
    <row r="40" spans="1:12" x14ac:dyDescent="0.25">
      <c r="A40" s="10" t="s">
        <v>21</v>
      </c>
      <c r="B40" s="11" t="s">
        <v>101</v>
      </c>
      <c r="C40" s="11" t="s">
        <v>21</v>
      </c>
      <c r="D40" s="11" t="s">
        <v>102</v>
      </c>
      <c r="E40" s="11" t="s">
        <v>68</v>
      </c>
      <c r="F40" s="12">
        <v>555774</v>
      </c>
      <c r="G40" s="13">
        <v>1941.04</v>
      </c>
      <c r="H40" s="13">
        <v>0.61</v>
      </c>
      <c r="I40" s="14" t="s">
        <v>21</v>
      </c>
      <c r="J40" s="14" t="s">
        <v>21</v>
      </c>
      <c r="K40" s="15">
        <v>0</v>
      </c>
      <c r="L40" s="16">
        <v>0.61</v>
      </c>
    </row>
    <row r="41" spans="1:12" x14ac:dyDescent="0.25">
      <c r="A41" s="10" t="s">
        <v>21</v>
      </c>
      <c r="B41" s="11" t="s">
        <v>103</v>
      </c>
      <c r="C41" s="11" t="s">
        <v>21</v>
      </c>
      <c r="D41" s="11" t="s">
        <v>104</v>
      </c>
      <c r="E41" s="11" t="s">
        <v>77</v>
      </c>
      <c r="F41" s="12">
        <v>933333</v>
      </c>
      <c r="G41" s="13">
        <v>1886.73</v>
      </c>
      <c r="H41" s="13">
        <v>0.6</v>
      </c>
      <c r="I41" s="14" t="s">
        <v>21</v>
      </c>
      <c r="J41" s="14" t="s">
        <v>21</v>
      </c>
      <c r="K41" s="15">
        <v>0</v>
      </c>
      <c r="L41" s="16">
        <v>0.6</v>
      </c>
    </row>
    <row r="42" spans="1:12" x14ac:dyDescent="0.25">
      <c r="A42" s="10" t="s">
        <v>21</v>
      </c>
      <c r="B42" s="11" t="s">
        <v>105</v>
      </c>
      <c r="C42" s="11" t="s">
        <v>21</v>
      </c>
      <c r="D42" s="11" t="s">
        <v>106</v>
      </c>
      <c r="E42" s="11" t="s">
        <v>107</v>
      </c>
      <c r="F42" s="12">
        <v>200000</v>
      </c>
      <c r="G42" s="13">
        <v>1828.2</v>
      </c>
      <c r="H42" s="13">
        <v>0.57999999999999996</v>
      </c>
      <c r="I42" s="14" t="s">
        <v>21</v>
      </c>
      <c r="J42" s="14" t="s">
        <v>21</v>
      </c>
      <c r="K42" s="15">
        <v>0</v>
      </c>
      <c r="L42" s="16">
        <v>0.57999999999999996</v>
      </c>
    </row>
    <row r="43" spans="1:12" x14ac:dyDescent="0.25">
      <c r="A43" s="10" t="s">
        <v>21</v>
      </c>
      <c r="B43" s="11" t="s">
        <v>108</v>
      </c>
      <c r="C43" s="11" t="s">
        <v>21</v>
      </c>
      <c r="D43" s="11" t="s">
        <v>109</v>
      </c>
      <c r="E43" s="11" t="s">
        <v>41</v>
      </c>
      <c r="F43" s="12">
        <v>150000</v>
      </c>
      <c r="G43" s="13">
        <v>1692.23</v>
      </c>
      <c r="H43" s="13">
        <v>0.53</v>
      </c>
      <c r="I43" s="14" t="s">
        <v>21</v>
      </c>
      <c r="J43" s="14" t="s">
        <v>21</v>
      </c>
      <c r="K43" s="15">
        <v>0</v>
      </c>
      <c r="L43" s="16">
        <v>0.53</v>
      </c>
    </row>
    <row r="44" spans="1:12" x14ac:dyDescent="0.25">
      <c r="A44" s="10" t="s">
        <v>21</v>
      </c>
      <c r="B44" s="11" t="s">
        <v>110</v>
      </c>
      <c r="C44" s="11" t="s">
        <v>21</v>
      </c>
      <c r="D44" s="11" t="s">
        <v>111</v>
      </c>
      <c r="E44" s="11" t="s">
        <v>112</v>
      </c>
      <c r="F44" s="12">
        <v>90000</v>
      </c>
      <c r="G44" s="13">
        <v>1640.75</v>
      </c>
      <c r="H44" s="13">
        <v>0.52</v>
      </c>
      <c r="I44" s="14" t="s">
        <v>21</v>
      </c>
      <c r="J44" s="14" t="s">
        <v>21</v>
      </c>
      <c r="K44" s="15">
        <v>0</v>
      </c>
      <c r="L44" s="16">
        <v>0.52</v>
      </c>
    </row>
    <row r="45" spans="1:12" x14ac:dyDescent="0.25">
      <c r="A45" s="10" t="s">
        <v>21</v>
      </c>
      <c r="B45" s="11" t="s">
        <v>113</v>
      </c>
      <c r="C45" s="11" t="s">
        <v>21</v>
      </c>
      <c r="D45" s="11" t="s">
        <v>114</v>
      </c>
      <c r="E45" s="11" t="s">
        <v>112</v>
      </c>
      <c r="F45" s="12">
        <v>1200000</v>
      </c>
      <c r="G45" s="13">
        <v>1599</v>
      </c>
      <c r="H45" s="13">
        <v>0.5</v>
      </c>
      <c r="I45" s="14" t="s">
        <v>21</v>
      </c>
      <c r="J45" s="14" t="s">
        <v>21</v>
      </c>
      <c r="K45" s="15">
        <v>0</v>
      </c>
      <c r="L45" s="16">
        <v>0.5</v>
      </c>
    </row>
    <row r="46" spans="1:12" x14ac:dyDescent="0.25">
      <c r="A46" s="10" t="s">
        <v>21</v>
      </c>
      <c r="B46" s="11" t="s">
        <v>115</v>
      </c>
      <c r="C46" s="11" t="s">
        <v>21</v>
      </c>
      <c r="D46" s="11" t="s">
        <v>116</v>
      </c>
      <c r="E46" s="11" t="s">
        <v>117</v>
      </c>
      <c r="F46" s="12">
        <v>800000</v>
      </c>
      <c r="G46" s="13">
        <v>1489.2</v>
      </c>
      <c r="H46" s="13">
        <v>0.47</v>
      </c>
      <c r="I46" s="14" t="s">
        <v>21</v>
      </c>
      <c r="J46" s="14" t="s">
        <v>21</v>
      </c>
      <c r="K46" s="15">
        <v>0</v>
      </c>
      <c r="L46" s="16">
        <v>0.47</v>
      </c>
    </row>
    <row r="47" spans="1:12" x14ac:dyDescent="0.25">
      <c r="A47" s="10" t="s">
        <v>21</v>
      </c>
      <c r="B47" s="11" t="s">
        <v>118</v>
      </c>
      <c r="C47" s="11" t="s">
        <v>21</v>
      </c>
      <c r="D47" s="11" t="s">
        <v>119</v>
      </c>
      <c r="E47" s="11" t="s">
        <v>41</v>
      </c>
      <c r="F47" s="12">
        <v>170090</v>
      </c>
      <c r="G47" s="13">
        <v>1444.91</v>
      </c>
      <c r="H47" s="13">
        <v>0.46</v>
      </c>
      <c r="I47" s="14" t="s">
        <v>21</v>
      </c>
      <c r="J47" s="14" t="s">
        <v>21</v>
      </c>
      <c r="K47" s="15">
        <v>0</v>
      </c>
      <c r="L47" s="16">
        <v>0.46</v>
      </c>
    </row>
    <row r="48" spans="1:12" x14ac:dyDescent="0.25">
      <c r="A48" s="10" t="s">
        <v>21</v>
      </c>
      <c r="B48" s="11" t="s">
        <v>120</v>
      </c>
      <c r="C48" s="11" t="s">
        <v>21</v>
      </c>
      <c r="D48" s="11" t="s">
        <v>121</v>
      </c>
      <c r="E48" s="11" t="s">
        <v>23</v>
      </c>
      <c r="F48" s="12">
        <v>100000</v>
      </c>
      <c r="G48" s="13">
        <v>1441.3</v>
      </c>
      <c r="H48" s="13">
        <v>0.46</v>
      </c>
      <c r="I48" s="14" t="s">
        <v>21</v>
      </c>
      <c r="J48" s="14" t="s">
        <v>21</v>
      </c>
      <c r="K48" s="15">
        <v>0</v>
      </c>
      <c r="L48" s="16">
        <v>0.46</v>
      </c>
    </row>
    <row r="49" spans="1:12" x14ac:dyDescent="0.25">
      <c r="A49" s="10" t="s">
        <v>21</v>
      </c>
      <c r="B49" s="11" t="s">
        <v>122</v>
      </c>
      <c r="C49" s="11" t="s">
        <v>21</v>
      </c>
      <c r="D49" s="11" t="s">
        <v>123</v>
      </c>
      <c r="E49" s="11" t="s">
        <v>36</v>
      </c>
      <c r="F49" s="12">
        <v>220590</v>
      </c>
      <c r="G49" s="13">
        <v>1462.73</v>
      </c>
      <c r="H49" s="13">
        <v>0.46</v>
      </c>
      <c r="I49" s="14" t="s">
        <v>21</v>
      </c>
      <c r="J49" s="14" t="s">
        <v>21</v>
      </c>
      <c r="K49" s="15">
        <v>0</v>
      </c>
      <c r="L49" s="16">
        <v>0.46</v>
      </c>
    </row>
    <row r="50" spans="1:12" x14ac:dyDescent="0.25">
      <c r="A50" s="10" t="s">
        <v>21</v>
      </c>
      <c r="B50" s="11" t="s">
        <v>124</v>
      </c>
      <c r="C50" s="11" t="s">
        <v>21</v>
      </c>
      <c r="D50" s="11" t="s">
        <v>125</v>
      </c>
      <c r="E50" s="11" t="s">
        <v>58</v>
      </c>
      <c r="F50" s="12">
        <v>170000</v>
      </c>
      <c r="G50" s="13">
        <v>1268.46</v>
      </c>
      <c r="H50" s="13">
        <v>0.4</v>
      </c>
      <c r="I50" s="14" t="s">
        <v>21</v>
      </c>
      <c r="J50" s="14" t="s">
        <v>21</v>
      </c>
      <c r="K50" s="15">
        <v>0</v>
      </c>
      <c r="L50" s="16">
        <v>0.4</v>
      </c>
    </row>
    <row r="51" spans="1:12" x14ac:dyDescent="0.25">
      <c r="A51" s="10" t="s">
        <v>21</v>
      </c>
      <c r="B51" s="11" t="s">
        <v>126</v>
      </c>
      <c r="C51" s="11" t="s">
        <v>21</v>
      </c>
      <c r="D51" s="11" t="s">
        <v>127</v>
      </c>
      <c r="E51" s="11" t="s">
        <v>71</v>
      </c>
      <c r="F51" s="12">
        <v>61380</v>
      </c>
      <c r="G51" s="13">
        <v>1240.3399999999999</v>
      </c>
      <c r="H51" s="13">
        <v>0.39</v>
      </c>
      <c r="I51" s="14" t="s">
        <v>21</v>
      </c>
      <c r="J51" s="14" t="s">
        <v>21</v>
      </c>
      <c r="K51" s="15">
        <v>0</v>
      </c>
      <c r="L51" s="16">
        <v>0.39</v>
      </c>
    </row>
    <row r="52" spans="1:12" x14ac:dyDescent="0.25">
      <c r="A52" s="10" t="s">
        <v>21</v>
      </c>
      <c r="B52" s="11" t="s">
        <v>128</v>
      </c>
      <c r="C52" s="11" t="s">
        <v>21</v>
      </c>
      <c r="D52" s="11" t="s">
        <v>129</v>
      </c>
      <c r="E52" s="11" t="s">
        <v>107</v>
      </c>
      <c r="F52" s="12">
        <v>195800</v>
      </c>
      <c r="G52" s="13">
        <v>1210.73</v>
      </c>
      <c r="H52" s="13">
        <v>0.38</v>
      </c>
      <c r="I52" s="14" t="s">
        <v>21</v>
      </c>
      <c r="J52" s="14" t="s">
        <v>21</v>
      </c>
      <c r="K52" s="15">
        <v>0.38</v>
      </c>
      <c r="L52" s="16">
        <v>0</v>
      </c>
    </row>
    <row r="53" spans="1:12" x14ac:dyDescent="0.25">
      <c r="A53" s="10" t="s">
        <v>21</v>
      </c>
      <c r="B53" s="11" t="s">
        <v>130</v>
      </c>
      <c r="C53" s="11" t="s">
        <v>21</v>
      </c>
      <c r="D53" s="11" t="s">
        <v>131</v>
      </c>
      <c r="E53" s="11" t="s">
        <v>132</v>
      </c>
      <c r="F53" s="12">
        <v>14100</v>
      </c>
      <c r="G53" s="13">
        <v>1187.54</v>
      </c>
      <c r="H53" s="13">
        <v>0.38</v>
      </c>
      <c r="I53" s="14" t="s">
        <v>21</v>
      </c>
      <c r="J53" s="14" t="s">
        <v>21</v>
      </c>
      <c r="K53" s="15">
        <v>0.38</v>
      </c>
      <c r="L53" s="16">
        <v>0</v>
      </c>
    </row>
    <row r="54" spans="1:12" x14ac:dyDescent="0.25">
      <c r="A54" s="10" t="s">
        <v>21</v>
      </c>
      <c r="B54" s="11" t="s">
        <v>133</v>
      </c>
      <c r="C54" s="11" t="s">
        <v>21</v>
      </c>
      <c r="D54" s="11" t="s">
        <v>134</v>
      </c>
      <c r="E54" s="11" t="s">
        <v>41</v>
      </c>
      <c r="F54" s="12">
        <v>120000</v>
      </c>
      <c r="G54" s="13">
        <v>1180.5</v>
      </c>
      <c r="H54" s="13">
        <v>0.37</v>
      </c>
      <c r="I54" s="14" t="s">
        <v>21</v>
      </c>
      <c r="J54" s="14" t="s">
        <v>21</v>
      </c>
      <c r="K54" s="15">
        <v>0</v>
      </c>
      <c r="L54" s="16">
        <v>0.37</v>
      </c>
    </row>
    <row r="55" spans="1:12" x14ac:dyDescent="0.25">
      <c r="A55" s="10" t="s">
        <v>21</v>
      </c>
      <c r="B55" s="11" t="s">
        <v>135</v>
      </c>
      <c r="C55" s="11" t="s">
        <v>21</v>
      </c>
      <c r="D55" s="11" t="s">
        <v>136</v>
      </c>
      <c r="E55" s="11" t="s">
        <v>137</v>
      </c>
      <c r="F55" s="12">
        <v>250000</v>
      </c>
      <c r="G55" s="13">
        <v>1150.3800000000001</v>
      </c>
      <c r="H55" s="13">
        <v>0.36</v>
      </c>
      <c r="I55" s="14" t="s">
        <v>21</v>
      </c>
      <c r="J55" s="14" t="s">
        <v>21</v>
      </c>
      <c r="K55" s="15">
        <v>0</v>
      </c>
      <c r="L55" s="16">
        <v>0.36</v>
      </c>
    </row>
    <row r="56" spans="1:12" x14ac:dyDescent="0.25">
      <c r="A56" s="10" t="s">
        <v>21</v>
      </c>
      <c r="B56" s="11" t="s">
        <v>138</v>
      </c>
      <c r="C56" s="11" t="s">
        <v>21</v>
      </c>
      <c r="D56" s="11" t="s">
        <v>139</v>
      </c>
      <c r="E56" s="11" t="s">
        <v>137</v>
      </c>
      <c r="F56" s="12">
        <v>85000</v>
      </c>
      <c r="G56" s="13">
        <v>1093.7</v>
      </c>
      <c r="H56" s="13">
        <v>0.35</v>
      </c>
      <c r="I56" s="14" t="s">
        <v>21</v>
      </c>
      <c r="J56" s="14" t="s">
        <v>21</v>
      </c>
      <c r="K56" s="15">
        <v>0</v>
      </c>
      <c r="L56" s="16">
        <v>0.35</v>
      </c>
    </row>
    <row r="57" spans="1:12" x14ac:dyDescent="0.25">
      <c r="A57" s="10" t="s">
        <v>21</v>
      </c>
      <c r="B57" s="11" t="s">
        <v>140</v>
      </c>
      <c r="C57" s="11" t="s">
        <v>21</v>
      </c>
      <c r="D57" s="11" t="s">
        <v>141</v>
      </c>
      <c r="E57" s="11" t="s">
        <v>41</v>
      </c>
      <c r="F57" s="12">
        <v>70000</v>
      </c>
      <c r="G57" s="13">
        <v>1082.2</v>
      </c>
      <c r="H57" s="13">
        <v>0.34</v>
      </c>
      <c r="I57" s="14" t="s">
        <v>21</v>
      </c>
      <c r="J57" s="14" t="s">
        <v>21</v>
      </c>
      <c r="K57" s="15">
        <v>0</v>
      </c>
      <c r="L57" s="16">
        <v>0.34</v>
      </c>
    </row>
    <row r="58" spans="1:12" x14ac:dyDescent="0.25">
      <c r="A58" s="10" t="s">
        <v>21</v>
      </c>
      <c r="B58" s="11" t="s">
        <v>142</v>
      </c>
      <c r="C58" s="11" t="s">
        <v>21</v>
      </c>
      <c r="D58" s="11" t="s">
        <v>143</v>
      </c>
      <c r="E58" s="11" t="s">
        <v>144</v>
      </c>
      <c r="F58" s="12">
        <v>30000</v>
      </c>
      <c r="G58" s="13">
        <v>1054.67</v>
      </c>
      <c r="H58" s="13">
        <v>0.33</v>
      </c>
      <c r="I58" s="14" t="s">
        <v>21</v>
      </c>
      <c r="J58" s="14" t="s">
        <v>21</v>
      </c>
      <c r="K58" s="15">
        <v>0</v>
      </c>
      <c r="L58" s="16">
        <v>0.33</v>
      </c>
    </row>
    <row r="59" spans="1:12" x14ac:dyDescent="0.25">
      <c r="A59" s="10" t="s">
        <v>21</v>
      </c>
      <c r="B59" s="11" t="s">
        <v>145</v>
      </c>
      <c r="C59" s="11" t="s">
        <v>21</v>
      </c>
      <c r="D59" s="11" t="s">
        <v>146</v>
      </c>
      <c r="E59" s="11" t="s">
        <v>23</v>
      </c>
      <c r="F59" s="12">
        <v>500000</v>
      </c>
      <c r="G59" s="13">
        <v>981</v>
      </c>
      <c r="H59" s="13">
        <v>0.31</v>
      </c>
      <c r="I59" s="14" t="s">
        <v>21</v>
      </c>
      <c r="J59" s="14" t="s">
        <v>21</v>
      </c>
      <c r="K59" s="15">
        <v>0</v>
      </c>
      <c r="L59" s="16">
        <v>0.31</v>
      </c>
    </row>
    <row r="60" spans="1:12" x14ac:dyDescent="0.25">
      <c r="A60" s="10" t="s">
        <v>21</v>
      </c>
      <c r="B60" s="11" t="s">
        <v>147</v>
      </c>
      <c r="C60" s="11" t="s">
        <v>21</v>
      </c>
      <c r="D60" s="11" t="s">
        <v>148</v>
      </c>
      <c r="E60" s="11" t="s">
        <v>149</v>
      </c>
      <c r="F60" s="12">
        <v>20000</v>
      </c>
      <c r="G60" s="13">
        <v>984.15</v>
      </c>
      <c r="H60" s="13">
        <v>0.31</v>
      </c>
      <c r="I60" s="14" t="s">
        <v>21</v>
      </c>
      <c r="J60" s="14" t="s">
        <v>21</v>
      </c>
      <c r="K60" s="15">
        <v>0</v>
      </c>
      <c r="L60" s="16">
        <v>0.31</v>
      </c>
    </row>
    <row r="61" spans="1:12" x14ac:dyDescent="0.25">
      <c r="A61" s="10" t="s">
        <v>21</v>
      </c>
      <c r="B61" s="11" t="s">
        <v>150</v>
      </c>
      <c r="C61" s="11" t="s">
        <v>21</v>
      </c>
      <c r="D61" s="11" t="s">
        <v>151</v>
      </c>
      <c r="E61" s="11" t="s">
        <v>68</v>
      </c>
      <c r="F61" s="12">
        <v>378999</v>
      </c>
      <c r="G61" s="13">
        <v>938.78</v>
      </c>
      <c r="H61" s="13">
        <v>0.3</v>
      </c>
      <c r="I61" s="14" t="s">
        <v>21</v>
      </c>
      <c r="J61" s="14" t="s">
        <v>21</v>
      </c>
      <c r="K61" s="15">
        <v>0</v>
      </c>
      <c r="L61" s="16">
        <v>0.3</v>
      </c>
    </row>
    <row r="62" spans="1:12" x14ac:dyDescent="0.25">
      <c r="A62" s="10" t="s">
        <v>21</v>
      </c>
      <c r="B62" s="11" t="s">
        <v>152</v>
      </c>
      <c r="C62" s="11" t="s">
        <v>21</v>
      </c>
      <c r="D62" s="11" t="s">
        <v>153</v>
      </c>
      <c r="E62" s="11" t="s">
        <v>47</v>
      </c>
      <c r="F62" s="12">
        <v>250000</v>
      </c>
      <c r="G62" s="13">
        <v>954.5</v>
      </c>
      <c r="H62" s="13">
        <v>0.3</v>
      </c>
      <c r="I62" s="14" t="s">
        <v>21</v>
      </c>
      <c r="J62" s="14" t="s">
        <v>21</v>
      </c>
      <c r="K62" s="15">
        <v>0</v>
      </c>
      <c r="L62" s="16">
        <v>0.3</v>
      </c>
    </row>
    <row r="63" spans="1:12" x14ac:dyDescent="0.25">
      <c r="A63" s="10" t="s">
        <v>21</v>
      </c>
      <c r="B63" s="11" t="s">
        <v>154</v>
      </c>
      <c r="C63" s="11" t="s">
        <v>21</v>
      </c>
      <c r="D63" s="11" t="s">
        <v>155</v>
      </c>
      <c r="E63" s="11" t="s">
        <v>58</v>
      </c>
      <c r="F63" s="12">
        <v>200000</v>
      </c>
      <c r="G63" s="13">
        <v>918.4</v>
      </c>
      <c r="H63" s="13">
        <v>0.28999999999999998</v>
      </c>
      <c r="I63" s="14" t="s">
        <v>21</v>
      </c>
      <c r="J63" s="14" t="s">
        <v>21</v>
      </c>
      <c r="K63" s="15">
        <v>0</v>
      </c>
      <c r="L63" s="16">
        <v>0.28999999999999998</v>
      </c>
    </row>
    <row r="64" spans="1:12" x14ac:dyDescent="0.25">
      <c r="A64" s="10" t="s">
        <v>21</v>
      </c>
      <c r="B64" s="11" t="s">
        <v>156</v>
      </c>
      <c r="C64" s="11" t="s">
        <v>21</v>
      </c>
      <c r="D64" s="11" t="s">
        <v>157</v>
      </c>
      <c r="E64" s="11" t="s">
        <v>28</v>
      </c>
      <c r="F64" s="12">
        <v>98753</v>
      </c>
      <c r="G64" s="13">
        <v>833.03</v>
      </c>
      <c r="H64" s="13">
        <v>0.26</v>
      </c>
      <c r="I64" s="14" t="s">
        <v>21</v>
      </c>
      <c r="J64" s="14" t="s">
        <v>21</v>
      </c>
      <c r="K64" s="15">
        <v>0</v>
      </c>
      <c r="L64" s="16">
        <v>0.26</v>
      </c>
    </row>
    <row r="65" spans="1:12" x14ac:dyDescent="0.25">
      <c r="A65" s="10" t="s">
        <v>21</v>
      </c>
      <c r="B65" s="11" t="s">
        <v>158</v>
      </c>
      <c r="C65" s="11" t="s">
        <v>21</v>
      </c>
      <c r="D65" s="11" t="s">
        <v>159</v>
      </c>
      <c r="E65" s="11" t="s">
        <v>160</v>
      </c>
      <c r="F65" s="12">
        <v>175000</v>
      </c>
      <c r="G65" s="13">
        <v>777.26</v>
      </c>
      <c r="H65" s="13">
        <v>0.25</v>
      </c>
      <c r="I65" s="14" t="s">
        <v>21</v>
      </c>
      <c r="J65" s="14" t="s">
        <v>21</v>
      </c>
      <c r="K65" s="15">
        <v>0</v>
      </c>
      <c r="L65" s="16">
        <v>0.25</v>
      </c>
    </row>
    <row r="66" spans="1:12" x14ac:dyDescent="0.25">
      <c r="A66" s="10" t="s">
        <v>21</v>
      </c>
      <c r="B66" s="11" t="s">
        <v>161</v>
      </c>
      <c r="C66" s="11" t="s">
        <v>21</v>
      </c>
      <c r="D66" s="11" t="s">
        <v>162</v>
      </c>
      <c r="E66" s="11" t="s">
        <v>28</v>
      </c>
      <c r="F66" s="12">
        <v>490831</v>
      </c>
      <c r="G66" s="13">
        <v>793.18</v>
      </c>
      <c r="H66" s="13">
        <v>0.25</v>
      </c>
      <c r="I66" s="14" t="s">
        <v>21</v>
      </c>
      <c r="J66" s="14" t="s">
        <v>21</v>
      </c>
      <c r="K66" s="15">
        <v>0</v>
      </c>
      <c r="L66" s="16">
        <v>0.25</v>
      </c>
    </row>
    <row r="67" spans="1:12" x14ac:dyDescent="0.25">
      <c r="A67" s="10" t="s">
        <v>21</v>
      </c>
      <c r="B67" s="11" t="s">
        <v>163</v>
      </c>
      <c r="C67" s="11" t="s">
        <v>21</v>
      </c>
      <c r="D67" s="11" t="s">
        <v>164</v>
      </c>
      <c r="E67" s="11" t="s">
        <v>165</v>
      </c>
      <c r="F67" s="12">
        <v>50000</v>
      </c>
      <c r="G67" s="13">
        <v>799.13</v>
      </c>
      <c r="H67" s="13">
        <v>0.25</v>
      </c>
      <c r="I67" s="14" t="s">
        <v>21</v>
      </c>
      <c r="J67" s="14" t="s">
        <v>21</v>
      </c>
      <c r="K67" s="15">
        <v>0</v>
      </c>
      <c r="L67" s="16">
        <v>0.25</v>
      </c>
    </row>
    <row r="68" spans="1:12" x14ac:dyDescent="0.25">
      <c r="A68" s="10" t="s">
        <v>21</v>
      </c>
      <c r="B68" s="11" t="s">
        <v>166</v>
      </c>
      <c r="C68" s="11" t="s">
        <v>21</v>
      </c>
      <c r="D68" s="11" t="s">
        <v>167</v>
      </c>
      <c r="E68" s="11" t="s">
        <v>36</v>
      </c>
      <c r="F68" s="12">
        <v>573750</v>
      </c>
      <c r="G68" s="13">
        <v>745.59</v>
      </c>
      <c r="H68" s="13">
        <v>0.24</v>
      </c>
      <c r="I68" s="14" t="s">
        <v>21</v>
      </c>
      <c r="J68" s="14" t="s">
        <v>21</v>
      </c>
      <c r="K68" s="15">
        <v>0</v>
      </c>
      <c r="L68" s="16">
        <v>0.24</v>
      </c>
    </row>
    <row r="69" spans="1:12" x14ac:dyDescent="0.25">
      <c r="A69" s="10" t="s">
        <v>21</v>
      </c>
      <c r="B69" s="11" t="s">
        <v>168</v>
      </c>
      <c r="C69" s="11" t="s">
        <v>21</v>
      </c>
      <c r="D69" s="11" t="s">
        <v>169</v>
      </c>
      <c r="E69" s="11" t="s">
        <v>170</v>
      </c>
      <c r="F69" s="12">
        <v>10000</v>
      </c>
      <c r="G69" s="13">
        <v>481.99</v>
      </c>
      <c r="H69" s="13">
        <v>0.15</v>
      </c>
      <c r="I69" s="14" t="s">
        <v>21</v>
      </c>
      <c r="J69" s="14" t="s">
        <v>21</v>
      </c>
      <c r="K69" s="15">
        <v>0.15</v>
      </c>
      <c r="L69" s="16">
        <v>0</v>
      </c>
    </row>
    <row r="70" spans="1:12" x14ac:dyDescent="0.25">
      <c r="A70" s="10" t="s">
        <v>21</v>
      </c>
      <c r="B70" s="11" t="s">
        <v>171</v>
      </c>
      <c r="C70" s="11" t="s">
        <v>21</v>
      </c>
      <c r="D70" s="11" t="s">
        <v>172</v>
      </c>
      <c r="E70" s="11" t="s">
        <v>173</v>
      </c>
      <c r="F70" s="12">
        <v>49500</v>
      </c>
      <c r="G70" s="13">
        <v>445.75</v>
      </c>
      <c r="H70" s="13">
        <v>0.14000000000000001</v>
      </c>
      <c r="I70" s="14" t="s">
        <v>21</v>
      </c>
      <c r="J70" s="14" t="s">
        <v>21</v>
      </c>
      <c r="K70" s="15">
        <v>0.14000000000000001</v>
      </c>
      <c r="L70" s="16">
        <v>0</v>
      </c>
    </row>
    <row r="71" spans="1:12" x14ac:dyDescent="0.25">
      <c r="A71" s="10" t="s">
        <v>21</v>
      </c>
      <c r="B71" s="11" t="s">
        <v>174</v>
      </c>
      <c r="C71" s="11" t="s">
        <v>21</v>
      </c>
      <c r="D71" s="11" t="s">
        <v>175</v>
      </c>
      <c r="E71" s="11" t="s">
        <v>132</v>
      </c>
      <c r="F71" s="12">
        <v>79200</v>
      </c>
      <c r="G71" s="13">
        <v>336.16</v>
      </c>
      <c r="H71" s="13">
        <v>0.11</v>
      </c>
      <c r="I71" s="14" t="s">
        <v>21</v>
      </c>
      <c r="J71" s="14" t="s">
        <v>21</v>
      </c>
      <c r="K71" s="15">
        <v>0.11</v>
      </c>
      <c r="L71" s="16">
        <v>0</v>
      </c>
    </row>
    <row r="72" spans="1:12" x14ac:dyDescent="0.25">
      <c r="A72" s="10" t="s">
        <v>21</v>
      </c>
      <c r="B72" s="11" t="s">
        <v>176</v>
      </c>
      <c r="C72" s="11" t="s">
        <v>21</v>
      </c>
      <c r="D72" s="11" t="s">
        <v>177</v>
      </c>
      <c r="E72" s="11" t="s">
        <v>132</v>
      </c>
      <c r="F72" s="12">
        <v>19000</v>
      </c>
      <c r="G72" s="13">
        <v>358.47</v>
      </c>
      <c r="H72" s="13">
        <v>0.11</v>
      </c>
      <c r="I72" s="14" t="s">
        <v>21</v>
      </c>
      <c r="J72" s="14" t="s">
        <v>21</v>
      </c>
      <c r="K72" s="15">
        <v>0.11</v>
      </c>
      <c r="L72" s="16">
        <v>0</v>
      </c>
    </row>
    <row r="73" spans="1:12" x14ac:dyDescent="0.25">
      <c r="A73" s="10" t="s">
        <v>21</v>
      </c>
      <c r="B73" s="11" t="s">
        <v>178</v>
      </c>
      <c r="C73" s="11" t="s">
        <v>21</v>
      </c>
      <c r="D73" s="11" t="s">
        <v>179</v>
      </c>
      <c r="E73" s="11" t="s">
        <v>41</v>
      </c>
      <c r="F73" s="12">
        <v>135000</v>
      </c>
      <c r="G73" s="13">
        <v>296.52999999999997</v>
      </c>
      <c r="H73" s="13">
        <v>0.09</v>
      </c>
      <c r="I73" s="14" t="s">
        <v>21</v>
      </c>
      <c r="J73" s="14" t="s">
        <v>21</v>
      </c>
      <c r="K73" s="15">
        <v>0.09</v>
      </c>
      <c r="L73" s="16">
        <v>0</v>
      </c>
    </row>
    <row r="74" spans="1:12" x14ac:dyDescent="0.25">
      <c r="A74" s="17"/>
      <c r="B74" s="9" t="s">
        <v>180</v>
      </c>
      <c r="C74" s="17"/>
      <c r="D74" s="17"/>
      <c r="E74" s="17"/>
      <c r="F74" s="17"/>
      <c r="G74" s="18">
        <v>211448.34000000005</v>
      </c>
      <c r="H74" s="18">
        <v>66.760000000000005</v>
      </c>
      <c r="I74" s="17"/>
      <c r="J74" s="17"/>
      <c r="K74" s="17"/>
      <c r="L74" s="17"/>
    </row>
    <row r="75" spans="1:12" x14ac:dyDescent="0.25">
      <c r="A75" s="8"/>
      <c r="B75" s="9" t="s">
        <v>181</v>
      </c>
      <c r="C75" s="8"/>
      <c r="D75" s="8"/>
      <c r="E75" s="8"/>
      <c r="F75" s="8"/>
      <c r="G75" s="18">
        <v>211448.34000000005</v>
      </c>
      <c r="H75" s="18">
        <v>66.760000000000005</v>
      </c>
      <c r="I75" s="8"/>
      <c r="J75" s="8"/>
      <c r="K75" s="8"/>
      <c r="L75" s="8"/>
    </row>
    <row r="76" spans="1:12" x14ac:dyDescent="0.25">
      <c r="A76" s="8"/>
      <c r="B76" s="9" t="s">
        <v>182</v>
      </c>
      <c r="C76" s="8"/>
      <c r="D76" s="8"/>
      <c r="E76" s="8"/>
      <c r="F76" s="8"/>
      <c r="G76" s="8"/>
      <c r="H76" s="8"/>
      <c r="I76" s="8"/>
      <c r="J76" s="8"/>
      <c r="K76" s="8"/>
      <c r="L76" s="8"/>
    </row>
    <row r="77" spans="1:12" x14ac:dyDescent="0.25">
      <c r="A77" s="8"/>
      <c r="B77" s="9" t="s">
        <v>17</v>
      </c>
      <c r="C77" s="8"/>
      <c r="D77" s="8"/>
      <c r="E77" s="8"/>
      <c r="F77" s="8"/>
      <c r="G77" s="8"/>
      <c r="H77" s="8"/>
      <c r="I77" s="8"/>
      <c r="J77" s="8"/>
      <c r="K77" s="8"/>
      <c r="L77" s="8"/>
    </row>
    <row r="78" spans="1:12" x14ac:dyDescent="0.25">
      <c r="A78" s="8"/>
      <c r="B78" s="9" t="s">
        <v>183</v>
      </c>
      <c r="C78" s="8"/>
      <c r="D78" s="8"/>
      <c r="E78" s="8"/>
      <c r="F78" s="8"/>
      <c r="G78" s="8"/>
      <c r="H78" s="8"/>
      <c r="I78" s="8"/>
      <c r="J78" s="8"/>
      <c r="K78" s="8"/>
      <c r="L78" s="8"/>
    </row>
    <row r="79" spans="1:12" x14ac:dyDescent="0.25">
      <c r="A79" s="10" t="s">
        <v>19</v>
      </c>
      <c r="B79" s="11" t="s">
        <v>184</v>
      </c>
      <c r="C79" s="11">
        <v>7.1</v>
      </c>
      <c r="D79" s="11" t="s">
        <v>185</v>
      </c>
      <c r="E79" s="11" t="s">
        <v>186</v>
      </c>
      <c r="F79" s="12">
        <v>11000000</v>
      </c>
      <c r="G79" s="13">
        <v>10865.24</v>
      </c>
      <c r="H79" s="13">
        <v>3.43</v>
      </c>
      <c r="I79" s="14">
        <v>7.5114999999999998</v>
      </c>
      <c r="J79" s="14" t="s">
        <v>21</v>
      </c>
      <c r="K79" s="15" t="s">
        <v>21</v>
      </c>
      <c r="L79" s="16" t="s">
        <v>21</v>
      </c>
    </row>
    <row r="80" spans="1:12" x14ac:dyDescent="0.25">
      <c r="A80" s="10" t="s">
        <v>21</v>
      </c>
      <c r="B80" s="11" t="s">
        <v>187</v>
      </c>
      <c r="C80" s="11">
        <v>7.17</v>
      </c>
      <c r="D80" s="11" t="s">
        <v>188</v>
      </c>
      <c r="E80" s="11" t="s">
        <v>186</v>
      </c>
      <c r="F80" s="12">
        <v>6000000</v>
      </c>
      <c r="G80" s="13">
        <v>5933.05</v>
      </c>
      <c r="H80" s="13">
        <v>1.87</v>
      </c>
      <c r="I80" s="14">
        <v>7.5259</v>
      </c>
      <c r="J80" s="14" t="s">
        <v>21</v>
      </c>
      <c r="K80" s="15" t="s">
        <v>21</v>
      </c>
      <c r="L80" s="16" t="s">
        <v>21</v>
      </c>
    </row>
    <row r="81" spans="1:12" x14ac:dyDescent="0.25">
      <c r="A81" s="10" t="s">
        <v>21</v>
      </c>
      <c r="B81" s="11" t="s">
        <v>189</v>
      </c>
      <c r="C81" s="11">
        <v>7.38</v>
      </c>
      <c r="D81" s="11" t="s">
        <v>190</v>
      </c>
      <c r="E81" s="11" t="s">
        <v>186</v>
      </c>
      <c r="F81" s="12">
        <v>5250000</v>
      </c>
      <c r="G81" s="13">
        <v>5254.73</v>
      </c>
      <c r="H81" s="13">
        <v>1.66</v>
      </c>
      <c r="I81" s="14">
        <v>7.4820000000000002</v>
      </c>
      <c r="J81" s="14" t="s">
        <v>21</v>
      </c>
      <c r="K81" s="15" t="s">
        <v>21</v>
      </c>
      <c r="L81" s="16" t="s">
        <v>21</v>
      </c>
    </row>
    <row r="82" spans="1:12" x14ac:dyDescent="0.25">
      <c r="A82" s="10" t="s">
        <v>21</v>
      </c>
      <c r="B82" s="11" t="s">
        <v>191</v>
      </c>
      <c r="C82" s="11">
        <v>7.6899999999999995</v>
      </c>
      <c r="D82" s="11" t="s">
        <v>192</v>
      </c>
      <c r="E82" s="11" t="s">
        <v>186</v>
      </c>
      <c r="F82" s="12">
        <v>4500000</v>
      </c>
      <c r="G82" s="13">
        <v>4481.6499999999996</v>
      </c>
      <c r="H82" s="13">
        <v>1.42</v>
      </c>
      <c r="I82" s="14">
        <v>7.7718999999999996</v>
      </c>
      <c r="J82" s="14" t="s">
        <v>21</v>
      </c>
      <c r="K82" s="15" t="s">
        <v>21</v>
      </c>
      <c r="L82" s="16" t="s">
        <v>21</v>
      </c>
    </row>
    <row r="83" spans="1:12" x14ac:dyDescent="0.25">
      <c r="A83" s="10" t="s">
        <v>21</v>
      </c>
      <c r="B83" s="11" t="s">
        <v>193</v>
      </c>
      <c r="C83" s="11" t="s">
        <v>21</v>
      </c>
      <c r="D83" s="11" t="s">
        <v>194</v>
      </c>
      <c r="E83" s="11" t="s">
        <v>186</v>
      </c>
      <c r="F83" s="12">
        <v>5213000</v>
      </c>
      <c r="G83" s="13">
        <v>4072.81</v>
      </c>
      <c r="H83" s="13">
        <v>1.29</v>
      </c>
      <c r="I83" s="14">
        <v>7.5681000000000003</v>
      </c>
      <c r="J83" s="14" t="s">
        <v>21</v>
      </c>
      <c r="K83" s="15" t="s">
        <v>21</v>
      </c>
      <c r="L83" s="16" t="s">
        <v>21</v>
      </c>
    </row>
    <row r="84" spans="1:12" x14ac:dyDescent="0.25">
      <c r="A84" s="10" t="s">
        <v>21</v>
      </c>
      <c r="B84" s="11" t="s">
        <v>195</v>
      </c>
      <c r="C84" s="11" t="s">
        <v>21</v>
      </c>
      <c r="D84" s="11" t="s">
        <v>196</v>
      </c>
      <c r="E84" s="11" t="s">
        <v>186</v>
      </c>
      <c r="F84" s="12">
        <v>2516000</v>
      </c>
      <c r="G84" s="13">
        <v>1760.24</v>
      </c>
      <c r="H84" s="13">
        <v>0.56000000000000005</v>
      </c>
      <c r="I84" s="14">
        <v>7.5895999999999999</v>
      </c>
      <c r="J84" s="14" t="s">
        <v>21</v>
      </c>
      <c r="K84" s="15" t="s">
        <v>21</v>
      </c>
      <c r="L84" s="16" t="s">
        <v>21</v>
      </c>
    </row>
    <row r="85" spans="1:12" x14ac:dyDescent="0.25">
      <c r="A85" s="10" t="s">
        <v>21</v>
      </c>
      <c r="B85" s="11" t="s">
        <v>197</v>
      </c>
      <c r="C85" s="11">
        <v>7.59</v>
      </c>
      <c r="D85" s="11" t="s">
        <v>198</v>
      </c>
      <c r="E85" s="11" t="s">
        <v>186</v>
      </c>
      <c r="F85" s="12">
        <v>1500000</v>
      </c>
      <c r="G85" s="13">
        <v>1507.72</v>
      </c>
      <c r="H85" s="13">
        <v>0.48</v>
      </c>
      <c r="I85" s="14">
        <v>7.4579000000000004</v>
      </c>
      <c r="J85" s="14" t="s">
        <v>21</v>
      </c>
      <c r="K85" s="15" t="s">
        <v>21</v>
      </c>
      <c r="L85" s="16" t="s">
        <v>21</v>
      </c>
    </row>
    <row r="86" spans="1:12" x14ac:dyDescent="0.25">
      <c r="A86" s="10" t="s">
        <v>21</v>
      </c>
      <c r="B86" s="11" t="s">
        <v>199</v>
      </c>
      <c r="C86" s="11" t="s">
        <v>21</v>
      </c>
      <c r="D86" s="11" t="s">
        <v>200</v>
      </c>
      <c r="E86" s="11" t="s">
        <v>186</v>
      </c>
      <c r="F86" s="12">
        <v>1690000</v>
      </c>
      <c r="G86" s="13">
        <v>1233.1400000000001</v>
      </c>
      <c r="H86" s="13">
        <v>0.39</v>
      </c>
      <c r="I86" s="14">
        <v>7.5896999999999997</v>
      </c>
      <c r="J86" s="14" t="s">
        <v>21</v>
      </c>
      <c r="K86" s="15" t="s">
        <v>21</v>
      </c>
      <c r="L86" s="16" t="s">
        <v>21</v>
      </c>
    </row>
    <row r="87" spans="1:12" x14ac:dyDescent="0.25">
      <c r="A87" s="10" t="s">
        <v>21</v>
      </c>
      <c r="B87" s="11" t="s">
        <v>201</v>
      </c>
      <c r="C87" s="11">
        <v>6.97</v>
      </c>
      <c r="D87" s="11" t="s">
        <v>202</v>
      </c>
      <c r="E87" s="11" t="s">
        <v>186</v>
      </c>
      <c r="F87" s="12">
        <v>1000000</v>
      </c>
      <c r="G87" s="13">
        <v>989.8</v>
      </c>
      <c r="H87" s="13">
        <v>0.31</v>
      </c>
      <c r="I87" s="14">
        <v>7.5041000000000002</v>
      </c>
      <c r="J87" s="14" t="s">
        <v>21</v>
      </c>
      <c r="K87" s="15" t="s">
        <v>21</v>
      </c>
      <c r="L87" s="16" t="s">
        <v>21</v>
      </c>
    </row>
    <row r="88" spans="1:12" x14ac:dyDescent="0.25">
      <c r="A88" s="10" t="s">
        <v>21</v>
      </c>
      <c r="B88" s="11" t="s">
        <v>203</v>
      </c>
      <c r="C88" s="11">
        <v>7.06</v>
      </c>
      <c r="D88" s="11" t="s">
        <v>204</v>
      </c>
      <c r="E88" s="11" t="s">
        <v>186</v>
      </c>
      <c r="F88" s="12">
        <v>1000000</v>
      </c>
      <c r="G88" s="13">
        <v>989.2</v>
      </c>
      <c r="H88" s="13">
        <v>0.31</v>
      </c>
      <c r="I88" s="14">
        <v>7.4825999999999997</v>
      </c>
      <c r="J88" s="14" t="s">
        <v>21</v>
      </c>
      <c r="K88" s="15" t="s">
        <v>21</v>
      </c>
      <c r="L88" s="16" t="s">
        <v>21</v>
      </c>
    </row>
    <row r="89" spans="1:12" x14ac:dyDescent="0.25">
      <c r="A89" s="10" t="s">
        <v>21</v>
      </c>
      <c r="B89" s="11" t="s">
        <v>205</v>
      </c>
      <c r="C89" s="11">
        <v>7.18</v>
      </c>
      <c r="D89" s="11" t="s">
        <v>206</v>
      </c>
      <c r="E89" s="11" t="s">
        <v>186</v>
      </c>
      <c r="F89" s="12">
        <v>1000000</v>
      </c>
      <c r="G89" s="13">
        <v>988.08</v>
      </c>
      <c r="H89" s="13">
        <v>0.31</v>
      </c>
      <c r="I89" s="14">
        <v>7.4856999999999996</v>
      </c>
      <c r="J89" s="14" t="s">
        <v>21</v>
      </c>
      <c r="K89" s="15" t="s">
        <v>21</v>
      </c>
      <c r="L89" s="16" t="s">
        <v>21</v>
      </c>
    </row>
    <row r="90" spans="1:12" x14ac:dyDescent="0.25">
      <c r="A90" s="10" t="s">
        <v>21</v>
      </c>
      <c r="B90" s="11" t="s">
        <v>207</v>
      </c>
      <c r="C90" s="11">
        <v>5.63</v>
      </c>
      <c r="D90" s="11" t="s">
        <v>208</v>
      </c>
      <c r="E90" s="11" t="s">
        <v>186</v>
      </c>
      <c r="F90" s="12">
        <v>750000</v>
      </c>
      <c r="G90" s="13">
        <v>721.8</v>
      </c>
      <c r="H90" s="13">
        <v>0.23</v>
      </c>
      <c r="I90" s="14">
        <v>7.4687000000000001</v>
      </c>
      <c r="J90" s="14" t="s">
        <v>21</v>
      </c>
      <c r="K90" s="15" t="s">
        <v>21</v>
      </c>
      <c r="L90" s="16" t="s">
        <v>21</v>
      </c>
    </row>
    <row r="91" spans="1:12" x14ac:dyDescent="0.25">
      <c r="A91" s="10" t="s">
        <v>21</v>
      </c>
      <c r="B91" s="11" t="s">
        <v>209</v>
      </c>
      <c r="C91" s="11">
        <v>7.26</v>
      </c>
      <c r="D91" s="11" t="s">
        <v>210</v>
      </c>
      <c r="E91" s="11" t="s">
        <v>186</v>
      </c>
      <c r="F91" s="12">
        <v>500000</v>
      </c>
      <c r="G91" s="13">
        <v>495.49</v>
      </c>
      <c r="H91" s="13">
        <v>0.16</v>
      </c>
      <c r="I91" s="14">
        <v>7.5305</v>
      </c>
      <c r="J91" s="14" t="s">
        <v>21</v>
      </c>
      <c r="K91" s="15" t="s">
        <v>21</v>
      </c>
      <c r="L91" s="16" t="s">
        <v>21</v>
      </c>
    </row>
    <row r="92" spans="1:12" x14ac:dyDescent="0.25">
      <c r="A92" s="10" t="s">
        <v>21</v>
      </c>
      <c r="B92" s="11" t="s">
        <v>211</v>
      </c>
      <c r="C92" s="11">
        <v>6.54</v>
      </c>
      <c r="D92" s="11" t="s">
        <v>212</v>
      </c>
      <c r="E92" s="11" t="s">
        <v>186</v>
      </c>
      <c r="F92" s="12">
        <v>500000</v>
      </c>
      <c r="G92" s="13">
        <v>473.37</v>
      </c>
      <c r="H92" s="13">
        <v>0.15</v>
      </c>
      <c r="I92" s="14">
        <v>7.5526</v>
      </c>
      <c r="J92" s="14" t="s">
        <v>21</v>
      </c>
      <c r="K92" s="15" t="s">
        <v>21</v>
      </c>
      <c r="L92" s="16" t="s">
        <v>21</v>
      </c>
    </row>
    <row r="93" spans="1:12" x14ac:dyDescent="0.25">
      <c r="A93" s="8"/>
      <c r="B93" s="9" t="s">
        <v>213</v>
      </c>
      <c r="C93" s="8"/>
      <c r="D93" s="8"/>
      <c r="E93" s="8"/>
      <c r="F93" s="8"/>
      <c r="G93" s="8"/>
      <c r="H93" s="8"/>
      <c r="I93" s="8"/>
      <c r="J93" s="8"/>
      <c r="K93" s="8"/>
      <c r="L93" s="8"/>
    </row>
    <row r="94" spans="1:12" x14ac:dyDescent="0.25">
      <c r="A94" s="10" t="s">
        <v>21</v>
      </c>
      <c r="B94" s="11" t="s">
        <v>214</v>
      </c>
      <c r="C94" s="11">
        <v>8.1999999999999993</v>
      </c>
      <c r="D94" s="11" t="s">
        <v>215</v>
      </c>
      <c r="E94" s="11" t="s">
        <v>216</v>
      </c>
      <c r="F94" s="12">
        <v>500</v>
      </c>
      <c r="G94" s="13">
        <v>4991.7700000000004</v>
      </c>
      <c r="H94" s="13">
        <v>1.58</v>
      </c>
      <c r="I94" s="14">
        <v>8.3350000000000009</v>
      </c>
      <c r="J94" s="14" t="s">
        <v>21</v>
      </c>
      <c r="K94" s="15" t="s">
        <v>21</v>
      </c>
      <c r="L94" s="16" t="s">
        <v>21</v>
      </c>
    </row>
    <row r="95" spans="1:12" x14ac:dyDescent="0.25">
      <c r="A95" s="10" t="s">
        <v>21</v>
      </c>
      <c r="B95" s="11" t="s">
        <v>217</v>
      </c>
      <c r="C95" s="11">
        <v>6</v>
      </c>
      <c r="D95" s="11" t="s">
        <v>218</v>
      </c>
      <c r="E95" s="11" t="s">
        <v>219</v>
      </c>
      <c r="F95" s="12">
        <v>500</v>
      </c>
      <c r="G95" s="13">
        <v>4844.42</v>
      </c>
      <c r="H95" s="13">
        <v>1.53</v>
      </c>
      <c r="I95" s="14">
        <v>8.1300000000000008</v>
      </c>
      <c r="J95" s="14" t="s">
        <v>21</v>
      </c>
      <c r="K95" s="15" t="s">
        <v>21</v>
      </c>
      <c r="L95" s="16" t="s">
        <v>21</v>
      </c>
    </row>
    <row r="96" spans="1:12" x14ac:dyDescent="0.25">
      <c r="A96" s="10" t="s">
        <v>21</v>
      </c>
      <c r="B96" s="11" t="s">
        <v>220</v>
      </c>
      <c r="C96" s="11">
        <v>8.1199999999999992</v>
      </c>
      <c r="D96" s="11" t="s">
        <v>221</v>
      </c>
      <c r="E96" s="11" t="s">
        <v>222</v>
      </c>
      <c r="F96" s="12">
        <v>4000</v>
      </c>
      <c r="G96" s="13">
        <v>3996.19</v>
      </c>
      <c r="H96" s="13">
        <v>1.26</v>
      </c>
      <c r="I96" s="14">
        <v>8.2149999999999999</v>
      </c>
      <c r="J96" s="14" t="s">
        <v>21</v>
      </c>
      <c r="K96" s="15" t="s">
        <v>21</v>
      </c>
      <c r="L96" s="16" t="s">
        <v>21</v>
      </c>
    </row>
    <row r="97" spans="1:12" x14ac:dyDescent="0.25">
      <c r="A97" s="10" t="s">
        <v>21</v>
      </c>
      <c r="B97" s="11" t="s">
        <v>223</v>
      </c>
      <c r="C97" s="11">
        <v>8.6</v>
      </c>
      <c r="D97" s="11" t="s">
        <v>224</v>
      </c>
      <c r="E97" s="11" t="s">
        <v>216</v>
      </c>
      <c r="F97" s="12">
        <v>350</v>
      </c>
      <c r="G97" s="13">
        <v>3508.3</v>
      </c>
      <c r="H97" s="13">
        <v>1.1100000000000001</v>
      </c>
      <c r="I97" s="14">
        <v>8.3350000000000009</v>
      </c>
      <c r="J97" s="14" t="s">
        <v>21</v>
      </c>
      <c r="K97" s="15" t="s">
        <v>21</v>
      </c>
      <c r="L97" s="16" t="s">
        <v>21</v>
      </c>
    </row>
    <row r="98" spans="1:12" x14ac:dyDescent="0.25">
      <c r="A98" s="10" t="s">
        <v>21</v>
      </c>
      <c r="B98" s="11" t="s">
        <v>225</v>
      </c>
      <c r="C98" s="11">
        <v>7.65</v>
      </c>
      <c r="D98" s="11" t="s">
        <v>226</v>
      </c>
      <c r="E98" s="11" t="s">
        <v>219</v>
      </c>
      <c r="F98" s="12">
        <v>350</v>
      </c>
      <c r="G98" s="13">
        <v>3481.4</v>
      </c>
      <c r="H98" s="13">
        <v>1.1000000000000001</v>
      </c>
      <c r="I98" s="14">
        <v>7.9550000000000001</v>
      </c>
      <c r="J98" s="14" t="s">
        <v>21</v>
      </c>
      <c r="K98" s="15" t="s">
        <v>21</v>
      </c>
      <c r="L98" s="16" t="s">
        <v>21</v>
      </c>
    </row>
    <row r="99" spans="1:12" x14ac:dyDescent="0.25">
      <c r="A99" s="10" t="s">
        <v>21</v>
      </c>
      <c r="B99" s="11" t="s">
        <v>227</v>
      </c>
      <c r="C99" s="11">
        <v>7.9</v>
      </c>
      <c r="D99" s="11" t="s">
        <v>228</v>
      </c>
      <c r="E99" s="11" t="s">
        <v>219</v>
      </c>
      <c r="F99" s="12">
        <v>250</v>
      </c>
      <c r="G99" s="13">
        <v>2492.1799999999998</v>
      </c>
      <c r="H99" s="13">
        <v>0.79</v>
      </c>
      <c r="I99" s="14">
        <v>8.0649999999999995</v>
      </c>
      <c r="J99" s="14" t="s">
        <v>21</v>
      </c>
      <c r="K99" s="15" t="s">
        <v>21</v>
      </c>
      <c r="L99" s="16" t="s">
        <v>21</v>
      </c>
    </row>
    <row r="100" spans="1:12" x14ac:dyDescent="0.25">
      <c r="A100" s="10" t="s">
        <v>21</v>
      </c>
      <c r="B100" s="11" t="s">
        <v>229</v>
      </c>
      <c r="C100" s="11">
        <v>7.75</v>
      </c>
      <c r="D100" s="11" t="s">
        <v>230</v>
      </c>
      <c r="E100" s="11" t="s">
        <v>219</v>
      </c>
      <c r="F100" s="12">
        <v>250</v>
      </c>
      <c r="G100" s="13">
        <v>2500.8000000000002</v>
      </c>
      <c r="H100" s="13">
        <v>0.79</v>
      </c>
      <c r="I100" s="14">
        <v>7.73</v>
      </c>
      <c r="J100" s="14" t="s">
        <v>21</v>
      </c>
      <c r="K100" s="15" t="s">
        <v>21</v>
      </c>
      <c r="L100" s="16" t="s">
        <v>21</v>
      </c>
    </row>
    <row r="101" spans="1:12" x14ac:dyDescent="0.25">
      <c r="A101" s="10" t="s">
        <v>21</v>
      </c>
      <c r="B101" s="11" t="s">
        <v>231</v>
      </c>
      <c r="C101" s="11">
        <v>7.79</v>
      </c>
      <c r="D101" s="11" t="s">
        <v>232</v>
      </c>
      <c r="E101" s="11" t="s">
        <v>219</v>
      </c>
      <c r="F101" s="12">
        <v>2500</v>
      </c>
      <c r="G101" s="13">
        <v>2497.65</v>
      </c>
      <c r="H101" s="13">
        <v>0.79</v>
      </c>
      <c r="I101" s="14">
        <v>7.84</v>
      </c>
      <c r="J101" s="14" t="s">
        <v>21</v>
      </c>
      <c r="K101" s="15" t="s">
        <v>21</v>
      </c>
      <c r="L101" s="16" t="s">
        <v>21</v>
      </c>
    </row>
    <row r="102" spans="1:12" x14ac:dyDescent="0.25">
      <c r="A102" s="10" t="s">
        <v>21</v>
      </c>
      <c r="B102" s="11" t="s">
        <v>233</v>
      </c>
      <c r="C102" s="11">
        <v>7.4</v>
      </c>
      <c r="D102" s="11" t="s">
        <v>234</v>
      </c>
      <c r="E102" s="11" t="s">
        <v>219</v>
      </c>
      <c r="F102" s="12">
        <v>250</v>
      </c>
      <c r="G102" s="13">
        <v>2476.39</v>
      </c>
      <c r="H102" s="13">
        <v>0.78</v>
      </c>
      <c r="I102" s="14">
        <v>8.01</v>
      </c>
      <c r="J102" s="14" t="s">
        <v>21</v>
      </c>
      <c r="K102" s="15" t="s">
        <v>21</v>
      </c>
      <c r="L102" s="16" t="s">
        <v>21</v>
      </c>
    </row>
    <row r="103" spans="1:12" x14ac:dyDescent="0.25">
      <c r="A103" s="10" t="s">
        <v>21</v>
      </c>
      <c r="B103" s="11" t="s">
        <v>235</v>
      </c>
      <c r="C103" s="11">
        <v>7.4</v>
      </c>
      <c r="D103" s="11" t="s">
        <v>230</v>
      </c>
      <c r="E103" s="11" t="s">
        <v>219</v>
      </c>
      <c r="F103" s="12">
        <v>250</v>
      </c>
      <c r="G103" s="13">
        <v>2457.25</v>
      </c>
      <c r="H103" s="13">
        <v>0.78</v>
      </c>
      <c r="I103" s="14">
        <v>7.73</v>
      </c>
      <c r="J103" s="14" t="s">
        <v>21</v>
      </c>
      <c r="K103" s="15" t="s">
        <v>21</v>
      </c>
      <c r="L103" s="16" t="s">
        <v>21</v>
      </c>
    </row>
    <row r="104" spans="1:12" x14ac:dyDescent="0.25">
      <c r="A104" s="10" t="s">
        <v>21</v>
      </c>
      <c r="B104" s="11" t="s">
        <v>236</v>
      </c>
      <c r="C104" s="11">
        <v>7.75</v>
      </c>
      <c r="D104" s="11" t="s">
        <v>237</v>
      </c>
      <c r="E104" s="11" t="s">
        <v>238</v>
      </c>
      <c r="F104" s="12">
        <v>150</v>
      </c>
      <c r="G104" s="13">
        <v>1498.1</v>
      </c>
      <c r="H104" s="13">
        <v>0.47</v>
      </c>
      <c r="I104" s="14">
        <v>7.82</v>
      </c>
      <c r="J104" s="14" t="s">
        <v>21</v>
      </c>
      <c r="K104" s="15" t="s">
        <v>21</v>
      </c>
      <c r="L104" s="16" t="s">
        <v>21</v>
      </c>
    </row>
    <row r="105" spans="1:12" x14ac:dyDescent="0.25">
      <c r="A105" s="10" t="s">
        <v>21</v>
      </c>
      <c r="B105" s="11" t="s">
        <v>239</v>
      </c>
      <c r="C105" s="11">
        <v>6.43</v>
      </c>
      <c r="D105" s="11" t="s">
        <v>240</v>
      </c>
      <c r="E105" s="11" t="s">
        <v>222</v>
      </c>
      <c r="F105" s="12">
        <v>100</v>
      </c>
      <c r="G105" s="13">
        <v>992.55</v>
      </c>
      <c r="H105" s="13">
        <v>0.31</v>
      </c>
      <c r="I105" s="14">
        <v>8.0250000000000004</v>
      </c>
      <c r="J105" s="14" t="s">
        <v>21</v>
      </c>
      <c r="K105" s="15" t="s">
        <v>21</v>
      </c>
      <c r="L105" s="16" t="s">
        <v>21</v>
      </c>
    </row>
    <row r="106" spans="1:12" x14ac:dyDescent="0.25">
      <c r="A106" s="10" t="s">
        <v>21</v>
      </c>
      <c r="B106" s="11" t="s">
        <v>241</v>
      </c>
      <c r="C106" s="11">
        <v>7.89</v>
      </c>
      <c r="D106" s="11" t="s">
        <v>242</v>
      </c>
      <c r="E106" s="11" t="s">
        <v>219</v>
      </c>
      <c r="F106" s="12">
        <v>50</v>
      </c>
      <c r="G106" s="13">
        <v>498.02</v>
      </c>
      <c r="H106" s="13">
        <v>0.16</v>
      </c>
      <c r="I106" s="14">
        <v>8.1</v>
      </c>
      <c r="J106" s="14" t="s">
        <v>21</v>
      </c>
      <c r="K106" s="15" t="s">
        <v>21</v>
      </c>
      <c r="L106" s="16" t="s">
        <v>21</v>
      </c>
    </row>
    <row r="107" spans="1:12" x14ac:dyDescent="0.25">
      <c r="A107" s="10" t="s">
        <v>21</v>
      </c>
      <c r="B107" s="11" t="s">
        <v>243</v>
      </c>
      <c r="C107" s="11">
        <v>7.15</v>
      </c>
      <c r="D107" s="11" t="s">
        <v>244</v>
      </c>
      <c r="E107" s="11" t="s">
        <v>222</v>
      </c>
      <c r="F107" s="12">
        <v>50</v>
      </c>
      <c r="G107" s="13">
        <v>496.28</v>
      </c>
      <c r="H107" s="13">
        <v>0.16</v>
      </c>
      <c r="I107" s="14">
        <v>8.1549999999999994</v>
      </c>
      <c r="J107" s="14" t="s">
        <v>21</v>
      </c>
      <c r="K107" s="15" t="s">
        <v>21</v>
      </c>
      <c r="L107" s="16" t="s">
        <v>21</v>
      </c>
    </row>
    <row r="108" spans="1:12" x14ac:dyDescent="0.25">
      <c r="A108" s="17"/>
      <c r="B108" s="9" t="s">
        <v>180</v>
      </c>
      <c r="C108" s="17"/>
      <c r="D108" s="17"/>
      <c r="E108" s="17"/>
      <c r="F108" s="17"/>
      <c r="G108" s="18">
        <v>76497.620000000024</v>
      </c>
      <c r="H108" s="18">
        <v>24.180000000000003</v>
      </c>
      <c r="I108" s="17"/>
      <c r="J108" s="17"/>
      <c r="K108" s="17"/>
      <c r="L108" s="17"/>
    </row>
    <row r="109" spans="1:12" x14ac:dyDescent="0.25">
      <c r="A109" s="8"/>
      <c r="B109" s="9" t="s">
        <v>181</v>
      </c>
      <c r="C109" s="8"/>
      <c r="D109" s="8"/>
      <c r="E109" s="8"/>
      <c r="F109" s="8"/>
      <c r="G109" s="18">
        <v>76497.620000000024</v>
      </c>
      <c r="H109" s="18">
        <v>24.180000000000003</v>
      </c>
      <c r="I109" s="8"/>
      <c r="J109" s="8"/>
      <c r="K109" s="8"/>
      <c r="L109" s="8"/>
    </row>
    <row r="110" spans="1:12" x14ac:dyDescent="0.25">
      <c r="A110" s="8"/>
      <c r="B110" s="9" t="s">
        <v>245</v>
      </c>
      <c r="C110" s="8"/>
      <c r="D110" s="8"/>
      <c r="E110" s="8"/>
      <c r="F110" s="8"/>
      <c r="G110" s="8"/>
      <c r="H110" s="8"/>
      <c r="I110" s="8"/>
      <c r="J110" s="8"/>
      <c r="K110" s="8"/>
      <c r="L110" s="8"/>
    </row>
    <row r="111" spans="1:12" x14ac:dyDescent="0.25">
      <c r="A111" s="8"/>
      <c r="B111" s="9" t="s">
        <v>246</v>
      </c>
      <c r="C111" s="8"/>
      <c r="D111" s="8"/>
      <c r="E111" s="8"/>
      <c r="F111" s="8"/>
      <c r="G111" s="8"/>
      <c r="H111" s="8"/>
      <c r="I111" s="8"/>
      <c r="J111" s="8"/>
      <c r="K111" s="8"/>
      <c r="L111" s="8"/>
    </row>
    <row r="112" spans="1:12" x14ac:dyDescent="0.25">
      <c r="A112" s="10" t="s">
        <v>21</v>
      </c>
      <c r="B112" s="11" t="s">
        <v>247</v>
      </c>
      <c r="C112" s="11" t="s">
        <v>21</v>
      </c>
      <c r="D112" s="11" t="s">
        <v>248</v>
      </c>
      <c r="E112" s="11" t="s">
        <v>77</v>
      </c>
      <c r="F112" s="12">
        <v>3737093</v>
      </c>
      <c r="G112" s="13">
        <v>3672.44</v>
      </c>
      <c r="H112" s="13">
        <v>1.1599999999999999</v>
      </c>
      <c r="I112" s="14" t="s">
        <v>21</v>
      </c>
      <c r="J112" s="14" t="s">
        <v>21</v>
      </c>
      <c r="K112" s="15" t="s">
        <v>21</v>
      </c>
      <c r="L112" s="16" t="s">
        <v>21</v>
      </c>
    </row>
    <row r="113" spans="1:12" x14ac:dyDescent="0.25">
      <c r="A113" s="8"/>
      <c r="B113" s="9" t="s">
        <v>249</v>
      </c>
      <c r="C113" s="8"/>
      <c r="D113" s="8"/>
      <c r="E113" s="8"/>
      <c r="F113" s="8"/>
      <c r="G113" s="8"/>
      <c r="H113" s="8"/>
      <c r="I113" s="8"/>
      <c r="J113" s="8"/>
      <c r="K113" s="8"/>
      <c r="L113" s="8"/>
    </row>
    <row r="114" spans="1:12" x14ac:dyDescent="0.25">
      <c r="A114" s="10" t="s">
        <v>21</v>
      </c>
      <c r="B114" s="11" t="s">
        <v>250</v>
      </c>
      <c r="C114" s="11" t="s">
        <v>21</v>
      </c>
      <c r="D114" s="11" t="s">
        <v>251</v>
      </c>
      <c r="E114" s="11" t="s">
        <v>252</v>
      </c>
      <c r="F114" s="12">
        <v>1000000</v>
      </c>
      <c r="G114" s="13">
        <v>3116.6</v>
      </c>
      <c r="H114" s="13">
        <v>0.98</v>
      </c>
      <c r="I114" s="14" t="s">
        <v>21</v>
      </c>
      <c r="J114" s="14" t="s">
        <v>21</v>
      </c>
      <c r="K114" s="15" t="s">
        <v>21</v>
      </c>
      <c r="L114" s="16" t="s">
        <v>21</v>
      </c>
    </row>
    <row r="115" spans="1:12" x14ac:dyDescent="0.25">
      <c r="A115" s="10" t="s">
        <v>21</v>
      </c>
      <c r="B115" s="11" t="s">
        <v>253</v>
      </c>
      <c r="C115" s="11" t="s">
        <v>21</v>
      </c>
      <c r="D115" s="11" t="s">
        <v>254</v>
      </c>
      <c r="E115" s="11" t="s">
        <v>252</v>
      </c>
      <c r="F115" s="12">
        <v>1000000</v>
      </c>
      <c r="G115" s="13">
        <v>2433.3000000000002</v>
      </c>
      <c r="H115" s="13">
        <v>0.77</v>
      </c>
      <c r="I115" s="14" t="s">
        <v>21</v>
      </c>
      <c r="J115" s="14" t="s">
        <v>21</v>
      </c>
      <c r="K115" s="15" t="s">
        <v>21</v>
      </c>
      <c r="L115" s="16" t="s">
        <v>21</v>
      </c>
    </row>
    <row r="116" spans="1:12" x14ac:dyDescent="0.25">
      <c r="A116" s="17"/>
      <c r="B116" s="9" t="s">
        <v>180</v>
      </c>
      <c r="C116" s="17"/>
      <c r="D116" s="17"/>
      <c r="E116" s="17"/>
      <c r="F116" s="17"/>
      <c r="G116" s="18">
        <v>9222.34</v>
      </c>
      <c r="H116" s="18">
        <v>2.9099999999999997</v>
      </c>
      <c r="I116" s="17"/>
      <c r="J116" s="17"/>
      <c r="K116" s="17"/>
      <c r="L116" s="17"/>
    </row>
    <row r="117" spans="1:12" x14ac:dyDescent="0.25">
      <c r="A117" s="8"/>
      <c r="B117" s="9" t="s">
        <v>181</v>
      </c>
      <c r="C117" s="8"/>
      <c r="D117" s="8"/>
      <c r="E117" s="8"/>
      <c r="F117" s="8"/>
      <c r="G117" s="18">
        <v>9222.34</v>
      </c>
      <c r="H117" s="18">
        <v>2.9099999999999997</v>
      </c>
      <c r="I117" s="8"/>
      <c r="J117" s="8"/>
      <c r="K117" s="8"/>
      <c r="L117" s="8"/>
    </row>
    <row r="118" spans="1:12" x14ac:dyDescent="0.25">
      <c r="A118" s="8"/>
      <c r="B118" s="9" t="s">
        <v>255</v>
      </c>
      <c r="C118" s="8"/>
      <c r="D118" s="8"/>
      <c r="E118" s="8"/>
      <c r="F118" s="8"/>
      <c r="G118" s="8"/>
      <c r="H118" s="8"/>
      <c r="I118" s="8"/>
      <c r="J118" s="8"/>
      <c r="K118" s="8"/>
      <c r="L118" s="8"/>
    </row>
    <row r="119" spans="1:12" x14ac:dyDescent="0.25">
      <c r="A119" s="8"/>
      <c r="B119" s="9" t="s">
        <v>256</v>
      </c>
      <c r="C119" s="8"/>
      <c r="D119" s="8"/>
      <c r="E119" s="8"/>
      <c r="F119" s="8"/>
      <c r="G119" s="8"/>
      <c r="H119" s="8"/>
      <c r="I119" s="8"/>
      <c r="J119" s="8"/>
      <c r="K119" s="8"/>
      <c r="L119" s="8"/>
    </row>
    <row r="120" spans="1:12" x14ac:dyDescent="0.25">
      <c r="A120" s="10" t="s">
        <v>21</v>
      </c>
      <c r="B120" s="11" t="s">
        <v>21</v>
      </c>
      <c r="C120" s="11" t="s">
        <v>21</v>
      </c>
      <c r="D120" s="11" t="s">
        <v>256</v>
      </c>
      <c r="E120" s="11" t="s">
        <v>21</v>
      </c>
      <c r="F120" s="12" t="s">
        <v>21</v>
      </c>
      <c r="G120" s="13">
        <v>11447.98</v>
      </c>
      <c r="H120" s="13">
        <v>3.62</v>
      </c>
      <c r="I120" s="14">
        <v>6.7586000000000004</v>
      </c>
      <c r="J120" s="14" t="s">
        <v>21</v>
      </c>
      <c r="K120" s="15" t="s">
        <v>21</v>
      </c>
      <c r="L120" s="16" t="s">
        <v>21</v>
      </c>
    </row>
    <row r="121" spans="1:12" x14ac:dyDescent="0.25">
      <c r="A121" s="8"/>
      <c r="B121" s="9" t="s">
        <v>257</v>
      </c>
      <c r="C121" s="8"/>
      <c r="D121" s="8"/>
      <c r="E121" s="8"/>
      <c r="F121" s="8"/>
      <c r="G121" s="8"/>
      <c r="H121" s="8"/>
      <c r="I121" s="8"/>
      <c r="J121" s="8"/>
      <c r="K121" s="8"/>
      <c r="L121" s="8"/>
    </row>
    <row r="122" spans="1:12" x14ac:dyDescent="0.25">
      <c r="A122" s="10" t="s">
        <v>21</v>
      </c>
      <c r="B122" s="11" t="s">
        <v>21</v>
      </c>
      <c r="C122" s="11" t="s">
        <v>21</v>
      </c>
      <c r="D122" s="11" t="s">
        <v>257</v>
      </c>
      <c r="E122" s="11" t="s">
        <v>21</v>
      </c>
      <c r="F122" s="12" t="s">
        <v>21</v>
      </c>
      <c r="G122" s="13">
        <v>5591.29</v>
      </c>
      <c r="H122" s="13">
        <v>1.77</v>
      </c>
      <c r="I122" s="14">
        <v>6.8771000000000004</v>
      </c>
      <c r="J122" s="14" t="s">
        <v>21</v>
      </c>
      <c r="K122" s="15" t="s">
        <v>21</v>
      </c>
      <c r="L122" s="16" t="s">
        <v>21</v>
      </c>
    </row>
    <row r="123" spans="1:12" x14ac:dyDescent="0.25">
      <c r="A123" s="17"/>
      <c r="B123" s="9" t="s">
        <v>180</v>
      </c>
      <c r="C123" s="17"/>
      <c r="D123" s="17"/>
      <c r="E123" s="17"/>
      <c r="F123" s="17"/>
      <c r="G123" s="18">
        <v>17039.27</v>
      </c>
      <c r="H123" s="18">
        <v>5.3900000000000006</v>
      </c>
      <c r="I123" s="17"/>
      <c r="J123" s="17"/>
      <c r="K123" s="17"/>
      <c r="L123" s="17"/>
    </row>
    <row r="124" spans="1:12" x14ac:dyDescent="0.25">
      <c r="A124" s="8"/>
      <c r="B124" s="9" t="s">
        <v>181</v>
      </c>
      <c r="C124" s="8"/>
      <c r="D124" s="8"/>
      <c r="E124" s="8"/>
      <c r="F124" s="8"/>
      <c r="G124" s="18">
        <v>17039.27</v>
      </c>
      <c r="H124" s="18">
        <v>5.3900000000000006</v>
      </c>
      <c r="I124" s="8"/>
      <c r="J124" s="8"/>
      <c r="K124" s="8"/>
      <c r="L124" s="8"/>
    </row>
    <row r="125" spans="1:12" x14ac:dyDescent="0.25">
      <c r="A125" s="8"/>
      <c r="B125" s="9" t="s">
        <v>258</v>
      </c>
      <c r="C125" s="8"/>
      <c r="D125" s="8"/>
      <c r="E125" s="8"/>
      <c r="F125" s="8"/>
      <c r="G125" s="8"/>
      <c r="H125" s="8"/>
      <c r="I125" s="8"/>
      <c r="J125" s="8"/>
      <c r="K125" s="8"/>
      <c r="L125" s="8"/>
    </row>
    <row r="126" spans="1:12" x14ac:dyDescent="0.25">
      <c r="A126" s="8"/>
      <c r="B126" s="9" t="s">
        <v>259</v>
      </c>
      <c r="C126" s="8"/>
      <c r="D126" s="8"/>
      <c r="E126" s="8"/>
      <c r="F126" s="8"/>
      <c r="G126" s="8"/>
      <c r="H126" s="8"/>
      <c r="I126" s="8"/>
      <c r="J126" s="8"/>
      <c r="K126" s="8"/>
      <c r="L126" s="8"/>
    </row>
    <row r="127" spans="1:12" x14ac:dyDescent="0.25">
      <c r="A127" s="10" t="s">
        <v>21</v>
      </c>
      <c r="B127" s="11" t="s">
        <v>21</v>
      </c>
      <c r="C127" s="11" t="s">
        <v>21</v>
      </c>
      <c r="D127" s="11" t="s">
        <v>259</v>
      </c>
      <c r="E127" s="11" t="s">
        <v>21</v>
      </c>
      <c r="F127" s="12" t="s">
        <v>21</v>
      </c>
      <c r="G127" s="13">
        <v>2457.6999999999998</v>
      </c>
      <c r="H127" s="13">
        <v>0.76</v>
      </c>
      <c r="I127" s="14" t="s">
        <v>21</v>
      </c>
      <c r="J127" s="14" t="s">
        <v>21</v>
      </c>
      <c r="K127" s="15" t="s">
        <v>21</v>
      </c>
      <c r="L127" s="16" t="s">
        <v>21</v>
      </c>
    </row>
    <row r="128" spans="1:12" x14ac:dyDescent="0.25">
      <c r="A128" s="17"/>
      <c r="B128" s="9" t="s">
        <v>180</v>
      </c>
      <c r="C128" s="17"/>
      <c r="D128" s="17"/>
      <c r="E128" s="17"/>
      <c r="F128" s="17"/>
      <c r="G128" s="18">
        <v>2457.6999999999998</v>
      </c>
      <c r="H128" s="18">
        <v>0.76</v>
      </c>
      <c r="I128" s="17"/>
      <c r="J128" s="17"/>
      <c r="K128" s="17"/>
      <c r="L128" s="17"/>
    </row>
    <row r="129" spans="1:12" x14ac:dyDescent="0.25">
      <c r="A129" s="8"/>
      <c r="B129" s="9" t="s">
        <v>181</v>
      </c>
      <c r="C129" s="8"/>
      <c r="D129" s="8"/>
      <c r="E129" s="8"/>
      <c r="F129" s="8"/>
      <c r="G129" s="18">
        <v>2457.6999999999998</v>
      </c>
      <c r="H129" s="18">
        <v>0.76</v>
      </c>
      <c r="I129" s="8"/>
      <c r="J129" s="8"/>
      <c r="K129" s="8"/>
      <c r="L129" s="8"/>
    </row>
    <row r="130" spans="1:12" x14ac:dyDescent="0.25">
      <c r="A130" s="4"/>
      <c r="B130" s="4"/>
      <c r="C130" s="4"/>
      <c r="D130" s="4"/>
      <c r="E130" s="4"/>
      <c r="F130" s="4"/>
      <c r="G130" s="4"/>
      <c r="H130" s="4"/>
      <c r="I130" s="4"/>
      <c r="J130" s="4"/>
      <c r="K130" s="4"/>
      <c r="L130" s="4"/>
    </row>
    <row r="131" spans="1:12" x14ac:dyDescent="0.25">
      <c r="A131" s="4"/>
      <c r="B131" s="19" t="s">
        <v>260</v>
      </c>
      <c r="C131" s="4"/>
      <c r="D131" s="4"/>
      <c r="E131" s="4"/>
      <c r="F131" s="4"/>
      <c r="G131" s="20">
        <v>316665.26999999996</v>
      </c>
      <c r="H131" s="20">
        <v>100.00000000000006</v>
      </c>
      <c r="I131" s="4"/>
      <c r="J131" s="4"/>
      <c r="K131" s="4"/>
      <c r="L131" s="4"/>
    </row>
    <row r="132" spans="1:12" x14ac:dyDescent="0.25">
      <c r="A132" s="10" t="s">
        <v>19</v>
      </c>
      <c r="B132" s="35" t="s">
        <v>261</v>
      </c>
      <c r="C132" s="35" t="s">
        <v>261</v>
      </c>
      <c r="D132" s="35" t="s">
        <v>261</v>
      </c>
      <c r="E132" s="35" t="s">
        <v>261</v>
      </c>
      <c r="F132" s="35" t="s">
        <v>261</v>
      </c>
      <c r="G132" s="11"/>
      <c r="H132" s="11"/>
      <c r="I132" s="11"/>
      <c r="J132" s="11"/>
      <c r="K132" s="11"/>
      <c r="L132" s="11"/>
    </row>
    <row r="133" spans="1:12" x14ac:dyDescent="0.25">
      <c r="A133" s="11"/>
      <c r="B133" s="31" t="s">
        <v>262</v>
      </c>
      <c r="C133" s="31" t="s">
        <v>262</v>
      </c>
      <c r="D133" s="31" t="s">
        <v>262</v>
      </c>
      <c r="E133" s="31" t="s">
        <v>262</v>
      </c>
      <c r="F133" s="31" t="s">
        <v>262</v>
      </c>
      <c r="G133" s="11"/>
      <c r="H133" s="11"/>
      <c r="I133" s="11"/>
      <c r="J133" s="11"/>
      <c r="K133" s="11"/>
      <c r="L133" s="11"/>
    </row>
    <row r="134" spans="1:12" x14ac:dyDescent="0.25">
      <c r="A134" s="11"/>
      <c r="B134" s="31" t="s">
        <v>263</v>
      </c>
      <c r="C134" s="31" t="s">
        <v>263</v>
      </c>
      <c r="D134" s="31" t="s">
        <v>263</v>
      </c>
      <c r="E134" s="31" t="s">
        <v>263</v>
      </c>
      <c r="F134" s="31" t="s">
        <v>263</v>
      </c>
      <c r="G134" s="11"/>
      <c r="H134" s="11"/>
      <c r="I134" s="11"/>
      <c r="J134" s="11"/>
      <c r="K134" s="11"/>
      <c r="L134" s="11"/>
    </row>
    <row r="135" spans="1:12" x14ac:dyDescent="0.25">
      <c r="A135" s="11"/>
      <c r="B135" s="31" t="s">
        <v>264</v>
      </c>
      <c r="C135" s="31" t="s">
        <v>264</v>
      </c>
      <c r="D135" s="31" t="s">
        <v>264</v>
      </c>
      <c r="E135" s="31" t="s">
        <v>264</v>
      </c>
      <c r="F135" s="31" t="s">
        <v>264</v>
      </c>
      <c r="G135" s="11"/>
      <c r="H135" s="11"/>
      <c r="I135" s="11"/>
      <c r="J135" s="11"/>
      <c r="K135" s="11"/>
      <c r="L135" s="11"/>
    </row>
    <row r="136" spans="1:12" x14ac:dyDescent="0.25">
      <c r="A136" s="11"/>
      <c r="B136" s="31" t="s">
        <v>265</v>
      </c>
      <c r="C136" s="31" t="s">
        <v>265</v>
      </c>
      <c r="D136" s="31" t="s">
        <v>265</v>
      </c>
      <c r="E136" s="31" t="s">
        <v>265</v>
      </c>
      <c r="F136" s="31" t="s">
        <v>265</v>
      </c>
      <c r="G136" s="11"/>
      <c r="H136" s="11"/>
      <c r="I136" s="11"/>
      <c r="J136" s="11"/>
      <c r="K136" s="11"/>
      <c r="L136" s="11"/>
    </row>
    <row r="137" spans="1:12" x14ac:dyDescent="0.25">
      <c r="A137" s="11"/>
      <c r="B137" s="31" t="s">
        <v>266</v>
      </c>
      <c r="C137" s="31" t="s">
        <v>266</v>
      </c>
      <c r="D137" s="31" t="s">
        <v>266</v>
      </c>
      <c r="E137" s="31" t="s">
        <v>266</v>
      </c>
      <c r="F137" s="31" t="s">
        <v>266</v>
      </c>
      <c r="G137" s="11"/>
      <c r="H137" s="11"/>
      <c r="I137" s="11"/>
      <c r="J137" s="11"/>
      <c r="K137" s="11"/>
      <c r="L137" s="11"/>
    </row>
    <row r="138" spans="1:12" x14ac:dyDescent="0.25">
      <c r="A138" s="11"/>
      <c r="B138" s="31" t="s">
        <v>267</v>
      </c>
      <c r="C138" s="31" t="s">
        <v>267</v>
      </c>
      <c r="D138" s="31" t="s">
        <v>267</v>
      </c>
      <c r="E138" s="31" t="s">
        <v>267</v>
      </c>
      <c r="F138" s="31" t="s">
        <v>267</v>
      </c>
      <c r="G138" s="11"/>
      <c r="H138" s="11"/>
      <c r="I138" s="11"/>
      <c r="J138" s="11"/>
      <c r="K138" s="11"/>
      <c r="L138" s="11"/>
    </row>
    <row r="139" spans="1:12" x14ac:dyDescent="0.25">
      <c r="A139" s="11"/>
      <c r="B139" s="31" t="s">
        <v>268</v>
      </c>
      <c r="C139" s="31" t="s">
        <v>268</v>
      </c>
      <c r="D139" s="31" t="s">
        <v>268</v>
      </c>
      <c r="E139" s="31" t="s">
        <v>268</v>
      </c>
      <c r="F139" s="31" t="s">
        <v>268</v>
      </c>
      <c r="G139" s="11"/>
      <c r="H139" s="11"/>
      <c r="I139" s="11"/>
      <c r="J139" s="11"/>
      <c r="K139" s="11"/>
      <c r="L139" s="11"/>
    </row>
    <row r="140" spans="1:12" ht="30" customHeight="1" x14ac:dyDescent="0.25">
      <c r="A140" s="11"/>
      <c r="B140" s="32" t="s">
        <v>269</v>
      </c>
      <c r="C140" s="32" t="s">
        <v>269</v>
      </c>
      <c r="D140" s="32" t="s">
        <v>269</v>
      </c>
      <c r="E140" s="32" t="s">
        <v>269</v>
      </c>
      <c r="F140" s="32" t="s">
        <v>269</v>
      </c>
      <c r="G140" s="11"/>
      <c r="H140" s="11"/>
      <c r="I140" s="11"/>
      <c r="J140" s="11"/>
      <c r="K140" s="11"/>
      <c r="L140" s="11"/>
    </row>
    <row r="141" spans="1:12" x14ac:dyDescent="0.25">
      <c r="A141" s="11"/>
      <c r="B141" s="11"/>
      <c r="C141" s="11"/>
      <c r="D141" s="11"/>
      <c r="E141" s="11"/>
      <c r="F141" s="11"/>
      <c r="G141" s="11"/>
      <c r="H141" s="11"/>
    </row>
    <row r="142" spans="1:12" x14ac:dyDescent="0.25">
      <c r="A142" s="21"/>
      <c r="B142" s="22" t="s">
        <v>270</v>
      </c>
      <c r="C142" s="21"/>
      <c r="D142" s="21"/>
      <c r="E142" s="11"/>
      <c r="F142" s="11"/>
      <c r="G142" s="11"/>
      <c r="H142" s="11"/>
    </row>
    <row r="143" spans="1:12" x14ac:dyDescent="0.25">
      <c r="A143" s="21"/>
      <c r="B143" s="23" t="s">
        <v>23</v>
      </c>
      <c r="C143" s="24"/>
      <c r="D143" s="25">
        <v>10.23</v>
      </c>
      <c r="E143" s="11"/>
      <c r="F143" s="11"/>
      <c r="G143" s="11"/>
      <c r="H143" s="11"/>
    </row>
    <row r="144" spans="1:12" x14ac:dyDescent="0.25">
      <c r="A144" s="21"/>
      <c r="B144" s="23" t="s">
        <v>41</v>
      </c>
      <c r="C144" s="24"/>
      <c r="D144" s="25">
        <v>3.16</v>
      </c>
      <c r="E144" s="11"/>
      <c r="F144" s="11"/>
      <c r="G144" s="11"/>
      <c r="H144" s="11"/>
    </row>
    <row r="145" spans="1:8" x14ac:dyDescent="0.25">
      <c r="A145" s="21"/>
      <c r="B145" s="23" t="s">
        <v>47</v>
      </c>
      <c r="C145" s="24"/>
      <c r="D145" s="25">
        <v>2.86</v>
      </c>
      <c r="E145" s="11"/>
      <c r="F145" s="11"/>
      <c r="G145" s="11"/>
      <c r="H145" s="11"/>
    </row>
    <row r="146" spans="1:8" x14ac:dyDescent="0.25">
      <c r="A146" s="21"/>
      <c r="B146" s="23" t="s">
        <v>68</v>
      </c>
      <c r="C146" s="24"/>
      <c r="D146" s="25">
        <v>2.2800000000000002</v>
      </c>
      <c r="E146" s="11"/>
      <c r="F146" s="11"/>
      <c r="G146" s="11"/>
      <c r="H146" s="11"/>
    </row>
    <row r="147" spans="1:8" x14ac:dyDescent="0.25">
      <c r="A147" s="21"/>
      <c r="B147" s="23" t="s">
        <v>36</v>
      </c>
      <c r="C147" s="24"/>
      <c r="D147" s="25">
        <v>1.8499999999999999</v>
      </c>
      <c r="E147" s="11"/>
      <c r="F147" s="11"/>
      <c r="G147" s="11"/>
      <c r="H147" s="11"/>
    </row>
    <row r="148" spans="1:8" x14ac:dyDescent="0.25">
      <c r="A148" s="21"/>
      <c r="B148" s="23" t="s">
        <v>77</v>
      </c>
      <c r="C148" s="24"/>
      <c r="D148" s="25">
        <v>2.92</v>
      </c>
      <c r="E148" s="11"/>
      <c r="F148" s="11"/>
      <c r="G148" s="11"/>
      <c r="H148" s="11"/>
    </row>
    <row r="149" spans="1:8" x14ac:dyDescent="0.25">
      <c r="A149" s="21"/>
      <c r="B149" s="23" t="s">
        <v>33</v>
      </c>
      <c r="C149" s="24"/>
      <c r="D149" s="25">
        <v>1.5999999999999999</v>
      </c>
      <c r="E149" s="11"/>
      <c r="F149" s="11"/>
      <c r="G149" s="11"/>
      <c r="H149" s="11"/>
    </row>
    <row r="150" spans="1:8" x14ac:dyDescent="0.25">
      <c r="A150" s="21"/>
      <c r="B150" s="23" t="s">
        <v>50</v>
      </c>
      <c r="C150" s="24"/>
      <c r="D150" s="25">
        <v>1.59</v>
      </c>
      <c r="E150" s="11"/>
      <c r="F150" s="11"/>
      <c r="G150" s="11"/>
      <c r="H150" s="11"/>
    </row>
    <row r="151" spans="1:8" x14ac:dyDescent="0.25">
      <c r="A151" s="21"/>
      <c r="B151" s="23" t="s">
        <v>112</v>
      </c>
      <c r="C151" s="24"/>
      <c r="D151" s="25">
        <v>1.02</v>
      </c>
      <c r="E151" s="11"/>
      <c r="F151" s="11"/>
      <c r="G151" s="11"/>
      <c r="H151" s="11"/>
    </row>
    <row r="152" spans="1:8" x14ac:dyDescent="0.25">
      <c r="A152" s="21"/>
      <c r="B152" s="23" t="s">
        <v>80</v>
      </c>
      <c r="C152" s="24"/>
      <c r="D152" s="25">
        <v>1.01</v>
      </c>
      <c r="E152" s="11"/>
      <c r="F152" s="11"/>
      <c r="G152" s="11"/>
      <c r="H152" s="11"/>
    </row>
    <row r="153" spans="1:8" x14ac:dyDescent="0.25">
      <c r="A153" s="21"/>
      <c r="B153" s="23" t="s">
        <v>89</v>
      </c>
      <c r="C153" s="24"/>
      <c r="D153" s="25">
        <v>0.79</v>
      </c>
      <c r="E153" s="11"/>
      <c r="F153" s="11"/>
      <c r="G153" s="11"/>
      <c r="H153" s="11"/>
    </row>
    <row r="154" spans="1:8" x14ac:dyDescent="0.25">
      <c r="A154" s="21"/>
      <c r="B154" s="23" t="s">
        <v>44</v>
      </c>
      <c r="C154" s="24"/>
      <c r="D154" s="25">
        <v>0.77</v>
      </c>
      <c r="E154" s="11"/>
      <c r="F154" s="11"/>
      <c r="G154" s="11"/>
      <c r="H154" s="11"/>
    </row>
    <row r="155" spans="1:8" x14ac:dyDescent="0.25">
      <c r="A155" s="21"/>
      <c r="B155" s="23" t="s">
        <v>63</v>
      </c>
      <c r="C155" s="24"/>
      <c r="D155" s="25">
        <v>0.72999999999999987</v>
      </c>
      <c r="E155" s="11"/>
      <c r="F155" s="11"/>
      <c r="G155" s="11"/>
      <c r="H155" s="11"/>
    </row>
    <row r="156" spans="1:8" x14ac:dyDescent="0.25">
      <c r="A156" s="21"/>
      <c r="B156" s="23" t="s">
        <v>137</v>
      </c>
      <c r="C156" s="24"/>
      <c r="D156" s="25">
        <v>0.71</v>
      </c>
      <c r="E156" s="11"/>
      <c r="F156" s="11"/>
      <c r="G156" s="11"/>
      <c r="H156" s="11"/>
    </row>
    <row r="157" spans="1:8" x14ac:dyDescent="0.25">
      <c r="A157" s="21"/>
      <c r="B157" s="23" t="s">
        <v>58</v>
      </c>
      <c r="C157" s="24"/>
      <c r="D157" s="25">
        <v>0.67999999999999994</v>
      </c>
      <c r="E157" s="11"/>
      <c r="F157" s="11"/>
      <c r="G157" s="11"/>
      <c r="H157" s="11"/>
    </row>
    <row r="158" spans="1:8" x14ac:dyDescent="0.25">
      <c r="A158" s="21"/>
      <c r="B158" s="23" t="s">
        <v>107</v>
      </c>
      <c r="C158" s="24"/>
      <c r="D158" s="25">
        <v>0.57999999999999996</v>
      </c>
      <c r="E158" s="11"/>
      <c r="F158" s="11"/>
      <c r="G158" s="11"/>
      <c r="H158" s="11"/>
    </row>
    <row r="159" spans="1:8" x14ac:dyDescent="0.25">
      <c r="A159" s="21"/>
      <c r="B159" s="23" t="s">
        <v>28</v>
      </c>
      <c r="C159" s="24"/>
      <c r="D159" s="25">
        <v>0.49</v>
      </c>
      <c r="E159" s="11"/>
      <c r="F159" s="11"/>
      <c r="G159" s="11"/>
      <c r="H159" s="11"/>
    </row>
    <row r="160" spans="1:8" x14ac:dyDescent="0.25">
      <c r="A160" s="21"/>
      <c r="B160" s="23" t="s">
        <v>117</v>
      </c>
      <c r="C160" s="24"/>
      <c r="D160" s="25">
        <v>0.47</v>
      </c>
      <c r="E160" s="11"/>
      <c r="F160" s="11"/>
      <c r="G160" s="11"/>
      <c r="H160" s="11"/>
    </row>
    <row r="161" spans="1:8" x14ac:dyDescent="0.25">
      <c r="A161" s="21"/>
      <c r="B161" s="23" t="s">
        <v>71</v>
      </c>
      <c r="C161" s="24"/>
      <c r="D161" s="25">
        <v>0.38</v>
      </c>
      <c r="E161" s="11"/>
      <c r="F161" s="11"/>
      <c r="G161" s="11"/>
      <c r="H161" s="11"/>
    </row>
    <row r="162" spans="1:8" x14ac:dyDescent="0.25">
      <c r="A162" s="21"/>
      <c r="B162" s="23" t="s">
        <v>53</v>
      </c>
      <c r="C162" s="24"/>
      <c r="D162" s="25">
        <v>0.36999999999999988</v>
      </c>
      <c r="E162" s="11"/>
      <c r="F162" s="11"/>
      <c r="G162" s="11"/>
      <c r="H162" s="11"/>
    </row>
    <row r="163" spans="1:8" x14ac:dyDescent="0.25">
      <c r="A163" s="21"/>
      <c r="B163" s="23" t="s">
        <v>144</v>
      </c>
      <c r="C163" s="24"/>
      <c r="D163" s="25">
        <v>0.33</v>
      </c>
      <c r="E163" s="11"/>
      <c r="F163" s="11"/>
      <c r="G163" s="11"/>
      <c r="H163" s="11"/>
    </row>
    <row r="164" spans="1:8" x14ac:dyDescent="0.25">
      <c r="A164" s="21"/>
      <c r="B164" s="23" t="s">
        <v>74</v>
      </c>
      <c r="C164" s="24"/>
      <c r="D164" s="25">
        <v>0.31999999999999995</v>
      </c>
      <c r="E164" s="11"/>
      <c r="F164" s="11"/>
      <c r="G164" s="11"/>
      <c r="H164" s="11"/>
    </row>
    <row r="165" spans="1:8" x14ac:dyDescent="0.25">
      <c r="A165" s="21"/>
      <c r="B165" s="23" t="s">
        <v>149</v>
      </c>
      <c r="C165" s="24"/>
      <c r="D165" s="25">
        <v>0.31</v>
      </c>
      <c r="E165" s="11"/>
      <c r="F165" s="11"/>
      <c r="G165" s="11"/>
      <c r="H165" s="11"/>
    </row>
    <row r="166" spans="1:8" x14ac:dyDescent="0.25">
      <c r="A166" s="21"/>
      <c r="B166" s="23" t="s">
        <v>160</v>
      </c>
      <c r="C166" s="24"/>
      <c r="D166" s="25">
        <v>0.25</v>
      </c>
      <c r="E166" s="11"/>
      <c r="F166" s="11"/>
      <c r="G166" s="11"/>
      <c r="H166" s="11"/>
    </row>
    <row r="167" spans="1:8" x14ac:dyDescent="0.25">
      <c r="A167" s="21"/>
      <c r="B167" s="23" t="s">
        <v>165</v>
      </c>
      <c r="C167" s="24"/>
      <c r="D167" s="25">
        <v>0.25</v>
      </c>
      <c r="E167" s="11"/>
      <c r="F167" s="11"/>
      <c r="G167" s="11"/>
      <c r="H167" s="11"/>
    </row>
    <row r="168" spans="1:8" x14ac:dyDescent="0.25">
      <c r="A168" s="21"/>
      <c r="B168" s="23" t="s">
        <v>173</v>
      </c>
      <c r="C168" s="24"/>
      <c r="D168" s="25">
        <v>0</v>
      </c>
      <c r="E168" s="11"/>
      <c r="F168" s="11"/>
      <c r="G168" s="11"/>
      <c r="H168" s="11"/>
    </row>
    <row r="169" spans="1:8" x14ac:dyDescent="0.25">
      <c r="A169" s="21"/>
      <c r="B169" s="23" t="s">
        <v>132</v>
      </c>
      <c r="C169" s="24"/>
      <c r="D169" s="25">
        <v>0</v>
      </c>
      <c r="E169" s="11"/>
      <c r="F169" s="11"/>
      <c r="G169" s="11"/>
      <c r="H169" s="11"/>
    </row>
    <row r="170" spans="1:8" x14ac:dyDescent="0.25">
      <c r="A170" s="21"/>
      <c r="B170" s="23" t="s">
        <v>170</v>
      </c>
      <c r="C170" s="24"/>
      <c r="D170" s="25">
        <v>0</v>
      </c>
      <c r="E170" s="11"/>
      <c r="F170" s="11"/>
      <c r="G170" s="11"/>
      <c r="H170" s="11"/>
    </row>
    <row r="171" spans="1:8" x14ac:dyDescent="0.25">
      <c r="A171" s="21"/>
      <c r="B171" s="23" t="s">
        <v>98</v>
      </c>
      <c r="C171" s="24"/>
      <c r="D171" s="25">
        <v>0</v>
      </c>
      <c r="E171" s="11"/>
      <c r="F171" s="11"/>
      <c r="G171" s="11"/>
      <c r="H171" s="11"/>
    </row>
    <row r="172" spans="1:8" x14ac:dyDescent="0.25">
      <c r="A172" s="21"/>
      <c r="B172" s="23" t="s">
        <v>271</v>
      </c>
      <c r="C172" s="24"/>
      <c r="D172" s="25">
        <v>31.970000000000006</v>
      </c>
      <c r="E172" s="11"/>
      <c r="F172" s="11"/>
      <c r="G172" s="11"/>
      <c r="H172" s="11"/>
    </row>
    <row r="173" spans="1:8" x14ac:dyDescent="0.25">
      <c r="A173" s="21"/>
      <c r="B173" s="23" t="s">
        <v>252</v>
      </c>
      <c r="C173" s="24"/>
      <c r="D173" s="25">
        <v>1.75</v>
      </c>
      <c r="E173" s="11"/>
      <c r="F173" s="11"/>
      <c r="G173" s="11"/>
      <c r="H173" s="11"/>
    </row>
    <row r="174" spans="1:8" x14ac:dyDescent="0.25">
      <c r="A174" s="21"/>
      <c r="B174" s="23" t="s">
        <v>272</v>
      </c>
      <c r="C174" s="24"/>
      <c r="D174" s="25">
        <v>12.570000000000002</v>
      </c>
      <c r="E174" s="11"/>
      <c r="F174" s="11"/>
      <c r="G174" s="11"/>
      <c r="H174" s="11"/>
    </row>
    <row r="175" spans="1:8" x14ac:dyDescent="0.25">
      <c r="A175" s="21"/>
      <c r="B175" s="23" t="s">
        <v>273</v>
      </c>
      <c r="C175" s="24"/>
      <c r="D175" s="25">
        <v>11.610000000000003</v>
      </c>
      <c r="E175" s="11"/>
      <c r="F175" s="11"/>
      <c r="G175" s="11"/>
      <c r="H175" s="11"/>
    </row>
    <row r="176" spans="1:8" x14ac:dyDescent="0.25">
      <c r="A176" s="21"/>
      <c r="B176" s="23" t="s">
        <v>274</v>
      </c>
      <c r="C176" s="24"/>
      <c r="D176" s="25">
        <v>6.15</v>
      </c>
      <c r="E176" s="11"/>
      <c r="F176" s="11"/>
      <c r="G176" s="11"/>
      <c r="H176" s="11"/>
    </row>
    <row r="177" spans="1:8" x14ac:dyDescent="0.25">
      <c r="A177" s="26"/>
      <c r="B177" s="26"/>
      <c r="C177" s="26"/>
      <c r="D177" s="26"/>
      <c r="E177" s="26"/>
      <c r="F177" s="26"/>
      <c r="G177" s="26"/>
      <c r="H177" s="26"/>
    </row>
    <row r="178" spans="1:8" x14ac:dyDescent="0.25">
      <c r="A178" s="26"/>
      <c r="B178" s="8" t="s">
        <v>275</v>
      </c>
      <c r="C178" s="26"/>
      <c r="D178" s="26"/>
      <c r="E178" s="26"/>
      <c r="F178" s="26"/>
      <c r="G178" s="26"/>
      <c r="H178" s="26"/>
    </row>
    <row r="179" spans="1:8" x14ac:dyDescent="0.25">
      <c r="A179" s="11"/>
      <c r="B179" s="11" t="s">
        <v>276</v>
      </c>
      <c r="C179" s="11"/>
      <c r="D179" s="11"/>
      <c r="E179" s="11"/>
      <c r="F179" s="11"/>
      <c r="G179" s="11"/>
      <c r="H179" s="26"/>
    </row>
    <row r="180" spans="1:8" x14ac:dyDescent="0.25">
      <c r="A180" s="11"/>
      <c r="B180" s="27" t="s">
        <v>277</v>
      </c>
      <c r="C180" s="28" t="s">
        <v>278</v>
      </c>
      <c r="D180" s="27" t="s">
        <v>279</v>
      </c>
      <c r="E180" s="11"/>
      <c r="F180" s="11"/>
      <c r="G180" s="11"/>
      <c r="H180" s="26"/>
    </row>
    <row r="181" spans="1:8" x14ac:dyDescent="0.25">
      <c r="A181" s="11"/>
      <c r="B181" s="8" t="s">
        <v>280</v>
      </c>
      <c r="C181" s="29">
        <v>11.952999999999999</v>
      </c>
      <c r="D181" s="29">
        <v>12.05</v>
      </c>
      <c r="E181" s="11"/>
      <c r="F181" s="11"/>
      <c r="G181" s="11"/>
      <c r="H181" s="26"/>
    </row>
    <row r="182" spans="1:8" x14ac:dyDescent="0.25">
      <c r="A182" s="11"/>
      <c r="B182" s="8" t="s">
        <v>281</v>
      </c>
      <c r="C182" s="29">
        <v>13.786</v>
      </c>
      <c r="D182" s="29">
        <v>13.888</v>
      </c>
      <c r="E182" s="11"/>
      <c r="F182" s="11"/>
      <c r="G182" s="11"/>
      <c r="H182" s="26"/>
    </row>
    <row r="183" spans="1:8" x14ac:dyDescent="0.25">
      <c r="A183" s="11"/>
      <c r="B183" s="8" t="s">
        <v>282</v>
      </c>
      <c r="C183" s="29">
        <v>54.216999999999999</v>
      </c>
      <c r="D183" s="29">
        <v>54.658999999999999</v>
      </c>
      <c r="E183" s="11"/>
      <c r="F183" s="11"/>
      <c r="G183" s="11"/>
      <c r="H183" s="26"/>
    </row>
    <row r="184" spans="1:8" x14ac:dyDescent="0.25">
      <c r="A184" s="11"/>
      <c r="B184" s="8" t="s">
        <v>283</v>
      </c>
      <c r="C184" s="29">
        <v>59.718000000000004</v>
      </c>
      <c r="D184" s="29">
        <v>60.158000000000001</v>
      </c>
      <c r="E184" s="11"/>
      <c r="F184" s="11"/>
      <c r="G184" s="11"/>
      <c r="H184" s="26"/>
    </row>
    <row r="185" spans="1:8" x14ac:dyDescent="0.25">
      <c r="A185" s="11"/>
      <c r="B185" s="8" t="s">
        <v>21</v>
      </c>
      <c r="C185" s="11"/>
      <c r="D185" s="11"/>
      <c r="E185" s="11"/>
      <c r="F185" s="11"/>
      <c r="G185" s="11"/>
      <c r="H185" s="26"/>
    </row>
    <row r="186" spans="1:8" x14ac:dyDescent="0.25">
      <c r="A186" s="11"/>
      <c r="B186" s="11"/>
      <c r="C186" s="11"/>
      <c r="D186" s="11"/>
      <c r="E186" s="11"/>
      <c r="F186" s="11"/>
      <c r="G186" s="11"/>
      <c r="H186" s="26"/>
    </row>
    <row r="187" spans="1:8" x14ac:dyDescent="0.25">
      <c r="A187" s="11"/>
      <c r="B187" s="11" t="s">
        <v>284</v>
      </c>
      <c r="C187" s="11"/>
      <c r="D187" s="11"/>
      <c r="E187" s="11"/>
      <c r="F187" s="11"/>
      <c r="G187" s="11"/>
      <c r="H187" s="26"/>
    </row>
    <row r="188" spans="1:8" x14ac:dyDescent="0.25">
      <c r="A188" s="11"/>
      <c r="B188" s="11"/>
      <c r="C188" s="11"/>
      <c r="D188" s="11"/>
      <c r="E188" s="11"/>
      <c r="F188" s="11"/>
      <c r="G188" s="11"/>
      <c r="H188" s="26"/>
    </row>
    <row r="189" spans="1:8" x14ac:dyDescent="0.25">
      <c r="A189" s="11"/>
      <c r="B189" s="11" t="s">
        <v>285</v>
      </c>
      <c r="C189" s="11"/>
      <c r="D189" s="11"/>
      <c r="E189" s="11"/>
      <c r="F189" s="11"/>
      <c r="G189" s="11"/>
      <c r="H189" s="26"/>
    </row>
    <row r="190" spans="1:8" x14ac:dyDescent="0.25">
      <c r="A190" s="26"/>
      <c r="B190" s="26"/>
      <c r="C190" s="26"/>
      <c r="D190" s="26"/>
      <c r="E190" s="26"/>
      <c r="F190" s="26"/>
      <c r="G190" s="26"/>
      <c r="H190" s="26"/>
    </row>
    <row r="191" spans="1:8" x14ac:dyDescent="0.25">
      <c r="A191" s="11"/>
      <c r="B191" s="11" t="s">
        <v>286</v>
      </c>
      <c r="C191" s="11"/>
      <c r="D191" s="11"/>
      <c r="E191" s="11"/>
      <c r="F191" s="11"/>
      <c r="G191" s="11"/>
      <c r="H191" s="11"/>
    </row>
    <row r="192" spans="1:8" x14ac:dyDescent="0.25">
      <c r="A192" s="11"/>
      <c r="B192" s="11" t="s">
        <v>287</v>
      </c>
      <c r="C192" s="11"/>
      <c r="D192" s="11"/>
      <c r="E192" s="11"/>
      <c r="F192" s="11"/>
      <c r="G192" s="11"/>
      <c r="H192" s="26"/>
    </row>
    <row r="193" spans="1:8" x14ac:dyDescent="0.25">
      <c r="A193" s="11"/>
      <c r="B193" s="11" t="s">
        <v>288</v>
      </c>
      <c r="C193" s="11"/>
      <c r="D193" s="11"/>
      <c r="E193" s="11"/>
      <c r="F193" s="11"/>
      <c r="G193" s="11"/>
      <c r="H193" s="26"/>
    </row>
    <row r="194" spans="1:8" x14ac:dyDescent="0.25">
      <c r="A194" s="11"/>
      <c r="B194" s="11" t="s">
        <v>289</v>
      </c>
      <c r="C194" s="11"/>
      <c r="D194" s="11"/>
      <c r="E194" s="11"/>
      <c r="F194" s="11"/>
      <c r="G194" s="11"/>
      <c r="H194" s="26"/>
    </row>
    <row r="195" spans="1:8" x14ac:dyDescent="0.25">
      <c r="A195" s="11"/>
      <c r="B195" s="11" t="s">
        <v>290</v>
      </c>
      <c r="C195" s="11"/>
      <c r="D195" s="11"/>
      <c r="E195" s="11"/>
      <c r="F195" s="11"/>
      <c r="G195" s="11"/>
      <c r="H195" s="26"/>
    </row>
    <row r="196" spans="1:8" x14ac:dyDescent="0.25">
      <c r="A196" s="11"/>
      <c r="B196" s="11" t="s">
        <v>291</v>
      </c>
      <c r="C196" s="11"/>
      <c r="D196" s="11"/>
      <c r="E196" s="11"/>
      <c r="F196" s="11"/>
      <c r="G196" s="11"/>
      <c r="H196" s="26"/>
    </row>
    <row r="197" spans="1:8" x14ac:dyDescent="0.25">
      <c r="A197" s="11"/>
      <c r="B197" s="11" t="s">
        <v>292</v>
      </c>
      <c r="C197" s="11"/>
      <c r="D197" s="11"/>
      <c r="E197" s="11"/>
      <c r="F197" s="11"/>
      <c r="G197" s="11"/>
      <c r="H197" s="26"/>
    </row>
    <row r="198" spans="1:8" x14ac:dyDescent="0.25">
      <c r="A198" s="11"/>
      <c r="B198" s="11" t="s">
        <v>293</v>
      </c>
      <c r="C198" s="11"/>
      <c r="D198" s="11"/>
      <c r="E198" s="11"/>
      <c r="F198" s="11"/>
      <c r="G198" s="11"/>
      <c r="H198" s="26"/>
    </row>
    <row r="199" spans="1:8" x14ac:dyDescent="0.25">
      <c r="A199" s="11"/>
      <c r="B199" s="11" t="s">
        <v>294</v>
      </c>
      <c r="C199" s="11"/>
      <c r="D199" s="11"/>
      <c r="E199" s="11"/>
      <c r="F199" s="11"/>
      <c r="G199" s="11"/>
      <c r="H199" s="26"/>
    </row>
    <row r="200" spans="1:8" x14ac:dyDescent="0.25">
      <c r="A200" s="11"/>
      <c r="B200" s="11" t="s">
        <v>295</v>
      </c>
      <c r="C200" s="11"/>
      <c r="D200" s="11"/>
      <c r="E200" s="11"/>
      <c r="F200" s="11"/>
      <c r="G200" s="11"/>
      <c r="H200" s="26"/>
    </row>
    <row r="201" spans="1:8" x14ac:dyDescent="0.25">
      <c r="A201" s="11"/>
      <c r="B201" s="11" t="s">
        <v>296</v>
      </c>
      <c r="C201" s="11"/>
      <c r="D201" s="11"/>
      <c r="E201" s="11"/>
      <c r="F201" s="11"/>
      <c r="G201" s="11"/>
      <c r="H201" s="26"/>
    </row>
    <row r="203" spans="1:8" x14ac:dyDescent="0.25">
      <c r="B203" s="30" t="s">
        <v>297</v>
      </c>
    </row>
    <row r="219" spans="2:2" x14ac:dyDescent="0.25">
      <c r="B219" s="30" t="s">
        <v>298</v>
      </c>
    </row>
  </sheetData>
  <mergeCells count="11">
    <mergeCell ref="B135:F135"/>
    <mergeCell ref="A1:J1"/>
    <mergeCell ref="A2:J2"/>
    <mergeCell ref="B132:F132"/>
    <mergeCell ref="B133:F133"/>
    <mergeCell ref="B134:F134"/>
    <mergeCell ref="B136:F136"/>
    <mergeCell ref="B137:F137"/>
    <mergeCell ref="B138:F138"/>
    <mergeCell ref="B139:F139"/>
    <mergeCell ref="B140:F1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8"/>
  <sheetViews>
    <sheetView workbookViewId="0"/>
  </sheetViews>
  <sheetFormatPr defaultRowHeight="12.75" x14ac:dyDescent="0.2"/>
  <cols>
    <col min="1" max="1" width="99.28515625" style="36" bestFit="1" customWidth="1"/>
    <col min="2" max="2" width="39.140625" style="36" bestFit="1" customWidth="1"/>
    <col min="3" max="3" width="42.140625" style="36" bestFit="1" customWidth="1"/>
    <col min="4" max="4" width="15.7109375" style="36" bestFit="1" customWidth="1"/>
    <col min="5" max="5" width="17.28515625" style="36" bestFit="1" customWidth="1"/>
    <col min="6" max="6" width="17.5703125" style="36" bestFit="1" customWidth="1"/>
    <col min="7" max="7" width="16" style="36" bestFit="1" customWidth="1"/>
    <col min="8" max="8" width="10.7109375" style="36" bestFit="1" customWidth="1"/>
    <col min="9" max="9" width="10.5703125" style="36" bestFit="1" customWidth="1"/>
    <col min="10" max="10" width="10.7109375" style="36" hidden="1" customWidth="1"/>
    <col min="11" max="11" width="11.7109375" style="36" hidden="1" customWidth="1"/>
    <col min="12" max="12" width="11.7109375" style="36" bestFit="1" customWidth="1"/>
    <col min="13" max="13" width="9.28515625" style="38" bestFit="1" customWidth="1"/>
    <col min="14" max="249" width="9.140625" style="36"/>
    <col min="250" max="250" width="46.5703125" style="36" customWidth="1"/>
    <col min="251" max="251" width="32.42578125" style="36" customWidth="1"/>
    <col min="252" max="252" width="22.7109375" style="36" customWidth="1"/>
    <col min="253" max="253" width="15.85546875" style="36" customWidth="1"/>
    <col min="254" max="254" width="16.140625" style="36" customWidth="1"/>
    <col min="255" max="255" width="13.7109375" style="36" customWidth="1"/>
    <col min="256" max="263" width="0" style="36" hidden="1" customWidth="1"/>
    <col min="264" max="264" width="10.7109375" style="36" customWidth="1"/>
    <col min="265" max="505" width="9.140625" style="36"/>
    <col min="506" max="506" width="46.5703125" style="36" customWidth="1"/>
    <col min="507" max="507" width="32.42578125" style="36" customWidth="1"/>
    <col min="508" max="508" width="22.7109375" style="36" customWidth="1"/>
    <col min="509" max="509" width="15.85546875" style="36" customWidth="1"/>
    <col min="510" max="510" width="16.140625" style="36" customWidth="1"/>
    <col min="511" max="511" width="13.7109375" style="36" customWidth="1"/>
    <col min="512" max="519" width="0" style="36" hidden="1" customWidth="1"/>
    <col min="520" max="520" width="10.7109375" style="36" customWidth="1"/>
    <col min="521" max="761" width="9.140625" style="36"/>
    <col min="762" max="762" width="46.5703125" style="36" customWidth="1"/>
    <col min="763" max="763" width="32.42578125" style="36" customWidth="1"/>
    <col min="764" max="764" width="22.7109375" style="36" customWidth="1"/>
    <col min="765" max="765" width="15.85546875" style="36" customWidth="1"/>
    <col min="766" max="766" width="16.140625" style="36" customWidth="1"/>
    <col min="767" max="767" width="13.7109375" style="36" customWidth="1"/>
    <col min="768" max="775" width="0" style="36" hidden="1" customWidth="1"/>
    <col min="776" max="776" width="10.7109375" style="36" customWidth="1"/>
    <col min="777" max="1017" width="9.140625" style="36"/>
    <col min="1018" max="1018" width="46.5703125" style="36" customWidth="1"/>
    <col min="1019" max="1019" width="32.42578125" style="36" customWidth="1"/>
    <col min="1020" max="1020" width="22.7109375" style="36" customWidth="1"/>
    <col min="1021" max="1021" width="15.85546875" style="36" customWidth="1"/>
    <col min="1022" max="1022" width="16.140625" style="36" customWidth="1"/>
    <col min="1023" max="1023" width="13.7109375" style="36" customWidth="1"/>
    <col min="1024" max="1031" width="0" style="36" hidden="1" customWidth="1"/>
    <col min="1032" max="1032" width="10.7109375" style="36" customWidth="1"/>
    <col min="1033" max="1273" width="9.140625" style="36"/>
    <col min="1274" max="1274" width="46.5703125" style="36" customWidth="1"/>
    <col min="1275" max="1275" width="32.42578125" style="36" customWidth="1"/>
    <col min="1276" max="1276" width="22.7109375" style="36" customWidth="1"/>
    <col min="1277" max="1277" width="15.85546875" style="36" customWidth="1"/>
    <col min="1278" max="1278" width="16.140625" style="36" customWidth="1"/>
    <col min="1279" max="1279" width="13.7109375" style="36" customWidth="1"/>
    <col min="1280" max="1287" width="0" style="36" hidden="1" customWidth="1"/>
    <col min="1288" max="1288" width="10.7109375" style="36" customWidth="1"/>
    <col min="1289" max="1529" width="9.140625" style="36"/>
    <col min="1530" max="1530" width="46.5703125" style="36" customWidth="1"/>
    <col min="1531" max="1531" width="32.42578125" style="36" customWidth="1"/>
    <col min="1532" max="1532" width="22.7109375" style="36" customWidth="1"/>
    <col min="1533" max="1533" width="15.85546875" style="36" customWidth="1"/>
    <col min="1534" max="1534" width="16.140625" style="36" customWidth="1"/>
    <col min="1535" max="1535" width="13.7109375" style="36" customWidth="1"/>
    <col min="1536" max="1543" width="0" style="36" hidden="1" customWidth="1"/>
    <col min="1544" max="1544" width="10.7109375" style="36" customWidth="1"/>
    <col min="1545" max="1785" width="9.140625" style="36"/>
    <col min="1786" max="1786" width="46.5703125" style="36" customWidth="1"/>
    <col min="1787" max="1787" width="32.42578125" style="36" customWidth="1"/>
    <col min="1788" max="1788" width="22.7109375" style="36" customWidth="1"/>
    <col min="1789" max="1789" width="15.85546875" style="36" customWidth="1"/>
    <col min="1790" max="1790" width="16.140625" style="36" customWidth="1"/>
    <col min="1791" max="1791" width="13.7109375" style="36" customWidth="1"/>
    <col min="1792" max="1799" width="0" style="36" hidden="1" customWidth="1"/>
    <col min="1800" max="1800" width="10.7109375" style="36" customWidth="1"/>
    <col min="1801" max="2041" width="9.140625" style="36"/>
    <col min="2042" max="2042" width="46.5703125" style="36" customWidth="1"/>
    <col min="2043" max="2043" width="32.42578125" style="36" customWidth="1"/>
    <col min="2044" max="2044" width="22.7109375" style="36" customWidth="1"/>
    <col min="2045" max="2045" width="15.85546875" style="36" customWidth="1"/>
    <col min="2046" max="2046" width="16.140625" style="36" customWidth="1"/>
    <col min="2047" max="2047" width="13.7109375" style="36" customWidth="1"/>
    <col min="2048" max="2055" width="0" style="36" hidden="1" customWidth="1"/>
    <col min="2056" max="2056" width="10.7109375" style="36" customWidth="1"/>
    <col min="2057" max="2297" width="9.140625" style="36"/>
    <col min="2298" max="2298" width="46.5703125" style="36" customWidth="1"/>
    <col min="2299" max="2299" width="32.42578125" style="36" customWidth="1"/>
    <col min="2300" max="2300" width="22.7109375" style="36" customWidth="1"/>
    <col min="2301" max="2301" width="15.85546875" style="36" customWidth="1"/>
    <col min="2302" max="2302" width="16.140625" style="36" customWidth="1"/>
    <col min="2303" max="2303" width="13.7109375" style="36" customWidth="1"/>
    <col min="2304" max="2311" width="0" style="36" hidden="1" customWidth="1"/>
    <col min="2312" max="2312" width="10.7109375" style="36" customWidth="1"/>
    <col min="2313" max="2553" width="9.140625" style="36"/>
    <col min="2554" max="2554" width="46.5703125" style="36" customWidth="1"/>
    <col min="2555" max="2555" width="32.42578125" style="36" customWidth="1"/>
    <col min="2556" max="2556" width="22.7109375" style="36" customWidth="1"/>
    <col min="2557" max="2557" width="15.85546875" style="36" customWidth="1"/>
    <col min="2558" max="2558" width="16.140625" style="36" customWidth="1"/>
    <col min="2559" max="2559" width="13.7109375" style="36" customWidth="1"/>
    <col min="2560" max="2567" width="0" style="36" hidden="1" customWidth="1"/>
    <col min="2568" max="2568" width="10.7109375" style="36" customWidth="1"/>
    <col min="2569" max="2809" width="9.140625" style="36"/>
    <col min="2810" max="2810" width="46.5703125" style="36" customWidth="1"/>
    <col min="2811" max="2811" width="32.42578125" style="36" customWidth="1"/>
    <col min="2812" max="2812" width="22.7109375" style="36" customWidth="1"/>
    <col min="2813" max="2813" width="15.85546875" style="36" customWidth="1"/>
    <col min="2814" max="2814" width="16.140625" style="36" customWidth="1"/>
    <col min="2815" max="2815" width="13.7109375" style="36" customWidth="1"/>
    <col min="2816" max="2823" width="0" style="36" hidden="1" customWidth="1"/>
    <col min="2824" max="2824" width="10.7109375" style="36" customWidth="1"/>
    <col min="2825" max="3065" width="9.140625" style="36"/>
    <col min="3066" max="3066" width="46.5703125" style="36" customWidth="1"/>
    <col min="3067" max="3067" width="32.42578125" style="36" customWidth="1"/>
    <col min="3068" max="3068" width="22.7109375" style="36" customWidth="1"/>
    <col min="3069" max="3069" width="15.85546875" style="36" customWidth="1"/>
    <col min="3070" max="3070" width="16.140625" style="36" customWidth="1"/>
    <col min="3071" max="3071" width="13.7109375" style="36" customWidth="1"/>
    <col min="3072" max="3079" width="0" style="36" hidden="1" customWidth="1"/>
    <col min="3080" max="3080" width="10.7109375" style="36" customWidth="1"/>
    <col min="3081" max="3321" width="9.140625" style="36"/>
    <col min="3322" max="3322" width="46.5703125" style="36" customWidth="1"/>
    <col min="3323" max="3323" width="32.42578125" style="36" customWidth="1"/>
    <col min="3324" max="3324" width="22.7109375" style="36" customWidth="1"/>
    <col min="3325" max="3325" width="15.85546875" style="36" customWidth="1"/>
    <col min="3326" max="3326" width="16.140625" style="36" customWidth="1"/>
    <col min="3327" max="3327" width="13.7109375" style="36" customWidth="1"/>
    <col min="3328" max="3335" width="0" style="36" hidden="1" customWidth="1"/>
    <col min="3336" max="3336" width="10.7109375" style="36" customWidth="1"/>
    <col min="3337" max="3577" width="9.140625" style="36"/>
    <col min="3578" max="3578" width="46.5703125" style="36" customWidth="1"/>
    <col min="3579" max="3579" width="32.42578125" style="36" customWidth="1"/>
    <col min="3580" max="3580" width="22.7109375" style="36" customWidth="1"/>
    <col min="3581" max="3581" width="15.85546875" style="36" customWidth="1"/>
    <col min="3582" max="3582" width="16.140625" style="36" customWidth="1"/>
    <col min="3583" max="3583" width="13.7109375" style="36" customWidth="1"/>
    <col min="3584" max="3591" width="0" style="36" hidden="1" customWidth="1"/>
    <col min="3592" max="3592" width="10.7109375" style="36" customWidth="1"/>
    <col min="3593" max="3833" width="9.140625" style="36"/>
    <col min="3834" max="3834" width="46.5703125" style="36" customWidth="1"/>
    <col min="3835" max="3835" width="32.42578125" style="36" customWidth="1"/>
    <col min="3836" max="3836" width="22.7109375" style="36" customWidth="1"/>
    <col min="3837" max="3837" width="15.85546875" style="36" customWidth="1"/>
    <col min="3838" max="3838" width="16.140625" style="36" customWidth="1"/>
    <col min="3839" max="3839" width="13.7109375" style="36" customWidth="1"/>
    <col min="3840" max="3847" width="0" style="36" hidden="1" customWidth="1"/>
    <col min="3848" max="3848" width="10.7109375" style="36" customWidth="1"/>
    <col min="3849" max="4089" width="9.140625" style="36"/>
    <col min="4090" max="4090" width="46.5703125" style="36" customWidth="1"/>
    <col min="4091" max="4091" width="32.42578125" style="36" customWidth="1"/>
    <col min="4092" max="4092" width="22.7109375" style="36" customWidth="1"/>
    <col min="4093" max="4093" width="15.85546875" style="36" customWidth="1"/>
    <col min="4094" max="4094" width="16.140625" style="36" customWidth="1"/>
    <col min="4095" max="4095" width="13.7109375" style="36" customWidth="1"/>
    <col min="4096" max="4103" width="0" style="36" hidden="1" customWidth="1"/>
    <col min="4104" max="4104" width="10.7109375" style="36" customWidth="1"/>
    <col min="4105" max="4345" width="9.140625" style="36"/>
    <col min="4346" max="4346" width="46.5703125" style="36" customWidth="1"/>
    <col min="4347" max="4347" width="32.42578125" style="36" customWidth="1"/>
    <col min="4348" max="4348" width="22.7109375" style="36" customWidth="1"/>
    <col min="4349" max="4349" width="15.85546875" style="36" customWidth="1"/>
    <col min="4350" max="4350" width="16.140625" style="36" customWidth="1"/>
    <col min="4351" max="4351" width="13.7109375" style="36" customWidth="1"/>
    <col min="4352" max="4359" width="0" style="36" hidden="1" customWidth="1"/>
    <col min="4360" max="4360" width="10.7109375" style="36" customWidth="1"/>
    <col min="4361" max="4601" width="9.140625" style="36"/>
    <col min="4602" max="4602" width="46.5703125" style="36" customWidth="1"/>
    <col min="4603" max="4603" width="32.42578125" style="36" customWidth="1"/>
    <col min="4604" max="4604" width="22.7109375" style="36" customWidth="1"/>
    <col min="4605" max="4605" width="15.85546875" style="36" customWidth="1"/>
    <col min="4606" max="4606" width="16.140625" style="36" customWidth="1"/>
    <col min="4607" max="4607" width="13.7109375" style="36" customWidth="1"/>
    <col min="4608" max="4615" width="0" style="36" hidden="1" customWidth="1"/>
    <col min="4616" max="4616" width="10.7109375" style="36" customWidth="1"/>
    <col min="4617" max="4857" width="9.140625" style="36"/>
    <col min="4858" max="4858" width="46.5703125" style="36" customWidth="1"/>
    <col min="4859" max="4859" width="32.42578125" style="36" customWidth="1"/>
    <col min="4860" max="4860" width="22.7109375" style="36" customWidth="1"/>
    <col min="4861" max="4861" width="15.85546875" style="36" customWidth="1"/>
    <col min="4862" max="4862" width="16.140625" style="36" customWidth="1"/>
    <col min="4863" max="4863" width="13.7109375" style="36" customWidth="1"/>
    <col min="4864" max="4871" width="0" style="36" hidden="1" customWidth="1"/>
    <col min="4872" max="4872" width="10.7109375" style="36" customWidth="1"/>
    <col min="4873" max="5113" width="9.140625" style="36"/>
    <col min="5114" max="5114" width="46.5703125" style="36" customWidth="1"/>
    <col min="5115" max="5115" width="32.42578125" style="36" customWidth="1"/>
    <col min="5116" max="5116" width="22.7109375" style="36" customWidth="1"/>
    <col min="5117" max="5117" width="15.85546875" style="36" customWidth="1"/>
    <col min="5118" max="5118" width="16.140625" style="36" customWidth="1"/>
    <col min="5119" max="5119" width="13.7109375" style="36" customWidth="1"/>
    <col min="5120" max="5127" width="0" style="36" hidden="1" customWidth="1"/>
    <col min="5128" max="5128" width="10.7109375" style="36" customWidth="1"/>
    <col min="5129" max="5369" width="9.140625" style="36"/>
    <col min="5370" max="5370" width="46.5703125" style="36" customWidth="1"/>
    <col min="5371" max="5371" width="32.42578125" style="36" customWidth="1"/>
    <col min="5372" max="5372" width="22.7109375" style="36" customWidth="1"/>
    <col min="5373" max="5373" width="15.85546875" style="36" customWidth="1"/>
    <col min="5374" max="5374" width="16.140625" style="36" customWidth="1"/>
    <col min="5375" max="5375" width="13.7109375" style="36" customWidth="1"/>
    <col min="5376" max="5383" width="0" style="36" hidden="1" customWidth="1"/>
    <col min="5384" max="5384" width="10.7109375" style="36" customWidth="1"/>
    <col min="5385" max="5625" width="9.140625" style="36"/>
    <col min="5626" max="5626" width="46.5703125" style="36" customWidth="1"/>
    <col min="5627" max="5627" width="32.42578125" style="36" customWidth="1"/>
    <col min="5628" max="5628" width="22.7109375" style="36" customWidth="1"/>
    <col min="5629" max="5629" width="15.85546875" style="36" customWidth="1"/>
    <col min="5630" max="5630" width="16.140625" style="36" customWidth="1"/>
    <col min="5631" max="5631" width="13.7109375" style="36" customWidth="1"/>
    <col min="5632" max="5639" width="0" style="36" hidden="1" customWidth="1"/>
    <col min="5640" max="5640" width="10.7109375" style="36" customWidth="1"/>
    <col min="5641" max="5881" width="9.140625" style="36"/>
    <col min="5882" max="5882" width="46.5703125" style="36" customWidth="1"/>
    <col min="5883" max="5883" width="32.42578125" style="36" customWidth="1"/>
    <col min="5884" max="5884" width="22.7109375" style="36" customWidth="1"/>
    <col min="5885" max="5885" width="15.85546875" style="36" customWidth="1"/>
    <col min="5886" max="5886" width="16.140625" style="36" customWidth="1"/>
    <col min="5887" max="5887" width="13.7109375" style="36" customWidth="1"/>
    <col min="5888" max="5895" width="0" style="36" hidden="1" customWidth="1"/>
    <col min="5896" max="5896" width="10.7109375" style="36" customWidth="1"/>
    <col min="5897" max="6137" width="9.140625" style="36"/>
    <col min="6138" max="6138" width="46.5703125" style="36" customWidth="1"/>
    <col min="6139" max="6139" width="32.42578125" style="36" customWidth="1"/>
    <col min="6140" max="6140" width="22.7109375" style="36" customWidth="1"/>
    <col min="6141" max="6141" width="15.85546875" style="36" customWidth="1"/>
    <col min="6142" max="6142" width="16.140625" style="36" customWidth="1"/>
    <col min="6143" max="6143" width="13.7109375" style="36" customWidth="1"/>
    <col min="6144" max="6151" width="0" style="36" hidden="1" customWidth="1"/>
    <col min="6152" max="6152" width="10.7109375" style="36" customWidth="1"/>
    <col min="6153" max="6393" width="9.140625" style="36"/>
    <col min="6394" max="6394" width="46.5703125" style="36" customWidth="1"/>
    <col min="6395" max="6395" width="32.42578125" style="36" customWidth="1"/>
    <col min="6396" max="6396" width="22.7109375" style="36" customWidth="1"/>
    <col min="6397" max="6397" width="15.85546875" style="36" customWidth="1"/>
    <col min="6398" max="6398" width="16.140625" style="36" customWidth="1"/>
    <col min="6399" max="6399" width="13.7109375" style="36" customWidth="1"/>
    <col min="6400" max="6407" width="0" style="36" hidden="1" customWidth="1"/>
    <col min="6408" max="6408" width="10.7109375" style="36" customWidth="1"/>
    <col min="6409" max="6649" width="9.140625" style="36"/>
    <col min="6650" max="6650" width="46.5703125" style="36" customWidth="1"/>
    <col min="6651" max="6651" width="32.42578125" style="36" customWidth="1"/>
    <col min="6652" max="6652" width="22.7109375" style="36" customWidth="1"/>
    <col min="6653" max="6653" width="15.85546875" style="36" customWidth="1"/>
    <col min="6654" max="6654" width="16.140625" style="36" customWidth="1"/>
    <col min="6655" max="6655" width="13.7109375" style="36" customWidth="1"/>
    <col min="6656" max="6663" width="0" style="36" hidden="1" customWidth="1"/>
    <col min="6664" max="6664" width="10.7109375" style="36" customWidth="1"/>
    <col min="6665" max="6905" width="9.140625" style="36"/>
    <col min="6906" max="6906" width="46.5703125" style="36" customWidth="1"/>
    <col min="6907" max="6907" width="32.42578125" style="36" customWidth="1"/>
    <col min="6908" max="6908" width="22.7109375" style="36" customWidth="1"/>
    <col min="6909" max="6909" width="15.85546875" style="36" customWidth="1"/>
    <col min="6910" max="6910" width="16.140625" style="36" customWidth="1"/>
    <col min="6911" max="6911" width="13.7109375" style="36" customWidth="1"/>
    <col min="6912" max="6919" width="0" style="36" hidden="1" customWidth="1"/>
    <col min="6920" max="6920" width="10.7109375" style="36" customWidth="1"/>
    <col min="6921" max="7161" width="9.140625" style="36"/>
    <col min="7162" max="7162" width="46.5703125" style="36" customWidth="1"/>
    <col min="7163" max="7163" width="32.42578125" style="36" customWidth="1"/>
    <col min="7164" max="7164" width="22.7109375" style="36" customWidth="1"/>
    <col min="7165" max="7165" width="15.85546875" style="36" customWidth="1"/>
    <col min="7166" max="7166" width="16.140625" style="36" customWidth="1"/>
    <col min="7167" max="7167" width="13.7109375" style="36" customWidth="1"/>
    <col min="7168" max="7175" width="0" style="36" hidden="1" customWidth="1"/>
    <col min="7176" max="7176" width="10.7109375" style="36" customWidth="1"/>
    <col min="7177" max="7417" width="9.140625" style="36"/>
    <col min="7418" max="7418" width="46.5703125" style="36" customWidth="1"/>
    <col min="7419" max="7419" width="32.42578125" style="36" customWidth="1"/>
    <col min="7420" max="7420" width="22.7109375" style="36" customWidth="1"/>
    <col min="7421" max="7421" width="15.85546875" style="36" customWidth="1"/>
    <col min="7422" max="7422" width="16.140625" style="36" customWidth="1"/>
    <col min="7423" max="7423" width="13.7109375" style="36" customWidth="1"/>
    <col min="7424" max="7431" width="0" style="36" hidden="1" customWidth="1"/>
    <col min="7432" max="7432" width="10.7109375" style="36" customWidth="1"/>
    <col min="7433" max="7673" width="9.140625" style="36"/>
    <col min="7674" max="7674" width="46.5703125" style="36" customWidth="1"/>
    <col min="7675" max="7675" width="32.42578125" style="36" customWidth="1"/>
    <col min="7676" max="7676" width="22.7109375" style="36" customWidth="1"/>
    <col min="7677" max="7677" width="15.85546875" style="36" customWidth="1"/>
    <col min="7678" max="7678" width="16.140625" style="36" customWidth="1"/>
    <col min="7679" max="7679" width="13.7109375" style="36" customWidth="1"/>
    <col min="7680" max="7687" width="0" style="36" hidden="1" customWidth="1"/>
    <col min="7688" max="7688" width="10.7109375" style="36" customWidth="1"/>
    <col min="7689" max="7929" width="9.140625" style="36"/>
    <col min="7930" max="7930" width="46.5703125" style="36" customWidth="1"/>
    <col min="7931" max="7931" width="32.42578125" style="36" customWidth="1"/>
    <col min="7932" max="7932" width="22.7109375" style="36" customWidth="1"/>
    <col min="7933" max="7933" width="15.85546875" style="36" customWidth="1"/>
    <col min="7934" max="7934" width="16.140625" style="36" customWidth="1"/>
    <col min="7935" max="7935" width="13.7109375" style="36" customWidth="1"/>
    <col min="7936" max="7943" width="0" style="36" hidden="1" customWidth="1"/>
    <col min="7944" max="7944" width="10.7109375" style="36" customWidth="1"/>
    <col min="7945" max="8185" width="9.140625" style="36"/>
    <col min="8186" max="8186" width="46.5703125" style="36" customWidth="1"/>
    <col min="8187" max="8187" width="32.42578125" style="36" customWidth="1"/>
    <col min="8188" max="8188" width="22.7109375" style="36" customWidth="1"/>
    <col min="8189" max="8189" width="15.85546875" style="36" customWidth="1"/>
    <col min="8190" max="8190" width="16.140625" style="36" customWidth="1"/>
    <col min="8191" max="8191" width="13.7109375" style="36" customWidth="1"/>
    <col min="8192" max="8199" width="0" style="36" hidden="1" customWidth="1"/>
    <col min="8200" max="8200" width="10.7109375" style="36" customWidth="1"/>
    <col min="8201" max="8441" width="9.140625" style="36"/>
    <col min="8442" max="8442" width="46.5703125" style="36" customWidth="1"/>
    <col min="8443" max="8443" width="32.42578125" style="36" customWidth="1"/>
    <col min="8444" max="8444" width="22.7109375" style="36" customWidth="1"/>
    <col min="8445" max="8445" width="15.85546875" style="36" customWidth="1"/>
    <col min="8446" max="8446" width="16.140625" style="36" customWidth="1"/>
    <col min="8447" max="8447" width="13.7109375" style="36" customWidth="1"/>
    <col min="8448" max="8455" width="0" style="36" hidden="1" customWidth="1"/>
    <col min="8456" max="8456" width="10.7109375" style="36" customWidth="1"/>
    <col min="8457" max="8697" width="9.140625" style="36"/>
    <col min="8698" max="8698" width="46.5703125" style="36" customWidth="1"/>
    <col min="8699" max="8699" width="32.42578125" style="36" customWidth="1"/>
    <col min="8700" max="8700" width="22.7109375" style="36" customWidth="1"/>
    <col min="8701" max="8701" width="15.85546875" style="36" customWidth="1"/>
    <col min="8702" max="8702" width="16.140625" style="36" customWidth="1"/>
    <col min="8703" max="8703" width="13.7109375" style="36" customWidth="1"/>
    <col min="8704" max="8711" width="0" style="36" hidden="1" customWidth="1"/>
    <col min="8712" max="8712" width="10.7109375" style="36" customWidth="1"/>
    <col min="8713" max="8953" width="9.140625" style="36"/>
    <col min="8954" max="8954" width="46.5703125" style="36" customWidth="1"/>
    <col min="8955" max="8955" width="32.42578125" style="36" customWidth="1"/>
    <col min="8956" max="8956" width="22.7109375" style="36" customWidth="1"/>
    <col min="8957" max="8957" width="15.85546875" style="36" customWidth="1"/>
    <col min="8958" max="8958" width="16.140625" style="36" customWidth="1"/>
    <col min="8959" max="8959" width="13.7109375" style="36" customWidth="1"/>
    <col min="8960" max="8967" width="0" style="36" hidden="1" customWidth="1"/>
    <col min="8968" max="8968" width="10.7109375" style="36" customWidth="1"/>
    <col min="8969" max="9209" width="9.140625" style="36"/>
    <col min="9210" max="9210" width="46.5703125" style="36" customWidth="1"/>
    <col min="9211" max="9211" width="32.42578125" style="36" customWidth="1"/>
    <col min="9212" max="9212" width="22.7109375" style="36" customWidth="1"/>
    <col min="9213" max="9213" width="15.85546875" style="36" customWidth="1"/>
    <col min="9214" max="9214" width="16.140625" style="36" customWidth="1"/>
    <col min="9215" max="9215" width="13.7109375" style="36" customWidth="1"/>
    <col min="9216" max="9223" width="0" style="36" hidden="1" customWidth="1"/>
    <col min="9224" max="9224" width="10.7109375" style="36" customWidth="1"/>
    <col min="9225" max="9465" width="9.140625" style="36"/>
    <col min="9466" max="9466" width="46.5703125" style="36" customWidth="1"/>
    <col min="9467" max="9467" width="32.42578125" style="36" customWidth="1"/>
    <col min="9468" max="9468" width="22.7109375" style="36" customWidth="1"/>
    <col min="9469" max="9469" width="15.85546875" style="36" customWidth="1"/>
    <col min="9470" max="9470" width="16.140625" style="36" customWidth="1"/>
    <col min="9471" max="9471" width="13.7109375" style="36" customWidth="1"/>
    <col min="9472" max="9479" width="0" style="36" hidden="1" customWidth="1"/>
    <col min="9480" max="9480" width="10.7109375" style="36" customWidth="1"/>
    <col min="9481" max="9721" width="9.140625" style="36"/>
    <col min="9722" max="9722" width="46.5703125" style="36" customWidth="1"/>
    <col min="9723" max="9723" width="32.42578125" style="36" customWidth="1"/>
    <col min="9724" max="9724" width="22.7109375" style="36" customWidth="1"/>
    <col min="9725" max="9725" width="15.85546875" style="36" customWidth="1"/>
    <col min="9726" max="9726" width="16.140625" style="36" customWidth="1"/>
    <col min="9727" max="9727" width="13.7109375" style="36" customWidth="1"/>
    <col min="9728" max="9735" width="0" style="36" hidden="1" customWidth="1"/>
    <col min="9736" max="9736" width="10.7109375" style="36" customWidth="1"/>
    <col min="9737" max="9977" width="9.140625" style="36"/>
    <col min="9978" max="9978" width="46.5703125" style="36" customWidth="1"/>
    <col min="9979" max="9979" width="32.42578125" style="36" customWidth="1"/>
    <col min="9980" max="9980" width="22.7109375" style="36" customWidth="1"/>
    <col min="9981" max="9981" width="15.85546875" style="36" customWidth="1"/>
    <col min="9982" max="9982" width="16.140625" style="36" customWidth="1"/>
    <col min="9983" max="9983" width="13.7109375" style="36" customWidth="1"/>
    <col min="9984" max="9991" width="0" style="36" hidden="1" customWidth="1"/>
    <col min="9992" max="9992" width="10.7109375" style="36" customWidth="1"/>
    <col min="9993" max="10233" width="9.140625" style="36"/>
    <col min="10234" max="10234" width="46.5703125" style="36" customWidth="1"/>
    <col min="10235" max="10235" width="32.42578125" style="36" customWidth="1"/>
    <col min="10236" max="10236" width="22.7109375" style="36" customWidth="1"/>
    <col min="10237" max="10237" width="15.85546875" style="36" customWidth="1"/>
    <col min="10238" max="10238" width="16.140625" style="36" customWidth="1"/>
    <col min="10239" max="10239" width="13.7109375" style="36" customWidth="1"/>
    <col min="10240" max="10247" width="0" style="36" hidden="1" customWidth="1"/>
    <col min="10248" max="10248" width="10.7109375" style="36" customWidth="1"/>
    <col min="10249" max="10489" width="9.140625" style="36"/>
    <col min="10490" max="10490" width="46.5703125" style="36" customWidth="1"/>
    <col min="10491" max="10491" width="32.42578125" style="36" customWidth="1"/>
    <col min="10492" max="10492" width="22.7109375" style="36" customWidth="1"/>
    <col min="10493" max="10493" width="15.85546875" style="36" customWidth="1"/>
    <col min="10494" max="10494" width="16.140625" style="36" customWidth="1"/>
    <col min="10495" max="10495" width="13.7109375" style="36" customWidth="1"/>
    <col min="10496" max="10503" width="0" style="36" hidden="1" customWidth="1"/>
    <col min="10504" max="10504" width="10.7109375" style="36" customWidth="1"/>
    <col min="10505" max="10745" width="9.140625" style="36"/>
    <col min="10746" max="10746" width="46.5703125" style="36" customWidth="1"/>
    <col min="10747" max="10747" width="32.42578125" style="36" customWidth="1"/>
    <col min="10748" max="10748" width="22.7109375" style="36" customWidth="1"/>
    <col min="10749" max="10749" width="15.85546875" style="36" customWidth="1"/>
    <col min="10750" max="10750" width="16.140625" style="36" customWidth="1"/>
    <col min="10751" max="10751" width="13.7109375" style="36" customWidth="1"/>
    <col min="10752" max="10759" width="0" style="36" hidden="1" customWidth="1"/>
    <col min="10760" max="10760" width="10.7109375" style="36" customWidth="1"/>
    <col min="10761" max="11001" width="9.140625" style="36"/>
    <col min="11002" max="11002" width="46.5703125" style="36" customWidth="1"/>
    <col min="11003" max="11003" width="32.42578125" style="36" customWidth="1"/>
    <col min="11004" max="11004" width="22.7109375" style="36" customWidth="1"/>
    <col min="11005" max="11005" width="15.85546875" style="36" customWidth="1"/>
    <col min="11006" max="11006" width="16.140625" style="36" customWidth="1"/>
    <col min="11007" max="11007" width="13.7109375" style="36" customWidth="1"/>
    <col min="11008" max="11015" width="0" style="36" hidden="1" customWidth="1"/>
    <col min="11016" max="11016" width="10.7109375" style="36" customWidth="1"/>
    <col min="11017" max="11257" width="9.140625" style="36"/>
    <col min="11258" max="11258" width="46.5703125" style="36" customWidth="1"/>
    <col min="11259" max="11259" width="32.42578125" style="36" customWidth="1"/>
    <col min="11260" max="11260" width="22.7109375" style="36" customWidth="1"/>
    <col min="11261" max="11261" width="15.85546875" style="36" customWidth="1"/>
    <col min="11262" max="11262" width="16.140625" style="36" customWidth="1"/>
    <col min="11263" max="11263" width="13.7109375" style="36" customWidth="1"/>
    <col min="11264" max="11271" width="0" style="36" hidden="1" customWidth="1"/>
    <col min="11272" max="11272" width="10.7109375" style="36" customWidth="1"/>
    <col min="11273" max="11513" width="9.140625" style="36"/>
    <col min="11514" max="11514" width="46.5703125" style="36" customWidth="1"/>
    <col min="11515" max="11515" width="32.42578125" style="36" customWidth="1"/>
    <col min="11516" max="11516" width="22.7109375" style="36" customWidth="1"/>
    <col min="11517" max="11517" width="15.85546875" style="36" customWidth="1"/>
    <col min="11518" max="11518" width="16.140625" style="36" customWidth="1"/>
    <col min="11519" max="11519" width="13.7109375" style="36" customWidth="1"/>
    <col min="11520" max="11527" width="0" style="36" hidden="1" customWidth="1"/>
    <col min="11528" max="11528" width="10.7109375" style="36" customWidth="1"/>
    <col min="11529" max="11769" width="9.140625" style="36"/>
    <col min="11770" max="11770" width="46.5703125" style="36" customWidth="1"/>
    <col min="11771" max="11771" width="32.42578125" style="36" customWidth="1"/>
    <col min="11772" max="11772" width="22.7109375" style="36" customWidth="1"/>
    <col min="11773" max="11773" width="15.85546875" style="36" customWidth="1"/>
    <col min="11774" max="11774" width="16.140625" style="36" customWidth="1"/>
    <col min="11775" max="11775" width="13.7109375" style="36" customWidth="1"/>
    <col min="11776" max="11783" width="0" style="36" hidden="1" customWidth="1"/>
    <col min="11784" max="11784" width="10.7109375" style="36" customWidth="1"/>
    <col min="11785" max="12025" width="9.140625" style="36"/>
    <col min="12026" max="12026" width="46.5703125" style="36" customWidth="1"/>
    <col min="12027" max="12027" width="32.42578125" style="36" customWidth="1"/>
    <col min="12028" max="12028" width="22.7109375" style="36" customWidth="1"/>
    <col min="12029" max="12029" width="15.85546875" style="36" customWidth="1"/>
    <col min="12030" max="12030" width="16.140625" style="36" customWidth="1"/>
    <col min="12031" max="12031" width="13.7109375" style="36" customWidth="1"/>
    <col min="12032" max="12039" width="0" style="36" hidden="1" customWidth="1"/>
    <col min="12040" max="12040" width="10.7109375" style="36" customWidth="1"/>
    <col min="12041" max="12281" width="9.140625" style="36"/>
    <col min="12282" max="12282" width="46.5703125" style="36" customWidth="1"/>
    <col min="12283" max="12283" width="32.42578125" style="36" customWidth="1"/>
    <col min="12284" max="12284" width="22.7109375" style="36" customWidth="1"/>
    <col min="12285" max="12285" width="15.85546875" style="36" customWidth="1"/>
    <col min="12286" max="12286" width="16.140625" style="36" customWidth="1"/>
    <col min="12287" max="12287" width="13.7109375" style="36" customWidth="1"/>
    <col min="12288" max="12295" width="0" style="36" hidden="1" customWidth="1"/>
    <col min="12296" max="12296" width="10.7109375" style="36" customWidth="1"/>
    <col min="12297" max="12537" width="9.140625" style="36"/>
    <col min="12538" max="12538" width="46.5703125" style="36" customWidth="1"/>
    <col min="12539" max="12539" width="32.42578125" style="36" customWidth="1"/>
    <col min="12540" max="12540" width="22.7109375" style="36" customWidth="1"/>
    <col min="12541" max="12541" width="15.85546875" style="36" customWidth="1"/>
    <col min="12542" max="12542" width="16.140625" style="36" customWidth="1"/>
    <col min="12543" max="12543" width="13.7109375" style="36" customWidth="1"/>
    <col min="12544" max="12551" width="0" style="36" hidden="1" customWidth="1"/>
    <col min="12552" max="12552" width="10.7109375" style="36" customWidth="1"/>
    <col min="12553" max="12793" width="9.140625" style="36"/>
    <col min="12794" max="12794" width="46.5703125" style="36" customWidth="1"/>
    <col min="12795" max="12795" width="32.42578125" style="36" customWidth="1"/>
    <col min="12796" max="12796" width="22.7109375" style="36" customWidth="1"/>
    <col min="12797" max="12797" width="15.85546875" style="36" customWidth="1"/>
    <col min="12798" max="12798" width="16.140625" style="36" customWidth="1"/>
    <col min="12799" max="12799" width="13.7109375" style="36" customWidth="1"/>
    <col min="12800" max="12807" width="0" style="36" hidden="1" customWidth="1"/>
    <col min="12808" max="12808" width="10.7109375" style="36" customWidth="1"/>
    <col min="12809" max="13049" width="9.140625" style="36"/>
    <col min="13050" max="13050" width="46.5703125" style="36" customWidth="1"/>
    <col min="13051" max="13051" width="32.42578125" style="36" customWidth="1"/>
    <col min="13052" max="13052" width="22.7109375" style="36" customWidth="1"/>
    <col min="13053" max="13053" width="15.85546875" style="36" customWidth="1"/>
    <col min="13054" max="13054" width="16.140625" style="36" customWidth="1"/>
    <col min="13055" max="13055" width="13.7109375" style="36" customWidth="1"/>
    <col min="13056" max="13063" width="0" style="36" hidden="1" customWidth="1"/>
    <col min="13064" max="13064" width="10.7109375" style="36" customWidth="1"/>
    <col min="13065" max="13305" width="9.140625" style="36"/>
    <col min="13306" max="13306" width="46.5703125" style="36" customWidth="1"/>
    <col min="13307" max="13307" width="32.42578125" style="36" customWidth="1"/>
    <col min="13308" max="13308" width="22.7109375" style="36" customWidth="1"/>
    <col min="13309" max="13309" width="15.85546875" style="36" customWidth="1"/>
    <col min="13310" max="13310" width="16.140625" style="36" customWidth="1"/>
    <col min="13311" max="13311" width="13.7109375" style="36" customWidth="1"/>
    <col min="13312" max="13319" width="0" style="36" hidden="1" customWidth="1"/>
    <col min="13320" max="13320" width="10.7109375" style="36" customWidth="1"/>
    <col min="13321" max="13561" width="9.140625" style="36"/>
    <col min="13562" max="13562" width="46.5703125" style="36" customWidth="1"/>
    <col min="13563" max="13563" width="32.42578125" style="36" customWidth="1"/>
    <col min="13564" max="13564" width="22.7109375" style="36" customWidth="1"/>
    <col min="13565" max="13565" width="15.85546875" style="36" customWidth="1"/>
    <col min="13566" max="13566" width="16.140625" style="36" customWidth="1"/>
    <col min="13567" max="13567" width="13.7109375" style="36" customWidth="1"/>
    <col min="13568" max="13575" width="0" style="36" hidden="1" customWidth="1"/>
    <col min="13576" max="13576" width="10.7109375" style="36" customWidth="1"/>
    <col min="13577" max="13817" width="9.140625" style="36"/>
    <col min="13818" max="13818" width="46.5703125" style="36" customWidth="1"/>
    <col min="13819" max="13819" width="32.42578125" style="36" customWidth="1"/>
    <col min="13820" max="13820" width="22.7109375" style="36" customWidth="1"/>
    <col min="13821" max="13821" width="15.85546875" style="36" customWidth="1"/>
    <col min="13822" max="13822" width="16.140625" style="36" customWidth="1"/>
    <col min="13823" max="13823" width="13.7109375" style="36" customWidth="1"/>
    <col min="13824" max="13831" width="0" style="36" hidden="1" customWidth="1"/>
    <col min="13832" max="13832" width="10.7109375" style="36" customWidth="1"/>
    <col min="13833" max="14073" width="9.140625" style="36"/>
    <col min="14074" max="14074" width="46.5703125" style="36" customWidth="1"/>
    <col min="14075" max="14075" width="32.42578125" style="36" customWidth="1"/>
    <col min="14076" max="14076" width="22.7109375" style="36" customWidth="1"/>
    <col min="14077" max="14077" width="15.85546875" style="36" customWidth="1"/>
    <col min="14078" max="14078" width="16.140625" style="36" customWidth="1"/>
    <col min="14079" max="14079" width="13.7109375" style="36" customWidth="1"/>
    <col min="14080" max="14087" width="0" style="36" hidden="1" customWidth="1"/>
    <col min="14088" max="14088" width="10.7109375" style="36" customWidth="1"/>
    <col min="14089" max="14329" width="9.140625" style="36"/>
    <col min="14330" max="14330" width="46.5703125" style="36" customWidth="1"/>
    <col min="14331" max="14331" width="32.42578125" style="36" customWidth="1"/>
    <col min="14332" max="14332" width="22.7109375" style="36" customWidth="1"/>
    <col min="14333" max="14333" width="15.85546875" style="36" customWidth="1"/>
    <col min="14334" max="14334" width="16.140625" style="36" customWidth="1"/>
    <col min="14335" max="14335" width="13.7109375" style="36" customWidth="1"/>
    <col min="14336" max="14343" width="0" style="36" hidden="1" customWidth="1"/>
    <col min="14344" max="14344" width="10.7109375" style="36" customWidth="1"/>
    <col min="14345" max="14585" width="9.140625" style="36"/>
    <col min="14586" max="14586" width="46.5703125" style="36" customWidth="1"/>
    <col min="14587" max="14587" width="32.42578125" style="36" customWidth="1"/>
    <col min="14588" max="14588" width="22.7109375" style="36" customWidth="1"/>
    <col min="14589" max="14589" width="15.85546875" style="36" customWidth="1"/>
    <col min="14590" max="14590" width="16.140625" style="36" customWidth="1"/>
    <col min="14591" max="14591" width="13.7109375" style="36" customWidth="1"/>
    <col min="14592" max="14599" width="0" style="36" hidden="1" customWidth="1"/>
    <col min="14600" max="14600" width="10.7109375" style="36" customWidth="1"/>
    <col min="14601" max="14841" width="9.140625" style="36"/>
    <col min="14842" max="14842" width="46.5703125" style="36" customWidth="1"/>
    <col min="14843" max="14843" width="32.42578125" style="36" customWidth="1"/>
    <col min="14844" max="14844" width="22.7109375" style="36" customWidth="1"/>
    <col min="14845" max="14845" width="15.85546875" style="36" customWidth="1"/>
    <col min="14846" max="14846" width="16.140625" style="36" customWidth="1"/>
    <col min="14847" max="14847" width="13.7109375" style="36" customWidth="1"/>
    <col min="14848" max="14855" width="0" style="36" hidden="1" customWidth="1"/>
    <col min="14856" max="14856" width="10.7109375" style="36" customWidth="1"/>
    <col min="14857" max="15097" width="9.140625" style="36"/>
    <col min="15098" max="15098" width="46.5703125" style="36" customWidth="1"/>
    <col min="15099" max="15099" width="32.42578125" style="36" customWidth="1"/>
    <col min="15100" max="15100" width="22.7109375" style="36" customWidth="1"/>
    <col min="15101" max="15101" width="15.85546875" style="36" customWidth="1"/>
    <col min="15102" max="15102" width="16.140625" style="36" customWidth="1"/>
    <col min="15103" max="15103" width="13.7109375" style="36" customWidth="1"/>
    <col min="15104" max="15111" width="0" style="36" hidden="1" customWidth="1"/>
    <col min="15112" max="15112" width="10.7109375" style="36" customWidth="1"/>
    <col min="15113" max="15353" width="9.140625" style="36"/>
    <col min="15354" max="15354" width="46.5703125" style="36" customWidth="1"/>
    <col min="15355" max="15355" width="32.42578125" style="36" customWidth="1"/>
    <col min="15356" max="15356" width="22.7109375" style="36" customWidth="1"/>
    <col min="15357" max="15357" width="15.85546875" style="36" customWidth="1"/>
    <col min="15358" max="15358" width="16.140625" style="36" customWidth="1"/>
    <col min="15359" max="15359" width="13.7109375" style="36" customWidth="1"/>
    <col min="15360" max="15367" width="0" style="36" hidden="1" customWidth="1"/>
    <col min="15368" max="15368" width="10.7109375" style="36" customWidth="1"/>
    <col min="15369" max="15609" width="9.140625" style="36"/>
    <col min="15610" max="15610" width="46.5703125" style="36" customWidth="1"/>
    <col min="15611" max="15611" width="32.42578125" style="36" customWidth="1"/>
    <col min="15612" max="15612" width="22.7109375" style="36" customWidth="1"/>
    <col min="15613" max="15613" width="15.85546875" style="36" customWidth="1"/>
    <col min="15614" max="15614" width="16.140625" style="36" customWidth="1"/>
    <col min="15615" max="15615" width="13.7109375" style="36" customWidth="1"/>
    <col min="15616" max="15623" width="0" style="36" hidden="1" customWidth="1"/>
    <col min="15624" max="15624" width="10.7109375" style="36" customWidth="1"/>
    <col min="15625" max="15865" width="9.140625" style="36"/>
    <col min="15866" max="15866" width="46.5703125" style="36" customWidth="1"/>
    <col min="15867" max="15867" width="32.42578125" style="36" customWidth="1"/>
    <col min="15868" max="15868" width="22.7109375" style="36" customWidth="1"/>
    <col min="15869" max="15869" width="15.85546875" style="36" customWidth="1"/>
    <col min="15870" max="15870" width="16.140625" style="36" customWidth="1"/>
    <col min="15871" max="15871" width="13.7109375" style="36" customWidth="1"/>
    <col min="15872" max="15879" width="0" style="36" hidden="1" customWidth="1"/>
    <col min="15880" max="15880" width="10.7109375" style="36" customWidth="1"/>
    <col min="15881" max="16121" width="9.140625" style="36"/>
    <col min="16122" max="16122" width="46.5703125" style="36" customWidth="1"/>
    <col min="16123" max="16123" width="32.42578125" style="36" customWidth="1"/>
    <col min="16124" max="16124" width="22.7109375" style="36" customWidth="1"/>
    <col min="16125" max="16125" width="15.85546875" style="36" customWidth="1"/>
    <col min="16126" max="16126" width="16.140625" style="36" customWidth="1"/>
    <col min="16127" max="16127" width="13.7109375" style="36" customWidth="1"/>
    <col min="16128" max="16135" width="0" style="36" hidden="1" customWidth="1"/>
    <col min="16136" max="16136" width="10.7109375" style="36" customWidth="1"/>
    <col min="16137" max="16384" width="9.140625" style="36"/>
  </cols>
  <sheetData>
    <row r="2" spans="1:12" x14ac:dyDescent="0.2">
      <c r="G2" s="37"/>
    </row>
    <row r="3" spans="1:12" x14ac:dyDescent="0.2">
      <c r="A3" s="39" t="s">
        <v>299</v>
      </c>
      <c r="B3" s="39"/>
      <c r="C3" s="39"/>
      <c r="D3" s="39"/>
      <c r="E3" s="39"/>
      <c r="F3" s="39"/>
      <c r="G3" s="39"/>
    </row>
    <row r="5" spans="1:12" x14ac:dyDescent="0.2">
      <c r="A5" s="36" t="s">
        <v>300</v>
      </c>
    </row>
    <row r="7" spans="1:12" x14ac:dyDescent="0.2">
      <c r="A7" s="40" t="str">
        <f>+[34]DerivativeHDFCGR!A7</f>
        <v>A.  Hedging Positions through Futures as on  October 31, 2023</v>
      </c>
      <c r="B7" s="40"/>
      <c r="C7" s="40"/>
      <c r="D7" s="40"/>
      <c r="E7" s="40"/>
      <c r="F7" s="40"/>
    </row>
    <row r="8" spans="1:12" ht="54" x14ac:dyDescent="0.2">
      <c r="A8" s="41" t="s">
        <v>301</v>
      </c>
      <c r="B8" s="42" t="s">
        <v>302</v>
      </c>
      <c r="C8" s="42" t="s">
        <v>303</v>
      </c>
      <c r="D8" s="42" t="s">
        <v>304</v>
      </c>
      <c r="E8" s="42" t="s">
        <v>305</v>
      </c>
      <c r="F8" s="42" t="s">
        <v>306</v>
      </c>
      <c r="G8" s="42" t="s">
        <v>307</v>
      </c>
      <c r="H8" s="43" t="s">
        <v>308</v>
      </c>
    </row>
    <row r="9" spans="1:12" x14ac:dyDescent="0.2">
      <c r="A9" s="44" t="s">
        <v>309</v>
      </c>
      <c r="B9" s="45" t="s">
        <v>169</v>
      </c>
      <c r="C9" s="45" t="s">
        <v>170</v>
      </c>
      <c r="D9" s="46">
        <v>-10000</v>
      </c>
      <c r="E9" s="47">
        <v>4814.8625000000002</v>
      </c>
      <c r="F9" s="48">
        <v>4850.7</v>
      </c>
      <c r="G9" s="48">
        <v>85.658500000000004</v>
      </c>
      <c r="H9" s="49">
        <f t="shared" ref="H9:H36" si="0">(D9*F9)/100000</f>
        <v>-485.07</v>
      </c>
      <c r="L9" s="38"/>
    </row>
    <row r="10" spans="1:12" x14ac:dyDescent="0.2">
      <c r="A10" s="50"/>
      <c r="B10" s="45" t="s">
        <v>310</v>
      </c>
      <c r="C10" s="45" t="s">
        <v>71</v>
      </c>
      <c r="D10" s="46">
        <v>-2360000</v>
      </c>
      <c r="E10" s="47">
        <v>168.00659364406781</v>
      </c>
      <c r="F10" s="48">
        <v>168.65</v>
      </c>
      <c r="G10" s="48">
        <v>719.11559999999997</v>
      </c>
      <c r="H10" s="49">
        <f t="shared" si="0"/>
        <v>-3980.14</v>
      </c>
      <c r="L10" s="38"/>
    </row>
    <row r="11" spans="1:12" x14ac:dyDescent="0.2">
      <c r="A11" s="50"/>
      <c r="B11" s="45" t="s">
        <v>57</v>
      </c>
      <c r="C11" s="45" t="s">
        <v>58</v>
      </c>
      <c r="D11" s="46">
        <v>-60625</v>
      </c>
      <c r="E11" s="47">
        <v>7493.5548989690724</v>
      </c>
      <c r="F11" s="48">
        <v>7517</v>
      </c>
      <c r="G11" s="48">
        <v>830.95323059999998</v>
      </c>
      <c r="H11" s="49">
        <f t="shared" si="0"/>
        <v>-4557.1812499999996</v>
      </c>
      <c r="L11" s="38"/>
    </row>
    <row r="12" spans="1:12" x14ac:dyDescent="0.2">
      <c r="A12" s="50"/>
      <c r="B12" s="45" t="s">
        <v>179</v>
      </c>
      <c r="C12" s="45" t="s">
        <v>41</v>
      </c>
      <c r="D12" s="46">
        <v>-135000</v>
      </c>
      <c r="E12" s="47">
        <v>221.58889814814816</v>
      </c>
      <c r="F12" s="48">
        <v>221</v>
      </c>
      <c r="G12" s="48">
        <v>57.4452</v>
      </c>
      <c r="H12" s="49">
        <f t="shared" si="0"/>
        <v>-298.35000000000002</v>
      </c>
      <c r="L12" s="38"/>
    </row>
    <row r="13" spans="1:12" x14ac:dyDescent="0.2">
      <c r="A13" s="50"/>
      <c r="B13" s="45" t="s">
        <v>97</v>
      </c>
      <c r="C13" s="45" t="s">
        <v>98</v>
      </c>
      <c r="D13" s="46">
        <v>-438750</v>
      </c>
      <c r="E13" s="47">
        <v>513.12239999999997</v>
      </c>
      <c r="F13" s="48">
        <v>529.4</v>
      </c>
      <c r="G13" s="48">
        <v>411.7339738</v>
      </c>
      <c r="H13" s="49">
        <f t="shared" si="0"/>
        <v>-2322.7424999999998</v>
      </c>
      <c r="L13" s="38"/>
    </row>
    <row r="14" spans="1:12" x14ac:dyDescent="0.2">
      <c r="A14" s="50"/>
      <c r="B14" s="45" t="s">
        <v>311</v>
      </c>
      <c r="C14" s="45" t="s">
        <v>41</v>
      </c>
      <c r="D14" s="46">
        <v>-83000</v>
      </c>
      <c r="E14" s="47">
        <v>5478.0276000000003</v>
      </c>
      <c r="F14" s="48">
        <v>5403.1</v>
      </c>
      <c r="G14" s="48">
        <v>791.20393249999995</v>
      </c>
      <c r="H14" s="49">
        <f t="shared" si="0"/>
        <v>-4484.5730000000003</v>
      </c>
      <c r="L14" s="38"/>
    </row>
    <row r="15" spans="1:12" x14ac:dyDescent="0.2">
      <c r="A15" s="50"/>
      <c r="B15" s="45" t="s">
        <v>177</v>
      </c>
      <c r="C15" s="45" t="s">
        <v>132</v>
      </c>
      <c r="D15" s="46">
        <v>-19000</v>
      </c>
      <c r="E15" s="47">
        <v>1872.1162999999999</v>
      </c>
      <c r="F15" s="48">
        <v>1894.05</v>
      </c>
      <c r="G15" s="48">
        <v>63.66254</v>
      </c>
      <c r="H15" s="49">
        <f t="shared" si="0"/>
        <v>-359.86950000000002</v>
      </c>
      <c r="L15" s="38"/>
    </row>
    <row r="16" spans="1:12" x14ac:dyDescent="0.2">
      <c r="A16" s="50"/>
      <c r="B16" s="45" t="s">
        <v>175</v>
      </c>
      <c r="C16" s="45" t="s">
        <v>132</v>
      </c>
      <c r="D16" s="46">
        <v>-79200</v>
      </c>
      <c r="E16" s="47">
        <v>413.4307</v>
      </c>
      <c r="F16" s="48">
        <v>426.85</v>
      </c>
      <c r="G16" s="48">
        <v>77.846670000000003</v>
      </c>
      <c r="H16" s="49">
        <f t="shared" si="0"/>
        <v>-338.0652</v>
      </c>
      <c r="L16" s="38"/>
    </row>
    <row r="17" spans="1:12" x14ac:dyDescent="0.2">
      <c r="A17" s="50"/>
      <c r="B17" s="45" t="s">
        <v>312</v>
      </c>
      <c r="C17" s="45" t="s">
        <v>23</v>
      </c>
      <c r="D17" s="46">
        <v>-726550</v>
      </c>
      <c r="E17" s="47">
        <v>1480.2497230885692</v>
      </c>
      <c r="F17" s="48">
        <v>1484.65</v>
      </c>
      <c r="G17" s="48">
        <v>1904.690785</v>
      </c>
      <c r="H17" s="49">
        <f t="shared" si="0"/>
        <v>-10786.724575</v>
      </c>
      <c r="L17" s="38"/>
    </row>
    <row r="18" spans="1:12" x14ac:dyDescent="0.2">
      <c r="A18" s="50"/>
      <c r="B18" s="45" t="s">
        <v>313</v>
      </c>
      <c r="C18" s="45" t="s">
        <v>107</v>
      </c>
      <c r="D18" s="46">
        <v>-195800</v>
      </c>
      <c r="E18" s="47">
        <v>619.32780000000002</v>
      </c>
      <c r="F18" s="48">
        <v>620.95000000000005</v>
      </c>
      <c r="G18" s="48">
        <v>215.02755999999999</v>
      </c>
      <c r="H18" s="49">
        <f t="shared" si="0"/>
        <v>-1215.8201000000001</v>
      </c>
      <c r="L18" s="38"/>
    </row>
    <row r="19" spans="1:12" x14ac:dyDescent="0.2">
      <c r="A19" s="50"/>
      <c r="B19" s="45" t="s">
        <v>73</v>
      </c>
      <c r="C19" s="45" t="s">
        <v>74</v>
      </c>
      <c r="D19" s="46">
        <v>-606200</v>
      </c>
      <c r="E19" s="47">
        <v>455.88029999999998</v>
      </c>
      <c r="F19" s="48">
        <v>462.4</v>
      </c>
      <c r="G19" s="48">
        <v>584.12219600000003</v>
      </c>
      <c r="H19" s="49">
        <f t="shared" si="0"/>
        <v>-2803.0688</v>
      </c>
      <c r="L19" s="38"/>
    </row>
    <row r="20" spans="1:12" x14ac:dyDescent="0.2">
      <c r="A20" s="50"/>
      <c r="B20" s="45" t="s">
        <v>30</v>
      </c>
      <c r="C20" s="45" t="s">
        <v>23</v>
      </c>
      <c r="D20" s="46">
        <v>-209300</v>
      </c>
      <c r="E20" s="47">
        <v>910.24570000000006</v>
      </c>
      <c r="F20" s="48">
        <v>921.35</v>
      </c>
      <c r="G20" s="48">
        <v>340.34273000000002</v>
      </c>
      <c r="H20" s="49">
        <f t="shared" si="0"/>
        <v>-1928.38555</v>
      </c>
      <c r="L20" s="38"/>
    </row>
    <row r="21" spans="1:12" x14ac:dyDescent="0.2">
      <c r="A21" s="50"/>
      <c r="B21" s="45" t="s">
        <v>79</v>
      </c>
      <c r="C21" s="45" t="s">
        <v>80</v>
      </c>
      <c r="D21" s="46">
        <v>-73600</v>
      </c>
      <c r="E21" s="47">
        <v>434.95429999999999</v>
      </c>
      <c r="F21" s="48">
        <v>431.1</v>
      </c>
      <c r="G21" s="48">
        <v>55.999848</v>
      </c>
      <c r="H21" s="49">
        <f t="shared" si="0"/>
        <v>-317.28960000000001</v>
      </c>
      <c r="L21" s="38"/>
    </row>
    <row r="22" spans="1:12" x14ac:dyDescent="0.2">
      <c r="A22" s="50"/>
      <c r="B22" s="45" t="s">
        <v>52</v>
      </c>
      <c r="C22" s="45" t="s">
        <v>53</v>
      </c>
      <c r="D22" s="46">
        <v>-677700</v>
      </c>
      <c r="E22" s="47">
        <v>764.4</v>
      </c>
      <c r="F22" s="48">
        <v>739.3</v>
      </c>
      <c r="G22" s="48">
        <v>888.81371549999994</v>
      </c>
      <c r="H22" s="49">
        <f t="shared" si="0"/>
        <v>-5010.2360999999992</v>
      </c>
      <c r="L22" s="38"/>
    </row>
    <row r="23" spans="1:12" x14ac:dyDescent="0.2">
      <c r="A23" s="50"/>
      <c r="B23" s="51" t="s">
        <v>314</v>
      </c>
      <c r="C23" s="45" t="s">
        <v>36</v>
      </c>
      <c r="D23" s="46">
        <v>-143100</v>
      </c>
      <c r="E23" s="47">
        <v>2951.5596</v>
      </c>
      <c r="F23" s="48">
        <v>2944.3</v>
      </c>
      <c r="G23" s="48">
        <v>744.35003329999995</v>
      </c>
      <c r="H23" s="49">
        <f t="shared" si="0"/>
        <v>-4213.2933000000003</v>
      </c>
      <c r="L23" s="38"/>
    </row>
    <row r="24" spans="1:12" x14ac:dyDescent="0.2">
      <c r="A24" s="52"/>
      <c r="B24" s="45" t="s">
        <v>82</v>
      </c>
      <c r="C24" s="45" t="s">
        <v>33</v>
      </c>
      <c r="D24" s="46">
        <v>-207900</v>
      </c>
      <c r="E24" s="47">
        <v>1517.6038791245792</v>
      </c>
      <c r="F24" s="48">
        <v>1468.1</v>
      </c>
      <c r="G24" s="48">
        <v>538.83573979999994</v>
      </c>
      <c r="H24" s="49">
        <f t="shared" si="0"/>
        <v>-3052.1799000000001</v>
      </c>
      <c r="J24" s="38"/>
      <c r="K24" s="38"/>
      <c r="L24" s="38"/>
    </row>
    <row r="25" spans="1:12" x14ac:dyDescent="0.2">
      <c r="A25" s="53"/>
      <c r="B25" s="54" t="s">
        <v>315</v>
      </c>
      <c r="C25" s="45" t="s">
        <v>33</v>
      </c>
      <c r="D25" s="46">
        <v>-85400</v>
      </c>
      <c r="E25" s="47">
        <v>10686.5396</v>
      </c>
      <c r="F25" s="48">
        <v>10441.1</v>
      </c>
      <c r="G25" s="48">
        <v>1576.2403969999998</v>
      </c>
      <c r="H25" s="49">
        <f t="shared" si="0"/>
        <v>-8916.6993999999995</v>
      </c>
      <c r="L25" s="38"/>
    </row>
    <row r="26" spans="1:12" x14ac:dyDescent="0.2">
      <c r="A26" s="53"/>
      <c r="B26" s="54" t="s">
        <v>316</v>
      </c>
      <c r="C26" s="45" t="s">
        <v>63</v>
      </c>
      <c r="D26" s="46">
        <v>-203700</v>
      </c>
      <c r="E26" s="47">
        <v>1016.2668</v>
      </c>
      <c r="F26" s="48">
        <v>1033.8</v>
      </c>
      <c r="G26" s="48">
        <v>373.20997349999999</v>
      </c>
      <c r="H26" s="49">
        <f t="shared" si="0"/>
        <v>-2105.8506000000002</v>
      </c>
      <c r="L26" s="38"/>
    </row>
    <row r="27" spans="1:12" x14ac:dyDescent="0.2">
      <c r="A27" s="53"/>
      <c r="B27" s="54" t="s">
        <v>317</v>
      </c>
      <c r="C27" s="45" t="s">
        <v>44</v>
      </c>
      <c r="D27" s="46">
        <v>-793600</v>
      </c>
      <c r="E27" s="47">
        <v>765.73961048387093</v>
      </c>
      <c r="F27" s="48">
        <v>789.95</v>
      </c>
      <c r="G27" s="48">
        <v>1550.9860480000002</v>
      </c>
      <c r="H27" s="49">
        <f t="shared" si="0"/>
        <v>-6269.0432000000001</v>
      </c>
      <c r="L27" s="38"/>
    </row>
    <row r="28" spans="1:12" x14ac:dyDescent="0.2">
      <c r="B28" s="54" t="s">
        <v>25</v>
      </c>
      <c r="C28" s="45" t="s">
        <v>23</v>
      </c>
      <c r="D28" s="46">
        <v>-1096500</v>
      </c>
      <c r="E28" s="47">
        <v>550.72559999999999</v>
      </c>
      <c r="F28" s="48">
        <v>567.75</v>
      </c>
      <c r="G28" s="48">
        <v>1100.84214</v>
      </c>
      <c r="H28" s="49">
        <f t="shared" si="0"/>
        <v>-6225.3787499999999</v>
      </c>
      <c r="L28" s="38"/>
    </row>
    <row r="29" spans="1:12" x14ac:dyDescent="0.2">
      <c r="B29" s="54" t="s">
        <v>40</v>
      </c>
      <c r="C29" s="45" t="s">
        <v>41</v>
      </c>
      <c r="D29" s="46">
        <v>-410200</v>
      </c>
      <c r="E29" s="47">
        <v>1126.6664651877134</v>
      </c>
      <c r="F29" s="48">
        <v>1091.9000000000001</v>
      </c>
      <c r="G29" s="48">
        <v>792.62945999999999</v>
      </c>
      <c r="H29" s="49">
        <f t="shared" si="0"/>
        <v>-4478.9738000000007</v>
      </c>
      <c r="L29" s="38"/>
    </row>
    <row r="30" spans="1:12" x14ac:dyDescent="0.2">
      <c r="B30" s="54" t="s">
        <v>318</v>
      </c>
      <c r="C30" s="45" t="s">
        <v>77</v>
      </c>
      <c r="D30" s="46">
        <v>-1188000</v>
      </c>
      <c r="E30" s="47">
        <v>233.6533</v>
      </c>
      <c r="F30" s="48">
        <v>240.5</v>
      </c>
      <c r="G30" s="48">
        <v>552.99023999999997</v>
      </c>
      <c r="H30" s="49">
        <f t="shared" si="0"/>
        <v>-2857.14</v>
      </c>
      <c r="L30" s="38"/>
    </row>
    <row r="31" spans="1:12" x14ac:dyDescent="0.2">
      <c r="B31" s="54" t="s">
        <v>319</v>
      </c>
      <c r="C31" s="45" t="s">
        <v>320</v>
      </c>
      <c r="D31" s="46">
        <v>-49500</v>
      </c>
      <c r="E31" s="47">
        <v>894.78453636363633</v>
      </c>
      <c r="F31" s="48">
        <v>906.5</v>
      </c>
      <c r="G31" s="48">
        <v>79.174878800000002</v>
      </c>
      <c r="H31" s="49">
        <f t="shared" si="0"/>
        <v>-448.71749999999997</v>
      </c>
      <c r="L31" s="38"/>
    </row>
    <row r="32" spans="1:12" x14ac:dyDescent="0.2">
      <c r="B32" s="54" t="s">
        <v>55</v>
      </c>
      <c r="C32" s="45" t="s">
        <v>33</v>
      </c>
      <c r="D32" s="46">
        <v>-491625</v>
      </c>
      <c r="E32" s="47">
        <v>632.99279999999999</v>
      </c>
      <c r="F32" s="48">
        <v>632.70000000000005</v>
      </c>
      <c r="G32" s="48">
        <v>613.50252969999997</v>
      </c>
      <c r="H32" s="49">
        <f t="shared" si="0"/>
        <v>-3110.511375</v>
      </c>
      <c r="L32" s="38"/>
    </row>
    <row r="33" spans="1:12" x14ac:dyDescent="0.2">
      <c r="B33" s="54" t="s">
        <v>65</v>
      </c>
      <c r="C33" s="45" t="s">
        <v>53</v>
      </c>
      <c r="D33" s="46">
        <v>-2711500</v>
      </c>
      <c r="E33" s="47">
        <v>121.09756085192697</v>
      </c>
      <c r="F33" s="48">
        <v>119.4</v>
      </c>
      <c r="G33" s="48">
        <v>616.66288750000001</v>
      </c>
      <c r="H33" s="49">
        <f t="shared" si="0"/>
        <v>-3237.5309999999999</v>
      </c>
      <c r="L33" s="38"/>
    </row>
    <row r="34" spans="1:12" x14ac:dyDescent="0.2">
      <c r="B34" s="54" t="s">
        <v>27</v>
      </c>
      <c r="C34" s="45" t="s">
        <v>28</v>
      </c>
      <c r="D34" s="46">
        <v>-392625</v>
      </c>
      <c r="E34" s="47">
        <v>3224.7812834893348</v>
      </c>
      <c r="F34" s="48">
        <v>3204.05</v>
      </c>
      <c r="G34" s="48">
        <v>2224.3315469999998</v>
      </c>
      <c r="H34" s="49">
        <f t="shared" si="0"/>
        <v>-12579.9013125</v>
      </c>
      <c r="L34" s="38"/>
    </row>
    <row r="35" spans="1:12" x14ac:dyDescent="0.2">
      <c r="B35" s="54" t="s">
        <v>321</v>
      </c>
      <c r="C35" s="45" t="s">
        <v>132</v>
      </c>
      <c r="D35" s="46">
        <v>-14100</v>
      </c>
      <c r="E35" s="47">
        <v>8236.1404000000002</v>
      </c>
      <c r="F35" s="48">
        <v>8460.15</v>
      </c>
      <c r="G35" s="48">
        <v>210.8802345</v>
      </c>
      <c r="H35" s="49">
        <f t="shared" si="0"/>
        <v>-1192.8811499999999</v>
      </c>
      <c r="L35" s="38"/>
    </row>
    <row r="36" spans="1:12" x14ac:dyDescent="0.2">
      <c r="A36" s="55"/>
      <c r="B36" s="54" t="s">
        <v>38</v>
      </c>
      <c r="C36" s="45" t="s">
        <v>23</v>
      </c>
      <c r="D36" s="46">
        <v>-371250</v>
      </c>
      <c r="E36" s="47">
        <v>974.43380000000002</v>
      </c>
      <c r="F36" s="48">
        <v>985.2</v>
      </c>
      <c r="G36" s="48">
        <v>646.85115499999995</v>
      </c>
      <c r="H36" s="49">
        <f t="shared" si="0"/>
        <v>-3657.5549999999998</v>
      </c>
      <c r="L36" s="38"/>
    </row>
    <row r="38" spans="1:12" x14ac:dyDescent="0.2">
      <c r="G38" s="38"/>
      <c r="H38" s="56"/>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 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2023-11-09T06:58:14Z</dcterms:created>
  <dcterms:modified xsi:type="dcterms:W3CDTF">2023-11-09T07:13:26Z</dcterms:modified>
</cp:coreProperties>
</file>