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G39" i="1"/>
</calcChain>
</file>

<file path=xl/sharedStrings.xml><?xml version="1.0" encoding="utf-8"?>
<sst xmlns="http://schemas.openxmlformats.org/spreadsheetml/2006/main" count="424" uniqueCount="136">
  <si>
    <t>HDFC NIFTY200 MOMENTUM 30 ETF (An open ended scheme replicating/tracking NIFTY200 Momentum 30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</si>
  <si>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</si>
  <si>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</si>
  <si>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</si>
  <si>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</si>
  <si>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</si>
  <si>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</si>
  <si>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</si>
  <si>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</si>
  <si>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</si>
  <si>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</si>
  <si>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</si>
  <si>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</si>
  <si>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</si>
  <si>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</si>
  <si>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</si>
  <si>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</si>
  <si>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</si>
  <si>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INE296A01032</t>
  </si>
  <si>
    <t>Bajaj Finance Ltd.</t>
  </si>
  <si>
    <t>Finance</t>
  </si>
  <si>
    <t>INE918I01026</t>
  </si>
  <si>
    <t>Bajaj Finserv Ltd.</t>
  </si>
  <si>
    <t>INE263A01024</t>
  </si>
  <si>
    <t>Bharat Electronics Ltd.</t>
  </si>
  <si>
    <t>Aerospace &amp; Defense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</si>
  <si>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</si>
  <si>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</si>
  <si>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</si>
  <si>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</si>
  <si>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</si>
  <si>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</si>
  <si>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INE795G01014</t>
  </si>
  <si>
    <t>HDFC Life Insurance Company Limited</t>
  </si>
  <si>
    <t>INE040A01034</t>
  </si>
  <si>
    <t>HDFC Bank Ltd.£</t>
  </si>
  <si>
    <t>Banks</t>
  </si>
  <si>
    <t>INE397D01024</t>
  </si>
  <si>
    <t>Bharti Airtel Ltd.</t>
  </si>
  <si>
    <t>Telecom - Services</t>
  </si>
  <si>
    <t>INE090A01021</t>
  </si>
  <si>
    <t>ICICI Bank Ltd.</t>
  </si>
  <si>
    <t>INE237A01028</t>
  </si>
  <si>
    <t>Kotak Mahindra Bank Limited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</si>
  <si>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</si>
  <si>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</si>
  <si>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</si>
  <si>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</si>
  <si>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</si>
  <si>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</si>
  <si>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INE118H01025</t>
  </si>
  <si>
    <t>Bombay Stock Exchange Limited (BSE)</t>
  </si>
  <si>
    <t>Capital Markets</t>
  </si>
  <si>
    <t>INE494B01023</t>
  </si>
  <si>
    <t>TVS Motor Company Ltd.</t>
  </si>
  <si>
    <t>Automobiles</t>
  </si>
  <si>
    <t>INE121A01024</t>
  </si>
  <si>
    <t>Cholamandalam Investment &amp; Finance Co. Ltd.</t>
  </si>
  <si>
    <t>INE180A01020</t>
  </si>
  <si>
    <t>Max Financial Services Ltd.</t>
  </si>
  <si>
    <t>INE343H01029</t>
  </si>
  <si>
    <t>Solar Industries India Ltd.</t>
  </si>
  <si>
    <t>Chemicals &amp; Petrochemicals</t>
  </si>
  <si>
    <t>INE591G01025</t>
  </si>
  <si>
    <t>Coforge Limited</t>
  </si>
  <si>
    <t>IT - Software</t>
  </si>
  <si>
    <t>INE982J01020</t>
  </si>
  <si>
    <t>One 97 Communications Limited</t>
  </si>
  <si>
    <t>Financial Technology (Fintech)</t>
  </si>
  <si>
    <t>INE647A01010</t>
  </si>
  <si>
    <t>SRF Ltd.</t>
  </si>
  <si>
    <t>INE262H01021</t>
  </si>
  <si>
    <t>Persistent Systems Limited</t>
  </si>
  <si>
    <t>INE935N01020</t>
  </si>
  <si>
    <t>Dixon Technologies (India) Ltd.</t>
  </si>
  <si>
    <t>Consumer Durables</t>
  </si>
  <si>
    <t>INE053A01029</t>
  </si>
  <si>
    <t>Indian Hotels Company Ltd.</t>
  </si>
  <si>
    <t>Leisure Services</t>
  </si>
  <si>
    <t>INE018E01016</t>
  </si>
  <si>
    <t>SBI CARDS AND PAYMENT SERVICES LIMITED</t>
  </si>
  <si>
    <t>INE070A01015</t>
  </si>
  <si>
    <t>Shree Cement Ltd.</t>
  </si>
  <si>
    <t>Cement &amp; Cement Products</t>
  </si>
  <si>
    <t>INE414G01012</t>
  </si>
  <si>
    <t>Muthoot Finance Ltd.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</si>
  <si>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</si>
  <si>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</si>
  <si>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</si>
  <si>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</si>
  <si>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</si>
  <si>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</si>
  <si>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</si>
  <si>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</si>
  <si>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</si>
  <si>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</si>
  <si>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</si>
  <si>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</si>
  <si>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</si>
  <si>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</si>
  <si>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</si>
  <si>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</si>
  <si>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</si>
  <si>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</si>
  <si>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</si>
  <si>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</si>
  <si>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</si>
  <si>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</si>
  <si>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</si>
  <si>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</si>
  <si>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</si>
  <si>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</si>
  <si>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</si>
  <si>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</si>
  <si>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</si>
  <si>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</si>
  <si>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</si>
  <si>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</si>
  <si>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</si>
  <si>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</si>
  <si>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</si>
  <si>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</si>
  <si>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</si>
  <si>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</si>
  <si>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</si>
  <si>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</si>
  <si>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</si>
  <si>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</si>
  <si>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</si>
  <si>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</si>
  <si>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</si>
  <si>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189.75%</t>
  </si>
  <si>
    <t>7) IDCW stands for Income Distribution cum Capital Withdrawal</t>
  </si>
  <si>
    <t>8) Riskometer based on Scheme Portfolio and Portfolio Benchmark "NIFTY200 Momentum 30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</si>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</sst>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69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015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2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54000</v>
      </c>
      <c r="G9" s="15">
        <v>539.41</v>
      </c>
      <c r="H9" s="15">
        <v>5.65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24915</v>
      </c>
      <c r="G10" s="15">
        <v>499.89</v>
      </c>
      <c r="H10" s="15">
        <v>5.23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123406</v>
      </c>
      <c r="G11" s="15">
        <v>498.5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8886</v>
      </c>
      <c r="G12" s="15">
        <v>497.13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27020</v>
      </c>
      <c r="G13" s="15">
        <v>483.82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63827</v>
      </c>
      <c r="G14" s="15">
        <v>482.82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50617</v>
      </c>
      <c r="G15" s="15">
        <v>481.37</v>
      </c>
      <c r="H15" s="15">
        <v>5.04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25498</v>
      </c>
      <c r="G16" s="15">
        <v>478.95</v>
      </c>
      <c r="H16" s="15">
        <v>5.01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36</v>
      </c>
      <c r="F17" s="14">
        <v>35141</v>
      </c>
      <c r="G17" s="15">
        <v>473.7</v>
      </c>
      <c r="H17" s="15">
        <v>4.96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36</v>
      </c>
      <c r="F18" s="14">
        <v>22792</v>
      </c>
      <c r="G18" s="15">
        <v>454.18</v>
      </c>
      <c r="H18" s="15">
        <v>4.75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34620</v>
      </c>
      <c r="G19" s="15">
        <v>385.91</v>
      </c>
      <c r="H19" s="15">
        <v>4.04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6491</v>
      </c>
      <c r="G20" s="15">
        <v>369.31</v>
      </c>
      <c r="H20" s="15">
        <v>3.86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17961</v>
      </c>
      <c r="G21" s="15">
        <v>366.44</v>
      </c>
      <c r="H21" s="15">
        <v>3.83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10210</v>
      </c>
      <c r="G22" s="15">
        <v>351.09</v>
      </c>
      <c r="H22" s="15">
        <v>3.67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21115</v>
      </c>
      <c r="G23" s="15">
        <v>340.12</v>
      </c>
      <c r="H23" s="15">
        <v>3.56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31</v>
      </c>
      <c r="F24" s="14">
        <v>20959</v>
      </c>
      <c r="G24" s="15">
        <v>330.29</v>
      </c>
      <c r="H24" s="15">
        <v>3.46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1833</v>
      </c>
      <c r="G25" s="15">
        <v>244.27</v>
      </c>
      <c r="H25" s="15">
        <v>2.56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14982</v>
      </c>
      <c r="G26" s="15">
        <v>238.36</v>
      </c>
      <c r="H26" s="15">
        <v>2.4900000000000002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19773</v>
      </c>
      <c r="G27" s="15">
        <v>222.21</v>
      </c>
      <c r="H27" s="15">
        <v>2.33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62</v>
      </c>
      <c r="F28" s="14">
        <v>7589</v>
      </c>
      <c r="G28" s="15">
        <v>214.28</v>
      </c>
      <c r="H28" s="15">
        <v>2.2400000000000002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65</v>
      </c>
      <c r="F29" s="14">
        <v>4245</v>
      </c>
      <c r="G29" s="15">
        <v>204.72</v>
      </c>
      <c r="H29" s="15">
        <v>2.14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1248</v>
      </c>
      <c r="G30" s="15">
        <v>203.7</v>
      </c>
      <c r="H30" s="15">
        <v>2.13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27496</v>
      </c>
      <c r="G31" s="15">
        <v>198.05</v>
      </c>
      <c r="H31" s="15">
        <v>2.0699999999999998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20293</v>
      </c>
      <c r="G32" s="15">
        <v>177.96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597</v>
      </c>
      <c r="G33" s="15">
        <v>174.71</v>
      </c>
      <c r="H33" s="15">
        <v>1.83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4820</v>
      </c>
      <c r="G34" s="15">
        <v>148.32</v>
      </c>
      <c r="H34" s="15">
        <v>1.55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10359</v>
      </c>
      <c r="G35" s="15">
        <v>137.18</v>
      </c>
      <c r="H35" s="15">
        <v>1.44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57730</v>
      </c>
      <c r="G36" s="15">
        <v>134.15</v>
      </c>
      <c r="H36" s="15">
        <v>1.4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4844</v>
      </c>
      <c r="G37" s="15">
        <v>133.77000000000001</v>
      </c>
      <c r="H37" s="15">
        <v>1.4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25</v>
      </c>
      <c r="F38" s="14">
        <v>5793</v>
      </c>
      <c r="G38" s="15">
        <v>86.5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97</v>
      </c>
      <c r="C39" s="19"/>
      <c r="D39" s="19"/>
      <c r="E39" s="19"/>
      <c r="F39" s="19"/>
      <c r="G39" s="20">
        <f>SUM(G9:G38)</f>
        <v>9551.1099999999988</v>
      </c>
      <c r="H39" s="20">
        <f>SUM(H9:H38)</f>
        <v>99.939999999999969</v>
      </c>
      <c r="I39" s="19"/>
      <c r="J39" s="19"/>
      <c r="K39" s="19"/>
      <c r="L39" s="19"/>
    </row>
    <row r="40" spans="1:12" x14ac:dyDescent="0.35">
      <c r="A40" s="10"/>
      <c r="B40" s="11" t="s">
        <v>98</v>
      </c>
      <c r="C40" s="10"/>
      <c r="D40" s="10"/>
      <c r="E40" s="10"/>
      <c r="F40" s="10"/>
      <c r="G40" s="21">
        <v>9551.1099999999988</v>
      </c>
      <c r="H40" s="21">
        <v>99.939999999999969</v>
      </c>
      <c r="I40" s="10"/>
      <c r="J40" s="10"/>
      <c r="K40" s="10"/>
      <c r="L40" s="10"/>
    </row>
    <row r="41" spans="1:12" x14ac:dyDescent="0.3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3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35">
      <c r="A44" s="10"/>
      <c r="B44" s="13" t="s">
        <v>100</v>
      </c>
      <c r="C44" s="13" t="s">
        <v>13</v>
      </c>
      <c r="D44" s="13" t="s">
        <v>101</v>
      </c>
      <c r="E44" s="13" t="s">
        <v>102</v>
      </c>
      <c r="F44" s="14">
        <v>41868</v>
      </c>
      <c r="G44" s="15">
        <v>4.2</v>
      </c>
      <c r="H44" s="15">
        <v>0.04</v>
      </c>
      <c r="I44" s="22">
        <v>0.06</v>
      </c>
      <c r="J44" s="10"/>
      <c r="K44" s="10"/>
      <c r="L44" s="10"/>
    </row>
    <row r="45" spans="1:12" x14ac:dyDescent="0.35">
      <c r="A45" s="10"/>
      <c r="B45" s="11" t="s">
        <v>97</v>
      </c>
      <c r="C45" s="10"/>
      <c r="D45" s="10"/>
      <c r="E45" s="10"/>
      <c r="F45" s="10"/>
      <c r="G45" s="23">
        <v>4.2</v>
      </c>
      <c r="H45" s="23">
        <v>0.04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23">
        <v>4.2</v>
      </c>
      <c r="H46" s="23">
        <v>0.04</v>
      </c>
      <c r="I46" s="10"/>
      <c r="J46" s="10"/>
      <c r="K46" s="10"/>
      <c r="L46" s="10"/>
    </row>
    <row r="47" spans="1:12" x14ac:dyDescent="0.3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3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104</v>
      </c>
      <c r="E50" s="13" t="s">
        <v>13</v>
      </c>
      <c r="F50" s="14" t="s">
        <v>13</v>
      </c>
      <c r="G50" s="15">
        <v>6.25</v>
      </c>
      <c r="H50" s="15">
        <v>7.0000000000000007E-2</v>
      </c>
      <c r="I50" s="16">
        <v>5.49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97</v>
      </c>
      <c r="C51" s="19"/>
      <c r="D51" s="19"/>
      <c r="E51" s="19"/>
      <c r="F51" s="19"/>
      <c r="G51" s="20">
        <v>6.25</v>
      </c>
      <c r="H51" s="20">
        <v>7.0000000000000007E-2</v>
      </c>
      <c r="I51" s="19"/>
      <c r="J51" s="19"/>
      <c r="K51" s="19"/>
      <c r="L51" s="19"/>
    </row>
    <row r="52" spans="1:12" x14ac:dyDescent="0.35">
      <c r="A52" s="10"/>
      <c r="B52" s="11" t="s">
        <v>98</v>
      </c>
      <c r="C52" s="10"/>
      <c r="D52" s="10"/>
      <c r="E52" s="10"/>
      <c r="F52" s="10"/>
      <c r="G52" s="21">
        <v>6.25</v>
      </c>
      <c r="H52" s="21">
        <v>7.0000000000000007E-2</v>
      </c>
      <c r="I52" s="10"/>
      <c r="J52" s="10"/>
      <c r="K52" s="10"/>
      <c r="L52" s="10"/>
    </row>
    <row r="53" spans="1:12" x14ac:dyDescent="0.35">
      <c r="A53" s="10"/>
      <c r="B53" s="11" t="s">
        <v>105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13</v>
      </c>
      <c r="B55" s="13" t="s">
        <v>13</v>
      </c>
      <c r="C55" s="13" t="s">
        <v>13</v>
      </c>
      <c r="D55" s="13" t="s">
        <v>106</v>
      </c>
      <c r="E55" s="13" t="s">
        <v>13</v>
      </c>
      <c r="F55" s="14" t="s">
        <v>13</v>
      </c>
      <c r="G55" s="15">
        <v>-6.25</v>
      </c>
      <c r="H55" s="15">
        <v>-0.05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97</v>
      </c>
      <c r="C56" s="19"/>
      <c r="D56" s="19"/>
      <c r="E56" s="19"/>
      <c r="F56" s="19"/>
      <c r="G56" s="20">
        <v>-6.25</v>
      </c>
      <c r="H56" s="20">
        <v>-0.05</v>
      </c>
      <c r="I56" s="19"/>
      <c r="J56" s="19"/>
      <c r="K56" s="19"/>
      <c r="L56" s="19"/>
    </row>
    <row r="57" spans="1:12" x14ac:dyDescent="0.35">
      <c r="A57" s="10"/>
      <c r="B57" s="11" t="s">
        <v>98</v>
      </c>
      <c r="C57" s="10"/>
      <c r="D57" s="10"/>
      <c r="E57" s="10"/>
      <c r="F57" s="10"/>
      <c r="G57" s="21">
        <v>-6.25</v>
      </c>
      <c r="H57" s="21">
        <v>-0.05</v>
      </c>
      <c r="I57" s="10"/>
      <c r="J57" s="10"/>
      <c r="K57" s="10"/>
      <c r="L57" s="10"/>
    </row>
    <row r="58" spans="1:1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6"/>
      <c r="B59" s="24" t="s">
        <v>107</v>
      </c>
      <c r="C59" s="6"/>
      <c r="D59" s="6"/>
      <c r="E59" s="6"/>
      <c r="F59" s="6"/>
      <c r="G59" s="23">
        <v>9555.31</v>
      </c>
      <c r="H59" s="23">
        <v>99.999999999999972</v>
      </c>
      <c r="I59" s="6"/>
      <c r="J59" s="6"/>
      <c r="K59" s="6"/>
      <c r="L59" s="6"/>
    </row>
    <row r="60" spans="1:12" x14ac:dyDescent="0.35">
      <c r="A60" s="12" t="s">
        <v>17</v>
      </c>
      <c r="B60" s="25" t="s">
        <v>108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6" t="s">
        <v>110</v>
      </c>
      <c r="C61" s="26" t="s">
        <v>110</v>
      </c>
      <c r="D61" s="26" t="s">
        <v>110</v>
      </c>
      <c r="E61" s="26" t="s">
        <v>110</v>
      </c>
      <c r="F61" s="26" t="s">
        <v>110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6" t="s">
        <v>111</v>
      </c>
      <c r="C62" s="26" t="s">
        <v>111</v>
      </c>
      <c r="D62" s="26" t="s">
        <v>111</v>
      </c>
      <c r="E62" s="26" t="s">
        <v>111</v>
      </c>
      <c r="F62" s="26" t="s">
        <v>111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6" t="s">
        <v>112</v>
      </c>
      <c r="C63" s="26" t="s">
        <v>112</v>
      </c>
      <c r="D63" s="26" t="s">
        <v>112</v>
      </c>
      <c r="E63" s="26" t="s">
        <v>112</v>
      </c>
      <c r="F63" s="26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6" t="s">
        <v>113</v>
      </c>
      <c r="C64" s="26" t="s">
        <v>113</v>
      </c>
      <c r="D64" s="26" t="s">
        <v>113</v>
      </c>
      <c r="E64" s="26" t="s">
        <v>113</v>
      </c>
      <c r="F64" s="26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6" t="s">
        <v>114</v>
      </c>
      <c r="C65" s="26" t="s">
        <v>114</v>
      </c>
      <c r="D65" s="26" t="s">
        <v>114</v>
      </c>
      <c r="E65" s="26" t="s">
        <v>114</v>
      </c>
      <c r="F65" s="26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6" t="s">
        <v>115</v>
      </c>
      <c r="C66" s="26" t="s">
        <v>115</v>
      </c>
      <c r="D66" s="26" t="s">
        <v>115</v>
      </c>
      <c r="E66" s="26" t="s">
        <v>115</v>
      </c>
      <c r="F66" s="26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6" t="s">
        <v>116</v>
      </c>
      <c r="C67" s="26" t="s">
        <v>116</v>
      </c>
      <c r="D67" s="26" t="s">
        <v>116</v>
      </c>
      <c r="E67" s="26" t="s">
        <v>116</v>
      </c>
      <c r="F67" s="26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</row>
    <row r="69" spans="1:12" x14ac:dyDescent="0.35">
      <c r="A69" s="27"/>
      <c r="B69" s="28" t="s">
        <v>117</v>
      </c>
      <c r="C69" s="27"/>
      <c r="D69" s="27"/>
      <c r="E69" s="13"/>
      <c r="F69" s="13"/>
      <c r="G69" s="13"/>
      <c r="H69" s="13"/>
    </row>
    <row r="70" spans="1:12" x14ac:dyDescent="0.35">
      <c r="A70" s="27"/>
      <c r="B70" s="29" t="s">
        <v>20</v>
      </c>
      <c r="C70" s="30"/>
      <c r="D70" s="31">
        <v>17.850000000000001</v>
      </c>
      <c r="E70" s="13"/>
      <c r="F70" s="13"/>
      <c r="G70" s="13"/>
      <c r="H70" s="13"/>
    </row>
    <row r="71" spans="1:12" x14ac:dyDescent="0.35">
      <c r="A71" s="27"/>
      <c r="B71" s="29" t="s">
        <v>36</v>
      </c>
      <c r="C71" s="30"/>
      <c r="D71" s="31">
        <v>14.75</v>
      </c>
      <c r="E71" s="13"/>
      <c r="F71" s="13"/>
      <c r="G71" s="13"/>
      <c r="H71" s="13"/>
    </row>
    <row r="72" spans="1:12" x14ac:dyDescent="0.35">
      <c r="A72" s="27"/>
      <c r="B72" s="29" t="s">
        <v>31</v>
      </c>
      <c r="C72" s="30"/>
      <c r="D72" s="31">
        <v>13.57</v>
      </c>
      <c r="E72" s="13"/>
      <c r="F72" s="13"/>
      <c r="G72" s="13"/>
      <c r="H72" s="13"/>
    </row>
    <row r="73" spans="1:12" x14ac:dyDescent="0.35">
      <c r="A73" s="27"/>
      <c r="B73" s="29" t="s">
        <v>25</v>
      </c>
      <c r="C73" s="30"/>
      <c r="D73" s="31">
        <v>6.13</v>
      </c>
      <c r="E73" s="13"/>
      <c r="F73" s="13"/>
      <c r="G73" s="13"/>
      <c r="H73" s="13"/>
    </row>
    <row r="74" spans="1:12" x14ac:dyDescent="0.35">
      <c r="A74" s="27"/>
      <c r="B74" s="29" t="s">
        <v>28</v>
      </c>
      <c r="C74" s="30"/>
      <c r="D74" s="31">
        <v>5.2</v>
      </c>
      <c r="E74" s="13"/>
      <c r="F74" s="13"/>
      <c r="G74" s="13"/>
      <c r="H74" s="13"/>
    </row>
    <row r="75" spans="1:12" x14ac:dyDescent="0.35">
      <c r="A75" s="27"/>
      <c r="B75" s="29" t="s">
        <v>39</v>
      </c>
      <c r="C75" s="30"/>
      <c r="D75" s="31">
        <v>5.01</v>
      </c>
      <c r="E75" s="13"/>
      <c r="F75" s="13"/>
      <c r="G75" s="13"/>
      <c r="H75" s="13"/>
    </row>
    <row r="76" spans="1:12" x14ac:dyDescent="0.35">
      <c r="A76" s="27"/>
      <c r="B76" s="29" t="s">
        <v>62</v>
      </c>
      <c r="C76" s="30"/>
      <c r="D76" s="31">
        <v>4.8000000000000007</v>
      </c>
      <c r="E76" s="13"/>
      <c r="F76" s="13"/>
      <c r="G76" s="13"/>
      <c r="H76" s="13"/>
    </row>
    <row r="77" spans="1:12" x14ac:dyDescent="0.35">
      <c r="A77" s="27"/>
      <c r="B77" s="29" t="s">
        <v>65</v>
      </c>
      <c r="C77" s="30"/>
      <c r="D77" s="31">
        <v>4.6300000000000008</v>
      </c>
      <c r="E77" s="13"/>
      <c r="F77" s="13"/>
      <c r="G77" s="13"/>
      <c r="H77" s="13"/>
    </row>
    <row r="78" spans="1:12" x14ac:dyDescent="0.35">
      <c r="A78" s="27"/>
      <c r="B78" s="29" t="s">
        <v>46</v>
      </c>
      <c r="C78" s="30"/>
      <c r="D78" s="31">
        <v>4.04</v>
      </c>
      <c r="E78" s="13"/>
      <c r="F78" s="13"/>
      <c r="G78" s="13"/>
      <c r="H78" s="13"/>
    </row>
    <row r="79" spans="1:12" x14ac:dyDescent="0.35">
      <c r="A79" s="27"/>
      <c r="B79" s="29" t="s">
        <v>49</v>
      </c>
      <c r="C79" s="30"/>
      <c r="D79" s="31">
        <v>3.86</v>
      </c>
      <c r="E79" s="13"/>
      <c r="F79" s="13"/>
      <c r="G79" s="13"/>
      <c r="H79" s="13"/>
    </row>
    <row r="80" spans="1:12" x14ac:dyDescent="0.35">
      <c r="A80" s="27"/>
      <c r="B80" s="29" t="s">
        <v>52</v>
      </c>
      <c r="C80" s="30"/>
      <c r="D80" s="31">
        <v>3.83</v>
      </c>
      <c r="E80" s="13"/>
      <c r="F80" s="13"/>
      <c r="G80" s="13"/>
      <c r="H80" s="13"/>
    </row>
    <row r="81" spans="1:8" x14ac:dyDescent="0.35">
      <c r="A81" s="27"/>
      <c r="B81" s="29" t="s">
        <v>55</v>
      </c>
      <c r="C81" s="30"/>
      <c r="D81" s="31">
        <v>3.71</v>
      </c>
      <c r="E81" s="13"/>
      <c r="F81" s="13"/>
      <c r="G81" s="13"/>
      <c r="H81" s="13"/>
    </row>
    <row r="82" spans="1:8" x14ac:dyDescent="0.35">
      <c r="A82" s="27"/>
      <c r="B82" s="29" t="s">
        <v>68</v>
      </c>
      <c r="C82" s="30"/>
      <c r="D82" s="31">
        <v>2.33</v>
      </c>
      <c r="E82" s="13"/>
      <c r="F82" s="13"/>
      <c r="G82" s="13"/>
      <c r="H82" s="13"/>
    </row>
    <row r="83" spans="1:8" x14ac:dyDescent="0.35">
      <c r="A83" s="27"/>
      <c r="B83" s="29" t="s">
        <v>75</v>
      </c>
      <c r="C83" s="30"/>
      <c r="D83" s="31">
        <v>2.13</v>
      </c>
      <c r="E83" s="13"/>
      <c r="F83" s="13"/>
      <c r="G83" s="13"/>
      <c r="H83" s="13"/>
    </row>
    <row r="84" spans="1:8" x14ac:dyDescent="0.35">
      <c r="A84" s="27"/>
      <c r="B84" s="29" t="s">
        <v>78</v>
      </c>
      <c r="C84" s="30"/>
      <c r="D84" s="31">
        <v>2.0699999999999998</v>
      </c>
      <c r="E84" s="13"/>
      <c r="F84" s="13"/>
      <c r="G84" s="13"/>
      <c r="H84" s="13"/>
    </row>
    <row r="85" spans="1:8" x14ac:dyDescent="0.35">
      <c r="A85" s="27"/>
      <c r="B85" s="29" t="s">
        <v>83</v>
      </c>
      <c r="C85" s="30"/>
      <c r="D85" s="31">
        <v>1.83</v>
      </c>
      <c r="E85" s="13"/>
      <c r="F85" s="13"/>
      <c r="G85" s="13"/>
      <c r="H85" s="13"/>
    </row>
    <row r="86" spans="1:8" x14ac:dyDescent="0.35">
      <c r="A86" s="27"/>
      <c r="B86" s="29" t="s">
        <v>88</v>
      </c>
      <c r="C86" s="30"/>
      <c r="D86" s="31">
        <v>1.44</v>
      </c>
      <c r="E86" s="13"/>
      <c r="F86" s="13"/>
      <c r="G86" s="13"/>
      <c r="H86" s="13"/>
    </row>
    <row r="87" spans="1:8" x14ac:dyDescent="0.35">
      <c r="A87" s="27"/>
      <c r="B87" s="29" t="s">
        <v>94</v>
      </c>
      <c r="C87" s="30"/>
      <c r="D87" s="31">
        <v>1.4</v>
      </c>
      <c r="E87" s="13"/>
      <c r="F87" s="13"/>
      <c r="G87" s="13"/>
      <c r="H87" s="13"/>
    </row>
    <row r="88" spans="1:8" x14ac:dyDescent="0.35">
      <c r="A88" s="27"/>
      <c r="B88" s="29" t="s">
        <v>91</v>
      </c>
      <c r="C88" s="30"/>
      <c r="D88" s="31">
        <v>1.4</v>
      </c>
      <c r="E88" s="13"/>
      <c r="F88" s="13"/>
      <c r="G88" s="13"/>
      <c r="H88" s="13"/>
    </row>
    <row r="89" spans="1:8" x14ac:dyDescent="0.35">
      <c r="A89" s="27"/>
      <c r="B89" s="29" t="s">
        <v>118</v>
      </c>
      <c r="C89" s="30"/>
      <c r="D89" s="31">
        <v>2.0000000000000004E-2</v>
      </c>
      <c r="E89" s="13"/>
      <c r="F89" s="13"/>
      <c r="G89" s="13"/>
      <c r="H89" s="13"/>
    </row>
    <row r="90" spans="1:8" x14ac:dyDescent="0.35">
      <c r="A90" s="27"/>
      <c r="B90" s="27"/>
      <c r="C90" s="27"/>
      <c r="D90" s="27"/>
      <c r="E90" s="13"/>
      <c r="F90" s="13"/>
      <c r="G90" s="13"/>
      <c r="H90" s="13"/>
    </row>
    <row r="91" spans="1:8" x14ac:dyDescent="0.35">
      <c r="A91" s="32"/>
      <c r="B91" s="32"/>
      <c r="C91" s="32"/>
      <c r="D91" s="32"/>
      <c r="E91" s="32"/>
      <c r="F91" s="32"/>
      <c r="G91" s="32"/>
      <c r="H91" s="32"/>
    </row>
    <row r="92" spans="1:8" x14ac:dyDescent="0.35">
      <c r="A92" s="32"/>
      <c r="B92" s="10" t="s">
        <v>119</v>
      </c>
      <c r="C92" s="32"/>
      <c r="D92" s="32"/>
      <c r="E92" s="32"/>
      <c r="F92" s="32"/>
      <c r="G92" s="32"/>
      <c r="H92" s="32"/>
    </row>
    <row r="93" spans="1:8" x14ac:dyDescent="0.35">
      <c r="A93" s="13"/>
      <c r="B93" s="13" t="s">
        <v>120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33" t="s">
        <v>121</v>
      </c>
      <c r="C94" s="34" t="s">
        <v>122</v>
      </c>
      <c r="D94" s="33" t="s">
        <v>123</v>
      </c>
      <c r="E94" s="13"/>
      <c r="F94" s="13"/>
      <c r="G94" s="13"/>
      <c r="H94" s="32"/>
    </row>
    <row r="95" spans="1:8" x14ac:dyDescent="0.35">
      <c r="A95" s="13"/>
      <c r="B95" s="10" t="s">
        <v>124</v>
      </c>
      <c r="C95" s="16">
        <v>30.098299999999998</v>
      </c>
      <c r="D95" s="16">
        <v>29.895900000000001</v>
      </c>
      <c r="E95" s="13"/>
      <c r="F95" s="13"/>
      <c r="G95" s="13"/>
      <c r="H95" s="32"/>
    </row>
    <row r="96" spans="1:8" x14ac:dyDescent="0.35">
      <c r="A96" s="13"/>
      <c r="B96" s="10" t="s">
        <v>13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13"/>
      <c r="C97" s="13"/>
      <c r="D97" s="13"/>
      <c r="E97" s="13"/>
      <c r="F97" s="13"/>
      <c r="G97" s="13"/>
      <c r="H97" s="32"/>
    </row>
    <row r="98" spans="1:8" x14ac:dyDescent="0.35">
      <c r="A98" s="13"/>
      <c r="B98" s="13" t="s">
        <v>125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13"/>
      <c r="C99" s="13"/>
      <c r="D99" s="13"/>
      <c r="E99" s="13"/>
      <c r="F99" s="13"/>
      <c r="G99" s="13"/>
      <c r="H99" s="32"/>
    </row>
    <row r="100" spans="1:8" x14ac:dyDescent="0.35">
      <c r="A100" s="13"/>
      <c r="B100" s="13" t="s">
        <v>126</v>
      </c>
      <c r="C100" s="13"/>
      <c r="D100" s="13"/>
      <c r="E100" s="13"/>
      <c r="F100" s="13"/>
      <c r="G100" s="13"/>
      <c r="H100" s="32"/>
    </row>
    <row r="101" spans="1:8" x14ac:dyDescent="0.35">
      <c r="A101" s="32"/>
      <c r="B101" s="32"/>
      <c r="C101" s="32"/>
      <c r="D101" s="32"/>
      <c r="E101" s="32"/>
      <c r="F101" s="32"/>
      <c r="G101" s="32"/>
      <c r="H101" s="32"/>
    </row>
    <row r="102" spans="1:8" x14ac:dyDescent="0.35">
      <c r="A102" s="13"/>
      <c r="B102" s="13" t="s">
        <v>127</v>
      </c>
      <c r="C102" s="13"/>
      <c r="D102" s="13"/>
      <c r="E102" s="13"/>
      <c r="F102" s="13"/>
      <c r="G102" s="13"/>
      <c r="H102" s="13"/>
    </row>
    <row r="103" spans="1:8" x14ac:dyDescent="0.35">
      <c r="A103" s="13"/>
      <c r="B103" s="13" t="s">
        <v>128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129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130</v>
      </c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/>
      <c r="C109" s="13"/>
      <c r="D109" s="13"/>
      <c r="E109" s="13"/>
      <c r="F109" s="13"/>
      <c r="G109" s="13"/>
      <c r="H109" s="32"/>
    </row>
    <row r="111" spans="1:8" x14ac:dyDescent="0.35">
      <c r="B111" s="35" t="s">
        <v>134</v>
      </c>
    </row>
    <row r="127" spans="2:2" x14ac:dyDescent="0.35">
      <c r="B127" s="35" t="s">
        <v>135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2025-10-07T08:45:40Z</dcterms:created>
  <dcterms:modified xsi:type="dcterms:W3CDTF">2025-10-07T08:45:41Z</dcterms:modified>
</cp:coreProperties>
</file>