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H12" i="2" s="1"/>
  <c r="H9" i="2"/>
  <c r="A7" i="2"/>
</calcChain>
</file>

<file path=xl/sharedStrings.xml><?xml version="1.0" encoding="utf-8"?>
<sst xmlns="http://schemas.openxmlformats.org/spreadsheetml/2006/main" count="557" uniqueCount="222">
  <si>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</si>
  <si>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</si>
  <si>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</si>
  <si>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</si>
  <si>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</si>
  <si>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</si>
  <si>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</si>
  <si>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</si>
  <si>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</si>
  <si>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</si>
  <si>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</si>
  <si>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</si>
  <si>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</si>
  <si>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</si>
  <si>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</si>
  <si>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</si>
  <si>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</si>
  <si>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</si>
  <si>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</si>
  <si>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</si>
  <si>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</si>
  <si>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</si>
  <si>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</si>
  <si>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</si>
  <si>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</si>
  <si>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</si>
  <si>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</si>
  <si>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</si>
  <si>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</si>
  <si>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</si>
  <si>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</si>
  <si>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</si>
  <si>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</si>
  <si>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</si>
  <si>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</si>
  <si>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</si>
  <si>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</si>
  <si>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</si>
  <si>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</si>
  <si>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</si>
  <si>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</si>
  <si>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</si>
  <si>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</si>
  <si>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INE154A01025</t>
  </si>
  <si>
    <t>ITC Ltd.</t>
  </si>
  <si>
    <t>Diversified FMCG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</si>
  <si>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</si>
  <si>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</si>
  <si>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</si>
  <si>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</si>
  <si>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</si>
  <si>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</si>
  <si>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</si>
  <si>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</si>
  <si>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</si>
  <si>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</si>
  <si>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</si>
  <si>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</si>
  <si>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INE089A01023</t>
  </si>
  <si>
    <t>Dr Reddys Laboratories Ltd.</t>
  </si>
  <si>
    <t>Pharmaceuticals &amp; Biotechnology</t>
  </si>
  <si>
    <t>INE585B01010</t>
  </si>
  <si>
    <t>Maruti Suzuki India Limited</t>
  </si>
  <si>
    <t>Automobiles</t>
  </si>
  <si>
    <t>INE123W01016</t>
  </si>
  <si>
    <t>SBI Life Insurance Company Ltd.</t>
  </si>
  <si>
    <t>INE246F01010</t>
  </si>
  <si>
    <t>Gujarat State Petronet Ltd.</t>
  </si>
  <si>
    <t>Gas</t>
  </si>
  <si>
    <t>INE386A01015</t>
  </si>
  <si>
    <t>Vesuvius India Ltd.</t>
  </si>
  <si>
    <t>Industrial Products</t>
  </si>
  <si>
    <t>INE225D01027</t>
  </si>
  <si>
    <t>Symphony Ltd.</t>
  </si>
  <si>
    <t>Consumer Durables</t>
  </si>
  <si>
    <t>INE235A01022</t>
  </si>
  <si>
    <t>Finolex Cables Ltd.</t>
  </si>
  <si>
    <t>INE462A01022</t>
  </si>
  <si>
    <t>Bayer Cropscience Ltd</t>
  </si>
  <si>
    <t>Fertilizers &amp; Agrochemicals</t>
  </si>
  <si>
    <t>INE066F01020</t>
  </si>
  <si>
    <t>Hindustan Aeronautics Limited</t>
  </si>
  <si>
    <t>Aerospace &amp; Defense</t>
  </si>
  <si>
    <t>INE685A01028</t>
  </si>
  <si>
    <t>Torrent Pharmaceuticals Ltd.</t>
  </si>
  <si>
    <t>INE517F01014</t>
  </si>
  <si>
    <t>Gujarat Pipavav Port Ltd.</t>
  </si>
  <si>
    <t>Transport Infrastructure</t>
  </si>
  <si>
    <t>INE220B01022</t>
  </si>
  <si>
    <t>Kalpataru Projects International Ltd</t>
  </si>
  <si>
    <t>INE094A01015</t>
  </si>
  <si>
    <t>Hindustan Petroleum Corp. Ltd.</t>
  </si>
  <si>
    <t>INE119A01028</t>
  </si>
  <si>
    <t>Balrampur Chini Mills Ltd.</t>
  </si>
  <si>
    <t>Agricultural Food &amp; Other Products</t>
  </si>
  <si>
    <t>INE901L01018</t>
  </si>
  <si>
    <t>Alembic Pharmaceuticals Limited</t>
  </si>
  <si>
    <t>INE752E01010</t>
  </si>
  <si>
    <t>Power Grid Corporation of India Ltd.</t>
  </si>
  <si>
    <t>Power</t>
  </si>
  <si>
    <t>INE491A01021</t>
  </si>
  <si>
    <t>City Union Bank Ltd.</t>
  </si>
  <si>
    <t>INE079J01017</t>
  </si>
  <si>
    <t>Gateway Distriparks Limited</t>
  </si>
  <si>
    <t>INE533A01012</t>
  </si>
  <si>
    <t>Goodyear India Ltd.</t>
  </si>
  <si>
    <t>Auto Components</t>
  </si>
  <si>
    <t>INE474Q01031</t>
  </si>
  <si>
    <t>Global Health Limited</t>
  </si>
  <si>
    <t>Healthcare Services</t>
  </si>
  <si>
    <t>INE162B01018</t>
  </si>
  <si>
    <t>Lumax Industries Ltd</t>
  </si>
  <si>
    <t>INE294Z01018</t>
  </si>
  <si>
    <t>The Anup Engineering Limited</t>
  </si>
  <si>
    <t>Industrial Manufacturing</t>
  </si>
  <si>
    <t>INE070I01018</t>
  </si>
  <si>
    <t>Insecticides (India) Ltd.</t>
  </si>
  <si>
    <t>INE058A01010</t>
  </si>
  <si>
    <t>Sanofi India Limited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</si>
  <si>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</si>
  <si>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</si>
  <si>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</si>
  <si>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</si>
  <si>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</si>
  <si>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</si>
  <si>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INE772T01024</t>
  </si>
  <si>
    <t>Popular Vehicles and Services Limited</t>
  </si>
  <si>
    <t>INE334A01023</t>
  </si>
  <si>
    <t>STERLING TOOLS LIMITED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</si>
  <si>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</si>
  <si>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</si>
  <si>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</si>
  <si>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</si>
  <si>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</si>
  <si>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</si>
  <si>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(b) Unlisted</t>
  </si>
  <si>
    <t>INE0UOS01011</t>
  </si>
  <si>
    <t>Sanofi  Consumer Healthcare India Limited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</si>
  <si>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</si>
  <si>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</si>
  <si>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</si>
  <si>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</si>
  <si>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</si>
  <si>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</si>
  <si>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</si>
  <si>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</si>
  <si>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</si>
  <si>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</si>
  <si>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</si>
  <si>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</si>
  <si>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</si>
  <si>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</si>
  <si>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</si>
  <si>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</si>
  <si>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</si>
  <si>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</si>
  <si>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</si>
  <si>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</si>
  <si>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</si>
  <si>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</si>
  <si>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NA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</si>
  <si>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</si>
  <si>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</si>
  <si>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</si>
  <si>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</si>
  <si>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</si>
  <si>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</si>
  <si>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</si>
  <si>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</si>
  <si>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</si>
  <si>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</si>
  <si>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</si>
  <si>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</si>
  <si>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</si>
  <si>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</si>
  <si>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</si>
  <si>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</si>
  <si>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</si>
  <si>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</si>
  <si>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</si>
  <si>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</si>
  <si>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</si>
  <si>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</si>
  <si>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</si>
  <si>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</si>
  <si>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</si>
  <si>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</si>
  <si>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</si>
  <si>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</si>
  <si>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Below Investment Grade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</si>
  <si>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</si>
  <si>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</si>
  <si>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</si>
  <si>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</si>
  <si>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</si>
  <si>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</si>
  <si>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</si>
  <si>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</si>
  <si>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</si>
  <si>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</si>
  <si>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</si>
  <si>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</si>
  <si>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Rs.(2014.42)Lacs</t>
  </si>
  <si>
    <t>6) Annualised Portfolio YTM : 7.3%</t>
  </si>
  <si>
    <t>7) Macaulay Duration : 1815.31 Days</t>
  </si>
  <si>
    <t>8) Residual Maturity (Average Portfolio Maturity-other than equity investments) : 2946.43 Days</t>
  </si>
  <si>
    <t>9) IDCW stands for Income Distribution cum Capital Withdrawal</t>
  </si>
  <si>
    <t>10) Riskometer based on Scheme Portfolio and Portfolio Benchmark "NIFTY 50 Hybrid Composite Debt 15:85 Index" as on Aug 31, 2024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</si>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</sst>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00"/>
    <numFmt numFmtId="165" formatCode="_(* #,##0_);_(* \(#,##0\);_(* &quot;-&quot;??_);_(@_)"/>
    <numFmt numFmtId="166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3" fillId="0" borderId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4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43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5" fontId="17" fillId="0" borderId="1" xfId="3" applyNumberFormat="1" applyFont="1" applyFill="1" applyBorder="1" applyAlignment="1">
      <alignment horizontal="right" vertical="center"/>
    </xf>
    <xf numFmtId="43" fontId="17" fillId="0" borderId="1" xfId="2" applyFont="1" applyFill="1" applyBorder="1" applyAlignment="1">
      <alignment horizontal="right" vertical="top"/>
    </xf>
    <xf numFmtId="43" fontId="13" fillId="0" borderId="1" xfId="2" applyFont="1" applyFill="1" applyBorder="1" applyAlignment="1"/>
    <xf numFmtId="15" fontId="13" fillId="0" borderId="0" xfId="2" quotePrefix="1" applyNumberFormat="1" applyFont="1" applyFill="1" applyBorder="1" applyAlignment="1"/>
    <xf numFmtId="43" fontId="13" fillId="0" borderId="0" xfId="1" applyNumberFormat="1" applyFont="1" applyFill="1" applyBorder="1" applyAlignment="1"/>
    <xf numFmtId="166" fontId="13" fillId="0" borderId="0" xfId="1" applyNumberFormat="1" applyFont="1" applyFill="1" applyBorder="1" applyAlignment="1"/>
  </cellXfs>
  <cellStyles count="4">
    <cellStyle name="Comma 2" xfId="3"/>
    <cellStyle name="Comma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50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98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bkcnas1\test\Accops_Profile\Redirection\miltonl\Downloads\Monthly%20Portfolios%20for%20Augu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7">
          <cell r="A7" t="str">
            <v>A.  Hedging Positions through Futures as on Aug 31, 2024</v>
          </cell>
        </row>
      </sheetData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32977</v>
      </c>
      <c r="G9" s="15">
        <v>1501.69</v>
      </c>
      <c r="H9" s="15">
        <v>9.2899999999999991</v>
      </c>
      <c r="I9" s="16" t="s">
        <v>20</v>
      </c>
      <c r="J9" s="16" t="s">
        <v>20</v>
      </c>
      <c r="K9" s="17">
        <v>8.7200000000000006</v>
      </c>
      <c r="L9" s="18">
        <v>0.61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19700</v>
      </c>
      <c r="G10" s="15">
        <v>729.82</v>
      </c>
      <c r="H10" s="15">
        <v>4.51</v>
      </c>
      <c r="I10" s="16" t="s">
        <v>20</v>
      </c>
      <c r="J10" s="16" t="s">
        <v>20</v>
      </c>
      <c r="K10" s="17">
        <v>3.74</v>
      </c>
      <c r="L10" s="18">
        <v>0.8</v>
      </c>
    </row>
    <row r="11" spans="1:12" x14ac:dyDescent="0.25">
      <c r="A11" s="12" t="s">
        <v>20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30000</v>
      </c>
      <c r="G11" s="15">
        <v>368.76</v>
      </c>
      <c r="H11" s="15">
        <v>2.2799999999999998</v>
      </c>
      <c r="I11" s="16" t="s">
        <v>20</v>
      </c>
      <c r="J11" s="16" t="s">
        <v>20</v>
      </c>
      <c r="K11" s="17">
        <v>0</v>
      </c>
      <c r="L11" s="18">
        <v>2.2799999999999998</v>
      </c>
    </row>
    <row r="12" spans="1:12" x14ac:dyDescent="0.2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28</v>
      </c>
      <c r="F12" s="14">
        <v>21900</v>
      </c>
      <c r="G12" s="15">
        <v>358.48</v>
      </c>
      <c r="H12" s="15">
        <v>2.2200000000000002</v>
      </c>
      <c r="I12" s="16" t="s">
        <v>20</v>
      </c>
      <c r="J12" s="16" t="s">
        <v>20</v>
      </c>
      <c r="K12" s="17">
        <v>0</v>
      </c>
      <c r="L12" s="18">
        <v>2.2200000000000002</v>
      </c>
    </row>
    <row r="13" spans="1:12" x14ac:dyDescent="0.25">
      <c r="A13" s="12" t="s">
        <v>20</v>
      </c>
      <c r="B13" s="13" t="s">
        <v>31</v>
      </c>
      <c r="C13" s="13" t="s">
        <v>20</v>
      </c>
      <c r="D13" s="13" t="s">
        <v>32</v>
      </c>
      <c r="E13" s="13" t="s">
        <v>22</v>
      </c>
      <c r="F13" s="14">
        <v>10000</v>
      </c>
      <c r="G13" s="15">
        <v>194.37</v>
      </c>
      <c r="H13" s="15">
        <v>1.2</v>
      </c>
      <c r="I13" s="16" t="s">
        <v>20</v>
      </c>
      <c r="J13" s="16" t="s">
        <v>20</v>
      </c>
      <c r="K13" s="17">
        <v>0</v>
      </c>
      <c r="L13" s="18">
        <v>1.2</v>
      </c>
    </row>
    <row r="14" spans="1:12" x14ac:dyDescent="0.25">
      <c r="A14" s="12" t="s">
        <v>20</v>
      </c>
      <c r="B14" s="13" t="s">
        <v>33</v>
      </c>
      <c r="C14" s="13" t="s">
        <v>20</v>
      </c>
      <c r="D14" s="13" t="s">
        <v>34</v>
      </c>
      <c r="E14" s="13" t="s">
        <v>35</v>
      </c>
      <c r="F14" s="14">
        <v>6000</v>
      </c>
      <c r="G14" s="15">
        <v>181.16</v>
      </c>
      <c r="H14" s="15">
        <v>1.1200000000000001</v>
      </c>
      <c r="I14" s="16" t="s">
        <v>20</v>
      </c>
      <c r="J14" s="16" t="s">
        <v>20</v>
      </c>
      <c r="K14" s="17">
        <v>0</v>
      </c>
      <c r="L14" s="18">
        <v>1.1200000000000001</v>
      </c>
    </row>
    <row r="15" spans="1:12" x14ac:dyDescent="0.25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38</v>
      </c>
      <c r="F15" s="14">
        <v>10000</v>
      </c>
      <c r="G15" s="15">
        <v>158.91</v>
      </c>
      <c r="H15" s="15">
        <v>0.98</v>
      </c>
      <c r="I15" s="16" t="s">
        <v>20</v>
      </c>
      <c r="J15" s="16" t="s">
        <v>20</v>
      </c>
      <c r="K15" s="17">
        <v>0</v>
      </c>
      <c r="L15" s="18">
        <v>0.98</v>
      </c>
    </row>
    <row r="16" spans="1:12" x14ac:dyDescent="0.25">
      <c r="A16" s="12" t="s">
        <v>20</v>
      </c>
      <c r="B16" s="13" t="s">
        <v>39</v>
      </c>
      <c r="C16" s="13" t="s">
        <v>20</v>
      </c>
      <c r="D16" s="13" t="s">
        <v>40</v>
      </c>
      <c r="E16" s="13" t="s">
        <v>28</v>
      </c>
      <c r="F16" s="14">
        <v>19500</v>
      </c>
      <c r="G16" s="15">
        <v>159.04</v>
      </c>
      <c r="H16" s="15">
        <v>0.98</v>
      </c>
      <c r="I16" s="16" t="s">
        <v>20</v>
      </c>
      <c r="J16" s="16" t="s">
        <v>20</v>
      </c>
      <c r="K16" s="17">
        <v>0</v>
      </c>
      <c r="L16" s="18">
        <v>0.98</v>
      </c>
    </row>
    <row r="17" spans="1:12" x14ac:dyDescent="0.25">
      <c r="A17" s="12" t="s">
        <v>20</v>
      </c>
      <c r="B17" s="13" t="s">
        <v>41</v>
      </c>
      <c r="C17" s="13" t="s">
        <v>20</v>
      </c>
      <c r="D17" s="13" t="s">
        <v>42</v>
      </c>
      <c r="E17" s="13" t="s">
        <v>28</v>
      </c>
      <c r="F17" s="14">
        <v>13000</v>
      </c>
      <c r="G17" s="15">
        <v>152.78</v>
      </c>
      <c r="H17" s="15">
        <v>0.94</v>
      </c>
      <c r="I17" s="16" t="s">
        <v>20</v>
      </c>
      <c r="J17" s="16" t="s">
        <v>20</v>
      </c>
      <c r="K17" s="17">
        <v>0</v>
      </c>
      <c r="L17" s="18">
        <v>0.94</v>
      </c>
    </row>
    <row r="18" spans="1:12" x14ac:dyDescent="0.25">
      <c r="A18" s="12" t="s">
        <v>20</v>
      </c>
      <c r="B18" s="13" t="s">
        <v>43</v>
      </c>
      <c r="C18" s="13" t="s">
        <v>20</v>
      </c>
      <c r="D18" s="13" t="s">
        <v>44</v>
      </c>
      <c r="E18" s="13" t="s">
        <v>45</v>
      </c>
      <c r="F18" s="14">
        <v>30000</v>
      </c>
      <c r="G18" s="15">
        <v>150.57</v>
      </c>
      <c r="H18" s="15">
        <v>0.93</v>
      </c>
      <c r="I18" s="16" t="s">
        <v>20</v>
      </c>
      <c r="J18" s="16" t="s">
        <v>20</v>
      </c>
      <c r="K18" s="17">
        <v>0</v>
      </c>
      <c r="L18" s="18">
        <v>0.93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9500</v>
      </c>
      <c r="G19" s="15">
        <v>140.06</v>
      </c>
      <c r="H19" s="15">
        <v>0.87</v>
      </c>
      <c r="I19" s="16" t="s">
        <v>20</v>
      </c>
      <c r="J19" s="16" t="s">
        <v>20</v>
      </c>
      <c r="K19" s="17">
        <v>0</v>
      </c>
      <c r="L19" s="18">
        <v>0.87</v>
      </c>
    </row>
    <row r="20" spans="1:12" x14ac:dyDescent="0.2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1000</v>
      </c>
      <c r="G20" s="15">
        <v>141.04</v>
      </c>
      <c r="H20" s="15">
        <v>0.87</v>
      </c>
      <c r="I20" s="16" t="s">
        <v>20</v>
      </c>
      <c r="J20" s="16" t="s">
        <v>20</v>
      </c>
      <c r="K20" s="17">
        <v>0</v>
      </c>
      <c r="L20" s="18">
        <v>0.87</v>
      </c>
    </row>
    <row r="21" spans="1:12" x14ac:dyDescent="0.2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54</v>
      </c>
      <c r="F21" s="14">
        <v>6000</v>
      </c>
      <c r="G21" s="15">
        <v>128.51</v>
      </c>
      <c r="H21" s="15">
        <v>0.79</v>
      </c>
      <c r="I21" s="16" t="s">
        <v>20</v>
      </c>
      <c r="J21" s="16" t="s">
        <v>20</v>
      </c>
      <c r="K21" s="17">
        <v>0</v>
      </c>
      <c r="L21" s="18">
        <v>0.79</v>
      </c>
    </row>
    <row r="22" spans="1:12" x14ac:dyDescent="0.25">
      <c r="A22" s="12" t="s">
        <v>20</v>
      </c>
      <c r="B22" s="13" t="s">
        <v>55</v>
      </c>
      <c r="C22" s="13" t="s">
        <v>20</v>
      </c>
      <c r="D22" s="13" t="s">
        <v>56</v>
      </c>
      <c r="E22" s="13" t="s">
        <v>57</v>
      </c>
      <c r="F22" s="14">
        <v>10000</v>
      </c>
      <c r="G22" s="15">
        <v>108.59</v>
      </c>
      <c r="H22" s="15">
        <v>0.67</v>
      </c>
      <c r="I22" s="16" t="s">
        <v>20</v>
      </c>
      <c r="J22" s="16" t="s">
        <v>20</v>
      </c>
      <c r="K22" s="17">
        <v>0</v>
      </c>
      <c r="L22" s="18">
        <v>0.67</v>
      </c>
    </row>
    <row r="23" spans="1:12" x14ac:dyDescent="0.25">
      <c r="A23" s="12" t="s">
        <v>20</v>
      </c>
      <c r="B23" s="13" t="s">
        <v>58</v>
      </c>
      <c r="C23" s="13" t="s">
        <v>20</v>
      </c>
      <c r="D23" s="13" t="s">
        <v>59</v>
      </c>
      <c r="E23" s="13" t="s">
        <v>60</v>
      </c>
      <c r="F23" s="14">
        <v>1500</v>
      </c>
      <c r="G23" s="15">
        <v>105.47</v>
      </c>
      <c r="H23" s="15">
        <v>0.65</v>
      </c>
      <c r="I23" s="16" t="s">
        <v>20</v>
      </c>
      <c r="J23" s="16" t="s">
        <v>20</v>
      </c>
      <c r="K23" s="17">
        <v>0</v>
      </c>
      <c r="L23" s="18">
        <v>0.65</v>
      </c>
    </row>
    <row r="24" spans="1:12" x14ac:dyDescent="0.25">
      <c r="A24" s="12" t="s">
        <v>20</v>
      </c>
      <c r="B24" s="13" t="s">
        <v>61</v>
      </c>
      <c r="C24" s="13" t="s">
        <v>20</v>
      </c>
      <c r="D24" s="13" t="s">
        <v>62</v>
      </c>
      <c r="E24" s="13" t="s">
        <v>63</v>
      </c>
      <c r="F24" s="14">
        <v>800</v>
      </c>
      <c r="G24" s="15">
        <v>99.22</v>
      </c>
      <c r="H24" s="15">
        <v>0.61</v>
      </c>
      <c r="I24" s="16" t="s">
        <v>20</v>
      </c>
      <c r="J24" s="16" t="s">
        <v>20</v>
      </c>
      <c r="K24" s="17">
        <v>0</v>
      </c>
      <c r="L24" s="18">
        <v>0.61</v>
      </c>
    </row>
    <row r="25" spans="1:12" x14ac:dyDescent="0.25">
      <c r="A25" s="12" t="s">
        <v>20</v>
      </c>
      <c r="B25" s="13" t="s">
        <v>64</v>
      </c>
      <c r="C25" s="13" t="s">
        <v>20</v>
      </c>
      <c r="D25" s="13" t="s">
        <v>65</v>
      </c>
      <c r="E25" s="13" t="s">
        <v>54</v>
      </c>
      <c r="F25" s="14">
        <v>5000</v>
      </c>
      <c r="G25" s="15">
        <v>92.52</v>
      </c>
      <c r="H25" s="15">
        <v>0.56999999999999995</v>
      </c>
      <c r="I25" s="16" t="s">
        <v>20</v>
      </c>
      <c r="J25" s="16" t="s">
        <v>20</v>
      </c>
      <c r="K25" s="17">
        <v>0</v>
      </c>
      <c r="L25" s="18">
        <v>0.56999999999999995</v>
      </c>
    </row>
    <row r="26" spans="1:12" x14ac:dyDescent="0.25">
      <c r="A26" s="12" t="s">
        <v>20</v>
      </c>
      <c r="B26" s="13" t="s">
        <v>66</v>
      </c>
      <c r="C26" s="13" t="s">
        <v>20</v>
      </c>
      <c r="D26" s="13" t="s">
        <v>67</v>
      </c>
      <c r="E26" s="13" t="s">
        <v>68</v>
      </c>
      <c r="F26" s="14">
        <v>20000</v>
      </c>
      <c r="G26" s="15">
        <v>88.52</v>
      </c>
      <c r="H26" s="15">
        <v>0.55000000000000004</v>
      </c>
      <c r="I26" s="16" t="s">
        <v>20</v>
      </c>
      <c r="J26" s="16" t="s">
        <v>20</v>
      </c>
      <c r="K26" s="17">
        <v>0</v>
      </c>
      <c r="L26" s="18">
        <v>0.55000000000000004</v>
      </c>
    </row>
    <row r="27" spans="1:12" x14ac:dyDescent="0.25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1500</v>
      </c>
      <c r="G27" s="15">
        <v>81.209999999999994</v>
      </c>
      <c r="H27" s="15">
        <v>0.5</v>
      </c>
      <c r="I27" s="16" t="s">
        <v>20</v>
      </c>
      <c r="J27" s="16" t="s">
        <v>20</v>
      </c>
      <c r="K27" s="17">
        <v>0</v>
      </c>
      <c r="L27" s="18">
        <v>0.5</v>
      </c>
    </row>
    <row r="28" spans="1:12" x14ac:dyDescent="0.25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74</v>
      </c>
      <c r="F28" s="14">
        <v>4938</v>
      </c>
      <c r="G28" s="15">
        <v>77.13</v>
      </c>
      <c r="H28" s="15">
        <v>0.48</v>
      </c>
      <c r="I28" s="16" t="s">
        <v>20</v>
      </c>
      <c r="J28" s="16" t="s">
        <v>20</v>
      </c>
      <c r="K28" s="17">
        <v>0</v>
      </c>
      <c r="L28" s="18">
        <v>0.48</v>
      </c>
    </row>
    <row r="29" spans="1:12" x14ac:dyDescent="0.25">
      <c r="A29" s="12" t="s">
        <v>20</v>
      </c>
      <c r="B29" s="13" t="s">
        <v>75</v>
      </c>
      <c r="C29" s="13" t="s">
        <v>20</v>
      </c>
      <c r="D29" s="13" t="s">
        <v>76</v>
      </c>
      <c r="E29" s="13" t="s">
        <v>71</v>
      </c>
      <c r="F29" s="14">
        <v>5000</v>
      </c>
      <c r="G29" s="15">
        <v>72.61</v>
      </c>
      <c r="H29" s="15">
        <v>0.45</v>
      </c>
      <c r="I29" s="16" t="s">
        <v>20</v>
      </c>
      <c r="J29" s="16" t="s">
        <v>20</v>
      </c>
      <c r="K29" s="17">
        <v>0</v>
      </c>
      <c r="L29" s="18">
        <v>0.45</v>
      </c>
    </row>
    <row r="30" spans="1:12" x14ac:dyDescent="0.25">
      <c r="A30" s="12" t="s">
        <v>20</v>
      </c>
      <c r="B30" s="13" t="s">
        <v>77</v>
      </c>
      <c r="C30" s="13" t="s">
        <v>20</v>
      </c>
      <c r="D30" s="13" t="s">
        <v>78</v>
      </c>
      <c r="E30" s="13" t="s">
        <v>79</v>
      </c>
      <c r="F30" s="14">
        <v>1100</v>
      </c>
      <c r="G30" s="15">
        <v>69.180000000000007</v>
      </c>
      <c r="H30" s="15">
        <v>0.43</v>
      </c>
      <c r="I30" s="16" t="s">
        <v>20</v>
      </c>
      <c r="J30" s="16" t="s">
        <v>20</v>
      </c>
      <c r="K30" s="17">
        <v>0</v>
      </c>
      <c r="L30" s="18">
        <v>0.43</v>
      </c>
    </row>
    <row r="31" spans="1:12" x14ac:dyDescent="0.25">
      <c r="A31" s="12" t="s">
        <v>20</v>
      </c>
      <c r="B31" s="13" t="s">
        <v>80</v>
      </c>
      <c r="C31" s="13" t="s">
        <v>20</v>
      </c>
      <c r="D31" s="13" t="s">
        <v>81</v>
      </c>
      <c r="E31" s="13" t="s">
        <v>82</v>
      </c>
      <c r="F31" s="14">
        <v>1500</v>
      </c>
      <c r="G31" s="15">
        <v>70.2</v>
      </c>
      <c r="H31" s="15">
        <v>0.43</v>
      </c>
      <c r="I31" s="16" t="s">
        <v>20</v>
      </c>
      <c r="J31" s="16" t="s">
        <v>20</v>
      </c>
      <c r="K31" s="17">
        <v>0</v>
      </c>
      <c r="L31" s="18">
        <v>0.43</v>
      </c>
    </row>
    <row r="32" spans="1:12" x14ac:dyDescent="0.25">
      <c r="A32" s="12" t="s">
        <v>20</v>
      </c>
      <c r="B32" s="13" t="s">
        <v>83</v>
      </c>
      <c r="C32" s="13" t="s">
        <v>20</v>
      </c>
      <c r="D32" s="13" t="s">
        <v>84</v>
      </c>
      <c r="E32" s="13" t="s">
        <v>60</v>
      </c>
      <c r="F32" s="14">
        <v>2000</v>
      </c>
      <c r="G32" s="15">
        <v>69.7</v>
      </c>
      <c r="H32" s="15">
        <v>0.43</v>
      </c>
      <c r="I32" s="16" t="s">
        <v>20</v>
      </c>
      <c r="J32" s="16" t="s">
        <v>20</v>
      </c>
      <c r="K32" s="17">
        <v>0</v>
      </c>
      <c r="L32" s="18">
        <v>0.43</v>
      </c>
    </row>
    <row r="33" spans="1:12" x14ac:dyDescent="0.25">
      <c r="A33" s="12" t="s">
        <v>20</v>
      </c>
      <c r="B33" s="13" t="s">
        <v>85</v>
      </c>
      <c r="C33" s="13" t="s">
        <v>20</v>
      </c>
      <c r="D33" s="13" t="s">
        <v>86</v>
      </c>
      <c r="E33" s="13" t="s">
        <v>87</v>
      </c>
      <c r="F33" s="14">
        <v>30000</v>
      </c>
      <c r="G33" s="15">
        <v>67.650000000000006</v>
      </c>
      <c r="H33" s="15">
        <v>0.42</v>
      </c>
      <c r="I33" s="16" t="s">
        <v>20</v>
      </c>
      <c r="J33" s="16" t="s">
        <v>20</v>
      </c>
      <c r="K33" s="17">
        <v>0</v>
      </c>
      <c r="L33" s="18">
        <v>0.42</v>
      </c>
    </row>
    <row r="34" spans="1:12" x14ac:dyDescent="0.25">
      <c r="A34" s="12" t="s">
        <v>20</v>
      </c>
      <c r="B34" s="13" t="s">
        <v>88</v>
      </c>
      <c r="C34" s="13" t="s">
        <v>20</v>
      </c>
      <c r="D34" s="13" t="s">
        <v>89</v>
      </c>
      <c r="E34" s="13" t="s">
        <v>25</v>
      </c>
      <c r="F34" s="14">
        <v>5015</v>
      </c>
      <c r="G34" s="15">
        <v>67.58</v>
      </c>
      <c r="H34" s="15">
        <v>0.42</v>
      </c>
      <c r="I34" s="16" t="s">
        <v>20</v>
      </c>
      <c r="J34" s="16" t="s">
        <v>20</v>
      </c>
      <c r="K34" s="17">
        <v>0</v>
      </c>
      <c r="L34" s="18">
        <v>0.42</v>
      </c>
    </row>
    <row r="35" spans="1:12" x14ac:dyDescent="0.2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35</v>
      </c>
      <c r="F35" s="14">
        <v>15000</v>
      </c>
      <c r="G35" s="15">
        <v>62.86</v>
      </c>
      <c r="H35" s="15">
        <v>0.39</v>
      </c>
      <c r="I35" s="16" t="s">
        <v>20</v>
      </c>
      <c r="J35" s="16" t="s">
        <v>20</v>
      </c>
      <c r="K35" s="17">
        <v>0</v>
      </c>
      <c r="L35" s="18">
        <v>0.39</v>
      </c>
    </row>
    <row r="36" spans="1:12" x14ac:dyDescent="0.25">
      <c r="A36" s="12" t="s">
        <v>20</v>
      </c>
      <c r="B36" s="13" t="s">
        <v>92</v>
      </c>
      <c r="C36" s="13" t="s">
        <v>20</v>
      </c>
      <c r="D36" s="13" t="s">
        <v>93</v>
      </c>
      <c r="E36" s="13" t="s">
        <v>94</v>
      </c>
      <c r="F36" s="14">
        <v>10000</v>
      </c>
      <c r="G36" s="15">
        <v>59.87</v>
      </c>
      <c r="H36" s="15">
        <v>0.37</v>
      </c>
      <c r="I36" s="16" t="s">
        <v>20</v>
      </c>
      <c r="J36" s="16" t="s">
        <v>20</v>
      </c>
      <c r="K36" s="17">
        <v>0</v>
      </c>
      <c r="L36" s="18">
        <v>0.37</v>
      </c>
    </row>
    <row r="37" spans="1:12" x14ac:dyDescent="0.25">
      <c r="A37" s="12" t="s">
        <v>20</v>
      </c>
      <c r="B37" s="13" t="s">
        <v>95</v>
      </c>
      <c r="C37" s="13" t="s">
        <v>20</v>
      </c>
      <c r="D37" s="13" t="s">
        <v>96</v>
      </c>
      <c r="E37" s="13" t="s">
        <v>60</v>
      </c>
      <c r="F37" s="14">
        <v>5000</v>
      </c>
      <c r="G37" s="15">
        <v>52.96</v>
      </c>
      <c r="H37" s="15">
        <v>0.33</v>
      </c>
      <c r="I37" s="16" t="s">
        <v>20</v>
      </c>
      <c r="J37" s="16" t="s">
        <v>20</v>
      </c>
      <c r="K37" s="17">
        <v>0</v>
      </c>
      <c r="L37" s="18">
        <v>0.33</v>
      </c>
    </row>
    <row r="38" spans="1:12" x14ac:dyDescent="0.25">
      <c r="A38" s="12" t="s">
        <v>20</v>
      </c>
      <c r="B38" s="13" t="s">
        <v>97</v>
      </c>
      <c r="C38" s="13" t="s">
        <v>20</v>
      </c>
      <c r="D38" s="13" t="s">
        <v>98</v>
      </c>
      <c r="E38" s="13" t="s">
        <v>99</v>
      </c>
      <c r="F38" s="14">
        <v>16000</v>
      </c>
      <c r="G38" s="15">
        <v>53.98</v>
      </c>
      <c r="H38" s="15">
        <v>0.33</v>
      </c>
      <c r="I38" s="16" t="s">
        <v>20</v>
      </c>
      <c r="J38" s="16" t="s">
        <v>20</v>
      </c>
      <c r="K38" s="17">
        <v>0</v>
      </c>
      <c r="L38" s="18">
        <v>0.33</v>
      </c>
    </row>
    <row r="39" spans="1:12" x14ac:dyDescent="0.25">
      <c r="A39" s="12" t="s">
        <v>20</v>
      </c>
      <c r="B39" s="13" t="s">
        <v>100</v>
      </c>
      <c r="C39" s="13" t="s">
        <v>20</v>
      </c>
      <c r="D39" s="13" t="s">
        <v>101</v>
      </c>
      <c r="E39" s="13" t="s">
        <v>28</v>
      </c>
      <c r="F39" s="14">
        <v>30000</v>
      </c>
      <c r="G39" s="15">
        <v>51.21</v>
      </c>
      <c r="H39" s="15">
        <v>0.32</v>
      </c>
      <c r="I39" s="16" t="s">
        <v>20</v>
      </c>
      <c r="J39" s="16" t="s">
        <v>20</v>
      </c>
      <c r="K39" s="17">
        <v>0</v>
      </c>
      <c r="L39" s="18">
        <v>0.32</v>
      </c>
    </row>
    <row r="40" spans="1:12" x14ac:dyDescent="0.25">
      <c r="A40" s="12" t="s">
        <v>20</v>
      </c>
      <c r="B40" s="13" t="s">
        <v>102</v>
      </c>
      <c r="C40" s="13" t="s">
        <v>20</v>
      </c>
      <c r="D40" s="13" t="s">
        <v>103</v>
      </c>
      <c r="E40" s="13" t="s">
        <v>57</v>
      </c>
      <c r="F40" s="14">
        <v>50000</v>
      </c>
      <c r="G40" s="15">
        <v>49.98</v>
      </c>
      <c r="H40" s="15">
        <v>0.31</v>
      </c>
      <c r="I40" s="16" t="s">
        <v>20</v>
      </c>
      <c r="J40" s="16" t="s">
        <v>20</v>
      </c>
      <c r="K40" s="17">
        <v>0</v>
      </c>
      <c r="L40" s="18">
        <v>0.31</v>
      </c>
    </row>
    <row r="41" spans="1:12" x14ac:dyDescent="0.25">
      <c r="A41" s="12" t="s">
        <v>20</v>
      </c>
      <c r="B41" s="13" t="s">
        <v>104</v>
      </c>
      <c r="C41" s="13" t="s">
        <v>20</v>
      </c>
      <c r="D41" s="13" t="s">
        <v>105</v>
      </c>
      <c r="E41" s="13" t="s">
        <v>106</v>
      </c>
      <c r="F41" s="14">
        <v>4000</v>
      </c>
      <c r="G41" s="15">
        <v>46.9</v>
      </c>
      <c r="H41" s="15">
        <v>0.28999999999999998</v>
      </c>
      <c r="I41" s="16" t="s">
        <v>20</v>
      </c>
      <c r="J41" s="16" t="s">
        <v>20</v>
      </c>
      <c r="K41" s="17">
        <v>0</v>
      </c>
      <c r="L41" s="18">
        <v>0.28999999999999998</v>
      </c>
    </row>
    <row r="42" spans="1:12" x14ac:dyDescent="0.25">
      <c r="A42" s="12" t="s">
        <v>20</v>
      </c>
      <c r="B42" s="13" t="s">
        <v>107</v>
      </c>
      <c r="C42" s="13" t="s">
        <v>20</v>
      </c>
      <c r="D42" s="13" t="s">
        <v>108</v>
      </c>
      <c r="E42" s="13" t="s">
        <v>109</v>
      </c>
      <c r="F42" s="14">
        <v>4000</v>
      </c>
      <c r="G42" s="15">
        <v>45.39</v>
      </c>
      <c r="H42" s="15">
        <v>0.28000000000000003</v>
      </c>
      <c r="I42" s="16" t="s">
        <v>20</v>
      </c>
      <c r="J42" s="16" t="s">
        <v>20</v>
      </c>
      <c r="K42" s="17">
        <v>0</v>
      </c>
      <c r="L42" s="18">
        <v>0.28000000000000003</v>
      </c>
    </row>
    <row r="43" spans="1:12" x14ac:dyDescent="0.25">
      <c r="A43" s="12" t="s">
        <v>20</v>
      </c>
      <c r="B43" s="13" t="s">
        <v>110</v>
      </c>
      <c r="C43" s="13" t="s">
        <v>20</v>
      </c>
      <c r="D43" s="13" t="s">
        <v>111</v>
      </c>
      <c r="E43" s="13" t="s">
        <v>106</v>
      </c>
      <c r="F43" s="14">
        <v>1500</v>
      </c>
      <c r="G43" s="15">
        <v>43.83</v>
      </c>
      <c r="H43" s="15">
        <v>0.27</v>
      </c>
      <c r="I43" s="16" t="s">
        <v>20</v>
      </c>
      <c r="J43" s="16" t="s">
        <v>20</v>
      </c>
      <c r="K43" s="17">
        <v>0</v>
      </c>
      <c r="L43" s="18">
        <v>0.27</v>
      </c>
    </row>
    <row r="44" spans="1:12" x14ac:dyDescent="0.25">
      <c r="A44" s="12" t="s">
        <v>20</v>
      </c>
      <c r="B44" s="13" t="s">
        <v>112</v>
      </c>
      <c r="C44" s="13" t="s">
        <v>20</v>
      </c>
      <c r="D44" s="13" t="s">
        <v>113</v>
      </c>
      <c r="E44" s="13" t="s">
        <v>114</v>
      </c>
      <c r="F44" s="14">
        <v>2000</v>
      </c>
      <c r="G44" s="15">
        <v>44.19</v>
      </c>
      <c r="H44" s="15">
        <v>0.27</v>
      </c>
      <c r="I44" s="16" t="s">
        <v>20</v>
      </c>
      <c r="J44" s="16" t="s">
        <v>20</v>
      </c>
      <c r="K44" s="17">
        <v>0</v>
      </c>
      <c r="L44" s="18">
        <v>0.27</v>
      </c>
    </row>
    <row r="45" spans="1:12" x14ac:dyDescent="0.25">
      <c r="A45" s="12" t="s">
        <v>20</v>
      </c>
      <c r="B45" s="13" t="s">
        <v>115</v>
      </c>
      <c r="C45" s="13" t="s">
        <v>20</v>
      </c>
      <c r="D45" s="13" t="s">
        <v>116</v>
      </c>
      <c r="E45" s="13" t="s">
        <v>79</v>
      </c>
      <c r="F45" s="14">
        <v>4200</v>
      </c>
      <c r="G45" s="15">
        <v>41.77</v>
      </c>
      <c r="H45" s="15">
        <v>0.26</v>
      </c>
      <c r="I45" s="16" t="s">
        <v>20</v>
      </c>
      <c r="J45" s="16" t="s">
        <v>20</v>
      </c>
      <c r="K45" s="17">
        <v>0</v>
      </c>
      <c r="L45" s="18">
        <v>0.26</v>
      </c>
    </row>
    <row r="46" spans="1:12" x14ac:dyDescent="0.25">
      <c r="A46" s="12" t="s">
        <v>20</v>
      </c>
      <c r="B46" s="13" t="s">
        <v>117</v>
      </c>
      <c r="C46" s="13" t="s">
        <v>20</v>
      </c>
      <c r="D46" s="13" t="s">
        <v>118</v>
      </c>
      <c r="E46" s="13" t="s">
        <v>60</v>
      </c>
      <c r="F46" s="14">
        <v>492</v>
      </c>
      <c r="G46" s="15">
        <v>33.5</v>
      </c>
      <c r="H46" s="15">
        <v>0.21</v>
      </c>
      <c r="I46" s="16" t="s">
        <v>20</v>
      </c>
      <c r="J46" s="16" t="s">
        <v>20</v>
      </c>
      <c r="K46" s="17">
        <v>0</v>
      </c>
      <c r="L46" s="18">
        <v>0.21</v>
      </c>
    </row>
    <row r="47" spans="1:12" x14ac:dyDescent="0.25">
      <c r="A47" s="12" t="s">
        <v>20</v>
      </c>
      <c r="B47" s="13" t="s">
        <v>119</v>
      </c>
      <c r="C47" s="13" t="s">
        <v>20</v>
      </c>
      <c r="D47" s="13" t="s">
        <v>120</v>
      </c>
      <c r="E47" s="13" t="s">
        <v>121</v>
      </c>
      <c r="F47" s="14">
        <v>2000</v>
      </c>
      <c r="G47" s="15">
        <v>30.29</v>
      </c>
      <c r="H47" s="15">
        <v>0.19</v>
      </c>
      <c r="I47" s="16" t="s">
        <v>20</v>
      </c>
      <c r="J47" s="16" t="s">
        <v>20</v>
      </c>
      <c r="K47" s="17">
        <v>0</v>
      </c>
      <c r="L47" s="18">
        <v>0.19</v>
      </c>
    </row>
    <row r="48" spans="1:12" x14ac:dyDescent="0.25">
      <c r="A48" s="12" t="s">
        <v>20</v>
      </c>
      <c r="B48" s="13" t="s">
        <v>122</v>
      </c>
      <c r="C48" s="13" t="s">
        <v>20</v>
      </c>
      <c r="D48" s="13" t="s">
        <v>123</v>
      </c>
      <c r="E48" s="13" t="s">
        <v>124</v>
      </c>
      <c r="F48" s="14">
        <v>14000</v>
      </c>
      <c r="G48" s="15">
        <v>28.26</v>
      </c>
      <c r="H48" s="15">
        <v>0.17</v>
      </c>
      <c r="I48" s="16" t="s">
        <v>20</v>
      </c>
      <c r="J48" s="16" t="s">
        <v>20</v>
      </c>
      <c r="K48" s="17">
        <v>0</v>
      </c>
      <c r="L48" s="18">
        <v>0.17</v>
      </c>
    </row>
    <row r="49" spans="1:12" x14ac:dyDescent="0.25">
      <c r="A49" s="12" t="s">
        <v>20</v>
      </c>
      <c r="B49" s="13" t="s">
        <v>125</v>
      </c>
      <c r="C49" s="13" t="s">
        <v>20</v>
      </c>
      <c r="D49" s="13" t="s">
        <v>126</v>
      </c>
      <c r="E49" s="13" t="s">
        <v>63</v>
      </c>
      <c r="F49" s="14">
        <v>10050</v>
      </c>
      <c r="G49" s="15">
        <v>23.01</v>
      </c>
      <c r="H49" s="15">
        <v>0.14000000000000001</v>
      </c>
      <c r="I49" s="16" t="s">
        <v>20</v>
      </c>
      <c r="J49" s="16" t="s">
        <v>20</v>
      </c>
      <c r="K49" s="17">
        <v>0</v>
      </c>
      <c r="L49" s="18">
        <v>0.14000000000000001</v>
      </c>
    </row>
    <row r="50" spans="1:12" x14ac:dyDescent="0.25">
      <c r="A50" s="12" t="s">
        <v>20</v>
      </c>
      <c r="B50" s="13" t="s">
        <v>127</v>
      </c>
      <c r="C50" s="13" t="s">
        <v>20</v>
      </c>
      <c r="D50" s="13" t="s">
        <v>128</v>
      </c>
      <c r="E50" s="13" t="s">
        <v>106</v>
      </c>
      <c r="F50" s="14">
        <v>4130</v>
      </c>
      <c r="G50" s="15">
        <v>20.95</v>
      </c>
      <c r="H50" s="15">
        <v>0.13</v>
      </c>
      <c r="I50" s="16" t="s">
        <v>20</v>
      </c>
      <c r="J50" s="16" t="s">
        <v>20</v>
      </c>
      <c r="K50" s="17">
        <v>0</v>
      </c>
      <c r="L50" s="18">
        <v>0.13</v>
      </c>
    </row>
    <row r="51" spans="1:12" x14ac:dyDescent="0.25">
      <c r="A51" s="12" t="s">
        <v>20</v>
      </c>
      <c r="B51" s="13" t="s">
        <v>129</v>
      </c>
      <c r="C51" s="13" t="s">
        <v>20</v>
      </c>
      <c r="D51" s="13" t="s">
        <v>130</v>
      </c>
      <c r="E51" s="13" t="s">
        <v>131</v>
      </c>
      <c r="F51" s="14">
        <v>13000</v>
      </c>
      <c r="G51" s="15">
        <v>12.7</v>
      </c>
      <c r="H51" s="15">
        <v>0.08</v>
      </c>
      <c r="I51" s="16" t="s">
        <v>20</v>
      </c>
      <c r="J51" s="16" t="s">
        <v>20</v>
      </c>
      <c r="K51" s="17">
        <v>0</v>
      </c>
      <c r="L51" s="18">
        <v>0.08</v>
      </c>
    </row>
    <row r="52" spans="1:12" x14ac:dyDescent="0.25">
      <c r="A52" s="12" t="s">
        <v>20</v>
      </c>
      <c r="B52" s="13" t="s">
        <v>132</v>
      </c>
      <c r="C52" s="13" t="s">
        <v>20</v>
      </c>
      <c r="D52" s="13" t="s">
        <v>133</v>
      </c>
      <c r="E52" s="13" t="s">
        <v>131</v>
      </c>
      <c r="F52" s="14">
        <v>2600</v>
      </c>
      <c r="G52" s="15">
        <v>7.28</v>
      </c>
      <c r="H52" s="15">
        <v>0.05</v>
      </c>
      <c r="I52" s="16" t="s">
        <v>20</v>
      </c>
      <c r="J52" s="16" t="s">
        <v>20</v>
      </c>
      <c r="K52" s="17">
        <v>0</v>
      </c>
      <c r="L52" s="18">
        <v>0.05</v>
      </c>
    </row>
    <row r="53" spans="1:12" x14ac:dyDescent="0.25">
      <c r="A53" s="19"/>
      <c r="B53" s="11" t="s">
        <v>134</v>
      </c>
      <c r="C53" s="19"/>
      <c r="D53" s="19"/>
      <c r="E53" s="19"/>
      <c r="F53" s="19"/>
      <c r="G53" s="20">
        <v>6143.7</v>
      </c>
      <c r="H53" s="20">
        <v>37.980000000000004</v>
      </c>
      <c r="I53" s="19"/>
      <c r="J53" s="19"/>
      <c r="K53" s="19"/>
      <c r="L53" s="19"/>
    </row>
    <row r="54" spans="1:12" x14ac:dyDescent="0.25">
      <c r="A54" s="10"/>
      <c r="B54" s="11" t="s">
        <v>135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20</v>
      </c>
      <c r="B56" s="13" t="s">
        <v>136</v>
      </c>
      <c r="C56" s="13" t="s">
        <v>20</v>
      </c>
      <c r="D56" s="13" t="s">
        <v>137</v>
      </c>
      <c r="E56" s="13" t="s">
        <v>60</v>
      </c>
      <c r="F56" s="14">
        <v>492</v>
      </c>
      <c r="G56" s="15">
        <v>18.559999999999999</v>
      </c>
      <c r="H56" s="15">
        <v>0.11</v>
      </c>
      <c r="I56" s="16" t="s">
        <v>20</v>
      </c>
      <c r="J56" s="16" t="s">
        <v>20</v>
      </c>
      <c r="K56" s="17">
        <v>0</v>
      </c>
      <c r="L56" s="18">
        <v>0.11</v>
      </c>
    </row>
    <row r="57" spans="1:12" x14ac:dyDescent="0.25">
      <c r="A57" s="19"/>
      <c r="B57" s="11" t="s">
        <v>134</v>
      </c>
      <c r="C57" s="19"/>
      <c r="D57" s="19"/>
      <c r="E57" s="19"/>
      <c r="F57" s="19"/>
      <c r="G57" s="20">
        <v>18.559999999999999</v>
      </c>
      <c r="H57" s="20">
        <v>0.11</v>
      </c>
      <c r="I57" s="19"/>
      <c r="J57" s="19"/>
      <c r="K57" s="19"/>
      <c r="L57" s="19"/>
    </row>
    <row r="58" spans="1:12" x14ac:dyDescent="0.25">
      <c r="A58" s="10"/>
      <c r="B58" s="11" t="s">
        <v>138</v>
      </c>
      <c r="C58" s="10"/>
      <c r="D58" s="10"/>
      <c r="E58" s="10"/>
      <c r="F58" s="10"/>
      <c r="G58" s="21">
        <v>6162.26</v>
      </c>
      <c r="H58" s="21">
        <v>38.090000000000003</v>
      </c>
      <c r="I58" s="10"/>
      <c r="J58" s="10"/>
      <c r="K58" s="10"/>
      <c r="L58" s="10"/>
    </row>
    <row r="59" spans="1:12" x14ac:dyDescent="0.25">
      <c r="A59" s="10"/>
      <c r="B59" s="11" t="s">
        <v>139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140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18</v>
      </c>
      <c r="B62" s="13" t="s">
        <v>141</v>
      </c>
      <c r="C62" s="13">
        <v>6.67</v>
      </c>
      <c r="D62" s="13" t="s">
        <v>142</v>
      </c>
      <c r="E62" s="13" t="s">
        <v>143</v>
      </c>
      <c r="F62" s="14">
        <v>1500000</v>
      </c>
      <c r="G62" s="15">
        <v>1442.99</v>
      </c>
      <c r="H62" s="15">
        <v>8.92</v>
      </c>
      <c r="I62" s="16">
        <v>7.1086</v>
      </c>
      <c r="J62" s="16" t="s">
        <v>20</v>
      </c>
      <c r="K62" s="17" t="s">
        <v>20</v>
      </c>
      <c r="L62" s="18" t="s">
        <v>20</v>
      </c>
    </row>
    <row r="63" spans="1:12" x14ac:dyDescent="0.25">
      <c r="A63" s="12" t="s">
        <v>18</v>
      </c>
      <c r="B63" s="13" t="s">
        <v>144</v>
      </c>
      <c r="C63" s="13">
        <v>6.19</v>
      </c>
      <c r="D63" s="13" t="s">
        <v>145</v>
      </c>
      <c r="E63" s="13" t="s">
        <v>143</v>
      </c>
      <c r="F63" s="14">
        <v>1000000</v>
      </c>
      <c r="G63" s="15">
        <v>948.59</v>
      </c>
      <c r="H63" s="15">
        <v>5.87</v>
      </c>
      <c r="I63" s="16">
        <v>7.0270999999999999</v>
      </c>
      <c r="J63" s="16" t="s">
        <v>20</v>
      </c>
      <c r="K63" s="17" t="s">
        <v>20</v>
      </c>
      <c r="L63" s="18" t="s">
        <v>20</v>
      </c>
    </row>
    <row r="64" spans="1:12" x14ac:dyDescent="0.25">
      <c r="A64" s="12" t="s">
        <v>18</v>
      </c>
      <c r="B64" s="13" t="s">
        <v>146</v>
      </c>
      <c r="C64" s="13">
        <v>7.57</v>
      </c>
      <c r="D64" s="13" t="s">
        <v>147</v>
      </c>
      <c r="E64" s="13" t="s">
        <v>143</v>
      </c>
      <c r="F64" s="14">
        <v>750000</v>
      </c>
      <c r="G64" s="15">
        <v>782.3</v>
      </c>
      <c r="H64" s="15">
        <v>4.84</v>
      </c>
      <c r="I64" s="16">
        <v>7.0252999999999997</v>
      </c>
      <c r="J64" s="16" t="s">
        <v>20</v>
      </c>
      <c r="K64" s="17" t="s">
        <v>20</v>
      </c>
      <c r="L64" s="18" t="s">
        <v>20</v>
      </c>
    </row>
    <row r="65" spans="1:12" x14ac:dyDescent="0.25">
      <c r="A65" s="12" t="s">
        <v>18</v>
      </c>
      <c r="B65" s="13" t="s">
        <v>148</v>
      </c>
      <c r="C65" s="13">
        <v>8.9700000000000006</v>
      </c>
      <c r="D65" s="13" t="s">
        <v>149</v>
      </c>
      <c r="E65" s="13" t="s">
        <v>143</v>
      </c>
      <c r="F65" s="14">
        <v>550000</v>
      </c>
      <c r="G65" s="15">
        <v>608.28</v>
      </c>
      <c r="H65" s="15">
        <v>3.76</v>
      </c>
      <c r="I65" s="16">
        <v>6.9737</v>
      </c>
      <c r="J65" s="16" t="s">
        <v>20</v>
      </c>
      <c r="K65" s="17" t="s">
        <v>20</v>
      </c>
      <c r="L65" s="18" t="s">
        <v>20</v>
      </c>
    </row>
    <row r="66" spans="1:12" x14ac:dyDescent="0.25">
      <c r="A66" s="12" t="s">
        <v>18</v>
      </c>
      <c r="B66" s="13" t="s">
        <v>150</v>
      </c>
      <c r="C66" s="13">
        <v>7.5</v>
      </c>
      <c r="D66" s="13" t="s">
        <v>151</v>
      </c>
      <c r="E66" s="13" t="s">
        <v>143</v>
      </c>
      <c r="F66" s="14">
        <v>500000</v>
      </c>
      <c r="G66" s="15">
        <v>520.76</v>
      </c>
      <c r="H66" s="15">
        <v>3.22</v>
      </c>
      <c r="I66" s="16">
        <v>7.0343</v>
      </c>
      <c r="J66" s="16" t="s">
        <v>20</v>
      </c>
      <c r="K66" s="17" t="s">
        <v>20</v>
      </c>
      <c r="L66" s="18" t="s">
        <v>20</v>
      </c>
    </row>
    <row r="67" spans="1:12" x14ac:dyDescent="0.25">
      <c r="A67" s="12" t="s">
        <v>20</v>
      </c>
      <c r="B67" s="13" t="s">
        <v>152</v>
      </c>
      <c r="C67" s="13">
        <v>7.54</v>
      </c>
      <c r="D67" s="13" t="s">
        <v>153</v>
      </c>
      <c r="E67" s="13" t="s">
        <v>143</v>
      </c>
      <c r="F67" s="14">
        <v>15000</v>
      </c>
      <c r="G67" s="15">
        <v>15.75</v>
      </c>
      <c r="H67" s="15">
        <v>0.1</v>
      </c>
      <c r="I67" s="16">
        <v>7.0319000000000003</v>
      </c>
      <c r="J67" s="16" t="s">
        <v>20</v>
      </c>
      <c r="K67" s="17" t="s">
        <v>20</v>
      </c>
      <c r="L67" s="18" t="s">
        <v>20</v>
      </c>
    </row>
    <row r="68" spans="1:12" x14ac:dyDescent="0.25">
      <c r="A68" s="10"/>
      <c r="B68" s="11" t="s">
        <v>154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18</v>
      </c>
      <c r="B69" s="13" t="s">
        <v>155</v>
      </c>
      <c r="C69" s="13">
        <v>8.35</v>
      </c>
      <c r="D69" s="13" t="s">
        <v>156</v>
      </c>
      <c r="E69" s="13" t="s">
        <v>157</v>
      </c>
      <c r="F69" s="14">
        <v>100</v>
      </c>
      <c r="G69" s="15">
        <v>1004.95</v>
      </c>
      <c r="H69" s="15">
        <v>6.22</v>
      </c>
      <c r="I69" s="16">
        <v>8.26</v>
      </c>
      <c r="J69" s="16" t="s">
        <v>20</v>
      </c>
      <c r="K69" s="17" t="s">
        <v>20</v>
      </c>
      <c r="L69" s="18" t="s">
        <v>20</v>
      </c>
    </row>
    <row r="70" spans="1:12" x14ac:dyDescent="0.25">
      <c r="A70" s="12" t="s">
        <v>18</v>
      </c>
      <c r="B70" s="13" t="s">
        <v>158</v>
      </c>
      <c r="C70" s="13">
        <v>7.7504999999999997</v>
      </c>
      <c r="D70" s="13" t="s">
        <v>159</v>
      </c>
      <c r="E70" s="13" t="s">
        <v>160</v>
      </c>
      <c r="F70" s="14">
        <v>100</v>
      </c>
      <c r="G70" s="15">
        <v>989.02</v>
      </c>
      <c r="H70" s="15">
        <v>6.12</v>
      </c>
      <c r="I70" s="16">
        <v>8.67</v>
      </c>
      <c r="J70" s="16" t="s">
        <v>20</v>
      </c>
      <c r="K70" s="17" t="s">
        <v>20</v>
      </c>
      <c r="L70" s="18" t="s">
        <v>20</v>
      </c>
    </row>
    <row r="71" spans="1:12" x14ac:dyDescent="0.25">
      <c r="A71" s="12" t="s">
        <v>18</v>
      </c>
      <c r="B71" s="13" t="s">
        <v>161</v>
      </c>
      <c r="C71" s="13">
        <v>8.4</v>
      </c>
      <c r="D71" s="13" t="s">
        <v>162</v>
      </c>
      <c r="E71" s="13" t="s">
        <v>163</v>
      </c>
      <c r="F71" s="14">
        <v>50</v>
      </c>
      <c r="G71" s="15">
        <v>520.22</v>
      </c>
      <c r="H71" s="15">
        <v>3.22</v>
      </c>
      <c r="I71" s="16">
        <v>7.2850000000000001</v>
      </c>
      <c r="J71" s="16" t="s">
        <v>20</v>
      </c>
      <c r="K71" s="17" t="s">
        <v>20</v>
      </c>
      <c r="L71" s="18" t="s">
        <v>20</v>
      </c>
    </row>
    <row r="72" spans="1:12" x14ac:dyDescent="0.25">
      <c r="A72" s="12" t="s">
        <v>20</v>
      </c>
      <c r="B72" s="13" t="s">
        <v>164</v>
      </c>
      <c r="C72" s="13">
        <v>6.83</v>
      </c>
      <c r="D72" s="13" t="s">
        <v>165</v>
      </c>
      <c r="E72" s="13" t="s">
        <v>163</v>
      </c>
      <c r="F72" s="14">
        <v>50</v>
      </c>
      <c r="G72" s="15">
        <v>480.03</v>
      </c>
      <c r="H72" s="15">
        <v>2.97</v>
      </c>
      <c r="I72" s="16">
        <v>7.6349999999999998</v>
      </c>
      <c r="J72" s="16" t="s">
        <v>20</v>
      </c>
      <c r="K72" s="17" t="s">
        <v>20</v>
      </c>
      <c r="L72" s="18" t="s">
        <v>20</v>
      </c>
    </row>
    <row r="73" spans="1:12" x14ac:dyDescent="0.25">
      <c r="A73" s="12" t="s">
        <v>20</v>
      </c>
      <c r="B73" s="13" t="s">
        <v>166</v>
      </c>
      <c r="C73" s="13">
        <v>9.1</v>
      </c>
      <c r="D73" s="13" t="s">
        <v>167</v>
      </c>
      <c r="E73" s="13" t="s">
        <v>163</v>
      </c>
      <c r="F73" s="14">
        <v>10</v>
      </c>
      <c r="G73" s="15">
        <v>106.14</v>
      </c>
      <c r="H73" s="15">
        <v>0.66</v>
      </c>
      <c r="I73" s="16">
        <v>7.44</v>
      </c>
      <c r="J73" s="16" t="s">
        <v>20</v>
      </c>
      <c r="K73" s="17" t="s">
        <v>20</v>
      </c>
      <c r="L73" s="18" t="s">
        <v>20</v>
      </c>
    </row>
    <row r="74" spans="1:12" x14ac:dyDescent="0.25">
      <c r="A74" s="19"/>
      <c r="B74" s="11" t="s">
        <v>134</v>
      </c>
      <c r="C74" s="19"/>
      <c r="D74" s="19"/>
      <c r="E74" s="19"/>
      <c r="F74" s="19"/>
      <c r="G74" s="20">
        <v>7419.03</v>
      </c>
      <c r="H74" s="20">
        <v>45.899999999999991</v>
      </c>
      <c r="I74" s="19"/>
      <c r="J74" s="19"/>
      <c r="K74" s="19"/>
      <c r="L74" s="19"/>
    </row>
    <row r="75" spans="1:12" x14ac:dyDescent="0.25">
      <c r="A75" s="10"/>
      <c r="B75" s="11" t="s">
        <v>138</v>
      </c>
      <c r="C75" s="10"/>
      <c r="D75" s="10"/>
      <c r="E75" s="10"/>
      <c r="F75" s="10"/>
      <c r="G75" s="21">
        <v>7419.03</v>
      </c>
      <c r="H75" s="21">
        <v>45.899999999999991</v>
      </c>
      <c r="I75" s="10"/>
      <c r="J75" s="10"/>
      <c r="K75" s="10"/>
      <c r="L75" s="10"/>
    </row>
    <row r="76" spans="1:12" x14ac:dyDescent="0.25">
      <c r="A76" s="10"/>
      <c r="B76" s="11" t="s">
        <v>168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20</v>
      </c>
      <c r="B78" s="13" t="s">
        <v>20</v>
      </c>
      <c r="C78" s="13" t="s">
        <v>20</v>
      </c>
      <c r="D78" s="13" t="s">
        <v>169</v>
      </c>
      <c r="E78" s="13" t="s">
        <v>20</v>
      </c>
      <c r="F78" s="14" t="s">
        <v>20</v>
      </c>
      <c r="G78" s="15">
        <v>1974.49</v>
      </c>
      <c r="H78" s="15">
        <v>12.21</v>
      </c>
      <c r="I78" s="16">
        <v>6.6208</v>
      </c>
      <c r="J78" s="16" t="s">
        <v>20</v>
      </c>
      <c r="K78" s="17" t="s">
        <v>20</v>
      </c>
      <c r="L78" s="18" t="s">
        <v>20</v>
      </c>
    </row>
    <row r="79" spans="1:12" x14ac:dyDescent="0.25">
      <c r="A79" s="19"/>
      <c r="B79" s="11" t="s">
        <v>134</v>
      </c>
      <c r="C79" s="19"/>
      <c r="D79" s="19"/>
      <c r="E79" s="19"/>
      <c r="F79" s="19"/>
      <c r="G79" s="20">
        <v>1974.49</v>
      </c>
      <c r="H79" s="20">
        <v>12.21</v>
      </c>
      <c r="I79" s="19"/>
      <c r="J79" s="19"/>
      <c r="K79" s="19"/>
      <c r="L79" s="19"/>
    </row>
    <row r="80" spans="1:12" x14ac:dyDescent="0.25">
      <c r="A80" s="10"/>
      <c r="B80" s="11" t="s">
        <v>138</v>
      </c>
      <c r="C80" s="10"/>
      <c r="D80" s="10"/>
      <c r="E80" s="10"/>
      <c r="F80" s="10"/>
      <c r="G80" s="21">
        <v>1974.49</v>
      </c>
      <c r="H80" s="21">
        <v>12.21</v>
      </c>
      <c r="I80" s="10"/>
      <c r="J80" s="10"/>
      <c r="K80" s="10"/>
      <c r="L80" s="10"/>
    </row>
    <row r="81" spans="1:12" x14ac:dyDescent="0.25">
      <c r="A81" s="10"/>
      <c r="B81" s="11" t="s">
        <v>170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20</v>
      </c>
      <c r="B83" s="13" t="s">
        <v>20</v>
      </c>
      <c r="C83" s="13" t="s">
        <v>20</v>
      </c>
      <c r="D83" s="13" t="s">
        <v>171</v>
      </c>
      <c r="E83" s="13" t="s">
        <v>20</v>
      </c>
      <c r="F83" s="14" t="s">
        <v>20</v>
      </c>
      <c r="G83" s="15">
        <v>612.24</v>
      </c>
      <c r="H83" s="15">
        <v>3.8</v>
      </c>
      <c r="I83" s="16" t="s">
        <v>20</v>
      </c>
      <c r="J83" s="16" t="s">
        <v>20</v>
      </c>
      <c r="K83" s="17" t="s">
        <v>20</v>
      </c>
      <c r="L83" s="18" t="s">
        <v>20</v>
      </c>
    </row>
    <row r="84" spans="1:12" x14ac:dyDescent="0.25">
      <c r="A84" s="19"/>
      <c r="B84" s="11" t="s">
        <v>134</v>
      </c>
      <c r="C84" s="19"/>
      <c r="D84" s="19"/>
      <c r="E84" s="19"/>
      <c r="F84" s="19"/>
      <c r="G84" s="20">
        <v>612.24</v>
      </c>
      <c r="H84" s="20">
        <v>3.8</v>
      </c>
      <c r="I84" s="19"/>
      <c r="J84" s="19"/>
      <c r="K84" s="19"/>
      <c r="L84" s="19"/>
    </row>
    <row r="85" spans="1:12" x14ac:dyDescent="0.25">
      <c r="A85" s="10"/>
      <c r="B85" s="11" t="s">
        <v>138</v>
      </c>
      <c r="C85" s="10"/>
      <c r="D85" s="10"/>
      <c r="E85" s="10"/>
      <c r="F85" s="10"/>
      <c r="G85" s="21">
        <v>612.24</v>
      </c>
      <c r="H85" s="21">
        <v>3.8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172</v>
      </c>
      <c r="C87" s="6"/>
      <c r="D87" s="6"/>
      <c r="E87" s="6"/>
      <c r="F87" s="6"/>
      <c r="G87" s="23">
        <v>16168.02</v>
      </c>
      <c r="H87" s="23">
        <v>99.999999999999986</v>
      </c>
      <c r="I87" s="6"/>
      <c r="J87" s="6"/>
      <c r="K87" s="6"/>
      <c r="L87" s="6"/>
    </row>
    <row r="88" spans="1:12" x14ac:dyDescent="0.25">
      <c r="A88" s="12" t="s">
        <v>18</v>
      </c>
      <c r="B88" s="24" t="s">
        <v>173</v>
      </c>
      <c r="C88" s="24" t="s">
        <v>173</v>
      </c>
      <c r="D88" s="24" t="s">
        <v>173</v>
      </c>
      <c r="E88" s="24" t="s">
        <v>173</v>
      </c>
      <c r="F88" s="24" t="s">
        <v>173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174</v>
      </c>
      <c r="C89" s="25" t="s">
        <v>174</v>
      </c>
      <c r="D89" s="25" t="s">
        <v>174</v>
      </c>
      <c r="E89" s="25" t="s">
        <v>174</v>
      </c>
      <c r="F89" s="25" t="s">
        <v>174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176</v>
      </c>
      <c r="C91" s="25" t="s">
        <v>176</v>
      </c>
      <c r="D91" s="25" t="s">
        <v>176</v>
      </c>
      <c r="E91" s="25" t="s">
        <v>176</v>
      </c>
      <c r="F91" s="25" t="s">
        <v>176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177</v>
      </c>
      <c r="C92" s="25" t="s">
        <v>177</v>
      </c>
      <c r="D92" s="25" t="s">
        <v>177</v>
      </c>
      <c r="E92" s="25" t="s">
        <v>177</v>
      </c>
      <c r="F92" s="25" t="s">
        <v>177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178</v>
      </c>
      <c r="C93" s="25" t="s">
        <v>178</v>
      </c>
      <c r="D93" s="25" t="s">
        <v>178</v>
      </c>
      <c r="E93" s="25" t="s">
        <v>178</v>
      </c>
      <c r="F93" s="25" t="s">
        <v>178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179</v>
      </c>
      <c r="C94" s="25" t="s">
        <v>179</v>
      </c>
      <c r="D94" s="25" t="s">
        <v>179</v>
      </c>
      <c r="E94" s="25" t="s">
        <v>179</v>
      </c>
      <c r="F94" s="25" t="s">
        <v>179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180</v>
      </c>
      <c r="C95" s="25" t="s">
        <v>180</v>
      </c>
      <c r="D95" s="25" t="s">
        <v>180</v>
      </c>
      <c r="E95" s="25" t="s">
        <v>180</v>
      </c>
      <c r="F95" s="25" t="s">
        <v>180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6" t="s">
        <v>181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7" t="s">
        <v>17</v>
      </c>
      <c r="C98" s="27"/>
      <c r="D98" s="28">
        <v>25.630000000000006</v>
      </c>
      <c r="E98" s="13"/>
      <c r="F98" s="13"/>
      <c r="G98" s="13"/>
      <c r="H98" s="13"/>
    </row>
    <row r="99" spans="1:8" x14ac:dyDescent="0.25">
      <c r="A99" s="26"/>
      <c r="B99" s="27" t="s">
        <v>182</v>
      </c>
      <c r="C99" s="27"/>
      <c r="D99" s="28">
        <v>12.46</v>
      </c>
      <c r="E99" s="13"/>
      <c r="F99" s="13"/>
      <c r="G99" s="13"/>
      <c r="H99" s="13"/>
    </row>
    <row r="100" spans="1:8" x14ac:dyDescent="0.25">
      <c r="A100" s="26"/>
      <c r="B100" s="27" t="s">
        <v>183</v>
      </c>
      <c r="C100" s="27"/>
      <c r="D100" s="28">
        <v>26.71</v>
      </c>
      <c r="E100" s="13"/>
      <c r="F100" s="13"/>
      <c r="G100" s="13"/>
      <c r="H100" s="13"/>
    </row>
    <row r="101" spans="1:8" x14ac:dyDescent="0.25">
      <c r="A101" s="26"/>
      <c r="B101" s="27" t="s">
        <v>184</v>
      </c>
      <c r="C101" s="27"/>
      <c r="D101" s="28">
        <v>19.190000000000001</v>
      </c>
      <c r="E101" s="13"/>
      <c r="F101" s="13"/>
      <c r="G101" s="13"/>
      <c r="H101" s="13"/>
    </row>
    <row r="102" spans="1:8" x14ac:dyDescent="0.25">
      <c r="A102" s="26"/>
      <c r="B102" s="27" t="s">
        <v>185</v>
      </c>
      <c r="C102" s="27"/>
      <c r="D102" s="28">
        <v>16.010000000000002</v>
      </c>
      <c r="E102" s="13"/>
      <c r="F102" s="13"/>
      <c r="G102" s="13"/>
      <c r="H102" s="13"/>
    </row>
    <row r="103" spans="1:8" x14ac:dyDescent="0.25">
      <c r="A103" s="26"/>
      <c r="B103" s="26" t="s">
        <v>186</v>
      </c>
      <c r="C103" s="26"/>
      <c r="D103" s="26"/>
      <c r="E103" s="13"/>
      <c r="F103" s="13"/>
      <c r="G103" s="13"/>
      <c r="H103" s="13"/>
    </row>
    <row r="104" spans="1:8" x14ac:dyDescent="0.25">
      <c r="A104" s="26"/>
      <c r="B104" s="27" t="s">
        <v>17</v>
      </c>
      <c r="C104" s="27"/>
      <c r="D104" s="28">
        <v>38.089999999999996</v>
      </c>
      <c r="E104" s="13"/>
      <c r="F104" s="13"/>
      <c r="G104" s="13"/>
      <c r="H104" s="13"/>
    </row>
    <row r="105" spans="1:8" x14ac:dyDescent="0.25">
      <c r="A105" s="26"/>
      <c r="B105" s="27" t="s">
        <v>143</v>
      </c>
      <c r="C105" s="27"/>
      <c r="D105" s="28">
        <v>26.71</v>
      </c>
      <c r="E105" s="13"/>
      <c r="F105" s="13"/>
      <c r="G105" s="13"/>
      <c r="H105" s="13"/>
    </row>
    <row r="106" spans="1:8" x14ac:dyDescent="0.25">
      <c r="A106" s="26"/>
      <c r="B106" s="27" t="s">
        <v>187</v>
      </c>
      <c r="C106" s="27"/>
      <c r="D106" s="28">
        <v>6.8500000000000005</v>
      </c>
      <c r="E106" s="13"/>
      <c r="F106" s="13"/>
      <c r="G106" s="13"/>
      <c r="H106" s="13"/>
    </row>
    <row r="107" spans="1:8" x14ac:dyDescent="0.25">
      <c r="A107" s="26"/>
      <c r="B107" s="27" t="s">
        <v>188</v>
      </c>
      <c r="C107" s="27"/>
      <c r="D107" s="28">
        <v>6.22</v>
      </c>
      <c r="E107" s="13"/>
      <c r="F107" s="13"/>
      <c r="G107" s="13"/>
      <c r="H107" s="13"/>
    </row>
    <row r="108" spans="1:8" x14ac:dyDescent="0.25">
      <c r="A108" s="26"/>
      <c r="B108" s="27" t="s">
        <v>189</v>
      </c>
      <c r="C108" s="27"/>
      <c r="D108" s="28">
        <v>6.12</v>
      </c>
      <c r="E108" s="13"/>
      <c r="F108" s="13"/>
      <c r="G108" s="13"/>
      <c r="H108" s="13"/>
    </row>
    <row r="109" spans="1:8" x14ac:dyDescent="0.25">
      <c r="A109" s="26"/>
      <c r="B109" s="27" t="s">
        <v>185</v>
      </c>
      <c r="C109" s="27"/>
      <c r="D109" s="28">
        <v>16.010000000000002</v>
      </c>
      <c r="E109" s="13"/>
      <c r="F109" s="13"/>
      <c r="G109" s="13"/>
      <c r="H109" s="13"/>
    </row>
    <row r="110" spans="1:8" x14ac:dyDescent="0.25">
      <c r="A110" s="29"/>
      <c r="B110" s="29"/>
      <c r="C110" s="29"/>
      <c r="D110" s="29"/>
      <c r="E110" s="29"/>
      <c r="F110" s="29"/>
      <c r="G110" s="29"/>
      <c r="H110" s="29"/>
    </row>
    <row r="111" spans="1:8" x14ac:dyDescent="0.25">
      <c r="A111" s="29"/>
      <c r="B111" s="10" t="s">
        <v>190</v>
      </c>
      <c r="C111" s="29"/>
      <c r="D111" s="29"/>
      <c r="E111" s="29"/>
      <c r="F111" s="29"/>
      <c r="G111" s="29"/>
      <c r="H111" s="29"/>
    </row>
    <row r="112" spans="1:8" x14ac:dyDescent="0.25">
      <c r="A112" s="13"/>
      <c r="B112" s="13" t="s">
        <v>191</v>
      </c>
      <c r="C112" s="13"/>
      <c r="D112" s="13"/>
      <c r="E112" s="13"/>
      <c r="F112" s="13"/>
      <c r="G112" s="13"/>
      <c r="H112" s="29"/>
    </row>
    <row r="113" spans="1:8" x14ac:dyDescent="0.25">
      <c r="A113" s="13"/>
      <c r="B113" s="30" t="s">
        <v>192</v>
      </c>
      <c r="C113" s="31" t="s">
        <v>193</v>
      </c>
      <c r="D113" s="30" t="s">
        <v>194</v>
      </c>
      <c r="E113" s="13"/>
      <c r="F113" s="13"/>
      <c r="G113" s="13"/>
      <c r="H113" s="29"/>
    </row>
    <row r="114" spans="1:8" x14ac:dyDescent="0.25">
      <c r="A114" s="13"/>
      <c r="B114" s="10" t="s">
        <v>195</v>
      </c>
      <c r="C114" s="16">
        <v>20.887699999999999</v>
      </c>
      <c r="D114" s="16">
        <v>20.665299999999998</v>
      </c>
      <c r="E114" s="13"/>
      <c r="F114" s="13"/>
      <c r="G114" s="13"/>
      <c r="H114" s="29"/>
    </row>
    <row r="115" spans="1:8" x14ac:dyDescent="0.25">
      <c r="A115" s="13"/>
      <c r="B115" s="10" t="s">
        <v>196</v>
      </c>
      <c r="C115" s="16">
        <v>23.334099999999999</v>
      </c>
      <c r="D115" s="16">
        <v>23.064599999999999</v>
      </c>
      <c r="E115" s="13"/>
      <c r="F115" s="13"/>
      <c r="G115" s="13"/>
      <c r="H115" s="29"/>
    </row>
    <row r="116" spans="1:8" x14ac:dyDescent="0.25">
      <c r="A116" s="13"/>
      <c r="B116" s="10" t="s">
        <v>20</v>
      </c>
      <c r="C116" s="13"/>
      <c r="D116" s="13"/>
      <c r="E116" s="13"/>
      <c r="F116" s="13"/>
      <c r="G116" s="13"/>
      <c r="H116" s="29"/>
    </row>
    <row r="117" spans="1:8" x14ac:dyDescent="0.25">
      <c r="A117" s="13"/>
      <c r="B117" s="13"/>
      <c r="C117" s="13"/>
      <c r="D117" s="13"/>
      <c r="E117" s="13"/>
      <c r="F117" s="13"/>
      <c r="G117" s="13"/>
      <c r="H117" s="29"/>
    </row>
    <row r="118" spans="1:8" x14ac:dyDescent="0.25">
      <c r="A118" s="13"/>
      <c r="B118" s="13" t="s">
        <v>197</v>
      </c>
      <c r="C118" s="13"/>
      <c r="D118" s="13"/>
      <c r="E118" s="13"/>
      <c r="F118" s="13"/>
      <c r="G118" s="13"/>
      <c r="H118" s="29"/>
    </row>
    <row r="119" spans="1:8" x14ac:dyDescent="0.25">
      <c r="A119" s="13"/>
      <c r="B119" s="13"/>
      <c r="C119" s="13"/>
      <c r="D119" s="13"/>
      <c r="E119" s="13"/>
      <c r="F119" s="13"/>
      <c r="G119" s="13"/>
      <c r="H119" s="29"/>
    </row>
    <row r="120" spans="1:8" x14ac:dyDescent="0.25">
      <c r="A120" s="13"/>
      <c r="B120" s="13" t="s">
        <v>198</v>
      </c>
      <c r="C120" s="13"/>
      <c r="D120" s="13"/>
      <c r="E120" s="13"/>
      <c r="F120" s="13"/>
      <c r="G120" s="13"/>
      <c r="H120" s="29"/>
    </row>
    <row r="121" spans="1:8" x14ac:dyDescent="0.25">
      <c r="A121" s="29"/>
      <c r="B121" s="29"/>
      <c r="C121" s="29"/>
      <c r="D121" s="29"/>
      <c r="E121" s="29"/>
      <c r="F121" s="29"/>
      <c r="G121" s="29"/>
      <c r="H121" s="29"/>
    </row>
    <row r="122" spans="1:8" x14ac:dyDescent="0.25">
      <c r="A122" s="13"/>
      <c r="B122" s="13" t="s">
        <v>199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200</v>
      </c>
      <c r="C123" s="13"/>
      <c r="D123" s="13"/>
      <c r="E123" s="13"/>
      <c r="F123" s="13"/>
      <c r="G123" s="13"/>
      <c r="H123" s="29"/>
    </row>
    <row r="124" spans="1:8" x14ac:dyDescent="0.25">
      <c r="A124" s="13"/>
      <c r="B124" s="13" t="s">
        <v>201</v>
      </c>
      <c r="C124" s="13"/>
      <c r="D124" s="13"/>
      <c r="E124" s="13"/>
      <c r="F124" s="13"/>
      <c r="G124" s="13"/>
      <c r="H124" s="29"/>
    </row>
    <row r="125" spans="1:8" x14ac:dyDescent="0.25">
      <c r="A125" s="13"/>
      <c r="B125" s="13" t="s">
        <v>202</v>
      </c>
      <c r="C125" s="13"/>
      <c r="D125" s="13"/>
      <c r="E125" s="13"/>
      <c r="F125" s="13"/>
      <c r="G125" s="13"/>
      <c r="H125" s="29"/>
    </row>
    <row r="126" spans="1:8" x14ac:dyDescent="0.25">
      <c r="A126" s="13"/>
      <c r="B126" s="13" t="s">
        <v>203</v>
      </c>
      <c r="C126" s="13"/>
      <c r="D126" s="13"/>
      <c r="E126" s="13"/>
      <c r="F126" s="13"/>
      <c r="G126" s="13"/>
      <c r="H126" s="29"/>
    </row>
    <row r="127" spans="1:8" x14ac:dyDescent="0.25">
      <c r="A127" s="13"/>
      <c r="B127" s="13" t="s">
        <v>204</v>
      </c>
      <c r="C127" s="13"/>
      <c r="D127" s="13"/>
      <c r="E127" s="13"/>
      <c r="F127" s="13"/>
      <c r="G127" s="13"/>
      <c r="H127" s="29"/>
    </row>
    <row r="128" spans="1:8" x14ac:dyDescent="0.25">
      <c r="A128" s="13"/>
      <c r="B128" s="13" t="s">
        <v>205</v>
      </c>
      <c r="C128" s="13"/>
      <c r="D128" s="13"/>
      <c r="E128" s="13"/>
      <c r="F128" s="13"/>
      <c r="G128" s="13"/>
      <c r="H128" s="29"/>
    </row>
    <row r="129" spans="1:8" x14ac:dyDescent="0.25">
      <c r="A129" s="13"/>
      <c r="B129" s="13" t="s">
        <v>206</v>
      </c>
      <c r="C129" s="13"/>
      <c r="D129" s="13"/>
      <c r="E129" s="13"/>
      <c r="F129" s="13"/>
      <c r="G129" s="13"/>
      <c r="H129" s="29"/>
    </row>
    <row r="130" spans="1:8" x14ac:dyDescent="0.25">
      <c r="A130" s="13"/>
      <c r="B130" s="13" t="s">
        <v>207</v>
      </c>
      <c r="C130" s="13"/>
      <c r="D130" s="13"/>
      <c r="E130" s="13"/>
      <c r="F130" s="13"/>
      <c r="G130" s="13"/>
      <c r="H130" s="29"/>
    </row>
    <row r="132" spans="1:8" x14ac:dyDescent="0.25">
      <c r="B132" s="32" t="s">
        <v>208</v>
      </c>
    </row>
    <row r="148" spans="2:2" x14ac:dyDescent="0.25">
      <c r="B148" s="32" t="s">
        <v>209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14"/>
  <sheetViews>
    <sheetView workbookViewId="0">
      <selection activeCell="D154" sqref="D154"/>
    </sheetView>
  </sheetViews>
  <sheetFormatPr defaultColWidth="9.140625" defaultRowHeight="12.75" x14ac:dyDescent="0.2"/>
  <cols>
    <col min="1" max="1" width="5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16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1" spans="1:9" ht="43.5" customHeight="1" x14ac:dyDescent="0.2"/>
    <row r="2" spans="1:9" x14ac:dyDescent="0.2">
      <c r="G2" s="34"/>
    </row>
    <row r="3" spans="1:9" x14ac:dyDescent="0.2">
      <c r="A3" s="35" t="s">
        <v>210</v>
      </c>
      <c r="B3" s="35"/>
      <c r="C3" s="35"/>
      <c r="D3" s="35"/>
      <c r="E3" s="35"/>
      <c r="F3" s="35"/>
      <c r="G3" s="35"/>
    </row>
    <row r="5" spans="1:9" x14ac:dyDescent="0.2">
      <c r="A5" s="33" t="s">
        <v>211</v>
      </c>
    </row>
    <row r="7" spans="1:9" ht="12.75" customHeight="1" x14ac:dyDescent="0.2">
      <c r="A7" s="36" t="str">
        <f>+[35]DerivativeHDFCMY!A7</f>
        <v>A.  Hedging Positions through Futures as on Aug 31, 2024</v>
      </c>
      <c r="B7" s="36"/>
      <c r="C7" s="36"/>
      <c r="D7" s="36"/>
      <c r="E7" s="36"/>
      <c r="F7" s="36"/>
    </row>
    <row r="8" spans="1:9" ht="38.25" x14ac:dyDescent="0.2">
      <c r="A8" s="37" t="s">
        <v>212</v>
      </c>
      <c r="B8" s="38" t="s">
        <v>213</v>
      </c>
      <c r="C8" s="38" t="s">
        <v>214</v>
      </c>
      <c r="D8" s="38" t="s">
        <v>215</v>
      </c>
      <c r="E8" s="38" t="s">
        <v>216</v>
      </c>
      <c r="F8" s="38" t="s">
        <v>217</v>
      </c>
      <c r="G8" s="38" t="s">
        <v>218</v>
      </c>
      <c r="H8" s="39" t="s">
        <v>219</v>
      </c>
    </row>
    <row r="9" spans="1:9" x14ac:dyDescent="0.2">
      <c r="A9" s="40" t="s">
        <v>220</v>
      </c>
      <c r="B9" s="41" t="s">
        <v>221</v>
      </c>
      <c r="C9" s="41" t="s">
        <v>25</v>
      </c>
      <c r="D9" s="42">
        <v>-16200</v>
      </c>
      <c r="E9" s="43">
        <v>3717.05</v>
      </c>
      <c r="F9" s="44">
        <v>3728.2</v>
      </c>
      <c r="G9" s="44">
        <v>107.43192000000001</v>
      </c>
      <c r="H9" s="44">
        <f>(D9*F9)/100000</f>
        <v>-603.96839999999997</v>
      </c>
      <c r="I9" s="45"/>
    </row>
    <row r="10" spans="1:9" x14ac:dyDescent="0.2">
      <c r="A10" s="40"/>
      <c r="B10" s="41" t="s">
        <v>21</v>
      </c>
      <c r="C10" s="41" t="s">
        <v>22</v>
      </c>
      <c r="D10" s="42">
        <v>-30800</v>
      </c>
      <c r="E10" s="43">
        <v>4577.5110000000004</v>
      </c>
      <c r="F10" s="44">
        <v>4579.3999999999996</v>
      </c>
      <c r="G10" s="44">
        <v>249.063199</v>
      </c>
      <c r="H10" s="44">
        <f t="shared" ref="H10" si="0">(D10*F10)/100000</f>
        <v>-1410.4552000000001</v>
      </c>
      <c r="I10" s="45"/>
    </row>
    <row r="11" spans="1:9" x14ac:dyDescent="0.2">
      <c r="A11" s="40"/>
      <c r="B11" s="41"/>
      <c r="C11" s="41"/>
      <c r="D11" s="42"/>
      <c r="E11" s="43"/>
      <c r="F11" s="44"/>
      <c r="G11" s="44"/>
      <c r="H11" s="44"/>
      <c r="I11" s="45"/>
    </row>
    <row r="12" spans="1:9" x14ac:dyDescent="0.2">
      <c r="H12" s="46">
        <f>SUM(H9:H11)</f>
        <v>-2014.4236000000001</v>
      </c>
      <c r="I12" s="46"/>
    </row>
    <row r="14" spans="1:9" x14ac:dyDescent="0.2">
      <c r="H14" s="47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2024-09-09T09:42:52Z</dcterms:created>
  <dcterms:modified xsi:type="dcterms:W3CDTF">2024-09-09T09:45:19Z</dcterms:modified>
</cp:coreProperties>
</file>