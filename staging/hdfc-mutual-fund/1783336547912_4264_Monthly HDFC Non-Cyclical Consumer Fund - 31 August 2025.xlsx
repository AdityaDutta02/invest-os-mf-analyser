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3" i="1" l="1"/>
</calcChain>
</file>

<file path=xl/sharedStrings.xml><?xml version="1.0" encoding="utf-8"?>
<sst xmlns="http://schemas.openxmlformats.org/spreadsheetml/2006/main" count="554" uniqueCount="167">
  <si>
    <t>HDFC Non-Cyclical Consumer Fund (An open ended equity scheme following non-cyclical consumer theme)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</si>
  <si>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</si>
  <si>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</si>
  <si>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</si>
  <si>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</si>
  <si>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</si>
  <si>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</si>
  <si>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</si>
  <si>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</si>
  <si>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</si>
  <si>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</si>
  <si>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</si>
  <si>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</si>
  <si>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</si>
  <si>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</si>
  <si>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</si>
  <si>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</si>
  <si>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</si>
  <si>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</si>
  <si>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</si>
  <si>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</si>
  <si>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</si>
  <si>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</si>
  <si>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</si>
  <si>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INE01EA01019</t>
  </si>
  <si>
    <t>Vishal Mega Mart Limited</t>
  </si>
  <si>
    <t>INE427F01016</t>
  </si>
  <si>
    <t>Chalet Hotels Ltd.</t>
  </si>
  <si>
    <t>Leisure Services</t>
  </si>
  <si>
    <t>INE854D01024</t>
  </si>
  <si>
    <t>United Spirits Limited</t>
  </si>
  <si>
    <t>Beverages</t>
  </si>
  <si>
    <t>INE102D01028</t>
  </si>
  <si>
    <t>Godrej Consumer Products Ltd.</t>
  </si>
  <si>
    <t>Personal Products</t>
  </si>
  <si>
    <t>INE200M01039</t>
  </si>
  <si>
    <t>Varun Beverages Ltd</t>
  </si>
  <si>
    <t>INE280A01028</t>
  </si>
  <si>
    <t>Titan Company Ltd.</t>
  </si>
  <si>
    <t>Consumer Durables</t>
  </si>
  <si>
    <t>INE849A01020</t>
  </si>
  <si>
    <t>Trent Ltd.</t>
  </si>
  <si>
    <t>INE397D01024</t>
  </si>
  <si>
    <t>Bharti Airtel Ltd.</t>
  </si>
  <si>
    <t>Telecom - Services</t>
  </si>
  <si>
    <t>INE0V6F01027</t>
  </si>
  <si>
    <t>Hyundai Motor India Limited</t>
  </si>
  <si>
    <t>Automobiles</t>
  </si>
  <si>
    <t>INE646L01027</t>
  </si>
  <si>
    <t>InterGlobe Aviation Ltd.</t>
  </si>
  <si>
    <t>Transport Services</t>
  </si>
  <si>
    <t>INE417T01026</t>
  </si>
  <si>
    <t>PB Fintech Limited</t>
  </si>
  <si>
    <t>Financial Technology (Fintech)</t>
  </si>
  <si>
    <t>INE0AQ201015</t>
  </si>
  <si>
    <t>Schloss Bangalore Limited</t>
  </si>
  <si>
    <t>INE154A01025</t>
  </si>
  <si>
    <t>ITC LIMITED</t>
  </si>
  <si>
    <t>INE494B01023</t>
  </si>
  <si>
    <t>TVS Motor Company Ltd.</t>
  </si>
  <si>
    <t>INE226A01021</t>
  </si>
  <si>
    <t>Voltas Ltd.</t>
  </si>
  <si>
    <t>INE021A01026</t>
  </si>
  <si>
    <t>Asian Paints Limited</t>
  </si>
  <si>
    <t>INE016A01026</t>
  </si>
  <si>
    <t>Dabur India Ltd.</t>
  </si>
  <si>
    <t>INE133A01011</t>
  </si>
  <si>
    <t>AkzoNobel India Ltd.</t>
  </si>
  <si>
    <t>INE682M01012</t>
  </si>
  <si>
    <t>Jupiter Life Line Hospitals Limited</t>
  </si>
  <si>
    <t>Healthcare Services</t>
  </si>
  <si>
    <t>INE216A01030</t>
  </si>
  <si>
    <t>Britannia Industries Ltd.</t>
  </si>
  <si>
    <t>Food Products</t>
  </si>
  <si>
    <t>INE02RE01045</t>
  </si>
  <si>
    <t>Brainbees Solutions Limited (FirstCry)</t>
  </si>
  <si>
    <t>INE239A01024</t>
  </si>
  <si>
    <t>Nestle India Ltd.</t>
  </si>
  <si>
    <t>INE043W01024</t>
  </si>
  <si>
    <t>Vijaya Diagnostic Centre Limited</t>
  </si>
  <si>
    <t>INE066A01021</t>
  </si>
  <si>
    <t>Eicher Motors Ltd.</t>
  </si>
  <si>
    <t>INE872J01023</t>
  </si>
  <si>
    <t>Devyani International Ltd</t>
  </si>
  <si>
    <t>INE01FR01028</t>
  </si>
  <si>
    <t>Baazar Style Retail Limited</t>
  </si>
  <si>
    <t>INE806T01020</t>
  </si>
  <si>
    <t>SAPPHIRE FOODS INDIA LIMITED</t>
  </si>
  <si>
    <t>INE318A01026</t>
  </si>
  <si>
    <t>Pidilite Industries Ltd.</t>
  </si>
  <si>
    <t>Chemicals &amp; Petrochemicals</t>
  </si>
  <si>
    <t>INE073K01018</t>
  </si>
  <si>
    <t>Sona Blw Precision Forgings</t>
  </si>
  <si>
    <t>Auto Components</t>
  </si>
  <si>
    <t>INE498B01024</t>
  </si>
  <si>
    <t>Shoppers Stop Ltd.</t>
  </si>
  <si>
    <t>INE196A01026</t>
  </si>
  <si>
    <t>Marico Ltd.</t>
  </si>
  <si>
    <t>Agricultural Food &amp; Other Products</t>
  </si>
  <si>
    <t>INE429E01023</t>
  </si>
  <si>
    <t>Safari Industries (India) Ltd.</t>
  </si>
  <si>
    <t>INE663F01032</t>
  </si>
  <si>
    <t>INFO EDGE (INDIA) LIMITED</t>
  </si>
  <si>
    <t>INE142Q01026</t>
  </si>
  <si>
    <t>SULA VINEYARDS LIMITED</t>
  </si>
  <si>
    <t>INE548C01032</t>
  </si>
  <si>
    <t>Emami Ltd.</t>
  </si>
  <si>
    <t>INE192A01025</t>
  </si>
  <si>
    <t>Tata Consumer Products Limited</t>
  </si>
  <si>
    <t>INE0WO601020</t>
  </si>
  <si>
    <t>Laxmi Dental Limited</t>
  </si>
  <si>
    <t>Healthcare Equipment &amp; Supplies</t>
  </si>
  <si>
    <t>INE497S01012</t>
  </si>
  <si>
    <t>Godavari Biorefineries Limited</t>
  </si>
  <si>
    <t>INE259A01022</t>
  </si>
  <si>
    <t>Colgate-Palmolive ( I ) Ltd.</t>
  </si>
  <si>
    <t>INE317I01021</t>
  </si>
  <si>
    <t>METRO BRANDS LIMITED</t>
  </si>
  <si>
    <t>INE321T01012</t>
  </si>
  <si>
    <t>DOMS Industries Limited</t>
  </si>
  <si>
    <t>Household Products</t>
  </si>
  <si>
    <t>INE825V01034</t>
  </si>
  <si>
    <t>Vedant Fashions Ltd</t>
  </si>
  <si>
    <t>@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</si>
  <si>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</si>
  <si>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</si>
  <si>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</si>
  <si>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</si>
  <si>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</si>
  <si>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</si>
  <si>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</si>
  <si>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</si>
  <si>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</si>
  <si>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</si>
  <si>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</si>
  <si>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</si>
  <si>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</si>
  <si>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</si>
  <si>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</si>
  <si>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</si>
  <si>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</si>
  <si>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</si>
  <si>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</si>
  <si>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</si>
  <si>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</si>
  <si>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</si>
  <si>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</si>
  <si>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</si>
  <si>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</si>
  <si>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</si>
  <si>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</si>
  <si>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Direct Plan</t>
  </si>
  <si>
    <t>Growth Plan</t>
  </si>
  <si>
    <t>Growth Option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</si>
  <si>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</si>
  <si>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</si>
  <si>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</si>
  <si>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</si>
  <si>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</si>
  <si>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</si>
  <si>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31.02%</t>
  </si>
  <si>
    <t>7) Total value and percentage of Illiquid Equity Shares : Nil</t>
  </si>
  <si>
    <t>8) IDCW stands for Income Distribution cum Capital Withdrawal</t>
  </si>
  <si>
    <t>9) Riskometer based on Scheme Portfolio and Portfolio Benchmark "Nifty Non-Cyclical Consumer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</si>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</sst>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1384300</xdr:colOff>
      <xdr:row>139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793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739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42"/>
  <sheetViews>
    <sheetView tabSelected="1" topLeftCell="D50" workbookViewId="0">
      <selection activeCell="G54" sqref="G54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4" t="s">
        <v>0</v>
      </c>
      <c r="B1" s="34" t="s">
        <v>0</v>
      </c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  <c r="J1" s="34" t="s">
        <v>0</v>
      </c>
      <c r="K1" s="1" t="s">
        <v>1</v>
      </c>
      <c r="L1" s="2" t="s">
        <v>2</v>
      </c>
    </row>
    <row r="2" spans="1:12" x14ac:dyDescent="0.35">
      <c r="A2" s="35" t="s">
        <v>3</v>
      </c>
      <c r="B2" s="35" t="s">
        <v>3</v>
      </c>
      <c r="C2" s="35" t="s">
        <v>3</v>
      </c>
      <c r="D2" s="35" t="s">
        <v>3</v>
      </c>
      <c r="E2" s="35" t="s">
        <v>3</v>
      </c>
      <c r="F2" s="35" t="s">
        <v>3</v>
      </c>
      <c r="G2" s="35" t="s">
        <v>3</v>
      </c>
      <c r="H2" s="35" t="s">
        <v>3</v>
      </c>
      <c r="I2" s="35" t="s">
        <v>3</v>
      </c>
      <c r="J2" s="35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3319036</v>
      </c>
      <c r="G9" s="13">
        <v>10420.11</v>
      </c>
      <c r="H9" s="13">
        <v>9.9600000000000009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23</v>
      </c>
      <c r="F10" s="12">
        <v>319000</v>
      </c>
      <c r="G10" s="13">
        <v>8484.76</v>
      </c>
      <c r="H10" s="13">
        <v>8.11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24</v>
      </c>
      <c r="C11" s="11" t="s">
        <v>13</v>
      </c>
      <c r="D11" s="11" t="s">
        <v>25</v>
      </c>
      <c r="E11" s="11" t="s">
        <v>20</v>
      </c>
      <c r="F11" s="12">
        <v>5241474</v>
      </c>
      <c r="G11" s="13">
        <v>7831.29</v>
      </c>
      <c r="H11" s="13">
        <v>7.49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26</v>
      </c>
      <c r="C12" s="11" t="s">
        <v>13</v>
      </c>
      <c r="D12" s="11" t="s">
        <v>27</v>
      </c>
      <c r="E12" s="11" t="s">
        <v>28</v>
      </c>
      <c r="F12" s="12">
        <v>566049</v>
      </c>
      <c r="G12" s="13">
        <v>5718.79</v>
      </c>
      <c r="H12" s="13">
        <v>5.47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31</v>
      </c>
      <c r="F13" s="12">
        <v>413956</v>
      </c>
      <c r="G13" s="13">
        <v>5426.96</v>
      </c>
      <c r="H13" s="13">
        <v>5.19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34</v>
      </c>
      <c r="F14" s="12">
        <v>415000</v>
      </c>
      <c r="G14" s="13">
        <v>5156.79</v>
      </c>
      <c r="H14" s="13">
        <v>4.93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35</v>
      </c>
      <c r="C15" s="11" t="s">
        <v>13</v>
      </c>
      <c r="D15" s="11" t="s">
        <v>36</v>
      </c>
      <c r="E15" s="11" t="s">
        <v>31</v>
      </c>
      <c r="F15" s="12">
        <v>835000</v>
      </c>
      <c r="G15" s="13">
        <v>4067.7</v>
      </c>
      <c r="H15" s="13">
        <v>3.89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37</v>
      </c>
      <c r="C16" s="11" t="s">
        <v>13</v>
      </c>
      <c r="D16" s="11" t="s">
        <v>38</v>
      </c>
      <c r="E16" s="11" t="s">
        <v>39</v>
      </c>
      <c r="F16" s="12">
        <v>107000</v>
      </c>
      <c r="G16" s="13">
        <v>3882.82</v>
      </c>
      <c r="H16" s="13">
        <v>3.71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40</v>
      </c>
      <c r="C17" s="11" t="s">
        <v>13</v>
      </c>
      <c r="D17" s="11" t="s">
        <v>41</v>
      </c>
      <c r="E17" s="11" t="s">
        <v>20</v>
      </c>
      <c r="F17" s="12">
        <v>66109</v>
      </c>
      <c r="G17" s="13">
        <v>3502.45</v>
      </c>
      <c r="H17" s="13">
        <v>3.35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42</v>
      </c>
      <c r="C18" s="11" t="s">
        <v>13</v>
      </c>
      <c r="D18" s="11" t="s">
        <v>43</v>
      </c>
      <c r="E18" s="11" t="s">
        <v>44</v>
      </c>
      <c r="F18" s="12">
        <v>179000</v>
      </c>
      <c r="G18" s="13">
        <v>3380.95</v>
      </c>
      <c r="H18" s="13">
        <v>3.23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45</v>
      </c>
      <c r="C19" s="11" t="s">
        <v>13</v>
      </c>
      <c r="D19" s="11" t="s">
        <v>46</v>
      </c>
      <c r="E19" s="11" t="s">
        <v>47</v>
      </c>
      <c r="F19" s="12">
        <v>128304</v>
      </c>
      <c r="G19" s="13">
        <v>3156.79</v>
      </c>
      <c r="H19" s="13">
        <v>3.02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48</v>
      </c>
      <c r="C20" s="11" t="s">
        <v>13</v>
      </c>
      <c r="D20" s="11" t="s">
        <v>49</v>
      </c>
      <c r="E20" s="11" t="s">
        <v>50</v>
      </c>
      <c r="F20" s="12">
        <v>50608</v>
      </c>
      <c r="G20" s="13">
        <v>2857.33</v>
      </c>
      <c r="H20" s="13">
        <v>2.73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51</v>
      </c>
      <c r="C21" s="11" t="s">
        <v>13</v>
      </c>
      <c r="D21" s="11" t="s">
        <v>52</v>
      </c>
      <c r="E21" s="11" t="s">
        <v>53</v>
      </c>
      <c r="F21" s="12">
        <v>160367</v>
      </c>
      <c r="G21" s="13">
        <v>2839.78</v>
      </c>
      <c r="H21" s="13">
        <v>2.71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54</v>
      </c>
      <c r="C22" s="11" t="s">
        <v>13</v>
      </c>
      <c r="D22" s="11" t="s">
        <v>55</v>
      </c>
      <c r="E22" s="11" t="s">
        <v>28</v>
      </c>
      <c r="F22" s="12">
        <v>688874</v>
      </c>
      <c r="G22" s="13">
        <v>2751.71</v>
      </c>
      <c r="H22" s="13">
        <v>2.63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56</v>
      </c>
      <c r="C23" s="11" t="s">
        <v>13</v>
      </c>
      <c r="D23" s="11" t="s">
        <v>57</v>
      </c>
      <c r="E23" s="11" t="s">
        <v>23</v>
      </c>
      <c r="F23" s="12">
        <v>629844</v>
      </c>
      <c r="G23" s="13">
        <v>2580.79</v>
      </c>
      <c r="H23" s="13">
        <v>2.4700000000000002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58</v>
      </c>
      <c r="C24" s="11" t="s">
        <v>13</v>
      </c>
      <c r="D24" s="11" t="s">
        <v>59</v>
      </c>
      <c r="E24" s="11" t="s">
        <v>47</v>
      </c>
      <c r="F24" s="12">
        <v>72000</v>
      </c>
      <c r="G24" s="13">
        <v>2359.15</v>
      </c>
      <c r="H24" s="13">
        <v>2.25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60</v>
      </c>
      <c r="C25" s="11" t="s">
        <v>13</v>
      </c>
      <c r="D25" s="11" t="s">
        <v>61</v>
      </c>
      <c r="E25" s="11" t="s">
        <v>39</v>
      </c>
      <c r="F25" s="12">
        <v>156164</v>
      </c>
      <c r="G25" s="13">
        <v>2145.69</v>
      </c>
      <c r="H25" s="13">
        <v>2.0499999999999998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62</v>
      </c>
      <c r="C26" s="11" t="s">
        <v>13</v>
      </c>
      <c r="D26" s="11" t="s">
        <v>63</v>
      </c>
      <c r="E26" s="11" t="s">
        <v>39</v>
      </c>
      <c r="F26" s="12">
        <v>76000</v>
      </c>
      <c r="G26" s="13">
        <v>1914.14</v>
      </c>
      <c r="H26" s="13">
        <v>1.83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64</v>
      </c>
      <c r="C27" s="11" t="s">
        <v>13</v>
      </c>
      <c r="D27" s="11" t="s">
        <v>65</v>
      </c>
      <c r="E27" s="11" t="s">
        <v>34</v>
      </c>
      <c r="F27" s="12">
        <v>350000</v>
      </c>
      <c r="G27" s="13">
        <v>1823.85</v>
      </c>
      <c r="H27" s="13">
        <v>1.74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66</v>
      </c>
      <c r="C28" s="11" t="s">
        <v>13</v>
      </c>
      <c r="D28" s="11" t="s">
        <v>67</v>
      </c>
      <c r="E28" s="11" t="s">
        <v>39</v>
      </c>
      <c r="F28" s="12">
        <v>50000</v>
      </c>
      <c r="G28" s="13">
        <v>1705.3</v>
      </c>
      <c r="H28" s="13">
        <v>1.63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68</v>
      </c>
      <c r="C29" s="11" t="s">
        <v>13</v>
      </c>
      <c r="D29" s="11" t="s">
        <v>69</v>
      </c>
      <c r="E29" s="11" t="s">
        <v>70</v>
      </c>
      <c r="F29" s="12">
        <v>115631</v>
      </c>
      <c r="G29" s="13">
        <v>1630.86</v>
      </c>
      <c r="H29" s="13">
        <v>1.56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71</v>
      </c>
      <c r="C30" s="11" t="s">
        <v>13</v>
      </c>
      <c r="D30" s="11" t="s">
        <v>72</v>
      </c>
      <c r="E30" s="11" t="s">
        <v>73</v>
      </c>
      <c r="F30" s="12">
        <v>27000</v>
      </c>
      <c r="G30" s="13">
        <v>1572.48</v>
      </c>
      <c r="H30" s="13">
        <v>1.5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74</v>
      </c>
      <c r="C31" s="11" t="s">
        <v>13</v>
      </c>
      <c r="D31" s="11" t="s">
        <v>75</v>
      </c>
      <c r="E31" s="11" t="s">
        <v>20</v>
      </c>
      <c r="F31" s="12">
        <v>420128</v>
      </c>
      <c r="G31" s="13">
        <v>1521.7</v>
      </c>
      <c r="H31" s="13">
        <v>1.45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76</v>
      </c>
      <c r="C32" s="11" t="s">
        <v>13</v>
      </c>
      <c r="D32" s="11" t="s">
        <v>77</v>
      </c>
      <c r="E32" s="11" t="s">
        <v>73</v>
      </c>
      <c r="F32" s="12">
        <v>120780</v>
      </c>
      <c r="G32" s="13">
        <v>1396.46</v>
      </c>
      <c r="H32" s="13">
        <v>1.33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78</v>
      </c>
      <c r="C33" s="11" t="s">
        <v>13</v>
      </c>
      <c r="D33" s="11" t="s">
        <v>79</v>
      </c>
      <c r="E33" s="11" t="s">
        <v>70</v>
      </c>
      <c r="F33" s="12">
        <v>135000</v>
      </c>
      <c r="G33" s="13">
        <v>1360.53</v>
      </c>
      <c r="H33" s="13">
        <v>1.3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80</v>
      </c>
      <c r="C34" s="11" t="s">
        <v>13</v>
      </c>
      <c r="D34" s="11" t="s">
        <v>81</v>
      </c>
      <c r="E34" s="11" t="s">
        <v>47</v>
      </c>
      <c r="F34" s="12">
        <v>20000</v>
      </c>
      <c r="G34" s="13">
        <v>1220.5999999999999</v>
      </c>
      <c r="H34" s="13">
        <v>1.17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82</v>
      </c>
      <c r="C35" s="11" t="s">
        <v>13</v>
      </c>
      <c r="D35" s="11" t="s">
        <v>83</v>
      </c>
      <c r="E35" s="11" t="s">
        <v>28</v>
      </c>
      <c r="F35" s="12">
        <v>695545</v>
      </c>
      <c r="G35" s="13">
        <v>1211.78</v>
      </c>
      <c r="H35" s="13">
        <v>1.1599999999999999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84</v>
      </c>
      <c r="C36" s="11" t="s">
        <v>13</v>
      </c>
      <c r="D36" s="11" t="s">
        <v>85</v>
      </c>
      <c r="E36" s="11" t="s">
        <v>20</v>
      </c>
      <c r="F36" s="12">
        <v>365032</v>
      </c>
      <c r="G36" s="13">
        <v>1184.53</v>
      </c>
      <c r="H36" s="13">
        <v>1.1299999999999999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86</v>
      </c>
      <c r="C37" s="11" t="s">
        <v>13</v>
      </c>
      <c r="D37" s="11" t="s">
        <v>87</v>
      </c>
      <c r="E37" s="11" t="s">
        <v>28</v>
      </c>
      <c r="F37" s="12">
        <v>315040</v>
      </c>
      <c r="G37" s="13">
        <v>1030.3399999999999</v>
      </c>
      <c r="H37" s="13">
        <v>0.98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88</v>
      </c>
      <c r="C38" s="11" t="s">
        <v>13</v>
      </c>
      <c r="D38" s="11" t="s">
        <v>89</v>
      </c>
      <c r="E38" s="11" t="s">
        <v>90</v>
      </c>
      <c r="F38" s="12">
        <v>29000</v>
      </c>
      <c r="G38" s="13">
        <v>884.59</v>
      </c>
      <c r="H38" s="13">
        <v>0.85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91</v>
      </c>
      <c r="C39" s="11" t="s">
        <v>13</v>
      </c>
      <c r="D39" s="11" t="s">
        <v>92</v>
      </c>
      <c r="E39" s="11" t="s">
        <v>93</v>
      </c>
      <c r="F39" s="12">
        <v>200000</v>
      </c>
      <c r="G39" s="13">
        <v>886.1</v>
      </c>
      <c r="H39" s="13">
        <v>0.85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94</v>
      </c>
      <c r="C40" s="11" t="s">
        <v>13</v>
      </c>
      <c r="D40" s="11" t="s">
        <v>95</v>
      </c>
      <c r="E40" s="11" t="s">
        <v>20</v>
      </c>
      <c r="F40" s="12">
        <v>162676</v>
      </c>
      <c r="G40" s="13">
        <v>878.21</v>
      </c>
      <c r="H40" s="13">
        <v>0.84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96</v>
      </c>
      <c r="C41" s="11" t="s">
        <v>13</v>
      </c>
      <c r="D41" s="11" t="s">
        <v>97</v>
      </c>
      <c r="E41" s="11" t="s">
        <v>98</v>
      </c>
      <c r="F41" s="12">
        <v>112490</v>
      </c>
      <c r="G41" s="13">
        <v>816.51</v>
      </c>
      <c r="H41" s="13">
        <v>0.78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99</v>
      </c>
      <c r="C42" s="11" t="s">
        <v>13</v>
      </c>
      <c r="D42" s="11" t="s">
        <v>100</v>
      </c>
      <c r="E42" s="11" t="s">
        <v>39</v>
      </c>
      <c r="F42" s="12">
        <v>29870</v>
      </c>
      <c r="G42" s="13">
        <v>640.14</v>
      </c>
      <c r="H42" s="13">
        <v>0.61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101</v>
      </c>
      <c r="C43" s="11" t="s">
        <v>13</v>
      </c>
      <c r="D43" s="11" t="s">
        <v>102</v>
      </c>
      <c r="E43" s="11" t="s">
        <v>20</v>
      </c>
      <c r="F43" s="12">
        <v>45000</v>
      </c>
      <c r="G43" s="13">
        <v>611.15</v>
      </c>
      <c r="H43" s="13">
        <v>0.57999999999999996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103</v>
      </c>
      <c r="C44" s="11" t="s">
        <v>13</v>
      </c>
      <c r="D44" s="11" t="s">
        <v>104</v>
      </c>
      <c r="E44" s="11" t="s">
        <v>31</v>
      </c>
      <c r="F44" s="12">
        <v>206660</v>
      </c>
      <c r="G44" s="13">
        <v>515.51</v>
      </c>
      <c r="H44" s="13">
        <v>0.49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105</v>
      </c>
      <c r="C45" s="11" t="s">
        <v>13</v>
      </c>
      <c r="D45" s="11" t="s">
        <v>106</v>
      </c>
      <c r="E45" s="11" t="s">
        <v>34</v>
      </c>
      <c r="F45" s="12">
        <v>86767</v>
      </c>
      <c r="G45" s="13">
        <v>497.7</v>
      </c>
      <c r="H45" s="13">
        <v>0.48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107</v>
      </c>
      <c r="C46" s="11" t="s">
        <v>13</v>
      </c>
      <c r="D46" s="11" t="s">
        <v>108</v>
      </c>
      <c r="E46" s="11" t="s">
        <v>98</v>
      </c>
      <c r="F46" s="12">
        <v>35846</v>
      </c>
      <c r="G46" s="13">
        <v>381.9</v>
      </c>
      <c r="H46" s="13">
        <v>0.37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109</v>
      </c>
      <c r="C47" s="11" t="s">
        <v>13</v>
      </c>
      <c r="D47" s="11" t="s">
        <v>110</v>
      </c>
      <c r="E47" s="11" t="s">
        <v>111</v>
      </c>
      <c r="F47" s="12">
        <v>110819</v>
      </c>
      <c r="G47" s="13">
        <v>378.17</v>
      </c>
      <c r="H47" s="13">
        <v>0.36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112</v>
      </c>
      <c r="C48" s="11" t="s">
        <v>13</v>
      </c>
      <c r="D48" s="11" t="s">
        <v>113</v>
      </c>
      <c r="E48" s="11" t="s">
        <v>23</v>
      </c>
      <c r="F48" s="12">
        <v>130326</v>
      </c>
      <c r="G48" s="13">
        <v>321.91000000000003</v>
      </c>
      <c r="H48" s="13">
        <v>0.31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114</v>
      </c>
      <c r="C49" s="11" t="s">
        <v>13</v>
      </c>
      <c r="D49" s="11" t="s">
        <v>115</v>
      </c>
      <c r="E49" s="11" t="s">
        <v>34</v>
      </c>
      <c r="F49" s="12">
        <v>6903</v>
      </c>
      <c r="G49" s="13">
        <v>160.96</v>
      </c>
      <c r="H49" s="13">
        <v>0.15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116</v>
      </c>
      <c r="C50" s="11" t="s">
        <v>13</v>
      </c>
      <c r="D50" s="11" t="s">
        <v>117</v>
      </c>
      <c r="E50" s="11" t="s">
        <v>39</v>
      </c>
      <c r="F50" s="12">
        <v>10181</v>
      </c>
      <c r="G50" s="13">
        <v>116.14</v>
      </c>
      <c r="H50" s="13">
        <v>0.11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118</v>
      </c>
      <c r="C51" s="11" t="s">
        <v>13</v>
      </c>
      <c r="D51" s="11" t="s">
        <v>119</v>
      </c>
      <c r="E51" s="11" t="s">
        <v>120</v>
      </c>
      <c r="F51" s="12">
        <v>3945</v>
      </c>
      <c r="G51" s="13">
        <v>95.93</v>
      </c>
      <c r="H51" s="13">
        <v>0.09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121</v>
      </c>
      <c r="C52" s="11" t="s">
        <v>13</v>
      </c>
      <c r="D52" s="11" t="s">
        <v>122</v>
      </c>
      <c r="E52" s="11" t="s">
        <v>20</v>
      </c>
      <c r="F52" s="12">
        <v>79</v>
      </c>
      <c r="G52" s="13">
        <v>0.59</v>
      </c>
      <c r="H52" s="13" t="s">
        <v>123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7"/>
      <c r="B53" s="9" t="s">
        <v>124</v>
      </c>
      <c r="C53" s="17"/>
      <c r="D53" s="17"/>
      <c r="E53" s="17"/>
      <c r="F53" s="17"/>
      <c r="G53" s="18">
        <f>SUM(G9:G52)</f>
        <v>101321.93999999999</v>
      </c>
      <c r="H53" s="18">
        <v>96.84</v>
      </c>
      <c r="I53" s="17"/>
      <c r="J53" s="17"/>
      <c r="K53" s="17"/>
      <c r="L53" s="17"/>
    </row>
    <row r="54" spans="1:12" x14ac:dyDescent="0.35">
      <c r="A54" s="8"/>
      <c r="B54" s="9" t="s">
        <v>125</v>
      </c>
      <c r="C54" s="8"/>
      <c r="D54" s="8"/>
      <c r="E54" s="8"/>
      <c r="F54" s="8"/>
      <c r="G54" s="19">
        <v>101321.93999999999</v>
      </c>
      <c r="H54" s="18">
        <v>96.84</v>
      </c>
      <c r="I54" s="8"/>
      <c r="J54" s="8"/>
      <c r="K54" s="8"/>
      <c r="L54" s="8"/>
    </row>
    <row r="55" spans="1:12" x14ac:dyDescent="0.35">
      <c r="A55" s="8"/>
      <c r="B55" s="9"/>
      <c r="C55" s="8"/>
      <c r="D55" s="8"/>
      <c r="E55" s="8"/>
      <c r="F55" s="8"/>
      <c r="G55" s="19"/>
      <c r="H55" s="19"/>
      <c r="I55" s="8"/>
      <c r="J55" s="8"/>
      <c r="K55" s="8"/>
      <c r="L55" s="8"/>
    </row>
    <row r="56" spans="1:12" x14ac:dyDescent="0.35">
      <c r="A56" s="8"/>
      <c r="B56" s="9" t="s">
        <v>126</v>
      </c>
      <c r="C56" s="8"/>
      <c r="D56" s="8"/>
      <c r="E56" s="8"/>
      <c r="F56" s="8"/>
      <c r="G56" s="19"/>
      <c r="H56" s="19"/>
      <c r="I56" s="8"/>
      <c r="J56" s="8"/>
      <c r="K56" s="8"/>
      <c r="L56" s="8"/>
    </row>
    <row r="57" spans="1:12" x14ac:dyDescent="0.35">
      <c r="A57" s="8"/>
      <c r="B57" s="9" t="s">
        <v>15</v>
      </c>
      <c r="C57" s="8"/>
      <c r="D57" s="8"/>
      <c r="E57" s="8"/>
      <c r="F57" s="8"/>
      <c r="G57" s="19"/>
      <c r="H57" s="19"/>
      <c r="I57" s="8"/>
      <c r="J57" s="8"/>
      <c r="K57" s="8"/>
      <c r="L57" s="8"/>
    </row>
    <row r="58" spans="1:12" x14ac:dyDescent="0.35">
      <c r="A58" s="8"/>
      <c r="B58" s="11" t="s">
        <v>127</v>
      </c>
      <c r="C58" s="11" t="s">
        <v>13</v>
      </c>
      <c r="D58" s="11" t="s">
        <v>128</v>
      </c>
      <c r="E58" s="11" t="s">
        <v>129</v>
      </c>
      <c r="F58" s="12">
        <v>288000</v>
      </c>
      <c r="G58" s="13">
        <v>28.8</v>
      </c>
      <c r="H58" s="13">
        <v>0.03</v>
      </c>
      <c r="I58" s="20">
        <v>0.06</v>
      </c>
      <c r="J58" s="8"/>
      <c r="K58" s="8"/>
      <c r="L58" s="8"/>
    </row>
    <row r="59" spans="1:12" x14ac:dyDescent="0.35">
      <c r="A59" s="8"/>
      <c r="B59" s="9" t="s">
        <v>124</v>
      </c>
      <c r="C59" s="8"/>
      <c r="D59" s="8"/>
      <c r="E59" s="8"/>
      <c r="F59" s="8"/>
      <c r="G59" s="21">
        <v>28.8</v>
      </c>
      <c r="H59" s="21">
        <v>0.03</v>
      </c>
      <c r="I59" s="8"/>
      <c r="J59" s="8"/>
      <c r="K59" s="8"/>
      <c r="L59" s="8"/>
    </row>
    <row r="60" spans="1:12" x14ac:dyDescent="0.35">
      <c r="A60" s="8"/>
      <c r="B60" s="9" t="s">
        <v>125</v>
      </c>
      <c r="C60" s="8"/>
      <c r="D60" s="8"/>
      <c r="E60" s="8"/>
      <c r="F60" s="8"/>
      <c r="G60" s="21">
        <v>28.8</v>
      </c>
      <c r="H60" s="21">
        <v>0.03</v>
      </c>
      <c r="I60" s="8"/>
      <c r="J60" s="8"/>
      <c r="K60" s="8"/>
      <c r="L60" s="8"/>
    </row>
    <row r="61" spans="1:12" x14ac:dyDescent="0.35">
      <c r="A61" s="8"/>
      <c r="B61" s="9"/>
      <c r="C61" s="8"/>
      <c r="D61" s="8"/>
      <c r="E61" s="8"/>
      <c r="F61" s="8"/>
      <c r="G61" s="19"/>
      <c r="H61" s="19"/>
      <c r="I61" s="8"/>
      <c r="J61" s="8"/>
      <c r="K61" s="8"/>
      <c r="L61" s="8"/>
    </row>
    <row r="62" spans="1:12" x14ac:dyDescent="0.35">
      <c r="A62" s="8"/>
      <c r="B62" s="9" t="s">
        <v>130</v>
      </c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2" x14ac:dyDescent="0.35">
      <c r="A63" s="8"/>
      <c r="B63" s="9" t="s">
        <v>131</v>
      </c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x14ac:dyDescent="0.35">
      <c r="A64" s="10" t="s">
        <v>13</v>
      </c>
      <c r="B64" s="11" t="s">
        <v>13</v>
      </c>
      <c r="C64" s="11" t="s">
        <v>13</v>
      </c>
      <c r="D64" s="11" t="s">
        <v>131</v>
      </c>
      <c r="E64" s="11" t="s">
        <v>13</v>
      </c>
      <c r="F64" s="12" t="s">
        <v>13</v>
      </c>
      <c r="G64" s="13">
        <v>3292.54</v>
      </c>
      <c r="H64" s="13">
        <v>3.15</v>
      </c>
      <c r="I64" s="14">
        <v>5.3888999999999996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7"/>
      <c r="B65" s="9" t="s">
        <v>124</v>
      </c>
      <c r="C65" s="17"/>
      <c r="D65" s="17"/>
      <c r="E65" s="17"/>
      <c r="F65" s="17"/>
      <c r="G65" s="18">
        <v>3292.54</v>
      </c>
      <c r="H65" s="18">
        <v>3.15</v>
      </c>
      <c r="I65" s="17"/>
      <c r="J65" s="17"/>
      <c r="K65" s="17"/>
      <c r="L65" s="17"/>
    </row>
    <row r="66" spans="1:12" x14ac:dyDescent="0.35">
      <c r="A66" s="8"/>
      <c r="B66" s="9" t="s">
        <v>125</v>
      </c>
      <c r="C66" s="8"/>
      <c r="D66" s="8"/>
      <c r="E66" s="8"/>
      <c r="F66" s="8"/>
      <c r="G66" s="19">
        <v>3292.54</v>
      </c>
      <c r="H66" s="19">
        <v>3.15</v>
      </c>
      <c r="I66" s="8"/>
      <c r="J66" s="8"/>
      <c r="K66" s="8"/>
      <c r="L66" s="8"/>
    </row>
    <row r="67" spans="1:12" x14ac:dyDescent="0.35">
      <c r="A67" s="8"/>
      <c r="B67" s="9" t="s">
        <v>132</v>
      </c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x14ac:dyDescent="0.35">
      <c r="A68" s="8"/>
      <c r="B68" s="9" t="s">
        <v>133</v>
      </c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x14ac:dyDescent="0.35">
      <c r="A69" s="10" t="s">
        <v>13</v>
      </c>
      <c r="B69" s="11" t="s">
        <v>13</v>
      </c>
      <c r="C69" s="11" t="s">
        <v>13</v>
      </c>
      <c r="D69" s="11" t="s">
        <v>133</v>
      </c>
      <c r="E69" s="11" t="s">
        <v>13</v>
      </c>
      <c r="F69" s="12" t="s">
        <v>13</v>
      </c>
      <c r="G69" s="13">
        <v>-20.63</v>
      </c>
      <c r="H69" s="13">
        <v>-0.02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7"/>
      <c r="B70" s="9" t="s">
        <v>124</v>
      </c>
      <c r="C70" s="17"/>
      <c r="D70" s="17"/>
      <c r="E70" s="17"/>
      <c r="F70" s="17"/>
      <c r="G70" s="18">
        <v>-20.63</v>
      </c>
      <c r="H70" s="18">
        <v>-0.02</v>
      </c>
      <c r="I70" s="17"/>
      <c r="J70" s="17"/>
      <c r="K70" s="17"/>
      <c r="L70" s="17"/>
    </row>
    <row r="71" spans="1:12" x14ac:dyDescent="0.35">
      <c r="A71" s="8"/>
      <c r="B71" s="9" t="s">
        <v>125</v>
      </c>
      <c r="C71" s="8"/>
      <c r="D71" s="8"/>
      <c r="E71" s="8"/>
      <c r="F71" s="8"/>
      <c r="G71" s="19">
        <v>-20.63</v>
      </c>
      <c r="H71" s="19">
        <v>-0.02</v>
      </c>
      <c r="I71" s="8"/>
      <c r="J71" s="8"/>
      <c r="K71" s="8"/>
      <c r="L71" s="8"/>
    </row>
    <row r="72" spans="1:12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x14ac:dyDescent="0.35">
      <c r="A73" s="4"/>
      <c r="B73" s="22" t="s">
        <v>134</v>
      </c>
      <c r="C73" s="4"/>
      <c r="D73" s="4"/>
      <c r="E73" s="4"/>
      <c r="F73" s="4"/>
      <c r="G73" s="21">
        <v>104622.64999999998</v>
      </c>
      <c r="H73" s="21">
        <v>100</v>
      </c>
      <c r="I73" s="4"/>
      <c r="J73" s="4"/>
      <c r="K73" s="4"/>
      <c r="L73" s="4"/>
    </row>
    <row r="74" spans="1:12" x14ac:dyDescent="0.35">
      <c r="A74" s="10" t="s">
        <v>17</v>
      </c>
      <c r="B74" s="36" t="s">
        <v>135</v>
      </c>
      <c r="C74" s="36" t="s">
        <v>135</v>
      </c>
      <c r="D74" s="36" t="s">
        <v>135</v>
      </c>
      <c r="E74" s="36" t="s">
        <v>135</v>
      </c>
      <c r="F74" s="36" t="s">
        <v>135</v>
      </c>
      <c r="G74" s="11"/>
      <c r="H74" s="11"/>
      <c r="I74" s="11"/>
      <c r="J74" s="11"/>
      <c r="K74" s="11"/>
      <c r="L74" s="11"/>
    </row>
    <row r="75" spans="1:12" x14ac:dyDescent="0.35">
      <c r="A75" s="11"/>
      <c r="B75" s="33" t="s">
        <v>136</v>
      </c>
      <c r="C75" s="33" t="s">
        <v>136</v>
      </c>
      <c r="D75" s="33" t="s">
        <v>136</v>
      </c>
      <c r="E75" s="33" t="s">
        <v>136</v>
      </c>
      <c r="F75" s="33" t="s">
        <v>136</v>
      </c>
      <c r="G75" s="11"/>
      <c r="H75" s="11"/>
      <c r="I75" s="11"/>
      <c r="J75" s="11"/>
      <c r="K75" s="11"/>
      <c r="L75" s="11"/>
    </row>
    <row r="76" spans="1:12" x14ac:dyDescent="0.35">
      <c r="A76" s="11"/>
      <c r="B76" s="33" t="s">
        <v>137</v>
      </c>
      <c r="C76" s="33" t="s">
        <v>137</v>
      </c>
      <c r="D76" s="33" t="s">
        <v>137</v>
      </c>
      <c r="E76" s="33" t="s">
        <v>137</v>
      </c>
      <c r="F76" s="33" t="s">
        <v>137</v>
      </c>
      <c r="G76" s="11"/>
      <c r="H76" s="11"/>
      <c r="I76" s="11"/>
      <c r="J76" s="11"/>
      <c r="K76" s="11"/>
      <c r="L76" s="11"/>
    </row>
    <row r="77" spans="1:12" x14ac:dyDescent="0.35">
      <c r="A77" s="11"/>
      <c r="B77" s="33" t="s">
        <v>138</v>
      </c>
      <c r="C77" s="33" t="s">
        <v>138</v>
      </c>
      <c r="D77" s="33" t="s">
        <v>138</v>
      </c>
      <c r="E77" s="33" t="s">
        <v>138</v>
      </c>
      <c r="F77" s="33" t="s">
        <v>138</v>
      </c>
      <c r="G77" s="11"/>
      <c r="H77" s="11"/>
      <c r="I77" s="11"/>
      <c r="J77" s="11"/>
      <c r="K77" s="11"/>
      <c r="L77" s="11"/>
    </row>
    <row r="78" spans="1:12" x14ac:dyDescent="0.35">
      <c r="A78" s="11"/>
      <c r="B78" s="33" t="s">
        <v>139</v>
      </c>
      <c r="C78" s="33" t="s">
        <v>139</v>
      </c>
      <c r="D78" s="33" t="s">
        <v>139</v>
      </c>
      <c r="E78" s="33" t="s">
        <v>139</v>
      </c>
      <c r="F78" s="33" t="s">
        <v>139</v>
      </c>
      <c r="G78" s="11"/>
      <c r="H78" s="11"/>
      <c r="I78" s="11"/>
      <c r="J78" s="11"/>
      <c r="K78" s="11"/>
      <c r="L78" s="11"/>
    </row>
    <row r="79" spans="1:12" x14ac:dyDescent="0.35">
      <c r="A79" s="11"/>
      <c r="B79" s="33" t="s">
        <v>140</v>
      </c>
      <c r="C79" s="33" t="s">
        <v>140</v>
      </c>
      <c r="D79" s="33" t="s">
        <v>140</v>
      </c>
      <c r="E79" s="33" t="s">
        <v>140</v>
      </c>
      <c r="F79" s="33" t="s">
        <v>140</v>
      </c>
      <c r="G79" s="11"/>
      <c r="H79" s="11"/>
      <c r="I79" s="11"/>
      <c r="J79" s="11"/>
      <c r="K79" s="11"/>
      <c r="L79" s="11"/>
    </row>
    <row r="80" spans="1:12" x14ac:dyDescent="0.35">
      <c r="A80" s="11"/>
      <c r="B80" s="33" t="s">
        <v>141</v>
      </c>
      <c r="C80" s="33" t="s">
        <v>141</v>
      </c>
      <c r="D80" s="33" t="s">
        <v>141</v>
      </c>
      <c r="E80" s="33" t="s">
        <v>141</v>
      </c>
      <c r="F80" s="33" t="s">
        <v>141</v>
      </c>
      <c r="G80" s="11"/>
      <c r="H80" s="11"/>
      <c r="I80" s="11"/>
      <c r="J80" s="11"/>
      <c r="K80" s="11"/>
      <c r="L80" s="11"/>
    </row>
    <row r="81" spans="1:12" x14ac:dyDescent="0.35">
      <c r="A81" s="11"/>
      <c r="B81" s="33" t="s">
        <v>142</v>
      </c>
      <c r="C81" s="33" t="s">
        <v>142</v>
      </c>
      <c r="D81" s="33" t="s">
        <v>142</v>
      </c>
      <c r="E81" s="33" t="s">
        <v>142</v>
      </c>
      <c r="F81" s="33" t="s">
        <v>142</v>
      </c>
      <c r="G81" s="11"/>
      <c r="H81" s="11"/>
      <c r="I81" s="11"/>
      <c r="J81" s="11"/>
      <c r="K81" s="11"/>
      <c r="L81" s="11"/>
    </row>
    <row r="82" spans="1:12" x14ac:dyDescent="0.35">
      <c r="A82" s="11"/>
      <c r="B82" s="11"/>
      <c r="C82" s="11"/>
      <c r="D82" s="11"/>
      <c r="E82" s="11"/>
      <c r="F82" s="11"/>
      <c r="G82" s="11"/>
      <c r="H82" s="11"/>
    </row>
    <row r="83" spans="1:12" x14ac:dyDescent="0.35">
      <c r="A83" s="23"/>
      <c r="B83" s="24" t="s">
        <v>143</v>
      </c>
      <c r="C83" s="23"/>
      <c r="D83" s="23"/>
      <c r="E83" s="11"/>
      <c r="F83" s="11"/>
      <c r="G83" s="11"/>
      <c r="H83" s="11"/>
    </row>
    <row r="84" spans="1:12" x14ac:dyDescent="0.35">
      <c r="A84" s="23"/>
      <c r="B84" s="25" t="s">
        <v>20</v>
      </c>
      <c r="C84" s="26"/>
      <c r="D84" s="27">
        <v>24.8</v>
      </c>
      <c r="E84" s="11"/>
      <c r="F84" s="11"/>
      <c r="G84" s="11"/>
      <c r="H84" s="11"/>
    </row>
    <row r="85" spans="1:12" x14ac:dyDescent="0.35">
      <c r="A85" s="23"/>
      <c r="B85" s="25" t="s">
        <v>23</v>
      </c>
      <c r="C85" s="26"/>
      <c r="D85" s="27">
        <v>10.89</v>
      </c>
      <c r="E85" s="11"/>
      <c r="F85" s="11"/>
      <c r="G85" s="11"/>
      <c r="H85" s="11"/>
    </row>
    <row r="86" spans="1:12" x14ac:dyDescent="0.35">
      <c r="A86" s="23"/>
      <c r="B86" s="25" t="s">
        <v>28</v>
      </c>
      <c r="C86" s="26"/>
      <c r="D86" s="27">
        <v>10.239999999999998</v>
      </c>
      <c r="E86" s="11"/>
      <c r="F86" s="11"/>
      <c r="G86" s="11"/>
      <c r="H86" s="11"/>
    </row>
    <row r="87" spans="1:12" x14ac:dyDescent="0.35">
      <c r="A87" s="23"/>
      <c r="B87" s="25" t="s">
        <v>39</v>
      </c>
      <c r="C87" s="26"/>
      <c r="D87" s="27">
        <v>9.94</v>
      </c>
      <c r="E87" s="11"/>
      <c r="F87" s="11"/>
      <c r="G87" s="11"/>
      <c r="H87" s="11"/>
    </row>
    <row r="88" spans="1:12" x14ac:dyDescent="0.35">
      <c r="A88" s="23"/>
      <c r="B88" s="25" t="s">
        <v>31</v>
      </c>
      <c r="C88" s="26"/>
      <c r="D88" s="27">
        <v>9.57</v>
      </c>
      <c r="E88" s="11"/>
      <c r="F88" s="11"/>
      <c r="G88" s="11"/>
      <c r="H88" s="11"/>
    </row>
    <row r="89" spans="1:12" x14ac:dyDescent="0.35">
      <c r="A89" s="23"/>
      <c r="B89" s="25" t="s">
        <v>34</v>
      </c>
      <c r="C89" s="26"/>
      <c r="D89" s="27">
        <v>7.3</v>
      </c>
      <c r="E89" s="11"/>
      <c r="F89" s="11"/>
      <c r="G89" s="11"/>
      <c r="H89" s="11"/>
    </row>
    <row r="90" spans="1:12" x14ac:dyDescent="0.35">
      <c r="A90" s="23"/>
      <c r="B90" s="25" t="s">
        <v>47</v>
      </c>
      <c r="C90" s="26"/>
      <c r="D90" s="27">
        <v>6.47</v>
      </c>
      <c r="E90" s="11"/>
      <c r="F90" s="11"/>
      <c r="G90" s="11"/>
      <c r="H90" s="11"/>
    </row>
    <row r="91" spans="1:12" x14ac:dyDescent="0.35">
      <c r="A91" s="23"/>
      <c r="B91" s="25" t="s">
        <v>44</v>
      </c>
      <c r="C91" s="26"/>
      <c r="D91" s="27">
        <v>3.23</v>
      </c>
      <c r="E91" s="11"/>
      <c r="F91" s="11"/>
      <c r="G91" s="11"/>
      <c r="H91" s="11"/>
    </row>
    <row r="92" spans="1:12" x14ac:dyDescent="0.35">
      <c r="A92" s="23"/>
      <c r="B92" s="25" t="s">
        <v>70</v>
      </c>
      <c r="C92" s="26"/>
      <c r="D92" s="27">
        <v>2.8600000000000003</v>
      </c>
      <c r="E92" s="11"/>
      <c r="F92" s="11"/>
      <c r="G92" s="11"/>
      <c r="H92" s="11"/>
    </row>
    <row r="93" spans="1:12" x14ac:dyDescent="0.35">
      <c r="A93" s="23"/>
      <c r="B93" s="25" t="s">
        <v>73</v>
      </c>
      <c r="C93" s="26"/>
      <c r="D93" s="27">
        <v>2.83</v>
      </c>
      <c r="E93" s="11"/>
      <c r="F93" s="11"/>
      <c r="G93" s="11"/>
      <c r="H93" s="11"/>
    </row>
    <row r="94" spans="1:12" x14ac:dyDescent="0.35">
      <c r="A94" s="23"/>
      <c r="B94" s="25" t="s">
        <v>50</v>
      </c>
      <c r="C94" s="26"/>
      <c r="D94" s="27">
        <v>2.73</v>
      </c>
      <c r="E94" s="11"/>
      <c r="F94" s="11"/>
      <c r="G94" s="11"/>
      <c r="H94" s="11"/>
    </row>
    <row r="95" spans="1:12" x14ac:dyDescent="0.35">
      <c r="A95" s="23"/>
      <c r="B95" s="25" t="s">
        <v>53</v>
      </c>
      <c r="C95" s="26"/>
      <c r="D95" s="27">
        <v>2.71</v>
      </c>
      <c r="E95" s="11"/>
      <c r="F95" s="11"/>
      <c r="G95" s="11"/>
      <c r="H95" s="11"/>
    </row>
    <row r="96" spans="1:12" x14ac:dyDescent="0.35">
      <c r="A96" s="23"/>
      <c r="B96" s="25" t="s">
        <v>98</v>
      </c>
      <c r="C96" s="26"/>
      <c r="D96" s="27">
        <v>1.1499999999999999</v>
      </c>
      <c r="E96" s="11"/>
      <c r="F96" s="11"/>
      <c r="G96" s="11"/>
      <c r="H96" s="11"/>
    </row>
    <row r="97" spans="1:8" x14ac:dyDescent="0.35">
      <c r="A97" s="23"/>
      <c r="B97" s="25" t="s">
        <v>93</v>
      </c>
      <c r="C97" s="26"/>
      <c r="D97" s="27">
        <v>0.85</v>
      </c>
      <c r="E97" s="11"/>
      <c r="F97" s="11"/>
      <c r="G97" s="11"/>
      <c r="H97" s="11"/>
    </row>
    <row r="98" spans="1:8" x14ac:dyDescent="0.35">
      <c r="A98" s="23"/>
      <c r="B98" s="25" t="s">
        <v>90</v>
      </c>
      <c r="C98" s="26"/>
      <c r="D98" s="27">
        <v>0.85</v>
      </c>
      <c r="E98" s="11"/>
      <c r="F98" s="11"/>
      <c r="G98" s="11"/>
      <c r="H98" s="11"/>
    </row>
    <row r="99" spans="1:8" x14ac:dyDescent="0.35">
      <c r="A99" s="23"/>
      <c r="B99" s="25" t="s">
        <v>111</v>
      </c>
      <c r="C99" s="26"/>
      <c r="D99" s="27">
        <v>0.36</v>
      </c>
      <c r="E99" s="11"/>
      <c r="F99" s="11"/>
      <c r="G99" s="11"/>
      <c r="H99" s="11"/>
    </row>
    <row r="100" spans="1:8" x14ac:dyDescent="0.35">
      <c r="A100" s="23"/>
      <c r="B100" s="25" t="s">
        <v>120</v>
      </c>
      <c r="C100" s="26"/>
      <c r="D100" s="27">
        <v>0.09</v>
      </c>
      <c r="E100" s="11"/>
      <c r="F100" s="11"/>
      <c r="G100" s="11"/>
      <c r="H100" s="11"/>
    </row>
    <row r="101" spans="1:8" x14ac:dyDescent="0.35">
      <c r="A101" s="23"/>
      <c r="B101" s="25" t="s">
        <v>144</v>
      </c>
      <c r="C101" s="26"/>
      <c r="D101" s="27">
        <v>3.13</v>
      </c>
      <c r="E101" s="11"/>
      <c r="F101" s="11"/>
      <c r="G101" s="11"/>
      <c r="H101" s="11"/>
    </row>
    <row r="102" spans="1:8" x14ac:dyDescent="0.35">
      <c r="A102" s="28"/>
      <c r="B102" s="28"/>
      <c r="C102" s="28"/>
      <c r="D102" s="28"/>
      <c r="E102" s="28"/>
      <c r="F102" s="28"/>
      <c r="G102" s="28"/>
      <c r="H102" s="28"/>
    </row>
    <row r="103" spans="1:8" x14ac:dyDescent="0.35">
      <c r="A103" s="28"/>
      <c r="B103" s="8" t="s">
        <v>145</v>
      </c>
      <c r="C103" s="28"/>
      <c r="D103" s="28"/>
      <c r="E103" s="28"/>
      <c r="F103" s="28"/>
      <c r="G103" s="28"/>
      <c r="H103" s="28"/>
    </row>
    <row r="104" spans="1:8" x14ac:dyDescent="0.35">
      <c r="A104" s="11"/>
      <c r="B104" s="11" t="s">
        <v>146</v>
      </c>
      <c r="C104" s="11"/>
      <c r="D104" s="11"/>
      <c r="E104" s="11"/>
      <c r="F104" s="11"/>
      <c r="G104" s="11"/>
      <c r="H104" s="28"/>
    </row>
    <row r="105" spans="1:8" x14ac:dyDescent="0.35">
      <c r="A105" s="11"/>
      <c r="B105" s="29" t="s">
        <v>147</v>
      </c>
      <c r="C105" s="30" t="s">
        <v>148</v>
      </c>
      <c r="D105" s="29" t="s">
        <v>149</v>
      </c>
      <c r="E105" s="11"/>
      <c r="F105" s="11"/>
      <c r="G105" s="11"/>
      <c r="H105" s="28"/>
    </row>
    <row r="106" spans="1:8" x14ac:dyDescent="0.35">
      <c r="A106" s="11"/>
      <c r="B106" s="8" t="s">
        <v>150</v>
      </c>
      <c r="C106" s="31">
        <v>14.632999999999999</v>
      </c>
      <c r="D106" s="31">
        <v>14.285</v>
      </c>
      <c r="E106" s="11"/>
      <c r="F106" s="11"/>
      <c r="G106" s="11"/>
      <c r="H106" s="28"/>
    </row>
    <row r="107" spans="1:8" x14ac:dyDescent="0.35">
      <c r="A107" s="11"/>
      <c r="B107" s="8" t="s">
        <v>151</v>
      </c>
      <c r="C107" s="31">
        <v>15.019</v>
      </c>
      <c r="D107" s="31">
        <v>14.648</v>
      </c>
      <c r="E107" s="11"/>
      <c r="F107" s="11"/>
      <c r="G107" s="11"/>
      <c r="H107" s="28"/>
    </row>
    <row r="108" spans="1:8" x14ac:dyDescent="0.35">
      <c r="A108" s="11"/>
      <c r="B108" s="8" t="s">
        <v>152</v>
      </c>
      <c r="C108" s="31">
        <v>14.632999999999999</v>
      </c>
      <c r="D108" s="31">
        <v>14.285</v>
      </c>
      <c r="E108" s="11"/>
      <c r="F108" s="11"/>
      <c r="G108" s="11"/>
      <c r="H108" s="28"/>
    </row>
    <row r="109" spans="1:8" x14ac:dyDescent="0.35">
      <c r="A109" s="11"/>
      <c r="B109" s="8" t="s">
        <v>153</v>
      </c>
      <c r="C109" s="31">
        <v>15.019</v>
      </c>
      <c r="D109" s="31">
        <v>14.648</v>
      </c>
      <c r="E109" s="11"/>
      <c r="F109" s="11"/>
      <c r="G109" s="11"/>
      <c r="H109" s="28"/>
    </row>
    <row r="110" spans="1:8" x14ac:dyDescent="0.35">
      <c r="A110" s="11"/>
      <c r="B110" s="8" t="s">
        <v>13</v>
      </c>
      <c r="C110" s="11"/>
      <c r="D110" s="11"/>
      <c r="E110" s="11"/>
      <c r="F110" s="11"/>
      <c r="G110" s="11"/>
      <c r="H110" s="28"/>
    </row>
    <row r="111" spans="1:8" x14ac:dyDescent="0.35">
      <c r="A111" s="11"/>
      <c r="B111" s="11"/>
      <c r="C111" s="11"/>
      <c r="D111" s="11"/>
      <c r="E111" s="11"/>
      <c r="F111" s="11"/>
      <c r="G111" s="11"/>
      <c r="H111" s="28"/>
    </row>
    <row r="112" spans="1:8" x14ac:dyDescent="0.35">
      <c r="A112" s="11"/>
      <c r="B112" s="11" t="s">
        <v>154</v>
      </c>
      <c r="C112" s="11"/>
      <c r="D112" s="11"/>
      <c r="E112" s="11"/>
      <c r="F112" s="11"/>
      <c r="G112" s="11"/>
      <c r="H112" s="28"/>
    </row>
    <row r="113" spans="1:8" x14ac:dyDescent="0.35">
      <c r="A113" s="11"/>
      <c r="B113" s="11"/>
      <c r="C113" s="11"/>
      <c r="D113" s="11"/>
      <c r="E113" s="11"/>
      <c r="F113" s="11"/>
      <c r="G113" s="11"/>
      <c r="H113" s="28"/>
    </row>
    <row r="114" spans="1:8" x14ac:dyDescent="0.35">
      <c r="A114" s="11"/>
      <c r="B114" s="11" t="s">
        <v>155</v>
      </c>
      <c r="C114" s="11"/>
      <c r="D114" s="11"/>
      <c r="E114" s="11"/>
      <c r="F114" s="11"/>
      <c r="G114" s="11"/>
      <c r="H114" s="28"/>
    </row>
    <row r="115" spans="1:8" x14ac:dyDescent="0.35">
      <c r="A115" s="28"/>
      <c r="B115" s="28"/>
      <c r="C115" s="28"/>
      <c r="D115" s="28"/>
      <c r="E115" s="28"/>
      <c r="F115" s="28"/>
      <c r="G115" s="28"/>
      <c r="H115" s="28"/>
    </row>
    <row r="116" spans="1:8" x14ac:dyDescent="0.35">
      <c r="A116" s="11"/>
      <c r="B116" s="11" t="s">
        <v>156</v>
      </c>
      <c r="C116" s="11"/>
      <c r="D116" s="11"/>
      <c r="E116" s="11"/>
      <c r="F116" s="11"/>
      <c r="G116" s="11"/>
      <c r="H116" s="11"/>
    </row>
    <row r="117" spans="1:8" x14ac:dyDescent="0.35">
      <c r="A117" s="11"/>
      <c r="B117" s="11" t="s">
        <v>157</v>
      </c>
      <c r="C117" s="11"/>
      <c r="D117" s="11"/>
      <c r="E117" s="11"/>
      <c r="F117" s="11"/>
      <c r="G117" s="11"/>
      <c r="H117" s="28"/>
    </row>
    <row r="118" spans="1:8" x14ac:dyDescent="0.35">
      <c r="A118" s="11"/>
      <c r="B118" s="11" t="s">
        <v>158</v>
      </c>
      <c r="C118" s="11"/>
      <c r="D118" s="11"/>
      <c r="E118" s="11"/>
      <c r="F118" s="11"/>
      <c r="G118" s="11"/>
      <c r="H118" s="28"/>
    </row>
    <row r="119" spans="1:8" x14ac:dyDescent="0.35">
      <c r="A119" s="11"/>
      <c r="B119" s="11" t="s">
        <v>159</v>
      </c>
      <c r="C119" s="11"/>
      <c r="D119" s="11"/>
      <c r="E119" s="11"/>
      <c r="F119" s="11"/>
      <c r="G119" s="11"/>
      <c r="H119" s="28"/>
    </row>
    <row r="120" spans="1:8" x14ac:dyDescent="0.35">
      <c r="A120" s="11"/>
      <c r="B120" s="11" t="s">
        <v>160</v>
      </c>
      <c r="C120" s="11"/>
      <c r="D120" s="11"/>
      <c r="E120" s="11"/>
      <c r="F120" s="11"/>
      <c r="G120" s="11"/>
      <c r="H120" s="28"/>
    </row>
    <row r="121" spans="1:8" x14ac:dyDescent="0.35">
      <c r="A121" s="11"/>
      <c r="B121" s="11" t="s">
        <v>161</v>
      </c>
      <c r="C121" s="11"/>
      <c r="D121" s="11"/>
      <c r="E121" s="11"/>
      <c r="F121" s="11"/>
      <c r="G121" s="11"/>
      <c r="H121" s="28"/>
    </row>
    <row r="122" spans="1:8" x14ac:dyDescent="0.35">
      <c r="A122" s="11"/>
      <c r="B122" s="11" t="s">
        <v>162</v>
      </c>
      <c r="C122" s="11"/>
      <c r="D122" s="11"/>
      <c r="E122" s="11"/>
      <c r="F122" s="11"/>
      <c r="G122" s="11"/>
      <c r="H122" s="28"/>
    </row>
    <row r="123" spans="1:8" x14ac:dyDescent="0.35">
      <c r="A123" s="11"/>
      <c r="B123" s="11" t="s">
        <v>163</v>
      </c>
      <c r="C123" s="11"/>
      <c r="D123" s="11"/>
      <c r="E123" s="11"/>
      <c r="F123" s="11"/>
      <c r="G123" s="11"/>
      <c r="H123" s="28"/>
    </row>
    <row r="124" spans="1:8" x14ac:dyDescent="0.35">
      <c r="A124" s="11"/>
      <c r="B124" s="11" t="s">
        <v>164</v>
      </c>
      <c r="C124" s="11"/>
      <c r="D124" s="11"/>
      <c r="E124" s="11"/>
      <c r="F124" s="11"/>
      <c r="G124" s="11"/>
      <c r="H124" s="28"/>
    </row>
    <row r="126" spans="1:8" x14ac:dyDescent="0.35">
      <c r="B126" s="32" t="s">
        <v>165</v>
      </c>
    </row>
    <row r="142" spans="2:2" x14ac:dyDescent="0.35">
      <c r="B142" s="32" t="s">
        <v>166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2025-09-09T07:39:03Z</dcterms:created>
  <dcterms:modified xsi:type="dcterms:W3CDTF">2025-09-09T08:50:58Z</dcterms:modified>
</cp:coreProperties>
</file>