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G59" i="1"/>
</calcChain>
</file>

<file path=xl/sharedStrings.xml><?xml version="1.0" encoding="utf-8"?>
<sst xmlns="http://schemas.openxmlformats.org/spreadsheetml/2006/main" count="615" uniqueCount="185">
  <si>
    <t>HDFC NIFTY NEXT 50 ETF (An open ended scheme replicating/tracking NIFTY Next 50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</si>
  <si>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</si>
  <si>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</si>
  <si>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</si>
  <si>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</si>
  <si>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</si>
  <si>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</si>
  <si>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</si>
  <si>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</si>
  <si>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</si>
  <si>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</si>
  <si>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</si>
  <si>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</si>
  <si>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</si>
  <si>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</si>
  <si>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</si>
  <si>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</si>
  <si>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</si>
  <si>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</si>
  <si>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</si>
  <si>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</si>
  <si>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</si>
  <si>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</si>
  <si>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</si>
  <si>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</si>
  <si>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</si>
  <si>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</si>
  <si>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INE494B01023</t>
  </si>
  <si>
    <t>TVS Motor Company Ltd.</t>
  </si>
  <si>
    <t>Automobiles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</si>
  <si>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</si>
  <si>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</si>
  <si>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</si>
  <si>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</si>
  <si>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</si>
  <si>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</si>
  <si>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</si>
  <si>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</si>
  <si>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</si>
  <si>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</si>
  <si>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</si>
  <si>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</si>
  <si>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</si>
  <si>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</si>
  <si>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</si>
  <si>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</si>
  <si>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</si>
  <si>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</si>
  <si>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</si>
  <si>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</si>
  <si>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</si>
  <si>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</si>
  <si>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INE192R01011</t>
  </si>
  <si>
    <t>Avenue Supermarts Ltd.</t>
  </si>
  <si>
    <t>Retailing</t>
  </si>
  <si>
    <t>INE134E01011</t>
  </si>
  <si>
    <t>Power Finance Corporation Ltd.</t>
  </si>
  <si>
    <t>INE663F01032</t>
  </si>
  <si>
    <t>INFO EDGE (INDIA) LIMITED</t>
  </si>
  <si>
    <t>INE118A01012</t>
  </si>
  <si>
    <t>Bajaj Holdings &amp; Investment Ltd</t>
  </si>
  <si>
    <t>INE214T01019</t>
  </si>
  <si>
    <t>LTIMindtree Limited</t>
  </si>
  <si>
    <t>IT - Software</t>
  </si>
  <si>
    <t>INE028A01039</t>
  </si>
  <si>
    <t>Bank of Baroda</t>
  </si>
  <si>
    <t>Banks</t>
  </si>
  <si>
    <t>INE067A01029</t>
  </si>
  <si>
    <t>CG Power and Industrial Solutions Ltd.</t>
  </si>
  <si>
    <t>Electrical Equipment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</si>
  <si>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</si>
  <si>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</si>
  <si>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</si>
  <si>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</si>
  <si>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</si>
  <si>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</si>
  <si>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</si>
  <si>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</si>
  <si>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Insurance</t>
  </si>
  <si>
    <t>INE020B01018</t>
  </si>
  <si>
    <t>REC Limited.</t>
  </si>
  <si>
    <t>INE775A01035</t>
  </si>
  <si>
    <t>Samvardhana Motherson International Ltd.</t>
  </si>
  <si>
    <t>Auto Components</t>
  </si>
  <si>
    <t>INE476A01022</t>
  </si>
  <si>
    <t>Canara Bank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</si>
  <si>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</si>
  <si>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</si>
  <si>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</si>
  <si>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</si>
  <si>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</si>
  <si>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</si>
  <si>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</si>
  <si>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</si>
  <si>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</si>
  <si>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</si>
  <si>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</si>
  <si>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</si>
  <si>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Ferrous Metals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</si>
  <si>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</si>
  <si>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</si>
  <si>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</si>
  <si>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</si>
  <si>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</si>
  <si>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</si>
  <si>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INE685A01028</t>
  </si>
  <si>
    <t>Torrent Pharmaceuticals Ltd.</t>
  </si>
  <si>
    <t>INE079A01024</t>
  </si>
  <si>
    <t>Ambuja Cements Ltd.</t>
  </si>
  <si>
    <t>INE364U01010</t>
  </si>
  <si>
    <t>Adani Green Energy Limited</t>
  </si>
  <si>
    <t>INE0V6F01027</t>
  </si>
  <si>
    <t>Hyundai Motor India Limited</t>
  </si>
  <si>
    <t>INE931S01010</t>
  </si>
  <si>
    <t>Adani Energy Solutions  Limited</t>
  </si>
  <si>
    <t>INE343H01029</t>
  </si>
  <si>
    <t>Solar Industries India Ltd.</t>
  </si>
  <si>
    <t>INE670K01029</t>
  </si>
  <si>
    <t>Lodha Developers Limited</t>
  </si>
  <si>
    <t>INE323A01026</t>
  </si>
  <si>
    <t>Bosch Limited</t>
  </si>
  <si>
    <t>INE121E01018</t>
  </si>
  <si>
    <t>JSW Energy Ltd.</t>
  </si>
  <si>
    <t>INE1NPP01017</t>
  </si>
  <si>
    <t>Siemens Energy India Limited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</si>
  <si>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</si>
  <si>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</si>
  <si>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</si>
  <si>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</si>
  <si>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</si>
  <si>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</si>
  <si>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</si>
  <si>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</si>
  <si>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</si>
  <si>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</si>
  <si>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</si>
  <si>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INE267A01025</t>
  </si>
  <si>
    <t>Hindustan Zinc Ltd.</t>
  </si>
  <si>
    <t>Non - Ferrous Metals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</si>
  <si>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</si>
  <si>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</si>
  <si>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</si>
  <si>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</si>
  <si>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</si>
  <si>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</si>
  <si>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</si>
  <si>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</si>
  <si>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</si>
  <si>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</si>
  <si>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</si>
  <si>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</si>
  <si>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</si>
  <si>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</si>
  <si>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</si>
  <si>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</si>
  <si>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</si>
  <si>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</si>
  <si>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</si>
  <si>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</si>
  <si>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</si>
  <si>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</si>
  <si>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</si>
  <si>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</si>
  <si>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</si>
  <si>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</si>
  <si>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</si>
  <si>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</si>
  <si>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</si>
  <si>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</si>
  <si>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</si>
  <si>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</si>
  <si>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</si>
  <si>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</si>
  <si>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</si>
  <si>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</si>
  <si>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</si>
  <si>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</si>
  <si>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</si>
  <si>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68.16%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</si>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</sst>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946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892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54"/>
  <sheetViews>
    <sheetView tabSelected="1" topLeftCell="A51" workbookViewId="0">
      <selection activeCell="B64" sqref="B6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7644</v>
      </c>
      <c r="G9" s="15">
        <v>357.72</v>
      </c>
      <c r="H9" s="15">
        <v>3.8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5115</v>
      </c>
      <c r="G10" s="15">
        <v>344.65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68309</v>
      </c>
      <c r="G11" s="15">
        <v>337.14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9452</v>
      </c>
      <c r="G12" s="15">
        <v>331.64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16971</v>
      </c>
      <c r="G13" s="15">
        <v>287.95999999999998</v>
      </c>
      <c r="H13" s="15">
        <v>3.06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78050</v>
      </c>
      <c r="G14" s="15">
        <v>278.48</v>
      </c>
      <c r="H14" s="15">
        <v>2.96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4749</v>
      </c>
      <c r="G15" s="15">
        <v>277.18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67618</v>
      </c>
      <c r="G16" s="15">
        <v>273.79000000000002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35368</v>
      </c>
      <c r="G17" s="15">
        <v>262.36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54554</v>
      </c>
      <c r="G18" s="15">
        <v>256.20999999999998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41</v>
      </c>
      <c r="F19" s="14">
        <v>158486</v>
      </c>
      <c r="G19" s="15">
        <v>250.17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35</v>
      </c>
      <c r="F20" s="14">
        <v>150454</v>
      </c>
      <c r="G20" s="15">
        <v>249.6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5927</v>
      </c>
      <c r="G21" s="15">
        <v>246.18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32</v>
      </c>
      <c r="F22" s="14">
        <v>58631</v>
      </c>
      <c r="G22" s="15">
        <v>236.43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54</v>
      </c>
      <c r="F23" s="14">
        <v>15651</v>
      </c>
      <c r="G23" s="15">
        <v>215.72</v>
      </c>
      <c r="H23" s="15">
        <v>2.29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1743</v>
      </c>
      <c r="G24" s="15">
        <v>214.44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3733</v>
      </c>
      <c r="G25" s="15">
        <v>212.2</v>
      </c>
      <c r="H25" s="15">
        <v>2.2599999999999998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74335</v>
      </c>
      <c r="G26" s="15">
        <v>206.95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27641</v>
      </c>
      <c r="G27" s="15">
        <v>203.62</v>
      </c>
      <c r="H27" s="15">
        <v>2.17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108615</v>
      </c>
      <c r="G28" s="15">
        <v>198.5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25831</v>
      </c>
      <c r="G29" s="15">
        <v>195.35</v>
      </c>
      <c r="H29" s="15">
        <v>2.08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9719</v>
      </c>
      <c r="G30" s="15">
        <v>193.77</v>
      </c>
      <c r="H30" s="15">
        <v>2.06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32</v>
      </c>
      <c r="F31" s="14">
        <v>50294</v>
      </c>
      <c r="G31" s="15">
        <v>188.53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178787</v>
      </c>
      <c r="G32" s="15">
        <v>188.42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66</v>
      </c>
      <c r="F33" s="14">
        <v>135757</v>
      </c>
      <c r="G33" s="15">
        <v>185.97</v>
      </c>
      <c r="H33" s="15">
        <v>1.98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16198</v>
      </c>
      <c r="G34" s="15">
        <v>181.19</v>
      </c>
      <c r="H34" s="15">
        <v>1.93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12499</v>
      </c>
      <c r="G35" s="15">
        <v>180.56</v>
      </c>
      <c r="H35" s="15">
        <v>1.92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66</v>
      </c>
      <c r="F36" s="14">
        <v>138841</v>
      </c>
      <c r="G36" s="15">
        <v>170.62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47</v>
      </c>
      <c r="F37" s="14">
        <v>11893</v>
      </c>
      <c r="G37" s="15">
        <v>170.24</v>
      </c>
      <c r="H37" s="15">
        <v>1.81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15050</v>
      </c>
      <c r="G38" s="15">
        <v>160.55000000000001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539</v>
      </c>
      <c r="G39" s="15">
        <v>152.59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10152</v>
      </c>
      <c r="G40" s="15">
        <v>151.66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23</v>
      </c>
      <c r="F41" s="14">
        <v>4211</v>
      </c>
      <c r="G41" s="15">
        <v>149.91999999999999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101</v>
      </c>
      <c r="F42" s="14">
        <v>25202</v>
      </c>
      <c r="G42" s="15">
        <v>142.49</v>
      </c>
      <c r="H42" s="15">
        <v>1.52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41</v>
      </c>
      <c r="F43" s="14">
        <v>12327</v>
      </c>
      <c r="G43" s="15">
        <v>140.53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29</v>
      </c>
      <c r="F44" s="14">
        <v>5742</v>
      </c>
      <c r="G44" s="15">
        <v>140.03</v>
      </c>
      <c r="H44" s="15">
        <v>1.49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41</v>
      </c>
      <c r="F45" s="14">
        <v>13969</v>
      </c>
      <c r="G45" s="15">
        <v>137.76</v>
      </c>
      <c r="H45" s="15">
        <v>1.47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91</v>
      </c>
      <c r="F46" s="14">
        <v>981</v>
      </c>
      <c r="G46" s="15">
        <v>136.13999999999999</v>
      </c>
      <c r="H46" s="15">
        <v>1.45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75</v>
      </c>
      <c r="F47" s="14">
        <v>11313</v>
      </c>
      <c r="G47" s="15">
        <v>135.52000000000001</v>
      </c>
      <c r="H47" s="15">
        <v>1.44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83</v>
      </c>
      <c r="F48" s="14">
        <v>349</v>
      </c>
      <c r="G48" s="15">
        <v>129.99</v>
      </c>
      <c r="H48" s="15">
        <v>1.38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41</v>
      </c>
      <c r="F49" s="14">
        <v>21561</v>
      </c>
      <c r="G49" s="15">
        <v>113.72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69</v>
      </c>
      <c r="F50" s="14">
        <v>3561</v>
      </c>
      <c r="G50" s="15">
        <v>113.44</v>
      </c>
      <c r="H50" s="15">
        <v>1.21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69</v>
      </c>
      <c r="F51" s="14">
        <v>2112</v>
      </c>
      <c r="G51" s="15">
        <v>110.25</v>
      </c>
      <c r="H51" s="15">
        <v>1.17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69</v>
      </c>
      <c r="F52" s="14">
        <v>3559</v>
      </c>
      <c r="G52" s="15">
        <v>110.2</v>
      </c>
      <c r="H52" s="15">
        <v>1.17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23</v>
      </c>
      <c r="F53" s="14">
        <v>10058</v>
      </c>
      <c r="G53" s="15">
        <v>98.01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32</v>
      </c>
      <c r="F54" s="14">
        <v>71948</v>
      </c>
      <c r="G54" s="15">
        <v>88.72</v>
      </c>
      <c r="H54" s="15">
        <v>0.94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3059</v>
      </c>
      <c r="G55" s="15">
        <v>83.48</v>
      </c>
      <c r="H55" s="15">
        <v>0.89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17456</v>
      </c>
      <c r="G56" s="15">
        <v>83.18</v>
      </c>
      <c r="H56" s="15">
        <v>0.88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78</v>
      </c>
      <c r="F57" s="14">
        <v>8939</v>
      </c>
      <c r="G57" s="15">
        <v>79.98</v>
      </c>
      <c r="H57" s="15">
        <v>0.85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32</v>
      </c>
      <c r="F58" s="14">
        <v>37501</v>
      </c>
      <c r="G58" s="15">
        <v>41.33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f>SUM(G9:G58)</f>
        <v>9395.0799999999981</v>
      </c>
      <c r="H59" s="20">
        <f>SUM(H9:H58)</f>
        <v>99.909999999999968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9395.0799999999981</v>
      </c>
      <c r="H60" s="21">
        <v>99.909999999999968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37380</v>
      </c>
      <c r="G64" s="15">
        <v>3.77</v>
      </c>
      <c r="H64" s="15">
        <v>0.04</v>
      </c>
      <c r="I64" s="22">
        <v>0.06</v>
      </c>
      <c r="J64" s="10"/>
      <c r="K64" s="10"/>
      <c r="L64" s="10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3">
        <v>3.77</v>
      </c>
      <c r="H65" s="23">
        <v>0.04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23">
        <v>3.77</v>
      </c>
      <c r="H66" s="23">
        <v>0.04</v>
      </c>
      <c r="I66" s="10"/>
      <c r="J66" s="10"/>
      <c r="K66" s="10"/>
      <c r="L66" s="10"/>
    </row>
    <row r="67" spans="1:12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3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0.01</v>
      </c>
      <c r="H70" s="15" t="s">
        <v>151</v>
      </c>
      <c r="I70" s="16">
        <v>5.48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143</v>
      </c>
      <c r="C71" s="19"/>
      <c r="D71" s="19"/>
      <c r="E71" s="19"/>
      <c r="F71" s="19"/>
      <c r="G71" s="20">
        <v>0.01</v>
      </c>
      <c r="H71" s="20" t="s">
        <v>151</v>
      </c>
      <c r="I71" s="19"/>
      <c r="J71" s="19"/>
      <c r="K71" s="19"/>
      <c r="L71" s="19"/>
    </row>
    <row r="72" spans="1:12" x14ac:dyDescent="0.35">
      <c r="A72" s="10"/>
      <c r="B72" s="11" t="s">
        <v>144</v>
      </c>
      <c r="C72" s="10"/>
      <c r="D72" s="10"/>
      <c r="E72" s="10"/>
      <c r="F72" s="10"/>
      <c r="G72" s="21">
        <v>0.01</v>
      </c>
      <c r="H72" s="21" t="s">
        <v>151</v>
      </c>
      <c r="I72" s="10"/>
      <c r="J72" s="10"/>
      <c r="K72" s="10"/>
      <c r="L72" s="10"/>
    </row>
    <row r="73" spans="1:12" x14ac:dyDescent="0.35">
      <c r="A73" s="10"/>
      <c r="B73" s="11" t="s">
        <v>152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153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13</v>
      </c>
      <c r="C75" s="13" t="s">
        <v>13</v>
      </c>
      <c r="D75" s="13" t="s">
        <v>153</v>
      </c>
      <c r="E75" s="13" t="s">
        <v>13</v>
      </c>
      <c r="F75" s="14" t="s">
        <v>13</v>
      </c>
      <c r="G75" s="15">
        <v>2.84</v>
      </c>
      <c r="H75" s="15">
        <v>0.05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143</v>
      </c>
      <c r="C76" s="19"/>
      <c r="D76" s="19"/>
      <c r="E76" s="19"/>
      <c r="F76" s="19"/>
      <c r="G76" s="20">
        <v>2.84</v>
      </c>
      <c r="H76" s="20">
        <v>0.05</v>
      </c>
      <c r="I76" s="19"/>
      <c r="J76" s="19"/>
      <c r="K76" s="19"/>
      <c r="L76" s="19"/>
    </row>
    <row r="77" spans="1:12" x14ac:dyDescent="0.35">
      <c r="A77" s="10"/>
      <c r="B77" s="11" t="s">
        <v>144</v>
      </c>
      <c r="C77" s="10"/>
      <c r="D77" s="10"/>
      <c r="E77" s="10"/>
      <c r="F77" s="10"/>
      <c r="G77" s="21">
        <v>2.84</v>
      </c>
      <c r="H77" s="21">
        <v>0.05</v>
      </c>
      <c r="I77" s="10"/>
      <c r="J77" s="10"/>
      <c r="K77" s="10"/>
      <c r="L77" s="10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6"/>
      <c r="B79" s="24" t="s">
        <v>154</v>
      </c>
      <c r="C79" s="6"/>
      <c r="D79" s="6"/>
      <c r="E79" s="6"/>
      <c r="F79" s="6"/>
      <c r="G79" s="23">
        <v>9401.6999999999989</v>
      </c>
      <c r="H79" s="23">
        <v>99.999999999999972</v>
      </c>
      <c r="I79" s="6"/>
      <c r="J79" s="6"/>
      <c r="K79" s="6"/>
      <c r="L79" s="6"/>
    </row>
    <row r="80" spans="1:12" x14ac:dyDescent="0.35">
      <c r="A80" s="12" t="s">
        <v>17</v>
      </c>
      <c r="B80" s="25" t="s">
        <v>155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6" t="s">
        <v>157</v>
      </c>
      <c r="C81" s="26" t="s">
        <v>157</v>
      </c>
      <c r="D81" s="26" t="s">
        <v>157</v>
      </c>
      <c r="E81" s="26" t="s">
        <v>157</v>
      </c>
      <c r="F81" s="26" t="s">
        <v>157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6" t="s">
        <v>158</v>
      </c>
      <c r="C82" s="26" t="s">
        <v>158</v>
      </c>
      <c r="D82" s="26" t="s">
        <v>158</v>
      </c>
      <c r="E82" s="26" t="s">
        <v>158</v>
      </c>
      <c r="F82" s="26" t="s">
        <v>158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6" t="s">
        <v>159</v>
      </c>
      <c r="C83" s="26" t="s">
        <v>159</v>
      </c>
      <c r="D83" s="26" t="s">
        <v>159</v>
      </c>
      <c r="E83" s="26" t="s">
        <v>159</v>
      </c>
      <c r="F83" s="26" t="s">
        <v>159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6" t="s">
        <v>160</v>
      </c>
      <c r="C84" s="26" t="s">
        <v>160</v>
      </c>
      <c r="D84" s="26" t="s">
        <v>160</v>
      </c>
      <c r="E84" s="26" t="s">
        <v>160</v>
      </c>
      <c r="F84" s="26" t="s">
        <v>160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6" t="s">
        <v>161</v>
      </c>
      <c r="C85" s="26" t="s">
        <v>161</v>
      </c>
      <c r="D85" s="26" t="s">
        <v>161</v>
      </c>
      <c r="E85" s="26" t="s">
        <v>161</v>
      </c>
      <c r="F85" s="26" t="s">
        <v>161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6" t="s">
        <v>162</v>
      </c>
      <c r="C86" s="26" t="s">
        <v>162</v>
      </c>
      <c r="D86" s="26" t="s">
        <v>162</v>
      </c>
      <c r="E86" s="26" t="s">
        <v>162</v>
      </c>
      <c r="F86" s="26" t="s">
        <v>162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6" t="s">
        <v>163</v>
      </c>
      <c r="C87" s="26" t="s">
        <v>163</v>
      </c>
      <c r="D87" s="26" t="s">
        <v>163</v>
      </c>
      <c r="E87" s="26" t="s">
        <v>163</v>
      </c>
      <c r="F87" s="26" t="s">
        <v>163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</row>
    <row r="89" spans="1:12" x14ac:dyDescent="0.35">
      <c r="A89" s="27"/>
      <c r="B89" s="28" t="s">
        <v>164</v>
      </c>
      <c r="C89" s="27"/>
      <c r="D89" s="27"/>
      <c r="E89" s="13"/>
      <c r="F89" s="13"/>
      <c r="G89" s="13"/>
      <c r="H89" s="13"/>
    </row>
    <row r="90" spans="1:12" x14ac:dyDescent="0.35">
      <c r="A90" s="27"/>
      <c r="B90" s="29" t="s">
        <v>32</v>
      </c>
      <c r="C90" s="30"/>
      <c r="D90" s="31">
        <v>11.239999999999998</v>
      </c>
      <c r="E90" s="13"/>
      <c r="F90" s="13"/>
      <c r="G90" s="13"/>
      <c r="H90" s="13"/>
    </row>
    <row r="91" spans="1:12" x14ac:dyDescent="0.35">
      <c r="A91" s="27"/>
      <c r="B91" s="29" t="s">
        <v>41</v>
      </c>
      <c r="C91" s="30"/>
      <c r="D91" s="31">
        <v>9.74</v>
      </c>
      <c r="E91" s="13"/>
      <c r="F91" s="13"/>
      <c r="G91" s="13"/>
      <c r="H91" s="13"/>
    </row>
    <row r="92" spans="1:12" x14ac:dyDescent="0.35">
      <c r="A92" s="27"/>
      <c r="B92" s="29" t="s">
        <v>23</v>
      </c>
      <c r="C92" s="30"/>
      <c r="D92" s="31">
        <v>6.3</v>
      </c>
      <c r="E92" s="13"/>
      <c r="F92" s="13"/>
      <c r="G92" s="13"/>
      <c r="H92" s="13"/>
    </row>
    <row r="93" spans="1:12" x14ac:dyDescent="0.35">
      <c r="A93" s="27"/>
      <c r="B93" s="29" t="s">
        <v>66</v>
      </c>
      <c r="C93" s="30"/>
      <c r="D93" s="31">
        <v>5.99</v>
      </c>
      <c r="E93" s="13"/>
      <c r="F93" s="13"/>
      <c r="G93" s="13"/>
      <c r="H93" s="13"/>
    </row>
    <row r="94" spans="1:12" x14ac:dyDescent="0.35">
      <c r="A94" s="27"/>
      <c r="B94" s="29" t="s">
        <v>69</v>
      </c>
      <c r="C94" s="30"/>
      <c r="D94" s="31">
        <v>5.72</v>
      </c>
      <c r="E94" s="13"/>
      <c r="F94" s="13"/>
      <c r="G94" s="13"/>
      <c r="H94" s="13"/>
    </row>
    <row r="95" spans="1:12" x14ac:dyDescent="0.35">
      <c r="A95" s="27"/>
      <c r="B95" s="29" t="s">
        <v>35</v>
      </c>
      <c r="C95" s="30"/>
      <c r="D95" s="31">
        <v>5.6099999999999994</v>
      </c>
      <c r="E95" s="13"/>
      <c r="F95" s="13"/>
      <c r="G95" s="13"/>
      <c r="H95" s="13"/>
    </row>
    <row r="96" spans="1:12" x14ac:dyDescent="0.35">
      <c r="A96" s="27"/>
      <c r="B96" s="29" t="s">
        <v>29</v>
      </c>
      <c r="C96" s="30"/>
      <c r="D96" s="31">
        <v>5.0599999999999996</v>
      </c>
      <c r="E96" s="13"/>
      <c r="F96" s="13"/>
      <c r="G96" s="13"/>
      <c r="H96" s="13"/>
    </row>
    <row r="97" spans="1:8" x14ac:dyDescent="0.35">
      <c r="A97" s="27"/>
      <c r="B97" s="29" t="s">
        <v>54</v>
      </c>
      <c r="C97" s="30"/>
      <c r="D97" s="31">
        <v>4.91</v>
      </c>
      <c r="E97" s="13"/>
      <c r="F97" s="13"/>
      <c r="G97" s="13"/>
      <c r="H97" s="13"/>
    </row>
    <row r="98" spans="1:8" x14ac:dyDescent="0.35">
      <c r="A98" s="27"/>
      <c r="B98" s="29" t="s">
        <v>47</v>
      </c>
      <c r="C98" s="30"/>
      <c r="D98" s="31">
        <v>4.54</v>
      </c>
      <c r="E98" s="13"/>
      <c r="F98" s="13"/>
      <c r="G98" s="13"/>
      <c r="H98" s="13"/>
    </row>
    <row r="99" spans="1:8" x14ac:dyDescent="0.35">
      <c r="A99" s="27"/>
      <c r="B99" s="29" t="s">
        <v>20</v>
      </c>
      <c r="C99" s="30"/>
      <c r="D99" s="31">
        <v>3.8</v>
      </c>
      <c r="E99" s="13"/>
      <c r="F99" s="13"/>
      <c r="G99" s="13"/>
      <c r="H99" s="13"/>
    </row>
    <row r="100" spans="1:8" x14ac:dyDescent="0.35">
      <c r="A100" s="27"/>
      <c r="B100" s="29" t="s">
        <v>26</v>
      </c>
      <c r="C100" s="30"/>
      <c r="D100" s="31">
        <v>3.59</v>
      </c>
      <c r="E100" s="13"/>
      <c r="F100" s="13"/>
      <c r="G100" s="13"/>
      <c r="H100" s="13"/>
    </row>
    <row r="101" spans="1:8" x14ac:dyDescent="0.35">
      <c r="A101" s="27"/>
      <c r="B101" s="29" t="s">
        <v>75</v>
      </c>
      <c r="C101" s="30"/>
      <c r="D101" s="31">
        <v>3.52</v>
      </c>
      <c r="E101" s="13"/>
      <c r="F101" s="13"/>
      <c r="G101" s="13"/>
      <c r="H101" s="13"/>
    </row>
    <row r="102" spans="1:8" x14ac:dyDescent="0.35">
      <c r="A102" s="27"/>
      <c r="B102" s="29" t="s">
        <v>83</v>
      </c>
      <c r="C102" s="30"/>
      <c r="D102" s="31">
        <v>3.38</v>
      </c>
      <c r="E102" s="13"/>
      <c r="F102" s="13"/>
      <c r="G102" s="13"/>
      <c r="H102" s="13"/>
    </row>
    <row r="103" spans="1:8" x14ac:dyDescent="0.35">
      <c r="A103" s="27"/>
      <c r="B103" s="29" t="s">
        <v>91</v>
      </c>
      <c r="C103" s="30"/>
      <c r="D103" s="31">
        <v>3.37</v>
      </c>
      <c r="E103" s="13"/>
      <c r="F103" s="13"/>
      <c r="G103" s="13"/>
      <c r="H103" s="13"/>
    </row>
    <row r="104" spans="1:8" x14ac:dyDescent="0.35">
      <c r="A104" s="27"/>
      <c r="B104" s="29" t="s">
        <v>101</v>
      </c>
      <c r="C104" s="30"/>
      <c r="D104" s="31">
        <v>3.14</v>
      </c>
      <c r="E104" s="13"/>
      <c r="F104" s="13"/>
      <c r="G104" s="13"/>
      <c r="H104" s="13"/>
    </row>
    <row r="105" spans="1:8" x14ac:dyDescent="0.35">
      <c r="A105" s="27"/>
      <c r="B105" s="29" t="s">
        <v>38</v>
      </c>
      <c r="C105" s="30"/>
      <c r="D105" s="31">
        <v>2.95</v>
      </c>
      <c r="E105" s="13"/>
      <c r="F105" s="13"/>
      <c r="G105" s="13"/>
      <c r="H105" s="13"/>
    </row>
    <row r="106" spans="1:8" x14ac:dyDescent="0.35">
      <c r="A106" s="27"/>
      <c r="B106" s="29" t="s">
        <v>78</v>
      </c>
      <c r="C106" s="30"/>
      <c r="D106" s="31">
        <v>2.91</v>
      </c>
      <c r="E106" s="13"/>
      <c r="F106" s="13"/>
      <c r="G106" s="13"/>
      <c r="H106" s="13"/>
    </row>
    <row r="107" spans="1:8" x14ac:dyDescent="0.35">
      <c r="A107" s="27"/>
      <c r="B107" s="29" t="s">
        <v>44</v>
      </c>
      <c r="C107" s="30"/>
      <c r="D107" s="31">
        <v>2.79</v>
      </c>
      <c r="E107" s="13"/>
      <c r="F107" s="13"/>
      <c r="G107" s="13"/>
      <c r="H107" s="13"/>
    </row>
    <row r="108" spans="1:8" x14ac:dyDescent="0.35">
      <c r="A108" s="27"/>
      <c r="B108" s="29" t="s">
        <v>63</v>
      </c>
      <c r="C108" s="30"/>
      <c r="D108" s="31">
        <v>2.2599999999999998</v>
      </c>
      <c r="E108" s="13"/>
      <c r="F108" s="13"/>
      <c r="G108" s="13"/>
      <c r="H108" s="13"/>
    </row>
    <row r="109" spans="1:8" x14ac:dyDescent="0.35">
      <c r="A109" s="27"/>
      <c r="B109" s="29" t="s">
        <v>72</v>
      </c>
      <c r="C109" s="30"/>
      <c r="D109" s="31">
        <v>2.11</v>
      </c>
      <c r="E109" s="13"/>
      <c r="F109" s="13"/>
      <c r="G109" s="13"/>
      <c r="H109" s="13"/>
    </row>
    <row r="110" spans="1:8" x14ac:dyDescent="0.35">
      <c r="A110" s="27"/>
      <c r="B110" s="29" t="s">
        <v>88</v>
      </c>
      <c r="C110" s="30"/>
      <c r="D110" s="31">
        <v>1.93</v>
      </c>
      <c r="E110" s="13"/>
      <c r="F110" s="13"/>
      <c r="G110" s="13"/>
      <c r="H110" s="13"/>
    </row>
    <row r="111" spans="1:8" x14ac:dyDescent="0.35">
      <c r="A111" s="27"/>
      <c r="B111" s="29" t="s">
        <v>98</v>
      </c>
      <c r="C111" s="30"/>
      <c r="D111" s="31">
        <v>1.71</v>
      </c>
      <c r="E111" s="13"/>
      <c r="F111" s="13"/>
      <c r="G111" s="13"/>
      <c r="H111" s="13"/>
    </row>
    <row r="112" spans="1:8" x14ac:dyDescent="0.35">
      <c r="A112" s="27"/>
      <c r="B112" s="29" t="s">
        <v>104</v>
      </c>
      <c r="C112" s="30"/>
      <c r="D112" s="31">
        <v>1.61</v>
      </c>
      <c r="E112" s="13"/>
      <c r="F112" s="13"/>
      <c r="G112" s="13"/>
      <c r="H112" s="13"/>
    </row>
    <row r="113" spans="1:8" x14ac:dyDescent="0.35">
      <c r="A113" s="27"/>
      <c r="B113" s="29" t="s">
        <v>135</v>
      </c>
      <c r="C113" s="30"/>
      <c r="D113" s="31">
        <v>0.89</v>
      </c>
      <c r="E113" s="13"/>
      <c r="F113" s="13"/>
      <c r="G113" s="13"/>
      <c r="H113" s="13"/>
    </row>
    <row r="114" spans="1:8" x14ac:dyDescent="0.35">
      <c r="A114" s="27"/>
      <c r="B114" s="29" t="s">
        <v>138</v>
      </c>
      <c r="C114" s="30"/>
      <c r="D114" s="31">
        <v>0.88</v>
      </c>
      <c r="E114" s="13"/>
      <c r="F114" s="13"/>
      <c r="G114" s="13"/>
      <c r="H114" s="13"/>
    </row>
    <row r="115" spans="1:8" x14ac:dyDescent="0.35">
      <c r="A115" s="27"/>
      <c r="B115" s="29" t="s">
        <v>165</v>
      </c>
      <c r="C115" s="30"/>
      <c r="D115" s="31">
        <v>0.05</v>
      </c>
      <c r="E115" s="13"/>
      <c r="F115" s="13"/>
      <c r="G115" s="13"/>
      <c r="H115" s="13"/>
    </row>
    <row r="116" spans="1:8" x14ac:dyDescent="0.35">
      <c r="A116" s="27"/>
      <c r="B116" s="27"/>
      <c r="C116" s="27"/>
      <c r="D116" s="27"/>
      <c r="E116" s="13"/>
      <c r="F116" s="13"/>
      <c r="G116" s="13"/>
      <c r="H116" s="13"/>
    </row>
    <row r="117" spans="1:8" x14ac:dyDescent="0.35">
      <c r="A117" s="32"/>
      <c r="B117" s="32"/>
      <c r="C117" s="32"/>
      <c r="D117" s="32"/>
      <c r="E117" s="32"/>
      <c r="F117" s="32"/>
      <c r="G117" s="32"/>
      <c r="H117" s="32"/>
    </row>
    <row r="118" spans="1:8" x14ac:dyDescent="0.35">
      <c r="A118" s="32"/>
      <c r="B118" s="10" t="s">
        <v>166</v>
      </c>
      <c r="C118" s="32"/>
      <c r="D118" s="32"/>
      <c r="E118" s="32"/>
      <c r="F118" s="32"/>
      <c r="G118" s="32"/>
      <c r="H118" s="32"/>
    </row>
    <row r="119" spans="1:8" x14ac:dyDescent="0.35">
      <c r="A119" s="13"/>
      <c r="B119" s="13" t="s">
        <v>167</v>
      </c>
      <c r="C119" s="13"/>
      <c r="D119" s="13"/>
      <c r="E119" s="13"/>
      <c r="F119" s="13"/>
      <c r="G119" s="13"/>
      <c r="H119" s="32"/>
    </row>
    <row r="120" spans="1:8" x14ac:dyDescent="0.35">
      <c r="A120" s="13"/>
      <c r="B120" s="33" t="s">
        <v>168</v>
      </c>
      <c r="C120" s="34" t="s">
        <v>169</v>
      </c>
      <c r="D120" s="33" t="s">
        <v>170</v>
      </c>
      <c r="E120" s="13"/>
      <c r="F120" s="13"/>
      <c r="G120" s="13"/>
      <c r="H120" s="32"/>
    </row>
    <row r="121" spans="1:8" x14ac:dyDescent="0.35">
      <c r="A121" s="13"/>
      <c r="B121" s="10" t="s">
        <v>171</v>
      </c>
      <c r="C121" s="16">
        <v>70.986599999999996</v>
      </c>
      <c r="D121" s="16">
        <v>68.951499999999996</v>
      </c>
      <c r="E121" s="13"/>
      <c r="F121" s="13"/>
      <c r="G121" s="13"/>
      <c r="H121" s="32"/>
    </row>
    <row r="122" spans="1:8" x14ac:dyDescent="0.35">
      <c r="A122" s="13"/>
      <c r="B122" s="10" t="s">
        <v>13</v>
      </c>
      <c r="C122" s="13"/>
      <c r="D122" s="13"/>
      <c r="E122" s="13"/>
      <c r="F122" s="13"/>
      <c r="G122" s="13"/>
      <c r="H122" s="32"/>
    </row>
    <row r="123" spans="1:8" x14ac:dyDescent="0.35">
      <c r="A123" s="13"/>
      <c r="B123" s="13"/>
      <c r="C123" s="13"/>
      <c r="D123" s="13"/>
      <c r="E123" s="13"/>
      <c r="F123" s="13"/>
      <c r="G123" s="13"/>
      <c r="H123" s="32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13"/>
      <c r="C125" s="13"/>
      <c r="D125" s="13"/>
      <c r="E125" s="13"/>
      <c r="F125" s="13"/>
      <c r="G125" s="13"/>
      <c r="H125" s="32"/>
    </row>
    <row r="126" spans="1:8" x14ac:dyDescent="0.35">
      <c r="A126" s="13"/>
      <c r="B126" s="13" t="s">
        <v>173</v>
      </c>
      <c r="C126" s="13"/>
      <c r="D126" s="13"/>
      <c r="E126" s="13"/>
      <c r="F126" s="13"/>
      <c r="G126" s="13"/>
      <c r="H126" s="32"/>
    </row>
    <row r="127" spans="1:8" x14ac:dyDescent="0.35">
      <c r="A127" s="32"/>
      <c r="B127" s="32"/>
      <c r="C127" s="32"/>
      <c r="D127" s="32"/>
      <c r="E127" s="32"/>
      <c r="F127" s="32"/>
      <c r="G127" s="32"/>
      <c r="H127" s="32"/>
    </row>
    <row r="128" spans="1:8" x14ac:dyDescent="0.35">
      <c r="A128" s="13"/>
      <c r="B128" s="13" t="s">
        <v>174</v>
      </c>
      <c r="C128" s="13"/>
      <c r="D128" s="13"/>
      <c r="E128" s="13"/>
      <c r="F128" s="13"/>
      <c r="G128" s="13"/>
      <c r="H128" s="13"/>
    </row>
    <row r="129" spans="1:8" x14ac:dyDescent="0.35">
      <c r="A129" s="13"/>
      <c r="B129" s="13" t="s">
        <v>175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176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177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178</v>
      </c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179</v>
      </c>
      <c r="C133" s="13"/>
      <c r="D133" s="13"/>
      <c r="E133" s="13"/>
      <c r="F133" s="13"/>
      <c r="G133" s="13"/>
      <c r="H133" s="32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8" spans="1:8" x14ac:dyDescent="0.35">
      <c r="B138" s="35" t="s">
        <v>183</v>
      </c>
    </row>
    <row r="154" spans="2:2" x14ac:dyDescent="0.35">
      <c r="B154" s="35" t="s">
        <v>184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2025-11-08T10:48:39Z</dcterms:created>
  <dcterms:modified xsi:type="dcterms:W3CDTF">2025-11-08T10:48:40Z</dcterms:modified>
</cp:coreProperties>
</file>