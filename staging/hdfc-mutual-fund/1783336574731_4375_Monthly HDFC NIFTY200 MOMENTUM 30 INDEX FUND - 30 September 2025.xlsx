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1" l="1"/>
  <c r="G39" i="1"/>
</calcChain>
</file>

<file path=xl/sharedStrings.xml><?xml version="1.0" encoding="utf-8"?>
<sst xmlns="http://schemas.openxmlformats.org/spreadsheetml/2006/main" count="425" uniqueCount="137">
  <si>
    <t>HDFC NIFTY200 MOMENTUM 30 INDEX FUND (An open ended scheme replicating / tracking 200 Momentum 30 Index)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</si>
  <si>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</si>
  <si>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</si>
  <si>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</si>
  <si>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</si>
  <si>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</si>
  <si>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</si>
  <si>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</si>
  <si>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</si>
  <si>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</si>
  <si>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</si>
  <si>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</si>
  <si>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</si>
  <si>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</si>
  <si>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</si>
  <si>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</si>
  <si>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</si>
  <si>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</si>
  <si>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INE296A01032</t>
  </si>
  <si>
    <t>Bajaj Finance Ltd.</t>
  </si>
  <si>
    <t>Finance</t>
  </si>
  <si>
    <t>INE918I01026</t>
  </si>
  <si>
    <t>Bajaj Finserv Ltd.</t>
  </si>
  <si>
    <t>INE263A01024</t>
  </si>
  <si>
    <t>Bharat Electronics Ltd.</t>
  </si>
  <si>
    <t>Aerospace &amp; Defense</t>
  </si>
  <si>
    <t>INE646L01027</t>
  </si>
  <si>
    <t>InterGlobe Aviation Ltd.</t>
  </si>
  <si>
    <t>Transport Services</t>
  </si>
  <si>
    <t>INE123W01016</t>
  </si>
  <si>
    <t>SBI Life Insurance Company Ltd.</t>
  </si>
  <si>
    <t>Insurance</t>
  </si>
  <si>
    <t>INE795G01014</t>
  </si>
  <si>
    <t>HDFC Life Insurance Company Limited</t>
  </si>
  <si>
    <t>INE040A01034</t>
  </si>
  <si>
    <t>HDFC Bank Ltd.£</t>
  </si>
  <si>
    <t>Banks</t>
  </si>
  <si>
    <t>INE397D01024</t>
  </si>
  <si>
    <t>Bharti Airtel Ltd.</t>
  </si>
  <si>
    <t>Telecom - Services</t>
  </si>
  <si>
    <t>INE090A01021</t>
  </si>
  <si>
    <t>ICICI Bank Ltd.</t>
  </si>
  <si>
    <t>INE237A01028</t>
  </si>
  <si>
    <t>Kotak Mahindra Bank Limited</t>
  </si>
  <si>
    <t>INE027H01010</t>
  </si>
  <si>
    <t>Max Healthcare Institute Limited</t>
  </si>
  <si>
    <t>Healthcare Services</t>
  </si>
  <si>
    <t>INE361B01024</t>
  </si>
  <si>
    <t>Divis Laboratories Ltd.</t>
  </si>
  <si>
    <t>Pharmaceuticals &amp; Biotechnology</t>
  </si>
  <si>
    <t>INE118H01025</t>
  </si>
  <si>
    <t>Bombay Stock Exchange Limited (BSE)</t>
  </si>
  <si>
    <t>Capital Markets</t>
  </si>
  <si>
    <t>INE494B01023</t>
  </si>
  <si>
    <t>TVS Motor Company Ltd.</t>
  </si>
  <si>
    <t>Automobiles</t>
  </si>
  <si>
    <t>INE121A01024</t>
  </si>
  <si>
    <t>Cholamandalam Investment &amp; Finance Co. Ltd.</t>
  </si>
  <si>
    <t>INE180A01020</t>
  </si>
  <si>
    <t>Max Financial Services Ltd.</t>
  </si>
  <si>
    <t>INE343H01029</t>
  </si>
  <si>
    <t>Solar Industries India Ltd.</t>
  </si>
  <si>
    <t>Chemicals &amp; Petrochemicals</t>
  </si>
  <si>
    <t>INE591G01025</t>
  </si>
  <si>
    <t>Coforge Limited</t>
  </si>
  <si>
    <t>IT - Software</t>
  </si>
  <si>
    <t>INE982J01020</t>
  </si>
  <si>
    <t>One 97 Communications Limited</t>
  </si>
  <si>
    <t>Financial Technology (Fintech)</t>
  </si>
  <si>
    <t>INE647A01010</t>
  </si>
  <si>
    <t>SRF Ltd.</t>
  </si>
  <si>
    <t>INE262H01021</t>
  </si>
  <si>
    <t>Persistent Systems Limited</t>
  </si>
  <si>
    <t>INE935N01020</t>
  </si>
  <si>
    <t>Dixon Technologies (India) Ltd.</t>
  </si>
  <si>
    <t>Consumer Durables</t>
  </si>
  <si>
    <t>INE053A01029</t>
  </si>
  <si>
    <t>Indian Hotels Company Ltd.</t>
  </si>
  <si>
    <t>Leisure Services</t>
  </si>
  <si>
    <t>INE018E01016</t>
  </si>
  <si>
    <t>SBI CARDS AND PAYMENT SERVICES LIMITED</t>
  </si>
  <si>
    <t>INE070A01015</t>
  </si>
  <si>
    <t>Shree Cement Ltd.</t>
  </si>
  <si>
    <t>Cement &amp; Cement Products</t>
  </si>
  <si>
    <t>INE414G01012</t>
  </si>
  <si>
    <t>Muthoot Finance Ltd.</t>
  </si>
  <si>
    <t>INE854D01024</t>
  </si>
  <si>
    <t>United Spirits Limited</t>
  </si>
  <si>
    <t>Beverages</t>
  </si>
  <si>
    <t>INE388Y01029</t>
  </si>
  <si>
    <t>Fsn Ecommerce Ventures Limited (Nykaa)</t>
  </si>
  <si>
    <t>Retailing</t>
  </si>
  <si>
    <t>INE249Z01020</t>
  </si>
  <si>
    <t>Mazagon Dock Shipbuilders Ltd</t>
  </si>
  <si>
    <t>Industrial Manufacturing</t>
  </si>
  <si>
    <t>INE171Z01026</t>
  </si>
  <si>
    <t>Bharat Dynamics Limited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</si>
  <si>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</si>
  <si>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</si>
  <si>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</si>
  <si>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</si>
  <si>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</si>
  <si>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</si>
  <si>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</si>
  <si>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</si>
  <si>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</si>
  <si>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</si>
  <si>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</si>
  <si>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</si>
  <si>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</si>
  <si>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</si>
  <si>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</si>
  <si>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</si>
  <si>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</si>
  <si>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</si>
  <si>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</si>
  <si>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</si>
  <si>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</si>
  <si>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</si>
  <si>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</si>
  <si>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</si>
  <si>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</si>
  <si>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</si>
  <si>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</si>
  <si>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</si>
  <si>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</si>
  <si>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</si>
  <si>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</si>
  <si>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</si>
  <si>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</si>
  <si>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</si>
  <si>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</si>
  <si>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156.02%</t>
  </si>
  <si>
    <t>7) IDCW stands for Income Distribution cum Capital Withdrawal</t>
  </si>
  <si>
    <t>8) Riskometer based on Scheme Portfolio and Portfolio Benchmark "NIFTY200 Momentum 30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</si>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</sst>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253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1384300</xdr:colOff>
      <xdr:row>141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99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12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383518</v>
      </c>
      <c r="G9" s="15">
        <v>3830.96</v>
      </c>
      <c r="H9" s="15">
        <v>5.64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176909</v>
      </c>
      <c r="G10" s="15">
        <v>3549.5</v>
      </c>
      <c r="H10" s="15">
        <v>5.23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876505</v>
      </c>
      <c r="G11" s="15">
        <v>3540.64</v>
      </c>
      <c r="H11" s="15">
        <v>5.22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63114</v>
      </c>
      <c r="G12" s="15">
        <v>3530.91</v>
      </c>
      <c r="H12" s="15">
        <v>5.2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191898</v>
      </c>
      <c r="G13" s="15">
        <v>3436.13</v>
      </c>
      <c r="H13" s="15">
        <v>5.0599999999999996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453324</v>
      </c>
      <c r="G14" s="15">
        <v>3429.17</v>
      </c>
      <c r="H14" s="15">
        <v>5.05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359465</v>
      </c>
      <c r="G15" s="15">
        <v>3418.51</v>
      </c>
      <c r="H15" s="15">
        <v>5.04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181067</v>
      </c>
      <c r="G16" s="15">
        <v>3401.16</v>
      </c>
      <c r="H16" s="15">
        <v>5.01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36</v>
      </c>
      <c r="F17" s="14">
        <v>249617</v>
      </c>
      <c r="G17" s="15">
        <v>3364.84</v>
      </c>
      <c r="H17" s="15">
        <v>4.96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36</v>
      </c>
      <c r="F18" s="14">
        <v>161899</v>
      </c>
      <c r="G18" s="15">
        <v>3226.16</v>
      </c>
      <c r="H18" s="15">
        <v>4.75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245882</v>
      </c>
      <c r="G19" s="15">
        <v>2740.85</v>
      </c>
      <c r="H19" s="15">
        <v>4.04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46061</v>
      </c>
      <c r="G20" s="15">
        <v>2620.64</v>
      </c>
      <c r="H20" s="15">
        <v>3.86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127609</v>
      </c>
      <c r="G21" s="15">
        <v>2603.48</v>
      </c>
      <c r="H21" s="15">
        <v>3.84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72503</v>
      </c>
      <c r="G22" s="15">
        <v>2493.16</v>
      </c>
      <c r="H22" s="15">
        <v>3.67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150012</v>
      </c>
      <c r="G23" s="15">
        <v>2416.39</v>
      </c>
      <c r="H23" s="15">
        <v>3.56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31</v>
      </c>
      <c r="F24" s="14">
        <v>148858</v>
      </c>
      <c r="G24" s="15">
        <v>2345.85</v>
      </c>
      <c r="H24" s="15">
        <v>3.46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13036</v>
      </c>
      <c r="G25" s="15">
        <v>1737.18</v>
      </c>
      <c r="H25" s="15">
        <v>2.56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106390</v>
      </c>
      <c r="G26" s="15">
        <v>1692.66</v>
      </c>
      <c r="H26" s="15">
        <v>2.4900000000000002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140409</v>
      </c>
      <c r="G27" s="15">
        <v>1577.92</v>
      </c>
      <c r="H27" s="15">
        <v>2.3199999999999998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62</v>
      </c>
      <c r="F28" s="14">
        <v>53907</v>
      </c>
      <c r="G28" s="15">
        <v>1522.12</v>
      </c>
      <c r="H28" s="15">
        <v>2.2400000000000002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65</v>
      </c>
      <c r="F29" s="14">
        <v>30115</v>
      </c>
      <c r="G29" s="15">
        <v>1452.3</v>
      </c>
      <c r="H29" s="15">
        <v>2.14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8871</v>
      </c>
      <c r="G30" s="15">
        <v>1447.92</v>
      </c>
      <c r="H30" s="15">
        <v>2.13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195324</v>
      </c>
      <c r="G31" s="15">
        <v>1406.92</v>
      </c>
      <c r="H31" s="15">
        <v>2.0699999999999998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20</v>
      </c>
      <c r="F32" s="14">
        <v>144041</v>
      </c>
      <c r="G32" s="15">
        <v>1263.17</v>
      </c>
      <c r="H32" s="15">
        <v>1.86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4253</v>
      </c>
      <c r="G33" s="15">
        <v>1244.6400000000001</v>
      </c>
      <c r="H33" s="15">
        <v>1.83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34218</v>
      </c>
      <c r="G34" s="15">
        <v>1052.92</v>
      </c>
      <c r="H34" s="15">
        <v>1.55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73608</v>
      </c>
      <c r="G35" s="15">
        <v>974.79</v>
      </c>
      <c r="H35" s="15">
        <v>1.44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409942</v>
      </c>
      <c r="G36" s="15">
        <v>952.62</v>
      </c>
      <c r="H36" s="15">
        <v>1.4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34381</v>
      </c>
      <c r="G37" s="15">
        <v>949.43</v>
      </c>
      <c r="H37" s="15">
        <v>1.4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25</v>
      </c>
      <c r="F38" s="14">
        <v>41122</v>
      </c>
      <c r="G38" s="15">
        <v>614.03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97</v>
      </c>
      <c r="C39" s="19"/>
      <c r="D39" s="19"/>
      <c r="E39" s="19"/>
      <c r="F39" s="19"/>
      <c r="G39" s="20">
        <f>SUM(G9:G38)</f>
        <v>67836.969999999987</v>
      </c>
      <c r="H39" s="20">
        <f>SUM(H9:H38)</f>
        <v>99.919999999999973</v>
      </c>
      <c r="I39" s="19"/>
      <c r="J39" s="19"/>
      <c r="K39" s="19"/>
      <c r="L39" s="19"/>
    </row>
    <row r="40" spans="1:12" x14ac:dyDescent="0.35">
      <c r="A40" s="10"/>
      <c r="B40" s="11" t="s">
        <v>98</v>
      </c>
      <c r="C40" s="10"/>
      <c r="D40" s="10"/>
      <c r="E40" s="10"/>
      <c r="F40" s="10"/>
      <c r="G40" s="21">
        <v>67836.969999999987</v>
      </c>
      <c r="H40" s="21">
        <v>99.919999999999973</v>
      </c>
      <c r="I40" s="10"/>
      <c r="J40" s="10"/>
      <c r="K40" s="10"/>
      <c r="L40" s="10"/>
    </row>
    <row r="41" spans="1:12" x14ac:dyDescent="0.35">
      <c r="A41" s="10"/>
      <c r="B41" s="11"/>
      <c r="C41" s="10"/>
      <c r="D41" s="10"/>
      <c r="E41" s="10"/>
      <c r="F41" s="10"/>
      <c r="G41" s="21"/>
      <c r="H41" s="21"/>
      <c r="I41" s="10"/>
      <c r="J41" s="10"/>
      <c r="K41" s="10"/>
      <c r="L41" s="10"/>
    </row>
    <row r="42" spans="1:12" x14ac:dyDescent="0.35">
      <c r="A42" s="10"/>
      <c r="B42" s="11" t="s">
        <v>99</v>
      </c>
      <c r="C42" s="10"/>
      <c r="D42" s="10"/>
      <c r="E42" s="10"/>
      <c r="F42" s="10"/>
      <c r="G42" s="21"/>
      <c r="H42" s="21"/>
      <c r="I42" s="10"/>
      <c r="J42" s="10"/>
      <c r="K42" s="10"/>
      <c r="L42" s="10"/>
    </row>
    <row r="43" spans="1:12" x14ac:dyDescent="0.35">
      <c r="A43" s="10"/>
      <c r="B43" s="11" t="s">
        <v>15</v>
      </c>
      <c r="C43" s="10"/>
      <c r="D43" s="10"/>
      <c r="E43" s="10"/>
      <c r="F43" s="10"/>
      <c r="G43" s="21"/>
      <c r="H43" s="21"/>
      <c r="I43" s="10"/>
      <c r="J43" s="10"/>
      <c r="K43" s="10"/>
      <c r="L43" s="10"/>
    </row>
    <row r="44" spans="1:12" x14ac:dyDescent="0.35">
      <c r="A44" s="10"/>
      <c r="B44" s="13" t="s">
        <v>100</v>
      </c>
      <c r="C44" s="13" t="s">
        <v>13</v>
      </c>
      <c r="D44" s="13" t="s">
        <v>101</v>
      </c>
      <c r="E44" s="13" t="s">
        <v>102</v>
      </c>
      <c r="F44" s="14">
        <v>297192</v>
      </c>
      <c r="G44" s="15">
        <v>29.85</v>
      </c>
      <c r="H44" s="15">
        <v>0.04</v>
      </c>
      <c r="I44" s="22">
        <v>0.06</v>
      </c>
      <c r="J44" s="10"/>
      <c r="K44" s="10"/>
      <c r="L44" s="10"/>
    </row>
    <row r="45" spans="1:12" x14ac:dyDescent="0.35">
      <c r="A45" s="10"/>
      <c r="B45" s="11" t="s">
        <v>97</v>
      </c>
      <c r="C45" s="10"/>
      <c r="D45" s="10"/>
      <c r="E45" s="10"/>
      <c r="F45" s="10"/>
      <c r="G45" s="23">
        <v>29.85</v>
      </c>
      <c r="H45" s="23">
        <v>0.04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23">
        <v>29.85</v>
      </c>
      <c r="H46" s="23">
        <v>0.04</v>
      </c>
      <c r="I46" s="10"/>
      <c r="J46" s="10"/>
      <c r="K46" s="10"/>
      <c r="L46" s="10"/>
    </row>
    <row r="47" spans="1:12" x14ac:dyDescent="0.35">
      <c r="A47" s="10"/>
      <c r="B47" s="11"/>
      <c r="C47" s="10"/>
      <c r="D47" s="10"/>
      <c r="E47" s="10"/>
      <c r="F47" s="10"/>
      <c r="G47" s="21"/>
      <c r="H47" s="21"/>
      <c r="I47" s="10"/>
      <c r="J47" s="10"/>
      <c r="K47" s="10"/>
      <c r="L47" s="10"/>
    </row>
    <row r="48" spans="1:12" x14ac:dyDescent="0.35">
      <c r="A48" s="10"/>
      <c r="B48" s="11" t="s">
        <v>103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0"/>
      <c r="B49" s="11" t="s">
        <v>104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2" t="s">
        <v>13</v>
      </c>
      <c r="B50" s="13" t="s">
        <v>13</v>
      </c>
      <c r="C50" s="13" t="s">
        <v>13</v>
      </c>
      <c r="D50" s="13" t="s">
        <v>104</v>
      </c>
      <c r="E50" s="13" t="s">
        <v>13</v>
      </c>
      <c r="F50" s="14" t="s">
        <v>13</v>
      </c>
      <c r="G50" s="15">
        <v>111.21</v>
      </c>
      <c r="H50" s="15">
        <v>0.16</v>
      </c>
      <c r="I50" s="16">
        <v>5.49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97</v>
      </c>
      <c r="C51" s="19"/>
      <c r="D51" s="19"/>
      <c r="E51" s="19"/>
      <c r="F51" s="19"/>
      <c r="G51" s="20">
        <v>111.21</v>
      </c>
      <c r="H51" s="20">
        <v>0.16</v>
      </c>
      <c r="I51" s="19"/>
      <c r="J51" s="19"/>
      <c r="K51" s="19"/>
      <c r="L51" s="19"/>
    </row>
    <row r="52" spans="1:12" x14ac:dyDescent="0.35">
      <c r="A52" s="10"/>
      <c r="B52" s="11" t="s">
        <v>98</v>
      </c>
      <c r="C52" s="10"/>
      <c r="D52" s="10"/>
      <c r="E52" s="10"/>
      <c r="F52" s="10"/>
      <c r="G52" s="21">
        <v>111.21</v>
      </c>
      <c r="H52" s="21">
        <v>0.16</v>
      </c>
      <c r="I52" s="10"/>
      <c r="J52" s="10"/>
      <c r="K52" s="10"/>
      <c r="L52" s="10"/>
    </row>
    <row r="53" spans="1:12" x14ac:dyDescent="0.35">
      <c r="A53" s="10"/>
      <c r="B53" s="11" t="s">
        <v>105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0"/>
      <c r="B54" s="11" t="s">
        <v>106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2" t="s">
        <v>13</v>
      </c>
      <c r="B55" s="13" t="s">
        <v>13</v>
      </c>
      <c r="C55" s="13" t="s">
        <v>13</v>
      </c>
      <c r="D55" s="13" t="s">
        <v>106</v>
      </c>
      <c r="E55" s="13" t="s">
        <v>13</v>
      </c>
      <c r="F55" s="14" t="s">
        <v>13</v>
      </c>
      <c r="G55" s="15">
        <v>-103.17</v>
      </c>
      <c r="H55" s="15">
        <v>-0.12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9"/>
      <c r="B56" s="11" t="s">
        <v>97</v>
      </c>
      <c r="C56" s="19"/>
      <c r="D56" s="19"/>
      <c r="E56" s="19"/>
      <c r="F56" s="19"/>
      <c r="G56" s="20">
        <v>-103.17</v>
      </c>
      <c r="H56" s="20">
        <v>-0.12</v>
      </c>
      <c r="I56" s="19"/>
      <c r="J56" s="19"/>
      <c r="K56" s="19"/>
      <c r="L56" s="19"/>
    </row>
    <row r="57" spans="1:12" x14ac:dyDescent="0.35">
      <c r="A57" s="10"/>
      <c r="B57" s="11" t="s">
        <v>98</v>
      </c>
      <c r="C57" s="10"/>
      <c r="D57" s="10"/>
      <c r="E57" s="10"/>
      <c r="F57" s="10"/>
      <c r="G57" s="21">
        <v>-103.17</v>
      </c>
      <c r="H57" s="21">
        <v>-0.12</v>
      </c>
      <c r="I57" s="10"/>
      <c r="J57" s="10"/>
      <c r="K57" s="10"/>
      <c r="L57" s="10"/>
    </row>
    <row r="58" spans="1:12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1:12" x14ac:dyDescent="0.35">
      <c r="A59" s="6"/>
      <c r="B59" s="24" t="s">
        <v>107</v>
      </c>
      <c r="C59" s="6"/>
      <c r="D59" s="6"/>
      <c r="E59" s="6"/>
      <c r="F59" s="6"/>
      <c r="G59" s="23">
        <v>67874.86</v>
      </c>
      <c r="H59" s="23">
        <v>99.999999999999972</v>
      </c>
      <c r="I59" s="6"/>
      <c r="J59" s="6"/>
      <c r="K59" s="6"/>
      <c r="L59" s="6"/>
    </row>
    <row r="60" spans="1:12" x14ac:dyDescent="0.35">
      <c r="A60" s="12" t="s">
        <v>17</v>
      </c>
      <c r="B60" s="25" t="s">
        <v>108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6" t="s">
        <v>110</v>
      </c>
      <c r="C61" s="26" t="s">
        <v>110</v>
      </c>
      <c r="D61" s="26" t="s">
        <v>110</v>
      </c>
      <c r="E61" s="26" t="s">
        <v>110</v>
      </c>
      <c r="F61" s="26" t="s">
        <v>110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6" t="s">
        <v>111</v>
      </c>
      <c r="C62" s="26" t="s">
        <v>111</v>
      </c>
      <c r="D62" s="26" t="s">
        <v>111</v>
      </c>
      <c r="E62" s="26" t="s">
        <v>111</v>
      </c>
      <c r="F62" s="26" t="s">
        <v>111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6" t="s">
        <v>112</v>
      </c>
      <c r="C63" s="26" t="s">
        <v>112</v>
      </c>
      <c r="D63" s="26" t="s">
        <v>112</v>
      </c>
      <c r="E63" s="26" t="s">
        <v>112</v>
      </c>
      <c r="F63" s="26" t="s">
        <v>112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6" t="s">
        <v>113</v>
      </c>
      <c r="C64" s="26" t="s">
        <v>113</v>
      </c>
      <c r="D64" s="26" t="s">
        <v>113</v>
      </c>
      <c r="E64" s="26" t="s">
        <v>113</v>
      </c>
      <c r="F64" s="26" t="s">
        <v>113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6" t="s">
        <v>114</v>
      </c>
      <c r="C65" s="26" t="s">
        <v>114</v>
      </c>
      <c r="D65" s="26" t="s">
        <v>114</v>
      </c>
      <c r="E65" s="26" t="s">
        <v>114</v>
      </c>
      <c r="F65" s="26" t="s">
        <v>114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6" t="s">
        <v>115</v>
      </c>
      <c r="C66" s="26" t="s">
        <v>115</v>
      </c>
      <c r="D66" s="26" t="s">
        <v>115</v>
      </c>
      <c r="E66" s="26" t="s">
        <v>115</v>
      </c>
      <c r="F66" s="26" t="s">
        <v>115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6" t="s">
        <v>116</v>
      </c>
      <c r="C67" s="26" t="s">
        <v>116</v>
      </c>
      <c r="D67" s="26" t="s">
        <v>116</v>
      </c>
      <c r="E67" s="26" t="s">
        <v>116</v>
      </c>
      <c r="F67" s="26" t="s">
        <v>116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13"/>
      <c r="C68" s="13"/>
      <c r="D68" s="13"/>
      <c r="E68" s="13"/>
      <c r="F68" s="13"/>
      <c r="G68" s="13"/>
      <c r="H68" s="13"/>
    </row>
    <row r="69" spans="1:12" x14ac:dyDescent="0.35">
      <c r="A69" s="27"/>
      <c r="B69" s="28" t="s">
        <v>117</v>
      </c>
      <c r="C69" s="27"/>
      <c r="D69" s="27"/>
      <c r="E69" s="13"/>
      <c r="F69" s="13"/>
      <c r="G69" s="13"/>
      <c r="H69" s="13"/>
    </row>
    <row r="70" spans="1:12" x14ac:dyDescent="0.35">
      <c r="A70" s="27"/>
      <c r="B70" s="29" t="s">
        <v>20</v>
      </c>
      <c r="C70" s="30"/>
      <c r="D70" s="31">
        <v>17.840000000000003</v>
      </c>
      <c r="E70" s="13"/>
      <c r="F70" s="13"/>
      <c r="G70" s="13"/>
      <c r="H70" s="13"/>
    </row>
    <row r="71" spans="1:12" x14ac:dyDescent="0.35">
      <c r="A71" s="27"/>
      <c r="B71" s="29" t="s">
        <v>36</v>
      </c>
      <c r="C71" s="30"/>
      <c r="D71" s="31">
        <v>14.75</v>
      </c>
      <c r="E71" s="13"/>
      <c r="F71" s="13"/>
      <c r="G71" s="13"/>
      <c r="H71" s="13"/>
    </row>
    <row r="72" spans="1:12" x14ac:dyDescent="0.35">
      <c r="A72" s="27"/>
      <c r="B72" s="29" t="s">
        <v>31</v>
      </c>
      <c r="C72" s="30"/>
      <c r="D72" s="31">
        <v>13.57</v>
      </c>
      <c r="E72" s="13"/>
      <c r="F72" s="13"/>
      <c r="G72" s="13"/>
      <c r="H72" s="13"/>
    </row>
    <row r="73" spans="1:12" x14ac:dyDescent="0.35">
      <c r="A73" s="27"/>
      <c r="B73" s="29" t="s">
        <v>25</v>
      </c>
      <c r="C73" s="30"/>
      <c r="D73" s="31">
        <v>6.12</v>
      </c>
      <c r="E73" s="13"/>
      <c r="F73" s="13"/>
      <c r="G73" s="13"/>
      <c r="H73" s="13"/>
    </row>
    <row r="74" spans="1:12" x14ac:dyDescent="0.35">
      <c r="A74" s="27"/>
      <c r="B74" s="29" t="s">
        <v>28</v>
      </c>
      <c r="C74" s="30"/>
      <c r="D74" s="31">
        <v>5.2</v>
      </c>
      <c r="E74" s="13"/>
      <c r="F74" s="13"/>
      <c r="G74" s="13"/>
      <c r="H74" s="13"/>
    </row>
    <row r="75" spans="1:12" x14ac:dyDescent="0.35">
      <c r="A75" s="27"/>
      <c r="B75" s="29" t="s">
        <v>39</v>
      </c>
      <c r="C75" s="30"/>
      <c r="D75" s="31">
        <v>5.01</v>
      </c>
      <c r="E75" s="13"/>
      <c r="F75" s="13"/>
      <c r="G75" s="13"/>
      <c r="H75" s="13"/>
    </row>
    <row r="76" spans="1:12" x14ac:dyDescent="0.35">
      <c r="A76" s="27"/>
      <c r="B76" s="29" t="s">
        <v>62</v>
      </c>
      <c r="C76" s="30"/>
      <c r="D76" s="31">
        <v>4.8000000000000007</v>
      </c>
      <c r="E76" s="13"/>
      <c r="F76" s="13"/>
      <c r="G76" s="13"/>
      <c r="H76" s="13"/>
    </row>
    <row r="77" spans="1:12" x14ac:dyDescent="0.35">
      <c r="A77" s="27"/>
      <c r="B77" s="29" t="s">
        <v>65</v>
      </c>
      <c r="C77" s="30"/>
      <c r="D77" s="31">
        <v>4.6300000000000008</v>
      </c>
      <c r="E77" s="13"/>
      <c r="F77" s="13"/>
      <c r="G77" s="13"/>
      <c r="H77" s="13"/>
    </row>
    <row r="78" spans="1:12" x14ac:dyDescent="0.35">
      <c r="A78" s="27"/>
      <c r="B78" s="29" t="s">
        <v>46</v>
      </c>
      <c r="C78" s="30"/>
      <c r="D78" s="31">
        <v>4.04</v>
      </c>
      <c r="E78" s="13"/>
      <c r="F78" s="13"/>
      <c r="G78" s="13"/>
      <c r="H78" s="13"/>
    </row>
    <row r="79" spans="1:12" x14ac:dyDescent="0.35">
      <c r="A79" s="27"/>
      <c r="B79" s="29" t="s">
        <v>49</v>
      </c>
      <c r="C79" s="30"/>
      <c r="D79" s="31">
        <v>3.86</v>
      </c>
      <c r="E79" s="13"/>
      <c r="F79" s="13"/>
      <c r="G79" s="13"/>
      <c r="H79" s="13"/>
    </row>
    <row r="80" spans="1:12" x14ac:dyDescent="0.35">
      <c r="A80" s="27"/>
      <c r="B80" s="29" t="s">
        <v>52</v>
      </c>
      <c r="C80" s="30"/>
      <c r="D80" s="31">
        <v>3.84</v>
      </c>
      <c r="E80" s="13"/>
      <c r="F80" s="13"/>
      <c r="G80" s="13"/>
      <c r="H80" s="13"/>
    </row>
    <row r="81" spans="1:8" x14ac:dyDescent="0.35">
      <c r="A81" s="27"/>
      <c r="B81" s="29" t="s">
        <v>55</v>
      </c>
      <c r="C81" s="30"/>
      <c r="D81" s="31">
        <v>3.71</v>
      </c>
      <c r="E81" s="13"/>
      <c r="F81" s="13"/>
      <c r="G81" s="13"/>
      <c r="H81" s="13"/>
    </row>
    <row r="82" spans="1:8" x14ac:dyDescent="0.35">
      <c r="A82" s="27"/>
      <c r="B82" s="29" t="s">
        <v>68</v>
      </c>
      <c r="C82" s="30"/>
      <c r="D82" s="31">
        <v>2.3199999999999998</v>
      </c>
      <c r="E82" s="13"/>
      <c r="F82" s="13"/>
      <c r="G82" s="13"/>
      <c r="H82" s="13"/>
    </row>
    <row r="83" spans="1:8" x14ac:dyDescent="0.35">
      <c r="A83" s="27"/>
      <c r="B83" s="29" t="s">
        <v>75</v>
      </c>
      <c r="C83" s="30"/>
      <c r="D83" s="31">
        <v>2.13</v>
      </c>
      <c r="E83" s="13"/>
      <c r="F83" s="13"/>
      <c r="G83" s="13"/>
      <c r="H83" s="13"/>
    </row>
    <row r="84" spans="1:8" x14ac:dyDescent="0.35">
      <c r="A84" s="27"/>
      <c r="B84" s="29" t="s">
        <v>78</v>
      </c>
      <c r="C84" s="30"/>
      <c r="D84" s="31">
        <v>2.0699999999999998</v>
      </c>
      <c r="E84" s="13"/>
      <c r="F84" s="13"/>
      <c r="G84" s="13"/>
      <c r="H84" s="13"/>
    </row>
    <row r="85" spans="1:8" x14ac:dyDescent="0.35">
      <c r="A85" s="27"/>
      <c r="B85" s="29" t="s">
        <v>83</v>
      </c>
      <c r="C85" s="30"/>
      <c r="D85" s="31">
        <v>1.83</v>
      </c>
      <c r="E85" s="13"/>
      <c r="F85" s="13"/>
      <c r="G85" s="13"/>
      <c r="H85" s="13"/>
    </row>
    <row r="86" spans="1:8" x14ac:dyDescent="0.35">
      <c r="A86" s="27"/>
      <c r="B86" s="29" t="s">
        <v>88</v>
      </c>
      <c r="C86" s="30"/>
      <c r="D86" s="31">
        <v>1.44</v>
      </c>
      <c r="E86" s="13"/>
      <c r="F86" s="13"/>
      <c r="G86" s="13"/>
      <c r="H86" s="13"/>
    </row>
    <row r="87" spans="1:8" x14ac:dyDescent="0.35">
      <c r="A87" s="27"/>
      <c r="B87" s="29" t="s">
        <v>94</v>
      </c>
      <c r="C87" s="30"/>
      <c r="D87" s="31">
        <v>1.4</v>
      </c>
      <c r="E87" s="13"/>
      <c r="F87" s="13"/>
      <c r="G87" s="13"/>
      <c r="H87" s="13"/>
    </row>
    <row r="88" spans="1:8" x14ac:dyDescent="0.35">
      <c r="A88" s="27"/>
      <c r="B88" s="29" t="s">
        <v>91</v>
      </c>
      <c r="C88" s="30"/>
      <c r="D88" s="31">
        <v>1.4</v>
      </c>
      <c r="E88" s="13"/>
      <c r="F88" s="13"/>
      <c r="G88" s="13"/>
      <c r="H88" s="13"/>
    </row>
    <row r="89" spans="1:8" x14ac:dyDescent="0.35">
      <c r="A89" s="27"/>
      <c r="B89" s="29" t="s">
        <v>118</v>
      </c>
      <c r="C89" s="30"/>
      <c r="D89" s="31">
        <v>4.0000000000000008E-2</v>
      </c>
      <c r="E89" s="13"/>
      <c r="F89" s="13"/>
      <c r="G89" s="13"/>
      <c r="H89" s="13"/>
    </row>
    <row r="90" spans="1:8" x14ac:dyDescent="0.35">
      <c r="A90" s="27"/>
      <c r="B90" s="27"/>
      <c r="C90" s="27"/>
      <c r="D90" s="27"/>
      <c r="E90" s="13"/>
      <c r="F90" s="13"/>
      <c r="G90" s="13"/>
      <c r="H90" s="13"/>
    </row>
    <row r="91" spans="1:8" x14ac:dyDescent="0.35">
      <c r="A91" s="32"/>
      <c r="B91" s="32"/>
      <c r="C91" s="32"/>
      <c r="D91" s="32"/>
      <c r="E91" s="32"/>
      <c r="F91" s="32"/>
      <c r="G91" s="32"/>
      <c r="H91" s="32"/>
    </row>
    <row r="92" spans="1:8" x14ac:dyDescent="0.35">
      <c r="A92" s="32"/>
      <c r="B92" s="10" t="s">
        <v>119</v>
      </c>
      <c r="C92" s="32"/>
      <c r="D92" s="32"/>
      <c r="E92" s="32"/>
      <c r="F92" s="32"/>
      <c r="G92" s="32"/>
      <c r="H92" s="32"/>
    </row>
    <row r="93" spans="1:8" x14ac:dyDescent="0.35">
      <c r="A93" s="13"/>
      <c r="B93" s="13" t="s">
        <v>120</v>
      </c>
      <c r="C93" s="13"/>
      <c r="D93" s="13"/>
      <c r="E93" s="13"/>
      <c r="F93" s="13"/>
      <c r="G93" s="13"/>
      <c r="H93" s="32"/>
    </row>
    <row r="94" spans="1:8" x14ac:dyDescent="0.35">
      <c r="A94" s="13"/>
      <c r="B94" s="33" t="s">
        <v>121</v>
      </c>
      <c r="C94" s="34" t="s">
        <v>122</v>
      </c>
      <c r="D94" s="33" t="s">
        <v>123</v>
      </c>
      <c r="E94" s="13"/>
      <c r="F94" s="13"/>
      <c r="G94" s="13"/>
      <c r="H94" s="32"/>
    </row>
    <row r="95" spans="1:8" x14ac:dyDescent="0.35">
      <c r="A95" s="13"/>
      <c r="B95" s="10" t="s">
        <v>124</v>
      </c>
      <c r="C95" s="16">
        <v>9.9410000000000007</v>
      </c>
      <c r="D95" s="16">
        <v>9.8795999999999999</v>
      </c>
      <c r="E95" s="13"/>
      <c r="F95" s="13"/>
      <c r="G95" s="13"/>
      <c r="H95" s="32"/>
    </row>
    <row r="96" spans="1:8" x14ac:dyDescent="0.35">
      <c r="A96" s="13"/>
      <c r="B96" s="10" t="s">
        <v>125</v>
      </c>
      <c r="C96" s="16">
        <v>10.019</v>
      </c>
      <c r="D96" s="16">
        <v>9.9527999999999999</v>
      </c>
      <c r="E96" s="13"/>
      <c r="F96" s="13"/>
      <c r="G96" s="13"/>
      <c r="H96" s="32"/>
    </row>
    <row r="97" spans="1:8" x14ac:dyDescent="0.35">
      <c r="A97" s="13"/>
      <c r="B97" s="10" t="s">
        <v>13</v>
      </c>
      <c r="C97" s="13"/>
      <c r="D97" s="13"/>
      <c r="E97" s="13"/>
      <c r="F97" s="13"/>
      <c r="G97" s="13"/>
      <c r="H97" s="32"/>
    </row>
    <row r="98" spans="1:8" x14ac:dyDescent="0.35">
      <c r="A98" s="13"/>
      <c r="B98" s="13"/>
      <c r="C98" s="13"/>
      <c r="D98" s="13"/>
      <c r="E98" s="13"/>
      <c r="F98" s="13"/>
      <c r="G98" s="13"/>
      <c r="H98" s="32"/>
    </row>
    <row r="99" spans="1:8" x14ac:dyDescent="0.35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 x14ac:dyDescent="0.35">
      <c r="A100" s="13"/>
      <c r="B100" s="13"/>
      <c r="C100" s="13"/>
      <c r="D100" s="13"/>
      <c r="E100" s="13"/>
      <c r="F100" s="13"/>
      <c r="G100" s="13"/>
      <c r="H100" s="32"/>
    </row>
    <row r="101" spans="1:8" x14ac:dyDescent="0.35">
      <c r="A101" s="13"/>
      <c r="B101" s="13" t="s">
        <v>127</v>
      </c>
      <c r="C101" s="13"/>
      <c r="D101" s="13"/>
      <c r="E101" s="13"/>
      <c r="F101" s="13"/>
      <c r="G101" s="13"/>
      <c r="H101" s="32"/>
    </row>
    <row r="102" spans="1:8" x14ac:dyDescent="0.35">
      <c r="A102" s="32"/>
      <c r="B102" s="32"/>
      <c r="C102" s="32"/>
      <c r="D102" s="32"/>
      <c r="E102" s="32"/>
      <c r="F102" s="32"/>
      <c r="G102" s="32"/>
      <c r="H102" s="32"/>
    </row>
    <row r="103" spans="1:8" x14ac:dyDescent="0.35">
      <c r="A103" s="13"/>
      <c r="B103" s="13" t="s">
        <v>128</v>
      </c>
      <c r="C103" s="13"/>
      <c r="D103" s="13"/>
      <c r="E103" s="13"/>
      <c r="F103" s="13"/>
      <c r="G103" s="13"/>
      <c r="H103" s="13"/>
    </row>
    <row r="104" spans="1:8" x14ac:dyDescent="0.35">
      <c r="A104" s="13"/>
      <c r="B104" s="13" t="s">
        <v>129</v>
      </c>
      <c r="C104" s="13"/>
      <c r="D104" s="13"/>
      <c r="E104" s="13"/>
      <c r="F104" s="13"/>
      <c r="G104" s="13"/>
      <c r="H104" s="32"/>
    </row>
    <row r="105" spans="1:8" x14ac:dyDescent="0.35">
      <c r="A105" s="13"/>
      <c r="B105" s="13" t="s">
        <v>130</v>
      </c>
      <c r="C105" s="13"/>
      <c r="D105" s="13"/>
      <c r="E105" s="13"/>
      <c r="F105" s="13"/>
      <c r="G105" s="13"/>
      <c r="H105" s="32"/>
    </row>
    <row r="106" spans="1:8" x14ac:dyDescent="0.35">
      <c r="A106" s="13"/>
      <c r="B106" s="13" t="s">
        <v>131</v>
      </c>
      <c r="C106" s="13"/>
      <c r="D106" s="13"/>
      <c r="E106" s="13"/>
      <c r="F106" s="13"/>
      <c r="G106" s="13"/>
      <c r="H106" s="32"/>
    </row>
    <row r="107" spans="1:8" x14ac:dyDescent="0.35">
      <c r="A107" s="13"/>
      <c r="B107" s="13" t="s">
        <v>132</v>
      </c>
      <c r="C107" s="13"/>
      <c r="D107" s="13"/>
      <c r="E107" s="13"/>
      <c r="F107" s="13"/>
      <c r="G107" s="13"/>
      <c r="H107" s="32"/>
    </row>
    <row r="108" spans="1:8" x14ac:dyDescent="0.35">
      <c r="A108" s="13"/>
      <c r="B108" s="13" t="s">
        <v>133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/>
      <c r="C110" s="13"/>
      <c r="D110" s="13"/>
      <c r="E110" s="13"/>
      <c r="F110" s="13"/>
      <c r="G110" s="13"/>
      <c r="H110" s="32"/>
    </row>
    <row r="112" spans="1:8" x14ac:dyDescent="0.35">
      <c r="B112" s="35" t="s">
        <v>135</v>
      </c>
    </row>
    <row r="128" spans="2:2" x14ac:dyDescent="0.35">
      <c r="B128" s="35" t="s">
        <v>136</v>
      </c>
    </row>
  </sheetData>
  <mergeCells count="10">
    <mergeCell ref="B64:F64"/>
    <mergeCell ref="B65:F65"/>
    <mergeCell ref="B66:F66"/>
    <mergeCell ref="B67:F67"/>
    <mergeCell ref="A1:J1"/>
    <mergeCell ref="A2:J2"/>
    <mergeCell ref="B60:F60"/>
    <mergeCell ref="B61:F61"/>
    <mergeCell ref="B62:F62"/>
    <mergeCell ref="B63:F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2025-10-07T08:45:42Z</dcterms:created>
  <dcterms:modified xsi:type="dcterms:W3CDTF">2025-10-07T08:45:43Z</dcterms:modified>
</cp:coreProperties>
</file>