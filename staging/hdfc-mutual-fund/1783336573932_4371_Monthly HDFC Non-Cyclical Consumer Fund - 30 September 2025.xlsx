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3" i="1" l="1"/>
  <c r="G53" i="1"/>
</calcChain>
</file>

<file path=xl/sharedStrings.xml><?xml version="1.0" encoding="utf-8"?>
<sst xmlns="http://schemas.openxmlformats.org/spreadsheetml/2006/main" count="553" uniqueCount="166">
  <si>
    <t>HDFC Non-Cyclical Consumer Fund (An open ended equity scheme following non-cyclical consumer theme)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</si>
  <si>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</si>
  <si>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</si>
  <si>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</si>
  <si>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</si>
  <si>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</si>
  <si>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</si>
  <si>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</si>
  <si>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</si>
  <si>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</si>
  <si>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</si>
  <si>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</si>
  <si>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</si>
  <si>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</si>
  <si>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</si>
  <si>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</si>
  <si>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</si>
  <si>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</si>
  <si>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</si>
  <si>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</si>
  <si>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</si>
  <si>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</si>
  <si>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</si>
  <si>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</si>
  <si>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INE01EA01019</t>
  </si>
  <si>
    <t>Vishal Mega Mart Limited</t>
  </si>
  <si>
    <t>INE854D01024</t>
  </si>
  <si>
    <t>United Spirits Limited</t>
  </si>
  <si>
    <t>Beverages</t>
  </si>
  <si>
    <t>INE427F01016</t>
  </si>
  <si>
    <t>Chalet Hotels Ltd.</t>
  </si>
  <si>
    <t>Leisure Services</t>
  </si>
  <si>
    <t>INE102D01028</t>
  </si>
  <si>
    <t>Godrej Consumer Products Ltd.</t>
  </si>
  <si>
    <t>Personal Products</t>
  </si>
  <si>
    <t>INE200M01039</t>
  </si>
  <si>
    <t>Varun Beverages Ltd</t>
  </si>
  <si>
    <t>INE280A01028</t>
  </si>
  <si>
    <t>Titan Company Ltd.</t>
  </si>
  <si>
    <t>Consumer Durables</t>
  </si>
  <si>
    <t>INE397D01024</t>
  </si>
  <si>
    <t>Bharti Airtel Ltd.</t>
  </si>
  <si>
    <t>Telecom - Services</t>
  </si>
  <si>
    <t>INE0V6F01027</t>
  </si>
  <si>
    <t>Hyundai Motor India Limited</t>
  </si>
  <si>
    <t>Automobiles</t>
  </si>
  <si>
    <t>INE216A01030</t>
  </si>
  <si>
    <t>Britannia Industries Ltd.</t>
  </si>
  <si>
    <t>Food Products</t>
  </si>
  <si>
    <t>INE849A01020</t>
  </si>
  <si>
    <t>Trent Ltd.</t>
  </si>
  <si>
    <t>INE0AQ201015</t>
  </si>
  <si>
    <t>Schloss Bangalore Limited</t>
  </si>
  <si>
    <t>INE646L01027</t>
  </si>
  <si>
    <t>InterGlobe Aviation Ltd.</t>
  </si>
  <si>
    <t>Transport Services</t>
  </si>
  <si>
    <t>INE417T01026</t>
  </si>
  <si>
    <t>PB Fintech Limited</t>
  </si>
  <si>
    <t>Financial Technology (Fintech)</t>
  </si>
  <si>
    <t>INE154A01025</t>
  </si>
  <si>
    <t>ITC LIMITED</t>
  </si>
  <si>
    <t>INE494B01023</t>
  </si>
  <si>
    <t>TVS Motor Company Ltd.</t>
  </si>
  <si>
    <t>INE226A01021</t>
  </si>
  <si>
    <t>Voltas Ltd.</t>
  </si>
  <si>
    <t>INE021A01026</t>
  </si>
  <si>
    <t>Asian Paints Limited</t>
  </si>
  <si>
    <t>INE682M01012</t>
  </si>
  <si>
    <t>Jupiter Life Line Hospitals Limited</t>
  </si>
  <si>
    <t>Healthcare Services</t>
  </si>
  <si>
    <t>INE016A01026</t>
  </si>
  <si>
    <t>Dabur India Ltd.</t>
  </si>
  <si>
    <t>INE133A01011</t>
  </si>
  <si>
    <t>AkzoNobel India Ltd.</t>
  </si>
  <si>
    <t>INE02RE01045</t>
  </si>
  <si>
    <t>Brainbees Solutions Limited (FirstCry)</t>
  </si>
  <si>
    <t>INE239A01024</t>
  </si>
  <si>
    <t>Nestle India Ltd.</t>
  </si>
  <si>
    <t>INE01FR01028</t>
  </si>
  <si>
    <t>Baazar Style Retail Limited</t>
  </si>
  <si>
    <t>INE043W01024</t>
  </si>
  <si>
    <t>Vijaya Diagnostic Centre Limited</t>
  </si>
  <si>
    <t>INE872J01023</t>
  </si>
  <si>
    <t>Devyani International Ltd</t>
  </si>
  <si>
    <t>INE806T01020</t>
  </si>
  <si>
    <t>SAPPHIRE FOODS INDIA LIMITED</t>
  </si>
  <si>
    <t>INE318A01026</t>
  </si>
  <si>
    <t>Pidilite Industries Ltd.</t>
  </si>
  <si>
    <t>Chemicals &amp; Petrochemicals</t>
  </si>
  <si>
    <t>INE498B01024</t>
  </si>
  <si>
    <t>Shoppers Stop Ltd.</t>
  </si>
  <si>
    <t>INE073K01018</t>
  </si>
  <si>
    <t>Sona Blw Precision Forgings</t>
  </si>
  <si>
    <t>Auto Components</t>
  </si>
  <si>
    <t>INE196A01026</t>
  </si>
  <si>
    <t>Marico Ltd.</t>
  </si>
  <si>
    <t>Agricultural Food &amp; Other Products</t>
  </si>
  <si>
    <t>INE429E01023</t>
  </si>
  <si>
    <t>Safari Industries (India) Ltd.</t>
  </si>
  <si>
    <t>INE663F01032</t>
  </si>
  <si>
    <t>INFO EDGE (INDIA) LIMITED</t>
  </si>
  <si>
    <t>INE142Q01026</t>
  </si>
  <si>
    <t>SULA VINEYARDS LIMITED</t>
  </si>
  <si>
    <t>INE027H01010</t>
  </si>
  <si>
    <t>Max Healthcare Institute Limited</t>
  </si>
  <si>
    <t>INE548C01032</t>
  </si>
  <si>
    <t>Emami Ltd.</t>
  </si>
  <si>
    <t>INE192A01025</t>
  </si>
  <si>
    <t>Tata Consumer Products Limited</t>
  </si>
  <si>
    <t>INE0WO601020</t>
  </si>
  <si>
    <t>Laxmi Dental Limited</t>
  </si>
  <si>
    <t>Healthcare Equipment &amp; Supplies</t>
  </si>
  <si>
    <t>INE497S01012</t>
  </si>
  <si>
    <t>Godavari Biorefineries Limited</t>
  </si>
  <si>
    <t>INE259A01022</t>
  </si>
  <si>
    <t>Colgate-Palmolive ( I ) Ltd.</t>
  </si>
  <si>
    <t>INE317I01021</t>
  </si>
  <si>
    <t>METRO BRANDS LIMITED</t>
  </si>
  <si>
    <t>INE321T01012</t>
  </si>
  <si>
    <t>DOMS Industries Limited</t>
  </si>
  <si>
    <t>Household Products</t>
  </si>
  <si>
    <t>INE825V01034</t>
  </si>
  <si>
    <t>Vedant Fashions Ltd</t>
  </si>
  <si>
    <t>@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</si>
  <si>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</si>
  <si>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</si>
  <si>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</si>
  <si>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</si>
  <si>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</si>
  <si>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</si>
  <si>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</si>
  <si>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</si>
  <si>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</si>
  <si>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</si>
  <si>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</si>
  <si>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</si>
  <si>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</si>
  <si>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</si>
  <si>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</si>
  <si>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</si>
  <si>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</si>
  <si>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</si>
  <si>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</si>
  <si>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</si>
  <si>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</si>
  <si>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</si>
  <si>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</si>
  <si>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</si>
  <si>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</si>
  <si>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</si>
  <si>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</si>
  <si>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</si>
  <si>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</si>
  <si>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</si>
  <si>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</si>
  <si>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</si>
  <si>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</si>
  <si>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</si>
  <si>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</si>
  <si>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</si>
  <si>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26.5%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</si>
  <si>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</si>
  <si>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</si>
  <si>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Consumption Index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</si>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</sst>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1384300</xdr:colOff>
      <xdr:row>139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831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777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4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3319036</v>
      </c>
      <c r="G9" s="15">
        <v>10803.46</v>
      </c>
      <c r="H9" s="15">
        <v>10.199999999999999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375000</v>
      </c>
      <c r="G10" s="15">
        <v>9429</v>
      </c>
      <c r="H10" s="15">
        <v>8.9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5241474</v>
      </c>
      <c r="G11" s="15">
        <v>7810.32</v>
      </c>
      <c r="H11" s="15">
        <v>7.38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413956</v>
      </c>
      <c r="G12" s="15">
        <v>5482.02</v>
      </c>
      <c r="H12" s="15">
        <v>5.18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566049</v>
      </c>
      <c r="G13" s="15">
        <v>5384.26</v>
      </c>
      <c r="H13" s="15">
        <v>5.08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415000</v>
      </c>
      <c r="G14" s="15">
        <v>4842.6400000000003</v>
      </c>
      <c r="H14" s="15">
        <v>4.57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835000</v>
      </c>
      <c r="G15" s="15">
        <v>3704.9</v>
      </c>
      <c r="H15" s="15">
        <v>3.5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107000</v>
      </c>
      <c r="G16" s="15">
        <v>3602.69</v>
      </c>
      <c r="H16" s="15">
        <v>3.4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179000</v>
      </c>
      <c r="G17" s="15">
        <v>3362.34</v>
      </c>
      <c r="H17" s="15">
        <v>3.18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128304</v>
      </c>
      <c r="G18" s="15">
        <v>3315.89</v>
      </c>
      <c r="H18" s="15">
        <v>3.13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52000</v>
      </c>
      <c r="G19" s="15">
        <v>3115.32</v>
      </c>
      <c r="H19" s="15">
        <v>2.94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20</v>
      </c>
      <c r="F20" s="14">
        <v>66109</v>
      </c>
      <c r="G20" s="15">
        <v>3092.25</v>
      </c>
      <c r="H20" s="15">
        <v>2.92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31</v>
      </c>
      <c r="F21" s="14">
        <v>688874</v>
      </c>
      <c r="G21" s="15">
        <v>2845.05</v>
      </c>
      <c r="H21" s="15">
        <v>2.69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50608</v>
      </c>
      <c r="G22" s="15">
        <v>2831.26</v>
      </c>
      <c r="H22" s="15">
        <v>2.67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160367</v>
      </c>
      <c r="G23" s="15">
        <v>2729.45</v>
      </c>
      <c r="H23" s="15">
        <v>2.58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23</v>
      </c>
      <c r="F24" s="14">
        <v>629844</v>
      </c>
      <c r="G24" s="15">
        <v>2529.14</v>
      </c>
      <c r="H24" s="15">
        <v>2.39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45</v>
      </c>
      <c r="F25" s="14">
        <v>72000</v>
      </c>
      <c r="G25" s="15">
        <v>2475.86</v>
      </c>
      <c r="H25" s="15">
        <v>2.34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39</v>
      </c>
      <c r="F26" s="14">
        <v>156164</v>
      </c>
      <c r="G26" s="15">
        <v>2113.6799999999998</v>
      </c>
      <c r="H26" s="15">
        <v>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39</v>
      </c>
      <c r="F27" s="14">
        <v>76000</v>
      </c>
      <c r="G27" s="15">
        <v>1786</v>
      </c>
      <c r="H27" s="15">
        <v>1.69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115631</v>
      </c>
      <c r="G28" s="15">
        <v>1758.63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34</v>
      </c>
      <c r="F29" s="14">
        <v>350000</v>
      </c>
      <c r="G29" s="15">
        <v>1719.55</v>
      </c>
      <c r="H29" s="15">
        <v>1.62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39</v>
      </c>
      <c r="F30" s="14">
        <v>50000</v>
      </c>
      <c r="G30" s="15">
        <v>1654.75</v>
      </c>
      <c r="H30" s="15">
        <v>1.56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420128</v>
      </c>
      <c r="G31" s="15">
        <v>1528.43</v>
      </c>
      <c r="H31" s="15">
        <v>1.44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48</v>
      </c>
      <c r="F32" s="14">
        <v>120780</v>
      </c>
      <c r="G32" s="15">
        <v>1392.47</v>
      </c>
      <c r="H32" s="15">
        <v>1.32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20</v>
      </c>
      <c r="F33" s="14">
        <v>365032</v>
      </c>
      <c r="G33" s="15">
        <v>1353.17</v>
      </c>
      <c r="H33" s="15">
        <v>1.28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69</v>
      </c>
      <c r="F34" s="14">
        <v>135000</v>
      </c>
      <c r="G34" s="15">
        <v>1350</v>
      </c>
      <c r="H34" s="15">
        <v>1.27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31</v>
      </c>
      <c r="F35" s="14">
        <v>695545</v>
      </c>
      <c r="G35" s="15">
        <v>1168.72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31</v>
      </c>
      <c r="F36" s="14">
        <v>315040</v>
      </c>
      <c r="G36" s="15">
        <v>925.59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88</v>
      </c>
      <c r="F37" s="14">
        <v>58000</v>
      </c>
      <c r="G37" s="15">
        <v>851.44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20</v>
      </c>
      <c r="F38" s="14">
        <v>162676</v>
      </c>
      <c r="G38" s="15">
        <v>844.45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93</v>
      </c>
      <c r="F39" s="14">
        <v>200000</v>
      </c>
      <c r="G39" s="15">
        <v>823.5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112490</v>
      </c>
      <c r="G40" s="15">
        <v>784.51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39</v>
      </c>
      <c r="F41" s="14">
        <v>29870</v>
      </c>
      <c r="G41" s="15">
        <v>653.65</v>
      </c>
      <c r="H41" s="15">
        <v>0.62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20</v>
      </c>
      <c r="F42" s="14">
        <v>45000</v>
      </c>
      <c r="G42" s="15">
        <v>589.19000000000005</v>
      </c>
      <c r="H42" s="15">
        <v>0.56000000000000005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28</v>
      </c>
      <c r="F43" s="14">
        <v>206660</v>
      </c>
      <c r="G43" s="15">
        <v>538.1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69</v>
      </c>
      <c r="F44" s="14">
        <v>45000</v>
      </c>
      <c r="G44" s="15">
        <v>501.62</v>
      </c>
      <c r="H44" s="15">
        <v>0.47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34</v>
      </c>
      <c r="F45" s="14">
        <v>86767</v>
      </c>
      <c r="G45" s="15">
        <v>467.02</v>
      </c>
      <c r="H45" s="15">
        <v>0.44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96</v>
      </c>
      <c r="F46" s="14">
        <v>35846</v>
      </c>
      <c r="G46" s="15">
        <v>404.81</v>
      </c>
      <c r="H46" s="15">
        <v>0.38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111</v>
      </c>
      <c r="F47" s="14">
        <v>110819</v>
      </c>
      <c r="G47" s="15">
        <v>360.38</v>
      </c>
      <c r="H47" s="15">
        <v>0.34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23</v>
      </c>
      <c r="F48" s="14">
        <v>130326</v>
      </c>
      <c r="G48" s="15">
        <v>332.49</v>
      </c>
      <c r="H48" s="15">
        <v>0.31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34</v>
      </c>
      <c r="F49" s="14">
        <v>6903</v>
      </c>
      <c r="G49" s="15">
        <v>153.41</v>
      </c>
      <c r="H49" s="15">
        <v>0.14000000000000001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39</v>
      </c>
      <c r="F50" s="14">
        <v>10181</v>
      </c>
      <c r="G50" s="15">
        <v>131.37</v>
      </c>
      <c r="H50" s="15">
        <v>0.12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120</v>
      </c>
      <c r="F51" s="14">
        <v>3945</v>
      </c>
      <c r="G51" s="15">
        <v>98.08</v>
      </c>
      <c r="H51" s="15">
        <v>0.09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20</v>
      </c>
      <c r="F52" s="14">
        <v>79</v>
      </c>
      <c r="G52" s="15">
        <v>0.55000000000000004</v>
      </c>
      <c r="H52" s="15" t="s">
        <v>123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124</v>
      </c>
      <c r="C53" s="19"/>
      <c r="D53" s="19"/>
      <c r="E53" s="19"/>
      <c r="F53" s="19"/>
      <c r="G53" s="20">
        <f>SUM(G9:G52)</f>
        <v>101641.40999999999</v>
      </c>
      <c r="H53" s="20">
        <f>SUM(H9:H52)</f>
        <v>95.96</v>
      </c>
      <c r="I53" s="19"/>
      <c r="J53" s="19"/>
      <c r="K53" s="19"/>
      <c r="L53" s="19"/>
    </row>
    <row r="54" spans="1:12" x14ac:dyDescent="0.35">
      <c r="A54" s="10"/>
      <c r="B54" s="11" t="s">
        <v>125</v>
      </c>
      <c r="C54" s="10"/>
      <c r="D54" s="10"/>
      <c r="E54" s="10"/>
      <c r="F54" s="10"/>
      <c r="G54" s="21">
        <v>101641.40999999999</v>
      </c>
      <c r="H54" s="21">
        <v>95.96</v>
      </c>
      <c r="I54" s="22"/>
      <c r="J54" s="10"/>
      <c r="K54" s="10"/>
      <c r="L54" s="10"/>
    </row>
    <row r="55" spans="1:12" x14ac:dyDescent="0.35">
      <c r="A55" s="10"/>
      <c r="B55" s="11"/>
      <c r="C55" s="10"/>
      <c r="D55" s="10"/>
      <c r="E55" s="10"/>
      <c r="F55" s="10"/>
      <c r="G55" s="21"/>
      <c r="H55" s="21"/>
      <c r="I55" s="10"/>
      <c r="J55" s="10"/>
      <c r="K55" s="10"/>
      <c r="L55" s="10"/>
    </row>
    <row r="56" spans="1:12" x14ac:dyDescent="0.35">
      <c r="A56" s="10"/>
      <c r="B56" s="11" t="s">
        <v>126</v>
      </c>
      <c r="C56" s="10"/>
      <c r="D56" s="10"/>
      <c r="E56" s="10"/>
      <c r="F56" s="10"/>
      <c r="G56" s="21"/>
      <c r="H56" s="21"/>
      <c r="I56" s="10"/>
      <c r="J56" s="10"/>
      <c r="K56" s="10"/>
      <c r="L56" s="10"/>
    </row>
    <row r="57" spans="1:12" x14ac:dyDescent="0.35">
      <c r="A57" s="10"/>
      <c r="B57" s="11" t="s">
        <v>15</v>
      </c>
      <c r="C57" s="10"/>
      <c r="D57" s="10"/>
      <c r="E57" s="10"/>
      <c r="F57" s="10"/>
      <c r="G57" s="21"/>
      <c r="H57" s="21"/>
      <c r="I57" s="10"/>
      <c r="J57" s="10"/>
      <c r="K57" s="10"/>
      <c r="L57" s="10"/>
    </row>
    <row r="58" spans="1:12" x14ac:dyDescent="0.35">
      <c r="A58" s="10"/>
      <c r="B58" s="13" t="s">
        <v>127</v>
      </c>
      <c r="C58" s="13" t="s">
        <v>13</v>
      </c>
      <c r="D58" s="13" t="s">
        <v>128</v>
      </c>
      <c r="E58" s="13" t="s">
        <v>129</v>
      </c>
      <c r="F58" s="14">
        <v>288000</v>
      </c>
      <c r="G58" s="15">
        <v>28.92</v>
      </c>
      <c r="H58" s="15">
        <v>0.03</v>
      </c>
      <c r="I58" s="23">
        <v>0.06</v>
      </c>
      <c r="J58" s="10"/>
      <c r="K58" s="10"/>
      <c r="L58" s="10"/>
    </row>
    <row r="59" spans="1:12" x14ac:dyDescent="0.35">
      <c r="A59" s="10"/>
      <c r="B59" s="11" t="s">
        <v>124</v>
      </c>
      <c r="C59" s="10"/>
      <c r="D59" s="10"/>
      <c r="E59" s="10"/>
      <c r="F59" s="10"/>
      <c r="G59" s="24">
        <v>28.92</v>
      </c>
      <c r="H59" s="24">
        <v>0.03</v>
      </c>
      <c r="I59" s="10"/>
      <c r="J59" s="10"/>
      <c r="K59" s="10"/>
      <c r="L59" s="10"/>
    </row>
    <row r="60" spans="1:12" x14ac:dyDescent="0.35">
      <c r="A60" s="10"/>
      <c r="B60" s="11" t="s">
        <v>125</v>
      </c>
      <c r="C60" s="10"/>
      <c r="D60" s="10"/>
      <c r="E60" s="10"/>
      <c r="F60" s="10"/>
      <c r="G60" s="24">
        <v>28.92</v>
      </c>
      <c r="H60" s="24">
        <v>0.03</v>
      </c>
      <c r="I60" s="10"/>
      <c r="J60" s="10"/>
      <c r="K60" s="10"/>
      <c r="L60" s="10"/>
    </row>
    <row r="61" spans="1:12" x14ac:dyDescent="0.35">
      <c r="A61" s="10"/>
      <c r="B61" s="11"/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 x14ac:dyDescent="0.35">
      <c r="A62" s="10"/>
      <c r="B62" s="11" t="s">
        <v>130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0"/>
      <c r="B63" s="11" t="s">
        <v>131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2" t="s">
        <v>13</v>
      </c>
      <c r="B64" s="13" t="s">
        <v>13</v>
      </c>
      <c r="C64" s="13" t="s">
        <v>13</v>
      </c>
      <c r="D64" s="13" t="s">
        <v>131</v>
      </c>
      <c r="E64" s="13" t="s">
        <v>13</v>
      </c>
      <c r="F64" s="14" t="s">
        <v>13</v>
      </c>
      <c r="G64" s="15">
        <v>4978.0200000000004</v>
      </c>
      <c r="H64" s="15">
        <v>4.7</v>
      </c>
      <c r="I64" s="16">
        <v>5.49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9"/>
      <c r="B65" s="11" t="s">
        <v>124</v>
      </c>
      <c r="C65" s="19"/>
      <c r="D65" s="19"/>
      <c r="E65" s="19"/>
      <c r="F65" s="19"/>
      <c r="G65" s="20">
        <v>4978.0200000000004</v>
      </c>
      <c r="H65" s="20">
        <v>4.7</v>
      </c>
      <c r="I65" s="19"/>
      <c r="J65" s="19"/>
      <c r="K65" s="19"/>
      <c r="L65" s="19"/>
    </row>
    <row r="66" spans="1:12" x14ac:dyDescent="0.35">
      <c r="A66" s="10"/>
      <c r="B66" s="11" t="s">
        <v>125</v>
      </c>
      <c r="C66" s="10"/>
      <c r="D66" s="10"/>
      <c r="E66" s="10"/>
      <c r="F66" s="10"/>
      <c r="G66" s="21">
        <v>4978.0200000000004</v>
      </c>
      <c r="H66" s="21">
        <v>4.7</v>
      </c>
      <c r="I66" s="10"/>
      <c r="J66" s="10"/>
      <c r="K66" s="10"/>
      <c r="L66" s="10"/>
    </row>
    <row r="67" spans="1:12" x14ac:dyDescent="0.35">
      <c r="A67" s="10"/>
      <c r="B67" s="11" t="s">
        <v>132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0"/>
      <c r="B68" s="11" t="s">
        <v>133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13</v>
      </c>
      <c r="B69" s="13" t="s">
        <v>13</v>
      </c>
      <c r="C69" s="13" t="s">
        <v>13</v>
      </c>
      <c r="D69" s="13" t="s">
        <v>133</v>
      </c>
      <c r="E69" s="13" t="s">
        <v>13</v>
      </c>
      <c r="F69" s="14" t="s">
        <v>13</v>
      </c>
      <c r="G69" s="15">
        <v>-759.29</v>
      </c>
      <c r="H69" s="15">
        <v>-0.69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124</v>
      </c>
      <c r="C70" s="19"/>
      <c r="D70" s="19"/>
      <c r="E70" s="19"/>
      <c r="F70" s="19"/>
      <c r="G70" s="20">
        <v>-759.29</v>
      </c>
      <c r="H70" s="20">
        <v>-0.69</v>
      </c>
      <c r="I70" s="19"/>
      <c r="J70" s="19"/>
      <c r="K70" s="19"/>
      <c r="L70" s="19"/>
    </row>
    <row r="71" spans="1:12" x14ac:dyDescent="0.35">
      <c r="A71" s="10"/>
      <c r="B71" s="11" t="s">
        <v>125</v>
      </c>
      <c r="C71" s="10"/>
      <c r="D71" s="10"/>
      <c r="E71" s="10"/>
      <c r="F71" s="10"/>
      <c r="G71" s="21">
        <v>-759.29</v>
      </c>
      <c r="H71" s="21">
        <v>-0.69</v>
      </c>
      <c r="I71" s="10"/>
      <c r="J71" s="10"/>
      <c r="K71" s="10"/>
      <c r="L71" s="10"/>
    </row>
    <row r="72" spans="1:12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5">
      <c r="A73" s="6"/>
      <c r="B73" s="25" t="s">
        <v>134</v>
      </c>
      <c r="C73" s="6"/>
      <c r="D73" s="6"/>
      <c r="E73" s="6"/>
      <c r="F73" s="6"/>
      <c r="G73" s="24">
        <v>105889.06</v>
      </c>
      <c r="H73" s="24">
        <v>100</v>
      </c>
      <c r="I73" s="6"/>
      <c r="J73" s="6"/>
      <c r="K73" s="6"/>
      <c r="L73" s="6"/>
    </row>
    <row r="74" spans="1:12" x14ac:dyDescent="0.35">
      <c r="A74" s="12" t="s">
        <v>17</v>
      </c>
      <c r="B74" s="26" t="s">
        <v>135</v>
      </c>
      <c r="C74" s="26" t="s">
        <v>135</v>
      </c>
      <c r="D74" s="26" t="s">
        <v>135</v>
      </c>
      <c r="E74" s="26" t="s">
        <v>135</v>
      </c>
      <c r="F74" s="26" t="s">
        <v>135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7" t="s">
        <v>136</v>
      </c>
      <c r="C75" s="27" t="s">
        <v>136</v>
      </c>
      <c r="D75" s="27" t="s">
        <v>136</v>
      </c>
      <c r="E75" s="27" t="s">
        <v>136</v>
      </c>
      <c r="F75" s="27" t="s">
        <v>136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7" t="s">
        <v>137</v>
      </c>
      <c r="C76" s="27" t="s">
        <v>137</v>
      </c>
      <c r="D76" s="27" t="s">
        <v>137</v>
      </c>
      <c r="E76" s="27" t="s">
        <v>137</v>
      </c>
      <c r="F76" s="27" t="s">
        <v>137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7" t="s">
        <v>138</v>
      </c>
      <c r="C77" s="27" t="s">
        <v>138</v>
      </c>
      <c r="D77" s="27" t="s">
        <v>138</v>
      </c>
      <c r="E77" s="27" t="s">
        <v>138</v>
      </c>
      <c r="F77" s="27" t="s">
        <v>138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7" t="s">
        <v>139</v>
      </c>
      <c r="C78" s="27" t="s">
        <v>139</v>
      </c>
      <c r="D78" s="27" t="s">
        <v>139</v>
      </c>
      <c r="E78" s="27" t="s">
        <v>139</v>
      </c>
      <c r="F78" s="27" t="s">
        <v>139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7" t="s">
        <v>140</v>
      </c>
      <c r="C79" s="27" t="s">
        <v>140</v>
      </c>
      <c r="D79" s="27" t="s">
        <v>140</v>
      </c>
      <c r="E79" s="27" t="s">
        <v>140</v>
      </c>
      <c r="F79" s="27" t="s">
        <v>140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7" t="s">
        <v>141</v>
      </c>
      <c r="C80" s="27" t="s">
        <v>141</v>
      </c>
      <c r="D80" s="27" t="s">
        <v>141</v>
      </c>
      <c r="E80" s="27" t="s">
        <v>141</v>
      </c>
      <c r="F80" s="27" t="s">
        <v>141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7" t="s">
        <v>142</v>
      </c>
      <c r="C81" s="27" t="s">
        <v>142</v>
      </c>
      <c r="D81" s="27" t="s">
        <v>142</v>
      </c>
      <c r="E81" s="27" t="s">
        <v>142</v>
      </c>
      <c r="F81" s="27" t="s">
        <v>142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13"/>
      <c r="C82" s="13"/>
      <c r="D82" s="13"/>
      <c r="E82" s="13"/>
      <c r="F82" s="13"/>
      <c r="G82" s="13"/>
      <c r="H82" s="13"/>
    </row>
    <row r="83" spans="1:12" x14ac:dyDescent="0.35">
      <c r="A83" s="28"/>
      <c r="B83" s="29" t="s">
        <v>143</v>
      </c>
      <c r="C83" s="28"/>
      <c r="D83" s="28"/>
      <c r="E83" s="13"/>
      <c r="F83" s="13"/>
      <c r="G83" s="13"/>
      <c r="H83" s="13"/>
    </row>
    <row r="84" spans="1:12" x14ac:dyDescent="0.35">
      <c r="A84" s="28"/>
      <c r="B84" s="30" t="s">
        <v>20</v>
      </c>
      <c r="C84" s="31"/>
      <c r="D84" s="32">
        <v>24.58</v>
      </c>
      <c r="E84" s="13"/>
      <c r="F84" s="13"/>
      <c r="G84" s="13"/>
      <c r="H84" s="13"/>
    </row>
    <row r="85" spans="1:12" x14ac:dyDescent="0.35">
      <c r="A85" s="28"/>
      <c r="B85" s="30" t="s">
        <v>23</v>
      </c>
      <c r="C85" s="31"/>
      <c r="D85" s="32">
        <v>11.600000000000001</v>
      </c>
      <c r="E85" s="13"/>
      <c r="F85" s="13"/>
      <c r="G85" s="13"/>
      <c r="H85" s="13"/>
    </row>
    <row r="86" spans="1:12" x14ac:dyDescent="0.35">
      <c r="A86" s="28"/>
      <c r="B86" s="30" t="s">
        <v>31</v>
      </c>
      <c r="C86" s="31"/>
      <c r="D86" s="32">
        <v>9.74</v>
      </c>
      <c r="E86" s="13"/>
      <c r="F86" s="13"/>
      <c r="G86" s="13"/>
      <c r="H86" s="13"/>
    </row>
    <row r="87" spans="1:12" x14ac:dyDescent="0.35">
      <c r="A87" s="28"/>
      <c r="B87" s="30" t="s">
        <v>39</v>
      </c>
      <c r="C87" s="31"/>
      <c r="D87" s="32">
        <v>9.39</v>
      </c>
      <c r="E87" s="13"/>
      <c r="F87" s="13"/>
      <c r="G87" s="13"/>
      <c r="H87" s="13"/>
    </row>
    <row r="88" spans="1:12" x14ac:dyDescent="0.35">
      <c r="A88" s="28"/>
      <c r="B88" s="30" t="s">
        <v>28</v>
      </c>
      <c r="C88" s="31"/>
      <c r="D88" s="32">
        <v>9.19</v>
      </c>
      <c r="E88" s="13"/>
      <c r="F88" s="13"/>
      <c r="G88" s="13"/>
      <c r="H88" s="13"/>
    </row>
    <row r="89" spans="1:12" x14ac:dyDescent="0.35">
      <c r="A89" s="28"/>
      <c r="B89" s="30" t="s">
        <v>34</v>
      </c>
      <c r="C89" s="31"/>
      <c r="D89" s="32">
        <v>6.7700000000000005</v>
      </c>
      <c r="E89" s="13"/>
      <c r="F89" s="13"/>
      <c r="G89" s="13"/>
      <c r="H89" s="13"/>
    </row>
    <row r="90" spans="1:12" x14ac:dyDescent="0.35">
      <c r="A90" s="28"/>
      <c r="B90" s="30" t="s">
        <v>45</v>
      </c>
      <c r="C90" s="31"/>
      <c r="D90" s="32">
        <v>5.5</v>
      </c>
      <c r="E90" s="13"/>
      <c r="F90" s="13"/>
      <c r="G90" s="13"/>
      <c r="H90" s="13"/>
    </row>
    <row r="91" spans="1:12" x14ac:dyDescent="0.35">
      <c r="A91" s="28"/>
      <c r="B91" s="30" t="s">
        <v>48</v>
      </c>
      <c r="C91" s="31"/>
      <c r="D91" s="32">
        <v>4.26</v>
      </c>
      <c r="E91" s="13"/>
      <c r="F91" s="13"/>
      <c r="G91" s="13"/>
      <c r="H91" s="13"/>
    </row>
    <row r="92" spans="1:12" x14ac:dyDescent="0.35">
      <c r="A92" s="28"/>
      <c r="B92" s="30" t="s">
        <v>69</v>
      </c>
      <c r="C92" s="31"/>
      <c r="D92" s="32">
        <v>3.4</v>
      </c>
      <c r="E92" s="13"/>
      <c r="F92" s="13"/>
      <c r="G92" s="13"/>
      <c r="H92" s="13"/>
    </row>
    <row r="93" spans="1:12" x14ac:dyDescent="0.35">
      <c r="A93" s="28"/>
      <c r="B93" s="30" t="s">
        <v>42</v>
      </c>
      <c r="C93" s="31"/>
      <c r="D93" s="32">
        <v>3.18</v>
      </c>
      <c r="E93" s="13"/>
      <c r="F93" s="13"/>
      <c r="G93" s="13"/>
      <c r="H93" s="13"/>
    </row>
    <row r="94" spans="1:12" x14ac:dyDescent="0.35">
      <c r="A94" s="28"/>
      <c r="B94" s="30" t="s">
        <v>55</v>
      </c>
      <c r="C94" s="31"/>
      <c r="D94" s="32">
        <v>2.67</v>
      </c>
      <c r="E94" s="13"/>
      <c r="F94" s="13"/>
      <c r="G94" s="13"/>
      <c r="H94" s="13"/>
    </row>
    <row r="95" spans="1:12" x14ac:dyDescent="0.35">
      <c r="A95" s="28"/>
      <c r="B95" s="30" t="s">
        <v>58</v>
      </c>
      <c r="C95" s="31"/>
      <c r="D95" s="32">
        <v>2.58</v>
      </c>
      <c r="E95" s="13"/>
      <c r="F95" s="13"/>
      <c r="G95" s="13"/>
      <c r="H95" s="13"/>
    </row>
    <row r="96" spans="1:12" x14ac:dyDescent="0.35">
      <c r="A96" s="28"/>
      <c r="B96" s="30" t="s">
        <v>96</v>
      </c>
      <c r="C96" s="31"/>
      <c r="D96" s="32">
        <v>1.1200000000000001</v>
      </c>
      <c r="E96" s="13"/>
      <c r="F96" s="13"/>
      <c r="G96" s="13"/>
      <c r="H96" s="13"/>
    </row>
    <row r="97" spans="1:8" x14ac:dyDescent="0.35">
      <c r="A97" s="28"/>
      <c r="B97" s="30" t="s">
        <v>88</v>
      </c>
      <c r="C97" s="31"/>
      <c r="D97" s="32">
        <v>0.8</v>
      </c>
      <c r="E97" s="13"/>
      <c r="F97" s="13"/>
      <c r="G97" s="13"/>
      <c r="H97" s="13"/>
    </row>
    <row r="98" spans="1:8" x14ac:dyDescent="0.35">
      <c r="A98" s="28"/>
      <c r="B98" s="30" t="s">
        <v>93</v>
      </c>
      <c r="C98" s="31"/>
      <c r="D98" s="32">
        <v>0.78</v>
      </c>
      <c r="E98" s="13"/>
      <c r="F98" s="13"/>
      <c r="G98" s="13"/>
      <c r="H98" s="13"/>
    </row>
    <row r="99" spans="1:8" x14ac:dyDescent="0.35">
      <c r="A99" s="28"/>
      <c r="B99" s="30" t="s">
        <v>111</v>
      </c>
      <c r="C99" s="31"/>
      <c r="D99" s="32">
        <v>0.34</v>
      </c>
      <c r="E99" s="13"/>
      <c r="F99" s="13"/>
      <c r="G99" s="13"/>
      <c r="H99" s="13"/>
    </row>
    <row r="100" spans="1:8" x14ac:dyDescent="0.35">
      <c r="A100" s="28"/>
      <c r="B100" s="30" t="s">
        <v>120</v>
      </c>
      <c r="C100" s="31"/>
      <c r="D100" s="32">
        <v>0.09</v>
      </c>
      <c r="E100" s="13"/>
      <c r="F100" s="13"/>
      <c r="G100" s="13"/>
      <c r="H100" s="13"/>
    </row>
    <row r="101" spans="1:8" x14ac:dyDescent="0.35">
      <c r="A101" s="28"/>
      <c r="B101" s="30" t="s">
        <v>144</v>
      </c>
      <c r="C101" s="31"/>
      <c r="D101" s="32">
        <v>4.01</v>
      </c>
      <c r="E101" s="13"/>
      <c r="F101" s="13"/>
      <c r="G101" s="13"/>
      <c r="H101" s="13"/>
    </row>
    <row r="102" spans="1:8" x14ac:dyDescent="0.35">
      <c r="A102" s="33"/>
      <c r="B102" s="33"/>
      <c r="C102" s="33"/>
      <c r="D102" s="33"/>
      <c r="E102" s="33"/>
      <c r="F102" s="33"/>
      <c r="G102" s="33"/>
      <c r="H102" s="33"/>
    </row>
    <row r="103" spans="1:8" x14ac:dyDescent="0.35">
      <c r="A103" s="33"/>
      <c r="B103" s="10" t="s">
        <v>145</v>
      </c>
      <c r="C103" s="33"/>
      <c r="D103" s="33"/>
      <c r="E103" s="33"/>
      <c r="F103" s="33"/>
      <c r="G103" s="33"/>
      <c r="H103" s="33"/>
    </row>
    <row r="104" spans="1:8" x14ac:dyDescent="0.35">
      <c r="A104" s="13"/>
      <c r="B104" s="13" t="s">
        <v>146</v>
      </c>
      <c r="C104" s="13"/>
      <c r="D104" s="13"/>
      <c r="E104" s="13"/>
      <c r="F104" s="13"/>
      <c r="G104" s="13"/>
      <c r="H104" s="33"/>
    </row>
    <row r="105" spans="1:8" x14ac:dyDescent="0.35">
      <c r="A105" s="13"/>
      <c r="B105" s="34" t="s">
        <v>147</v>
      </c>
      <c r="C105" s="35" t="s">
        <v>148</v>
      </c>
      <c r="D105" s="34" t="s">
        <v>149</v>
      </c>
      <c r="E105" s="13"/>
      <c r="F105" s="13"/>
      <c r="G105" s="13"/>
      <c r="H105" s="33"/>
    </row>
    <row r="106" spans="1:8" x14ac:dyDescent="0.35">
      <c r="A106" s="13"/>
      <c r="B106" s="10" t="s">
        <v>150</v>
      </c>
      <c r="C106" s="36">
        <v>14.364000000000001</v>
      </c>
      <c r="D106" s="36">
        <v>14.632999999999999</v>
      </c>
      <c r="E106" s="13"/>
      <c r="F106" s="13"/>
      <c r="G106" s="13"/>
      <c r="H106" s="33"/>
    </row>
    <row r="107" spans="1:8" x14ac:dyDescent="0.35">
      <c r="A107" s="13"/>
      <c r="B107" s="10" t="s">
        <v>151</v>
      </c>
      <c r="C107" s="36">
        <v>14.757999999999999</v>
      </c>
      <c r="D107" s="36">
        <v>15.019</v>
      </c>
      <c r="E107" s="13"/>
      <c r="F107" s="13"/>
      <c r="G107" s="13"/>
      <c r="H107" s="33"/>
    </row>
    <row r="108" spans="1:8" x14ac:dyDescent="0.35">
      <c r="A108" s="13"/>
      <c r="B108" s="10" t="s">
        <v>152</v>
      </c>
      <c r="C108" s="36">
        <v>14.364000000000001</v>
      </c>
      <c r="D108" s="36">
        <v>14.632999999999999</v>
      </c>
      <c r="E108" s="13"/>
      <c r="F108" s="13"/>
      <c r="G108" s="13"/>
      <c r="H108" s="33"/>
    </row>
    <row r="109" spans="1:8" x14ac:dyDescent="0.35">
      <c r="A109" s="13"/>
      <c r="B109" s="10" t="s">
        <v>153</v>
      </c>
      <c r="C109" s="36">
        <v>14.757999999999999</v>
      </c>
      <c r="D109" s="36">
        <v>15.019</v>
      </c>
      <c r="E109" s="13"/>
      <c r="F109" s="13"/>
      <c r="G109" s="13"/>
      <c r="H109" s="33"/>
    </row>
    <row r="110" spans="1:8" x14ac:dyDescent="0.35">
      <c r="A110" s="13"/>
      <c r="B110" s="10" t="s">
        <v>13</v>
      </c>
      <c r="C110" s="13"/>
      <c r="D110" s="13"/>
      <c r="E110" s="13"/>
      <c r="F110" s="13"/>
      <c r="G110" s="13"/>
      <c r="H110" s="33"/>
    </row>
    <row r="111" spans="1:8" x14ac:dyDescent="0.35">
      <c r="A111" s="13"/>
      <c r="B111" s="13"/>
      <c r="C111" s="13"/>
      <c r="D111" s="13"/>
      <c r="E111" s="13"/>
      <c r="F111" s="13"/>
      <c r="G111" s="13"/>
      <c r="H111" s="33"/>
    </row>
    <row r="112" spans="1:8" x14ac:dyDescent="0.35">
      <c r="A112" s="13"/>
      <c r="B112" s="13" t="s">
        <v>154</v>
      </c>
      <c r="C112" s="13"/>
      <c r="D112" s="13"/>
      <c r="E112" s="13"/>
      <c r="F112" s="13"/>
      <c r="G112" s="13"/>
      <c r="H112" s="33"/>
    </row>
    <row r="113" spans="1:8" x14ac:dyDescent="0.35">
      <c r="A113" s="13"/>
      <c r="B113" s="13"/>
      <c r="C113" s="13"/>
      <c r="D113" s="13"/>
      <c r="E113" s="13"/>
      <c r="F113" s="13"/>
      <c r="G113" s="13"/>
      <c r="H113" s="33"/>
    </row>
    <row r="114" spans="1:8" x14ac:dyDescent="0.35">
      <c r="A114" s="13"/>
      <c r="B114" s="13" t="s">
        <v>155</v>
      </c>
      <c r="C114" s="13"/>
      <c r="D114" s="13"/>
      <c r="E114" s="13"/>
      <c r="F114" s="13"/>
      <c r="G114" s="13"/>
      <c r="H114" s="33"/>
    </row>
    <row r="115" spans="1:8" x14ac:dyDescent="0.35">
      <c r="A115" s="33"/>
      <c r="B115" s="33"/>
      <c r="C115" s="33"/>
      <c r="D115" s="33"/>
      <c r="E115" s="33"/>
      <c r="F115" s="33"/>
      <c r="G115" s="33"/>
      <c r="H115" s="33"/>
    </row>
    <row r="116" spans="1:8" x14ac:dyDescent="0.35">
      <c r="A116" s="13"/>
      <c r="B116" s="13" t="s">
        <v>156</v>
      </c>
      <c r="C116" s="13"/>
      <c r="D116" s="13"/>
      <c r="E116" s="13"/>
      <c r="F116" s="13"/>
      <c r="G116" s="13"/>
      <c r="H116" s="13"/>
    </row>
    <row r="117" spans="1:8" x14ac:dyDescent="0.35">
      <c r="A117" s="13"/>
      <c r="B117" s="13" t="s">
        <v>157</v>
      </c>
      <c r="C117" s="13"/>
      <c r="D117" s="13"/>
      <c r="E117" s="13"/>
      <c r="F117" s="13"/>
      <c r="G117" s="13"/>
      <c r="H117" s="33"/>
    </row>
    <row r="118" spans="1:8" x14ac:dyDescent="0.35">
      <c r="A118" s="13"/>
      <c r="B118" s="13" t="s">
        <v>158</v>
      </c>
      <c r="C118" s="13"/>
      <c r="D118" s="13"/>
      <c r="E118" s="13"/>
      <c r="F118" s="13"/>
      <c r="G118" s="13"/>
      <c r="H118" s="33"/>
    </row>
    <row r="119" spans="1:8" x14ac:dyDescent="0.35">
      <c r="A119" s="13"/>
      <c r="B119" s="13" t="s">
        <v>159</v>
      </c>
      <c r="C119" s="13"/>
      <c r="D119" s="13"/>
      <c r="E119" s="13"/>
      <c r="F119" s="13"/>
      <c r="G119" s="13"/>
      <c r="H119" s="33"/>
    </row>
    <row r="120" spans="1:8" x14ac:dyDescent="0.35">
      <c r="A120" s="13"/>
      <c r="B120" s="13" t="s">
        <v>160</v>
      </c>
      <c r="C120" s="13"/>
      <c r="D120" s="13"/>
      <c r="E120" s="13"/>
      <c r="F120" s="13"/>
      <c r="G120" s="13"/>
      <c r="H120" s="33"/>
    </row>
    <row r="121" spans="1:8" x14ac:dyDescent="0.35">
      <c r="A121" s="13"/>
      <c r="B121" s="13" t="s">
        <v>161</v>
      </c>
      <c r="C121" s="13"/>
      <c r="D121" s="13"/>
      <c r="E121" s="13"/>
      <c r="F121" s="13"/>
      <c r="G121" s="13"/>
      <c r="H121" s="33"/>
    </row>
    <row r="122" spans="1:8" x14ac:dyDescent="0.35">
      <c r="A122" s="13"/>
      <c r="B122" s="13" t="s">
        <v>162</v>
      </c>
      <c r="C122" s="13"/>
      <c r="D122" s="13"/>
      <c r="E122" s="13"/>
      <c r="F122" s="13"/>
      <c r="G122" s="13"/>
      <c r="H122" s="33"/>
    </row>
    <row r="123" spans="1:8" x14ac:dyDescent="0.35">
      <c r="A123" s="13"/>
      <c r="B123" s="13" t="s">
        <v>163</v>
      </c>
      <c r="C123" s="13"/>
      <c r="D123" s="13"/>
      <c r="E123" s="13"/>
      <c r="F123" s="13"/>
      <c r="G123" s="13"/>
      <c r="H123" s="33"/>
    </row>
    <row r="124" spans="1:8" x14ac:dyDescent="0.35">
      <c r="A124" s="13"/>
      <c r="B124" s="13"/>
      <c r="C124" s="13"/>
      <c r="D124" s="13"/>
      <c r="E124" s="13"/>
      <c r="F124" s="13"/>
      <c r="G124" s="13"/>
      <c r="H124" s="33"/>
    </row>
    <row r="126" spans="1:8" x14ac:dyDescent="0.35">
      <c r="B126" s="37" t="s">
        <v>164</v>
      </c>
    </row>
    <row r="142" spans="2:2" x14ac:dyDescent="0.35">
      <c r="B142" s="37" t="s">
        <v>165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2025-10-07T08:44:42Z</dcterms:created>
  <dcterms:modified xsi:type="dcterms:W3CDTF">2025-10-07T08:44:43Z</dcterms:modified>
</cp:coreProperties>
</file>