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DEBT\"/>
    </mc:Choice>
  </mc:AlternateContent>
  <xr:revisionPtr revIDLastSave="0" documentId="13_ncr:1_{C5AE91DE-EDC2-4EC4-9A4C-F1E3ED0CDDE6}" xr6:coauthVersionLast="36" xr6:coauthVersionMax="36" xr10:uidLastSave="{00000000-0000-0000-0000-000000000000}"/>
  <bookViews>
    <workbookView xWindow="0" yWindow="0" windowWidth="28800" windowHeight="12225" xr2:uid="{DEEC7C9E-58F8-41F6-B0E3-1BBB97F3BC6F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localSheetId="1" hidden="1">_xll.Formula.SK(#REF!,)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localSheetId="1" hidden="1">_xll.Formula.SK(#REF!,)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_xll.Formula.SK([40]Hyperlinks!$A$2,1)</definedName>
    <definedName name="SheetKraftFormula117" hidden="1">_xll.Formula.SK(#REF!,1)</definedName>
    <definedName name="SheetKraftFormula118" localSheetId="1" hidden="1">_xll.Formula.SK([40]Hyperlinks!$C$3,)</definedName>
    <definedName name="SheetKraftFormula118" hidden="1">_xll.Formula.SK(#REF!,)</definedName>
    <definedName name="SheetKraftFormula119" hidden="1">_xll.Formula.SK('[6]NCA Rows'!$R$5,1)</definedName>
    <definedName name="SheetKraftFormula12" localSheetId="1" hidden="1">_xll.Formula.SK(#REF!,)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localSheetId="1" hidden="1">_xll.Formula.SK(#REF!,)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localSheetId="1" hidden="1">_xll.Formula.SK(#REF!,)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localSheetId="1" hidden="1">_xll.Formula.SK(#REF!,)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localSheetId="1" hidden="1">_xll.Formula.SK(#REF!,)</definedName>
    <definedName name="SheetKraftFormula17" hidden="1">_xll.Formula.SK(#REF!,)</definedName>
    <definedName name="SheetKraftFormula170" localSheetId="1" hidden="1">_xll.Formula.SK(#REF!,1)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localSheetId="1" hidden="1">_xll.Formula.SK(#REF!,)</definedName>
    <definedName name="SheetKraftFormula18" hidden="1">_xll.Formula.SK(#REF!,)</definedName>
    <definedName name="SheetKraftFormula180" localSheetId="1" hidden="1">_xll.Formula.SK(#REF!,)</definedName>
    <definedName name="SheetKraftFormula180" hidden="1">_xll.Formula.SK(#REF!,)</definedName>
    <definedName name="SheetKraftFormula181" localSheetId="1" hidden="1">_xll.Formula.SK(#REF!,)</definedName>
    <definedName name="SheetKraftFormula181" hidden="1">_xll.Formula.SK(#REF!,)</definedName>
    <definedName name="SheetKraftFormula182" localSheetId="1" hidden="1">_xll.Formula.SK(#REF!,)</definedName>
    <definedName name="SheetKraftFormula182" hidden="1">_xll.Formula.SK(#REF!,)</definedName>
    <definedName name="SheetKraftFormula183" localSheetId="1" hidden="1">_xll.Formula.SK(#REF!,)</definedName>
    <definedName name="SheetKraftFormula183" hidden="1">_xll.Formula.SK(#REF!,)</definedName>
    <definedName name="SheetKraftFormula184" localSheetId="1" hidden="1">_xll.Formula.SK(#REF!,)</definedName>
    <definedName name="SheetKraftFormula184" hidden="1">_xll.Formula.SK(#REF!,)</definedName>
    <definedName name="SheetKraftFormula185" localSheetId="1" hidden="1">_xll.Formula.SK(#REF!,)</definedName>
    <definedName name="SheetKraftFormula185" hidden="1">_xll.Formula.SK(#REF!,)</definedName>
    <definedName name="SheetKraftFormula186" localSheetId="1" hidden="1">_xll.Formula.SK(#REF!,)</definedName>
    <definedName name="SheetKraftFormula186" hidden="1">_xll.Formula.SK(#REF!,)</definedName>
    <definedName name="SheetKraftFormula187" localSheetId="1" hidden="1">_xll.Formula.SK(#REF!,)</definedName>
    <definedName name="SheetKraftFormula187" hidden="1">_xll.Formula.SK(#REF!,)</definedName>
    <definedName name="SheetKraftFormula188" localSheetId="1" hidden="1">_xll.Formula.SK(#REF!,)</definedName>
    <definedName name="SheetKraftFormula188" hidden="1">_xll.Formula.SK(#REF!,)</definedName>
    <definedName name="SheetKraftFormula189" localSheetId="1" hidden="1">_xll.Formula.SK(#REF!,1)</definedName>
    <definedName name="SheetKraftFormula189" hidden="1">_xll.Formula.SK(#REF!,1)</definedName>
    <definedName name="SheetKraftFormula19" localSheetId="1" hidden="1">_xll.Formula.SK(#REF!,)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localSheetId="1" hidden="1">_xll.Formula.SK([40]Hyperlinks!$C$2,1)</definedName>
    <definedName name="SheetKraftFormula193" hidden="1">_xll.Formula.SK(#REF!,1)</definedName>
    <definedName name="SheetKraftFormula194" localSheetId="1" hidden="1">_xll.Formula.SK([40]Hyperlinks!$A$3,1)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localSheetId="1" hidden="1">_xll.Formula.SK(#REF!,)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localSheetId="1" hidden="1">_xll.Formula.SK(#REF!,1)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localSheetId="1" hidden="1">_xll.Formula.SK(#REF!,1)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localSheetId="1" hidden="1">_xll.Formula.SK([40]Hyperlinks!$B$2,1)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localSheetId="1" hidden="1">_xll.Formula.SK(#REF!,1)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localSheetId="1" hidden="1">_xll.Formula.SK(#REF!,1)</definedName>
    <definedName name="SheetKraftFormula68" hidden="1">_xll.Formula.SK(#REF!,1)</definedName>
    <definedName name="SheetKraftFormula69" localSheetId="1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localSheetId="1" hidden="1">_xll.Formula.SK(#REF!,)</definedName>
    <definedName name="SheetKraftFormula70" hidden="1">_xll.Formula.SK(#REF!,)</definedName>
    <definedName name="SheetKraftFormula71" localSheetId="1" hidden="1">_xll.Formula.SK(#REF!,)</definedName>
    <definedName name="SheetKraftFormula71" hidden="1">_xll.Formula.SK(#REF!,)</definedName>
    <definedName name="SheetKraftFormula72" localSheetId="1" hidden="1">_xll.Formula.SK(#REF!,1)</definedName>
    <definedName name="SheetKraftFormula72" hidden="1">_xll.Formula.SK(#REF!,1)</definedName>
    <definedName name="SheetKraftFormula73" localSheetId="1" hidden="1">_xll.Formula.SK(#REF!,1)</definedName>
    <definedName name="SheetKraftFormula73" hidden="1">_xll.Formula.SK(#REF!,1)</definedName>
    <definedName name="SheetKraftFormula74" localSheetId="1" hidden="1">_xll.Formula.SK(#REF!,1)</definedName>
    <definedName name="SheetKraftFormula74" hidden="1">_xll.Formula.SK(#REF!,1)</definedName>
    <definedName name="SheetKraftFormula75" localSheetId="1" hidden="1">_xll.Formula.SK(#REF!,1)</definedName>
    <definedName name="SheetKraftFormula75" hidden="1">_xll.Formula.SK(#REF!,1)</definedName>
    <definedName name="SheetKraftFormula76" localSheetId="1" hidden="1">_xll.Formula.SK(#REF!,1)</definedName>
    <definedName name="SheetKraftFormula76" hidden="1">_xll.Formula.SK(#REF!,1)</definedName>
    <definedName name="SheetKraftFormula77" localSheetId="1" hidden="1">_xll.Formula.SK(#REF!,1)</definedName>
    <definedName name="SheetKraftFormula77" hidden="1">_xll.Formula.SK(#REF!,1)</definedName>
    <definedName name="SheetKraftFormula78" localSheetId="1" hidden="1">_xll.Formula.SK(#REF!,)</definedName>
    <definedName name="SheetKraftFormula78" hidden="1">_xll.Formula.SK(#REF!,)</definedName>
    <definedName name="SheetKraftFormula79" localSheetId="1" hidden="1">_xll.Formula.SK(#REF!,1)</definedName>
    <definedName name="SheetKraftFormula79" hidden="1">_xll.Formula.SK(#REF!,1)</definedName>
    <definedName name="SheetKraftFormula8" hidden="1">_xll.Formula.SK('[17]Security Master'!$V$9,1)</definedName>
    <definedName name="SheetKraftFormula80" localSheetId="1" hidden="1">_xll.Formula.SK(#REF!,1)</definedName>
    <definedName name="SheetKraftFormula80" hidden="1">_xll.Formula.SK(#REF!,1)</definedName>
    <definedName name="SheetKraftFormula81" localSheetId="1" hidden="1">_xll.Formula.SK(#REF!,)</definedName>
    <definedName name="SheetKraftFormula81" hidden="1">_xll.Formula.SK(#REF!,)</definedName>
    <definedName name="SheetKraftFormula82" localSheetId="1" hidden="1">_xll.Formula.SK(#REF!,)</definedName>
    <definedName name="SheetKraftFormula82" hidden="1">_xll.Formula.SK(#REF!,)</definedName>
    <definedName name="SheetKraftFormula83" localSheetId="1" hidden="1">_xll.Formula.SK(#REF!,1)</definedName>
    <definedName name="SheetKraftFormula83" hidden="1">_xll.Formula.SK(#REF!,1)</definedName>
    <definedName name="SheetKraftFormula84" localSheetId="1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2" l="1"/>
  <c r="H11" i="2" s="1"/>
  <c r="H9" i="2"/>
  <c r="H8" i="2"/>
  <c r="A6" i="2"/>
</calcChain>
</file>

<file path=xl/sharedStrings.xml><?xml version="1.0" encoding="utf-8"?>
<sst xmlns="http://schemas.openxmlformats.org/spreadsheetml/2006/main" count="549" uniqueCount="221">
  <si>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</si>
  <si>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</si>
  <si>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</si>
  <si>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</si>
  <si>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</si>
  <si>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</si>
  <si>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</si>
  <si>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</si>
  <si>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</si>
  <si>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</si>
  <si>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</si>
  <si>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</si>
  <si>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</si>
  <si>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</si>
  <si>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</si>
  <si>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</si>
  <si>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</si>
  <si>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</si>
  <si>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</si>
  <si>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</si>
  <si>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</si>
  <si>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</si>
  <si>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</si>
  <si>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</si>
  <si>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</si>
  <si>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</si>
  <si>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</si>
  <si>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</si>
  <si>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</si>
  <si>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INE090A01021</t>
  </si>
  <si>
    <t>ICICI Bank Ltd.</t>
  </si>
  <si>
    <t>Banks</t>
  </si>
  <si>
    <t>INE040A01034</t>
  </si>
  <si>
    <t>HDFC Bank Ltd.£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</si>
  <si>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</si>
  <si>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</si>
  <si>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</si>
  <si>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</si>
  <si>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</si>
  <si>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</si>
  <si>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INE009A01021</t>
  </si>
  <si>
    <t>Infosys Limited</t>
  </si>
  <si>
    <t>INE062A01020</t>
  </si>
  <si>
    <t>State Bank of India</t>
  </si>
  <si>
    <t>INE238A01034</t>
  </si>
  <si>
    <t>Axis Bank Ltd.</t>
  </si>
  <si>
    <t>INE154A01025</t>
  </si>
  <si>
    <t>ITC Ltd.</t>
  </si>
  <si>
    <t>Diversified FMCG</t>
  </si>
  <si>
    <t>INE854D01024</t>
  </si>
  <si>
    <t>United Spirits Limited</t>
  </si>
  <si>
    <t>Beverages</t>
  </si>
  <si>
    <t>INE685A01028</t>
  </si>
  <si>
    <t>Torrent Pharmaceuticals Ltd.</t>
  </si>
  <si>
    <t>INE765G01017</t>
  </si>
  <si>
    <t>ICICI Lombard General Insurance Co</t>
  </si>
  <si>
    <t>Insurance</t>
  </si>
  <si>
    <t>INE585B01010</t>
  </si>
  <si>
    <t>Maruti Suzuki India Limited</t>
  </si>
  <si>
    <t>Automobiles</t>
  </si>
  <si>
    <t>INE540H01012</t>
  </si>
  <si>
    <t>Voltamp Transformers Ltd.</t>
  </si>
  <si>
    <t>Electrical Equipment</t>
  </si>
  <si>
    <t>INE066F01020</t>
  </si>
  <si>
    <t>Hindustan Aeronautics Limited</t>
  </si>
  <si>
    <t>Aerospace &amp; Defense</t>
  </si>
  <si>
    <t>INE386A01015</t>
  </si>
  <si>
    <t>Vesuvius India Ltd.</t>
  </si>
  <si>
    <t>Industrial Products</t>
  </si>
  <si>
    <t>INE688A01022</t>
  </si>
  <si>
    <t>Transport Corporation of India Ltd.</t>
  </si>
  <si>
    <t>Transport Services</t>
  </si>
  <si>
    <t>INE123W01016</t>
  </si>
  <si>
    <t>SBI Life Insurance Company Ltd.</t>
  </si>
  <si>
    <t>INE246F01010</t>
  </si>
  <si>
    <t>Gujarat State Petronet Ltd.</t>
  </si>
  <si>
    <t>Gas</t>
  </si>
  <si>
    <t>INE474Q01031</t>
  </si>
  <si>
    <t>Global Health Limited</t>
  </si>
  <si>
    <t>Healthcare Services</t>
  </si>
  <si>
    <t>INE517F01014</t>
  </si>
  <si>
    <t>Gujarat Pipavav Port Ltd.</t>
  </si>
  <si>
    <t>Transport Infrastructure</t>
  </si>
  <si>
    <t>INE235A01022</t>
  </si>
  <si>
    <t>Finolex Cables Ltd.</t>
  </si>
  <si>
    <t>INE462A01022</t>
  </si>
  <si>
    <t>Bayer Cropscience Ltd</t>
  </si>
  <si>
    <t>Fertilizers &amp; Agrochemicals</t>
  </si>
  <si>
    <t>INE220B01022</t>
  </si>
  <si>
    <t>Kalpataru Projects International Ltd</t>
  </si>
  <si>
    <t>INE079J01017</t>
  </si>
  <si>
    <t>Gateway Distriparks Limited</t>
  </si>
  <si>
    <t>INE094A01015</t>
  </si>
  <si>
    <t>Hindustan Petroleum Corp. Ltd.</t>
  </si>
  <si>
    <t>INE294Z01018</t>
  </si>
  <si>
    <t>The Anup Engineering Limited</t>
  </si>
  <si>
    <t>Industrial Manufacturing</t>
  </si>
  <si>
    <t>INE533A01012</t>
  </si>
  <si>
    <t>Goodyear India Ltd.</t>
  </si>
  <si>
    <t>Auto Components</t>
  </si>
  <si>
    <t>INE752E01010</t>
  </si>
  <si>
    <t>Power Grid Corporation of India Ltd.</t>
  </si>
  <si>
    <t>Power</t>
  </si>
  <si>
    <t>INE225D01027</t>
  </si>
  <si>
    <t>Symphony Ltd.</t>
  </si>
  <si>
    <t>Consumer Durables</t>
  </si>
  <si>
    <t>INE491A01021</t>
  </si>
  <si>
    <t>City Union Bank Ltd.</t>
  </si>
  <si>
    <t>INE058A01010</t>
  </si>
  <si>
    <t>Sanofi India Limited</t>
  </si>
  <si>
    <t>INE119A01028</t>
  </si>
  <si>
    <t>Balrampur Chini Mills Ltd.</t>
  </si>
  <si>
    <t>Agricultural Food &amp; Other Products</t>
  </si>
  <si>
    <t>INE162B01018</t>
  </si>
  <si>
    <t>Lumax Industries Ltd</t>
  </si>
  <si>
    <t>INE334A01023</t>
  </si>
  <si>
    <t>STERLING TOOLS LIMITED</t>
  </si>
  <si>
    <t>INE901L01018</t>
  </si>
  <si>
    <t>Alembic Pharmaceuticals Limited</t>
  </si>
  <si>
    <t>INE891D01026</t>
  </si>
  <si>
    <t>Redington Ltd.</t>
  </si>
  <si>
    <t>Commercial Services &amp; Supplies</t>
  </si>
  <si>
    <t>INE191H01014</t>
  </si>
  <si>
    <t>PVR LIMITED</t>
  </si>
  <si>
    <t>Entertainment</t>
  </si>
  <si>
    <t>INE772T01024</t>
  </si>
  <si>
    <t>Popular Vehicles and Services Limited</t>
  </si>
  <si>
    <t>INE070I01018</t>
  </si>
  <si>
    <t>Insecticides (India) Ltd.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</si>
  <si>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</si>
  <si>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</si>
  <si>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</si>
  <si>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</si>
  <si>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</si>
  <si>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</si>
  <si>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</si>
  <si>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</si>
  <si>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</si>
  <si>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</si>
  <si>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IN0020200096</t>
  </si>
  <si>
    <t>6.19% GOI MAT 160934^</t>
  </si>
  <si>
    <t>IN0020190065</t>
  </si>
  <si>
    <t>7.57% GOI MAT 170633</t>
  </si>
  <si>
    <t>IN0020110055</t>
  </si>
  <si>
    <t>8.97% GOI MAT 051230^</t>
  </si>
  <si>
    <t>IN0020040039</t>
  </si>
  <si>
    <t>7.5% GOI MAT 100834</t>
  </si>
  <si>
    <t>IN0020220029</t>
  </si>
  <si>
    <t>7.54% GOI MAT 230536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</si>
  <si>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</si>
  <si>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</si>
  <si>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</si>
  <si>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</si>
  <si>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</si>
  <si>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</si>
  <si>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</si>
  <si>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</si>
  <si>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</si>
  <si>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</si>
  <si>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</si>
  <si>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</si>
  <si>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</si>
  <si>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</si>
  <si>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</si>
  <si>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</si>
  <si>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</si>
  <si>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</si>
  <si>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</si>
  <si>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</si>
  <si>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</si>
  <si>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</si>
  <si>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</si>
  <si>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</si>
  <si>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</si>
  <si>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</si>
  <si>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</si>
  <si>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</si>
  <si>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</si>
  <si>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</si>
  <si>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</si>
  <si>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</si>
  <si>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</si>
  <si>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</si>
  <si>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</si>
  <si>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</si>
  <si>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</si>
  <si>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</si>
  <si>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</si>
  <si>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</si>
  <si>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</si>
  <si>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March 31, 2024</t>
  </si>
  <si>
    <t>February 29, 2024</t>
  </si>
  <si>
    <t>Growth Option</t>
  </si>
  <si>
    <t>Growth Option -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</si>
  <si>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</si>
  <si>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</si>
  <si>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</si>
  <si>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</si>
  <si>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</si>
  <si>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Rs.(2762.81)Lacs</t>
  </si>
  <si>
    <t>6) Annualised Portfolio YTM : 7.53%</t>
  </si>
  <si>
    <t>7) Macaulay Duration : 2015.49 Days</t>
  </si>
  <si>
    <t>8) Residual Maturity (Average Portfolio Maturity-other than equity investments) : 3279.81 Days</t>
  </si>
  <si>
    <t>9) IDCW stands for Income Distribution cum Capital Withdrawal</t>
  </si>
  <si>
    <t>10) Riskometer based on Scheme Portfolio and Portfolio Benchmark "NIFTY 50 Hybrid Composite Debt 15:85 Index" as on Mar 31, 2024</t>
  </si>
  <si>
    <t>Scheme Riskometer:</t>
  </si>
  <si>
    <t>Benchmark Riskometer:</t>
  </si>
  <si>
    <t>DERIVATIVE DISCLOSURE - HDFC RETIREMENT SAVINNGS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</si>
  <si>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</si>
  <si>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</si>
  <si>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</si>
  <si>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</si>
  <si>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</si>
  <si>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</si>
  <si>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</si>
  <si>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</si>
  <si>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</si>
  <si>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</si>
  <si>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Ltd.25-04-2024</t>
  </si>
  <si>
    <t>Larsen &amp; Toubro Ltd.25-04-2024</t>
  </si>
  <si>
    <t>Tata Consultancy Services Ltd.25-04-2024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</si>
</sst>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4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>
      <alignment horizontal="left"/>
    </xf>
    <xf numFmtId="0" fontId="13" fillId="0" borderId="0" xfId="1" applyFont="1" applyFill="1" applyBorder="1" applyAlignment="1"/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1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165" fontId="17" fillId="0" borderId="1" xfId="2" applyFont="1" applyFill="1" applyBorder="1" applyAlignment="1">
      <alignment horizontal="right" vertical="top"/>
    </xf>
    <xf numFmtId="165" fontId="13" fillId="0" borderId="1" xfId="2" applyFont="1" applyFill="1" applyBorder="1" applyAlignment="1"/>
    <xf numFmtId="15" fontId="13" fillId="0" borderId="0" xfId="2" quotePrefix="1" applyNumberFormat="1" applyFont="1" applyFill="1" applyBorder="1" applyAlignment="1"/>
    <xf numFmtId="165" fontId="13" fillId="0" borderId="0" xfId="1" applyNumberFormat="1" applyFont="1" applyFill="1" applyBorder="1" applyAlignment="1"/>
    <xf numFmtId="0" fontId="14" fillId="0" borderId="0" xfId="1" applyFont="1" applyFill="1" applyBorder="1" applyAlignment="1">
      <alignment horizontal="left"/>
    </xf>
    <xf numFmtId="43" fontId="13" fillId="0" borderId="0" xfId="1" applyNumberFormat="1" applyFont="1" applyFill="1" applyBorder="1" applyAlignment="1"/>
  </cellXfs>
  <cellStyles count="4">
    <cellStyle name="Comma 2" xfId="2" xr:uid="{3A0404EB-86C9-4A5E-8EFA-9D2F73381C43}"/>
    <cellStyle name="Comma 2 3" xfId="3" xr:uid="{6A77B6B4-EA72-4F35-B375-EA2532F3E09A}"/>
    <cellStyle name="Normal" xfId="0" builtinId="0"/>
    <cellStyle name="Normal 2" xfId="1" xr:uid="{C90FD1F4-69E6-459B-9BC1-29A1EE0E06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775196-BD9D-4892-99E2-134C2C49B1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50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003859E-4F73-4166-AD73-F9DA64234D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987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March%202024/Monthly%2031%20March%202024/Portfolio's/Equity%20Monthly%20Portfolios%20for%20March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IG"/>
      <sheetName val="HDFCSO"/>
      <sheetName val="HIFSTP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BNKPSU"/>
      <sheetName val="DerivativeHDFCCORPDO"/>
      <sheetName val="DerivativeHDFCHI"/>
      <sheetName val="DerivativeHDFCIG"/>
      <sheetName val="DerivativeHDFCLT"/>
      <sheetName val="DerivativeHDFCMO"/>
      <sheetName val="DerivativeHDFCSO"/>
      <sheetName val="DerivativeHDFCUSTF"/>
      <sheetName val="DerivativeHDFLS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yperlinks"/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6">
          <cell r="A6" t="str">
            <v>A.  Hedging Positions through Futures as on  March 31, 2024</v>
          </cell>
        </row>
      </sheetData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DBE78-432A-4454-8536-754D75EBD5E7}">
  <sheetPr codeName="Sheet28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6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21500</v>
      </c>
      <c r="G9" s="15">
        <v>1323.95</v>
      </c>
      <c r="H9" s="15">
        <v>8.48</v>
      </c>
      <c r="I9" s="16" t="s">
        <v>20</v>
      </c>
      <c r="J9" s="16" t="s">
        <v>20</v>
      </c>
      <c r="K9" s="17">
        <v>7.94</v>
      </c>
      <c r="L9" s="18">
        <v>0.59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32977</v>
      </c>
      <c r="G10" s="15">
        <v>1278.29</v>
      </c>
      <c r="H10" s="15">
        <v>8.18</v>
      </c>
      <c r="I10" s="16" t="s">
        <v>20</v>
      </c>
      <c r="J10" s="16" t="s">
        <v>20</v>
      </c>
      <c r="K10" s="17">
        <v>7.7</v>
      </c>
      <c r="L10" s="18">
        <v>0.54</v>
      </c>
    </row>
    <row r="11" spans="1:12" x14ac:dyDescent="0.2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11900</v>
      </c>
      <c r="G11" s="15">
        <v>447.9</v>
      </c>
      <c r="H11" s="15">
        <v>2.87</v>
      </c>
      <c r="I11" s="16" t="s">
        <v>20</v>
      </c>
      <c r="J11" s="16" t="s">
        <v>20</v>
      </c>
      <c r="K11" s="17">
        <v>2.04</v>
      </c>
      <c r="L11" s="18">
        <v>0.84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30000</v>
      </c>
      <c r="G12" s="15">
        <v>327.99</v>
      </c>
      <c r="H12" s="15">
        <v>2.1</v>
      </c>
      <c r="I12" s="16" t="s">
        <v>20</v>
      </c>
      <c r="J12" s="16" t="s">
        <v>20</v>
      </c>
      <c r="K12" s="17">
        <v>0</v>
      </c>
      <c r="L12" s="18">
        <v>2.1</v>
      </c>
    </row>
    <row r="13" spans="1:12" x14ac:dyDescent="0.2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21900</v>
      </c>
      <c r="G13" s="15">
        <v>317.08999999999997</v>
      </c>
      <c r="H13" s="15">
        <v>2.0299999999999998</v>
      </c>
      <c r="I13" s="16" t="s">
        <v>20</v>
      </c>
      <c r="J13" s="16" t="s">
        <v>20</v>
      </c>
      <c r="K13" s="17">
        <v>0</v>
      </c>
      <c r="L13" s="18">
        <v>2.0299999999999998</v>
      </c>
    </row>
    <row r="14" spans="1:12" x14ac:dyDescent="0.2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36</v>
      </c>
      <c r="F14" s="14">
        <v>15000</v>
      </c>
      <c r="G14" s="15">
        <v>184.29</v>
      </c>
      <c r="H14" s="15">
        <v>1.18</v>
      </c>
      <c r="I14" s="16" t="s">
        <v>20</v>
      </c>
      <c r="J14" s="16" t="s">
        <v>20</v>
      </c>
      <c r="K14" s="17">
        <v>0</v>
      </c>
      <c r="L14" s="18">
        <v>1.18</v>
      </c>
    </row>
    <row r="15" spans="1:12" x14ac:dyDescent="0.25">
      <c r="A15" s="12" t="s">
        <v>20</v>
      </c>
      <c r="B15" s="13" t="s">
        <v>37</v>
      </c>
      <c r="C15" s="13" t="s">
        <v>20</v>
      </c>
      <c r="D15" s="13" t="s">
        <v>38</v>
      </c>
      <c r="E15" s="13" t="s">
        <v>39</v>
      </c>
      <c r="F15" s="14">
        <v>6000</v>
      </c>
      <c r="G15" s="15">
        <v>178.3</v>
      </c>
      <c r="H15" s="15">
        <v>1.1399999999999999</v>
      </c>
      <c r="I15" s="16" t="s">
        <v>20</v>
      </c>
      <c r="J15" s="16" t="s">
        <v>20</v>
      </c>
      <c r="K15" s="17">
        <v>0</v>
      </c>
      <c r="L15" s="18">
        <v>1.1399999999999999</v>
      </c>
    </row>
    <row r="16" spans="1:12" x14ac:dyDescent="0.25">
      <c r="A16" s="12" t="s">
        <v>20</v>
      </c>
      <c r="B16" s="13" t="s">
        <v>40</v>
      </c>
      <c r="C16" s="13" t="s">
        <v>20</v>
      </c>
      <c r="D16" s="13" t="s">
        <v>41</v>
      </c>
      <c r="E16" s="13" t="s">
        <v>25</v>
      </c>
      <c r="F16" s="14">
        <v>10000</v>
      </c>
      <c r="G16" s="15">
        <v>149.81</v>
      </c>
      <c r="H16" s="15">
        <v>0.96</v>
      </c>
      <c r="I16" s="16" t="s">
        <v>20</v>
      </c>
      <c r="J16" s="16" t="s">
        <v>20</v>
      </c>
      <c r="K16" s="17">
        <v>0</v>
      </c>
      <c r="L16" s="18">
        <v>0.96</v>
      </c>
    </row>
    <row r="17" spans="1:12" x14ac:dyDescent="0.25">
      <c r="A17" s="12" t="s">
        <v>20</v>
      </c>
      <c r="B17" s="13" t="s">
        <v>42</v>
      </c>
      <c r="C17" s="13" t="s">
        <v>20</v>
      </c>
      <c r="D17" s="13" t="s">
        <v>43</v>
      </c>
      <c r="E17" s="13" t="s">
        <v>31</v>
      </c>
      <c r="F17" s="14">
        <v>19500</v>
      </c>
      <c r="G17" s="15">
        <v>146.71</v>
      </c>
      <c r="H17" s="15">
        <v>0.94</v>
      </c>
      <c r="I17" s="16" t="s">
        <v>20</v>
      </c>
      <c r="J17" s="16" t="s">
        <v>20</v>
      </c>
      <c r="K17" s="17">
        <v>0</v>
      </c>
      <c r="L17" s="18">
        <v>0.94</v>
      </c>
    </row>
    <row r="18" spans="1:12" x14ac:dyDescent="0.25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31</v>
      </c>
      <c r="F18" s="14">
        <v>13000</v>
      </c>
      <c r="G18" s="15">
        <v>136.13999999999999</v>
      </c>
      <c r="H18" s="15">
        <v>0.87</v>
      </c>
      <c r="I18" s="16" t="s">
        <v>20</v>
      </c>
      <c r="J18" s="16" t="s">
        <v>20</v>
      </c>
      <c r="K18" s="17">
        <v>0</v>
      </c>
      <c r="L18" s="18">
        <v>0.87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30000</v>
      </c>
      <c r="G19" s="15">
        <v>128.51</v>
      </c>
      <c r="H19" s="15">
        <v>0.82</v>
      </c>
      <c r="I19" s="16" t="s">
        <v>20</v>
      </c>
      <c r="J19" s="16" t="s">
        <v>20</v>
      </c>
      <c r="K19" s="17">
        <v>0</v>
      </c>
      <c r="L19" s="18">
        <v>0.82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9500</v>
      </c>
      <c r="G20" s="15">
        <v>107.75</v>
      </c>
      <c r="H20" s="15">
        <v>0.69</v>
      </c>
      <c r="I20" s="16" t="s">
        <v>20</v>
      </c>
      <c r="J20" s="16" t="s">
        <v>20</v>
      </c>
      <c r="K20" s="17">
        <v>0</v>
      </c>
      <c r="L20" s="18">
        <v>0.69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22</v>
      </c>
      <c r="F21" s="14">
        <v>4000</v>
      </c>
      <c r="G21" s="15">
        <v>104.02</v>
      </c>
      <c r="H21" s="15">
        <v>0.67</v>
      </c>
      <c r="I21" s="16" t="s">
        <v>20</v>
      </c>
      <c r="J21" s="16" t="s">
        <v>20</v>
      </c>
      <c r="K21" s="17">
        <v>0</v>
      </c>
      <c r="L21" s="18">
        <v>0.67</v>
      </c>
    </row>
    <row r="22" spans="1:12" x14ac:dyDescent="0.25">
      <c r="A22" s="12" t="s">
        <v>20</v>
      </c>
      <c r="B22" s="13" t="s">
        <v>54</v>
      </c>
      <c r="C22" s="13" t="s">
        <v>20</v>
      </c>
      <c r="D22" s="13" t="s">
        <v>55</v>
      </c>
      <c r="E22" s="13" t="s">
        <v>56</v>
      </c>
      <c r="F22" s="14">
        <v>6000</v>
      </c>
      <c r="G22" s="15">
        <v>101.07</v>
      </c>
      <c r="H22" s="15">
        <v>0.65</v>
      </c>
      <c r="I22" s="16" t="s">
        <v>20</v>
      </c>
      <c r="J22" s="16" t="s">
        <v>20</v>
      </c>
      <c r="K22" s="17">
        <v>0</v>
      </c>
      <c r="L22" s="18">
        <v>0.65</v>
      </c>
    </row>
    <row r="23" spans="1:12" x14ac:dyDescent="0.25">
      <c r="A23" s="12" t="s">
        <v>20</v>
      </c>
      <c r="B23" s="13" t="s">
        <v>57</v>
      </c>
      <c r="C23" s="13" t="s">
        <v>20</v>
      </c>
      <c r="D23" s="13" t="s">
        <v>58</v>
      </c>
      <c r="E23" s="13" t="s">
        <v>59</v>
      </c>
      <c r="F23" s="14">
        <v>800</v>
      </c>
      <c r="G23" s="15">
        <v>100.8</v>
      </c>
      <c r="H23" s="15">
        <v>0.65</v>
      </c>
      <c r="I23" s="16" t="s">
        <v>20</v>
      </c>
      <c r="J23" s="16" t="s">
        <v>20</v>
      </c>
      <c r="K23" s="17">
        <v>0</v>
      </c>
      <c r="L23" s="18">
        <v>0.65</v>
      </c>
    </row>
    <row r="24" spans="1:12" x14ac:dyDescent="0.25">
      <c r="A24" s="12" t="s">
        <v>20</v>
      </c>
      <c r="B24" s="13" t="s">
        <v>60</v>
      </c>
      <c r="C24" s="13" t="s">
        <v>20</v>
      </c>
      <c r="D24" s="13" t="s">
        <v>61</v>
      </c>
      <c r="E24" s="13" t="s">
        <v>62</v>
      </c>
      <c r="F24" s="14">
        <v>1000</v>
      </c>
      <c r="G24" s="15">
        <v>96.71</v>
      </c>
      <c r="H24" s="15">
        <v>0.62</v>
      </c>
      <c r="I24" s="16" t="s">
        <v>20</v>
      </c>
      <c r="J24" s="16" t="s">
        <v>20</v>
      </c>
      <c r="K24" s="17">
        <v>0</v>
      </c>
      <c r="L24" s="18">
        <v>0.62</v>
      </c>
    </row>
    <row r="25" spans="1:12" x14ac:dyDescent="0.25">
      <c r="A25" s="12" t="s">
        <v>20</v>
      </c>
      <c r="B25" s="13" t="s">
        <v>63</v>
      </c>
      <c r="C25" s="13" t="s">
        <v>20</v>
      </c>
      <c r="D25" s="13" t="s">
        <v>64</v>
      </c>
      <c r="E25" s="13" t="s">
        <v>65</v>
      </c>
      <c r="F25" s="14">
        <v>2500</v>
      </c>
      <c r="G25" s="15">
        <v>83.18</v>
      </c>
      <c r="H25" s="15">
        <v>0.53</v>
      </c>
      <c r="I25" s="16" t="s">
        <v>20</v>
      </c>
      <c r="J25" s="16" t="s">
        <v>20</v>
      </c>
      <c r="K25" s="17">
        <v>0</v>
      </c>
      <c r="L25" s="18">
        <v>0.53</v>
      </c>
    </row>
    <row r="26" spans="1:12" x14ac:dyDescent="0.2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2500</v>
      </c>
      <c r="G26" s="15">
        <v>82.92</v>
      </c>
      <c r="H26" s="15">
        <v>0.53</v>
      </c>
      <c r="I26" s="16" t="s">
        <v>20</v>
      </c>
      <c r="J26" s="16" t="s">
        <v>20</v>
      </c>
      <c r="K26" s="17">
        <v>0</v>
      </c>
      <c r="L26" s="18">
        <v>0.53</v>
      </c>
    </row>
    <row r="27" spans="1:12" x14ac:dyDescent="0.2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10000</v>
      </c>
      <c r="G27" s="15">
        <v>81.16</v>
      </c>
      <c r="H27" s="15">
        <v>0.52</v>
      </c>
      <c r="I27" s="16" t="s">
        <v>20</v>
      </c>
      <c r="J27" s="16" t="s">
        <v>20</v>
      </c>
      <c r="K27" s="17">
        <v>0</v>
      </c>
      <c r="L27" s="18">
        <v>0.52</v>
      </c>
    </row>
    <row r="28" spans="1:12" x14ac:dyDescent="0.2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56</v>
      </c>
      <c r="F28" s="14">
        <v>5000</v>
      </c>
      <c r="G28" s="15">
        <v>75.010000000000005</v>
      </c>
      <c r="H28" s="15">
        <v>0.48</v>
      </c>
      <c r="I28" s="16" t="s">
        <v>20</v>
      </c>
      <c r="J28" s="16" t="s">
        <v>20</v>
      </c>
      <c r="K28" s="17">
        <v>0</v>
      </c>
      <c r="L28" s="18">
        <v>0.48</v>
      </c>
    </row>
    <row r="29" spans="1:12" x14ac:dyDescent="0.25">
      <c r="A29" s="12" t="s">
        <v>20</v>
      </c>
      <c r="B29" s="13" t="s">
        <v>74</v>
      </c>
      <c r="C29" s="13" t="s">
        <v>20</v>
      </c>
      <c r="D29" s="13" t="s">
        <v>75</v>
      </c>
      <c r="E29" s="13" t="s">
        <v>76</v>
      </c>
      <c r="F29" s="14">
        <v>20000</v>
      </c>
      <c r="G29" s="15">
        <v>71.3</v>
      </c>
      <c r="H29" s="15">
        <v>0.46</v>
      </c>
      <c r="I29" s="16" t="s">
        <v>20</v>
      </c>
      <c r="J29" s="16" t="s">
        <v>20</v>
      </c>
      <c r="K29" s="17">
        <v>0</v>
      </c>
      <c r="L29" s="18">
        <v>0.46</v>
      </c>
    </row>
    <row r="30" spans="1:12" x14ac:dyDescent="0.25">
      <c r="A30" s="12" t="s">
        <v>20</v>
      </c>
      <c r="B30" s="13" t="s">
        <v>77</v>
      </c>
      <c r="C30" s="13" t="s">
        <v>20</v>
      </c>
      <c r="D30" s="13" t="s">
        <v>78</v>
      </c>
      <c r="E30" s="13" t="s">
        <v>79</v>
      </c>
      <c r="F30" s="14">
        <v>5000</v>
      </c>
      <c r="G30" s="15">
        <v>66.06</v>
      </c>
      <c r="H30" s="15">
        <v>0.42</v>
      </c>
      <c r="I30" s="16" t="s">
        <v>20</v>
      </c>
      <c r="J30" s="16" t="s">
        <v>20</v>
      </c>
      <c r="K30" s="17">
        <v>0</v>
      </c>
      <c r="L30" s="18">
        <v>0.42</v>
      </c>
    </row>
    <row r="31" spans="1:12" x14ac:dyDescent="0.25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82</v>
      </c>
      <c r="F31" s="14">
        <v>30000</v>
      </c>
      <c r="G31" s="15">
        <v>63.77</v>
      </c>
      <c r="H31" s="15">
        <v>0.41</v>
      </c>
      <c r="I31" s="16" t="s">
        <v>20</v>
      </c>
      <c r="J31" s="16" t="s">
        <v>20</v>
      </c>
      <c r="K31" s="17">
        <v>0</v>
      </c>
      <c r="L31" s="18">
        <v>0.41</v>
      </c>
    </row>
    <row r="32" spans="1:12" x14ac:dyDescent="0.25">
      <c r="A32" s="12" t="s">
        <v>20</v>
      </c>
      <c r="B32" s="13" t="s">
        <v>83</v>
      </c>
      <c r="C32" s="13" t="s">
        <v>20</v>
      </c>
      <c r="D32" s="13" t="s">
        <v>84</v>
      </c>
      <c r="E32" s="13" t="s">
        <v>68</v>
      </c>
      <c r="F32" s="14">
        <v>6000</v>
      </c>
      <c r="G32" s="15">
        <v>60.06</v>
      </c>
      <c r="H32" s="15">
        <v>0.38</v>
      </c>
      <c r="I32" s="16" t="s">
        <v>20</v>
      </c>
      <c r="J32" s="16" t="s">
        <v>20</v>
      </c>
      <c r="K32" s="17">
        <v>0</v>
      </c>
      <c r="L32" s="18">
        <v>0.38</v>
      </c>
    </row>
    <row r="33" spans="1:12" x14ac:dyDescent="0.25">
      <c r="A33" s="12" t="s">
        <v>20</v>
      </c>
      <c r="B33" s="13" t="s">
        <v>85</v>
      </c>
      <c r="C33" s="13" t="s">
        <v>20</v>
      </c>
      <c r="D33" s="13" t="s">
        <v>86</v>
      </c>
      <c r="E33" s="13" t="s">
        <v>87</v>
      </c>
      <c r="F33" s="14">
        <v>1100</v>
      </c>
      <c r="G33" s="15">
        <v>57.8</v>
      </c>
      <c r="H33" s="15">
        <v>0.37</v>
      </c>
      <c r="I33" s="16" t="s">
        <v>20</v>
      </c>
      <c r="J33" s="16" t="s">
        <v>20</v>
      </c>
      <c r="K33" s="17">
        <v>0</v>
      </c>
      <c r="L33" s="18">
        <v>0.37</v>
      </c>
    </row>
    <row r="34" spans="1:12" x14ac:dyDescent="0.25">
      <c r="A34" s="12" t="s">
        <v>20</v>
      </c>
      <c r="B34" s="13" t="s">
        <v>88</v>
      </c>
      <c r="C34" s="13" t="s">
        <v>20</v>
      </c>
      <c r="D34" s="13" t="s">
        <v>89</v>
      </c>
      <c r="E34" s="13" t="s">
        <v>28</v>
      </c>
      <c r="F34" s="14">
        <v>5015</v>
      </c>
      <c r="G34" s="15">
        <v>53.65</v>
      </c>
      <c r="H34" s="15">
        <v>0.34</v>
      </c>
      <c r="I34" s="16" t="s">
        <v>20</v>
      </c>
      <c r="J34" s="16" t="s">
        <v>20</v>
      </c>
      <c r="K34" s="17">
        <v>0</v>
      </c>
      <c r="L34" s="18">
        <v>0.34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71</v>
      </c>
      <c r="F35" s="14">
        <v>50000</v>
      </c>
      <c r="G35" s="15">
        <v>50.13</v>
      </c>
      <c r="H35" s="15">
        <v>0.32</v>
      </c>
      <c r="I35" s="16" t="s">
        <v>20</v>
      </c>
      <c r="J35" s="16" t="s">
        <v>20</v>
      </c>
      <c r="K35" s="17">
        <v>0</v>
      </c>
      <c r="L35" s="18">
        <v>0.32</v>
      </c>
    </row>
    <row r="36" spans="1:12" x14ac:dyDescent="0.25">
      <c r="A36" s="12" t="s">
        <v>20</v>
      </c>
      <c r="B36" s="13" t="s">
        <v>92</v>
      </c>
      <c r="C36" s="13" t="s">
        <v>20</v>
      </c>
      <c r="D36" s="13" t="s">
        <v>93</v>
      </c>
      <c r="E36" s="13" t="s">
        <v>39</v>
      </c>
      <c r="F36" s="14">
        <v>10000</v>
      </c>
      <c r="G36" s="15">
        <v>47.57</v>
      </c>
      <c r="H36" s="15">
        <v>0.3</v>
      </c>
      <c r="I36" s="16" t="s">
        <v>20</v>
      </c>
      <c r="J36" s="16" t="s">
        <v>20</v>
      </c>
      <c r="K36" s="17">
        <v>0</v>
      </c>
      <c r="L36" s="18">
        <v>0.3</v>
      </c>
    </row>
    <row r="37" spans="1:12" x14ac:dyDescent="0.25">
      <c r="A37" s="12" t="s">
        <v>20</v>
      </c>
      <c r="B37" s="13" t="s">
        <v>94</v>
      </c>
      <c r="C37" s="13" t="s">
        <v>20</v>
      </c>
      <c r="D37" s="13" t="s">
        <v>95</v>
      </c>
      <c r="E37" s="13" t="s">
        <v>96</v>
      </c>
      <c r="F37" s="14">
        <v>1500</v>
      </c>
      <c r="G37" s="15">
        <v>47.38</v>
      </c>
      <c r="H37" s="15">
        <v>0.3</v>
      </c>
      <c r="I37" s="16" t="s">
        <v>20</v>
      </c>
      <c r="J37" s="16" t="s">
        <v>20</v>
      </c>
      <c r="K37" s="17">
        <v>0</v>
      </c>
      <c r="L37" s="18">
        <v>0.3</v>
      </c>
    </row>
    <row r="38" spans="1:12" x14ac:dyDescent="0.25">
      <c r="A38" s="12" t="s">
        <v>20</v>
      </c>
      <c r="B38" s="13" t="s">
        <v>97</v>
      </c>
      <c r="C38" s="13" t="s">
        <v>20</v>
      </c>
      <c r="D38" s="13" t="s">
        <v>98</v>
      </c>
      <c r="E38" s="13" t="s">
        <v>99</v>
      </c>
      <c r="F38" s="14">
        <v>4000</v>
      </c>
      <c r="G38" s="15">
        <v>44.08</v>
      </c>
      <c r="H38" s="15">
        <v>0.28000000000000003</v>
      </c>
      <c r="I38" s="16" t="s">
        <v>20</v>
      </c>
      <c r="J38" s="16" t="s">
        <v>20</v>
      </c>
      <c r="K38" s="17">
        <v>0</v>
      </c>
      <c r="L38" s="18">
        <v>0.28000000000000003</v>
      </c>
    </row>
    <row r="39" spans="1:12" x14ac:dyDescent="0.25">
      <c r="A39" s="12" t="s">
        <v>20</v>
      </c>
      <c r="B39" s="13" t="s">
        <v>100</v>
      </c>
      <c r="C39" s="13" t="s">
        <v>20</v>
      </c>
      <c r="D39" s="13" t="s">
        <v>101</v>
      </c>
      <c r="E39" s="13" t="s">
        <v>102</v>
      </c>
      <c r="F39" s="14">
        <v>16000</v>
      </c>
      <c r="G39" s="15">
        <v>44.3</v>
      </c>
      <c r="H39" s="15">
        <v>0.28000000000000003</v>
      </c>
      <c r="I39" s="16" t="s">
        <v>20</v>
      </c>
      <c r="J39" s="16" t="s">
        <v>20</v>
      </c>
      <c r="K39" s="17">
        <v>0</v>
      </c>
      <c r="L39" s="18">
        <v>0.28000000000000003</v>
      </c>
    </row>
    <row r="40" spans="1:12" x14ac:dyDescent="0.25">
      <c r="A40" s="12" t="s">
        <v>20</v>
      </c>
      <c r="B40" s="13" t="s">
        <v>103</v>
      </c>
      <c r="C40" s="13" t="s">
        <v>20</v>
      </c>
      <c r="D40" s="13" t="s">
        <v>104</v>
      </c>
      <c r="E40" s="13" t="s">
        <v>105</v>
      </c>
      <c r="F40" s="14">
        <v>4938</v>
      </c>
      <c r="G40" s="15">
        <v>41.85</v>
      </c>
      <c r="H40" s="15">
        <v>0.27</v>
      </c>
      <c r="I40" s="16" t="s">
        <v>20</v>
      </c>
      <c r="J40" s="16" t="s">
        <v>20</v>
      </c>
      <c r="K40" s="17">
        <v>0</v>
      </c>
      <c r="L40" s="18">
        <v>0.27</v>
      </c>
    </row>
    <row r="41" spans="1:12" x14ac:dyDescent="0.25">
      <c r="A41" s="12" t="s">
        <v>20</v>
      </c>
      <c r="B41" s="13" t="s">
        <v>106</v>
      </c>
      <c r="C41" s="13" t="s">
        <v>20</v>
      </c>
      <c r="D41" s="13" t="s">
        <v>107</v>
      </c>
      <c r="E41" s="13" t="s">
        <v>31</v>
      </c>
      <c r="F41" s="14">
        <v>30000</v>
      </c>
      <c r="G41" s="15">
        <v>40.549999999999997</v>
      </c>
      <c r="H41" s="15">
        <v>0.26</v>
      </c>
      <c r="I41" s="16" t="s">
        <v>20</v>
      </c>
      <c r="J41" s="16" t="s">
        <v>20</v>
      </c>
      <c r="K41" s="17">
        <v>0</v>
      </c>
      <c r="L41" s="18">
        <v>0.26</v>
      </c>
    </row>
    <row r="42" spans="1:12" x14ac:dyDescent="0.25">
      <c r="A42" s="12" t="s">
        <v>20</v>
      </c>
      <c r="B42" s="13" t="s">
        <v>108</v>
      </c>
      <c r="C42" s="13" t="s">
        <v>20</v>
      </c>
      <c r="D42" s="13" t="s">
        <v>109</v>
      </c>
      <c r="E42" s="13" t="s">
        <v>22</v>
      </c>
      <c r="F42" s="14">
        <v>492</v>
      </c>
      <c r="G42" s="15">
        <v>39.92</v>
      </c>
      <c r="H42" s="15">
        <v>0.26</v>
      </c>
      <c r="I42" s="16" t="s">
        <v>20</v>
      </c>
      <c r="J42" s="16" t="s">
        <v>20</v>
      </c>
      <c r="K42" s="17">
        <v>0</v>
      </c>
      <c r="L42" s="18">
        <v>0.26</v>
      </c>
    </row>
    <row r="43" spans="1:12" x14ac:dyDescent="0.25">
      <c r="A43" s="12" t="s">
        <v>20</v>
      </c>
      <c r="B43" s="13" t="s">
        <v>110</v>
      </c>
      <c r="C43" s="13" t="s">
        <v>20</v>
      </c>
      <c r="D43" s="13" t="s">
        <v>111</v>
      </c>
      <c r="E43" s="13" t="s">
        <v>112</v>
      </c>
      <c r="F43" s="14">
        <v>10000</v>
      </c>
      <c r="G43" s="15">
        <v>36.200000000000003</v>
      </c>
      <c r="H43" s="15">
        <v>0.23</v>
      </c>
      <c r="I43" s="16" t="s">
        <v>20</v>
      </c>
      <c r="J43" s="16" t="s">
        <v>20</v>
      </c>
      <c r="K43" s="17">
        <v>0</v>
      </c>
      <c r="L43" s="18">
        <v>0.23</v>
      </c>
    </row>
    <row r="44" spans="1:12" x14ac:dyDescent="0.25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99</v>
      </c>
      <c r="F44" s="14">
        <v>1500</v>
      </c>
      <c r="G44" s="15">
        <v>36.18</v>
      </c>
      <c r="H44" s="15">
        <v>0.23</v>
      </c>
      <c r="I44" s="16" t="s">
        <v>20</v>
      </c>
      <c r="J44" s="16" t="s">
        <v>20</v>
      </c>
      <c r="K44" s="17">
        <v>0</v>
      </c>
      <c r="L44" s="18">
        <v>0.23</v>
      </c>
    </row>
    <row r="45" spans="1:12" x14ac:dyDescent="0.2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99</v>
      </c>
      <c r="F45" s="14">
        <v>10000</v>
      </c>
      <c r="G45" s="15">
        <v>30.66</v>
      </c>
      <c r="H45" s="15">
        <v>0.2</v>
      </c>
      <c r="I45" s="16" t="s">
        <v>20</v>
      </c>
      <c r="J45" s="16" t="s">
        <v>20</v>
      </c>
      <c r="K45" s="17">
        <v>0</v>
      </c>
      <c r="L45" s="18">
        <v>0.2</v>
      </c>
    </row>
    <row r="46" spans="1:12" x14ac:dyDescent="0.2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22</v>
      </c>
      <c r="F46" s="14">
        <v>3000</v>
      </c>
      <c r="G46" s="15">
        <v>29.54</v>
      </c>
      <c r="H46" s="15">
        <v>0.19</v>
      </c>
      <c r="I46" s="16" t="s">
        <v>20</v>
      </c>
      <c r="J46" s="16" t="s">
        <v>20</v>
      </c>
      <c r="K46" s="17">
        <v>0</v>
      </c>
      <c r="L46" s="18">
        <v>0.19</v>
      </c>
    </row>
    <row r="47" spans="1:12" x14ac:dyDescent="0.25">
      <c r="A47" s="12" t="s">
        <v>20</v>
      </c>
      <c r="B47" s="13" t="s">
        <v>119</v>
      </c>
      <c r="C47" s="13" t="s">
        <v>20</v>
      </c>
      <c r="D47" s="13" t="s">
        <v>120</v>
      </c>
      <c r="E47" s="13" t="s">
        <v>121</v>
      </c>
      <c r="F47" s="14">
        <v>14000</v>
      </c>
      <c r="G47" s="15">
        <v>29.18</v>
      </c>
      <c r="H47" s="15">
        <v>0.19</v>
      </c>
      <c r="I47" s="16" t="s">
        <v>20</v>
      </c>
      <c r="J47" s="16" t="s">
        <v>20</v>
      </c>
      <c r="K47" s="17">
        <v>0</v>
      </c>
      <c r="L47" s="18">
        <v>0.19</v>
      </c>
    </row>
    <row r="48" spans="1:12" x14ac:dyDescent="0.25">
      <c r="A48" s="12" t="s">
        <v>20</v>
      </c>
      <c r="B48" s="13" t="s">
        <v>122</v>
      </c>
      <c r="C48" s="13" t="s">
        <v>20</v>
      </c>
      <c r="D48" s="13" t="s">
        <v>123</v>
      </c>
      <c r="E48" s="13" t="s">
        <v>124</v>
      </c>
      <c r="F48" s="14">
        <v>2000</v>
      </c>
      <c r="G48" s="15">
        <v>26.53</v>
      </c>
      <c r="H48" s="15">
        <v>0.17</v>
      </c>
      <c r="I48" s="16" t="s">
        <v>20</v>
      </c>
      <c r="J48" s="16" t="s">
        <v>20</v>
      </c>
      <c r="K48" s="17">
        <v>0</v>
      </c>
      <c r="L48" s="18">
        <v>0.17</v>
      </c>
    </row>
    <row r="49" spans="1:12" x14ac:dyDescent="0.25">
      <c r="A49" s="12" t="s">
        <v>20</v>
      </c>
      <c r="B49" s="13" t="s">
        <v>125</v>
      </c>
      <c r="C49" s="13" t="s">
        <v>20</v>
      </c>
      <c r="D49" s="13" t="s">
        <v>126</v>
      </c>
      <c r="E49" s="13" t="s">
        <v>59</v>
      </c>
      <c r="F49" s="14">
        <v>10050</v>
      </c>
      <c r="G49" s="15">
        <v>25.07</v>
      </c>
      <c r="H49" s="15">
        <v>0.16</v>
      </c>
      <c r="I49" s="16" t="s">
        <v>20</v>
      </c>
      <c r="J49" s="16" t="s">
        <v>20</v>
      </c>
      <c r="K49" s="17">
        <v>0</v>
      </c>
      <c r="L49" s="18">
        <v>0.16</v>
      </c>
    </row>
    <row r="50" spans="1:12" x14ac:dyDescent="0.25">
      <c r="A50" s="12" t="s">
        <v>20</v>
      </c>
      <c r="B50" s="13" t="s">
        <v>127</v>
      </c>
      <c r="C50" s="13" t="s">
        <v>20</v>
      </c>
      <c r="D50" s="13" t="s">
        <v>128</v>
      </c>
      <c r="E50" s="13" t="s">
        <v>87</v>
      </c>
      <c r="F50" s="14">
        <v>4200</v>
      </c>
      <c r="G50" s="15">
        <v>20.420000000000002</v>
      </c>
      <c r="H50" s="15">
        <v>0.13</v>
      </c>
      <c r="I50" s="16" t="s">
        <v>20</v>
      </c>
      <c r="J50" s="16" t="s">
        <v>20</v>
      </c>
      <c r="K50" s="17">
        <v>0</v>
      </c>
      <c r="L50" s="18">
        <v>0.13</v>
      </c>
    </row>
    <row r="51" spans="1:12" x14ac:dyDescent="0.2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2600</v>
      </c>
      <c r="G51" s="15">
        <v>17.100000000000001</v>
      </c>
      <c r="H51" s="15">
        <v>0.11</v>
      </c>
      <c r="I51" s="16" t="s">
        <v>20</v>
      </c>
      <c r="J51" s="16" t="s">
        <v>20</v>
      </c>
      <c r="K51" s="17">
        <v>0</v>
      </c>
      <c r="L51" s="18">
        <v>0.11</v>
      </c>
    </row>
    <row r="52" spans="1:12" x14ac:dyDescent="0.25">
      <c r="A52" s="19"/>
      <c r="B52" s="11" t="s">
        <v>132</v>
      </c>
      <c r="C52" s="19"/>
      <c r="D52" s="19"/>
      <c r="E52" s="19"/>
      <c r="F52" s="19"/>
      <c r="G52" s="20">
        <v>6430.9000000000042</v>
      </c>
      <c r="H52" s="20">
        <v>41.17</v>
      </c>
      <c r="I52" s="19"/>
      <c r="J52" s="19"/>
      <c r="K52" s="19"/>
      <c r="L52" s="19"/>
    </row>
    <row r="53" spans="1:12" x14ac:dyDescent="0.25">
      <c r="A53" s="10"/>
      <c r="B53" s="11" t="s">
        <v>133</v>
      </c>
      <c r="C53" s="10"/>
      <c r="D53" s="10"/>
      <c r="E53" s="10"/>
      <c r="F53" s="10"/>
      <c r="G53" s="21">
        <v>6430.9000000000042</v>
      </c>
      <c r="H53" s="21">
        <v>41.17</v>
      </c>
      <c r="I53" s="10"/>
      <c r="J53" s="10"/>
      <c r="K53" s="10"/>
      <c r="L53" s="10"/>
    </row>
    <row r="54" spans="1:12" x14ac:dyDescent="0.25">
      <c r="A54" s="10"/>
      <c r="B54" s="11" t="s">
        <v>134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18</v>
      </c>
      <c r="B57" s="13" t="s">
        <v>136</v>
      </c>
      <c r="C57" s="13">
        <v>6.67</v>
      </c>
      <c r="D57" s="13" t="s">
        <v>137</v>
      </c>
      <c r="E57" s="13" t="s">
        <v>138</v>
      </c>
      <c r="F57" s="14">
        <v>1500000</v>
      </c>
      <c r="G57" s="15">
        <v>1420.09</v>
      </c>
      <c r="H57" s="15">
        <v>9.09</v>
      </c>
      <c r="I57" s="16">
        <v>7.2438000000000002</v>
      </c>
      <c r="J57" s="16" t="s">
        <v>20</v>
      </c>
      <c r="K57" s="17" t="s">
        <v>20</v>
      </c>
      <c r="L57" s="18" t="s">
        <v>20</v>
      </c>
    </row>
    <row r="58" spans="1:12" x14ac:dyDescent="0.25">
      <c r="A58" s="12" t="s">
        <v>18</v>
      </c>
      <c r="B58" s="13" t="s">
        <v>139</v>
      </c>
      <c r="C58" s="13">
        <v>6.19</v>
      </c>
      <c r="D58" s="13" t="s">
        <v>140</v>
      </c>
      <c r="E58" s="13" t="s">
        <v>138</v>
      </c>
      <c r="F58" s="14">
        <v>1000000</v>
      </c>
      <c r="G58" s="15">
        <v>935.3</v>
      </c>
      <c r="H58" s="15">
        <v>5.99</v>
      </c>
      <c r="I58" s="16">
        <v>7.2004999999999999</v>
      </c>
      <c r="J58" s="16" t="s">
        <v>20</v>
      </c>
      <c r="K58" s="17" t="s">
        <v>20</v>
      </c>
      <c r="L58" s="18" t="s">
        <v>20</v>
      </c>
    </row>
    <row r="59" spans="1:12" x14ac:dyDescent="0.25">
      <c r="A59" s="12" t="s">
        <v>18</v>
      </c>
      <c r="B59" s="13" t="s">
        <v>141</v>
      </c>
      <c r="C59" s="13">
        <v>7.57</v>
      </c>
      <c r="D59" s="13" t="s">
        <v>142</v>
      </c>
      <c r="E59" s="13" t="s">
        <v>138</v>
      </c>
      <c r="F59" s="14">
        <v>750000</v>
      </c>
      <c r="G59" s="15">
        <v>775.58</v>
      </c>
      <c r="H59" s="15">
        <v>4.97</v>
      </c>
      <c r="I59" s="16">
        <v>7.1821999999999999</v>
      </c>
      <c r="J59" s="16" t="s">
        <v>20</v>
      </c>
      <c r="K59" s="17" t="s">
        <v>20</v>
      </c>
      <c r="L59" s="18" t="s">
        <v>20</v>
      </c>
    </row>
    <row r="60" spans="1:12" x14ac:dyDescent="0.25">
      <c r="A60" s="12" t="s">
        <v>18</v>
      </c>
      <c r="B60" s="13" t="s">
        <v>143</v>
      </c>
      <c r="C60" s="13">
        <v>8.9700000000000006</v>
      </c>
      <c r="D60" s="13" t="s">
        <v>144</v>
      </c>
      <c r="E60" s="13" t="s">
        <v>138</v>
      </c>
      <c r="F60" s="14">
        <v>550000</v>
      </c>
      <c r="G60" s="15">
        <v>604.08000000000004</v>
      </c>
      <c r="H60" s="15">
        <v>3.87</v>
      </c>
      <c r="I60" s="16">
        <v>7.2182000000000004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2" t="s">
        <v>18</v>
      </c>
      <c r="B61" s="13" t="s">
        <v>145</v>
      </c>
      <c r="C61" s="13">
        <v>7.5</v>
      </c>
      <c r="D61" s="13" t="s">
        <v>146</v>
      </c>
      <c r="E61" s="13" t="s">
        <v>138</v>
      </c>
      <c r="F61" s="14">
        <v>500000</v>
      </c>
      <c r="G61" s="15">
        <v>515</v>
      </c>
      <c r="H61" s="15">
        <v>3.3</v>
      </c>
      <c r="I61" s="16">
        <v>7.2099000000000002</v>
      </c>
      <c r="J61" s="16" t="s">
        <v>20</v>
      </c>
      <c r="K61" s="17" t="s">
        <v>20</v>
      </c>
      <c r="L61" s="18" t="s">
        <v>20</v>
      </c>
    </row>
    <row r="62" spans="1:12" x14ac:dyDescent="0.25">
      <c r="A62" s="12" t="s">
        <v>20</v>
      </c>
      <c r="B62" s="13" t="s">
        <v>147</v>
      </c>
      <c r="C62" s="13">
        <v>7.54</v>
      </c>
      <c r="D62" s="13" t="s">
        <v>148</v>
      </c>
      <c r="E62" s="13" t="s">
        <v>138</v>
      </c>
      <c r="F62" s="14">
        <v>15000</v>
      </c>
      <c r="G62" s="15">
        <v>15.52</v>
      </c>
      <c r="H62" s="15">
        <v>0.1</v>
      </c>
      <c r="I62" s="16">
        <v>7.2304000000000004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18</v>
      </c>
      <c r="B64" s="13" t="s">
        <v>150</v>
      </c>
      <c r="C64" s="13">
        <v>8.35</v>
      </c>
      <c r="D64" s="13" t="s">
        <v>151</v>
      </c>
      <c r="E64" s="13" t="s">
        <v>152</v>
      </c>
      <c r="F64" s="14">
        <v>100</v>
      </c>
      <c r="G64" s="15">
        <v>1004.24</v>
      </c>
      <c r="H64" s="15">
        <v>6.43</v>
      </c>
      <c r="I64" s="16">
        <v>8.2650000000000006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18</v>
      </c>
      <c r="B65" s="13" t="s">
        <v>153</v>
      </c>
      <c r="C65" s="13">
        <v>7.7504999999999997</v>
      </c>
      <c r="D65" s="13" t="s">
        <v>154</v>
      </c>
      <c r="E65" s="13" t="s">
        <v>155</v>
      </c>
      <c r="F65" s="14">
        <v>100</v>
      </c>
      <c r="G65" s="15">
        <v>983.56</v>
      </c>
      <c r="H65" s="15">
        <v>6.3</v>
      </c>
      <c r="I65" s="16">
        <v>8.8249999999999993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18</v>
      </c>
      <c r="B66" s="13" t="s">
        <v>156</v>
      </c>
      <c r="C66" s="13">
        <v>8.4</v>
      </c>
      <c r="D66" s="13" t="s">
        <v>157</v>
      </c>
      <c r="E66" s="13" t="s">
        <v>158</v>
      </c>
      <c r="F66" s="14">
        <v>50</v>
      </c>
      <c r="G66" s="15">
        <v>518.12</v>
      </c>
      <c r="H66" s="15">
        <v>3.32</v>
      </c>
      <c r="I66" s="16">
        <v>7.46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159</v>
      </c>
      <c r="C67" s="13">
        <v>6.83</v>
      </c>
      <c r="D67" s="13" t="s">
        <v>160</v>
      </c>
      <c r="E67" s="13" t="s">
        <v>158</v>
      </c>
      <c r="F67" s="14">
        <v>50</v>
      </c>
      <c r="G67" s="15">
        <v>475.61</v>
      </c>
      <c r="H67" s="15">
        <v>3.04</v>
      </c>
      <c r="I67" s="16">
        <v>7.7750000000000004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2" t="s">
        <v>20</v>
      </c>
      <c r="B68" s="13" t="s">
        <v>161</v>
      </c>
      <c r="C68" s="13">
        <v>9.25</v>
      </c>
      <c r="D68" s="13" t="s">
        <v>162</v>
      </c>
      <c r="E68" s="13" t="s">
        <v>158</v>
      </c>
      <c r="F68" s="14">
        <v>19</v>
      </c>
      <c r="G68" s="15">
        <v>190.4</v>
      </c>
      <c r="H68" s="15">
        <v>1.22</v>
      </c>
      <c r="I68" s="16">
        <v>7.665</v>
      </c>
      <c r="J68" s="16" t="s">
        <v>20</v>
      </c>
      <c r="K68" s="17" t="s">
        <v>20</v>
      </c>
      <c r="L68" s="18" t="s">
        <v>20</v>
      </c>
    </row>
    <row r="69" spans="1:12" x14ac:dyDescent="0.25">
      <c r="A69" s="12" t="s">
        <v>20</v>
      </c>
      <c r="B69" s="13" t="s">
        <v>163</v>
      </c>
      <c r="C69" s="13">
        <v>9.1</v>
      </c>
      <c r="D69" s="13" t="s">
        <v>164</v>
      </c>
      <c r="E69" s="13" t="s">
        <v>158</v>
      </c>
      <c r="F69" s="14">
        <v>10</v>
      </c>
      <c r="G69" s="15">
        <v>105.67</v>
      </c>
      <c r="H69" s="15">
        <v>0.68</v>
      </c>
      <c r="I69" s="16">
        <v>7.6849999999999996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9"/>
      <c r="B70" s="11" t="s">
        <v>132</v>
      </c>
      <c r="C70" s="19"/>
      <c r="D70" s="19"/>
      <c r="E70" s="19"/>
      <c r="F70" s="19"/>
      <c r="G70" s="20">
        <v>7543.1699999999983</v>
      </c>
      <c r="H70" s="20">
        <v>48.309999999999995</v>
      </c>
      <c r="I70" s="19"/>
      <c r="J70" s="19"/>
      <c r="K70" s="19"/>
      <c r="L70" s="19"/>
    </row>
    <row r="71" spans="1:12" x14ac:dyDescent="0.25">
      <c r="A71" s="10"/>
      <c r="B71" s="11" t="s">
        <v>133</v>
      </c>
      <c r="C71" s="10"/>
      <c r="D71" s="10"/>
      <c r="E71" s="10"/>
      <c r="F71" s="10"/>
      <c r="G71" s="21">
        <v>7543.1699999999983</v>
      </c>
      <c r="H71" s="21">
        <v>48.309999999999995</v>
      </c>
      <c r="I71" s="10"/>
      <c r="J71" s="10"/>
      <c r="K71" s="10"/>
      <c r="L71" s="10"/>
    </row>
    <row r="72" spans="1:12" x14ac:dyDescent="0.2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20</v>
      </c>
      <c r="B74" s="13" t="s">
        <v>20</v>
      </c>
      <c r="C74" s="13" t="s">
        <v>20</v>
      </c>
      <c r="D74" s="13" t="s">
        <v>166</v>
      </c>
      <c r="E74" s="13" t="s">
        <v>20</v>
      </c>
      <c r="F74" s="14" t="s">
        <v>20</v>
      </c>
      <c r="G74" s="15">
        <v>1311.01</v>
      </c>
      <c r="H74" s="15">
        <v>8.39</v>
      </c>
      <c r="I74" s="16">
        <v>6.9779</v>
      </c>
      <c r="J74" s="16" t="s">
        <v>20</v>
      </c>
      <c r="K74" s="17" t="s">
        <v>20</v>
      </c>
      <c r="L74" s="18" t="s">
        <v>20</v>
      </c>
    </row>
    <row r="75" spans="1:12" x14ac:dyDescent="0.25">
      <c r="A75" s="19"/>
      <c r="B75" s="11" t="s">
        <v>132</v>
      </c>
      <c r="C75" s="19"/>
      <c r="D75" s="19"/>
      <c r="E75" s="19"/>
      <c r="F75" s="19"/>
      <c r="G75" s="20">
        <v>1311.01</v>
      </c>
      <c r="H75" s="20">
        <v>8.39</v>
      </c>
      <c r="I75" s="19"/>
      <c r="J75" s="19"/>
      <c r="K75" s="19"/>
      <c r="L75" s="19"/>
    </row>
    <row r="76" spans="1:12" x14ac:dyDescent="0.25">
      <c r="A76" s="10"/>
      <c r="B76" s="11" t="s">
        <v>133</v>
      </c>
      <c r="C76" s="10"/>
      <c r="D76" s="10"/>
      <c r="E76" s="10"/>
      <c r="F76" s="10"/>
      <c r="G76" s="21">
        <v>1311.01</v>
      </c>
      <c r="H76" s="21">
        <v>8.39</v>
      </c>
      <c r="I76" s="10"/>
      <c r="J76" s="10"/>
      <c r="K76" s="10"/>
      <c r="L76" s="10"/>
    </row>
    <row r="77" spans="1:12" x14ac:dyDescent="0.25">
      <c r="A77" s="10"/>
      <c r="B77" s="11" t="s">
        <v>167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20</v>
      </c>
      <c r="B79" s="13" t="s">
        <v>20</v>
      </c>
      <c r="C79" s="13" t="s">
        <v>20</v>
      </c>
      <c r="D79" s="13" t="s">
        <v>168</v>
      </c>
      <c r="E79" s="13" t="s">
        <v>20</v>
      </c>
      <c r="F79" s="14" t="s">
        <v>20</v>
      </c>
      <c r="G79" s="15">
        <v>335.75</v>
      </c>
      <c r="H79" s="15">
        <v>2.13</v>
      </c>
      <c r="I79" s="16" t="s">
        <v>20</v>
      </c>
      <c r="J79" s="16" t="s">
        <v>20</v>
      </c>
      <c r="K79" s="17" t="s">
        <v>20</v>
      </c>
      <c r="L79" s="18" t="s">
        <v>20</v>
      </c>
    </row>
    <row r="80" spans="1:12" x14ac:dyDescent="0.25">
      <c r="A80" s="19"/>
      <c r="B80" s="11" t="s">
        <v>132</v>
      </c>
      <c r="C80" s="19"/>
      <c r="D80" s="19"/>
      <c r="E80" s="19"/>
      <c r="F80" s="19"/>
      <c r="G80" s="20">
        <v>335.75</v>
      </c>
      <c r="H80" s="20">
        <v>2.13</v>
      </c>
      <c r="I80" s="19"/>
      <c r="J80" s="19"/>
      <c r="K80" s="19"/>
      <c r="L80" s="19"/>
    </row>
    <row r="81" spans="1:12" x14ac:dyDescent="0.25">
      <c r="A81" s="10"/>
      <c r="B81" s="11" t="s">
        <v>133</v>
      </c>
      <c r="C81" s="10"/>
      <c r="D81" s="10"/>
      <c r="E81" s="10"/>
      <c r="F81" s="10"/>
      <c r="G81" s="21">
        <v>335.75</v>
      </c>
      <c r="H81" s="21">
        <v>2.13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169</v>
      </c>
      <c r="C83" s="6"/>
      <c r="D83" s="6"/>
      <c r="E83" s="6"/>
      <c r="F83" s="6"/>
      <c r="G83" s="23">
        <v>15620.830000000005</v>
      </c>
      <c r="H83" s="23">
        <v>99.999999999999986</v>
      </c>
      <c r="I83" s="6"/>
      <c r="J83" s="6"/>
      <c r="K83" s="6"/>
      <c r="L83" s="6"/>
    </row>
    <row r="84" spans="1:12" x14ac:dyDescent="0.25">
      <c r="A84" s="12" t="s">
        <v>18</v>
      </c>
      <c r="B84" s="24" t="s">
        <v>170</v>
      </c>
      <c r="C84" s="24" t="s">
        <v>170</v>
      </c>
      <c r="D84" s="24" t="s">
        <v>170</v>
      </c>
      <c r="E84" s="24" t="s">
        <v>170</v>
      </c>
      <c r="F84" s="24" t="s">
        <v>170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171</v>
      </c>
      <c r="C85" s="25" t="s">
        <v>171</v>
      </c>
      <c r="D85" s="25" t="s">
        <v>171</v>
      </c>
      <c r="E85" s="25" t="s">
        <v>171</v>
      </c>
      <c r="F85" s="25" t="s">
        <v>171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172</v>
      </c>
      <c r="C86" s="25" t="s">
        <v>172</v>
      </c>
      <c r="D86" s="25" t="s">
        <v>172</v>
      </c>
      <c r="E86" s="25" t="s">
        <v>172</v>
      </c>
      <c r="F86" s="25" t="s">
        <v>172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173</v>
      </c>
      <c r="C87" s="25" t="s">
        <v>173</v>
      </c>
      <c r="D87" s="25" t="s">
        <v>173</v>
      </c>
      <c r="E87" s="25" t="s">
        <v>173</v>
      </c>
      <c r="F87" s="25" t="s">
        <v>173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174</v>
      </c>
      <c r="C88" s="25" t="s">
        <v>174</v>
      </c>
      <c r="D88" s="25" t="s">
        <v>174</v>
      </c>
      <c r="E88" s="25" t="s">
        <v>174</v>
      </c>
      <c r="F88" s="25" t="s">
        <v>174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175</v>
      </c>
      <c r="C89" s="25" t="s">
        <v>175</v>
      </c>
      <c r="D89" s="25" t="s">
        <v>175</v>
      </c>
      <c r="E89" s="25" t="s">
        <v>175</v>
      </c>
      <c r="F89" s="25" t="s">
        <v>175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6" t="s">
        <v>178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7" t="s">
        <v>17</v>
      </c>
      <c r="C94" s="27"/>
      <c r="D94" s="28">
        <v>23.490000000000009</v>
      </c>
      <c r="E94" s="13"/>
      <c r="F94" s="13"/>
      <c r="G94" s="13"/>
      <c r="H94" s="13"/>
    </row>
    <row r="95" spans="1:12" x14ac:dyDescent="0.25">
      <c r="A95" s="26"/>
      <c r="B95" s="27" t="s">
        <v>179</v>
      </c>
      <c r="C95" s="27"/>
      <c r="D95" s="28">
        <v>17.68</v>
      </c>
      <c r="E95" s="13"/>
      <c r="F95" s="13"/>
      <c r="G95" s="13"/>
      <c r="H95" s="13"/>
    </row>
    <row r="96" spans="1:12" x14ac:dyDescent="0.25">
      <c r="A96" s="26"/>
      <c r="B96" s="27" t="s">
        <v>180</v>
      </c>
      <c r="C96" s="27"/>
      <c r="D96" s="28">
        <v>27.32</v>
      </c>
      <c r="E96" s="13"/>
      <c r="F96" s="13"/>
      <c r="G96" s="13"/>
      <c r="H96" s="13"/>
    </row>
    <row r="97" spans="1:8" x14ac:dyDescent="0.25">
      <c r="A97" s="26"/>
      <c r="B97" s="27" t="s">
        <v>181</v>
      </c>
      <c r="C97" s="27"/>
      <c r="D97" s="28">
        <v>20.99</v>
      </c>
      <c r="E97" s="13"/>
      <c r="F97" s="13"/>
      <c r="G97" s="13"/>
      <c r="H97" s="13"/>
    </row>
    <row r="98" spans="1:8" x14ac:dyDescent="0.25">
      <c r="A98" s="26"/>
      <c r="B98" s="27" t="s">
        <v>182</v>
      </c>
      <c r="C98" s="27"/>
      <c r="D98" s="28">
        <v>10.52</v>
      </c>
      <c r="E98" s="13"/>
      <c r="F98" s="13"/>
      <c r="G98" s="13"/>
      <c r="H98" s="13"/>
    </row>
    <row r="99" spans="1:8" x14ac:dyDescent="0.25">
      <c r="A99" s="26"/>
      <c r="B99" s="26" t="s">
        <v>183</v>
      </c>
      <c r="C99" s="26"/>
      <c r="D99" s="26"/>
      <c r="E99" s="13"/>
      <c r="F99" s="13"/>
      <c r="G99" s="13"/>
      <c r="H99" s="13"/>
    </row>
    <row r="100" spans="1:8" x14ac:dyDescent="0.25">
      <c r="A100" s="26"/>
      <c r="B100" s="27" t="s">
        <v>17</v>
      </c>
      <c r="C100" s="27"/>
      <c r="D100" s="28">
        <v>41.170000000000009</v>
      </c>
      <c r="E100" s="13"/>
      <c r="F100" s="13"/>
      <c r="G100" s="13"/>
      <c r="H100" s="13"/>
    </row>
    <row r="101" spans="1:8" x14ac:dyDescent="0.25">
      <c r="A101" s="26"/>
      <c r="B101" s="27" t="s">
        <v>138</v>
      </c>
      <c r="C101" s="27"/>
      <c r="D101" s="28">
        <v>27.32</v>
      </c>
      <c r="E101" s="13"/>
      <c r="F101" s="13"/>
      <c r="G101" s="13"/>
      <c r="H101" s="13"/>
    </row>
    <row r="102" spans="1:8" x14ac:dyDescent="0.25">
      <c r="A102" s="26"/>
      <c r="B102" s="27" t="s">
        <v>184</v>
      </c>
      <c r="C102" s="27"/>
      <c r="D102" s="28">
        <v>8.26</v>
      </c>
      <c r="E102" s="13"/>
      <c r="F102" s="13"/>
      <c r="G102" s="13"/>
      <c r="H102" s="13"/>
    </row>
    <row r="103" spans="1:8" x14ac:dyDescent="0.25">
      <c r="A103" s="26"/>
      <c r="B103" s="27" t="s">
        <v>185</v>
      </c>
      <c r="C103" s="27"/>
      <c r="D103" s="28">
        <v>6.43</v>
      </c>
      <c r="E103" s="13"/>
      <c r="F103" s="13"/>
      <c r="G103" s="13"/>
      <c r="H103" s="13"/>
    </row>
    <row r="104" spans="1:8" x14ac:dyDescent="0.25">
      <c r="A104" s="26"/>
      <c r="B104" s="27" t="s">
        <v>186</v>
      </c>
      <c r="C104" s="27"/>
      <c r="D104" s="28">
        <v>6.3</v>
      </c>
      <c r="E104" s="13"/>
      <c r="F104" s="13"/>
      <c r="G104" s="13"/>
      <c r="H104" s="13"/>
    </row>
    <row r="105" spans="1:8" x14ac:dyDescent="0.25">
      <c r="A105" s="26"/>
      <c r="B105" s="27" t="s">
        <v>182</v>
      </c>
      <c r="C105" s="27"/>
      <c r="D105" s="28">
        <v>10.52</v>
      </c>
      <c r="E105" s="13"/>
      <c r="F105" s="13"/>
      <c r="G105" s="13"/>
      <c r="H105" s="13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29"/>
      <c r="B107" s="10" t="s">
        <v>187</v>
      </c>
      <c r="C107" s="29"/>
      <c r="D107" s="29"/>
      <c r="E107" s="29"/>
      <c r="F107" s="29"/>
      <c r="G107" s="29"/>
      <c r="H107" s="29"/>
    </row>
    <row r="108" spans="1:8" x14ac:dyDescent="0.25">
      <c r="A108" s="13"/>
      <c r="B108" s="13" t="s">
        <v>188</v>
      </c>
      <c r="C108" s="13"/>
      <c r="D108" s="13"/>
      <c r="E108" s="13"/>
      <c r="F108" s="13"/>
      <c r="G108" s="13"/>
      <c r="H108" s="29"/>
    </row>
    <row r="109" spans="1:8" x14ac:dyDescent="0.25">
      <c r="A109" s="13"/>
      <c r="B109" s="30" t="s">
        <v>189</v>
      </c>
      <c r="C109" s="31" t="s">
        <v>190</v>
      </c>
      <c r="D109" s="30" t="s">
        <v>191</v>
      </c>
      <c r="E109" s="13"/>
      <c r="F109" s="13"/>
      <c r="G109" s="13"/>
      <c r="H109" s="29"/>
    </row>
    <row r="110" spans="1:8" x14ac:dyDescent="0.25">
      <c r="A110" s="13"/>
      <c r="B110" s="10" t="s">
        <v>192</v>
      </c>
      <c r="C110" s="16">
        <v>19.528700000000001</v>
      </c>
      <c r="D110" s="16">
        <v>19.4377</v>
      </c>
      <c r="E110" s="13"/>
      <c r="F110" s="13"/>
      <c r="G110" s="13"/>
      <c r="H110" s="29"/>
    </row>
    <row r="111" spans="1:8" x14ac:dyDescent="0.25">
      <c r="A111" s="13"/>
      <c r="B111" s="10" t="s">
        <v>193</v>
      </c>
      <c r="C111" s="16">
        <v>21.7165</v>
      </c>
      <c r="D111" s="16">
        <v>21.5947</v>
      </c>
      <c r="E111" s="13"/>
      <c r="F111" s="13"/>
      <c r="G111" s="13"/>
      <c r="H111" s="29"/>
    </row>
    <row r="112" spans="1:8" x14ac:dyDescent="0.25">
      <c r="A112" s="13"/>
      <c r="B112" s="10" t="s">
        <v>20</v>
      </c>
      <c r="C112" s="13"/>
      <c r="D112" s="13"/>
      <c r="E112" s="13"/>
      <c r="F112" s="13"/>
      <c r="G112" s="13"/>
      <c r="H112" s="29"/>
    </row>
    <row r="113" spans="1:8" x14ac:dyDescent="0.25">
      <c r="A113" s="13"/>
      <c r="B113" s="13"/>
      <c r="C113" s="13"/>
      <c r="D113" s="13"/>
      <c r="E113" s="13"/>
      <c r="F113" s="13"/>
      <c r="G113" s="13"/>
      <c r="H113" s="29"/>
    </row>
    <row r="114" spans="1:8" x14ac:dyDescent="0.25">
      <c r="A114" s="13"/>
      <c r="B114" s="13" t="s">
        <v>194</v>
      </c>
      <c r="C114" s="13"/>
      <c r="D114" s="13"/>
      <c r="E114" s="13"/>
      <c r="F114" s="13"/>
      <c r="G114" s="13"/>
      <c r="H114" s="29"/>
    </row>
    <row r="115" spans="1:8" x14ac:dyDescent="0.25">
      <c r="A115" s="13"/>
      <c r="B115" s="13"/>
      <c r="C115" s="13"/>
      <c r="D115" s="13"/>
      <c r="E115" s="13"/>
      <c r="F115" s="13"/>
      <c r="G115" s="13"/>
      <c r="H115" s="29"/>
    </row>
    <row r="116" spans="1:8" x14ac:dyDescent="0.25">
      <c r="A116" s="13"/>
      <c r="B116" s="13" t="s">
        <v>195</v>
      </c>
      <c r="C116" s="13"/>
      <c r="D116" s="13"/>
      <c r="E116" s="13"/>
      <c r="F116" s="13"/>
      <c r="G116" s="13"/>
      <c r="H116" s="29"/>
    </row>
    <row r="117" spans="1:8" x14ac:dyDescent="0.25">
      <c r="A117" s="29"/>
      <c r="B117" s="29"/>
      <c r="C117" s="29"/>
      <c r="D117" s="29"/>
      <c r="E117" s="29"/>
      <c r="F117" s="29"/>
      <c r="G117" s="29"/>
      <c r="H117" s="29"/>
    </row>
    <row r="118" spans="1:8" x14ac:dyDescent="0.25">
      <c r="A118" s="13"/>
      <c r="B118" s="13" t="s">
        <v>196</v>
      </c>
      <c r="C118" s="13"/>
      <c r="D118" s="13"/>
      <c r="E118" s="13"/>
      <c r="F118" s="13"/>
      <c r="G118" s="13"/>
      <c r="H118" s="13"/>
    </row>
    <row r="119" spans="1:8" x14ac:dyDescent="0.25">
      <c r="A119" s="13"/>
      <c r="B119" s="13" t="s">
        <v>197</v>
      </c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198</v>
      </c>
      <c r="C120" s="13"/>
      <c r="D120" s="13"/>
      <c r="E120" s="13"/>
      <c r="F120" s="13"/>
      <c r="G120" s="13"/>
      <c r="H120" s="29"/>
    </row>
    <row r="121" spans="1:8" x14ac:dyDescent="0.25">
      <c r="A121" s="13"/>
      <c r="B121" s="13" t="s">
        <v>199</v>
      </c>
      <c r="C121" s="13"/>
      <c r="D121" s="13"/>
      <c r="E121" s="13"/>
      <c r="F121" s="13"/>
      <c r="G121" s="13"/>
      <c r="H121" s="29"/>
    </row>
    <row r="122" spans="1:8" x14ac:dyDescent="0.25">
      <c r="A122" s="13"/>
      <c r="B122" s="13" t="s">
        <v>200</v>
      </c>
      <c r="C122" s="13"/>
      <c r="D122" s="13"/>
      <c r="E122" s="13"/>
      <c r="F122" s="13"/>
      <c r="G122" s="13"/>
      <c r="H122" s="29"/>
    </row>
    <row r="123" spans="1:8" x14ac:dyDescent="0.25">
      <c r="A123" s="13"/>
      <c r="B123" s="13" t="s">
        <v>201</v>
      </c>
      <c r="C123" s="13"/>
      <c r="D123" s="13"/>
      <c r="E123" s="13"/>
      <c r="F123" s="13"/>
      <c r="G123" s="13"/>
      <c r="H123" s="29"/>
    </row>
    <row r="124" spans="1:8" x14ac:dyDescent="0.25">
      <c r="A124" s="13"/>
      <c r="B124" s="13" t="s">
        <v>202</v>
      </c>
      <c r="C124" s="13"/>
      <c r="D124" s="13"/>
      <c r="E124" s="13"/>
      <c r="F124" s="13"/>
      <c r="G124" s="13"/>
      <c r="H124" s="29"/>
    </row>
    <row r="125" spans="1:8" x14ac:dyDescent="0.25">
      <c r="A125" s="13"/>
      <c r="B125" s="13" t="s">
        <v>203</v>
      </c>
      <c r="C125" s="13"/>
      <c r="D125" s="13"/>
      <c r="E125" s="13"/>
      <c r="F125" s="13"/>
      <c r="G125" s="13"/>
      <c r="H125" s="29"/>
    </row>
    <row r="126" spans="1:8" x14ac:dyDescent="0.25">
      <c r="A126" s="13"/>
      <c r="B126" s="13" t="s">
        <v>204</v>
      </c>
      <c r="C126" s="13"/>
      <c r="D126" s="13"/>
      <c r="E126" s="13"/>
      <c r="F126" s="13"/>
      <c r="G126" s="13"/>
      <c r="H126" s="29"/>
    </row>
    <row r="128" spans="1:8" x14ac:dyDescent="0.25">
      <c r="B128" s="32" t="s">
        <v>205</v>
      </c>
    </row>
    <row r="144" spans="2:2" x14ac:dyDescent="0.25">
      <c r="B144" s="32" t="s">
        <v>206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3D936-6AB5-4437-AF55-8932B99004A1}">
  <dimension ref="A2:I28"/>
  <sheetViews>
    <sheetView workbookViewId="0"/>
  </sheetViews>
  <sheetFormatPr defaultColWidth="9.140625" defaultRowHeight="12.75" x14ac:dyDescent="0.2"/>
  <cols>
    <col min="1" max="1" width="55" style="34" customWidth="1"/>
    <col min="2" max="2" width="41.28515625" style="34" bestFit="1" customWidth="1"/>
    <col min="3" max="3" width="32.42578125" style="34" customWidth="1"/>
    <col min="4" max="4" width="22.7109375" style="34" customWidth="1"/>
    <col min="5" max="5" width="18.7109375" style="34" customWidth="1"/>
    <col min="6" max="6" width="16.140625" style="34" customWidth="1"/>
    <col min="7" max="7" width="13.7109375" style="34" customWidth="1"/>
    <col min="8" max="8" width="38.5703125" style="34" customWidth="1"/>
    <col min="9" max="9" width="16.140625" style="34" customWidth="1"/>
    <col min="10" max="10" width="11.7109375" style="34" customWidth="1"/>
    <col min="11" max="11" width="12.7109375" style="34" customWidth="1"/>
    <col min="12" max="12" width="27.28515625" style="34" customWidth="1"/>
    <col min="13" max="14" width="9.140625" style="34" customWidth="1"/>
    <col min="15" max="15" width="10.7109375" style="34" customWidth="1"/>
    <col min="16" max="16384" width="9.140625" style="34"/>
  </cols>
  <sheetData>
    <row r="2" spans="1:9" x14ac:dyDescent="0.2">
      <c r="A2" s="33" t="s">
        <v>207</v>
      </c>
      <c r="B2" s="33"/>
      <c r="C2" s="33"/>
      <c r="D2" s="33"/>
      <c r="E2" s="33"/>
      <c r="F2" s="33"/>
      <c r="G2" s="33"/>
    </row>
    <row r="3" spans="1:9" ht="15" x14ac:dyDescent="0.25">
      <c r="B3" s="4"/>
      <c r="C3" s="4"/>
    </row>
    <row r="4" spans="1:9" x14ac:dyDescent="0.2">
      <c r="A4" s="34" t="s">
        <v>208</v>
      </c>
    </row>
    <row r="6" spans="1:9" ht="12.75" customHeight="1" x14ac:dyDescent="0.2">
      <c r="A6" s="35" t="str">
        <f>+[40]DerivativeHDFCMY.!A6</f>
        <v>A.  Hedging Positions through Futures as on  March 31, 2024</v>
      </c>
      <c r="B6" s="35"/>
      <c r="C6" s="35"/>
      <c r="D6" s="35"/>
      <c r="E6" s="35"/>
      <c r="F6" s="35"/>
    </row>
    <row r="7" spans="1:9" ht="38.25" x14ac:dyDescent="0.2">
      <c r="A7" s="36" t="s">
        <v>209</v>
      </c>
      <c r="B7" s="37" t="s">
        <v>210</v>
      </c>
      <c r="C7" s="37" t="s">
        <v>211</v>
      </c>
      <c r="D7" s="37" t="s">
        <v>212</v>
      </c>
      <c r="E7" s="37" t="s">
        <v>213</v>
      </c>
      <c r="F7" s="37" t="s">
        <v>214</v>
      </c>
      <c r="G7" s="37" t="s">
        <v>215</v>
      </c>
      <c r="H7" s="38" t="s">
        <v>216</v>
      </c>
    </row>
    <row r="8" spans="1:9" x14ac:dyDescent="0.2">
      <c r="A8" s="39" t="s">
        <v>217</v>
      </c>
      <c r="B8" s="40" t="s">
        <v>218</v>
      </c>
      <c r="C8" s="40" t="s">
        <v>22</v>
      </c>
      <c r="D8" s="41">
        <v>-20000</v>
      </c>
      <c r="E8" s="42">
        <v>6193.2740999999996</v>
      </c>
      <c r="F8" s="43">
        <v>6205.05</v>
      </c>
      <c r="G8" s="43">
        <v>218.71035000000001</v>
      </c>
      <c r="H8" s="43">
        <f>(D8*F8)/100000</f>
        <v>-1241.01</v>
      </c>
      <c r="I8" s="44"/>
    </row>
    <row r="9" spans="1:9" x14ac:dyDescent="0.2">
      <c r="A9" s="39"/>
      <c r="B9" s="40" t="s">
        <v>219</v>
      </c>
      <c r="C9" s="40" t="s">
        <v>28</v>
      </c>
      <c r="D9" s="41">
        <v>-8400</v>
      </c>
      <c r="E9" s="42">
        <v>3758.8195999999998</v>
      </c>
      <c r="F9" s="43">
        <v>3789.85</v>
      </c>
      <c r="G9" s="43">
        <v>56.136969000000001</v>
      </c>
      <c r="H9" s="43">
        <f t="shared" ref="H9:H10" si="0">(D9*F9)/100000</f>
        <v>-318.34739999999999</v>
      </c>
      <c r="I9" s="44"/>
    </row>
    <row r="10" spans="1:9" x14ac:dyDescent="0.2">
      <c r="A10" s="39"/>
      <c r="B10" s="40" t="s">
        <v>220</v>
      </c>
      <c r="C10" s="40" t="s">
        <v>25</v>
      </c>
      <c r="D10" s="41">
        <v>-30800</v>
      </c>
      <c r="E10" s="42">
        <v>3904.3065000000001</v>
      </c>
      <c r="F10" s="43">
        <v>3907.3</v>
      </c>
      <c r="G10" s="43">
        <v>212.12522100000001</v>
      </c>
      <c r="H10" s="43">
        <f t="shared" si="0"/>
        <v>-1203.4484</v>
      </c>
      <c r="I10" s="44"/>
    </row>
    <row r="11" spans="1:9" x14ac:dyDescent="0.2">
      <c r="H11" s="45">
        <f>SUM(H8:H10)</f>
        <v>-2762.8058000000001</v>
      </c>
      <c r="I11" s="45"/>
    </row>
    <row r="12" spans="1:9" x14ac:dyDescent="0.2">
      <c r="B12" s="46"/>
    </row>
    <row r="13" spans="1:9" x14ac:dyDescent="0.2">
      <c r="H13" s="47"/>
    </row>
    <row r="28" spans="2:2" x14ac:dyDescent="0.2">
      <c r="B28" s="46"/>
    </row>
  </sheetData>
  <mergeCells count="2">
    <mergeCell ref="A2:G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2024-04-08T10:50:12Z</dcterms:created>
  <dcterms:modified xsi:type="dcterms:W3CDTF">2024-04-08T10:53:07Z</dcterms:modified>
</cp:coreProperties>
</file>