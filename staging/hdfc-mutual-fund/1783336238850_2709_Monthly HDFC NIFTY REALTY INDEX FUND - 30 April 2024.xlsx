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447490CB-9FA1-4CA8-9598-0B15901B46CD}" xr6:coauthVersionLast="36" xr6:coauthVersionMax="36" xr10:uidLastSave="{00000000-0000-0000-0000-000000000000}"/>
  <bookViews>
    <workbookView xWindow="0" yWindow="0" windowWidth="28800" windowHeight="12225" xr2:uid="{63BFC57D-4FB8-445F-A67E-F685EEA49D61}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I18" i="1"/>
  <c r="I17" i="1"/>
  <c r="I16" i="1"/>
  <c r="I15" i="1"/>
  <c r="I14" i="1"/>
  <c r="I13" i="1"/>
  <c r="I12" i="1"/>
  <c r="I11" i="1"/>
  <c r="I10" i="1"/>
  <c r="I9" i="1"/>
  <c r="J18" i="1" s="1"/>
</calcChain>
</file>

<file path=xl/sharedStrings.xml><?xml version="1.0" encoding="utf-8"?>
<sst xmlns="http://schemas.openxmlformats.org/spreadsheetml/2006/main" count="213" uniqueCount="82">
  <si>
    <t>HDFC NIFTY REALTY INDEX FUND (An open ended scheme replicating / tracking NIFTY Reality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</si>
  <si>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</si>
  <si>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</si>
  <si>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</si>
  <si>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</si>
  <si>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</si>
  <si>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</si>
  <si>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</si>
  <si>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</si>
  <si>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</si>
  <si>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</si>
  <si>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</si>
  <si>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</si>
  <si>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</si>
  <si>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</si>
  <si>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</si>
  <si>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</si>
  <si>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</si>
  <si>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</si>
  <si>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</si>
  <si>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</si>
  <si>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</si>
  <si>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</si>
  <si>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</si>
  <si>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</si>
  <si>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</si>
  <si>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</si>
  <si>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</si>
  <si>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</si>
  <si>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</si>
  <si>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</si>
  <si>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</si>
  <si>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</si>
  <si>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</si>
  <si>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</si>
  <si>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INE813A01018</t>
  </si>
  <si>
    <t>Mahindra Lifespace Developers Limit</t>
  </si>
  <si>
    <t>INE805D01034</t>
  </si>
  <si>
    <t>Sunteck Realty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</si>
  <si>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</si>
  <si>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</si>
  <si>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</si>
  <si>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</si>
  <si>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</si>
  <si>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</si>
  <si>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</si>
  <si>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</si>
  <si>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</si>
  <si>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</si>
  <si>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</si>
  <si>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</si>
  <si>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</si>
  <si>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</si>
  <si>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</si>
  <si>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</si>
  <si>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</si>
  <si>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</si>
  <si>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</si>
  <si>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</si>
  <si>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Indian Private-Macrotech Developers Ltd.</t>
  </si>
  <si>
    <t>Godrej</t>
  </si>
  <si>
    <t>Indian Private-The Phoenix Mills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</si>
  <si>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</si>
  <si>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</si>
  <si>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</si>
  <si>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</si>
  <si>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</si>
  <si>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</si>
  <si>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</si>
  <si>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</si>
  <si>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</si>
  <si>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</si>
  <si>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</si>
  <si>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</si>
  <si>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</si>
  <si>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</si>
  <si>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</si>
  <si>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</si>
  <si>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</si>
  <si>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"Nifty Realty"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</si>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</sst>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164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926B7-69C0-480B-83FD-3238A8042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8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7B62C7-A71D-44A8-9AA2-DD1F2D494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3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9C40-1095-4433-8C35-5929FEA92035}">
  <sheetPr codeName="Sheet4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238150</v>
      </c>
      <c r="G9" s="15">
        <v>2123.94</v>
      </c>
      <c r="H9" s="15">
        <v>27.17</v>
      </c>
      <c r="I9" s="16">
        <f>G9/$G$32*100</f>
        <v>27.167445215887518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99353</v>
      </c>
      <c r="G10" s="15">
        <v>1230.5899999999999</v>
      </c>
      <c r="H10" s="15">
        <v>15.74</v>
      </c>
      <c r="I10" s="16">
        <f t="shared" ref="I10:I17" si="0">G10/$G$32*100</f>
        <v>15.740551243546907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42181</v>
      </c>
      <c r="G11" s="15">
        <v>1116.78</v>
      </c>
      <c r="H11" s="15">
        <v>14.28</v>
      </c>
      <c r="I11" s="16">
        <f t="shared" si="0"/>
        <v>14.284800638529743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34097</v>
      </c>
      <c r="G12" s="15">
        <v>1074.6199999999999</v>
      </c>
      <c r="H12" s="15">
        <v>13.75</v>
      </c>
      <c r="I12" s="16">
        <f t="shared" si="0"/>
        <v>13.745529524326038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51917</v>
      </c>
      <c r="G13" s="15">
        <v>716.58</v>
      </c>
      <c r="H13" s="15">
        <v>9.17</v>
      </c>
      <c r="I13" s="16">
        <f t="shared" si="0"/>
        <v>9.1658181929812894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43039</v>
      </c>
      <c r="G14" s="15">
        <v>638.41999999999996</v>
      </c>
      <c r="H14" s="15">
        <v>8.17</v>
      </c>
      <c r="I14" s="16">
        <f t="shared" si="0"/>
        <v>8.1660688977687279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46177</v>
      </c>
      <c r="G15" s="15">
        <v>476.96</v>
      </c>
      <c r="H15" s="15">
        <v>6.1</v>
      </c>
      <c r="I15" s="16">
        <f t="shared" si="0"/>
        <v>6.1008242559440058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13267</v>
      </c>
      <c r="G16" s="15">
        <v>235.72</v>
      </c>
      <c r="H16" s="15">
        <v>3.02</v>
      </c>
      <c r="I16" s="16">
        <f t="shared" si="0"/>
        <v>3.015108800761324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27526</v>
      </c>
      <c r="G17" s="15">
        <v>175.41</v>
      </c>
      <c r="H17" s="15">
        <v>2.2400000000000002</v>
      </c>
      <c r="I17" s="16">
        <f t="shared" si="0"/>
        <v>2.2436799369656537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20042</v>
      </c>
      <c r="G18" s="15">
        <v>87.92</v>
      </c>
      <c r="H18" s="15">
        <v>1.1200000000000001</v>
      </c>
      <c r="I18" s="16">
        <f>G18/$G$32*100</f>
        <v>1.1245900465082963</v>
      </c>
      <c r="J18" s="16">
        <f>SUM(I9:I18)</f>
        <v>100.75441675321952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7876.94</v>
      </c>
      <c r="H19" s="20">
        <v>100.75999999999999</v>
      </c>
      <c r="I19" s="21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2">
        <v>7876.94</v>
      </c>
      <c r="H20" s="22">
        <v>100.75999999999999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54.93</v>
      </c>
      <c r="H23" s="15">
        <v>0.7</v>
      </c>
      <c r="I23" s="16">
        <v>6.6554000000000002</v>
      </c>
      <c r="J23" s="16">
        <f>G23/$G$32*100</f>
        <v>0.70261295785601352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54.93</v>
      </c>
      <c r="H24" s="20">
        <v>0.7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2">
        <v>54.93</v>
      </c>
      <c r="H25" s="22">
        <v>0.7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-113.91</v>
      </c>
      <c r="H28" s="15">
        <v>-1.46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-113.91</v>
      </c>
      <c r="H29" s="20">
        <v>-1.46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2">
        <v>-113.91</v>
      </c>
      <c r="H30" s="22">
        <v>-1.46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3" t="s">
        <v>45</v>
      </c>
      <c r="C32" s="6"/>
      <c r="D32" s="6"/>
      <c r="E32" s="6"/>
      <c r="F32" s="24"/>
      <c r="G32" s="25">
        <v>7817.96</v>
      </c>
      <c r="H32" s="25">
        <v>100</v>
      </c>
      <c r="I32" s="6"/>
      <c r="J32" s="6"/>
      <c r="K32" s="6"/>
      <c r="L32" s="6"/>
    </row>
    <row r="33" spans="1:12" x14ac:dyDescent="0.25">
      <c r="A33" s="12" t="s">
        <v>17</v>
      </c>
      <c r="B33" s="26" t="s">
        <v>46</v>
      </c>
      <c r="C33" s="26" t="s">
        <v>46</v>
      </c>
      <c r="D33" s="26" t="s">
        <v>46</v>
      </c>
      <c r="E33" s="26" t="s">
        <v>46</v>
      </c>
      <c r="F33" s="26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7" t="s">
        <v>47</v>
      </c>
      <c r="C34" s="27" t="s">
        <v>47</v>
      </c>
      <c r="D34" s="27" t="s">
        <v>47</v>
      </c>
      <c r="E34" s="27" t="s">
        <v>47</v>
      </c>
      <c r="F34" s="27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7" t="s">
        <v>48</v>
      </c>
      <c r="C35" s="27" t="s">
        <v>48</v>
      </c>
      <c r="D35" s="27" t="s">
        <v>48</v>
      </c>
      <c r="E35" s="27" t="s">
        <v>48</v>
      </c>
      <c r="F35" s="27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7" t="s">
        <v>49</v>
      </c>
      <c r="C36" s="27" t="s">
        <v>49</v>
      </c>
      <c r="D36" s="27" t="s">
        <v>49</v>
      </c>
      <c r="E36" s="27" t="s">
        <v>49</v>
      </c>
      <c r="F36" s="27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7" t="s">
        <v>50</v>
      </c>
      <c r="C37" s="27" t="s">
        <v>50</v>
      </c>
      <c r="D37" s="27" t="s">
        <v>50</v>
      </c>
      <c r="E37" s="27" t="s">
        <v>50</v>
      </c>
      <c r="F37" s="27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7" t="s">
        <v>51</v>
      </c>
      <c r="C38" s="27" t="s">
        <v>51</v>
      </c>
      <c r="D38" s="27" t="s">
        <v>51</v>
      </c>
      <c r="E38" s="27" t="s">
        <v>51</v>
      </c>
      <c r="F38" s="27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7" t="s">
        <v>52</v>
      </c>
      <c r="C39" s="27" t="s">
        <v>52</v>
      </c>
      <c r="D39" s="27" t="s">
        <v>52</v>
      </c>
      <c r="E39" s="27" t="s">
        <v>52</v>
      </c>
      <c r="F39" s="27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7" t="s">
        <v>53</v>
      </c>
      <c r="C40" s="27" t="s">
        <v>53</v>
      </c>
      <c r="D40" s="27" t="s">
        <v>53</v>
      </c>
      <c r="E40" s="27" t="s">
        <v>53</v>
      </c>
      <c r="F40" s="27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8"/>
      <c r="B42" s="29" t="s">
        <v>54</v>
      </c>
      <c r="C42" s="28"/>
      <c r="D42" s="28"/>
      <c r="E42" s="13"/>
      <c r="F42" s="13"/>
      <c r="G42" s="13"/>
      <c r="H42" s="13"/>
    </row>
    <row r="43" spans="1:12" x14ac:dyDescent="0.25">
      <c r="A43" s="28"/>
      <c r="B43" s="30" t="s">
        <v>20</v>
      </c>
      <c r="C43" s="31"/>
      <c r="D43" s="32">
        <v>100.76</v>
      </c>
      <c r="E43" s="13"/>
      <c r="F43" s="13"/>
      <c r="G43" s="13"/>
      <c r="H43" s="13"/>
    </row>
    <row r="44" spans="1:12" x14ac:dyDescent="0.25">
      <c r="A44" s="28"/>
      <c r="B44" s="30" t="s">
        <v>55</v>
      </c>
      <c r="C44" s="31"/>
      <c r="D44" s="32">
        <v>-0.76</v>
      </c>
      <c r="E44" s="13"/>
      <c r="F44" s="13"/>
      <c r="G44" s="13"/>
      <c r="H44" s="13"/>
    </row>
    <row r="45" spans="1:12" x14ac:dyDescent="0.25">
      <c r="A45" s="28"/>
      <c r="B45" s="28"/>
      <c r="C45" s="28"/>
      <c r="D45" s="28"/>
      <c r="E45" s="13"/>
      <c r="F45" s="13"/>
      <c r="G45" s="13"/>
      <c r="H45" s="13"/>
    </row>
    <row r="46" spans="1:12" x14ac:dyDescent="0.25">
      <c r="A46" s="28"/>
      <c r="B46" s="33" t="s">
        <v>56</v>
      </c>
      <c r="C46" s="28"/>
      <c r="D46" s="28"/>
      <c r="E46" s="13"/>
      <c r="F46" s="13"/>
      <c r="G46" s="13"/>
      <c r="H46" s="13"/>
    </row>
    <row r="47" spans="1:12" x14ac:dyDescent="0.25">
      <c r="A47" s="28"/>
      <c r="B47" s="30" t="s">
        <v>20</v>
      </c>
      <c r="C47" s="31"/>
      <c r="D47" s="32">
        <v>100.75999999999999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13"/>
      <c r="F48" s="13"/>
      <c r="G48" s="13"/>
      <c r="H48" s="13"/>
    </row>
    <row r="49" spans="1:8" x14ac:dyDescent="0.25">
      <c r="A49" s="28"/>
      <c r="B49" s="33" t="s">
        <v>57</v>
      </c>
      <c r="C49" s="28"/>
      <c r="D49" s="28"/>
      <c r="E49" s="13"/>
      <c r="F49" s="13"/>
      <c r="G49" s="13"/>
      <c r="H49" s="13"/>
    </row>
    <row r="50" spans="1:8" x14ac:dyDescent="0.25">
      <c r="A50" s="28"/>
      <c r="B50" s="30" t="s">
        <v>58</v>
      </c>
      <c r="C50" s="31"/>
      <c r="D50" s="32">
        <v>27.17</v>
      </c>
      <c r="E50" s="13"/>
      <c r="F50" s="13"/>
      <c r="G50" s="13"/>
      <c r="H50" s="13"/>
    </row>
    <row r="51" spans="1:8" x14ac:dyDescent="0.25">
      <c r="A51" s="28"/>
      <c r="B51" s="30" t="s">
        <v>59</v>
      </c>
      <c r="C51" s="31"/>
      <c r="D51" s="32">
        <v>15.74</v>
      </c>
      <c r="E51" s="13"/>
      <c r="F51" s="13"/>
      <c r="G51" s="13"/>
      <c r="H51" s="13"/>
    </row>
    <row r="52" spans="1:8" x14ac:dyDescent="0.25">
      <c r="A52" s="28"/>
      <c r="B52" s="30" t="s">
        <v>60</v>
      </c>
      <c r="C52" s="31"/>
      <c r="D52" s="32">
        <v>14.28</v>
      </c>
      <c r="E52" s="13"/>
      <c r="F52" s="13"/>
      <c r="G52" s="13"/>
      <c r="H52" s="13"/>
    </row>
    <row r="53" spans="1:8" x14ac:dyDescent="0.25">
      <c r="A53" s="28"/>
      <c r="B53" s="30" t="s">
        <v>61</v>
      </c>
      <c r="C53" s="31"/>
      <c r="D53" s="32">
        <v>13.75</v>
      </c>
      <c r="E53" s="13"/>
      <c r="F53" s="13"/>
      <c r="G53" s="13"/>
      <c r="H53" s="13"/>
    </row>
    <row r="54" spans="1:8" x14ac:dyDescent="0.25">
      <c r="A54" s="28"/>
      <c r="B54" s="30" t="s">
        <v>62</v>
      </c>
      <c r="C54" s="31"/>
      <c r="D54" s="32">
        <v>9.17</v>
      </c>
      <c r="E54" s="13"/>
      <c r="F54" s="13"/>
      <c r="G54" s="13"/>
      <c r="H54" s="13"/>
    </row>
    <row r="55" spans="1:8" x14ac:dyDescent="0.25">
      <c r="A55" s="28"/>
      <c r="B55" s="30" t="s">
        <v>63</v>
      </c>
      <c r="C55" s="31"/>
      <c r="D55" s="32">
        <v>8.17</v>
      </c>
      <c r="E55" s="13"/>
      <c r="F55" s="13"/>
      <c r="G55" s="13"/>
      <c r="H55" s="13"/>
    </row>
    <row r="56" spans="1:8" x14ac:dyDescent="0.25">
      <c r="A56" s="28"/>
      <c r="B56" s="30" t="s">
        <v>64</v>
      </c>
      <c r="C56" s="31"/>
      <c r="D56" s="32">
        <v>6.1</v>
      </c>
      <c r="E56" s="13"/>
      <c r="F56" s="13"/>
      <c r="G56" s="13"/>
      <c r="H56" s="13"/>
    </row>
    <row r="57" spans="1:8" x14ac:dyDescent="0.25">
      <c r="A57" s="34"/>
      <c r="B57" s="34"/>
      <c r="C57" s="34"/>
      <c r="D57" s="34"/>
      <c r="E57" s="34"/>
      <c r="F57" s="34"/>
      <c r="G57" s="34"/>
      <c r="H57" s="34"/>
    </row>
    <row r="58" spans="1:8" x14ac:dyDescent="0.25">
      <c r="A58" s="34"/>
      <c r="B58" s="10" t="s">
        <v>65</v>
      </c>
      <c r="C58" s="34"/>
      <c r="D58" s="34"/>
      <c r="E58" s="34"/>
      <c r="F58" s="34"/>
      <c r="G58" s="34"/>
      <c r="H58" s="34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34"/>
    </row>
    <row r="60" spans="1:8" x14ac:dyDescent="0.25">
      <c r="A60" s="13"/>
      <c r="B60" s="35" t="s">
        <v>67</v>
      </c>
      <c r="C60" s="36" t="s">
        <v>68</v>
      </c>
      <c r="D60" s="35" t="s">
        <v>69</v>
      </c>
      <c r="E60" s="13"/>
      <c r="F60" s="13"/>
      <c r="G60" s="13"/>
      <c r="H60" s="34"/>
    </row>
    <row r="61" spans="1:8" x14ac:dyDescent="0.25">
      <c r="A61" s="13"/>
      <c r="B61" s="10" t="s">
        <v>70</v>
      </c>
      <c r="C61" s="16">
        <v>10.9381</v>
      </c>
      <c r="D61" s="16">
        <v>10.127800000000001</v>
      </c>
      <c r="E61" s="13"/>
      <c r="F61" s="13"/>
      <c r="G61" s="13"/>
      <c r="H61" s="34"/>
    </row>
    <row r="62" spans="1:8" x14ac:dyDescent="0.25">
      <c r="A62" s="13"/>
      <c r="B62" s="10" t="s">
        <v>71</v>
      </c>
      <c r="C62" s="16">
        <v>10.9444</v>
      </c>
      <c r="D62" s="16">
        <v>10.129099999999999</v>
      </c>
      <c r="E62" s="13"/>
      <c r="F62" s="13"/>
      <c r="G62" s="13"/>
      <c r="H62" s="34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4"/>
    </row>
    <row r="64" spans="1:8" x14ac:dyDescent="0.25">
      <c r="A64" s="13"/>
      <c r="B64" s="13"/>
      <c r="C64" s="13"/>
      <c r="D64" s="13"/>
      <c r="E64" s="13"/>
      <c r="F64" s="13"/>
      <c r="G64" s="13"/>
      <c r="H64" s="34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34"/>
    </row>
    <row r="66" spans="1:8" x14ac:dyDescent="0.25">
      <c r="A66" s="13"/>
      <c r="B66" s="13"/>
      <c r="C66" s="13"/>
      <c r="D66" s="13"/>
      <c r="E66" s="13"/>
      <c r="F66" s="13"/>
      <c r="G66" s="13"/>
      <c r="H66" s="34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34"/>
    </row>
    <row r="68" spans="1:8" x14ac:dyDescent="0.25">
      <c r="A68" s="34"/>
      <c r="B68" s="34"/>
      <c r="C68" s="34"/>
      <c r="D68" s="34"/>
      <c r="E68" s="34"/>
      <c r="F68" s="34"/>
      <c r="G68" s="34"/>
      <c r="H68" s="34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34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34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34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34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34"/>
    </row>
    <row r="76" spans="1:8" x14ac:dyDescent="0.25">
      <c r="B76" s="37" t="s">
        <v>80</v>
      </c>
    </row>
    <row r="92" spans="2:2" x14ac:dyDescent="0.25">
      <c r="B92" s="37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2024-05-08T13:47:25Z</dcterms:created>
  <dcterms:modified xsi:type="dcterms:W3CDTF">2024-05-08T13:47:26Z</dcterms:modified>
</cp:coreProperties>
</file>