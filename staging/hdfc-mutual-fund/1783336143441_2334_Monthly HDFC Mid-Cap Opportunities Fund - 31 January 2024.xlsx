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13_ncr:1_{DA574112-8E30-4D6B-89C5-ABB8A1D846BF}" xr6:coauthVersionLast="36" xr6:coauthVersionMax="36" xr10:uidLastSave="{00000000-0000-0000-0000-000000000000}"/>
  <bookViews>
    <workbookView xWindow="0" yWindow="0" windowWidth="28800" windowHeight="12225" xr2:uid="{0606D3EB-D2BE-49DF-AB3C-85B8748F11FB}"/>
  </bookViews>
  <sheets>
    <sheet name="MIDCAP" sheetId="1" r:id="rId1"/>
    <sheet name="DerivativeMIDCA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A7" i="2"/>
</calcChain>
</file>

<file path=xl/sharedStrings.xml><?xml version="1.0" encoding="utf-8"?>
<sst xmlns="http://schemas.openxmlformats.org/spreadsheetml/2006/main" count="650" uniqueCount="237">
  <si>
    <t>HDFC Mid-Cap Opportunities Fund (An open ended equity scheme predominantly investing in mid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</si>
  <si>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</si>
  <si>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</si>
  <si>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</si>
  <si>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</si>
  <si>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</si>
  <si>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</si>
  <si>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</si>
  <si>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</si>
  <si>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</si>
  <si>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</si>
  <si>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</si>
  <si>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</si>
  <si>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</si>
  <si>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</si>
  <si>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</si>
  <si>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</si>
  <si>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</si>
  <si>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</si>
  <si>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INE053A01029</t>
  </si>
  <si>
    <t/>
  </si>
  <si>
    <t>Indian Hotels Company Ltd.</t>
  </si>
  <si>
    <t>Leisure Services</t>
  </si>
  <si>
    <t>INE438A01022</t>
  </si>
  <si>
    <t>Apollo Tyres Ltd.</t>
  </si>
  <si>
    <t>Auto Components</t>
  </si>
  <si>
    <t>INE027H01010</t>
  </si>
  <si>
    <t>Max Healthcare Institute Limited</t>
  </si>
  <si>
    <t>Healthcare Services</t>
  </si>
  <si>
    <t>INE171A01029</t>
  </si>
  <si>
    <t>The Federal Bank Ltd.</t>
  </si>
  <si>
    <t>Banks</t>
  </si>
  <si>
    <t>INE151A01013</t>
  </si>
  <si>
    <t>Tata Communications Limited</t>
  </si>
  <si>
    <t>Telecom - Services</t>
  </si>
  <si>
    <t>INE591G01017</t>
  </si>
  <si>
    <t>Coforge Limited</t>
  </si>
  <si>
    <t>IT - Software</t>
  </si>
  <si>
    <t>INE562A01011</t>
  </si>
  <si>
    <t>Indian Bank</t>
  </si>
  <si>
    <t>INE180A01020</t>
  </si>
  <si>
    <t>Max Financial Services Ltd.</t>
  </si>
  <si>
    <t>Insurance</t>
  </si>
  <si>
    <t>INE262H01013</t>
  </si>
  <si>
    <t>Persistent Systems Limited</t>
  </si>
  <si>
    <t>INE094A01015</t>
  </si>
  <si>
    <t>Hindustan Petroleum Corp. Ltd.</t>
  </si>
  <si>
    <t>Petroleum Products</t>
  </si>
  <si>
    <t>INE571A01038</t>
  </si>
  <si>
    <t>Ipca Laboratories Ltd.</t>
  </si>
  <si>
    <t>Pharmaceuticals &amp; Biotechnology</t>
  </si>
  <si>
    <t>INE134E01011</t>
  </si>
  <si>
    <t>Power Finance Corporation Ltd.</t>
  </si>
  <si>
    <t>Finance</t>
  </si>
  <si>
    <t>INE020B01018</t>
  </si>
  <si>
    <t>REC Limited.</t>
  </si>
  <si>
    <t>INE212H01026</t>
  </si>
  <si>
    <t>AIA Engineering Ltd.</t>
  </si>
  <si>
    <t>Industrial Products</t>
  </si>
  <si>
    <t>INE406A01037</t>
  </si>
  <si>
    <t>Aurobindo Pharma Ltd.</t>
  </si>
  <si>
    <t>INE692A01016</t>
  </si>
  <si>
    <t>Union Bank of India</t>
  </si>
  <si>
    <t>INE066F01020</t>
  </si>
  <si>
    <t>Hindustan Aeronautics Limited</t>
  </si>
  <si>
    <t>Aerospace &amp; Defense</t>
  </si>
  <si>
    <t>INE787D01026</t>
  </si>
  <si>
    <t>Balkrishna Industries Ltd.</t>
  </si>
  <si>
    <t>INE387A01021</t>
  </si>
  <si>
    <t>Sundram Fasteners Ltd.</t>
  </si>
  <si>
    <t>INE749A01030</t>
  </si>
  <si>
    <t>Jindal Steel &amp; Power Ltd.</t>
  </si>
  <si>
    <t>Ferrous Metals</t>
  </si>
  <si>
    <t>INE263A01024</t>
  </si>
  <si>
    <t>Bharat Electronics Ltd.</t>
  </si>
  <si>
    <t>INE640A01023</t>
  </si>
  <si>
    <t>SKF India Ltd.</t>
  </si>
  <si>
    <t>INE774D01024</t>
  </si>
  <si>
    <t>Mahindra &amp; Mahindra Financial Services Ltd.</t>
  </si>
  <si>
    <t>INE343H01029</t>
  </si>
  <si>
    <t>Solar Industries India Ltd.</t>
  </si>
  <si>
    <t>Chemicals &amp; Petrochemicals</t>
  </si>
  <si>
    <t>INE299U01018</t>
  </si>
  <si>
    <t>Crompton Greaves Consumer Elec. Ltd.</t>
  </si>
  <si>
    <t>Consumer Durables</t>
  </si>
  <si>
    <t>INE935N01020</t>
  </si>
  <si>
    <t>Dixon Technologies (India) Ltd.</t>
  </si>
  <si>
    <t>INE298A01020</t>
  </si>
  <si>
    <t>Cummins India Ltd.</t>
  </si>
  <si>
    <t>INE356A01018</t>
  </si>
  <si>
    <t>MphasiS Limited.</t>
  </si>
  <si>
    <t>INE012A01025</t>
  </si>
  <si>
    <t>ACC Ltd.</t>
  </si>
  <si>
    <t>Cement &amp; Cement Products</t>
  </si>
  <si>
    <t>INE195A01028</t>
  </si>
  <si>
    <t>Supreme Industries Ltd.</t>
  </si>
  <si>
    <t>INE09N301011</t>
  </si>
  <si>
    <t>GUJARAT FLUOROCHEMICALS LIMITED</t>
  </si>
  <si>
    <t>INE881D01027</t>
  </si>
  <si>
    <t>Oracle Financial Ser Software Ltd.</t>
  </si>
  <si>
    <t>INE949L01017</t>
  </si>
  <si>
    <t>Au Small Finance Bank Ltd.</t>
  </si>
  <si>
    <t>INE061F01013</t>
  </si>
  <si>
    <t>Fortis Healthcare Limited</t>
  </si>
  <si>
    <t>INE417T01026</t>
  </si>
  <si>
    <t>PB FINTECH LIMITED (Policy Bazaar)</t>
  </si>
  <si>
    <t>Financial Technology (Fintech)</t>
  </si>
  <si>
    <t>INE036D01028</t>
  </si>
  <si>
    <t>Karur Vysya Bank Ltd.</t>
  </si>
  <si>
    <t>INE634I01029</t>
  </si>
  <si>
    <t>KNR Construction limited.</t>
  </si>
  <si>
    <t>Construction</t>
  </si>
  <si>
    <t>INE891D01026</t>
  </si>
  <si>
    <t>Redington Ltd.</t>
  </si>
  <si>
    <t>Commercial Services &amp; Supplies</t>
  </si>
  <si>
    <t>INE389H01022</t>
  </si>
  <si>
    <t>KEC International Ltd.</t>
  </si>
  <si>
    <t>Electrical Equipment</t>
  </si>
  <si>
    <t>INE769A01020</t>
  </si>
  <si>
    <t>Aarti Industries Ltd.</t>
  </si>
  <si>
    <t>INE935A01035</t>
  </si>
  <si>
    <t>Glenmark Pharmaceuticals Ltd.</t>
  </si>
  <si>
    <t>INE298J01013</t>
  </si>
  <si>
    <t>Nippon Life India Asset Management Limited</t>
  </si>
  <si>
    <t>Capital Markets</t>
  </si>
  <si>
    <t>INE068V01023</t>
  </si>
  <si>
    <t>Gland Pharma Ltd.</t>
  </si>
  <si>
    <t>INE544R01021</t>
  </si>
  <si>
    <t>Greenlam Industries Ltd.</t>
  </si>
  <si>
    <t>INE092A01019</t>
  </si>
  <si>
    <t>Tata Chemicals Ltd.</t>
  </si>
  <si>
    <t>INE121A01024</t>
  </si>
  <si>
    <t>Cholamandalam Investment &amp; Finance Co. Ltd.</t>
  </si>
  <si>
    <t>INE491A01021</t>
  </si>
  <si>
    <t>City Union Bank Ltd.</t>
  </si>
  <si>
    <t>INE034A01011</t>
  </si>
  <si>
    <t>Arvind Limited</t>
  </si>
  <si>
    <t>Textiles &amp; Apparels</t>
  </si>
  <si>
    <t>INE548C01032</t>
  </si>
  <si>
    <t>Emami Ltd.</t>
  </si>
  <si>
    <t>Personal Products</t>
  </si>
  <si>
    <t>INE825A01020</t>
  </si>
  <si>
    <t>Vardhman Textiles Ltd.</t>
  </si>
  <si>
    <t>INE225D01027</t>
  </si>
  <si>
    <t>Symphony Ltd.</t>
  </si>
  <si>
    <t>INE256A01028</t>
  </si>
  <si>
    <t>Zee Entertainment Enterprises Ltd.</t>
  </si>
  <si>
    <t>Entertainment</t>
  </si>
  <si>
    <t>INE128S01021</t>
  </si>
  <si>
    <t>Five-Star Business Finance Limited</t>
  </si>
  <si>
    <t>INE149A01033</t>
  </si>
  <si>
    <t>Cholamandalam Financial Holdings Ltd.</t>
  </si>
  <si>
    <t>INE325A01013</t>
  </si>
  <si>
    <t>Timken India Ltd.</t>
  </si>
  <si>
    <t>INE386A01015</t>
  </si>
  <si>
    <t>Vesuvius India Ltd.</t>
  </si>
  <si>
    <t>INE100A01010</t>
  </si>
  <si>
    <t>Atul Ltd.</t>
  </si>
  <si>
    <t>INE917M01012</t>
  </si>
  <si>
    <t>Dilip Buildcon Ltd.</t>
  </si>
  <si>
    <t>INE060A01024</t>
  </si>
  <si>
    <t>Navneet Education Ltd.</t>
  </si>
  <si>
    <t>Printing &amp; Publication</t>
  </si>
  <si>
    <t>INE073K01018</t>
  </si>
  <si>
    <t>Sona Blw Precision Forgings</t>
  </si>
  <si>
    <t>INE08ZM01014</t>
  </si>
  <si>
    <t>Greenpanel Industries Limited</t>
  </si>
  <si>
    <t>INE710A01016</t>
  </si>
  <si>
    <t>VST Industries Ltd.</t>
  </si>
  <si>
    <t>Cigarettes &amp; Tobacco Products</t>
  </si>
  <si>
    <t>INE461C01038</t>
  </si>
  <si>
    <t>Greenply Industries Ltd.</t>
  </si>
  <si>
    <t>INE513A01022</t>
  </si>
  <si>
    <t>Schaeffler India Ltd.</t>
  </si>
  <si>
    <t>INE435G01025</t>
  </si>
  <si>
    <t>Dhanuka Agritech Ltd.</t>
  </si>
  <si>
    <t>Fertilizers &amp; Agrochemicals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</si>
  <si>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</si>
  <si>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</si>
  <si>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</si>
  <si>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</si>
  <si>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</si>
  <si>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</si>
  <si>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</si>
  <si>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</si>
  <si>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</si>
  <si>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</si>
  <si>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</si>
  <si>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</si>
  <si>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</si>
  <si>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</si>
  <si>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</si>
  <si>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</si>
  <si>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</si>
  <si>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</si>
  <si>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</si>
  <si>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</si>
  <si>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</si>
  <si>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</si>
  <si>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</si>
  <si>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</si>
  <si>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</si>
  <si>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</si>
  <si>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</si>
  <si>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</si>
  <si>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</si>
  <si>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</si>
  <si>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</si>
  <si>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</si>
  <si>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</si>
  <si>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</si>
  <si>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</si>
  <si>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</si>
  <si>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</si>
  <si>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</si>
  <si>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</si>
  <si>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Rs. 109043 Lacs</t>
  </si>
  <si>
    <t>6) Portfolio Turnover Ratio : 19.09%</t>
  </si>
  <si>
    <t>7) Total value and percentage of Illiquid Equity Shares : Nil</t>
  </si>
  <si>
    <t>8) Total outstanding exposure in Derivative Instruments in Nifty Index is Rs. 109043 Lacs which is 1.85% of NAV as on 31-Jan-2024</t>
  </si>
  <si>
    <t>9) IDCW stands for Income Distribution cum Capital Withdrawal</t>
  </si>
  <si>
    <t>10) Riskometer based on Scheme Portfolio and Portfolio Benchmark "NIFTY Midcap 150" as on Jan 31, 2024</t>
  </si>
  <si>
    <t>Scheme Riskometer:</t>
  </si>
  <si>
    <t>Benchmark Riskometer:</t>
  </si>
  <si>
    <t>DERIVATIVE DISCLOSURE - MIDCAP - HDFC Mid-Cap Opportunities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</si>
  <si>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</si>
  <si>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</si>
  <si>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</si>
  <si>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</si>
  <si>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</si>
  <si>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</si>
  <si>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</si>
  <si>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</si>
  <si>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</si>
  <si>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MIDCAP - HDFC Mid-Cap Opportunities Fund</t>
  </si>
  <si>
    <t>Nifty29-02-2024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</si>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</sst>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7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  <xf numFmtId="43" fontId="13" fillId="0" borderId="0" xfId="1" applyNumberFormat="1" applyFont="1" applyFill="1" applyBorder="1" applyAlignment="1"/>
  </cellXfs>
  <cellStyles count="4">
    <cellStyle name="Comma 2" xfId="3" xr:uid="{3CC5E562-FDEF-4CAB-8DFE-DF8A6A9E710E}"/>
    <cellStyle name="Comma 3" xfId="2" xr:uid="{F2A1F2C0-C138-4A1C-A139-F847DBD9A18F}"/>
    <cellStyle name="Normal" xfId="0" builtinId="0"/>
    <cellStyle name="Normal 2" xfId="1" xr:uid="{61DE9D27-AD3A-49E6-9B50-FB8791981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82754-1E2A-45CC-BC3D-4F104FE96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99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C1345-F71F-4E08-92B5-EF1E94DF25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4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7">
          <cell r="A7" t="str">
            <v>A.  Hedging Positions through Futures as on  January 31, 2023</v>
          </cell>
        </row>
      </sheetData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D81D-42EE-461C-AD7A-45323F18173C}">
  <sheetPr codeName="Sheet48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.75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46977158</v>
      </c>
      <c r="G9" s="13">
        <v>231432.97</v>
      </c>
      <c r="H9" s="13">
        <v>3.92</v>
      </c>
      <c r="I9" s="14" t="s">
        <v>20</v>
      </c>
      <c r="J9" s="14" t="s">
        <v>20</v>
      </c>
      <c r="K9" s="15">
        <v>0</v>
      </c>
      <c r="L9" s="16">
        <v>3.92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41892187</v>
      </c>
      <c r="G10" s="13">
        <v>226427.27</v>
      </c>
      <c r="H10" s="13">
        <v>3.84</v>
      </c>
      <c r="I10" s="14" t="s">
        <v>20</v>
      </c>
      <c r="J10" s="14" t="s">
        <v>20</v>
      </c>
      <c r="K10" s="15">
        <v>0</v>
      </c>
      <c r="L10" s="16">
        <v>3.84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24302305</v>
      </c>
      <c r="G11" s="13">
        <v>189752.4</v>
      </c>
      <c r="H11" s="13">
        <v>3.21</v>
      </c>
      <c r="I11" s="14" t="s">
        <v>20</v>
      </c>
      <c r="J11" s="14" t="s">
        <v>20</v>
      </c>
      <c r="K11" s="15">
        <v>0</v>
      </c>
      <c r="L11" s="16">
        <v>3.21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123491292</v>
      </c>
      <c r="G12" s="13">
        <v>181902.67</v>
      </c>
      <c r="H12" s="13">
        <v>3.08</v>
      </c>
      <c r="I12" s="14" t="s">
        <v>20</v>
      </c>
      <c r="J12" s="14" t="s">
        <v>20</v>
      </c>
      <c r="K12" s="15">
        <v>0</v>
      </c>
      <c r="L12" s="16">
        <v>3.08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10094194</v>
      </c>
      <c r="G13" s="13">
        <v>175341.2</v>
      </c>
      <c r="H13" s="13">
        <v>2.97</v>
      </c>
      <c r="I13" s="14" t="s">
        <v>20</v>
      </c>
      <c r="J13" s="14" t="s">
        <v>20</v>
      </c>
      <c r="K13" s="15">
        <v>0</v>
      </c>
      <c r="L13" s="16">
        <v>2.97</v>
      </c>
    </row>
    <row r="14" spans="1:12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2748521</v>
      </c>
      <c r="G14" s="13">
        <v>171785.31</v>
      </c>
      <c r="H14" s="13">
        <v>2.91</v>
      </c>
      <c r="I14" s="14" t="s">
        <v>20</v>
      </c>
      <c r="J14" s="14" t="s">
        <v>20</v>
      </c>
      <c r="K14" s="15">
        <v>0</v>
      </c>
      <c r="L14" s="16">
        <v>2.91</v>
      </c>
    </row>
    <row r="15" spans="1:12" x14ac:dyDescent="0.25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31</v>
      </c>
      <c r="F15" s="12">
        <v>34029890</v>
      </c>
      <c r="G15" s="13">
        <v>169758.11</v>
      </c>
      <c r="H15" s="13">
        <v>2.88</v>
      </c>
      <c r="I15" s="14" t="s">
        <v>20</v>
      </c>
      <c r="J15" s="14" t="s">
        <v>20</v>
      </c>
      <c r="K15" s="15">
        <v>0</v>
      </c>
      <c r="L15" s="16">
        <v>2.88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18782966</v>
      </c>
      <c r="G16" s="13">
        <v>167224.75</v>
      </c>
      <c r="H16" s="13">
        <v>2.83</v>
      </c>
      <c r="I16" s="14" t="s">
        <v>20</v>
      </c>
      <c r="J16" s="14" t="s">
        <v>20</v>
      </c>
      <c r="K16" s="15">
        <v>0</v>
      </c>
      <c r="L16" s="16">
        <v>2.83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37</v>
      </c>
      <c r="F17" s="12">
        <v>1830000</v>
      </c>
      <c r="G17" s="13">
        <v>152862.65</v>
      </c>
      <c r="H17" s="13">
        <v>2.59</v>
      </c>
      <c r="I17" s="14" t="s">
        <v>20</v>
      </c>
      <c r="J17" s="14" t="s">
        <v>20</v>
      </c>
      <c r="K17" s="15">
        <v>0</v>
      </c>
      <c r="L17" s="16">
        <v>2.59</v>
      </c>
    </row>
    <row r="18" spans="1:12" x14ac:dyDescent="0.25">
      <c r="A18" s="10" t="s">
        <v>18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32776255</v>
      </c>
      <c r="G18" s="13">
        <v>151836</v>
      </c>
      <c r="H18" s="13">
        <v>2.57</v>
      </c>
      <c r="I18" s="14" t="s">
        <v>20</v>
      </c>
      <c r="J18" s="14" t="s">
        <v>20</v>
      </c>
      <c r="K18" s="15">
        <v>0</v>
      </c>
      <c r="L18" s="16">
        <v>2.57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13486510</v>
      </c>
      <c r="G19" s="13">
        <v>151082.63</v>
      </c>
      <c r="H19" s="13">
        <v>2.56</v>
      </c>
      <c r="I19" s="14" t="s">
        <v>20</v>
      </c>
      <c r="J19" s="14" t="s">
        <v>20</v>
      </c>
      <c r="K19" s="15">
        <v>0</v>
      </c>
      <c r="L19" s="16">
        <v>2.56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34103123</v>
      </c>
      <c r="G20" s="13">
        <v>151162.09</v>
      </c>
      <c r="H20" s="13">
        <v>2.56</v>
      </c>
      <c r="I20" s="14" t="s">
        <v>20</v>
      </c>
      <c r="J20" s="14" t="s">
        <v>20</v>
      </c>
      <c r="K20" s="15">
        <v>0</v>
      </c>
      <c r="L20" s="16">
        <v>2.56</v>
      </c>
    </row>
    <row r="21" spans="1:12" x14ac:dyDescent="0.25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53</v>
      </c>
      <c r="F21" s="12">
        <v>29708193</v>
      </c>
      <c r="G21" s="13">
        <v>148258.74</v>
      </c>
      <c r="H21" s="13">
        <v>2.5099999999999998</v>
      </c>
      <c r="I21" s="14" t="s">
        <v>20</v>
      </c>
      <c r="J21" s="14" t="s">
        <v>20</v>
      </c>
      <c r="K21" s="15">
        <v>0</v>
      </c>
      <c r="L21" s="16">
        <v>2.5099999999999998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3479204</v>
      </c>
      <c r="G22" s="13">
        <v>142903.09</v>
      </c>
      <c r="H22" s="13">
        <v>2.42</v>
      </c>
      <c r="I22" s="14" t="s">
        <v>20</v>
      </c>
      <c r="J22" s="14" t="s">
        <v>20</v>
      </c>
      <c r="K22" s="15">
        <v>0</v>
      </c>
      <c r="L22" s="16">
        <v>2.42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50</v>
      </c>
      <c r="F23" s="12">
        <v>12022822</v>
      </c>
      <c r="G23" s="13">
        <v>138310.54</v>
      </c>
      <c r="H23" s="13">
        <v>2.34</v>
      </c>
      <c r="I23" s="14" t="s">
        <v>20</v>
      </c>
      <c r="J23" s="14" t="s">
        <v>20</v>
      </c>
      <c r="K23" s="15">
        <v>0</v>
      </c>
      <c r="L23" s="16">
        <v>2.34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31</v>
      </c>
      <c r="F24" s="12">
        <v>95552641</v>
      </c>
      <c r="G24" s="13">
        <v>133630.37</v>
      </c>
      <c r="H24" s="13">
        <v>2.2599999999999998</v>
      </c>
      <c r="I24" s="14" t="s">
        <v>20</v>
      </c>
      <c r="J24" s="14" t="s">
        <v>20</v>
      </c>
      <c r="K24" s="15">
        <v>0</v>
      </c>
      <c r="L24" s="16">
        <v>2.2599999999999998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4086355</v>
      </c>
      <c r="G25" s="13">
        <v>122566.13</v>
      </c>
      <c r="H25" s="13">
        <v>2.08</v>
      </c>
      <c r="I25" s="14" t="s">
        <v>20</v>
      </c>
      <c r="J25" s="14" t="s">
        <v>20</v>
      </c>
      <c r="K25" s="15">
        <v>0</v>
      </c>
      <c r="L25" s="16">
        <v>2.08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25</v>
      </c>
      <c r="F26" s="12">
        <v>4897599</v>
      </c>
      <c r="G26" s="13">
        <v>120199.32</v>
      </c>
      <c r="H26" s="13">
        <v>2.04</v>
      </c>
      <c r="I26" s="14" t="s">
        <v>20</v>
      </c>
      <c r="J26" s="14" t="s">
        <v>20</v>
      </c>
      <c r="K26" s="15">
        <v>0</v>
      </c>
      <c r="L26" s="16">
        <v>2.04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25</v>
      </c>
      <c r="F27" s="12">
        <v>9805937</v>
      </c>
      <c r="G27" s="13">
        <v>119549.08</v>
      </c>
      <c r="H27" s="13">
        <v>2.0299999999999998</v>
      </c>
      <c r="I27" s="14" t="s">
        <v>20</v>
      </c>
      <c r="J27" s="14" t="s">
        <v>20</v>
      </c>
      <c r="K27" s="15">
        <v>0</v>
      </c>
      <c r="L27" s="16">
        <v>2.0299999999999998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72</v>
      </c>
      <c r="F28" s="12">
        <v>14982933</v>
      </c>
      <c r="G28" s="13">
        <v>113443.28</v>
      </c>
      <c r="H28" s="13">
        <v>1.92</v>
      </c>
      <c r="I28" s="14" t="s">
        <v>20</v>
      </c>
      <c r="J28" s="14" t="s">
        <v>20</v>
      </c>
      <c r="K28" s="15">
        <v>0</v>
      </c>
      <c r="L28" s="16">
        <v>1.92</v>
      </c>
    </row>
    <row r="29" spans="1:12" x14ac:dyDescent="0.25">
      <c r="A29" s="10" t="s">
        <v>20</v>
      </c>
      <c r="B29" s="11" t="s">
        <v>73</v>
      </c>
      <c r="C29" s="11" t="s">
        <v>20</v>
      </c>
      <c r="D29" s="11" t="s">
        <v>74</v>
      </c>
      <c r="E29" s="11" t="s">
        <v>65</v>
      </c>
      <c r="F29" s="12">
        <v>59367915</v>
      </c>
      <c r="G29" s="13">
        <v>110364.95</v>
      </c>
      <c r="H29" s="13">
        <v>1.87</v>
      </c>
      <c r="I29" s="14" t="s">
        <v>20</v>
      </c>
      <c r="J29" s="14" t="s">
        <v>20</v>
      </c>
      <c r="K29" s="15">
        <v>0</v>
      </c>
      <c r="L29" s="16">
        <v>1.87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58</v>
      </c>
      <c r="F30" s="12">
        <v>2341291</v>
      </c>
      <c r="G30" s="13">
        <v>109849.86</v>
      </c>
      <c r="H30" s="13">
        <v>1.86</v>
      </c>
      <c r="I30" s="14" t="s">
        <v>20</v>
      </c>
      <c r="J30" s="14" t="s">
        <v>20</v>
      </c>
      <c r="K30" s="15">
        <v>0</v>
      </c>
      <c r="L30" s="16">
        <v>1.86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53</v>
      </c>
      <c r="F31" s="12">
        <v>32429749</v>
      </c>
      <c r="G31" s="13">
        <v>93786.83</v>
      </c>
      <c r="H31" s="13">
        <v>1.59</v>
      </c>
      <c r="I31" s="14" t="s">
        <v>20</v>
      </c>
      <c r="J31" s="14" t="s">
        <v>20</v>
      </c>
      <c r="K31" s="15">
        <v>0</v>
      </c>
      <c r="L31" s="16">
        <v>1.59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1360980</v>
      </c>
      <c r="G32" s="13">
        <v>87883.24</v>
      </c>
      <c r="H32" s="13">
        <v>1.49</v>
      </c>
      <c r="I32" s="14" t="s">
        <v>20</v>
      </c>
      <c r="J32" s="14" t="s">
        <v>20</v>
      </c>
      <c r="K32" s="15">
        <v>0</v>
      </c>
      <c r="L32" s="16">
        <v>1.49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28767054</v>
      </c>
      <c r="G33" s="13">
        <v>87149.79</v>
      </c>
      <c r="H33" s="13">
        <v>1.48</v>
      </c>
      <c r="I33" s="14" t="s">
        <v>20</v>
      </c>
      <c r="J33" s="14" t="s">
        <v>20</v>
      </c>
      <c r="K33" s="15">
        <v>0</v>
      </c>
      <c r="L33" s="16">
        <v>1.48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84</v>
      </c>
      <c r="F34" s="12">
        <v>1451014</v>
      </c>
      <c r="G34" s="13">
        <v>86931.7</v>
      </c>
      <c r="H34" s="13">
        <v>1.47</v>
      </c>
      <c r="I34" s="14" t="s">
        <v>20</v>
      </c>
      <c r="J34" s="14" t="s">
        <v>20</v>
      </c>
      <c r="K34" s="15">
        <v>0</v>
      </c>
      <c r="L34" s="16">
        <v>1.47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58</v>
      </c>
      <c r="F35" s="12">
        <v>3707341</v>
      </c>
      <c r="G35" s="13">
        <v>85040.84</v>
      </c>
      <c r="H35" s="13">
        <v>1.44</v>
      </c>
      <c r="I35" s="14" t="s">
        <v>20</v>
      </c>
      <c r="J35" s="14" t="s">
        <v>20</v>
      </c>
      <c r="K35" s="15">
        <v>0</v>
      </c>
      <c r="L35" s="16">
        <v>1.44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37</v>
      </c>
      <c r="F36" s="12">
        <v>3226960</v>
      </c>
      <c r="G36" s="13">
        <v>83852.56</v>
      </c>
      <c r="H36" s="13">
        <v>1.42</v>
      </c>
      <c r="I36" s="14" t="s">
        <v>20</v>
      </c>
      <c r="J36" s="14" t="s">
        <v>20</v>
      </c>
      <c r="K36" s="15">
        <v>0</v>
      </c>
      <c r="L36" s="16">
        <v>1.42</v>
      </c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93</v>
      </c>
      <c r="F37" s="12">
        <v>3221478</v>
      </c>
      <c r="G37" s="13">
        <v>81964.06</v>
      </c>
      <c r="H37" s="13">
        <v>1.39</v>
      </c>
      <c r="I37" s="14" t="s">
        <v>20</v>
      </c>
      <c r="J37" s="14" t="s">
        <v>20</v>
      </c>
      <c r="K37" s="15">
        <v>0</v>
      </c>
      <c r="L37" s="16">
        <v>1.39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58</v>
      </c>
      <c r="F38" s="12">
        <v>1866236</v>
      </c>
      <c r="G38" s="13">
        <v>77074.61</v>
      </c>
      <c r="H38" s="13">
        <v>1.31</v>
      </c>
      <c r="I38" s="14" t="s">
        <v>20</v>
      </c>
      <c r="J38" s="14" t="s">
        <v>20</v>
      </c>
      <c r="K38" s="15">
        <v>0</v>
      </c>
      <c r="L38" s="16">
        <v>1.31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81</v>
      </c>
      <c r="F39" s="12">
        <v>1990000</v>
      </c>
      <c r="G39" s="13">
        <v>73314.59</v>
      </c>
      <c r="H39" s="13">
        <v>1.24</v>
      </c>
      <c r="I39" s="14" t="s">
        <v>20</v>
      </c>
      <c r="J39" s="14" t="s">
        <v>20</v>
      </c>
      <c r="K39" s="15">
        <v>0</v>
      </c>
      <c r="L39" s="16">
        <v>1.24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37</v>
      </c>
      <c r="F40" s="12">
        <v>1086809</v>
      </c>
      <c r="G40" s="13">
        <v>70871.899999999994</v>
      </c>
      <c r="H40" s="13">
        <v>1.2</v>
      </c>
      <c r="I40" s="14" t="s">
        <v>20</v>
      </c>
      <c r="J40" s="14" t="s">
        <v>20</v>
      </c>
      <c r="K40" s="15">
        <v>0</v>
      </c>
      <c r="L40" s="16">
        <v>1.2</v>
      </c>
    </row>
    <row r="41" spans="1:12" x14ac:dyDescent="0.25">
      <c r="A41" s="10" t="s">
        <v>20</v>
      </c>
      <c r="B41" s="11" t="s">
        <v>100</v>
      </c>
      <c r="C41" s="11" t="s">
        <v>20</v>
      </c>
      <c r="D41" s="11" t="s">
        <v>101</v>
      </c>
      <c r="E41" s="11" t="s">
        <v>31</v>
      </c>
      <c r="F41" s="12">
        <v>11050013</v>
      </c>
      <c r="G41" s="13">
        <v>70344.38</v>
      </c>
      <c r="H41" s="13">
        <v>1.19</v>
      </c>
      <c r="I41" s="14" t="s">
        <v>20</v>
      </c>
      <c r="J41" s="14" t="s">
        <v>20</v>
      </c>
      <c r="K41" s="15">
        <v>0</v>
      </c>
      <c r="L41" s="16">
        <v>1.19</v>
      </c>
    </row>
    <row r="42" spans="1:12" x14ac:dyDescent="0.25">
      <c r="A42" s="10" t="s">
        <v>20</v>
      </c>
      <c r="B42" s="11" t="s">
        <v>102</v>
      </c>
      <c r="C42" s="11" t="s">
        <v>20</v>
      </c>
      <c r="D42" s="11" t="s">
        <v>103</v>
      </c>
      <c r="E42" s="11" t="s">
        <v>28</v>
      </c>
      <c r="F42" s="12">
        <v>15667756</v>
      </c>
      <c r="G42" s="13">
        <v>67669.039999999994</v>
      </c>
      <c r="H42" s="13">
        <v>1.1499999999999999</v>
      </c>
      <c r="I42" s="14" t="s">
        <v>20</v>
      </c>
      <c r="J42" s="14" t="s">
        <v>20</v>
      </c>
      <c r="K42" s="15">
        <v>0</v>
      </c>
      <c r="L42" s="16">
        <v>1.1499999999999999</v>
      </c>
    </row>
    <row r="43" spans="1:12" x14ac:dyDescent="0.25">
      <c r="A43" s="10" t="s">
        <v>20</v>
      </c>
      <c r="B43" s="11" t="s">
        <v>104</v>
      </c>
      <c r="C43" s="11" t="s">
        <v>20</v>
      </c>
      <c r="D43" s="11" t="s">
        <v>105</v>
      </c>
      <c r="E43" s="11" t="s">
        <v>106</v>
      </c>
      <c r="F43" s="12">
        <v>6738865</v>
      </c>
      <c r="G43" s="13">
        <v>67550.38</v>
      </c>
      <c r="H43" s="13">
        <v>1.1399999999999999</v>
      </c>
      <c r="I43" s="14" t="s">
        <v>20</v>
      </c>
      <c r="J43" s="14" t="s">
        <v>20</v>
      </c>
      <c r="K43" s="15">
        <v>0</v>
      </c>
      <c r="L43" s="16">
        <v>1.1399999999999999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31</v>
      </c>
      <c r="F44" s="12">
        <v>33085000</v>
      </c>
      <c r="G44" s="13">
        <v>65624.100000000006</v>
      </c>
      <c r="H44" s="13">
        <v>1.1100000000000001</v>
      </c>
      <c r="I44" s="14" t="s">
        <v>20</v>
      </c>
      <c r="J44" s="14" t="s">
        <v>20</v>
      </c>
      <c r="K44" s="15">
        <v>0</v>
      </c>
      <c r="L44" s="16">
        <v>1.1100000000000001</v>
      </c>
    </row>
    <row r="45" spans="1:12" x14ac:dyDescent="0.25">
      <c r="A45" s="10" t="s">
        <v>20</v>
      </c>
      <c r="B45" s="11" t="s">
        <v>109</v>
      </c>
      <c r="C45" s="11" t="s">
        <v>20</v>
      </c>
      <c r="D45" s="11" t="s">
        <v>110</v>
      </c>
      <c r="E45" s="11" t="s">
        <v>111</v>
      </c>
      <c r="F45" s="12">
        <v>23564950</v>
      </c>
      <c r="G45" s="13">
        <v>65180.65</v>
      </c>
      <c r="H45" s="13">
        <v>1.1000000000000001</v>
      </c>
      <c r="I45" s="14" t="s">
        <v>20</v>
      </c>
      <c r="J45" s="14" t="s">
        <v>20</v>
      </c>
      <c r="K45" s="15">
        <v>0</v>
      </c>
      <c r="L45" s="16">
        <v>1.1000000000000001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114</v>
      </c>
      <c r="F46" s="12">
        <v>35461606</v>
      </c>
      <c r="G46" s="13">
        <v>63777.7</v>
      </c>
      <c r="H46" s="13">
        <v>1.08</v>
      </c>
      <c r="I46" s="14" t="s">
        <v>20</v>
      </c>
      <c r="J46" s="14" t="s">
        <v>20</v>
      </c>
      <c r="K46" s="15">
        <v>0</v>
      </c>
      <c r="L46" s="16">
        <v>1.08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117</v>
      </c>
      <c r="F47" s="12">
        <v>9032350</v>
      </c>
      <c r="G47" s="13">
        <v>59401.25</v>
      </c>
      <c r="H47" s="13">
        <v>1.01</v>
      </c>
      <c r="I47" s="14" t="s">
        <v>20</v>
      </c>
      <c r="J47" s="14" t="s">
        <v>20</v>
      </c>
      <c r="K47" s="15">
        <v>0</v>
      </c>
      <c r="L47" s="16">
        <v>1.01</v>
      </c>
    </row>
    <row r="48" spans="1:12" x14ac:dyDescent="0.2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81</v>
      </c>
      <c r="F48" s="12">
        <v>8031125</v>
      </c>
      <c r="G48" s="13">
        <v>52933.14</v>
      </c>
      <c r="H48" s="13">
        <v>0.9</v>
      </c>
      <c r="I48" s="14" t="s">
        <v>20</v>
      </c>
      <c r="J48" s="14" t="s">
        <v>20</v>
      </c>
      <c r="K48" s="15">
        <v>0</v>
      </c>
      <c r="L48" s="16">
        <v>0.9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50</v>
      </c>
      <c r="F49" s="12">
        <v>5677600</v>
      </c>
      <c r="G49" s="13">
        <v>51677.52</v>
      </c>
      <c r="H49" s="13">
        <v>0.88</v>
      </c>
      <c r="I49" s="14" t="s">
        <v>20</v>
      </c>
      <c r="J49" s="14" t="s">
        <v>20</v>
      </c>
      <c r="K49" s="15">
        <v>0</v>
      </c>
      <c r="L49" s="16">
        <v>0.88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124</v>
      </c>
      <c r="F50" s="12">
        <v>9680093</v>
      </c>
      <c r="G50" s="13">
        <v>50796.29</v>
      </c>
      <c r="H50" s="13">
        <v>0.86</v>
      </c>
      <c r="I50" s="14" t="s">
        <v>20</v>
      </c>
      <c r="J50" s="14" t="s">
        <v>20</v>
      </c>
      <c r="K50" s="15">
        <v>0</v>
      </c>
      <c r="L50" s="16">
        <v>0.86</v>
      </c>
    </row>
    <row r="51" spans="1:12" x14ac:dyDescent="0.2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50</v>
      </c>
      <c r="F51" s="12">
        <v>2505116</v>
      </c>
      <c r="G51" s="13">
        <v>49013.85</v>
      </c>
      <c r="H51" s="13">
        <v>0.83</v>
      </c>
      <c r="I51" s="14" t="s">
        <v>20</v>
      </c>
      <c r="J51" s="14" t="s">
        <v>20</v>
      </c>
      <c r="K51" s="15">
        <v>0</v>
      </c>
      <c r="L51" s="16">
        <v>0.83</v>
      </c>
    </row>
    <row r="52" spans="1:12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84</v>
      </c>
      <c r="F52" s="12">
        <v>8757504</v>
      </c>
      <c r="G52" s="13">
        <v>47128.51</v>
      </c>
      <c r="H52" s="13">
        <v>0.8</v>
      </c>
      <c r="I52" s="14" t="s">
        <v>20</v>
      </c>
      <c r="J52" s="14" t="s">
        <v>20</v>
      </c>
      <c r="K52" s="15">
        <v>0</v>
      </c>
      <c r="L52" s="16">
        <v>0.8</v>
      </c>
    </row>
    <row r="53" spans="1:12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81</v>
      </c>
      <c r="F53" s="12">
        <v>4260000</v>
      </c>
      <c r="G53" s="13">
        <v>43794.93</v>
      </c>
      <c r="H53" s="13">
        <v>0.74</v>
      </c>
      <c r="I53" s="14" t="s">
        <v>20</v>
      </c>
      <c r="J53" s="14" t="s">
        <v>20</v>
      </c>
      <c r="K53" s="15">
        <v>0</v>
      </c>
      <c r="L53" s="16">
        <v>0.74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53</v>
      </c>
      <c r="F54" s="12">
        <v>3660363</v>
      </c>
      <c r="G54" s="13">
        <v>43344.19</v>
      </c>
      <c r="H54" s="13">
        <v>0.73</v>
      </c>
      <c r="I54" s="14" t="s">
        <v>20</v>
      </c>
      <c r="J54" s="14" t="s">
        <v>20</v>
      </c>
      <c r="K54" s="15">
        <v>0</v>
      </c>
      <c r="L54" s="16">
        <v>0.73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31</v>
      </c>
      <c r="F55" s="12">
        <v>26052000</v>
      </c>
      <c r="G55" s="13">
        <v>37749.35</v>
      </c>
      <c r="H55" s="13">
        <v>0.64</v>
      </c>
      <c r="I55" s="14" t="s">
        <v>20</v>
      </c>
      <c r="J55" s="14" t="s">
        <v>20</v>
      </c>
      <c r="K55" s="15">
        <v>0</v>
      </c>
      <c r="L55" s="16">
        <v>0.64</v>
      </c>
    </row>
    <row r="56" spans="1:12" x14ac:dyDescent="0.2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137</v>
      </c>
      <c r="F56" s="12">
        <v>11754532</v>
      </c>
      <c r="G56" s="13">
        <v>37026.78</v>
      </c>
      <c r="H56" s="13">
        <v>0.63</v>
      </c>
      <c r="I56" s="14" t="s">
        <v>20</v>
      </c>
      <c r="J56" s="14" t="s">
        <v>20</v>
      </c>
      <c r="K56" s="15">
        <v>0</v>
      </c>
      <c r="L56" s="16">
        <v>0.63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140</v>
      </c>
      <c r="F57" s="12">
        <v>7419485</v>
      </c>
      <c r="G57" s="13">
        <v>37086.300000000003</v>
      </c>
      <c r="H57" s="13">
        <v>0.63</v>
      </c>
      <c r="I57" s="14" t="s">
        <v>20</v>
      </c>
      <c r="J57" s="14" t="s">
        <v>20</v>
      </c>
      <c r="K57" s="15">
        <v>0</v>
      </c>
      <c r="L57" s="16">
        <v>0.63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137</v>
      </c>
      <c r="F58" s="12">
        <v>7743655</v>
      </c>
      <c r="G58" s="13">
        <v>33127.360000000001</v>
      </c>
      <c r="H58" s="13">
        <v>0.56000000000000005</v>
      </c>
      <c r="I58" s="14" t="s">
        <v>20</v>
      </c>
      <c r="J58" s="14" t="s">
        <v>20</v>
      </c>
      <c r="K58" s="15">
        <v>0</v>
      </c>
      <c r="L58" s="16">
        <v>0.56000000000000005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84</v>
      </c>
      <c r="F59" s="12">
        <v>3452327</v>
      </c>
      <c r="G59" s="13">
        <v>32476.04</v>
      </c>
      <c r="H59" s="13">
        <v>0.55000000000000004</v>
      </c>
      <c r="I59" s="14" t="s">
        <v>20</v>
      </c>
      <c r="J59" s="14" t="s">
        <v>20</v>
      </c>
      <c r="K59" s="15">
        <v>0</v>
      </c>
      <c r="L59" s="16">
        <v>0.55000000000000004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18888433</v>
      </c>
      <c r="G60" s="13">
        <v>32695.88</v>
      </c>
      <c r="H60" s="13">
        <v>0.55000000000000004</v>
      </c>
      <c r="I60" s="14" t="s">
        <v>20</v>
      </c>
      <c r="J60" s="14" t="s">
        <v>20</v>
      </c>
      <c r="K60" s="15">
        <v>0</v>
      </c>
      <c r="L60" s="16">
        <v>0.55000000000000004</v>
      </c>
    </row>
    <row r="61" spans="1:12" x14ac:dyDescent="0.25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53</v>
      </c>
      <c r="F61" s="12">
        <v>4135594</v>
      </c>
      <c r="G61" s="13">
        <v>31504.959999999999</v>
      </c>
      <c r="H61" s="13">
        <v>0.53</v>
      </c>
      <c r="I61" s="14" t="s">
        <v>20</v>
      </c>
      <c r="J61" s="14" t="s">
        <v>20</v>
      </c>
      <c r="K61" s="15">
        <v>0</v>
      </c>
      <c r="L61" s="16">
        <v>0.53</v>
      </c>
    </row>
    <row r="62" spans="1:12" x14ac:dyDescent="0.25">
      <c r="A62" s="10" t="s">
        <v>20</v>
      </c>
      <c r="B62" s="11" t="s">
        <v>150</v>
      </c>
      <c r="C62" s="11" t="s">
        <v>20</v>
      </c>
      <c r="D62" s="11" t="s">
        <v>151</v>
      </c>
      <c r="E62" s="11" t="s">
        <v>53</v>
      </c>
      <c r="F62" s="12">
        <v>2512940</v>
      </c>
      <c r="G62" s="13">
        <v>29646.41</v>
      </c>
      <c r="H62" s="13">
        <v>0.5</v>
      </c>
      <c r="I62" s="14" t="s">
        <v>20</v>
      </c>
      <c r="J62" s="14" t="s">
        <v>20</v>
      </c>
      <c r="K62" s="15">
        <v>0</v>
      </c>
      <c r="L62" s="16">
        <v>0.5</v>
      </c>
    </row>
    <row r="63" spans="1:12" x14ac:dyDescent="0.25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58</v>
      </c>
      <c r="F63" s="12">
        <v>791549</v>
      </c>
      <c r="G63" s="13">
        <v>26815.31</v>
      </c>
      <c r="H63" s="13">
        <v>0.45</v>
      </c>
      <c r="I63" s="14" t="s">
        <v>20</v>
      </c>
      <c r="J63" s="14" t="s">
        <v>20</v>
      </c>
      <c r="K63" s="15">
        <v>0</v>
      </c>
      <c r="L63" s="16">
        <v>0.45</v>
      </c>
    </row>
    <row r="64" spans="1:12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58</v>
      </c>
      <c r="F64" s="12">
        <v>736302</v>
      </c>
      <c r="G64" s="13">
        <v>26137.25</v>
      </c>
      <c r="H64" s="13">
        <v>0.44</v>
      </c>
      <c r="I64" s="14" t="s">
        <v>20</v>
      </c>
      <c r="J64" s="14" t="s">
        <v>20</v>
      </c>
      <c r="K64" s="15">
        <v>0</v>
      </c>
      <c r="L64" s="16">
        <v>0.44</v>
      </c>
    </row>
    <row r="65" spans="1:12" x14ac:dyDescent="0.25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81</v>
      </c>
      <c r="F65" s="12">
        <v>385807</v>
      </c>
      <c r="G65" s="13">
        <v>24812.21</v>
      </c>
      <c r="H65" s="13">
        <v>0.42</v>
      </c>
      <c r="I65" s="14" t="s">
        <v>20</v>
      </c>
      <c r="J65" s="14" t="s">
        <v>20</v>
      </c>
      <c r="K65" s="15">
        <v>0</v>
      </c>
      <c r="L65" s="16">
        <v>0.42</v>
      </c>
    </row>
    <row r="66" spans="1:12" x14ac:dyDescent="0.25">
      <c r="A66" s="10" t="s">
        <v>20</v>
      </c>
      <c r="B66" s="11" t="s">
        <v>158</v>
      </c>
      <c r="C66" s="11" t="s">
        <v>20</v>
      </c>
      <c r="D66" s="11" t="s">
        <v>159</v>
      </c>
      <c r="E66" s="11" t="s">
        <v>111</v>
      </c>
      <c r="F66" s="12">
        <v>6148090</v>
      </c>
      <c r="G66" s="13">
        <v>24620.03</v>
      </c>
      <c r="H66" s="13">
        <v>0.42</v>
      </c>
      <c r="I66" s="14" t="s">
        <v>20</v>
      </c>
      <c r="J66" s="14" t="s">
        <v>20</v>
      </c>
      <c r="K66" s="15">
        <v>0</v>
      </c>
      <c r="L66" s="16">
        <v>0.42</v>
      </c>
    </row>
    <row r="67" spans="1:12" x14ac:dyDescent="0.25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162</v>
      </c>
      <c r="F67" s="12">
        <v>16047670</v>
      </c>
      <c r="G67" s="13">
        <v>24633.17</v>
      </c>
      <c r="H67" s="13">
        <v>0.42</v>
      </c>
      <c r="I67" s="14" t="s">
        <v>20</v>
      </c>
      <c r="J67" s="14" t="s">
        <v>20</v>
      </c>
      <c r="K67" s="15">
        <v>0</v>
      </c>
      <c r="L67" s="16">
        <v>0.42</v>
      </c>
    </row>
    <row r="68" spans="1:12" x14ac:dyDescent="0.25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25</v>
      </c>
      <c r="F68" s="12">
        <v>4030003</v>
      </c>
      <c r="G68" s="13">
        <v>24913.48</v>
      </c>
      <c r="H68" s="13">
        <v>0.42</v>
      </c>
      <c r="I68" s="14" t="s">
        <v>20</v>
      </c>
      <c r="J68" s="14" t="s">
        <v>20</v>
      </c>
      <c r="K68" s="15">
        <v>0</v>
      </c>
      <c r="L68" s="16">
        <v>0.42</v>
      </c>
    </row>
    <row r="69" spans="1:12" x14ac:dyDescent="0.25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84</v>
      </c>
      <c r="F69" s="12">
        <v>6118945</v>
      </c>
      <c r="G69" s="13">
        <v>24448.240000000002</v>
      </c>
      <c r="H69" s="13">
        <v>0.41</v>
      </c>
      <c r="I69" s="14" t="s">
        <v>20</v>
      </c>
      <c r="J69" s="14" t="s">
        <v>20</v>
      </c>
      <c r="K69" s="15">
        <v>0</v>
      </c>
      <c r="L69" s="16">
        <v>0.41</v>
      </c>
    </row>
    <row r="70" spans="1:12" x14ac:dyDescent="0.25">
      <c r="A70" s="10" t="s">
        <v>20</v>
      </c>
      <c r="B70" s="11" t="s">
        <v>167</v>
      </c>
      <c r="C70" s="11" t="s">
        <v>20</v>
      </c>
      <c r="D70" s="11" t="s">
        <v>168</v>
      </c>
      <c r="E70" s="11" t="s">
        <v>169</v>
      </c>
      <c r="F70" s="12">
        <v>650000</v>
      </c>
      <c r="G70" s="13">
        <v>24055.85</v>
      </c>
      <c r="H70" s="13">
        <v>0.41</v>
      </c>
      <c r="I70" s="14" t="s">
        <v>20</v>
      </c>
      <c r="J70" s="14" t="s">
        <v>20</v>
      </c>
      <c r="K70" s="15">
        <v>0</v>
      </c>
      <c r="L70" s="16">
        <v>0.41</v>
      </c>
    </row>
    <row r="71" spans="1:12" x14ac:dyDescent="0.25">
      <c r="A71" s="10" t="s">
        <v>20</v>
      </c>
      <c r="B71" s="11" t="s">
        <v>170</v>
      </c>
      <c r="C71" s="11" t="s">
        <v>20</v>
      </c>
      <c r="D71" s="11" t="s">
        <v>171</v>
      </c>
      <c r="E71" s="11" t="s">
        <v>84</v>
      </c>
      <c r="F71" s="12">
        <v>5926227</v>
      </c>
      <c r="G71" s="13">
        <v>14587.41</v>
      </c>
      <c r="H71" s="13">
        <v>0.25</v>
      </c>
      <c r="I71" s="14" t="s">
        <v>20</v>
      </c>
      <c r="J71" s="14" t="s">
        <v>20</v>
      </c>
      <c r="K71" s="15">
        <v>0</v>
      </c>
      <c r="L71" s="16">
        <v>0.25</v>
      </c>
    </row>
    <row r="72" spans="1:12" x14ac:dyDescent="0.25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25</v>
      </c>
      <c r="F72" s="12">
        <v>444438</v>
      </c>
      <c r="G72" s="13">
        <v>13916.24</v>
      </c>
      <c r="H72" s="13">
        <v>0.24</v>
      </c>
      <c r="I72" s="14" t="s">
        <v>20</v>
      </c>
      <c r="J72" s="14" t="s">
        <v>20</v>
      </c>
      <c r="K72" s="15">
        <v>0</v>
      </c>
      <c r="L72" s="16">
        <v>0.24</v>
      </c>
    </row>
    <row r="73" spans="1:12" x14ac:dyDescent="0.25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176</v>
      </c>
      <c r="F73" s="12">
        <v>1053630</v>
      </c>
      <c r="G73" s="13">
        <v>12638.82</v>
      </c>
      <c r="H73" s="13">
        <v>0.21</v>
      </c>
      <c r="I73" s="14" t="s">
        <v>20</v>
      </c>
      <c r="J73" s="14" t="s">
        <v>20</v>
      </c>
      <c r="K73" s="15">
        <v>0</v>
      </c>
      <c r="L73" s="16">
        <v>0.21</v>
      </c>
    </row>
    <row r="74" spans="1:12" x14ac:dyDescent="0.25">
      <c r="A74" s="10" t="s">
        <v>20</v>
      </c>
      <c r="B74" s="11" t="s">
        <v>177</v>
      </c>
      <c r="C74" s="11" t="s">
        <v>20</v>
      </c>
      <c r="D74" s="11" t="s">
        <v>178</v>
      </c>
      <c r="E74" s="11" t="s">
        <v>22</v>
      </c>
      <c r="F74" s="12">
        <v>3125432</v>
      </c>
      <c r="G74" s="13">
        <v>12683</v>
      </c>
      <c r="H74" s="13">
        <v>0.21</v>
      </c>
      <c r="I74" s="14" t="s">
        <v>20</v>
      </c>
      <c r="J74" s="14" t="s">
        <v>20</v>
      </c>
      <c r="K74" s="15">
        <v>0</v>
      </c>
      <c r="L74" s="16">
        <v>0.21</v>
      </c>
    </row>
    <row r="75" spans="1:12" x14ac:dyDescent="0.25">
      <c r="A75" s="10" t="s">
        <v>20</v>
      </c>
      <c r="B75" s="11" t="s">
        <v>179</v>
      </c>
      <c r="C75" s="11" t="s">
        <v>20</v>
      </c>
      <c r="D75" s="11" t="s">
        <v>180</v>
      </c>
      <c r="E75" s="11" t="s">
        <v>22</v>
      </c>
      <c r="F75" s="12">
        <v>8114023</v>
      </c>
      <c r="G75" s="13">
        <v>11400.2</v>
      </c>
      <c r="H75" s="13">
        <v>0.19</v>
      </c>
      <c r="I75" s="14" t="s">
        <v>20</v>
      </c>
      <c r="J75" s="14" t="s">
        <v>20</v>
      </c>
      <c r="K75" s="15">
        <v>0</v>
      </c>
      <c r="L75" s="16">
        <v>0.19</v>
      </c>
    </row>
    <row r="76" spans="1:12" x14ac:dyDescent="0.25">
      <c r="A76" s="10" t="s">
        <v>20</v>
      </c>
      <c r="B76" s="11" t="s">
        <v>181</v>
      </c>
      <c r="C76" s="11" t="s">
        <v>20</v>
      </c>
      <c r="D76" s="11" t="s">
        <v>182</v>
      </c>
      <c r="E76" s="11" t="s">
        <v>183</v>
      </c>
      <c r="F76" s="12">
        <v>10059908</v>
      </c>
      <c r="G76" s="13">
        <v>10090.09</v>
      </c>
      <c r="H76" s="13">
        <v>0.17</v>
      </c>
      <c r="I76" s="14" t="s">
        <v>20</v>
      </c>
      <c r="J76" s="14" t="s">
        <v>20</v>
      </c>
      <c r="K76" s="15">
        <v>0</v>
      </c>
      <c r="L76" s="16">
        <v>0.17</v>
      </c>
    </row>
    <row r="77" spans="1:12" x14ac:dyDescent="0.25">
      <c r="A77" s="17"/>
      <c r="B77" s="9" t="s">
        <v>184</v>
      </c>
      <c r="C77" s="17"/>
      <c r="D77" s="17"/>
      <c r="E77" s="17"/>
      <c r="F77" s="17"/>
      <c r="G77" s="18">
        <v>5552813.8399999999</v>
      </c>
      <c r="H77" s="18">
        <v>94.049999999999969</v>
      </c>
      <c r="I77" s="17"/>
      <c r="J77" s="17"/>
      <c r="K77" s="17"/>
      <c r="L77" s="17"/>
    </row>
    <row r="78" spans="1:12" x14ac:dyDescent="0.25">
      <c r="A78" s="8"/>
      <c r="B78" s="9" t="s">
        <v>185</v>
      </c>
      <c r="C78" s="8"/>
      <c r="D78" s="8"/>
      <c r="E78" s="8"/>
      <c r="F78" s="8"/>
      <c r="G78" s="19">
        <v>5552813.8399999999</v>
      </c>
      <c r="H78" s="19">
        <v>94.049999999999969</v>
      </c>
      <c r="I78" s="8"/>
      <c r="J78" s="8"/>
      <c r="K78" s="8"/>
      <c r="L78" s="8"/>
    </row>
    <row r="79" spans="1:12" x14ac:dyDescent="0.25">
      <c r="A79" s="8"/>
      <c r="B79" s="9" t="s">
        <v>186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25">
      <c r="A80" s="8"/>
      <c r="B80" s="9" t="s">
        <v>187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25">
      <c r="A81" s="10" t="s">
        <v>20</v>
      </c>
      <c r="B81" s="11" t="s">
        <v>20</v>
      </c>
      <c r="C81" s="11" t="s">
        <v>20</v>
      </c>
      <c r="D81" s="11" t="s">
        <v>187</v>
      </c>
      <c r="E81" s="11" t="s">
        <v>20</v>
      </c>
      <c r="F81" s="12" t="s">
        <v>20</v>
      </c>
      <c r="G81" s="13">
        <v>330917.38</v>
      </c>
      <c r="H81" s="13">
        <v>5.61</v>
      </c>
      <c r="I81" s="14">
        <v>6.6988000000000003</v>
      </c>
      <c r="J81" s="14" t="s">
        <v>20</v>
      </c>
      <c r="K81" s="15" t="s">
        <v>20</v>
      </c>
      <c r="L81" s="16" t="s">
        <v>20</v>
      </c>
    </row>
    <row r="82" spans="1:12" x14ac:dyDescent="0.25">
      <c r="A82" s="17"/>
      <c r="B82" s="9" t="s">
        <v>184</v>
      </c>
      <c r="C82" s="17"/>
      <c r="D82" s="17"/>
      <c r="E82" s="17"/>
      <c r="F82" s="17"/>
      <c r="G82" s="18">
        <v>330917.38</v>
      </c>
      <c r="H82" s="18">
        <v>5.61</v>
      </c>
      <c r="I82" s="17"/>
      <c r="J82" s="17"/>
      <c r="K82" s="17"/>
      <c r="L82" s="17"/>
    </row>
    <row r="83" spans="1:12" x14ac:dyDescent="0.25">
      <c r="A83" s="8"/>
      <c r="B83" s="9" t="s">
        <v>185</v>
      </c>
      <c r="C83" s="8"/>
      <c r="D83" s="8"/>
      <c r="E83" s="8"/>
      <c r="F83" s="8"/>
      <c r="G83" s="19">
        <v>330917.38</v>
      </c>
      <c r="H83" s="19">
        <v>5.61</v>
      </c>
      <c r="I83" s="8"/>
      <c r="J83" s="8"/>
      <c r="K83" s="8"/>
      <c r="L83" s="8"/>
    </row>
    <row r="84" spans="1:12" x14ac:dyDescent="0.25">
      <c r="A84" s="8"/>
      <c r="B84" s="9" t="s">
        <v>188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8"/>
      <c r="B85" s="9" t="s">
        <v>189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5">
      <c r="A86" s="10" t="s">
        <v>20</v>
      </c>
      <c r="B86" s="11" t="s">
        <v>20</v>
      </c>
      <c r="C86" s="11" t="s">
        <v>20</v>
      </c>
      <c r="D86" s="11" t="s">
        <v>189</v>
      </c>
      <c r="E86" s="11" t="s">
        <v>20</v>
      </c>
      <c r="F86" s="12" t="s">
        <v>20</v>
      </c>
      <c r="G86" s="13">
        <v>19016.27</v>
      </c>
      <c r="H86" s="13">
        <v>0.34</v>
      </c>
      <c r="I86" s="14" t="s">
        <v>20</v>
      </c>
      <c r="J86" s="14" t="s">
        <v>20</v>
      </c>
      <c r="K86" s="15" t="s">
        <v>20</v>
      </c>
      <c r="L86" s="16" t="s">
        <v>20</v>
      </c>
    </row>
    <row r="87" spans="1:12" x14ac:dyDescent="0.25">
      <c r="A87" s="17"/>
      <c r="B87" s="9" t="s">
        <v>184</v>
      </c>
      <c r="C87" s="17"/>
      <c r="D87" s="17"/>
      <c r="E87" s="17"/>
      <c r="F87" s="17"/>
      <c r="G87" s="18">
        <v>19016.27</v>
      </c>
      <c r="H87" s="18">
        <v>0.34</v>
      </c>
      <c r="I87" s="17"/>
      <c r="J87" s="17"/>
      <c r="K87" s="17"/>
      <c r="L87" s="17"/>
    </row>
    <row r="88" spans="1:12" x14ac:dyDescent="0.25">
      <c r="A88" s="8"/>
      <c r="B88" s="9" t="s">
        <v>185</v>
      </c>
      <c r="C88" s="8"/>
      <c r="D88" s="8"/>
      <c r="E88" s="8"/>
      <c r="F88" s="8"/>
      <c r="G88" s="19">
        <v>19016.27</v>
      </c>
      <c r="H88" s="19">
        <v>0.34</v>
      </c>
      <c r="I88" s="8"/>
      <c r="J88" s="8"/>
      <c r="K88" s="8"/>
      <c r="L88" s="8"/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4"/>
      <c r="B90" s="20" t="s">
        <v>190</v>
      </c>
      <c r="C90" s="4"/>
      <c r="D90" s="4"/>
      <c r="E90" s="4"/>
      <c r="F90" s="4"/>
      <c r="G90" s="21">
        <v>5902747.4899999993</v>
      </c>
      <c r="H90" s="21">
        <v>99.999999999999972</v>
      </c>
      <c r="I90" s="4"/>
      <c r="J90" s="4"/>
      <c r="K90" s="4"/>
      <c r="L90" s="4"/>
    </row>
    <row r="91" spans="1:12" x14ac:dyDescent="0.25">
      <c r="A91" s="10" t="s">
        <v>18</v>
      </c>
      <c r="B91" s="35" t="s">
        <v>191</v>
      </c>
      <c r="C91" s="35" t="s">
        <v>191</v>
      </c>
      <c r="D91" s="35" t="s">
        <v>191</v>
      </c>
      <c r="E91" s="35" t="s">
        <v>191</v>
      </c>
      <c r="F91" s="35" t="s">
        <v>191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32" t="s">
        <v>192</v>
      </c>
      <c r="C92" s="32" t="s">
        <v>192</v>
      </c>
      <c r="D92" s="32" t="s">
        <v>192</v>
      </c>
      <c r="E92" s="32" t="s">
        <v>192</v>
      </c>
      <c r="F92" s="32" t="s">
        <v>192</v>
      </c>
      <c r="G92" s="11"/>
      <c r="H92" s="11"/>
      <c r="I92" s="11"/>
      <c r="J92" s="11"/>
      <c r="K92" s="11"/>
      <c r="L92" s="11"/>
    </row>
    <row r="93" spans="1:12" x14ac:dyDescent="0.25">
      <c r="A93" s="11"/>
      <c r="B93" s="32" t="s">
        <v>193</v>
      </c>
      <c r="C93" s="32" t="s">
        <v>193</v>
      </c>
      <c r="D93" s="32" t="s">
        <v>193</v>
      </c>
      <c r="E93" s="32" t="s">
        <v>193</v>
      </c>
      <c r="F93" s="32" t="s">
        <v>193</v>
      </c>
      <c r="G93" s="11"/>
      <c r="H93" s="11"/>
      <c r="I93" s="11"/>
      <c r="J93" s="11"/>
      <c r="K93" s="11"/>
      <c r="L93" s="11"/>
    </row>
    <row r="94" spans="1:12" x14ac:dyDescent="0.25">
      <c r="A94" s="11"/>
      <c r="B94" s="32" t="s">
        <v>194</v>
      </c>
      <c r="C94" s="32" t="s">
        <v>194</v>
      </c>
      <c r="D94" s="32" t="s">
        <v>194</v>
      </c>
      <c r="E94" s="32" t="s">
        <v>194</v>
      </c>
      <c r="F94" s="32" t="s">
        <v>194</v>
      </c>
      <c r="G94" s="11"/>
      <c r="H94" s="11"/>
      <c r="I94" s="11"/>
      <c r="J94" s="11"/>
      <c r="K94" s="11"/>
      <c r="L94" s="11"/>
    </row>
    <row r="95" spans="1:12" x14ac:dyDescent="0.25">
      <c r="A95" s="11"/>
      <c r="B95" s="32" t="s">
        <v>195</v>
      </c>
      <c r="C95" s="32" t="s">
        <v>195</v>
      </c>
      <c r="D95" s="32" t="s">
        <v>195</v>
      </c>
      <c r="E95" s="32" t="s">
        <v>195</v>
      </c>
      <c r="F95" s="32" t="s">
        <v>195</v>
      </c>
      <c r="G95" s="11"/>
      <c r="H95" s="11"/>
      <c r="I95" s="11"/>
      <c r="J95" s="11"/>
      <c r="K95" s="11"/>
      <c r="L95" s="11"/>
    </row>
    <row r="96" spans="1:12" x14ac:dyDescent="0.25">
      <c r="A96" s="11"/>
      <c r="B96" s="32" t="s">
        <v>196</v>
      </c>
      <c r="C96" s="32" t="s">
        <v>196</v>
      </c>
      <c r="D96" s="32" t="s">
        <v>196</v>
      </c>
      <c r="E96" s="32" t="s">
        <v>196</v>
      </c>
      <c r="F96" s="32" t="s">
        <v>196</v>
      </c>
      <c r="G96" s="11"/>
      <c r="H96" s="11"/>
      <c r="I96" s="11"/>
      <c r="J96" s="11"/>
      <c r="K96" s="11"/>
      <c r="L96" s="11"/>
    </row>
    <row r="97" spans="1:12" x14ac:dyDescent="0.25">
      <c r="A97" s="11"/>
      <c r="B97" s="32" t="s">
        <v>197</v>
      </c>
      <c r="C97" s="32" t="s">
        <v>197</v>
      </c>
      <c r="D97" s="32" t="s">
        <v>197</v>
      </c>
      <c r="E97" s="32" t="s">
        <v>197</v>
      </c>
      <c r="F97" s="32" t="s">
        <v>197</v>
      </c>
      <c r="G97" s="11"/>
      <c r="H97" s="11"/>
      <c r="I97" s="11"/>
      <c r="J97" s="11"/>
      <c r="K97" s="11"/>
      <c r="L97" s="11"/>
    </row>
    <row r="98" spans="1:12" x14ac:dyDescent="0.25">
      <c r="A98" s="11"/>
      <c r="B98" s="32" t="s">
        <v>198</v>
      </c>
      <c r="C98" s="32" t="s">
        <v>198</v>
      </c>
      <c r="D98" s="32" t="s">
        <v>198</v>
      </c>
      <c r="E98" s="32" t="s">
        <v>198</v>
      </c>
      <c r="F98" s="32" t="s">
        <v>198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11"/>
      <c r="F99" s="11"/>
      <c r="G99" s="11"/>
      <c r="H99" s="11"/>
    </row>
    <row r="100" spans="1:12" x14ac:dyDescent="0.25">
      <c r="A100" s="22"/>
      <c r="B100" s="23" t="s">
        <v>199</v>
      </c>
      <c r="C100" s="22"/>
      <c r="D100" s="22"/>
      <c r="E100" s="11"/>
      <c r="F100" s="11"/>
      <c r="G100" s="11"/>
      <c r="H100" s="11"/>
    </row>
    <row r="101" spans="1:12" x14ac:dyDescent="0.25">
      <c r="A101" s="22"/>
      <c r="B101" s="24" t="s">
        <v>31</v>
      </c>
      <c r="C101" s="25"/>
      <c r="D101" s="26">
        <v>11.16</v>
      </c>
      <c r="E101" s="11"/>
      <c r="F101" s="11"/>
      <c r="G101" s="11"/>
      <c r="H101" s="11"/>
    </row>
    <row r="102" spans="1:12" x14ac:dyDescent="0.25">
      <c r="A102" s="22"/>
      <c r="B102" s="24" t="s">
        <v>25</v>
      </c>
      <c r="C102" s="25"/>
      <c r="D102" s="26">
        <v>8.57</v>
      </c>
      <c r="E102" s="11"/>
      <c r="F102" s="11"/>
      <c r="G102" s="11"/>
      <c r="H102" s="11"/>
    </row>
    <row r="103" spans="1:12" x14ac:dyDescent="0.25">
      <c r="A103" s="22"/>
      <c r="B103" s="24" t="s">
        <v>53</v>
      </c>
      <c r="C103" s="25"/>
      <c r="D103" s="26">
        <v>8.42</v>
      </c>
      <c r="E103" s="11"/>
      <c r="F103" s="11"/>
      <c r="G103" s="11"/>
      <c r="H103" s="11"/>
    </row>
    <row r="104" spans="1:12" x14ac:dyDescent="0.25">
      <c r="A104" s="22"/>
      <c r="B104" s="24" t="s">
        <v>37</v>
      </c>
      <c r="C104" s="25"/>
      <c r="D104" s="26">
        <v>8.120000000000001</v>
      </c>
      <c r="E104" s="11"/>
      <c r="F104" s="11"/>
      <c r="G104" s="11"/>
      <c r="H104" s="11"/>
    </row>
    <row r="105" spans="1:12" x14ac:dyDescent="0.25">
      <c r="A105" s="22"/>
      <c r="B105" s="24" t="s">
        <v>58</v>
      </c>
      <c r="C105" s="25"/>
      <c r="D105" s="26">
        <v>7.92</v>
      </c>
      <c r="E105" s="11"/>
      <c r="F105" s="11"/>
      <c r="G105" s="11"/>
      <c r="H105" s="11"/>
    </row>
    <row r="106" spans="1:12" x14ac:dyDescent="0.25">
      <c r="A106" s="22"/>
      <c r="B106" s="24" t="s">
        <v>50</v>
      </c>
      <c r="C106" s="25"/>
      <c r="D106" s="26">
        <v>6.6099999999999994</v>
      </c>
      <c r="E106" s="11"/>
      <c r="F106" s="11"/>
      <c r="G106" s="11"/>
      <c r="H106" s="11"/>
    </row>
    <row r="107" spans="1:12" x14ac:dyDescent="0.25">
      <c r="A107" s="22"/>
      <c r="B107" s="24" t="s">
        <v>84</v>
      </c>
      <c r="C107" s="25"/>
      <c r="D107" s="26">
        <v>4.96</v>
      </c>
      <c r="E107" s="11"/>
      <c r="F107" s="11"/>
      <c r="G107" s="11"/>
      <c r="H107" s="11"/>
    </row>
    <row r="108" spans="1:12" x14ac:dyDescent="0.25">
      <c r="A108" s="22"/>
      <c r="B108" s="24" t="s">
        <v>81</v>
      </c>
      <c r="C108" s="25"/>
      <c r="D108" s="26">
        <v>4.79</v>
      </c>
      <c r="E108" s="11"/>
      <c r="F108" s="11"/>
      <c r="G108" s="11"/>
      <c r="H108" s="11"/>
    </row>
    <row r="109" spans="1:12" x14ac:dyDescent="0.25">
      <c r="A109" s="22"/>
      <c r="B109" s="24" t="s">
        <v>28</v>
      </c>
      <c r="C109" s="25"/>
      <c r="D109" s="26">
        <v>4.3599999999999994</v>
      </c>
      <c r="E109" s="11"/>
      <c r="F109" s="11"/>
      <c r="G109" s="11"/>
      <c r="H109" s="11"/>
    </row>
    <row r="110" spans="1:12" x14ac:dyDescent="0.25">
      <c r="A110" s="22"/>
      <c r="B110" s="24" t="s">
        <v>22</v>
      </c>
      <c r="C110" s="25"/>
      <c r="D110" s="26">
        <v>4.32</v>
      </c>
      <c r="E110" s="11"/>
      <c r="F110" s="11"/>
      <c r="G110" s="11"/>
      <c r="H110" s="11"/>
    </row>
    <row r="111" spans="1:12" x14ac:dyDescent="0.25">
      <c r="A111" s="22"/>
      <c r="B111" s="24" t="s">
        <v>65</v>
      </c>
      <c r="C111" s="25"/>
      <c r="D111" s="26">
        <v>3.95</v>
      </c>
      <c r="E111" s="11"/>
      <c r="F111" s="11"/>
      <c r="G111" s="11"/>
      <c r="H111" s="11"/>
    </row>
    <row r="112" spans="1:12" x14ac:dyDescent="0.25">
      <c r="A112" s="22"/>
      <c r="B112" s="24" t="s">
        <v>34</v>
      </c>
      <c r="C112" s="25"/>
      <c r="D112" s="26">
        <v>2.97</v>
      </c>
      <c r="E112" s="11"/>
      <c r="F112" s="11"/>
      <c r="G112" s="11"/>
      <c r="H112" s="11"/>
    </row>
    <row r="113" spans="1:8" x14ac:dyDescent="0.25">
      <c r="A113" s="22"/>
      <c r="B113" s="24" t="s">
        <v>42</v>
      </c>
      <c r="C113" s="25"/>
      <c r="D113" s="26">
        <v>2.83</v>
      </c>
      <c r="E113" s="11"/>
      <c r="F113" s="11"/>
      <c r="G113" s="11"/>
      <c r="H113" s="11"/>
    </row>
    <row r="114" spans="1:8" x14ac:dyDescent="0.25">
      <c r="A114" s="22"/>
      <c r="B114" s="24" t="s">
        <v>47</v>
      </c>
      <c r="C114" s="25"/>
      <c r="D114" s="26">
        <v>2.57</v>
      </c>
      <c r="E114" s="11"/>
      <c r="F114" s="11"/>
      <c r="G114" s="11"/>
      <c r="H114" s="11"/>
    </row>
    <row r="115" spans="1:8" x14ac:dyDescent="0.25">
      <c r="A115" s="22"/>
      <c r="B115" s="24" t="s">
        <v>72</v>
      </c>
      <c r="C115" s="25"/>
      <c r="D115" s="26">
        <v>1.92</v>
      </c>
      <c r="E115" s="11"/>
      <c r="F115" s="11"/>
      <c r="G115" s="11"/>
      <c r="H115" s="11"/>
    </row>
    <row r="116" spans="1:8" x14ac:dyDescent="0.25">
      <c r="A116" s="22"/>
      <c r="B116" s="24" t="s">
        <v>111</v>
      </c>
      <c r="C116" s="25"/>
      <c r="D116" s="26">
        <v>1.52</v>
      </c>
      <c r="E116" s="11"/>
      <c r="F116" s="11"/>
      <c r="G116" s="11"/>
      <c r="H116" s="11"/>
    </row>
    <row r="117" spans="1:8" x14ac:dyDescent="0.25">
      <c r="A117" s="22"/>
      <c r="B117" s="24" t="s">
        <v>93</v>
      </c>
      <c r="C117" s="25"/>
      <c r="D117" s="26">
        <v>1.39</v>
      </c>
      <c r="E117" s="11"/>
      <c r="F117" s="11"/>
      <c r="G117" s="11"/>
      <c r="H117" s="11"/>
    </row>
    <row r="118" spans="1:8" x14ac:dyDescent="0.25">
      <c r="A118" s="22"/>
      <c r="B118" s="24" t="s">
        <v>137</v>
      </c>
      <c r="C118" s="25"/>
      <c r="D118" s="26">
        <v>1.19</v>
      </c>
      <c r="E118" s="11"/>
      <c r="F118" s="11"/>
      <c r="G118" s="11"/>
      <c r="H118" s="11"/>
    </row>
    <row r="119" spans="1:8" x14ac:dyDescent="0.25">
      <c r="A119" s="22"/>
      <c r="B119" s="24" t="s">
        <v>106</v>
      </c>
      <c r="C119" s="25"/>
      <c r="D119" s="26">
        <v>1.1399999999999999</v>
      </c>
      <c r="E119" s="11"/>
      <c r="F119" s="11"/>
      <c r="G119" s="11"/>
      <c r="H119" s="11"/>
    </row>
    <row r="120" spans="1:8" x14ac:dyDescent="0.25">
      <c r="A120" s="22"/>
      <c r="B120" s="24" t="s">
        <v>114</v>
      </c>
      <c r="C120" s="25"/>
      <c r="D120" s="26">
        <v>1.08</v>
      </c>
      <c r="E120" s="11"/>
      <c r="F120" s="11"/>
      <c r="G120" s="11"/>
      <c r="H120" s="11"/>
    </row>
    <row r="121" spans="1:8" x14ac:dyDescent="0.25">
      <c r="A121" s="22"/>
      <c r="B121" s="24" t="s">
        <v>117</v>
      </c>
      <c r="C121" s="25"/>
      <c r="D121" s="26">
        <v>1.01</v>
      </c>
      <c r="E121" s="11"/>
      <c r="F121" s="11"/>
      <c r="G121" s="11"/>
      <c r="H121" s="11"/>
    </row>
    <row r="122" spans="1:8" x14ac:dyDescent="0.25">
      <c r="A122" s="22"/>
      <c r="B122" s="24" t="s">
        <v>124</v>
      </c>
      <c r="C122" s="25"/>
      <c r="D122" s="26">
        <v>0.86</v>
      </c>
      <c r="E122" s="11"/>
      <c r="F122" s="11"/>
      <c r="G122" s="11"/>
      <c r="H122" s="11"/>
    </row>
    <row r="123" spans="1:8" x14ac:dyDescent="0.25">
      <c r="A123" s="22"/>
      <c r="B123" s="24" t="s">
        <v>140</v>
      </c>
      <c r="C123" s="25"/>
      <c r="D123" s="26">
        <v>0.63</v>
      </c>
      <c r="E123" s="11"/>
      <c r="F123" s="11"/>
      <c r="G123" s="11"/>
      <c r="H123" s="11"/>
    </row>
    <row r="124" spans="1:8" x14ac:dyDescent="0.25">
      <c r="A124" s="22"/>
      <c r="B124" s="24" t="s">
        <v>147</v>
      </c>
      <c r="C124" s="25"/>
      <c r="D124" s="26">
        <v>0.55000000000000004</v>
      </c>
      <c r="E124" s="11"/>
      <c r="F124" s="11"/>
      <c r="G124" s="11"/>
      <c r="H124" s="11"/>
    </row>
    <row r="125" spans="1:8" x14ac:dyDescent="0.25">
      <c r="A125" s="22"/>
      <c r="B125" s="24" t="s">
        <v>162</v>
      </c>
      <c r="C125" s="25"/>
      <c r="D125" s="26">
        <v>0.42</v>
      </c>
      <c r="E125" s="11"/>
      <c r="F125" s="11"/>
      <c r="G125" s="11"/>
      <c r="H125" s="11"/>
    </row>
    <row r="126" spans="1:8" x14ac:dyDescent="0.25">
      <c r="A126" s="22"/>
      <c r="B126" s="24" t="s">
        <v>169</v>
      </c>
      <c r="C126" s="25"/>
      <c r="D126" s="26">
        <v>0.41</v>
      </c>
      <c r="E126" s="11"/>
      <c r="F126" s="11"/>
      <c r="G126" s="11"/>
      <c r="H126" s="11"/>
    </row>
    <row r="127" spans="1:8" x14ac:dyDescent="0.25">
      <c r="A127" s="22"/>
      <c r="B127" s="24" t="s">
        <v>176</v>
      </c>
      <c r="C127" s="25"/>
      <c r="D127" s="26">
        <v>0.21</v>
      </c>
      <c r="E127" s="11"/>
      <c r="F127" s="11"/>
      <c r="G127" s="11"/>
      <c r="H127" s="11"/>
    </row>
    <row r="128" spans="1:8" x14ac:dyDescent="0.25">
      <c r="A128" s="22"/>
      <c r="B128" s="24" t="s">
        <v>183</v>
      </c>
      <c r="C128" s="25"/>
      <c r="D128" s="26">
        <v>0.17</v>
      </c>
      <c r="E128" s="11"/>
      <c r="F128" s="11"/>
      <c r="G128" s="11"/>
      <c r="H128" s="11"/>
    </row>
    <row r="129" spans="1:8" x14ac:dyDescent="0.25">
      <c r="A129" s="22"/>
      <c r="B129" s="24" t="s">
        <v>200</v>
      </c>
      <c r="C129" s="25"/>
      <c r="D129" s="26">
        <v>0</v>
      </c>
      <c r="E129" s="11"/>
      <c r="F129" s="11"/>
      <c r="G129" s="11"/>
      <c r="H129" s="11"/>
    </row>
    <row r="130" spans="1:8" x14ac:dyDescent="0.25">
      <c r="A130" s="22"/>
      <c r="B130" s="24" t="s">
        <v>201</v>
      </c>
      <c r="C130" s="25"/>
      <c r="D130" s="26">
        <v>5.95</v>
      </c>
      <c r="E130" s="11"/>
      <c r="F130" s="11"/>
      <c r="G130" s="11"/>
      <c r="H130" s="11"/>
    </row>
    <row r="131" spans="1:8" x14ac:dyDescent="0.25">
      <c r="A131" s="27"/>
      <c r="B131" s="27"/>
      <c r="C131" s="27"/>
      <c r="D131" s="27"/>
      <c r="E131" s="27"/>
      <c r="F131" s="27"/>
      <c r="G131" s="27"/>
      <c r="H131" s="27"/>
    </row>
    <row r="132" spans="1:8" x14ac:dyDescent="0.25">
      <c r="A132" s="27"/>
      <c r="B132" s="8" t="s">
        <v>202</v>
      </c>
      <c r="C132" s="27"/>
      <c r="D132" s="27"/>
      <c r="E132" s="27"/>
      <c r="F132" s="27"/>
      <c r="G132" s="27"/>
      <c r="H132" s="27"/>
    </row>
    <row r="133" spans="1:8" x14ac:dyDescent="0.25">
      <c r="A133" s="11"/>
      <c r="B133" s="11" t="s">
        <v>203</v>
      </c>
      <c r="C133" s="11"/>
      <c r="D133" s="11"/>
      <c r="E133" s="11"/>
      <c r="F133" s="11"/>
      <c r="G133" s="11"/>
      <c r="H133" s="27"/>
    </row>
    <row r="134" spans="1:8" x14ac:dyDescent="0.25">
      <c r="A134" s="11"/>
      <c r="B134" s="28" t="s">
        <v>204</v>
      </c>
      <c r="C134" s="29" t="s">
        <v>205</v>
      </c>
      <c r="D134" s="28" t="s">
        <v>206</v>
      </c>
      <c r="E134" s="11"/>
      <c r="F134" s="11"/>
      <c r="G134" s="11"/>
      <c r="H134" s="27"/>
    </row>
    <row r="135" spans="1:8" x14ac:dyDescent="0.25">
      <c r="A135" s="11"/>
      <c r="B135" s="8" t="s">
        <v>207</v>
      </c>
      <c r="C135" s="30">
        <v>52.137</v>
      </c>
      <c r="D135" s="30">
        <v>49.857999999999997</v>
      </c>
      <c r="E135" s="11"/>
      <c r="F135" s="11"/>
      <c r="G135" s="11"/>
      <c r="H135" s="27"/>
    </row>
    <row r="136" spans="1:8" x14ac:dyDescent="0.25">
      <c r="A136" s="11"/>
      <c r="B136" s="8" t="s">
        <v>208</v>
      </c>
      <c r="C136" s="30">
        <v>73.203999999999994</v>
      </c>
      <c r="D136" s="30">
        <v>69.960999999999999</v>
      </c>
      <c r="E136" s="11"/>
      <c r="F136" s="11"/>
      <c r="G136" s="11"/>
      <c r="H136" s="27"/>
    </row>
    <row r="137" spans="1:8" x14ac:dyDescent="0.25">
      <c r="A137" s="11"/>
      <c r="B137" s="8" t="s">
        <v>209</v>
      </c>
      <c r="C137" s="30">
        <v>154.874</v>
      </c>
      <c r="D137" s="30">
        <v>148.10300000000001</v>
      </c>
      <c r="E137" s="11"/>
      <c r="F137" s="11"/>
      <c r="G137" s="11"/>
      <c r="H137" s="27"/>
    </row>
    <row r="138" spans="1:8" x14ac:dyDescent="0.25">
      <c r="A138" s="11"/>
      <c r="B138" s="8" t="s">
        <v>210</v>
      </c>
      <c r="C138" s="30">
        <v>168.965</v>
      </c>
      <c r="D138" s="30">
        <v>161.48099999999999</v>
      </c>
      <c r="E138" s="11"/>
      <c r="F138" s="11"/>
      <c r="G138" s="11"/>
      <c r="H138" s="27"/>
    </row>
    <row r="139" spans="1:8" x14ac:dyDescent="0.25">
      <c r="A139" s="11"/>
      <c r="B139" s="8" t="s">
        <v>20</v>
      </c>
      <c r="C139" s="11"/>
      <c r="D139" s="11"/>
      <c r="E139" s="11"/>
      <c r="F139" s="11"/>
      <c r="G139" s="11"/>
      <c r="H139" s="27"/>
    </row>
    <row r="140" spans="1:8" x14ac:dyDescent="0.25">
      <c r="A140" s="11"/>
      <c r="B140" s="11"/>
      <c r="C140" s="11"/>
      <c r="D140" s="11"/>
      <c r="E140" s="11"/>
      <c r="F140" s="11"/>
      <c r="G140" s="11"/>
      <c r="H140" s="27"/>
    </row>
    <row r="141" spans="1:8" x14ac:dyDescent="0.25">
      <c r="A141" s="11"/>
      <c r="B141" s="11" t="s">
        <v>211</v>
      </c>
      <c r="C141" s="11"/>
      <c r="D141" s="11"/>
      <c r="E141" s="11"/>
      <c r="F141" s="11"/>
      <c r="G141" s="11"/>
      <c r="H141" s="27"/>
    </row>
    <row r="142" spans="1:8" x14ac:dyDescent="0.25">
      <c r="A142" s="11"/>
      <c r="B142" s="11"/>
      <c r="C142" s="11"/>
      <c r="D142" s="11"/>
      <c r="E142" s="11"/>
      <c r="F142" s="11"/>
      <c r="G142" s="11"/>
      <c r="H142" s="27"/>
    </row>
    <row r="143" spans="1:8" x14ac:dyDescent="0.25">
      <c r="A143" s="11"/>
      <c r="B143" s="11" t="s">
        <v>212</v>
      </c>
      <c r="C143" s="11"/>
      <c r="D143" s="11"/>
      <c r="E143" s="11"/>
      <c r="F143" s="11"/>
      <c r="G143" s="11"/>
      <c r="H143" s="27"/>
    </row>
    <row r="144" spans="1:8" x14ac:dyDescent="0.25">
      <c r="A144" s="27"/>
      <c r="B144" s="27"/>
      <c r="C144" s="27"/>
      <c r="D144" s="27"/>
      <c r="E144" s="27"/>
      <c r="F144" s="27"/>
      <c r="G144" s="27"/>
      <c r="H144" s="27"/>
    </row>
    <row r="145" spans="1:8" x14ac:dyDescent="0.25">
      <c r="A145" s="11"/>
      <c r="B145" s="11" t="s">
        <v>213</v>
      </c>
      <c r="C145" s="11"/>
      <c r="D145" s="11"/>
      <c r="E145" s="11"/>
      <c r="F145" s="11"/>
      <c r="G145" s="11"/>
      <c r="H145" s="11"/>
    </row>
    <row r="146" spans="1:8" x14ac:dyDescent="0.25">
      <c r="A146" s="11"/>
      <c r="B146" s="11" t="s">
        <v>214</v>
      </c>
      <c r="C146" s="11"/>
      <c r="D146" s="11"/>
      <c r="E146" s="11"/>
      <c r="F146" s="11"/>
      <c r="G146" s="11"/>
      <c r="H146" s="27"/>
    </row>
    <row r="147" spans="1:8" x14ac:dyDescent="0.25">
      <c r="A147" s="11"/>
      <c r="B147" s="11" t="s">
        <v>215</v>
      </c>
      <c r="C147" s="11"/>
      <c r="D147" s="11"/>
      <c r="E147" s="11"/>
      <c r="F147" s="11"/>
      <c r="G147" s="11"/>
      <c r="H147" s="27"/>
    </row>
    <row r="148" spans="1:8" x14ac:dyDescent="0.25">
      <c r="A148" s="11"/>
      <c r="B148" s="11" t="s">
        <v>216</v>
      </c>
      <c r="C148" s="11"/>
      <c r="D148" s="11"/>
      <c r="E148" s="11"/>
      <c r="F148" s="11"/>
      <c r="G148" s="11"/>
      <c r="H148" s="27"/>
    </row>
    <row r="149" spans="1:8" x14ac:dyDescent="0.25">
      <c r="A149" s="11"/>
      <c r="B149" s="11" t="s">
        <v>217</v>
      </c>
      <c r="C149" s="11"/>
      <c r="D149" s="11"/>
      <c r="E149" s="11"/>
      <c r="F149" s="11"/>
      <c r="G149" s="11"/>
      <c r="H149" s="27"/>
    </row>
    <row r="150" spans="1:8" x14ac:dyDescent="0.25">
      <c r="A150" s="11"/>
      <c r="B150" s="11" t="s">
        <v>218</v>
      </c>
      <c r="C150" s="11"/>
      <c r="D150" s="11"/>
      <c r="E150" s="11"/>
      <c r="F150" s="11"/>
      <c r="G150" s="11"/>
      <c r="H150" s="27"/>
    </row>
    <row r="151" spans="1:8" x14ac:dyDescent="0.25">
      <c r="A151" s="11"/>
      <c r="B151" s="11" t="s">
        <v>219</v>
      </c>
      <c r="C151" s="11"/>
      <c r="D151" s="11"/>
      <c r="E151" s="11"/>
      <c r="F151" s="11"/>
      <c r="G151" s="11"/>
      <c r="H151" s="27"/>
    </row>
    <row r="152" spans="1:8" x14ac:dyDescent="0.25">
      <c r="A152" s="11"/>
      <c r="B152" s="11" t="s">
        <v>220</v>
      </c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221</v>
      </c>
      <c r="C153" s="11"/>
      <c r="D153" s="11"/>
      <c r="E153" s="11"/>
      <c r="F153" s="11"/>
      <c r="G153" s="11"/>
      <c r="H153" s="27"/>
    </row>
    <row r="155" spans="1:8" x14ac:dyDescent="0.25">
      <c r="B155" s="31" t="s">
        <v>222</v>
      </c>
    </row>
    <row r="171" spans="2:2" x14ac:dyDescent="0.25">
      <c r="B171" s="31" t="s">
        <v>223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3799-4816-4DAD-ADEF-3AA472DDCEC2}">
  <sheetPr codeName="Sheet66"/>
  <dimension ref="A2:J12"/>
  <sheetViews>
    <sheetView workbookViewId="0"/>
  </sheetViews>
  <sheetFormatPr defaultColWidth="9.140625" defaultRowHeight="12.75" x14ac:dyDescent="0.2"/>
  <cols>
    <col min="1" max="1" width="56.140625" style="36" customWidth="1"/>
    <col min="2" max="2" width="41.28515625" style="36" bestFit="1" customWidth="1"/>
    <col min="3" max="3" width="32.42578125" style="36" customWidth="1"/>
    <col min="4" max="4" width="22.7109375" style="36" customWidth="1"/>
    <col min="5" max="5" width="18.7109375" style="36" customWidth="1"/>
    <col min="6" max="6" width="16.140625" style="36" customWidth="1"/>
    <col min="7" max="7" width="13.7109375" style="36" customWidth="1"/>
    <col min="8" max="8" width="38.5703125" style="36" customWidth="1"/>
    <col min="9" max="9" width="9.140625" style="36" customWidth="1"/>
    <col min="10" max="10" width="11.7109375" style="36" customWidth="1"/>
    <col min="11" max="11" width="12.7109375" style="36" customWidth="1"/>
    <col min="12" max="12" width="27.28515625" style="36" customWidth="1"/>
    <col min="13" max="14" width="9.140625" style="36" customWidth="1"/>
    <col min="15" max="15" width="10.7109375" style="36" customWidth="1"/>
    <col min="16" max="16384" width="9.140625" style="36"/>
  </cols>
  <sheetData>
    <row r="2" spans="1:10" x14ac:dyDescent="0.2">
      <c r="G2" s="37"/>
    </row>
    <row r="3" spans="1:10" x14ac:dyDescent="0.2">
      <c r="A3" s="38" t="s">
        <v>224</v>
      </c>
      <c r="B3" s="38"/>
      <c r="C3" s="38"/>
      <c r="D3" s="38"/>
      <c r="E3" s="38"/>
      <c r="F3" s="38"/>
      <c r="G3" s="38"/>
    </row>
    <row r="5" spans="1:10" x14ac:dyDescent="0.2">
      <c r="A5" s="36" t="s">
        <v>225</v>
      </c>
    </row>
    <row r="7" spans="1:10" ht="12.75" customHeight="1" x14ac:dyDescent="0.2">
      <c r="A7" s="39" t="str">
        <f>+[34]DerivativeHDFCMY.!A7</f>
        <v>A.  Hedging Positions through Futures as on  January 31, 2023</v>
      </c>
      <c r="B7" s="39"/>
      <c r="C7" s="39"/>
      <c r="D7" s="39"/>
      <c r="E7" s="39"/>
      <c r="F7" s="39"/>
    </row>
    <row r="8" spans="1:10" ht="38.25" x14ac:dyDescent="0.2">
      <c r="A8" s="40" t="s">
        <v>226</v>
      </c>
      <c r="B8" s="41" t="s">
        <v>227</v>
      </c>
      <c r="C8" s="41" t="s">
        <v>228</v>
      </c>
      <c r="D8" s="41" t="s">
        <v>229</v>
      </c>
      <c r="E8" s="41" t="s">
        <v>230</v>
      </c>
      <c r="F8" s="41" t="s">
        <v>231</v>
      </c>
      <c r="G8" s="41" t="s">
        <v>232</v>
      </c>
      <c r="H8" s="42" t="s">
        <v>233</v>
      </c>
    </row>
    <row r="9" spans="1:10" x14ac:dyDescent="0.2">
      <c r="A9" s="43" t="s">
        <v>234</v>
      </c>
      <c r="B9" s="44" t="s">
        <v>235</v>
      </c>
      <c r="C9" s="44" t="s">
        <v>236</v>
      </c>
      <c r="D9" s="45">
        <v>500000</v>
      </c>
      <c r="E9" s="46">
        <v>21651.693599999999</v>
      </c>
      <c r="F9" s="47">
        <v>21808.6</v>
      </c>
      <c r="G9" s="47">
        <v>12380.295</v>
      </c>
      <c r="H9" s="48">
        <f>(D9*F9)/100000</f>
        <v>109043</v>
      </c>
      <c r="I9" s="49"/>
      <c r="J9" s="36">
        <v>109043</v>
      </c>
    </row>
    <row r="10" spans="1:10" x14ac:dyDescent="0.2">
      <c r="A10" s="50"/>
      <c r="B10" s="44"/>
      <c r="C10" s="44"/>
      <c r="D10" s="45"/>
      <c r="E10" s="46"/>
      <c r="F10" s="47"/>
      <c r="G10" s="47"/>
      <c r="H10" s="48">
        <f t="shared" ref="H10:H11" si="0">(D10*F10)/100000</f>
        <v>0</v>
      </c>
    </row>
    <row r="11" spans="1:10" x14ac:dyDescent="0.2">
      <c r="A11" s="51"/>
      <c r="B11" s="44"/>
      <c r="C11" s="44"/>
      <c r="D11" s="45"/>
      <c r="E11" s="46"/>
      <c r="F11" s="47"/>
      <c r="G11" s="47"/>
      <c r="H11" s="48">
        <f t="shared" si="0"/>
        <v>0</v>
      </c>
    </row>
    <row r="12" spans="1:10" x14ac:dyDescent="0.2">
      <c r="H12" s="52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DerivativeMIDCAP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2024-02-08T13:29:48Z</dcterms:created>
  <dcterms:modified xsi:type="dcterms:W3CDTF">2024-02-08T13:46:39Z</dcterms:modified>
</cp:coreProperties>
</file>