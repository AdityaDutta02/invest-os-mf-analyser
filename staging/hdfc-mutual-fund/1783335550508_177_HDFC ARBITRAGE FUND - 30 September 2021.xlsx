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UNAUDITED RESULTS\Unaudited Results September 2021\Portfolio\Draft Portfolios Version 1\Split\"/>
    </mc:Choice>
  </mc:AlternateContent>
  <bookViews>
    <workbookView xWindow="0" yWindow="0" windowWidth="20490" windowHeight="7320"/>
  </bookViews>
  <sheets>
    <sheet name="HDFCAR" sheetId="1" r:id="rId1"/>
    <sheet name="DerivativeHDFCAR" sheetId="5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_xlnm._FilterDatabase" localSheetId="1" hidden="1">DerivativeHDFCAR!$A$8:$IV$103</definedName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_xll.Formula.SK([2]Stack!$AV$6,1)</definedName>
    <definedName name="SheetKraftFormula101" hidden="1">_xll.Formula.SK([2]Stack!$AW$6,1)</definedName>
    <definedName name="SheetKraftFormula102" hidden="1">_xll.Formula.SK([2]Stack!$AX$6,1)</definedName>
    <definedName name="SheetKraftFormula104" hidden="1">_xll.Formula.SK([2]Stack!$BG$5,1)</definedName>
    <definedName name="SheetKraftFormula105" hidden="1">_xll.Formula.SK([2]Stack!$CZ$6,1)</definedName>
    <definedName name="SheetKraftFormula106" hidden="1">_xll.Formula.SK([2]Stack!$DF$5,1)</definedName>
    <definedName name="SheetKraftFormula107" hidden="1">_xll.Formula.SK([2]Stack!$DE$5,1)</definedName>
    <definedName name="SheetKraftFormula108" hidden="1">_xll.Formula.SK([3]Template_Formula!$A$3,1)</definedName>
    <definedName name="SheetKraftFormula109" hidden="1">_xll.Formula.SK('[4]Asset Master'!$Y$7,1)</definedName>
    <definedName name="SheetKraftFormula11" hidden="1">_xll.Formula.SK(#REF!,)</definedName>
    <definedName name="SheetKraftFormula110" hidden="1">_xll.Formula.SK([2]Stack!$EZ$5,1)</definedName>
    <definedName name="SheetKraftFormula111" hidden="1">_xll.Formula.SK('[4]Asset Master'!#REF!,1)</definedName>
    <definedName name="SheetKraftFormula112" hidden="1">_xll.Formula.SK('[4]Asset Master'!$AI$10,1)</definedName>
    <definedName name="SheetKraftFormula113" hidden="1">_xll.Formula.SK([2]Stack!$DB$5,1)</definedName>
    <definedName name="SheetKraftFormula114" hidden="1">_xll.Formula.SK([2]Stack!$BF$5,1)</definedName>
    <definedName name="SheetKraftFormula115" hidden="1">_xll.Formula.SK([2]Stack!$AZ$6,1)</definedName>
    <definedName name="SheetKraftFormula116" hidden="1">_xll.Formula.SK([2]Stack!$AY$5,1)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_xll.Formula.SK('[5]NCA Rows'!$R$5,1)</definedName>
    <definedName name="SheetKraftFormula12" hidden="1">_xll.Formula.SK(#REF!,)</definedName>
    <definedName name="SheetKraftFormula120" hidden="1">_xll.Formula.SK('[5]NCA Rows'!$AB$5,1)</definedName>
    <definedName name="SheetKraftFormula121" hidden="1">_xll.Formula.SK([2]Stack!$BA$6,1)</definedName>
    <definedName name="SheetKraftFormula122" hidden="1">_xll.Formula.SK([6]Inputs!$G$4,1)</definedName>
    <definedName name="SheetKraftFormula123" hidden="1">_xll.Formula.SK('[5]NCA Rows'!$I$4,)</definedName>
    <definedName name="SheetKraftFormula124" hidden="1">_xll.Formula.SK('[5]NCA Rows'!$L$4,)</definedName>
    <definedName name="SheetKraftFormula125" hidden="1">_xll.Formula.SK('[5]NCA Rows'!$S$4,)</definedName>
    <definedName name="SheetKraftFormula126" hidden="1">_xll.Formula.SK('[5]NCA Rows'!$AP$4,)</definedName>
    <definedName name="SheetKraftFormula127" hidden="1">_xll.Formula.SK('[5]NCA Rows'!$AQ$4,)</definedName>
    <definedName name="SheetKraftFormula128" hidden="1">_xll.Formula.SK('[5]NCA Rows'!$AX$4,1)</definedName>
    <definedName name="SheetKraftFormula129" hidden="1">_xll.Formula.SK('[5]NCA Rows'!$AZ$5,1)</definedName>
    <definedName name="SheetKraftFormula13" hidden="1">_xll.Formula.SK(#REF!,)</definedName>
    <definedName name="SheetKraftFormula130" hidden="1">_xll.Formula.SK([2]Stack!$BB$5,1)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Data'!$BI$4,1)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_xll.Formula.SK([2]Stack!$DC$5,1)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_xll.Formula.SK([3]Template_Formula!$A$10,1)</definedName>
    <definedName name="SheetKraftFormula142" hidden="1">_xll.Formula.SK('[8]Notes Data'!$AE$9,1)</definedName>
    <definedName name="SheetKraftFormula143" hidden="1">_xll.Formula.SK('[8]Notes Data'!$R$9,1)</definedName>
    <definedName name="SheetKraftFormula144" hidden="1">_xll.Formula.SK('[8]Notes Data'!$BO$9,1)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_xll.Formula.SK([3]Template_Formula!$A$16,1)</definedName>
    <definedName name="SheetKraftFormula148" hidden="1">_xll.Formula.SK('[8]Notes Data'!$BF$9,1)</definedName>
    <definedName name="SheetKraftFormula149" hidden="1">_xll.Formula.SK([3]Template_Formula!$A$15,1)</definedName>
    <definedName name="SheetKraftFormula15" hidden="1">_xll.Formula.SK(#REF!,)</definedName>
    <definedName name="SheetKraftFormula150" hidden="1">_xll.Formula.SK([3]Template_Formula!$O$9,1)</definedName>
    <definedName name="SheetKraftFormula151" hidden="1">_xll.Formula.SK([9]Derivatives!$T$10,1)</definedName>
    <definedName name="SheetKraftFormula152" hidden="1">_xll.Formula.SK([9]Derivatives!$W$10,1)</definedName>
    <definedName name="SheetKraftFormula153" hidden="1">_xll.Formula.SK([9]Derivatives!$X$11,1)</definedName>
    <definedName name="SheetKraftFormula154" hidden="1">_xll.Formula.SK([9]Derivatives!$Y$11,1)</definedName>
    <definedName name="SheetKraftFormula155" hidden="1">_xll.Formula.SK([3]Template_Formula!$O$14,1)</definedName>
    <definedName name="SheetKraftFormula156" hidden="1">_xll.Formula.SK([9]Derivatives!$AB$10,1)</definedName>
    <definedName name="SheetKraftFormula157" hidden="1">_xll.Formula.SK([9]Derivatives!$AD$10,1)</definedName>
    <definedName name="SheetKraftFormula158" hidden="1">_xll.Formula.SK([9]Derivatives!$AE$11,1)</definedName>
    <definedName name="SheetKraftFormula159" hidden="1">_xll.Formula.SK([9]Derivatives!$AE$10,)</definedName>
    <definedName name="SheetKraftFormula16" hidden="1">_xll.Formula.SK(#REF!,)</definedName>
    <definedName name="SheetKraftFormula160" hidden="1">_xll.Formula.SK([9]Derivatives!$AF$10,)</definedName>
    <definedName name="SheetKraftFormula161" hidden="1">_xll.Formula.SK([9]Derivatives!$AG$10,)</definedName>
    <definedName name="SheetKraftFormula162" hidden="1">_xll.Formula.SK([9]Derivatives!$AK$10,1)</definedName>
    <definedName name="SheetKraftFormula163" hidden="1">_xll.Formula.SK('[7]Pivots Data'!$V$3,1)</definedName>
    <definedName name="SheetKraftFormula164" hidden="1">_xll.Formula.SK('[8]Notes Data'!$CH$9,1)</definedName>
    <definedName name="SheetKraftFormula165" hidden="1">_xll.Formula.SK('[8]Notes Data'!$CJ$9,1)</definedName>
    <definedName name="SheetKraftFormula166" hidden="1">_xll.Formula.SK('[8]Notes Data'!$CK$9,)</definedName>
    <definedName name="SheetKraftFormula167" hidden="1">_xll.Formula.SK('[8]Notes Data'!$CL$9,)</definedName>
    <definedName name="SheetKraftFormula168" hidden="1">_xll.Formula.SK('[8]Notes Data'!$CM$9,)</definedName>
    <definedName name="SheetKraftFormula169" hidden="1">_xll.Formula.SK('[8]Notes Data'!$CN$9,)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Data'!$CI$9,1)</definedName>
    <definedName name="SheetKraftFormula172" hidden="1">_xll.Formula.SK('[8]Notes Data'!$CO$9,1)</definedName>
    <definedName name="SheetKraftFormula173" hidden="1">_xll.Formula.SK('[8]Notes Data'!$CQ$10,1)</definedName>
    <definedName name="SheetKraftFormula174" hidden="1">_xll.Formula.SK('[8]Notes Data'!$CR$10,1)</definedName>
    <definedName name="SheetKraftFormula175" hidden="1">_xll.Formula.SK('[8]Notes Data'!$CS$10,1)</definedName>
    <definedName name="SheetKraftFormula176" hidden="1">_xll.Formula.SK('[8]Notes Data'!$CT$9,)</definedName>
    <definedName name="SheetKraftFormula177" hidden="1">_xll.Formula.SK('[8]Notes Data'!$CU$10,1)</definedName>
    <definedName name="SheetKraftFormula178" hidden="1">_xll.Formula.SK('[8]Notes Data'!$CH$10,1)</definedName>
    <definedName name="SheetKraftFormula179" hidden="1">_xll.Formula.SK('[8]Notes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0" hidden="1">_xll.Formula.SK([6]Inputs!$N$6,1)</definedName>
    <definedName name="SheetKraftFormula191" hidden="1">_xll.Formula.SK([6]Inputs!$Q$7,1)</definedName>
    <definedName name="SheetKraftFormula192" hidden="1">_xll.Formula.SK('[10]Scheme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_xll.Formula.SK('[10]Scheme Master'!#REF!,1)</definedName>
    <definedName name="SheetKraftFormula196" hidden="1">_xll.Formula.SK('[10]Scheme Master'!$L$7,1)</definedName>
    <definedName name="SheetKraftFormula197" hidden="1">_xll.Formula.SK('[11]Scheme Category'!$D$9,1)</definedName>
    <definedName name="SheetKraftFormula198" hidden="1">_xll.Formula.SK('[8]Notes Data'!$BB$9,1)</definedName>
    <definedName name="SheetKraftFormula199" hidden="1">_xll.Formula.SK('[8]Notes Data'!$BA$9,1)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_xll.Formula.SK([12]Formats!$J$5,1)</definedName>
    <definedName name="SheetKraftFormula202" hidden="1">_xll.Formula.SK([12]Formats!$K$11,)</definedName>
    <definedName name="SheetKraftFormula203" hidden="1">_xll.Formula.SK([2]Stack!$FA$6,1)</definedName>
    <definedName name="SheetKraftFormula204" hidden="1">_xll.Formula.SK('[4]Asset Master'!$AT$3,1)</definedName>
    <definedName name="SheetKraftFormula205" hidden="1">_xll.Formula.SK('[7]Pivots Data'!$BT$4,1)</definedName>
    <definedName name="SheetKraftFormula206" hidden="1">_xll.Formula.SK('[7]Pivots Data'!$BW$5,1)</definedName>
    <definedName name="SheetKraftFormula207" hidden="1">_xll.Formula.SK('[7]Pivots Data'!$BZ$4,1)</definedName>
    <definedName name="SheetKraftFormula208" hidden="1">_xll.Formula.SK('[7]Pivots Data'!$BX$4,1)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_xll.Formula.SK('[13]Rating Master'!$O$8,1)</definedName>
    <definedName name="SheetKraftFormula212" hidden="1">_xll.Formula.SK('[7]Pivots Data'!$BF$9,1)</definedName>
    <definedName name="SheetKraftFormula214" hidden="1">_xll.Formula.SK('[5]NCA Rows'!$H$1,1)</definedName>
    <definedName name="SheetKraftFormula217" hidden="1">_xll.Formula.SK('[13]Rating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_xll.Formula.SK('[14]NCA Calc, Repo'!$AL$8,1)</definedName>
    <definedName name="SheetKraftFormula223" hidden="1">_xll.Formula.SK('[14]NCA Calc, Repo'!$T$8,1)</definedName>
    <definedName name="SheetKraftFormula224" hidden="1">_xll.Formula.SK('[8]Notes Data'!$BJ$9,1)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_xll.Formula.SK('[15]Issuer Master'!$S$9,1)</definedName>
    <definedName name="SheetKraftFormula228" hidden="1">_xll.Formula.SK(#REF!,1)</definedName>
    <definedName name="SheetKraftFormula229" hidden="1">_xll.Formula.SK('[8]Notes Data'!$DB$9,1)</definedName>
    <definedName name="SheetKraftFormula23" hidden="1">_xll.Formula.SK('[16]Security Master'!#REF!,1)</definedName>
    <definedName name="SheetKraftFormula230" hidden="1">_xll.Formula.SK('[8]Notes Data'!$CF$9,1)</definedName>
    <definedName name="SheetKraftFormula231" hidden="1">_xll.Formula.SK('[8]Notes Data'!$CE$10,1)</definedName>
    <definedName name="SheetKraftFormula232" hidden="1">_xll.Formula.SK('[8]Notes Data'!$CV$10,1)</definedName>
    <definedName name="SheetKraftFormula233" hidden="1">_xll.Formula.SK('[17]Month NAV Last Date Calc'!$E$8,1)</definedName>
    <definedName name="SheetKraftFormula234" hidden="1">_xll.Formula.SK('[17]Month NAV Last Date Calc'!$L$8,1)</definedName>
    <definedName name="SheetKraftFormula235" hidden="1">_xll.Formula.SK('[17]Month NAV Last Date Calc'!$M$7,1)</definedName>
    <definedName name="SheetKraftFormula236" hidden="1">_xll.Formula.SK('[17]Month NAV Last Date Calc'!$N$6,1)</definedName>
    <definedName name="SheetKraftFormula237" hidden="1">_xll.Formula.SK('[17]Month NAV Last Date Calc'!$P$7,1)</definedName>
    <definedName name="SheetKraftFormula238" hidden="1">_xll.Formula.SK('[17]Month NAV Last Date Calc'!$K$7,1)</definedName>
    <definedName name="SheetKraftFormula239" hidden="1">_xll.Formula.SK('[17]Month NAV Last Date Calc'!$Q$7,1)</definedName>
    <definedName name="SheetKraftFormula240" hidden="1">_xll.Formula.SK('[17]Month NAV Last Date Calc'!$U$6,1)</definedName>
    <definedName name="SheetKraftFormula241" hidden="1">_xll.Formula.SK('[17]Month NAV Last Date Calc'!$T$10,1)</definedName>
    <definedName name="SheetKraftFormula242" hidden="1">_xll.Formula.SK('[17]Month NAV Last Date Calc'!$V$10,1)</definedName>
    <definedName name="SheetKraftFormula243" hidden="1">_xll.Formula.SK('[17]Month NAV Last Date Calc'!$Z$8,)</definedName>
    <definedName name="SheetKraftFormula244" hidden="1">_xll.Formula.SK('[17]Month NAV Last Date Calc'!$AA$7,1)</definedName>
    <definedName name="SheetKraftFormula245" hidden="1">_xll.Formula.SK('[17]Month NAV Last Date Calc'!$AB$6,)</definedName>
    <definedName name="SheetKraftFormula246" hidden="1">_xll.Formula.SK('[17]Month NAV Last Date Calc'!$AD$7,1)</definedName>
    <definedName name="SheetKraftFormula247" hidden="1">_xll.Formula.SK('[17]Month NAV Last Date Calc'!$Y$7,1)</definedName>
    <definedName name="SheetKraftFormula248" hidden="1">_xll.Formula.SK('[17]Month NAV Last Date Calc'!$AE$7,1)</definedName>
    <definedName name="SheetKraftFormula249" hidden="1">_xll.Formula.SK('[17]Month NAV Last Date Calc'!$AI$6,1)</definedName>
    <definedName name="SheetKraftFormula25" hidden="1">_xll.Formula.SK('[13]Rating Master'!$E$8,1)</definedName>
    <definedName name="SheetKraftFormula250" hidden="1">_xll.Formula.SK('[17]Month NAV Last Date Calc'!$AH$10,1)</definedName>
    <definedName name="SheetKraftFormula251" hidden="1">_xll.Formula.SK('[17]Month NAV Last Date Calc'!$AJ$10,1)</definedName>
    <definedName name="SheetKraftFormula252" hidden="1">_xll.Formula.SK('[17]Month NAV Last Date Calc'!$AL$2,)</definedName>
    <definedName name="SheetKraftFormula253" hidden="1">_xll.Formula.SK('[17]Month NAV Last Date Calc'!$AO$6,1)</definedName>
    <definedName name="SheetKraftFormula254" hidden="1">_xll.Formula.SK('[17]Month NAV Last Date Calc'!$AS$6,1)</definedName>
    <definedName name="SheetKraftFormula255" hidden="1">_xll.Formula.SK('[17]Month NAV Last Date Calc'!$AT$6,1)</definedName>
    <definedName name="SheetKraftFormula256" hidden="1">_xll.Formula.SK('[17]Month NAV Last Date Calc'!$AU$7,1)</definedName>
    <definedName name="SheetKraftFormula258" hidden="1">_xll.Formula.SK('[17]Month NAV Last Date Calc'!$BG$6,1)</definedName>
    <definedName name="SheetKraftFormula259" hidden="1">_xll.Formula.SK('[17]Month NAV Last Date Calc'!$AY$6,1)</definedName>
    <definedName name="SheetKraftFormula26" hidden="1">_xll.Formula.SK('[15]Issuer Master'!$D$8,1)</definedName>
    <definedName name="SheetKraftFormula260" hidden="1">_xll.Formula.SK('[17]Month NAV Last Date Calc'!$BM$6,1)</definedName>
    <definedName name="SheetKraftFormula261" hidden="1">_xll.Formula.SK('[17]Month NAV Last Date Calc'!$BO$7,1)</definedName>
    <definedName name="SheetKraftFormula262" hidden="1">_xll.Formula.SK('[17]Month NAV Last Date Calc'!#REF!,1)</definedName>
    <definedName name="SheetKraftFormula263" hidden="1">_xll.Formula.SK('[17]Month NAV Last Date Calc'!$BH$6,1)</definedName>
    <definedName name="SheetKraftFormula264" hidden="1">_xll.Formula.SK('[17]Month NAV Last Date Calc'!$BS$5,1)</definedName>
    <definedName name="SheetKraftFormula265" hidden="1">_xll.Formula.SK('[17]Month NAV Last Date Calc'!$BI$6,1)</definedName>
    <definedName name="SheetKraftFormula266" hidden="1">_xll.Formula.SK('[17]Month NAV Last Date Calc'!$BQ$6,1)</definedName>
    <definedName name="SheetKraftFormula267" hidden="1">_xll.Formula.SK('[17]Month NAV Last Date Calc'!$BF$6,)</definedName>
    <definedName name="SheetKraftFormula268" hidden="1">_xll.Formula.SK('[17]Month NAV Last Date Calc'!$BO$6,)</definedName>
    <definedName name="SheetKraftFormula269" hidden="1">_xll.Formula.SK('[8]Notes Data'!$AI$9,1)</definedName>
    <definedName name="SheetKraftFormula27" hidden="1">_xll.Formula.SK('[4]Asset Master'!$D$7,1)</definedName>
    <definedName name="SheetKraftFormula270" hidden="1">_xll.Formula.SK('[8]Notes Data'!$AK$9,1)</definedName>
    <definedName name="SheetKraftFormula271" hidden="1">_xll.Formula.SK('[8]Notes Data'!$AM$9,1)</definedName>
    <definedName name="SheetKraftFormula272" hidden="1">_xll.Formula.SK('[8]Notes Data'!$AN$9,1)</definedName>
    <definedName name="SheetKraftFormula273" hidden="1">_xll.Formula.SK('[14]NCA Calc, Repo'!$AB$8,1)</definedName>
    <definedName name="SheetKraftFormula274" hidden="1">_xll.Formula.SK('[1]Holding Positions'!$V$10,1)</definedName>
    <definedName name="SheetKraftFormula275" hidden="1">_xll.Formula.SK('[18]Pre Working'!$D$6,1)</definedName>
    <definedName name="SheetKraftFormula276" hidden="1">_xll.Formula.SK('[8]Notes Data'!$DH$9,1)</definedName>
    <definedName name="SheetKraftFormula277" hidden="1">_xll.Formula.SK('[8]Notes Data'!$CC$9,1)</definedName>
    <definedName name="SheetKraftFormula278" hidden="1">_xll.Formula.SK('[8]Notes Data'!$CK$10,1)</definedName>
    <definedName name="SheetKraftFormula279" hidden="1">_xll.Formula.SK('[17]Month NAV Last Date Calc'!$BS$6,1)</definedName>
    <definedName name="SheetKraftFormula28" hidden="1">_xll.Formula.SK([9]Derivatives!$B$10,)</definedName>
    <definedName name="SheetKraftFormula280" hidden="1">_xll.Formula.SK('[17]Month NAV Last Date Calc'!$BU$7,1)</definedName>
    <definedName name="SheetKraftFormula281" hidden="1">_xll.Formula.SK('[17]Month NAV Last Date Calc'!$BY$6,1)</definedName>
    <definedName name="SheetKraftFormula282" hidden="1">_xll.Formula.SK('[17]Month NAV Last Date Calc'!$CA$7,1)</definedName>
    <definedName name="SheetKraftFormula283" hidden="1">_xll.Formula.SK('[8]Notes Data'!$BL$9,1)</definedName>
    <definedName name="SheetKraftFormula284" hidden="1">_xll.Formula.SK('[8]Notes Data'!$BM$9,1)</definedName>
    <definedName name="SheetKraftFormula285" hidden="1">_xll.Formula.SK([6]Inputs!$W$3,1)</definedName>
    <definedName name="SheetKraftFormula286" hidden="1">_xll.Formula.SK([6]Inputs!$X$3,1)</definedName>
    <definedName name="SheetKraftFormula287" hidden="1">_xll.Formula.SK([6]Inputs!$Z$4,1)</definedName>
    <definedName name="SheetKraftFormula288" hidden="1">_xll.Formula.SK([6]Inputs!$AC$3,1)</definedName>
    <definedName name="SheetKraftFormula289" hidden="1">_xll.Formula.SK([6]Inputs!$AD$4,1)</definedName>
    <definedName name="SheetKraftFormula29" hidden="1">_xll.Formula.SK([9]Derivatives!$L$11,)</definedName>
    <definedName name="SheetKraftFormula290" hidden="1">_xll.Formula.SK('[8]Notes Data'!$DN$9,1)</definedName>
    <definedName name="SheetKraftFormula291" hidden="1">_xll.Formula.SK('[8]Notes Data'!#REF!,)</definedName>
    <definedName name="SheetKraftFormula292" hidden="1">_xll.Formula.SK([6]Inputs!$AE$3,1)</definedName>
    <definedName name="SheetKraftFormula293" hidden="1">_xll.Formula.SK('[8]Notes Data'!$DO$9,1)</definedName>
    <definedName name="SheetKraftFormula294" hidden="1">_xll.Formula.SK('[8]Notes Data'!$DP$9,)</definedName>
    <definedName name="SheetKraftFormula295" hidden="1">_xll.Formula.SK('[8]Notes Data'!$DT$9,1)</definedName>
    <definedName name="SheetKraftFormula296" hidden="1">_xll.Formula.SK('[8]Notes Data'!$DS$9,)</definedName>
    <definedName name="SheetKraftFormula297" hidden="1">_xll.Formula.SK('[8]Notes Data'!$DU$9,)</definedName>
    <definedName name="SheetKraftFormula298" hidden="1">_xll.Formula.SK('[8]Notes Data'!$DY$9,)</definedName>
    <definedName name="SheetKraftFormula299" hidden="1">_xll.Formula.SK('[8]Notes Data'!$DX$9,)</definedName>
    <definedName name="SheetKraftFormula3" hidden="1">_xll.Formula.SK('[10]Scheme Master'!$B$5,)</definedName>
    <definedName name="SheetKraftFormula30" hidden="1">_xll.Formula.SK('[14]NCA Calc, Repo'!$C$7,)</definedName>
    <definedName name="SheetKraftFormula300" hidden="1">_xll.Formula.SK('[8]Notes Data'!$DZ$9,)</definedName>
    <definedName name="SheetKraftFormula301" hidden="1">_xll.Formula.SK('[8]Notes Data'!$EE$9,1)</definedName>
    <definedName name="SheetKraftFormula302" hidden="1">_xll.Formula.SK('[8]Notes Data'!$ED$9,)</definedName>
    <definedName name="SheetKraftFormula303" hidden="1">_xll.Formula.SK('[8]Notes Data'!$EB$9,1)</definedName>
    <definedName name="SheetKraftFormula304" hidden="1">_xll.Formula.SK('[8]Notes Data'!$EF$10,1)</definedName>
    <definedName name="SheetKraftFormula305" hidden="1">_xll.Formula.SK('[8]Notes Data'!$CY$1,)</definedName>
    <definedName name="SheetKraftFormula306" hidden="1">_xll.Formula.SK('[8]Notes Data'!$DD$19,1)</definedName>
    <definedName name="SheetKraftFormula308" hidden="1">_xll.Formula.SK('[8]Notes Data'!$EJ$9,)</definedName>
    <definedName name="SheetKraftFormula309" hidden="1">_xll.Formula.SK('[8]Notes Data'!$EI$9,1)</definedName>
    <definedName name="SheetKraftFormula31" hidden="1">_xll.Formula.SK('[14]NCA Calc, Repo'!$I$7,)</definedName>
    <definedName name="SheetKraftFormula310" hidden="1">_xll.Formula.SK('[8]Notes Data'!$EL$10,1)</definedName>
    <definedName name="SheetKraftFormula311" hidden="1">_xll.Formula.SK('[8]Notes Data'!$EI$19,1)</definedName>
    <definedName name="SheetKraftFormula312" hidden="1">_xll.Formula.SK('[8]Notes Data'!$EQ$9,1)</definedName>
    <definedName name="SheetKraftFormula313" hidden="1">_xll.Formula.SK('[8]Notes Data'!$EP$9,)</definedName>
    <definedName name="SheetKraftFormula314" hidden="1">_xll.Formula.SK('[8]Notes Data'!$EO$9,1)</definedName>
    <definedName name="SheetKraftFormula315" hidden="1">_xll.Formula.SK('[8]Notes Data'!$ER$10,1)</definedName>
    <definedName name="SheetKraftFormula316" hidden="1">_xll.Formula.SK('[8]Notes Data'!$EX$9,1)</definedName>
    <definedName name="SheetKraftFormula317" hidden="1">_xll.Formula.SK('[8]Notes Data'!$EW$9,)</definedName>
    <definedName name="SheetKraftFormula318" hidden="1">_xll.Formula.SK('[8]Notes Data'!$EV$9,1)</definedName>
    <definedName name="SheetKraftFormula319" hidden="1">_xll.Formula.SK('[8]Notes Data'!$EY$10,1)</definedName>
    <definedName name="SheetKraftFormula32" hidden="1">_xll.Formula.SK('[14]NCA Calc, Repo'!$O$8,)</definedName>
    <definedName name="SheetKraftFormula320" hidden="1">_xll.Formula.SK('[8]Notes Data'!$FD$9,1)</definedName>
    <definedName name="SheetKraftFormula321" hidden="1">_xll.Formula.SK('[8]Notes Data'!$FB$1,)</definedName>
    <definedName name="SheetKraftFormula322" hidden="1">_xll.Formula.SK('[8]Notes Data'!$FK$9,1)</definedName>
    <definedName name="SheetKraftFormula323" hidden="1">_xll.Formula.SK('[8]Notes Data'!$FJ$10,1)</definedName>
    <definedName name="SheetKraftFormula324" hidden="1">_xll.Formula.SK('[8]Notes Data'!$FM$10,1)</definedName>
    <definedName name="SheetKraftFormula325" hidden="1">_xll.Formula.SK('[10]Scheme Master'!$M$7,)</definedName>
    <definedName name="SheetKraftFormula326" hidden="1">_xll.Formula.SK([6]Inputs!$G$3,1)</definedName>
    <definedName name="SheetKraftFormula327" hidden="1">_xll.Formula.SK([6]Inputs!$J$8,1)</definedName>
    <definedName name="SheetKraftFormula329" hidden="1">_xll.Formula.SK([3]Template_Formula!$H$21,1)</definedName>
    <definedName name="SheetKraftFormula33" hidden="1">_xll.Formula.SK('[14]NCA Calc, Repo'!$S$8,1)</definedName>
    <definedName name="SheetKraftFormula330" hidden="1">_xll.Formula.SK([3]Template_Formula!$L$20,1)</definedName>
    <definedName name="SheetKraftFormula331" hidden="1">_xll.Formula.SK([3]Template_Formula!$K$21,)</definedName>
    <definedName name="SheetKraftFormula332" hidden="1">_xll.Formula.SK([3]Template_Formula!$K$20,)</definedName>
    <definedName name="SheetKraftFormula333" hidden="1">_xll.Formula.SK([3]Template_Formula!$J$21,)</definedName>
    <definedName name="SheetKraftFormula334" hidden="1">_xll.Formula.SK('[19]Debt Derivative'!$J$4,1)</definedName>
    <definedName name="SheetKraftFormula335" hidden="1">_xll.Formula.SK('[19]Debt Derivative'!$J$5,1)</definedName>
    <definedName name="SheetKraftFormula336" hidden="1">_xll.Formula.SK('[19]Debt Derivative'!$N$5,)</definedName>
    <definedName name="SheetKraftFormula337" hidden="1">_xll.Formula.SK('[19]Debt Derivative'!$P$5,1)</definedName>
    <definedName name="SheetKraftFormula338" hidden="1">_xll.Formula.SK('[19]Debt Derivative'!$X$5,)</definedName>
    <definedName name="SheetKraftFormula339" hidden="1">_xll.Formula.SK('[19]Debt Derivative'!$AH$5,1)</definedName>
    <definedName name="SheetKraftFormula34" hidden="1">_xll.Formula.SK('[14]NCA Calc, Repo'!$U$8,1)</definedName>
    <definedName name="SheetKraftFormula340" hidden="1">_xll.Formula.SK('[19]Debt Derivative'!#REF!,1)</definedName>
    <definedName name="SheetKraftFormula341" hidden="1">_xll.Formula.SK('[19]Debt Derivative'!#REF!,1)</definedName>
    <definedName name="SheetKraftFormula342" hidden="1">_xll.Formula.SK('[19]Debt Derivative'!$AD$5,)</definedName>
    <definedName name="SheetKraftFormula343" hidden="1">_xll.Formula.SK('[19]Debt Derivative'!#REF!,)</definedName>
    <definedName name="SheetKraftFormula344" hidden="1">_xll.Formula.SK('[10]Scheme Master'!$A$8,)</definedName>
    <definedName name="SheetKraftFormula345" hidden="1">_xll.Formula.SK('[19]Debt Derivative'!$B$5,1)</definedName>
    <definedName name="SheetKraftFormula346" hidden="1">_xll.Formula.SK('[19]Debt Derivative'!$AS$13,1)</definedName>
    <definedName name="SheetKraftFormula347" hidden="1">_xll.Formula.SK('[19]Debt Derivative'!$AO$6,)</definedName>
    <definedName name="SheetKraftFormula348" hidden="1">_xll.Formula.SK('[20]Dividend History'!$E$5,1)</definedName>
    <definedName name="SheetKraftFormula349" hidden="1">_xll.Formula.SK('[20]Dividend History'!$K$9,1)</definedName>
    <definedName name="SheetKraftFormula35" hidden="1">_xll.Formula.SK('[14]NCA Calc, Repo'!$V$8,1)</definedName>
    <definedName name="SheetKraftFormula350" hidden="1">_xll.Formula.SK('[20]Dividend History'!$N$9,1)</definedName>
    <definedName name="SheetKraftFormula351" hidden="1">_xll.Formula.SK('[20]Dividend History'!$U$10,)</definedName>
    <definedName name="SheetKraftFormula352" hidden="1">_xll.Formula.SK('[20]Dividend History'!$X$9,1)</definedName>
    <definedName name="SheetKraftFormula353" hidden="1">_xll.Formula.SK('[20]Dividend History'!#REF!,1)</definedName>
    <definedName name="SheetKraftFormula355" hidden="1">_xll.Formula.SK('[20]Dividend History'!$R$9,1)</definedName>
    <definedName name="SheetKraftFormula356" hidden="1">_xll.Formula.SK('[20]Dividend History'!$AE$9,1)</definedName>
    <definedName name="SheetKraftFormula357" hidden="1">_xll.Formula.SK('[20]Dividend History'!$AH$9,1)</definedName>
    <definedName name="SheetKraftFormula358" hidden="1">_xll.Formula.SK('[20]Dividend History'!#REF!,1)</definedName>
    <definedName name="SheetKraftFormula359" hidden="1">_xll.Formula.SK('[20]Dividend History'!#REF!,)</definedName>
    <definedName name="SheetKraftFormula36" hidden="1">_xll.Formula.SK('[14]NCA Calc, Repo'!$W$9,)</definedName>
    <definedName name="SheetKraftFormula360" hidden="1">_xll.Formula.SK('[20]Dividend History'!#REF!,)</definedName>
    <definedName name="SheetKraftFormula361" hidden="1">_xll.Formula.SK('[20]Dividend History'!#REF!,)</definedName>
    <definedName name="SheetKraftFormula362" hidden="1">_xll.Formula.SK('[20]Dividend History'!$AP$9,1)</definedName>
    <definedName name="SheetKraftFormula363" hidden="1">_xll.Formula.SK('[20]Dividend History'!#REF!,1)</definedName>
    <definedName name="SheetKraftFormula364" hidden="1">_xll.Formula.SK('[20]Dividend History'!#REF!,)</definedName>
    <definedName name="SheetKraftFormula365" hidden="1">_xll.Formula.SK('[20]Dividend History'!$AR$10,)</definedName>
    <definedName name="SheetKraftFormula366" hidden="1">_xll.Formula.SK('[20]Dividend History'!$AS$10,)</definedName>
    <definedName name="SheetKraftFormula367" hidden="1">_xll.Formula.SK('[20]Dividend History'!$BE$10,1)</definedName>
    <definedName name="SheetKraftFormula368" hidden="1">_xll.Formula.SK(#REF!,1)</definedName>
    <definedName name="SheetKraftFormula369" hidden="1">_xll.Formula.SK(#REF!,1)</definedName>
    <definedName name="SheetKraftFormula37" hidden="1">_xll.Formula.SK('[14]NCA Calc, Repo'!$X$9,)</definedName>
    <definedName name="SheetKraftFormula370" hidden="1">_xll.Formula.SK('[19]Debt Derivative'!$G$5,)</definedName>
    <definedName name="SheetKraftFormula371" hidden="1">_xll.Formula.SK('[20]Dividend History'!$BB$9,1)</definedName>
    <definedName name="SheetKraftFormula372" hidden="1">_xll.Formula.SK('[8]Notes Data'!$CT$11,)</definedName>
    <definedName name="SheetKraftFormula373" hidden="1">_xll.Formula.SK('[10]Scheme Master'!$AB$6,1)</definedName>
    <definedName name="SheetKraftFormula374" hidden="1">_xll.Formula.SK('[8]Notes Data'!$BE$9,1)</definedName>
    <definedName name="SheetKraftFormula375" hidden="1">_xll.Formula.SK('[8]Notes Data'!$BD$9,1)</definedName>
    <definedName name="SheetKraftFormula376" hidden="1">_xll.Formula.SK([21]Portfolio!$E$11,1)</definedName>
    <definedName name="SheetKraftFormula377" hidden="1">_xll.Formula.SK([21]Portfolio!$S$10,1)</definedName>
    <definedName name="SheetKraftFormula378" hidden="1">_xll.Formula.SK('[8]Notes Data'!$BO$10,)</definedName>
    <definedName name="SheetKraftFormula379" hidden="1">_xll.Formula.SK('[8]Notes Data'!$BN$9,1)</definedName>
    <definedName name="SheetKraftFormula38" hidden="1">_xll.Formula.SK('[14]NCA Calc, Repo'!$Y$9,)</definedName>
    <definedName name="SheetKraftFormula380" hidden="1">_xll.Formula.SK('[8]Notes Data'!$BS$9,1)</definedName>
    <definedName name="SheetKraftFormula381" hidden="1">_xll.Formula.SK('[8]Notes Data'!$EK$9,)</definedName>
    <definedName name="SheetKraftFormula382" hidden="1">_xll.Formula.SK('[10]Scheme Master'!$AA$9,1)</definedName>
    <definedName name="SheetKraftFormula383" hidden="1">_xll.Formula.SK('[10]Scheme Master'!$AF$10,)</definedName>
    <definedName name="SheetKraftFormula384" hidden="1">_xll.Formula.SK('[10]Scheme Master'!$M$6,1)</definedName>
    <definedName name="SheetKraftFormula385" hidden="1">_xll.Formula.SK([22]Legends!$I$4,1)</definedName>
    <definedName name="SheetKraftFormula386" hidden="1">_xll.Formula.SK([22]Legends!$L$3,)</definedName>
    <definedName name="SheetKraftFormula387" hidden="1">_xll.Formula.SK([22]Legends!$T$4,1)</definedName>
    <definedName name="SheetKraftFormula388" hidden="1">_xll.Formula.SK([6]Inputs!$AF$3,1)</definedName>
    <definedName name="SheetKraftFormula389" hidden="1">_xll.Formula.SK([22]Legends!$V$3,)</definedName>
    <definedName name="SheetKraftFormula39" hidden="1">_xll.Formula.SK('[14]NCA Calc, Repo'!$Q$8,)</definedName>
    <definedName name="SheetKraftFormula390" hidden="1">_xll.Formula.SK([22]Legends!#REF!,1)</definedName>
    <definedName name="SheetKraftFormula391" hidden="1">_xll.Formula.SK([22]Legends!#REF!,)</definedName>
    <definedName name="SheetKraftFormula392" hidden="1">_xll.Formula.SK([22]Legends!$AD$4,1)</definedName>
    <definedName name="SheetKraftFormula393" hidden="1">_xll.Formula.SK([22]Legends!$AF$3,)</definedName>
    <definedName name="SheetKraftFormula394" hidden="1">_xll.Formula.SK([22]Legends!$AX$4,1)</definedName>
    <definedName name="SheetKraftFormula395" hidden="1">_xll.Formula.SK([22]Legends!$AZ$3,)</definedName>
    <definedName name="SheetKraftFormula396" hidden="1">_xll.Formula.SK([22]Legends!$AL$4,1)</definedName>
    <definedName name="SheetKraftFormula397" hidden="1">_xll.Formula.SK('[11]Scheme Category'!$I$10,)</definedName>
    <definedName name="SheetKraftFormula398" hidden="1">_xll.Formula.SK([2]Stack!$BE$5,1)</definedName>
    <definedName name="SheetKraftFormula399" hidden="1">_xll.Formula.SK([22]Legends!$AR$4,1)</definedName>
    <definedName name="SheetKraftFormula4" hidden="1">_xll.Formula.SK('[10]Scheme Master'!$B$6,1)</definedName>
    <definedName name="SheetKraftFormula40" hidden="1">_xll.Formula.SK('[14]NCA Calc, Repo'!$AF$14,1)</definedName>
    <definedName name="SheetKraftFormula400" hidden="1">_xll.Formula.SK([22]Legends!$AV$5,)</definedName>
    <definedName name="SheetKraftFormula401" hidden="1">_xll.Formula.SK(#REF!,1)</definedName>
    <definedName name="SheetKraftFormula402" hidden="1">_xll.Formula.SK([22]Legends!$AQ$4,)</definedName>
    <definedName name="SheetKraftFormula403" hidden="1">_xll.Formula.SK('[19]Debt Derivative'!$AP$6,)</definedName>
    <definedName name="SheetKraftFormula404" hidden="1">_xll.Formula.SK('[19]Debt Derivative'!$AQ$4,1)</definedName>
    <definedName name="SheetKraftFormula405" hidden="1">_xll.Formula.SK('[20]Dividend History'!$AQ$10,)</definedName>
    <definedName name="SheetKraftFormula406" hidden="1">_xll.Formula.SK(#REF!,)</definedName>
    <definedName name="SheetKraftFormula407" hidden="1">_xll.Formula.SK(#REF!,1)</definedName>
    <definedName name="SheetKraftFormula408" hidden="1">_xll.Formula.SK([2]Stack!$FH$5,1)</definedName>
    <definedName name="SheetKraftFormula409" hidden="1">_xll.Formula.SK([2]Stack!$FK$5,1)</definedName>
    <definedName name="SheetKraftFormula41" hidden="1">_xll.Formula.SK([9]Derivatives!$M$10,1)</definedName>
    <definedName name="SheetKraftFormula410" hidden="1">_xll.Formula.SK([2]Stack!$FM$5,1)</definedName>
    <definedName name="SheetKraftFormula411" hidden="1">_xll.Formula.SK([2]Stack!$FT$4,)</definedName>
    <definedName name="SheetKraftFormula412" hidden="1">_xll.Formula.SK('[20]Dividend History'!$BW$10,1)</definedName>
    <definedName name="SheetKraftFormula413" hidden="1">_xll.Formula.SK('[23]IRS Data Input'!$D$9,1)</definedName>
    <definedName name="SheetKraftFormula414" hidden="1">_xll.Formula.SK('[23]IRS Data Input'!$J$9,1)</definedName>
    <definedName name="SheetKraftFormula415" hidden="1">_xll.Formula.SK(#REF!,1)</definedName>
    <definedName name="SheetKraftFormula416" hidden="1">_xll.Formula.SK([2]Stack!$FB$5,1)</definedName>
    <definedName name="SheetKraftFormula417" hidden="1">_xll.Formula.SK('[23]IRS Data Input'!$N$7,)</definedName>
    <definedName name="SheetKraftFormula418" hidden="1">_xll.Formula.SK('[23]IRS Data Input'!$N$9,1)</definedName>
    <definedName name="SheetKraftFormula419" hidden="1">_xll.Formula.SK('[20]Dividend History'!$V$9,1)</definedName>
    <definedName name="SheetKraftFormula42" hidden="1">_xll.Formula.SK([9]Derivatives!$N$11,)</definedName>
    <definedName name="SheetKraftFormula420" hidden="1">_xll.Formula.SK('[20]Dividend History'!$E$9,1)</definedName>
    <definedName name="SheetKraftFormula421" hidden="1">_xll.Formula.SK([2]Stack!$AX$1,1)</definedName>
    <definedName name="SheetKraftFormula422" hidden="1">_xll.Formula.SK('[14]NCA Calc, Repo'!$AC$8,)</definedName>
    <definedName name="SheetKraftFormula423" hidden="1">_xll.Formula.SK('[24]Repo rows'!$A$2,)</definedName>
    <definedName name="SheetKraftFormula424" hidden="1">_xll.Formula.SK('[24]Repo rows'!$A$4,)</definedName>
    <definedName name="SheetKraftFormula425" hidden="1">_xll.Formula.SK('[24]Repo rows'!$A$7,)</definedName>
    <definedName name="SheetKraftFormula426" hidden="1">_xll.Formula.SK('[24]Repo rows'!$D$4,)</definedName>
    <definedName name="SheetKraftFormula427" hidden="1">_xll.Formula.SK('[24]Repo rows'!$C$4,)</definedName>
    <definedName name="SheetKraftFormula428" hidden="1">_xll.Formula.SK('[24]Repo rows'!$E$4,)</definedName>
    <definedName name="SheetKraftFormula429" hidden="1">_xll.Formula.SK('[24]Repo rows'!$H$4,)</definedName>
    <definedName name="SheetKraftFormula43" hidden="1">_xll.Formula.SK('[18]Pre Working'!$E$4,1)</definedName>
    <definedName name="SheetKraftFormula430" hidden="1">_xll.Formula.SK('[24]Repo rows'!$I$4,)</definedName>
    <definedName name="SheetKraftFormula431" hidden="1">_xll.Formula.SK('[24]Repo rows'!$J$4,)</definedName>
    <definedName name="SheetKraftFormula432" hidden="1">_xll.Formula.SK('[24]Repo rows'!$L$4,)</definedName>
    <definedName name="SheetKraftFormula433" hidden="1">_xll.Formula.SK('[24]Repo rows'!$N$4,)</definedName>
    <definedName name="SheetKraftFormula434" hidden="1">_xll.Formula.SK('[24]Repo rows'!$O$4,)</definedName>
    <definedName name="SheetKraftFormula435" hidden="1">_xll.Formula.SK('[24]Repo rows'!$P$4,)</definedName>
    <definedName name="SheetKraftFormula436" hidden="1">_xll.Formula.SK('[24]Repo rows'!$Q$4,)</definedName>
    <definedName name="SheetKraftFormula437" hidden="1">_xll.Formula.SK('[24]Repo rows'!$R$4,)</definedName>
    <definedName name="SheetKraftFormula438" hidden="1">_xll.Formula.SK('[24]Repo rows'!$S$4,)</definedName>
    <definedName name="SheetKraftFormula439" hidden="1">_xll.Formula.SK('[24]Repo rows'!$AB$4,)</definedName>
    <definedName name="SheetKraftFormula44" hidden="1">_xll.Formula.SK('[1]Holding Positions'!$R$10,1)</definedName>
    <definedName name="SheetKraftFormula440" hidden="1">_xll.Formula.SK('[24]Repo rows'!$AJ$4,)</definedName>
    <definedName name="SheetKraftFormula441" hidden="1">_xll.Formula.SK('[24]Repo rows'!$AK$4,)</definedName>
    <definedName name="SheetKraftFormula442" hidden="1">_xll.Formula.SK('[24]Repo rows'!$AL$4,)</definedName>
    <definedName name="SheetKraftFormula443" hidden="1">_xll.Formula.SK('[24]Repo rows'!$AM$4,)</definedName>
    <definedName name="SheetKraftFormula444" hidden="1">_xll.Formula.SK('[24]Repo rows'!$AN$4,)</definedName>
    <definedName name="SheetKraftFormula445" hidden="1">_xll.Formula.SK('[24]Repo rows'!$AP$4,)</definedName>
    <definedName name="SheetKraftFormula446" hidden="1">_xll.Formula.SK('[24]Repo rows'!$AQ$4,)</definedName>
    <definedName name="SheetKraftFormula447" hidden="1">_xll.Formula.SK('[24]Repo rows'!$H$1,)</definedName>
    <definedName name="SheetKraftFormula448" hidden="1">_xll.Formula.SK('[5]NCA Rows'!$A$2,)</definedName>
    <definedName name="SheetKraftFormula449" hidden="1">_xll.Formula.SK('[5]NCA Rows'!$A$5,)</definedName>
    <definedName name="SheetKraftFormula45" hidden="1">_xll.Formula.SK('[1]Holding Positions'!$S$10,1)</definedName>
    <definedName name="SheetKraftFormula450" hidden="1">_xll.Formula.SK('[5]NCA Rows'!$A$8,)</definedName>
    <definedName name="SheetKraftFormula451" hidden="1">_xll.Formula.SK('[5]NCA Rows'!$A$10,)</definedName>
    <definedName name="SheetKraftFormula452" hidden="1">_xll.Formula.SK('[5]NCA Rows'!$O$4,)</definedName>
    <definedName name="SheetKraftFormula453" hidden="1">_xll.Formula.SK('[5]NCA Rows'!$R$4,)</definedName>
    <definedName name="SheetKraftFormula454" hidden="1">_xll.Formula.SK([2]Stack!$D$5,)</definedName>
    <definedName name="SheetKraftFormula455" hidden="1">_xll.Formula.SK([2]Stack!$BD$6,1)</definedName>
    <definedName name="SheetKraftFormula456" hidden="1">_xll.Formula.SK('[25]Asset Pivots Grouping'!$G$12,)</definedName>
    <definedName name="SheetKraftFormula457" hidden="1">_xll.Formula.SK('[25]Asset Pivots Grouping'!$P$4,)</definedName>
    <definedName name="SheetKraftFormula458" hidden="1">_xll.Formula.SK('[7]Pivots Data'!$R$1,)</definedName>
    <definedName name="SheetKraftFormula459" hidden="1">_xll.Formula.SK('[7]Pivots Data'!$Q$4,)</definedName>
    <definedName name="SheetKraftFormula460" hidden="1">_xll.Formula.SK('[7]Pivots Data'!$BE$4,)</definedName>
    <definedName name="SheetKraftFormula461" hidden="1">_xll.Formula.SK('[8]Notes Data'!#REF!,1)</definedName>
    <definedName name="SheetKraftFormula462" hidden="1">_xll.Formula.SK('[8]Notes Data'!$FY$9,)</definedName>
    <definedName name="SheetKraftFormula463" hidden="1">_xll.Formula.SK('[8]Notes Data'!$FT$9,)</definedName>
    <definedName name="SheetKraftFormula464" hidden="1">_xll.Formula.SK('[8]Notes Data'!$FS$9,)</definedName>
    <definedName name="SheetKraftFormula465" hidden="1">_xll.Formula.SK('[8]Notes Data'!$FX$9,)</definedName>
    <definedName name="SheetKraftFormula466" hidden="1">_xll.Formula.SK('[8]Notes Data'!$FU$9,)</definedName>
    <definedName name="SheetKraftFormula468" hidden="1">_xll.Formula.SK('[26]Avg Yield'!$H$15,)</definedName>
    <definedName name="SheetKraftFormula469" hidden="1">_xll.Formula.SK('[26]Avg Yield'!$V$15,)</definedName>
    <definedName name="SheetKraftFormula470" hidden="1">_xll.Formula.SK('[26]Avg Yield'!$AD$15,1)</definedName>
    <definedName name="SheetKraftFormula471" hidden="1">_xll.Formula.SK([2]Stack!$FD$5,1)</definedName>
    <definedName name="SheetKraftFormula472" hidden="1">_xll.Formula.SK([2]Stack!$FE$5,)</definedName>
    <definedName name="SheetKraftFormula473" hidden="1">_xll.Formula.SK([2]Stack!$FC$6,1)</definedName>
    <definedName name="SheetKraftFormula474" hidden="1">_xll.Formula.SK('[8]Notes Data'!$GG$12,1)</definedName>
    <definedName name="SheetKraftFormula475" hidden="1">_xll.Formula.SK('[8]Notes Data'!$GM$12,1)</definedName>
    <definedName name="SheetKraftFormula476" hidden="1">_xll.Formula.SK('[8]Notes Data'!$GR$12,1)</definedName>
    <definedName name="SheetKraftFormula477" hidden="1">_xll.Formula.SK('[8]Notes Data'!$HA$12,1)</definedName>
    <definedName name="SheetKraftFormula478" hidden="1">_xll.Formula.SK('[8]Notes Data'!$HF$12,1)</definedName>
    <definedName name="SheetKraftFormula479" hidden="1">_xll.Formula.SK('[8]Notes Data'!$HL$12,1)</definedName>
    <definedName name="SheetKraftFormula48" hidden="1">_xll.Formula.SK('[1]Holding Positions'!#REF!,1)</definedName>
    <definedName name="SheetKraftFormula480" hidden="1">_xll.Formula.SK('[8]Notes Data'!$HQ$13,1)</definedName>
    <definedName name="SheetKraftFormula481" hidden="1">_xll.Formula.SK('[8]Notes Data'!$HJ$12,1)</definedName>
    <definedName name="SheetKraftFormula482" hidden="1">_xll.Formula.SK('[8]Notes Data'!$HK$13,1)</definedName>
    <definedName name="SheetKraftFormula483" hidden="1">_xll.Formula.SK('[8]Notes Data'!$HV$12,)</definedName>
    <definedName name="SheetKraftFormula484" hidden="1">_xll.Formula.SK('[8]Notes Data'!$HW$13,1)</definedName>
    <definedName name="SheetKraftFormula485" hidden="1">_xll.Formula.SK('[8]Notes Data'!$HX$12,1)</definedName>
    <definedName name="SheetKraftFormula486" hidden="1">_xll.Formula.SK('[8]Notes Data'!$HY$12,1)</definedName>
    <definedName name="SheetKraftFormula487" hidden="1">_xll.Formula.SK('[8]Notes Data'!$HU$13,1)</definedName>
    <definedName name="SheetKraftFormula488" hidden="1">_xll.Formula.SK('[1]Holding Positions'!$D$10,1)</definedName>
    <definedName name="SheetKraftFormula489" hidden="1">_xll.Formula.SK([22]Legends!$BB$6,1)</definedName>
    <definedName name="SheetKraftFormula490" hidden="1">_xll.Formula.SK([22]Legends!$BD$6,1)</definedName>
    <definedName name="SheetKraftFormula492" hidden="1">_xll.Formula.SK('[8]Notes Data'!$IB$12,1)</definedName>
    <definedName name="SheetKraftFormula493" hidden="1">_xll.Formula.SK('[8]Notes Data'!$IE$17,1)</definedName>
    <definedName name="SheetKraftFormula494" hidden="1">_xll.Formula.SK('[8]Notes Data'!$IE$12,)</definedName>
    <definedName name="SheetKraftFormula495" hidden="1">_xll.Formula.SK('[8]Notes Data'!$IP$12,1)</definedName>
    <definedName name="SheetKraftFormula496" hidden="1">_xll.Formula.SK('[8]Notes Data'!$IQ$12,1)</definedName>
    <definedName name="SheetKraftFormula497" hidden="1">_xll.Formula.SK('[8]Notes Data'!$IO$13,1)</definedName>
    <definedName name="SheetKraftFormula498" hidden="1">_xll.Formula.SK([22]Legends!$BH$6,1)</definedName>
    <definedName name="SheetKraftFormula499" hidden="1">_xll.Formula.SK([22]Legends!$BJ$6,1)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_xll.Formula.SK([27]Perpetual!$J$14,)</definedName>
    <definedName name="SheetKraftFormula501" hidden="1">_xll.Formula.SK([27]Perpetual!$H$15,)</definedName>
    <definedName name="SheetKraftFormula502" hidden="1">_xll.Formula.SK([27]Perpetual!$G$14,)</definedName>
    <definedName name="SheetKraftFormula503" hidden="1">_xll.Formula.SK([27]Perpetual!$F$14,)</definedName>
    <definedName name="SheetKraftFormula504" hidden="1">_xll.Formula.SK([27]Perpetual!$I$15,)</definedName>
    <definedName name="SheetKraftFormula505" hidden="1">_xll.Formula.SK([27]Perpetual!$C$15,)</definedName>
    <definedName name="SheetKraftFormula506" hidden="1">_xll.Formula.SK([27]Perpetual!$D$15,)</definedName>
    <definedName name="SheetKraftFormula507" hidden="1">_xll.Formula.SK([27]Perpetual!$E$15,)</definedName>
    <definedName name="SheetKraftFormula508" hidden="1">_xll.Formula.SK([27]Perpetual!$B$15,)</definedName>
    <definedName name="SheetKraftFormula509" hidden="1">_xll.Formula.SK([2]Stack!$C$5,1)</definedName>
    <definedName name="SheetKraftFormula51" hidden="1">_xll.Formula.SK('[1]Holding Positions'!#REF!,1)</definedName>
    <definedName name="SheetKraftFormula510" hidden="1">_xll.Formula.SK('[20]Dividend History'!$CC$10,1)</definedName>
    <definedName name="SheetKraftFormula511" hidden="1">_xll.Formula.SK('[28]Avg YTC'!$E$13,)</definedName>
    <definedName name="SheetKraftFormula512" hidden="1">_xll.Formula.SK('[28]Avg YTC'!$D$14,1)</definedName>
    <definedName name="SheetKraftFormula513" hidden="1">_xll.Formula.SK([2]Stack!$FF$5,1)</definedName>
    <definedName name="SheetKraftFormula514" hidden="1">_xll.Formula.SK('[29]Riskometer Levels'!$G$18,)</definedName>
    <definedName name="SheetKraftFormula515" hidden="1">_xll.Formula.SK('[29]Riskometer Levels'!$L$18,)</definedName>
    <definedName name="SheetKraftFormula516" hidden="1">_xll.Formula.SK([2]Stack!$FG$5,1)</definedName>
    <definedName name="SheetKraftFormula517" hidden="1">_xll.Formula.SK('[8]Notes Data'!$IR$12,1)</definedName>
    <definedName name="SheetKraftFormula518" hidden="1">_xll.Formula.SK([22]Legends!$BO$6,)</definedName>
    <definedName name="SheetKraftFormula519" hidden="1">_xll.Formula.SK([22]Legends!$BQ$6,)</definedName>
    <definedName name="SheetKraftFormula52" hidden="1">_xll.Formula.SK(#REF!,1)</definedName>
    <definedName name="SheetKraftFormula520" hidden="1">_xll.Formula.SK('[8]Notes Data'!$GA$9,1)</definedName>
    <definedName name="SheetKraftFormula521" hidden="1">_xll.Formula.SK('[8]Notes Data'!$FZ$10,1)</definedName>
    <definedName name="SheetKraftFormula522" hidden="1">_xll.Formula.SK('[8]Notes Data'!$GB$9,1)</definedName>
    <definedName name="SheetKraftFormula523" hidden="1">_xll.Formula.SK('[8]Notes Data'!$GC$9,1)</definedName>
    <definedName name="SheetKraftFormula524" hidden="1">_xll.Formula.SK('[8]Notes Data'!$GD$9,1)</definedName>
    <definedName name="SheetKraftFormula526" hidden="1">_xll.Formula.SK('[30]Temp Stack'!$E$4,)</definedName>
    <definedName name="SheetKraftFormula527" hidden="1">_xll.Formula.SK('[30]Temp Stack'!#REF!,)</definedName>
    <definedName name="SheetKraftFormula528" hidden="1">_xll.Formula.SK('[30]Temp Stack'!$O$4,1)</definedName>
    <definedName name="SheetKraftFormula529" hidden="1">_xll.Formula.SK('[30]Temp Stack'!$AA$4,1)</definedName>
    <definedName name="SheetKraftFormula53" hidden="1">_xll.Formula.SK('[1]Holding Positions'!$V$12,1)</definedName>
    <definedName name="SheetKraftFormula530" hidden="1">_xll.Formula.SK('[30]Temp Stack'!$Z$4,1)</definedName>
    <definedName name="SheetKraftFormula531" hidden="1">_xll.Formula.SK('[20]Dividend History'!$AG$9,)</definedName>
    <definedName name="SheetKraftFormula532" hidden="1">_xll.Formula.SK([6]Inputs!$F$3,)</definedName>
    <definedName name="SheetKraftFormula533" hidden="1">_xll.Formula.SK([2]Stack!$B$5,1)</definedName>
    <definedName name="SheetKraftFormula54" hidden="1">_xll.Formula.SK('[1]Holding Positions'!$T$11,1)</definedName>
    <definedName name="SheetKraftFormula55" hidden="1">_xll.Formula.SK('[18]Pre Working'!$E$5,1)</definedName>
    <definedName name="SheetKraftFormula57" hidden="1">_xll.Formula.SK('[18]Pre Working'!$K$5,1)</definedName>
    <definedName name="SheetKraftFormula58" hidden="1">_xll.Formula.SK('[8]Notes Data'!$D$9,1)</definedName>
    <definedName name="SheetKraftFormula59" hidden="1">_xll.Formula.SK('[8]Notes Data'!$V$9,1)</definedName>
    <definedName name="SheetKraftFormula6" hidden="1">_xll.Formula.SK('[16]Security Master'!$C$8,1)</definedName>
    <definedName name="SheetKraftFormula60" hidden="1">_xll.Formula.SK('[8]Notes Data'!$M$9,1)</definedName>
    <definedName name="SheetKraftFormula61" hidden="1">_xll.Formula.SK('[18]Pre Working'!$AC$5,1)</definedName>
    <definedName name="SheetKraftFormula62" hidden="1">_xll.Formula.SK('[18]Pre Working'!$AL$5,1)</definedName>
    <definedName name="SheetKraftFormula63" hidden="1">_xll.Formula.SK('[16]Security Master'!$X$8,1)</definedName>
    <definedName name="SheetKraftFormula64" hidden="1">_xll.Formula.SK('[4]Asset Master'!$T$7,1)</definedName>
    <definedName name="SheetKraftFormula65" hidden="1">_xll.Formula.SK('[4]Asset Master'!$P$6,1)</definedName>
    <definedName name="SheetKraftFormula66" hidden="1">_xll.Formula.SK('[18]Pre Working'!$AN$5,1)</definedName>
    <definedName name="SheetKraftFormula67" hidden="1">_xll.Formula.SK('[14]NCA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_xll.Formula.SK('[16]Security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_xll.Formula.SK('[16]Security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_xll.Formula.SK('[5]NCA Rows'!$D$4,1)</definedName>
    <definedName name="SheetKraftFormula86" hidden="1">_xll.Formula.SK('[14]NCA Calc, Repo'!$Z$9,1)</definedName>
    <definedName name="SheetKraftFormula87" hidden="1">_xll.Formula.SK('[5]NCA Rows'!$H$4,1)</definedName>
    <definedName name="SheetKraftFormula88" hidden="1">_xll.Formula.SK('[5]NCA Rows'!$AJ$4,)</definedName>
    <definedName name="SheetKraftFormula89" hidden="1">_xll.Formula.SK('[5]NCA Rows'!$AK$4,)</definedName>
    <definedName name="SheetKraftFormula9" hidden="1">_xll.Formula.SK('[16]Security Master'!$W$9,1)</definedName>
    <definedName name="SheetKraftFormula90" hidden="1">_xll.Formula.SK('[5]NCA Rows'!$AM$4,1)</definedName>
    <definedName name="SheetKraftFormula91" hidden="1">_xll.Formula.SK('[5]NCA Rows'!$C$4,)</definedName>
    <definedName name="SheetKraftFormula92" hidden="1">_xll.Formula.SK('[5]NCA Rows'!$J$4,)</definedName>
    <definedName name="SheetKraftFormula93" hidden="1">_xll.Formula.SK('[5]NCA Rows'!$E$4,1)</definedName>
    <definedName name="SheetKraftFormula95" hidden="1">_xll.Formula.SK('[5]NCA Rows'!$N$4,)</definedName>
    <definedName name="SheetKraftFormula96" hidden="1">_xll.Formula.SK('[5]NCA Rows'!$AN$4,)</definedName>
    <definedName name="SheetKraftFormula97" hidden="1">_xll.Formula.SK('[5]NCA Rows'!$AO$4,)</definedName>
    <definedName name="SheetKraftFormula98" hidden="1">_xll.Formula.SK([2]Stack!$E$4,1)</definedName>
    <definedName name="SheetKraftFormula99" hidden="1">_xll.Formula.SK([2]Stack!$AT$5,1)</definedName>
    <definedName name="SheetKraftInput1" hidden="1">INDEX([6]Inputs!$B$1,,)</definedName>
    <definedName name="SheetKraftInput2" hidden="1">INDEX([6]Inputs!$I$7,,)</definedName>
    <definedName name="SheetKraftOutput1" hidden="1">INDEX('[20]Dividend History'!$BF$8,,)</definedName>
    <definedName name="SheetKraftOutput2" hidden="1">INDEX('[1]Holding Positions'!$V$9,,)</definedName>
    <definedName name="SheetKraftOutput3" hidden="1">INDEX('[20]Dividend History'!$CC$9,,)</definedName>
    <definedName name="SheetKraftOutput4" hidden="1">INDEX('[26]Avg Yield'!$AD$14,,)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43" i="5" l="1"/>
  <c r="H103" i="5"/>
  <c r="H102" i="5"/>
  <c r="H101" i="5"/>
  <c r="H100" i="5"/>
  <c r="H99" i="5"/>
  <c r="H98" i="5"/>
  <c r="H97" i="5"/>
  <c r="H96" i="5"/>
  <c r="H95" i="5"/>
  <c r="H94" i="5"/>
  <c r="H93" i="5"/>
  <c r="H92" i="5"/>
  <c r="H91" i="5"/>
  <c r="H90" i="5"/>
  <c r="H89" i="5"/>
  <c r="H88" i="5"/>
  <c r="H87" i="5"/>
  <c r="H86" i="5"/>
  <c r="H85" i="5"/>
  <c r="H84" i="5"/>
  <c r="H83" i="5"/>
  <c r="H82" i="5"/>
  <c r="H81" i="5"/>
  <c r="H80" i="5"/>
  <c r="H79" i="5"/>
  <c r="H78" i="5"/>
  <c r="H77" i="5"/>
  <c r="H76" i="5"/>
  <c r="H75" i="5"/>
  <c r="H74" i="5"/>
  <c r="H73" i="5"/>
  <c r="H72" i="5"/>
  <c r="H71" i="5"/>
  <c r="H70" i="5"/>
  <c r="H69" i="5"/>
  <c r="H68" i="5"/>
  <c r="H67" i="5"/>
  <c r="H66" i="5"/>
  <c r="H65" i="5"/>
  <c r="H64" i="5"/>
  <c r="H63" i="5"/>
  <c r="H62" i="5"/>
  <c r="H61" i="5"/>
  <c r="H60" i="5"/>
  <c r="H59" i="5"/>
  <c r="H58" i="5"/>
  <c r="H57" i="5"/>
  <c r="H56" i="5"/>
  <c r="H55" i="5"/>
  <c r="H54" i="5"/>
  <c r="H53" i="5"/>
  <c r="H52" i="5"/>
  <c r="H51" i="5"/>
  <c r="H50" i="5"/>
  <c r="H49" i="5"/>
  <c r="H48" i="5"/>
  <c r="H47" i="5"/>
  <c r="H46" i="5"/>
  <c r="H45" i="5"/>
  <c r="H44" i="5"/>
  <c r="H43" i="5"/>
  <c r="H42" i="5"/>
  <c r="H41" i="5"/>
  <c r="H40" i="5"/>
  <c r="H39" i="5"/>
  <c r="H38" i="5"/>
  <c r="H37" i="5"/>
  <c r="H36" i="5"/>
  <c r="H35" i="5"/>
  <c r="H34" i="5"/>
  <c r="H33" i="5"/>
  <c r="H32" i="5"/>
  <c r="H31" i="5"/>
  <c r="H30" i="5"/>
  <c r="H29" i="5"/>
  <c r="H28" i="5"/>
  <c r="H27" i="5"/>
  <c r="H9" i="5"/>
</calcChain>
</file>

<file path=xl/sharedStrings.xml><?xml version="1.0" encoding="utf-8"?>
<sst xmlns="http://schemas.openxmlformats.org/spreadsheetml/2006/main" count="1417" uniqueCount="493">
  <si>
    <t>HDFC ARBITRAGE FUND (AN OPEN-ENDED EQUITY SCHEME)</t>
  </si>
  <si>
    <t>(An open ended scheme investing in arbitrage opportunities)</t>
  </si>
  <si>
    <t>Portfolio as on 30-Sep-2021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</si>
  <si>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</si>
  <si>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</si>
  <si>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</si>
  <si>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</si>
  <si>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</si>
  <si>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</si>
  <si>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</si>
  <si>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</si>
  <si>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</si>
  <si>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>EQUITY &amp; EQUITY RELATED</t>
  </si>
  <si>
    <t>(a) Listed / awaiting listing on Stock Exchanges</t>
  </si>
  <si>
    <t>Equity</t>
  </si>
  <si>
    <t>l</t>
  </si>
  <si>
    <t>INE742F01042</t>
  </si>
  <si>
    <t/>
  </si>
  <si>
    <t>Adani Ports &amp; Special Economic Zone</t>
  </si>
  <si>
    <t>Transportation</t>
  </si>
  <si>
    <t>INE081A01012</t>
  </si>
  <si>
    <t>Tata Steel Ltd.</t>
  </si>
  <si>
    <t>Ferrous Metals</t>
  </si>
  <si>
    <t>INE296A01024</t>
  </si>
  <si>
    <t>Bajaj Finance Ltd.</t>
  </si>
  <si>
    <t>Finance</t>
  </si>
  <si>
    <t>INE205A01025</t>
  </si>
  <si>
    <t>Vedanta Ltd.</t>
  </si>
  <si>
    <t>Non - Ferrous Metals</t>
  </si>
  <si>
    <t>INE154A01025</t>
  </si>
  <si>
    <t>ITC Ltd.</t>
  </si>
  <si>
    <t>Consumer Non Durables</t>
  </si>
  <si>
    <t>INE423A01024</t>
  </si>
  <si>
    <t>ADANI ENTERPRISES LIMTIED</t>
  </si>
  <si>
    <t>Minerals/Mining</t>
  </si>
  <si>
    <t>INE044A01036</t>
  </si>
  <si>
    <t>Sun Pharmaceutical Industries Ltd.</t>
  </si>
  <si>
    <t>Pharmaceuticals</t>
  </si>
  <si>
    <t>INE019A01038</t>
  </si>
  <si>
    <t>JSW Steel Ltd.</t>
  </si>
  <si>
    <t>INE090A01021</t>
  </si>
  <si>
    <t>ICICI Bank Ltd.</t>
  </si>
  <si>
    <t>Banks</t>
  </si>
  <si>
    <t>INE245A01021</t>
  </si>
  <si>
    <t>The Tata Power Company Ltd.</t>
  </si>
  <si>
    <t>Power</t>
  </si>
  <si>
    <t>INE062A01020</t>
  </si>
  <si>
    <t>State Bank of India</t>
  </si>
  <si>
    <t>INE749A01030</t>
  </si>
  <si>
    <t>Jindal Steel &amp; Power Ltd.</t>
  </si>
  <si>
    <t>INE795G01014</t>
  </si>
  <si>
    <t>HDFC Life Insurance Company Limited</t>
  </si>
  <si>
    <t>Insurance</t>
  </si>
  <si>
    <t>INE585B01010</t>
  </si>
  <si>
    <t>Maruti Suzuki India Limited</t>
  </si>
  <si>
    <t>Auto</t>
  </si>
  <si>
    <t>INE854D01024</t>
  </si>
  <si>
    <t>United Spirits Limited</t>
  </si>
  <si>
    <t>INE140A01024</t>
  </si>
  <si>
    <t>Piramal Enterprises Limited</t>
  </si>
  <si>
    <t>INE397D01024</t>
  </si>
  <si>
    <t>Bharti Airtel Ltd.</t>
  </si>
  <si>
    <t>Telecom - Services</t>
  </si>
  <si>
    <t>INE092A01019</t>
  </si>
  <si>
    <t>Tata Chemicals Ltd.</t>
  </si>
  <si>
    <t>Chemicals</t>
  </si>
  <si>
    <t>INE042A01014</t>
  </si>
  <si>
    <t>ESCORTS LTD.</t>
  </si>
  <si>
    <t>INE158A01026</t>
  </si>
  <si>
    <t>Hero MotoCorp Ltd.</t>
  </si>
  <si>
    <t>INE010B01027</t>
  </si>
  <si>
    <t>Cadila Healthcare Ltd.</t>
  </si>
  <si>
    <t>INE271C01023</t>
  </si>
  <si>
    <t>DLF LIMITED</t>
  </si>
  <si>
    <t>Construction</t>
  </si>
  <si>
    <t>INE545U01014</t>
  </si>
  <si>
    <t>Bandhan Bank Ltd.</t>
  </si>
  <si>
    <t>INE129A01019</t>
  </si>
  <si>
    <t>GAIL (India) Ltd.</t>
  </si>
  <si>
    <t>Gas</t>
  </si>
  <si>
    <t>INE584A01023</t>
  </si>
  <si>
    <t>NMDC Limited</t>
  </si>
  <si>
    <t>INE101A01026</t>
  </si>
  <si>
    <t>Mahindra &amp; Mahindra Ltd.</t>
  </si>
  <si>
    <t>INE437A01024</t>
  </si>
  <si>
    <t>Apollo Hospitals Enterprise Ltd.</t>
  </si>
  <si>
    <t>Healthcare Services</t>
  </si>
  <si>
    <t>INE028A01039</t>
  </si>
  <si>
    <t>Bank of Baroda</t>
  </si>
  <si>
    <t>INE155A01022</t>
  </si>
  <si>
    <t>Tata Motors Ltd.</t>
  </si>
  <si>
    <t>INE029A01011</t>
  </si>
  <si>
    <t>Bharat Petroleum Corporation Ltd.</t>
  </si>
  <si>
    <t>Petroleum Products</t>
  </si>
  <si>
    <t>INE115A01026</t>
  </si>
  <si>
    <t>LIC Housing Finance Ltd.</t>
  </si>
  <si>
    <t>INE092T01019</t>
  </si>
  <si>
    <t>IDFC First Bank Limited</t>
  </si>
  <si>
    <t>INE361B01024</t>
  </si>
  <si>
    <t>Divis Laboratories Ltd.</t>
  </si>
  <si>
    <t>INE003A01024</t>
  </si>
  <si>
    <t>Siemens Ltd.</t>
  </si>
  <si>
    <t>Industrial Capital Goods</t>
  </si>
  <si>
    <t>INE406A01037</t>
  </si>
  <si>
    <t>Aurobindo Pharma Ltd.</t>
  </si>
  <si>
    <t>INE481G01011</t>
  </si>
  <si>
    <t>UltraTech Cement Limited</t>
  </si>
  <si>
    <t>Cement &amp; Cement Products</t>
  </si>
  <si>
    <t>INE885A01032</t>
  </si>
  <si>
    <t>Amara Raja Batteries Ltd.</t>
  </si>
  <si>
    <t>Auto Ancillaries</t>
  </si>
  <si>
    <t>INE465A01025</t>
  </si>
  <si>
    <t>Bharat Forge Ltd.</t>
  </si>
  <si>
    <t>Industrial Products</t>
  </si>
  <si>
    <t>INE326A01037</t>
  </si>
  <si>
    <t>Lupin Ltd.</t>
  </si>
  <si>
    <t>INE628A01036</t>
  </si>
  <si>
    <t>UPL Ltd.</t>
  </si>
  <si>
    <t>Pesticides</t>
  </si>
  <si>
    <t>INE347G01014</t>
  </si>
  <si>
    <t>Petronet LNG Ltd.</t>
  </si>
  <si>
    <t>INE191H01014</t>
  </si>
  <si>
    <t>PVR LIMITED</t>
  </si>
  <si>
    <t>Entertainment</t>
  </si>
  <si>
    <t>INE208A01029</t>
  </si>
  <si>
    <t>Ashok Leyland  Ltd</t>
  </si>
  <si>
    <t>INE917I01010</t>
  </si>
  <si>
    <t>Bajaj Auto Limited</t>
  </si>
  <si>
    <t>INE376G01013</t>
  </si>
  <si>
    <t>Biocon Ltd.</t>
  </si>
  <si>
    <t>INE257A01026</t>
  </si>
  <si>
    <t>Bharat Heavy Electricals Ltd.</t>
  </si>
  <si>
    <t>INE038A01020</t>
  </si>
  <si>
    <t>Hindalco Industries Ltd.</t>
  </si>
  <si>
    <t>INE160A01022</t>
  </si>
  <si>
    <t>Punjab National Bank</t>
  </si>
  <si>
    <t>INE114A01011</t>
  </si>
  <si>
    <t>Steel Authority Of India Ltd.</t>
  </si>
  <si>
    <t>INE012A01025</t>
  </si>
  <si>
    <t>ACC Ltd.</t>
  </si>
  <si>
    <t>INE256A01028</t>
  </si>
  <si>
    <t>Zee Entertainment Enterprises Ltd.</t>
  </si>
  <si>
    <t>INE918I01018</t>
  </si>
  <si>
    <t>Bajaj Finserv Ltd.</t>
  </si>
  <si>
    <t>INE102D01028</t>
  </si>
  <si>
    <t>Godrej Consumer Products Ltd.</t>
  </si>
  <si>
    <t>INE498L01015</t>
  </si>
  <si>
    <t>L&amp;T Finance Holdings Ltd.</t>
  </si>
  <si>
    <t>INE414G01012</t>
  </si>
  <si>
    <t>Muthoot Finance Ltd.</t>
  </si>
  <si>
    <t>INE476A01014</t>
  </si>
  <si>
    <t>Canara Bank</t>
  </si>
  <si>
    <t>INE721A01013</t>
  </si>
  <si>
    <t>Shriram Transport Finance Co. Ltd.</t>
  </si>
  <si>
    <t>INE047A01021</t>
  </si>
  <si>
    <t>Grasim Industries Ltd.</t>
  </si>
  <si>
    <t>INE095A01012</t>
  </si>
  <si>
    <t>Indusind Bank Ltd.</t>
  </si>
  <si>
    <t>INE849A01020</t>
  </si>
  <si>
    <t>Trent Ltd.</t>
  </si>
  <si>
    <t>Retailing</t>
  </si>
  <si>
    <t>INE094A01015</t>
  </si>
  <si>
    <t>Hindustan Petroleum Corp. Ltd.</t>
  </si>
  <si>
    <t>INE242A01010</t>
  </si>
  <si>
    <t>Indian Oil Corporation Ltd.</t>
  </si>
  <si>
    <t>INE318A01026</t>
  </si>
  <si>
    <t>Pidilite Industries Ltd.</t>
  </si>
  <si>
    <t>INE669C01036</t>
  </si>
  <si>
    <t>Tech Mahindra Ltd.</t>
  </si>
  <si>
    <t>Software</t>
  </si>
  <si>
    <t>INE176A01028</t>
  </si>
  <si>
    <t>Bata India Ltd.</t>
  </si>
  <si>
    <t>Consumer Durables</t>
  </si>
  <si>
    <t>INE121A01024</t>
  </si>
  <si>
    <t>Cholamandalam Investment &amp; Finance</t>
  </si>
  <si>
    <t>INE016A01026</t>
  </si>
  <si>
    <t>Dabur India Ltd.</t>
  </si>
  <si>
    <t>INE018I01017</t>
  </si>
  <si>
    <t>Mindtree Consulting Ltd.</t>
  </si>
  <si>
    <t>INE192A01025</t>
  </si>
  <si>
    <t>Tata Consumer Products Limited</t>
  </si>
  <si>
    <t>INE774D01024</t>
  </si>
  <si>
    <t>Mahindra &amp; Mahindra Financial Services Ltd.</t>
  </si>
  <si>
    <t>INE883A01011</t>
  </si>
  <si>
    <t>MRF Ltd.</t>
  </si>
  <si>
    <t>INE477A01020</t>
  </si>
  <si>
    <t>CanFin Homes Ltd.</t>
  </si>
  <si>
    <t>INE288B01029</t>
  </si>
  <si>
    <t>Deepak Nitrite Limited</t>
  </si>
  <si>
    <t>INE881D01027</t>
  </si>
  <si>
    <t>Oracle Financial Ser Software Ltd.</t>
  </si>
  <si>
    <t>INE438A01022</t>
  </si>
  <si>
    <t>Apollo Tyres Ltd.</t>
  </si>
  <si>
    <t>INE949L01017</t>
  </si>
  <si>
    <t>Au Small Finance Bank Ltd.</t>
  </si>
  <si>
    <t>INE302A01020</t>
  </si>
  <si>
    <t>Exide Industries Ltd.</t>
  </si>
  <si>
    <t>INE079A01024</t>
  </si>
  <si>
    <t>Ambuja Cements Ltd.</t>
  </si>
  <si>
    <t>INE935A01035</t>
  </si>
  <si>
    <t>Glenmark Pharmaceuticals Ltd.</t>
  </si>
  <si>
    <t>INE101D01020</t>
  </si>
  <si>
    <t>Granules India Ltd.</t>
  </si>
  <si>
    <t>INE148I01020</t>
  </si>
  <si>
    <t>Indiabulls Housing Finance Ltd.</t>
  </si>
  <si>
    <t>INE196A01026</t>
  </si>
  <si>
    <t>Marico Ltd.</t>
  </si>
  <si>
    <t>INE603J01030</t>
  </si>
  <si>
    <t>PI Industries Ltd.</t>
  </si>
  <si>
    <t>INE663F01024</t>
  </si>
  <si>
    <t>INFO EDGE (INDIA) LIMITED</t>
  </si>
  <si>
    <t>INE797F01012</t>
  </si>
  <si>
    <t>Jubilant Foodworks Limited</t>
  </si>
  <si>
    <t>Leisure Services</t>
  </si>
  <si>
    <t>INE002S01010</t>
  </si>
  <si>
    <t>Mahanagar Gas Ltd.</t>
  </si>
  <si>
    <t>INE040A01034</t>
  </si>
  <si>
    <t>HDFC Bank Ltd.</t>
  </si>
  <si>
    <t>INE001A01036</t>
  </si>
  <si>
    <t>Housing Development Fin. Corp. Ltd.$</t>
  </si>
  <si>
    <t>INE022Q01020</t>
  </si>
  <si>
    <t>Indian Energy Exchange Limited</t>
  </si>
  <si>
    <t>Capital Markets</t>
  </si>
  <si>
    <t>INE182A01018</t>
  </si>
  <si>
    <t>Pfizer Ltd.</t>
  </si>
  <si>
    <t>INE424H01027</t>
  </si>
  <si>
    <t>Sun TV Network Limited</t>
  </si>
  <si>
    <t>INE280A01028</t>
  </si>
  <si>
    <t>Titan Company Ltd.</t>
  </si>
  <si>
    <t>INE685A01028</t>
  </si>
  <si>
    <t>Torrent Pharmaceuticals Ltd.</t>
  </si>
  <si>
    <t>INE298A01020</t>
  </si>
  <si>
    <t>Cummins India Ltd.</t>
  </si>
  <si>
    <t>INE111A01025</t>
  </si>
  <si>
    <t>Container Corporation of India Ltd.</t>
  </si>
  <si>
    <t>INE053A01029</t>
  </si>
  <si>
    <t>Indian Hotels Company Ltd.</t>
  </si>
  <si>
    <t>INE203G01027</t>
  </si>
  <si>
    <t>Indraprastha Gas Ltd.</t>
  </si>
  <si>
    <t>INE180A01020</t>
  </si>
  <si>
    <t>Max Financial Services Ltd.</t>
  </si>
  <si>
    <t>INE213A01029</t>
  </si>
  <si>
    <t>Oil &amp; Natural Gas Corporation Ltd.</t>
  </si>
  <si>
    <t>Oil</t>
  </si>
  <si>
    <t>INE463A01038</t>
  </si>
  <si>
    <t>Berger Paints (I) Ltd</t>
  </si>
  <si>
    <t>INE647O01011</t>
  </si>
  <si>
    <t>Aditya Birla Fashion and Retail Ltd.</t>
  </si>
  <si>
    <t>INE901L01018</t>
  </si>
  <si>
    <t>Alembic Pharmaceuticals Limited</t>
  </si>
  <si>
    <t>INE844O01030</t>
  </si>
  <si>
    <t>Gujarat Gas Ltd.</t>
  </si>
  <si>
    <t>INE933S01016</t>
  </si>
  <si>
    <t>Indiamart Intermesh Limited</t>
  </si>
  <si>
    <t>INE335Y01012</t>
  </si>
  <si>
    <t>Indian Railway Catering And Tourism Corp Ltd</t>
  </si>
  <si>
    <t>INE331A01037</t>
  </si>
  <si>
    <t>The Ramco Cements Ltd.</t>
  </si>
  <si>
    <t>INE059A01026</t>
  </si>
  <si>
    <t>Cipla Ltd.</t>
  </si>
  <si>
    <t>INE169A01031</t>
  </si>
  <si>
    <t>Coromandel International Limited</t>
  </si>
  <si>
    <t>Fertilisers</t>
  </si>
  <si>
    <t>INE214T01019</t>
  </si>
  <si>
    <t>Larsen &amp; Toubro Infotech Ltd.</t>
  </si>
  <si>
    <t>INE669E01016</t>
  </si>
  <si>
    <t>VODAFONE IDEA LIMITED</t>
  </si>
  <si>
    <t>INE006I01046</t>
  </si>
  <si>
    <t>Astral Poly Technik Limited</t>
  </si>
  <si>
    <t>INE238A01034</t>
  </si>
  <si>
    <t>Axis Bank Ltd.</t>
  </si>
  <si>
    <t>INE787D01026</t>
  </si>
  <si>
    <t>Balkrishna Industries Ltd.</t>
  </si>
  <si>
    <t>INE522F01014</t>
  </si>
  <si>
    <t>Coal India Ltd.</t>
  </si>
  <si>
    <t>INE176B01034</t>
  </si>
  <si>
    <t>Havells India Ltd.</t>
  </si>
  <si>
    <t>INE522D01027</t>
  </si>
  <si>
    <t>Manappuram Finance Ltd.</t>
  </si>
  <si>
    <t>INE939A01011</t>
  </si>
  <si>
    <t>Strides Pharma Science Limited</t>
  </si>
  <si>
    <t>INE323A01026</t>
  </si>
  <si>
    <t>Bosch Limited</t>
  </si>
  <si>
    <t>INE775A01035</t>
  </si>
  <si>
    <t>Motherson Sumi Systems Ltd.</t>
  </si>
  <si>
    <t>INE752E01010</t>
  </si>
  <si>
    <t>Power Grid Corporation of India Ltd.</t>
  </si>
  <si>
    <t>INE123W01016</t>
  </si>
  <si>
    <t>SBI Life Insurance Company Ltd.</t>
  </si>
  <si>
    <t>INE398R01022</t>
  </si>
  <si>
    <t>Syngene International Limited</t>
  </si>
  <si>
    <t>INE540L01014</t>
  </si>
  <si>
    <t>Alkem Laboratories Ltd.</t>
  </si>
  <si>
    <t>INE263A01024</t>
  </si>
  <si>
    <t>Bharat Electronics Ltd.</t>
  </si>
  <si>
    <t>Aerospace &amp; Defense</t>
  </si>
  <si>
    <t>INE089A01023</t>
  </si>
  <si>
    <t>Dr Reddys Laboratories Ltd.</t>
  </si>
  <si>
    <t>INE646L01027</t>
  </si>
  <si>
    <t>InterGlobe Aviation Ltd.</t>
  </si>
  <si>
    <t>INE761H01022</t>
  </si>
  <si>
    <t>Page Industries Ltd</t>
  </si>
  <si>
    <t>Textile Products</t>
  </si>
  <si>
    <t>INE935N01020</t>
  </si>
  <si>
    <t>Dixon Technologies (India) Ltd.</t>
  </si>
  <si>
    <t>INE139A01034</t>
  </si>
  <si>
    <t>National Aluminium Co. Ltd.</t>
  </si>
  <si>
    <t>INE455K01017</t>
  </si>
  <si>
    <t>Polycab India Limited</t>
  </si>
  <si>
    <t>INE226A01021</t>
  </si>
  <si>
    <t>Voltas Ltd.</t>
  </si>
  <si>
    <t>INE075A01022</t>
  </si>
  <si>
    <t>Wipro Ltd.</t>
  </si>
  <si>
    <t>INE647A01010</t>
  </si>
  <si>
    <t>SRF Ltd.</t>
  </si>
  <si>
    <t>@</t>
  </si>
  <si>
    <t>Sub Total</t>
  </si>
  <si>
    <t>Total</t>
  </si>
  <si>
    <t>DEBT INSTRUMENTS</t>
  </si>
  <si>
    <t>Government Securities (Central/State)</t>
  </si>
  <si>
    <t>IN0020160050</t>
  </si>
  <si>
    <t>6.84 GOI 2022</t>
  </si>
  <si>
    <t>Sovereign</t>
  </si>
  <si>
    <t>IN0020200021</t>
  </si>
  <si>
    <t>5.09 GOI 2022</t>
  </si>
  <si>
    <t>IN0020130012</t>
  </si>
  <si>
    <t>7.16 GOI 2023^</t>
  </si>
  <si>
    <t>IN0020070051</t>
  </si>
  <si>
    <t>8.13 GOI 2022</t>
  </si>
  <si>
    <t>IN0020020072</t>
  </si>
  <si>
    <t>8.35 GOI 2022^</t>
  </si>
  <si>
    <t>IN0020060037</t>
  </si>
  <si>
    <t>8.2 GOI 2022</t>
  </si>
  <si>
    <t>IN0020120013</t>
  </si>
  <si>
    <t>8.15 GOI 2022</t>
  </si>
  <si>
    <t>IN0020070028</t>
  </si>
  <si>
    <t>8.08 GOI 2022</t>
  </si>
  <si>
    <t>IN0020180025</t>
  </si>
  <si>
    <t>7.37 GOI 2023^</t>
  </si>
  <si>
    <t>IN0020210046</t>
  </si>
  <si>
    <t>4.26 GOI 2023^</t>
  </si>
  <si>
    <t>Non-Convertible debentures / Bonds</t>
  </si>
  <si>
    <t>INE001A07SP7</t>
  </si>
  <si>
    <t>CRISIL - AAA</t>
  </si>
  <si>
    <t>INE002A08500</t>
  </si>
  <si>
    <t>Reliance Industries Ltd.^</t>
  </si>
  <si>
    <t>INE261F08AT4</t>
  </si>
  <si>
    <t>National Bank for Agri &amp; Rural Dev.^</t>
  </si>
  <si>
    <t>INE134E08KG2</t>
  </si>
  <si>
    <t>Power Finance Corporation Ltd.^</t>
  </si>
  <si>
    <t>MONEY MARKET INSTRUMENTS</t>
  </si>
  <si>
    <t>Treasury bills</t>
  </si>
  <si>
    <t>IN002020Z394</t>
  </si>
  <si>
    <t>364 Days Tbill Mat 301221</t>
  </si>
  <si>
    <t>GOV - SOVRN</t>
  </si>
  <si>
    <t>IN002020Z493</t>
  </si>
  <si>
    <t>364 Days Tbill - Mat 110322^</t>
  </si>
  <si>
    <t>IN002020Z485</t>
  </si>
  <si>
    <t>364 Days Tbill  Mat 030322^</t>
  </si>
  <si>
    <t>IN002020Z352</t>
  </si>
  <si>
    <t>364 Days Tbill Mat 091221^</t>
  </si>
  <si>
    <t>IN002020Z527</t>
  </si>
  <si>
    <t>364 Days Tbill ISD 310321 Mat 300322^</t>
  </si>
  <si>
    <t>IN002020Z519</t>
  </si>
  <si>
    <t>364 Days Tbill Mat 240322^</t>
  </si>
  <si>
    <t>IN002021Z053</t>
  </si>
  <si>
    <t>364 Days Tbill - Mat 050522^</t>
  </si>
  <si>
    <t>IN002021Z079</t>
  </si>
  <si>
    <t>364 Days Tbill - Mat 190522^</t>
  </si>
  <si>
    <t>IN002021Z111</t>
  </si>
  <si>
    <t>364 Days Tbill - Mat 160622^</t>
  </si>
  <si>
    <t>IN002021Z046</t>
  </si>
  <si>
    <t>364 days Tbill Mat 280422^</t>
  </si>
  <si>
    <t>IN002021Z095</t>
  </si>
  <si>
    <t>364 Days Tbill  Mat 020622^</t>
  </si>
  <si>
    <t>IN002020Z386</t>
  </si>
  <si>
    <t>364 Days Tbill Mat 231221^</t>
  </si>
  <si>
    <t>IN002021Y114</t>
  </si>
  <si>
    <t>182 Days Tbill Mat 161221^</t>
  </si>
  <si>
    <t>IN002021Y122</t>
  </si>
  <si>
    <t>182 days Tbill ISD 240621 Mat 231221^</t>
  </si>
  <si>
    <t>TREPS - Tri-party Repo</t>
  </si>
  <si>
    <t>Reverse Repo</t>
  </si>
  <si>
    <t>OTHERS</t>
  </si>
  <si>
    <t>Net Current Assets</t>
  </si>
  <si>
    <t>Grand Total</t>
  </si>
  <si>
    <t>Top Ten Holdings,</t>
  </si>
  <si>
    <t xml:space="preserve">(+) </t>
  </si>
  <si>
    <t>Industry Classification as recommended by AMFI,</t>
  </si>
  <si>
    <t xml:space="preserve">($) </t>
  </si>
  <si>
    <t>Sponsor,</t>
  </si>
  <si>
    <t>(¥)</t>
  </si>
  <si>
    <t>Portfolio Turnover Ratio = Lower of purchases or sales of securities during the twelve months ended September 30, 2021 / Average Net Assets during the twelve months ended September 30, 2021</t>
  </si>
  <si>
    <t>~</t>
  </si>
  <si>
    <t>YTC i.e. Yield to Call is disclosed at security level only for Additional Tier 1 Bonds and Tier 2 Bonds issued by Banks as per AMFI Best Practices Notification 135/BP/91/2020-21 read with SEBI circular SEBI/HO/IMD/DF4/CIR/P/2021/034</t>
  </si>
  <si>
    <t>Notes :</t>
  </si>
  <si>
    <t>1) NAV History</t>
  </si>
  <si>
    <t>NAVs per unit (Rs.)</t>
  </si>
  <si>
    <t>September 30, 2021</t>
  </si>
  <si>
    <t>March 31, 2021</t>
  </si>
  <si>
    <t>Regular Plan</t>
  </si>
  <si>
    <t>Retail IDCW Option</t>
  </si>
  <si>
    <t>Retail Quarterly IDCW Option</t>
  </si>
  <si>
    <t>Retail Growth Option</t>
  </si>
  <si>
    <t>Direct Plan</t>
  </si>
  <si>
    <t>Quarterly IDCW Option - Direct Plan</t>
  </si>
  <si>
    <t>Growth Option - Direct Plan</t>
  </si>
  <si>
    <t>Wholesale Monthly IDCW - Direct Plan</t>
  </si>
  <si>
    <t>Wholesale IDCW Option - Direct Plan</t>
  </si>
  <si>
    <t>Wholesale Growth Option - Direct Plan</t>
  </si>
  <si>
    <t>Wholesale Plan</t>
  </si>
  <si>
    <t xml:space="preserve">Wholesale Monthly IDCW Option  </t>
  </si>
  <si>
    <t>Wholesale IDCW Option</t>
  </si>
  <si>
    <t>Wholesale Growth Option</t>
  </si>
  <si>
    <t>Dividend declared during the half-year ended September 30, 2021</t>
  </si>
  <si>
    <t xml:space="preserve">Dividend Per Unit (Rs) for </t>
  </si>
  <si>
    <t>Plan Name</t>
  </si>
  <si>
    <t>Record Date</t>
  </si>
  <si>
    <t>Nav as on Record Date</t>
  </si>
  <si>
    <t>Individuals and HUF</t>
  </si>
  <si>
    <t>Others</t>
  </si>
  <si>
    <t>Wholesale Plan - Direct IDCW Option(Monthly)</t>
  </si>
  <si>
    <t>Wholesale Plan - IDCW Option (Monthly)</t>
  </si>
  <si>
    <t>Wholesale Plan - IDCW Option (Quarterly)</t>
  </si>
  <si>
    <t>Wholesale Plan - Direct IDCW Option(Quarterly)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</si>
  <si>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</si>
  <si>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</si>
  <si>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</si>
  <si>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Sep 30, 2021 : Rs. 546932.84 Lacs</t>
  </si>
  <si>
    <t>6) Portfolio Turnover Ratio : 261.28%</t>
  </si>
  <si>
    <t>7) Average Portfolio Maturity (other than equity investments): 241.78 Days</t>
  </si>
  <si>
    <t>8) Total value and percentage of Illiquid Equity Shares : Nil</t>
  </si>
  <si>
    <t>9)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</si>
  <si>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10) Riskometer based on Scheme Portfolio and Portfolio Benchmark "NIFTY 50 Arbitrage Index" as on Sep 30, 2021</t>
  </si>
  <si>
    <t>Scheme Riskometer:</t>
  </si>
  <si>
    <t>Benchmark Riskometer:</t>
  </si>
  <si>
    <t>DERIVATIVE DISCLOSURE</t>
  </si>
  <si>
    <t>Disclosure regarding Derivative positions pursuant to SEBI Circular no. CIR/IMD/DF/11/2010 dated August 18, 2010.</t>
  </si>
  <si>
    <t>A.  Hedging Positions through Futures as on  September 30, 2021</t>
  </si>
  <si>
    <t>Scheme Name</t>
  </si>
  <si>
    <t>Underlying</t>
  </si>
  <si>
    <t xml:space="preserve">Long / (Short) </t>
  </si>
  <si>
    <t>Margin maintained in (Rs. In Lacs)</t>
  </si>
  <si>
    <t>HDFC Arbitrage Fund</t>
  </si>
  <si>
    <t>ACC Ltd</t>
  </si>
  <si>
    <t>Alkem Laboratories Limited</t>
  </si>
  <si>
    <t>Apollo Hospitals Enterprise Ltd</t>
  </si>
  <si>
    <t>AU Small Finance Bank Limited</t>
  </si>
  <si>
    <t>BAJAJ FINANCE LTD.</t>
  </si>
  <si>
    <t>Bandhan Bank Limited</t>
  </si>
  <si>
    <t>BATA INDIA LTD</t>
  </si>
  <si>
    <t>Berger Paints (I) Ltd.</t>
  </si>
  <si>
    <t>Bajaj Finserv Limited</t>
  </si>
  <si>
    <t>Can Fin Homes Ltd.</t>
  </si>
  <si>
    <t>Cholamandalam Investment and Finance Company Ltd.</t>
  </si>
  <si>
    <t>ESCORTS LTD</t>
  </si>
  <si>
    <t>Granules India Limited</t>
  </si>
  <si>
    <t>HAVELLS INDIA LIMITED</t>
  </si>
  <si>
    <t>Housing Development Fin. Corp. Ltd.</t>
  </si>
  <si>
    <t>Hindalco Industries Ltd</t>
  </si>
  <si>
    <t>Indiabulls Housing FInance Ltd.</t>
  </si>
  <si>
    <t>Vodafone Idea Ltd.</t>
  </si>
  <si>
    <t>Oracle Financial Ser Software Ltd</t>
  </si>
  <si>
    <t>INDIAN RAILWAY CATERING AND TOURISM CORPORATION LIMITED</t>
  </si>
  <si>
    <t>JSW Steel Ltd</t>
  </si>
  <si>
    <t>M&amp;M Financial Services Ltd.</t>
  </si>
  <si>
    <t>Marico Limited</t>
  </si>
  <si>
    <t>Max FInancial Services Ltd.</t>
  </si>
  <si>
    <t>MindTree Limited</t>
  </si>
  <si>
    <t>Adani Ports and Special Economic Zone Ltd</t>
  </si>
  <si>
    <t>Muthoot Finance Ltd</t>
  </si>
  <si>
    <t>National Aluminium Company Ltd.</t>
  </si>
  <si>
    <t>Info Edge (India) Ltd.</t>
  </si>
  <si>
    <t>Piramal Enterprises Ltd.</t>
  </si>
  <si>
    <t>PETRONET LNG LIMITED</t>
  </si>
  <si>
    <t>PI INDUSTRIES LTD</t>
  </si>
  <si>
    <t>Power Grid Corporation of India Ltd</t>
  </si>
  <si>
    <t>Steel Authority of India Ltd.</t>
  </si>
  <si>
    <t>Strides Pharma Science Ltd.</t>
  </si>
  <si>
    <t>SYNGENE INTERNATIONAL LIMITED</t>
  </si>
  <si>
    <t>Zee Entertainment Enterprises Ltd</t>
  </si>
  <si>
    <t>Total %age of existing assets hedged through futures</t>
  </si>
  <si>
    <t>%</t>
  </si>
  <si>
    <t>For the period ended September 30, 2021 following were the hedging transactions through futures which have been squared off/expired</t>
  </si>
  <si>
    <t>Total Number of contracts where futures were bought</t>
  </si>
  <si>
    <t xml:space="preserve">Total Number of contracts where futures were sold </t>
  </si>
  <si>
    <t>Gross Notional Value of contracts where futures were bought (Rs. in lacs)</t>
  </si>
  <si>
    <t>Gross Notional Value of contracts where futures were sold (Rs in lacs)</t>
  </si>
  <si>
    <t>Net Profit/(Loss) value on all contracts combined (Rs in lacs)</t>
  </si>
  <si>
    <t>B. Other than Hedging Positions through Futures as on  September 30, 2021 : Nil</t>
  </si>
  <si>
    <t>C. Hedging Positions through Options as on  September 30, 2021 : Nil</t>
  </si>
  <si>
    <t>Futures Price when purchased (Rs.) Per Unit</t>
  </si>
  <si>
    <t>Current price of the contract (Rs.) Per 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</si>
</sst>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#,##0.0000"/>
    <numFmt numFmtId="165" formatCode="mmmm\ dd\,yyyy"/>
    <numFmt numFmtId="166" formatCode="0.000"/>
    <numFmt numFmtId="167" formatCode="_(* #,##0.00_);_(* \(#,##0.00\);_(* &quot;-&quot;??_);_(@_)"/>
    <numFmt numFmtId="168" formatCode="_(* #,##0_);_(* \(#,##0\);_(* &quot;-&quot;??_);_(@_)"/>
  </numFmts>
  <fonts count="2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b/>
      <sz val="12"/>
      <color theme="1"/>
      <name val="Tahoma"/>
      <family val="2"/>
    </font>
    <font>
      <b/>
      <sz val="10"/>
      <color rgb="FFFF0000"/>
      <name val="Tahoma"/>
      <family val="2"/>
    </font>
    <font>
      <sz val="11"/>
      <color rgb="FF000000"/>
      <name val="Calibri"/>
      <family val="2"/>
    </font>
    <font>
      <b/>
      <sz val="10"/>
      <color rgb="FF000000"/>
      <name val="Tahoma"/>
      <family val="2"/>
    </font>
    <font>
      <sz val="10"/>
      <color theme="1"/>
      <name val="Wingdings"/>
      <charset val="2"/>
    </font>
    <font>
      <b/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b/>
      <sz val="10"/>
      <color theme="1"/>
      <name val="Arial"/>
      <family val="2"/>
    </font>
    <font>
      <i/>
      <sz val="10"/>
      <color theme="1"/>
      <name val="Tahoma"/>
      <family val="2"/>
    </font>
    <font>
      <b/>
      <sz val="10"/>
      <color rgb="FF000000"/>
      <name val="Arial Unicode MS"/>
      <family val="2"/>
    </font>
    <font>
      <b/>
      <sz val="11"/>
      <color rgb="FF000000"/>
      <name val="Calibri"/>
      <family val="2"/>
    </font>
    <font>
      <sz val="10"/>
      <color rgb="FF000000"/>
      <name val="Arial Unicode MS"/>
      <family val="2"/>
    </font>
    <font>
      <sz val="10"/>
      <color theme="1"/>
      <name val="Arial Unicode MS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0"/>
      <name val="Tahoma"/>
      <family val="2"/>
    </font>
    <font>
      <sz val="1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AEAAAA"/>
      </patternFill>
    </fill>
  </fills>
  <borders count="9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18" fillId="0" borderId="0"/>
    <xf numFmtId="167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167" fontId="17" fillId="0" borderId="0" applyFont="0" applyFill="0" applyBorder="0" applyAlignment="0" applyProtection="0"/>
  </cellStyleXfs>
  <cellXfs count="73">
    <xf numFmtId="0" fontId="0" fillId="0" borderId="0" xfId="0"/>
    <xf numFmtId="0" fontId="0" fillId="0" borderId="0" xfId="0" applyNumberFormat="1" applyFont="1" applyFill="1" applyBorder="1"/>
    <xf numFmtId="0" fontId="5" fillId="0" borderId="0" xfId="0" applyNumberFormat="1" applyFont="1" applyFill="1" applyBorder="1"/>
    <xf numFmtId="0" fontId="6" fillId="3" borderId="0" xfId="0" applyNumberFormat="1" applyFont="1" applyFill="1" applyBorder="1" applyAlignment="1">
      <alignment horizontal="center" wrapText="1"/>
    </xf>
    <xf numFmtId="4" fontId="6" fillId="3" borderId="0" xfId="0" applyNumberFormat="1" applyFont="1" applyFill="1" applyBorder="1" applyAlignment="1">
      <alignment horizontal="center" wrapText="1"/>
    </xf>
    <xf numFmtId="0" fontId="7" fillId="0" borderId="0" xfId="0" applyNumberFormat="1" applyFont="1" applyFill="1" applyBorder="1"/>
    <xf numFmtId="0" fontId="8" fillId="0" borderId="0" xfId="0" applyNumberFormat="1" applyFont="1" applyFill="1" applyBorder="1" applyAlignment="1">
      <alignment horizontal="left"/>
    </xf>
    <xf numFmtId="0" fontId="9" fillId="0" borderId="0" xfId="0" applyNumberFormat="1" applyFont="1" applyFill="1" applyBorder="1" applyAlignment="1">
      <alignment horizontal="right"/>
    </xf>
    <xf numFmtId="0" fontId="10" fillId="0" borderId="0" xfId="0" applyNumberFormat="1" applyFont="1" applyFill="1" applyBorder="1"/>
    <xf numFmtId="3" fontId="10" fillId="0" borderId="0" xfId="0" applyNumberFormat="1" applyFont="1" applyFill="1" applyBorder="1" applyAlignment="1">
      <alignment horizontal="right"/>
    </xf>
    <xf numFmtId="4" fontId="10" fillId="0" borderId="0" xfId="0" applyNumberFormat="1" applyFont="1" applyFill="1" applyBorder="1" applyAlignment="1">
      <alignment horizontal="right"/>
    </xf>
    <xf numFmtId="164" fontId="10" fillId="0" borderId="0" xfId="0" applyNumberFormat="1" applyFont="1" applyFill="1" applyBorder="1" applyAlignment="1">
      <alignment horizontal="right"/>
    </xf>
    <xf numFmtId="0" fontId="7" fillId="0" borderId="0" xfId="0" applyNumberFormat="1" applyFont="1" applyFill="1" applyBorder="1" applyAlignment="1">
      <alignment horizontal="right"/>
    </xf>
    <xf numFmtId="4" fontId="11" fillId="0" borderId="0" xfId="0" applyNumberFormat="1" applyFont="1" applyFill="1" applyBorder="1"/>
    <xf numFmtId="0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12" fillId="0" borderId="0" xfId="0" applyNumberFormat="1" applyFont="1" applyFill="1" applyBorder="1"/>
    <xf numFmtId="0" fontId="5" fillId="0" borderId="0" xfId="0" applyNumberFormat="1" applyFont="1" applyFill="1" applyBorder="1" applyAlignment="1">
      <alignment horizontal="center"/>
    </xf>
    <xf numFmtId="0" fontId="13" fillId="0" borderId="0" xfId="0" applyNumberFormat="1" applyFont="1" applyFill="1" applyBorder="1"/>
    <xf numFmtId="15" fontId="6" fillId="2" borderId="3" xfId="0" applyNumberFormat="1" applyFont="1" applyFill="1" applyBorder="1" applyAlignment="1">
      <alignment horizontal="center"/>
    </xf>
    <xf numFmtId="165" fontId="14" fillId="4" borderId="3" xfId="0" applyNumberFormat="1" applyFont="1" applyFill="1" applyBorder="1" applyAlignment="1">
      <alignment horizontal="center" vertical="center"/>
    </xf>
    <xf numFmtId="0" fontId="5" fillId="0" borderId="4" xfId="0" applyNumberFormat="1" applyFont="1" applyFill="1" applyBorder="1"/>
    <xf numFmtId="0" fontId="5" fillId="0" borderId="5" xfId="0" applyNumberFormat="1" applyFont="1" applyFill="1" applyBorder="1"/>
    <xf numFmtId="166" fontId="16" fillId="0" borderId="3" xfId="0" applyNumberFormat="1" applyFont="1" applyFill="1" applyBorder="1"/>
    <xf numFmtId="0" fontId="10" fillId="2" borderId="3" xfId="0" applyNumberFormat="1" applyFont="1" applyFill="1" applyBorder="1" applyAlignment="1">
      <alignment horizontal="left"/>
    </xf>
    <xf numFmtId="0" fontId="10" fillId="2" borderId="3" xfId="0" applyNumberFormat="1" applyFont="1" applyFill="1" applyBorder="1" applyAlignment="1">
      <alignment horizontal="center"/>
    </xf>
    <xf numFmtId="0" fontId="6" fillId="2" borderId="3" xfId="0" applyNumberFormat="1" applyFont="1" applyFill="1" applyBorder="1" applyAlignment="1">
      <alignment horizontal="center"/>
    </xf>
    <xf numFmtId="0" fontId="8" fillId="2" borderId="3" xfId="0" applyNumberFormat="1" applyFont="1" applyFill="1" applyBorder="1" applyAlignment="1">
      <alignment horizontal="center"/>
    </xf>
    <xf numFmtId="0" fontId="10" fillId="0" borderId="3" xfId="0" applyNumberFormat="1" applyFont="1" applyFill="1" applyBorder="1"/>
    <xf numFmtId="15" fontId="10" fillId="0" borderId="3" xfId="0" applyNumberFormat="1" applyFont="1" applyFill="1" applyBorder="1"/>
    <xf numFmtId="0" fontId="1" fillId="0" borderId="0" xfId="0" applyNumberFormat="1" applyFont="1" applyFill="1" applyBorder="1" applyAlignment="1">
      <alignment horizontal="left"/>
    </xf>
    <xf numFmtId="0" fontId="18" fillId="0" borderId="0" xfId="1" applyFont="1" applyFill="1" applyBorder="1" applyAlignment="1">
      <alignment horizontal="right"/>
    </xf>
    <xf numFmtId="0" fontId="19" fillId="0" borderId="1" xfId="1" applyFont="1" applyFill="1" applyBorder="1" applyAlignment="1"/>
    <xf numFmtId="0" fontId="19" fillId="0" borderId="3" xfId="1" applyFont="1" applyFill="1" applyBorder="1" applyAlignment="1">
      <alignment wrapText="1"/>
    </xf>
    <xf numFmtId="0" fontId="21" fillId="0" borderId="3" xfId="1" applyFont="1" applyFill="1" applyBorder="1" applyAlignment="1">
      <alignment vertical="top"/>
    </xf>
    <xf numFmtId="168" fontId="21" fillId="0" borderId="3" xfId="2" applyNumberFormat="1" applyFont="1" applyFill="1" applyBorder="1" applyAlignment="1">
      <alignment horizontal="right" vertical="center"/>
    </xf>
    <xf numFmtId="4" fontId="21" fillId="0" borderId="3" xfId="1" applyNumberFormat="1" applyFont="1" applyFill="1" applyBorder="1" applyAlignment="1">
      <alignment horizontal="right" vertical="top"/>
    </xf>
    <xf numFmtId="4" fontId="18" fillId="0" borderId="3" xfId="1" applyNumberFormat="1" applyFont="1" applyFill="1" applyBorder="1" applyAlignment="1"/>
    <xf numFmtId="4" fontId="18" fillId="0" borderId="0" xfId="1" applyNumberFormat="1" applyFont="1" applyFill="1" applyBorder="1" applyAlignment="1"/>
    <xf numFmtId="0" fontId="18" fillId="0" borderId="0" xfId="1" applyFont="1" applyFill="1" applyBorder="1" applyAlignment="1">
      <alignment horizontal="center" vertical="center"/>
    </xf>
    <xf numFmtId="0" fontId="21" fillId="0" borderId="0" xfId="1" applyFont="1" applyFill="1" applyBorder="1" applyAlignment="1">
      <alignment vertical="top"/>
    </xf>
    <xf numFmtId="168" fontId="21" fillId="0" borderId="0" xfId="2" applyNumberFormat="1" applyFont="1" applyFill="1" applyBorder="1" applyAlignment="1">
      <alignment horizontal="right" vertical="center"/>
    </xf>
    <xf numFmtId="4" fontId="21" fillId="0" borderId="0" xfId="1" applyNumberFormat="1" applyFont="1" applyFill="1" applyBorder="1" applyAlignment="1">
      <alignment horizontal="right" vertical="top"/>
    </xf>
    <xf numFmtId="0" fontId="19" fillId="0" borderId="0" xfId="1" applyFont="1" applyFill="1" applyBorder="1" applyAlignment="1"/>
    <xf numFmtId="0" fontId="20" fillId="0" borderId="3" xfId="1" applyFont="1" applyFill="1" applyBorder="1" applyAlignment="1">
      <alignment vertical="top"/>
    </xf>
    <xf numFmtId="0" fontId="20" fillId="0" borderId="3" xfId="1" applyFont="1" applyFill="1" applyBorder="1" applyAlignment="1">
      <alignment horizontal="right" vertical="top"/>
    </xf>
    <xf numFmtId="0" fontId="20" fillId="0" borderId="0" xfId="1" applyFont="1" applyFill="1" applyBorder="1" applyAlignment="1">
      <alignment vertical="top"/>
    </xf>
    <xf numFmtId="0" fontId="18" fillId="0" borderId="3" xfId="1" applyFont="1" applyFill="1" applyBorder="1" applyAlignment="1"/>
    <xf numFmtId="4" fontId="21" fillId="0" borderId="3" xfId="3" applyNumberFormat="1" applyFont="1" applyFill="1" applyBorder="1" applyAlignment="1">
      <alignment vertical="top"/>
    </xf>
    <xf numFmtId="0" fontId="19" fillId="0" borderId="6" xfId="1" applyFont="1" applyFill="1" applyBorder="1" applyAlignment="1"/>
    <xf numFmtId="0" fontId="19" fillId="0" borderId="6" xfId="1" applyFont="1" applyFill="1" applyBorder="1" applyAlignment="1">
      <alignment wrapText="1"/>
    </xf>
    <xf numFmtId="168" fontId="18" fillId="0" borderId="3" xfId="2" applyNumberFormat="1" applyFont="1" applyFill="1" applyBorder="1" applyAlignment="1">
      <alignment horizontal="right"/>
    </xf>
    <xf numFmtId="168" fontId="18" fillId="0" borderId="3" xfId="4" applyNumberFormat="1" applyFont="1" applyFill="1" applyBorder="1" applyAlignment="1">
      <alignment horizontal="right"/>
    </xf>
    <xf numFmtId="167" fontId="18" fillId="0" borderId="3" xfId="2" applyFont="1" applyFill="1" applyBorder="1" applyAlignment="1">
      <alignment horizontal="right"/>
    </xf>
    <xf numFmtId="167" fontId="18" fillId="0" borderId="1" xfId="2" applyFont="1" applyFill="1" applyBorder="1" applyAlignment="1">
      <alignment horizontal="right"/>
    </xf>
    <xf numFmtId="4" fontId="19" fillId="0" borderId="0" xfId="1" applyNumberFormat="1" applyFont="1" applyFill="1" applyBorder="1" applyAlignment="1"/>
    <xf numFmtId="0" fontId="20" fillId="0" borderId="0" xfId="1" applyFont="1" applyFill="1" applyBorder="1" applyAlignment="1">
      <alignment horizontal="left" vertical="justify"/>
    </xf>
    <xf numFmtId="0" fontId="18" fillId="0" borderId="0" xfId="1" applyFont="1" applyFill="1" applyBorder="1" applyAlignment="1"/>
    <xf numFmtId="0" fontId="15" fillId="0" borderId="1" xfId="0" applyNumberFormat="1" applyFont="1" applyFill="1" applyBorder="1" applyAlignment="1">
      <alignment horizontal="left"/>
    </xf>
    <xf numFmtId="0" fontId="15" fillId="0" borderId="2" xfId="0" applyNumberFormat="1" applyFont="1" applyFill="1" applyBorder="1" applyAlignment="1">
      <alignment horizontal="left"/>
    </xf>
    <xf numFmtId="0" fontId="2" fillId="2" borderId="0" xfId="0" applyNumberFormat="1" applyFont="1" applyFill="1" applyBorder="1" applyAlignment="1">
      <alignment horizontal="center" vertical="center" wrapText="1"/>
    </xf>
    <xf numFmtId="0" fontId="3" fillId="2" borderId="0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Fill="1" applyBorder="1" applyAlignment="1">
      <alignment horizontal="left"/>
    </xf>
    <xf numFmtId="0" fontId="6" fillId="2" borderId="1" xfId="0" applyNumberFormat="1" applyFont="1" applyFill="1" applyBorder="1" applyAlignment="1">
      <alignment horizontal="left"/>
    </xf>
    <xf numFmtId="0" fontId="6" fillId="2" borderId="2" xfId="0" applyNumberFormat="1" applyFont="1" applyFill="1" applyBorder="1" applyAlignment="1">
      <alignment horizontal="left"/>
    </xf>
    <xf numFmtId="0" fontId="8" fillId="0" borderId="3" xfId="0" applyNumberFormat="1" applyFont="1" applyFill="1" applyBorder="1" applyAlignment="1">
      <alignment horizontal="left"/>
    </xf>
    <xf numFmtId="0" fontId="6" fillId="2" borderId="3" xfId="0" applyNumberFormat="1" applyFont="1" applyFill="1" applyBorder="1" applyAlignment="1">
      <alignment horizontal="center"/>
    </xf>
    <xf numFmtId="0" fontId="19" fillId="0" borderId="0" xfId="1" applyFont="1" applyFill="1" applyBorder="1" applyAlignment="1">
      <alignment horizontal="left"/>
    </xf>
    <xf numFmtId="0" fontId="20" fillId="0" borderId="0" xfId="1" applyFont="1" applyFill="1" applyBorder="1" applyAlignment="1">
      <alignment horizontal="left" vertical="justify"/>
    </xf>
    <xf numFmtId="0" fontId="18" fillId="0" borderId="6" xfId="1" applyFont="1" applyFill="1" applyBorder="1" applyAlignment="1">
      <alignment horizontal="center" vertical="top"/>
    </xf>
    <xf numFmtId="0" fontId="18" fillId="0" borderId="7" xfId="1" applyFont="1" applyFill="1" applyBorder="1" applyAlignment="1">
      <alignment horizontal="center" vertical="top"/>
    </xf>
    <xf numFmtId="0" fontId="18" fillId="0" borderId="8" xfId="1" applyFont="1" applyFill="1" applyBorder="1" applyAlignment="1">
      <alignment horizontal="center" vertical="top"/>
    </xf>
    <xf numFmtId="0" fontId="18" fillId="0" borderId="0" xfId="1" applyFont="1" applyFill="1" applyBorder="1" applyAlignment="1"/>
  </cellXfs>
  <cellStyles count="5">
    <cellStyle name="Comma 2" xfId="2"/>
    <cellStyle name="Comma 3" xfId="4"/>
    <cellStyle name="Normal" xfId="0" builtinId="0"/>
    <cellStyle name="Normal 2" xfId="1"/>
    <cellStyle name="Percent 2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34" Type="http://schemas.openxmlformats.org/officeDocument/2006/relationships/styles" Target="styles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calcChain" Target="calcChain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molM\Pictures\Riskometer\L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molM\Pictures\Riskometer\L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260</xdr:row>
      <xdr:rowOff>0</xdr:rowOff>
    </xdr:from>
    <xdr:to>
      <xdr:col>2</xdr:col>
      <xdr:colOff>1492250</xdr:colOff>
      <xdr:row>273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950" y="501681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276</xdr:row>
      <xdr:rowOff>0</xdr:rowOff>
    </xdr:from>
    <xdr:to>
      <xdr:col>2</xdr:col>
      <xdr:colOff>1492250</xdr:colOff>
      <xdr:row>289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950" y="532161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ividend%20History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Portfolio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Legend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%20Input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%20Stack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vidend History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ortfolio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egends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 Input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 Stack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/>
  <dimension ref="A1:J276"/>
  <sheetViews>
    <sheetView tabSelected="1" workbookViewId="0">
      <selection sqref="A1:J1"/>
    </sheetView>
  </sheetViews>
  <sheetFormatPr defaultRowHeight="15" x14ac:dyDescent="0.25"/>
  <cols>
    <col min="1" max="1" width="5.42578125" style="1" customWidth="1"/>
    <col min="2" max="2" width="33.42578125" style="1" customWidth="1"/>
    <col min="3" max="3" width="31.140625" style="1" customWidth="1"/>
    <col min="4" max="4" width="51.28515625" style="1" customWidth="1"/>
    <col min="5" max="5" width="33" style="1" customWidth="1"/>
    <col min="6" max="6" width="16.5703125" style="1" customWidth="1"/>
    <col min="7" max="7" width="21.7109375" style="1" customWidth="1"/>
    <col min="8" max="9" width="14.7109375" style="1" customWidth="1"/>
    <col min="10" max="10" width="15.7109375" style="1" customWidth="1"/>
    <col min="11" max="16384" width="9.140625" style="1"/>
  </cols>
  <sheetData>
    <row r="1" spans="1:10" ht="30" customHeight="1" x14ac:dyDescent="0.25">
      <c r="A1" s="60" t="s">
        <v>0</v>
      </c>
      <c r="B1" s="60" t="s">
        <v>0</v>
      </c>
      <c r="C1" s="60" t="s">
        <v>0</v>
      </c>
      <c r="D1" s="60" t="s">
        <v>0</v>
      </c>
      <c r="E1" s="60" t="s">
        <v>0</v>
      </c>
      <c r="F1" s="60" t="s">
        <v>0</v>
      </c>
      <c r="G1" s="60" t="s">
        <v>0</v>
      </c>
      <c r="H1" s="60" t="s">
        <v>0</v>
      </c>
      <c r="I1" s="60" t="s">
        <v>0</v>
      </c>
      <c r="J1" s="60" t="s">
        <v>0</v>
      </c>
    </row>
    <row r="2" spans="1:10" ht="30" customHeight="1" x14ac:dyDescent="0.25">
      <c r="A2" s="61" t="s">
        <v>1</v>
      </c>
      <c r="B2" s="61" t="s">
        <v>1</v>
      </c>
      <c r="C2" s="61" t="s">
        <v>1</v>
      </c>
      <c r="D2" s="61" t="s">
        <v>1</v>
      </c>
      <c r="E2" s="61" t="s">
        <v>1</v>
      </c>
      <c r="F2" s="61" t="s">
        <v>1</v>
      </c>
      <c r="G2" s="61" t="s">
        <v>1</v>
      </c>
      <c r="H2" s="61" t="s">
        <v>1</v>
      </c>
      <c r="I2" s="61" t="s">
        <v>1</v>
      </c>
      <c r="J2" s="61" t="s">
        <v>1</v>
      </c>
    </row>
    <row r="3" spans="1:10" x14ac:dyDescent="0.25">
      <c r="A3" s="62" t="s">
        <v>2</v>
      </c>
      <c r="B3" s="62" t="s">
        <v>2</v>
      </c>
      <c r="C3" s="62" t="s">
        <v>2</v>
      </c>
      <c r="D3" s="62" t="s">
        <v>2</v>
      </c>
      <c r="E3" s="62" t="s">
        <v>2</v>
      </c>
      <c r="F3" s="62" t="s">
        <v>2</v>
      </c>
      <c r="G3" s="62" t="s">
        <v>2</v>
      </c>
      <c r="H3" s="62" t="s">
        <v>2</v>
      </c>
      <c r="I3" s="62" t="s">
        <v>2</v>
      </c>
      <c r="J3" s="62" t="s">
        <v>2</v>
      </c>
    </row>
    <row r="4" spans="1:10" x14ac:dyDescent="0.25">
      <c r="A4" s="2"/>
      <c r="D4" s="2"/>
      <c r="E4" s="2"/>
      <c r="F4" s="2"/>
      <c r="G4" s="2"/>
      <c r="H4" s="2"/>
      <c r="I4" s="2"/>
      <c r="J4" s="2"/>
    </row>
    <row r="5" spans="1:10" x14ac:dyDescent="0.25">
      <c r="A5" s="2"/>
      <c r="B5" s="2"/>
      <c r="C5" s="2"/>
      <c r="D5" s="2"/>
      <c r="E5" s="2"/>
      <c r="F5" s="2"/>
      <c r="G5" s="2"/>
      <c r="H5" s="2"/>
      <c r="I5" s="2"/>
      <c r="J5" s="2"/>
    </row>
    <row r="6" spans="1:10" ht="26.25" x14ac:dyDescent="0.25">
      <c r="A6" s="2"/>
      <c r="B6" s="3" t="s">
        <v>3</v>
      </c>
      <c r="C6" s="3" t="s">
        <v>4</v>
      </c>
      <c r="D6" s="3" t="s">
        <v>5</v>
      </c>
      <c r="E6" s="3" t="s">
        <v>6</v>
      </c>
      <c r="F6" s="3" t="s">
        <v>7</v>
      </c>
      <c r="G6" s="4" t="s">
        <v>8</v>
      </c>
      <c r="H6" s="4" t="s">
        <v>9</v>
      </c>
      <c r="I6" s="4" t="s">
        <v>10</v>
      </c>
      <c r="J6" s="4" t="s">
        <v>11</v>
      </c>
    </row>
    <row r="7" spans="1:10" x14ac:dyDescent="0.25">
      <c r="A7" s="5"/>
      <c r="B7" s="6" t="s">
        <v>12</v>
      </c>
      <c r="C7" s="5"/>
      <c r="D7" s="5"/>
      <c r="E7" s="5"/>
      <c r="F7" s="5"/>
      <c r="G7" s="5"/>
      <c r="H7" s="5"/>
      <c r="I7" s="5"/>
      <c r="J7" s="5"/>
    </row>
    <row r="8" spans="1:10" x14ac:dyDescent="0.25">
      <c r="A8" s="5"/>
      <c r="B8" s="6" t="s">
        <v>13</v>
      </c>
      <c r="C8" s="5"/>
      <c r="D8" s="5"/>
      <c r="E8" s="5"/>
      <c r="F8" s="5"/>
      <c r="G8" s="5"/>
      <c r="H8" s="5"/>
      <c r="I8" s="5"/>
      <c r="J8" s="5"/>
    </row>
    <row r="9" spans="1:10" x14ac:dyDescent="0.25">
      <c r="A9" s="5"/>
      <c r="B9" s="6" t="s">
        <v>14</v>
      </c>
      <c r="C9" s="5"/>
      <c r="D9" s="5"/>
      <c r="E9" s="5"/>
      <c r="F9" s="5"/>
      <c r="G9" s="5"/>
      <c r="H9" s="5"/>
      <c r="I9" s="5"/>
      <c r="J9" s="5"/>
    </row>
    <row r="10" spans="1:10" x14ac:dyDescent="0.25">
      <c r="A10" s="7" t="s">
        <v>15</v>
      </c>
      <c r="B10" s="8" t="s">
        <v>16</v>
      </c>
      <c r="C10" s="8" t="s">
        <v>17</v>
      </c>
      <c r="D10" s="8" t="s">
        <v>18</v>
      </c>
      <c r="E10" s="8" t="s">
        <v>19</v>
      </c>
      <c r="F10" s="9">
        <v>6063750</v>
      </c>
      <c r="G10" s="10">
        <v>44744.41</v>
      </c>
      <c r="H10" s="10">
        <v>5.55</v>
      </c>
      <c r="I10" s="11" t="s">
        <v>17</v>
      </c>
      <c r="J10" s="11" t="s">
        <v>17</v>
      </c>
    </row>
    <row r="11" spans="1:10" x14ac:dyDescent="0.25">
      <c r="A11" s="7" t="s">
        <v>15</v>
      </c>
      <c r="B11" s="8" t="s">
        <v>20</v>
      </c>
      <c r="C11" s="8" t="s">
        <v>17</v>
      </c>
      <c r="D11" s="8" t="s">
        <v>21</v>
      </c>
      <c r="E11" s="8" t="s">
        <v>22</v>
      </c>
      <c r="F11" s="9">
        <v>2508350</v>
      </c>
      <c r="G11" s="10">
        <v>32330.12</v>
      </c>
      <c r="H11" s="10">
        <v>4.01</v>
      </c>
      <c r="I11" s="11" t="s">
        <v>17</v>
      </c>
      <c r="J11" s="11" t="s">
        <v>17</v>
      </c>
    </row>
    <row r="12" spans="1:10" x14ac:dyDescent="0.25">
      <c r="A12" s="7" t="s">
        <v>15</v>
      </c>
      <c r="B12" s="8" t="s">
        <v>23</v>
      </c>
      <c r="C12" s="8" t="s">
        <v>17</v>
      </c>
      <c r="D12" s="8" t="s">
        <v>24</v>
      </c>
      <c r="E12" s="8" t="s">
        <v>25</v>
      </c>
      <c r="F12" s="9">
        <v>323750</v>
      </c>
      <c r="G12" s="10">
        <v>24825.47</v>
      </c>
      <c r="H12" s="10">
        <v>3.08</v>
      </c>
      <c r="I12" s="11" t="s">
        <v>17</v>
      </c>
      <c r="J12" s="11" t="s">
        <v>17</v>
      </c>
    </row>
    <row r="13" spans="1:10" x14ac:dyDescent="0.25">
      <c r="A13" s="7" t="s">
        <v>15</v>
      </c>
      <c r="B13" s="8" t="s">
        <v>26</v>
      </c>
      <c r="C13" s="8" t="s">
        <v>17</v>
      </c>
      <c r="D13" s="8" t="s">
        <v>27</v>
      </c>
      <c r="E13" s="8" t="s">
        <v>28</v>
      </c>
      <c r="F13" s="9">
        <v>8295600</v>
      </c>
      <c r="G13" s="10">
        <v>23862.29</v>
      </c>
      <c r="H13" s="10">
        <v>2.96</v>
      </c>
      <c r="I13" s="11" t="s">
        <v>17</v>
      </c>
      <c r="J13" s="11" t="s">
        <v>17</v>
      </c>
    </row>
    <row r="14" spans="1:10" x14ac:dyDescent="0.25">
      <c r="A14" s="7" t="s">
        <v>15</v>
      </c>
      <c r="B14" s="8" t="s">
        <v>29</v>
      </c>
      <c r="C14" s="8" t="s">
        <v>17</v>
      </c>
      <c r="D14" s="8" t="s">
        <v>30</v>
      </c>
      <c r="E14" s="8" t="s">
        <v>31</v>
      </c>
      <c r="F14" s="9">
        <v>9849600</v>
      </c>
      <c r="G14" s="10">
        <v>23259.83</v>
      </c>
      <c r="H14" s="10">
        <v>2.88</v>
      </c>
      <c r="I14" s="11" t="s">
        <v>17</v>
      </c>
      <c r="J14" s="11" t="s">
        <v>17</v>
      </c>
    </row>
    <row r="15" spans="1:10" x14ac:dyDescent="0.25">
      <c r="A15" s="7" t="s">
        <v>15</v>
      </c>
      <c r="B15" s="8" t="s">
        <v>32</v>
      </c>
      <c r="C15" s="8" t="s">
        <v>17</v>
      </c>
      <c r="D15" s="8" t="s">
        <v>33</v>
      </c>
      <c r="E15" s="8" t="s">
        <v>34</v>
      </c>
      <c r="F15" s="9">
        <v>1379000</v>
      </c>
      <c r="G15" s="10">
        <v>20245.099999999999</v>
      </c>
      <c r="H15" s="10">
        <v>2.5099999999999998</v>
      </c>
      <c r="I15" s="11" t="s">
        <v>17</v>
      </c>
      <c r="J15" s="11" t="s">
        <v>17</v>
      </c>
    </row>
    <row r="16" spans="1:10" x14ac:dyDescent="0.25">
      <c r="A16" s="7" t="s">
        <v>15</v>
      </c>
      <c r="B16" s="8" t="s">
        <v>35</v>
      </c>
      <c r="C16" s="8" t="s">
        <v>17</v>
      </c>
      <c r="D16" s="8" t="s">
        <v>36</v>
      </c>
      <c r="E16" s="8" t="s">
        <v>37</v>
      </c>
      <c r="F16" s="9">
        <v>2429000</v>
      </c>
      <c r="G16" s="10">
        <v>19875.29</v>
      </c>
      <c r="H16" s="10">
        <v>2.4700000000000002</v>
      </c>
      <c r="I16" s="11" t="s">
        <v>17</v>
      </c>
      <c r="J16" s="11" t="s">
        <v>17</v>
      </c>
    </row>
    <row r="17" spans="1:10" x14ac:dyDescent="0.25">
      <c r="A17" s="7" t="s">
        <v>15</v>
      </c>
      <c r="B17" s="8" t="s">
        <v>38</v>
      </c>
      <c r="C17" s="8" t="s">
        <v>17</v>
      </c>
      <c r="D17" s="8" t="s">
        <v>39</v>
      </c>
      <c r="E17" s="8" t="s">
        <v>22</v>
      </c>
      <c r="F17" s="9">
        <v>2704050</v>
      </c>
      <c r="G17" s="10">
        <v>18071.169999999998</v>
      </c>
      <c r="H17" s="10">
        <v>2.2400000000000002</v>
      </c>
      <c r="I17" s="11" t="s">
        <v>17</v>
      </c>
      <c r="J17" s="11" t="s">
        <v>17</v>
      </c>
    </row>
    <row r="18" spans="1:10" x14ac:dyDescent="0.25">
      <c r="A18" s="7" t="s">
        <v>15</v>
      </c>
      <c r="B18" s="8" t="s">
        <v>40</v>
      </c>
      <c r="C18" s="8" t="s">
        <v>17</v>
      </c>
      <c r="D18" s="8" t="s">
        <v>41</v>
      </c>
      <c r="E18" s="8" t="s">
        <v>42</v>
      </c>
      <c r="F18" s="9">
        <v>2473625</v>
      </c>
      <c r="G18" s="10">
        <v>17336.400000000001</v>
      </c>
      <c r="H18" s="10">
        <v>2.15</v>
      </c>
      <c r="I18" s="11" t="s">
        <v>17</v>
      </c>
      <c r="J18" s="11" t="s">
        <v>17</v>
      </c>
    </row>
    <row r="19" spans="1:10" x14ac:dyDescent="0.25">
      <c r="A19" s="7" t="s">
        <v>15</v>
      </c>
      <c r="B19" s="8" t="s">
        <v>43</v>
      </c>
      <c r="C19" s="8" t="s">
        <v>17</v>
      </c>
      <c r="D19" s="8" t="s">
        <v>44</v>
      </c>
      <c r="E19" s="8" t="s">
        <v>45</v>
      </c>
      <c r="F19" s="9">
        <v>9868500</v>
      </c>
      <c r="G19" s="10">
        <v>15666.24</v>
      </c>
      <c r="H19" s="10">
        <v>1.94</v>
      </c>
      <c r="I19" s="11" t="s">
        <v>17</v>
      </c>
      <c r="J19" s="11" t="s">
        <v>17</v>
      </c>
    </row>
    <row r="20" spans="1:10" x14ac:dyDescent="0.25">
      <c r="A20" s="7" t="s">
        <v>17</v>
      </c>
      <c r="B20" s="8" t="s">
        <v>46</v>
      </c>
      <c r="C20" s="8" t="s">
        <v>17</v>
      </c>
      <c r="D20" s="8" t="s">
        <v>47</v>
      </c>
      <c r="E20" s="8" t="s">
        <v>42</v>
      </c>
      <c r="F20" s="9">
        <v>3064500</v>
      </c>
      <c r="G20" s="10">
        <v>13882.19</v>
      </c>
      <c r="H20" s="10">
        <v>1.72</v>
      </c>
      <c r="I20" s="11" t="s">
        <v>17</v>
      </c>
      <c r="J20" s="11" t="s">
        <v>17</v>
      </c>
    </row>
    <row r="21" spans="1:10" x14ac:dyDescent="0.25">
      <c r="A21" s="7" t="s">
        <v>17</v>
      </c>
      <c r="B21" s="8" t="s">
        <v>48</v>
      </c>
      <c r="C21" s="8" t="s">
        <v>17</v>
      </c>
      <c r="D21" s="8" t="s">
        <v>49</v>
      </c>
      <c r="E21" s="8" t="s">
        <v>22</v>
      </c>
      <c r="F21" s="9">
        <v>2632500</v>
      </c>
      <c r="G21" s="10">
        <v>10247.01</v>
      </c>
      <c r="H21" s="10">
        <v>1.27</v>
      </c>
      <c r="I21" s="11" t="s">
        <v>17</v>
      </c>
      <c r="J21" s="11" t="s">
        <v>17</v>
      </c>
    </row>
    <row r="22" spans="1:10" x14ac:dyDescent="0.25">
      <c r="A22" s="7" t="s">
        <v>17</v>
      </c>
      <c r="B22" s="8" t="s">
        <v>50</v>
      </c>
      <c r="C22" s="8" t="s">
        <v>17</v>
      </c>
      <c r="D22" s="8" t="s">
        <v>51</v>
      </c>
      <c r="E22" s="8" t="s">
        <v>52</v>
      </c>
      <c r="F22" s="9">
        <v>1175900</v>
      </c>
      <c r="G22" s="10">
        <v>8494.7000000000007</v>
      </c>
      <c r="H22" s="10">
        <v>1.05</v>
      </c>
      <c r="I22" s="11" t="s">
        <v>17</v>
      </c>
      <c r="J22" s="11" t="s">
        <v>17</v>
      </c>
    </row>
    <row r="23" spans="1:10" x14ac:dyDescent="0.25">
      <c r="A23" s="7" t="s">
        <v>17</v>
      </c>
      <c r="B23" s="8" t="s">
        <v>53</v>
      </c>
      <c r="C23" s="8" t="s">
        <v>17</v>
      </c>
      <c r="D23" s="8" t="s">
        <v>54</v>
      </c>
      <c r="E23" s="8" t="s">
        <v>55</v>
      </c>
      <c r="F23" s="9">
        <v>114200</v>
      </c>
      <c r="G23" s="10">
        <v>8380.0499999999993</v>
      </c>
      <c r="H23" s="10">
        <v>1.04</v>
      </c>
      <c r="I23" s="11" t="s">
        <v>17</v>
      </c>
      <c r="J23" s="11" t="s">
        <v>17</v>
      </c>
    </row>
    <row r="24" spans="1:10" x14ac:dyDescent="0.25">
      <c r="A24" s="7" t="s">
        <v>17</v>
      </c>
      <c r="B24" s="8" t="s">
        <v>56</v>
      </c>
      <c r="C24" s="8" t="s">
        <v>17</v>
      </c>
      <c r="D24" s="8" t="s">
        <v>57</v>
      </c>
      <c r="E24" s="8" t="s">
        <v>31</v>
      </c>
      <c r="F24" s="9">
        <v>965000</v>
      </c>
      <c r="G24" s="10">
        <v>8232.42</v>
      </c>
      <c r="H24" s="10">
        <v>1.02</v>
      </c>
      <c r="I24" s="11" t="s">
        <v>17</v>
      </c>
      <c r="J24" s="11" t="s">
        <v>17</v>
      </c>
    </row>
    <row r="25" spans="1:10" x14ac:dyDescent="0.25">
      <c r="A25" s="7" t="s">
        <v>17</v>
      </c>
      <c r="B25" s="8" t="s">
        <v>58</v>
      </c>
      <c r="C25" s="8" t="s">
        <v>17</v>
      </c>
      <c r="D25" s="8" t="s">
        <v>59</v>
      </c>
      <c r="E25" s="8" t="s">
        <v>25</v>
      </c>
      <c r="F25" s="9">
        <v>289300</v>
      </c>
      <c r="G25" s="10">
        <v>7509.65</v>
      </c>
      <c r="H25" s="10">
        <v>0.93</v>
      </c>
      <c r="I25" s="11" t="s">
        <v>17</v>
      </c>
      <c r="J25" s="11" t="s">
        <v>17</v>
      </c>
    </row>
    <row r="26" spans="1:10" x14ac:dyDescent="0.25">
      <c r="A26" s="7" t="s">
        <v>17</v>
      </c>
      <c r="B26" s="8" t="s">
        <v>60</v>
      </c>
      <c r="C26" s="8" t="s">
        <v>17</v>
      </c>
      <c r="D26" s="8" t="s">
        <v>61</v>
      </c>
      <c r="E26" s="8" t="s">
        <v>62</v>
      </c>
      <c r="F26" s="9">
        <v>1037300</v>
      </c>
      <c r="G26" s="10">
        <v>7139.74</v>
      </c>
      <c r="H26" s="10">
        <v>0.89</v>
      </c>
      <c r="I26" s="11" t="s">
        <v>17</v>
      </c>
      <c r="J26" s="11" t="s">
        <v>17</v>
      </c>
    </row>
    <row r="27" spans="1:10" x14ac:dyDescent="0.25">
      <c r="A27" s="7" t="s">
        <v>17</v>
      </c>
      <c r="B27" s="8" t="s">
        <v>63</v>
      </c>
      <c r="C27" s="8" t="s">
        <v>17</v>
      </c>
      <c r="D27" s="8" t="s">
        <v>64</v>
      </c>
      <c r="E27" s="8" t="s">
        <v>65</v>
      </c>
      <c r="F27" s="9">
        <v>782000</v>
      </c>
      <c r="G27" s="10">
        <v>7188.93</v>
      </c>
      <c r="H27" s="10">
        <v>0.89</v>
      </c>
      <c r="I27" s="11" t="s">
        <v>17</v>
      </c>
      <c r="J27" s="11" t="s">
        <v>17</v>
      </c>
    </row>
    <row r="28" spans="1:10" x14ac:dyDescent="0.25">
      <c r="A28" s="7" t="s">
        <v>17</v>
      </c>
      <c r="B28" s="8" t="s">
        <v>66</v>
      </c>
      <c r="C28" s="8" t="s">
        <v>17</v>
      </c>
      <c r="D28" s="8" t="s">
        <v>67</v>
      </c>
      <c r="E28" s="8" t="s">
        <v>55</v>
      </c>
      <c r="F28" s="9">
        <v>477950</v>
      </c>
      <c r="G28" s="10">
        <v>7074.14</v>
      </c>
      <c r="H28" s="10">
        <v>0.88</v>
      </c>
      <c r="I28" s="11" t="s">
        <v>17</v>
      </c>
      <c r="J28" s="11" t="s">
        <v>17</v>
      </c>
    </row>
    <row r="29" spans="1:10" x14ac:dyDescent="0.25">
      <c r="A29" s="7" t="s">
        <v>17</v>
      </c>
      <c r="B29" s="8" t="s">
        <v>68</v>
      </c>
      <c r="C29" s="8" t="s">
        <v>17</v>
      </c>
      <c r="D29" s="8" t="s">
        <v>69</v>
      </c>
      <c r="E29" s="8" t="s">
        <v>55</v>
      </c>
      <c r="F29" s="9">
        <v>234300</v>
      </c>
      <c r="G29" s="10">
        <v>6636.55</v>
      </c>
      <c r="H29" s="10">
        <v>0.82</v>
      </c>
      <c r="I29" s="11" t="s">
        <v>17</v>
      </c>
      <c r="J29" s="11" t="s">
        <v>17</v>
      </c>
    </row>
    <row r="30" spans="1:10" x14ac:dyDescent="0.25">
      <c r="A30" s="7" t="s">
        <v>17</v>
      </c>
      <c r="B30" s="8" t="s">
        <v>70</v>
      </c>
      <c r="C30" s="8" t="s">
        <v>17</v>
      </c>
      <c r="D30" s="8" t="s">
        <v>71</v>
      </c>
      <c r="E30" s="8" t="s">
        <v>37</v>
      </c>
      <c r="F30" s="9">
        <v>1181400</v>
      </c>
      <c r="G30" s="10">
        <v>6519.56</v>
      </c>
      <c r="H30" s="10">
        <v>0.81</v>
      </c>
      <c r="I30" s="11" t="s">
        <v>17</v>
      </c>
      <c r="J30" s="11" t="s">
        <v>17</v>
      </c>
    </row>
    <row r="31" spans="1:10" x14ac:dyDescent="0.25">
      <c r="A31" s="7" t="s">
        <v>17</v>
      </c>
      <c r="B31" s="8" t="s">
        <v>72</v>
      </c>
      <c r="C31" s="8" t="s">
        <v>17</v>
      </c>
      <c r="D31" s="8" t="s">
        <v>73</v>
      </c>
      <c r="E31" s="8" t="s">
        <v>74</v>
      </c>
      <c r="F31" s="9">
        <v>1501500</v>
      </c>
      <c r="G31" s="10">
        <v>6264.26</v>
      </c>
      <c r="H31" s="10">
        <v>0.78</v>
      </c>
      <c r="I31" s="11" t="s">
        <v>17</v>
      </c>
      <c r="J31" s="11" t="s">
        <v>17</v>
      </c>
    </row>
    <row r="32" spans="1:10" x14ac:dyDescent="0.25">
      <c r="A32" s="7" t="s">
        <v>17</v>
      </c>
      <c r="B32" s="8" t="s">
        <v>75</v>
      </c>
      <c r="C32" s="8" t="s">
        <v>17</v>
      </c>
      <c r="D32" s="8" t="s">
        <v>76</v>
      </c>
      <c r="E32" s="8" t="s">
        <v>42</v>
      </c>
      <c r="F32" s="9">
        <v>2073600</v>
      </c>
      <c r="G32" s="10">
        <v>5868.29</v>
      </c>
      <c r="H32" s="10">
        <v>0.73</v>
      </c>
      <c r="I32" s="11" t="s">
        <v>17</v>
      </c>
      <c r="J32" s="11" t="s">
        <v>17</v>
      </c>
    </row>
    <row r="33" spans="1:10" x14ac:dyDescent="0.25">
      <c r="A33" s="7" t="s">
        <v>17</v>
      </c>
      <c r="B33" s="8" t="s">
        <v>77</v>
      </c>
      <c r="C33" s="8" t="s">
        <v>17</v>
      </c>
      <c r="D33" s="8" t="s">
        <v>78</v>
      </c>
      <c r="E33" s="8" t="s">
        <v>79</v>
      </c>
      <c r="F33" s="9">
        <v>3696600</v>
      </c>
      <c r="G33" s="10">
        <v>5872.05</v>
      </c>
      <c r="H33" s="10">
        <v>0.73</v>
      </c>
      <c r="I33" s="11" t="s">
        <v>17</v>
      </c>
      <c r="J33" s="11" t="s">
        <v>17</v>
      </c>
    </row>
    <row r="34" spans="1:10" x14ac:dyDescent="0.25">
      <c r="A34" s="7" t="s">
        <v>17</v>
      </c>
      <c r="B34" s="8" t="s">
        <v>80</v>
      </c>
      <c r="C34" s="8" t="s">
        <v>17</v>
      </c>
      <c r="D34" s="8" t="s">
        <v>81</v>
      </c>
      <c r="E34" s="8" t="s">
        <v>34</v>
      </c>
      <c r="F34" s="9">
        <v>4127200</v>
      </c>
      <c r="G34" s="10">
        <v>5901.9</v>
      </c>
      <c r="H34" s="10">
        <v>0.73</v>
      </c>
      <c r="I34" s="11" t="s">
        <v>17</v>
      </c>
      <c r="J34" s="11" t="s">
        <v>17</v>
      </c>
    </row>
    <row r="35" spans="1:10" x14ac:dyDescent="0.25">
      <c r="A35" s="7" t="s">
        <v>17</v>
      </c>
      <c r="B35" s="8" t="s">
        <v>82</v>
      </c>
      <c r="C35" s="8" t="s">
        <v>17</v>
      </c>
      <c r="D35" s="8" t="s">
        <v>83</v>
      </c>
      <c r="E35" s="8" t="s">
        <v>55</v>
      </c>
      <c r="F35" s="9">
        <v>690200</v>
      </c>
      <c r="G35" s="10">
        <v>5542.65</v>
      </c>
      <c r="H35" s="10">
        <v>0.69</v>
      </c>
      <c r="I35" s="11" t="s">
        <v>17</v>
      </c>
      <c r="J35" s="11" t="s">
        <v>17</v>
      </c>
    </row>
    <row r="36" spans="1:10" x14ac:dyDescent="0.25">
      <c r="A36" s="7" t="s">
        <v>17</v>
      </c>
      <c r="B36" s="8" t="s">
        <v>84</v>
      </c>
      <c r="C36" s="8" t="s">
        <v>17</v>
      </c>
      <c r="D36" s="8" t="s">
        <v>85</v>
      </c>
      <c r="E36" s="8" t="s">
        <v>86</v>
      </c>
      <c r="F36" s="9">
        <v>122000</v>
      </c>
      <c r="G36" s="10">
        <v>5467.55</v>
      </c>
      <c r="H36" s="10">
        <v>0.68</v>
      </c>
      <c r="I36" s="11" t="s">
        <v>17</v>
      </c>
      <c r="J36" s="11" t="s">
        <v>17</v>
      </c>
    </row>
    <row r="37" spans="1:10" x14ac:dyDescent="0.25">
      <c r="A37" s="7" t="s">
        <v>17</v>
      </c>
      <c r="B37" s="8" t="s">
        <v>87</v>
      </c>
      <c r="C37" s="8" t="s">
        <v>17</v>
      </c>
      <c r="D37" s="8" t="s">
        <v>88</v>
      </c>
      <c r="E37" s="8" t="s">
        <v>42</v>
      </c>
      <c r="F37" s="9">
        <v>6610500</v>
      </c>
      <c r="G37" s="10">
        <v>5404.08</v>
      </c>
      <c r="H37" s="10">
        <v>0.67</v>
      </c>
      <c r="I37" s="11" t="s">
        <v>17</v>
      </c>
      <c r="J37" s="11" t="s">
        <v>17</v>
      </c>
    </row>
    <row r="38" spans="1:10" x14ac:dyDescent="0.25">
      <c r="A38" s="7" t="s">
        <v>17</v>
      </c>
      <c r="B38" s="8" t="s">
        <v>89</v>
      </c>
      <c r="C38" s="8" t="s">
        <v>17</v>
      </c>
      <c r="D38" s="8" t="s">
        <v>90</v>
      </c>
      <c r="E38" s="8" t="s">
        <v>55</v>
      </c>
      <c r="F38" s="9">
        <v>1621650</v>
      </c>
      <c r="G38" s="10">
        <v>5405.77</v>
      </c>
      <c r="H38" s="10">
        <v>0.67</v>
      </c>
      <c r="I38" s="11" t="s">
        <v>17</v>
      </c>
      <c r="J38" s="11" t="s">
        <v>17</v>
      </c>
    </row>
    <row r="39" spans="1:10" x14ac:dyDescent="0.25">
      <c r="A39" s="7" t="s">
        <v>17</v>
      </c>
      <c r="B39" s="8" t="s">
        <v>91</v>
      </c>
      <c r="C39" s="8" t="s">
        <v>17</v>
      </c>
      <c r="D39" s="8" t="s">
        <v>92</v>
      </c>
      <c r="E39" s="8" t="s">
        <v>93</v>
      </c>
      <c r="F39" s="9">
        <v>1240200</v>
      </c>
      <c r="G39" s="10">
        <v>5360.14</v>
      </c>
      <c r="H39" s="10">
        <v>0.66</v>
      </c>
      <c r="I39" s="11" t="s">
        <v>17</v>
      </c>
      <c r="J39" s="11" t="s">
        <v>17</v>
      </c>
    </row>
    <row r="40" spans="1:10" x14ac:dyDescent="0.25">
      <c r="A40" s="7" t="s">
        <v>17</v>
      </c>
      <c r="B40" s="8" t="s">
        <v>94</v>
      </c>
      <c r="C40" s="8" t="s">
        <v>17</v>
      </c>
      <c r="D40" s="8" t="s">
        <v>95</v>
      </c>
      <c r="E40" s="8" t="s">
        <v>25</v>
      </c>
      <c r="F40" s="9">
        <v>1240000</v>
      </c>
      <c r="G40" s="10">
        <v>5295.42</v>
      </c>
      <c r="H40" s="10">
        <v>0.66</v>
      </c>
      <c r="I40" s="11" t="s">
        <v>17</v>
      </c>
      <c r="J40" s="11" t="s">
        <v>17</v>
      </c>
    </row>
    <row r="41" spans="1:10" x14ac:dyDescent="0.25">
      <c r="A41" s="7" t="s">
        <v>17</v>
      </c>
      <c r="B41" s="8" t="s">
        <v>96</v>
      </c>
      <c r="C41" s="8" t="s">
        <v>17</v>
      </c>
      <c r="D41" s="8" t="s">
        <v>97</v>
      </c>
      <c r="E41" s="8" t="s">
        <v>42</v>
      </c>
      <c r="F41" s="9">
        <v>9946500</v>
      </c>
      <c r="G41" s="10">
        <v>4739.51</v>
      </c>
      <c r="H41" s="10">
        <v>0.59</v>
      </c>
      <c r="I41" s="11" t="s">
        <v>17</v>
      </c>
      <c r="J41" s="11" t="s">
        <v>17</v>
      </c>
    </row>
    <row r="42" spans="1:10" x14ac:dyDescent="0.25">
      <c r="A42" s="7" t="s">
        <v>17</v>
      </c>
      <c r="B42" s="8" t="s">
        <v>98</v>
      </c>
      <c r="C42" s="8" t="s">
        <v>17</v>
      </c>
      <c r="D42" s="8" t="s">
        <v>99</v>
      </c>
      <c r="E42" s="8" t="s">
        <v>37</v>
      </c>
      <c r="F42" s="9">
        <v>90400</v>
      </c>
      <c r="G42" s="10">
        <v>4338.0200000000004</v>
      </c>
      <c r="H42" s="10">
        <v>0.54</v>
      </c>
      <c r="I42" s="11" t="s">
        <v>17</v>
      </c>
      <c r="J42" s="11" t="s">
        <v>17</v>
      </c>
    </row>
    <row r="43" spans="1:10" x14ac:dyDescent="0.25">
      <c r="A43" s="7" t="s">
        <v>17</v>
      </c>
      <c r="B43" s="8" t="s">
        <v>100</v>
      </c>
      <c r="C43" s="8" t="s">
        <v>17</v>
      </c>
      <c r="D43" s="8" t="s">
        <v>101</v>
      </c>
      <c r="E43" s="8" t="s">
        <v>102</v>
      </c>
      <c r="F43" s="9">
        <v>190300</v>
      </c>
      <c r="G43" s="10">
        <v>4052.25</v>
      </c>
      <c r="H43" s="10">
        <v>0.5</v>
      </c>
      <c r="I43" s="11" t="s">
        <v>17</v>
      </c>
      <c r="J43" s="11" t="s">
        <v>17</v>
      </c>
    </row>
    <row r="44" spans="1:10" x14ac:dyDescent="0.25">
      <c r="A44" s="7" t="s">
        <v>17</v>
      </c>
      <c r="B44" s="8" t="s">
        <v>103</v>
      </c>
      <c r="C44" s="8" t="s">
        <v>17</v>
      </c>
      <c r="D44" s="8" t="s">
        <v>104</v>
      </c>
      <c r="E44" s="8" t="s">
        <v>37</v>
      </c>
      <c r="F44" s="9">
        <v>518700</v>
      </c>
      <c r="G44" s="10">
        <v>3759.54</v>
      </c>
      <c r="H44" s="10">
        <v>0.47</v>
      </c>
      <c r="I44" s="11" t="s">
        <v>17</v>
      </c>
      <c r="J44" s="11" t="s">
        <v>17</v>
      </c>
    </row>
    <row r="45" spans="1:10" x14ac:dyDescent="0.25">
      <c r="A45" s="7" t="s">
        <v>17</v>
      </c>
      <c r="B45" s="8" t="s">
        <v>105</v>
      </c>
      <c r="C45" s="8" t="s">
        <v>17</v>
      </c>
      <c r="D45" s="8" t="s">
        <v>106</v>
      </c>
      <c r="E45" s="8" t="s">
        <v>107</v>
      </c>
      <c r="F45" s="9">
        <v>51600</v>
      </c>
      <c r="G45" s="10">
        <v>3816.39</v>
      </c>
      <c r="H45" s="10">
        <v>0.47</v>
      </c>
      <c r="I45" s="11" t="s">
        <v>17</v>
      </c>
      <c r="J45" s="11" t="s">
        <v>17</v>
      </c>
    </row>
    <row r="46" spans="1:10" x14ac:dyDescent="0.25">
      <c r="A46" s="7" t="s">
        <v>17</v>
      </c>
      <c r="B46" s="8" t="s">
        <v>108</v>
      </c>
      <c r="C46" s="8" t="s">
        <v>17</v>
      </c>
      <c r="D46" s="8" t="s">
        <v>109</v>
      </c>
      <c r="E46" s="8" t="s">
        <v>110</v>
      </c>
      <c r="F46" s="9">
        <v>500000</v>
      </c>
      <c r="G46" s="10">
        <v>3749</v>
      </c>
      <c r="H46" s="10">
        <v>0.46</v>
      </c>
      <c r="I46" s="11" t="s">
        <v>17</v>
      </c>
      <c r="J46" s="11" t="s">
        <v>17</v>
      </c>
    </row>
    <row r="47" spans="1:10" x14ac:dyDescent="0.25">
      <c r="A47" s="7" t="s">
        <v>17</v>
      </c>
      <c r="B47" s="8" t="s">
        <v>111</v>
      </c>
      <c r="C47" s="8" t="s">
        <v>17</v>
      </c>
      <c r="D47" s="8" t="s">
        <v>112</v>
      </c>
      <c r="E47" s="8" t="s">
        <v>113</v>
      </c>
      <c r="F47" s="9">
        <v>499500</v>
      </c>
      <c r="G47" s="10">
        <v>3683.56</v>
      </c>
      <c r="H47" s="10">
        <v>0.46</v>
      </c>
      <c r="I47" s="11" t="s">
        <v>17</v>
      </c>
      <c r="J47" s="11" t="s">
        <v>17</v>
      </c>
    </row>
    <row r="48" spans="1:10" x14ac:dyDescent="0.25">
      <c r="A48" s="7" t="s">
        <v>17</v>
      </c>
      <c r="B48" s="8" t="s">
        <v>114</v>
      </c>
      <c r="C48" s="8" t="s">
        <v>17</v>
      </c>
      <c r="D48" s="8" t="s">
        <v>115</v>
      </c>
      <c r="E48" s="8" t="s">
        <v>37</v>
      </c>
      <c r="F48" s="9">
        <v>386750</v>
      </c>
      <c r="G48" s="10">
        <v>3680.31</v>
      </c>
      <c r="H48" s="10">
        <v>0.46</v>
      </c>
      <c r="I48" s="11" t="s">
        <v>17</v>
      </c>
      <c r="J48" s="11" t="s">
        <v>17</v>
      </c>
    </row>
    <row r="49" spans="1:10" x14ac:dyDescent="0.25">
      <c r="A49" s="7" t="s">
        <v>17</v>
      </c>
      <c r="B49" s="8" t="s">
        <v>116</v>
      </c>
      <c r="C49" s="8" t="s">
        <v>17</v>
      </c>
      <c r="D49" s="8" t="s">
        <v>117</v>
      </c>
      <c r="E49" s="8" t="s">
        <v>118</v>
      </c>
      <c r="F49" s="9">
        <v>522600</v>
      </c>
      <c r="G49" s="10">
        <v>3698.44</v>
      </c>
      <c r="H49" s="10">
        <v>0.46</v>
      </c>
      <c r="I49" s="11" t="s">
        <v>17</v>
      </c>
      <c r="J49" s="11" t="s">
        <v>17</v>
      </c>
    </row>
    <row r="50" spans="1:10" x14ac:dyDescent="0.25">
      <c r="A50" s="7" t="s">
        <v>17</v>
      </c>
      <c r="B50" s="8" t="s">
        <v>119</v>
      </c>
      <c r="C50" s="8" t="s">
        <v>17</v>
      </c>
      <c r="D50" s="8" t="s">
        <v>120</v>
      </c>
      <c r="E50" s="8" t="s">
        <v>79</v>
      </c>
      <c r="F50" s="9">
        <v>1524000</v>
      </c>
      <c r="G50" s="10">
        <v>3635.5</v>
      </c>
      <c r="H50" s="10">
        <v>0.45</v>
      </c>
      <c r="I50" s="11" t="s">
        <v>17</v>
      </c>
      <c r="J50" s="11" t="s">
        <v>17</v>
      </c>
    </row>
    <row r="51" spans="1:10" x14ac:dyDescent="0.25">
      <c r="A51" s="7" t="s">
        <v>17</v>
      </c>
      <c r="B51" s="8" t="s">
        <v>121</v>
      </c>
      <c r="C51" s="8" t="s">
        <v>17</v>
      </c>
      <c r="D51" s="8" t="s">
        <v>122</v>
      </c>
      <c r="E51" s="8" t="s">
        <v>123</v>
      </c>
      <c r="F51" s="9">
        <v>226292</v>
      </c>
      <c r="G51" s="10">
        <v>3619.2</v>
      </c>
      <c r="H51" s="10">
        <v>0.45</v>
      </c>
      <c r="I51" s="11" t="s">
        <v>17</v>
      </c>
      <c r="J51" s="11" t="s">
        <v>17</v>
      </c>
    </row>
    <row r="52" spans="1:10" x14ac:dyDescent="0.25">
      <c r="A52" s="7" t="s">
        <v>17</v>
      </c>
      <c r="B52" s="8" t="s">
        <v>124</v>
      </c>
      <c r="C52" s="8" t="s">
        <v>17</v>
      </c>
      <c r="D52" s="8" t="s">
        <v>125</v>
      </c>
      <c r="E52" s="8" t="s">
        <v>55</v>
      </c>
      <c r="F52" s="9">
        <v>2655000</v>
      </c>
      <c r="G52" s="10">
        <v>3552.39</v>
      </c>
      <c r="H52" s="10">
        <v>0.44</v>
      </c>
      <c r="I52" s="11" t="s">
        <v>17</v>
      </c>
      <c r="J52" s="11" t="s">
        <v>17</v>
      </c>
    </row>
    <row r="53" spans="1:10" x14ac:dyDescent="0.25">
      <c r="A53" s="7" t="s">
        <v>17</v>
      </c>
      <c r="B53" s="8" t="s">
        <v>126</v>
      </c>
      <c r="C53" s="8" t="s">
        <v>17</v>
      </c>
      <c r="D53" s="8" t="s">
        <v>127</v>
      </c>
      <c r="E53" s="8" t="s">
        <v>55</v>
      </c>
      <c r="F53" s="9">
        <v>93250</v>
      </c>
      <c r="G53" s="10">
        <v>3573.95</v>
      </c>
      <c r="H53" s="10">
        <v>0.44</v>
      </c>
      <c r="I53" s="11" t="s">
        <v>17</v>
      </c>
      <c r="J53" s="11" t="s">
        <v>17</v>
      </c>
    </row>
    <row r="54" spans="1:10" x14ac:dyDescent="0.25">
      <c r="A54" s="7" t="s">
        <v>17</v>
      </c>
      <c r="B54" s="8" t="s">
        <v>128</v>
      </c>
      <c r="C54" s="8" t="s">
        <v>17</v>
      </c>
      <c r="D54" s="8" t="s">
        <v>129</v>
      </c>
      <c r="E54" s="8" t="s">
        <v>37</v>
      </c>
      <c r="F54" s="9">
        <v>970600</v>
      </c>
      <c r="G54" s="10">
        <v>3520.37</v>
      </c>
      <c r="H54" s="10">
        <v>0.44</v>
      </c>
      <c r="I54" s="11" t="s">
        <v>17</v>
      </c>
      <c r="J54" s="11" t="s">
        <v>17</v>
      </c>
    </row>
    <row r="55" spans="1:10" x14ac:dyDescent="0.25">
      <c r="A55" s="7" t="s">
        <v>17</v>
      </c>
      <c r="B55" s="8" t="s">
        <v>130</v>
      </c>
      <c r="C55" s="8" t="s">
        <v>17</v>
      </c>
      <c r="D55" s="8" t="s">
        <v>131</v>
      </c>
      <c r="E55" s="8" t="s">
        <v>102</v>
      </c>
      <c r="F55" s="9">
        <v>5407500</v>
      </c>
      <c r="G55" s="10">
        <v>3495.95</v>
      </c>
      <c r="H55" s="10">
        <v>0.43</v>
      </c>
      <c r="I55" s="11" t="s">
        <v>17</v>
      </c>
      <c r="J55" s="11" t="s">
        <v>17</v>
      </c>
    </row>
    <row r="56" spans="1:10" x14ac:dyDescent="0.25">
      <c r="A56" s="7" t="s">
        <v>17</v>
      </c>
      <c r="B56" s="8" t="s">
        <v>132</v>
      </c>
      <c r="C56" s="8" t="s">
        <v>17</v>
      </c>
      <c r="D56" s="8" t="s">
        <v>133</v>
      </c>
      <c r="E56" s="8" t="s">
        <v>28</v>
      </c>
      <c r="F56" s="9">
        <v>713800</v>
      </c>
      <c r="G56" s="10">
        <v>3482.99</v>
      </c>
      <c r="H56" s="10">
        <v>0.43</v>
      </c>
      <c r="I56" s="11" t="s">
        <v>17</v>
      </c>
      <c r="J56" s="11" t="s">
        <v>17</v>
      </c>
    </row>
    <row r="57" spans="1:10" x14ac:dyDescent="0.25">
      <c r="A57" s="7" t="s">
        <v>17</v>
      </c>
      <c r="B57" s="8" t="s">
        <v>134</v>
      </c>
      <c r="C57" s="8" t="s">
        <v>17</v>
      </c>
      <c r="D57" s="8" t="s">
        <v>135</v>
      </c>
      <c r="E57" s="8" t="s">
        <v>42</v>
      </c>
      <c r="F57" s="9">
        <v>8608000</v>
      </c>
      <c r="G57" s="10">
        <v>3451.81</v>
      </c>
      <c r="H57" s="10">
        <v>0.43</v>
      </c>
      <c r="I57" s="11" t="s">
        <v>17</v>
      </c>
      <c r="J57" s="11" t="s">
        <v>17</v>
      </c>
    </row>
    <row r="58" spans="1:10" x14ac:dyDescent="0.25">
      <c r="A58" s="7" t="s">
        <v>17</v>
      </c>
      <c r="B58" s="8" t="s">
        <v>136</v>
      </c>
      <c r="C58" s="8" t="s">
        <v>17</v>
      </c>
      <c r="D58" s="8" t="s">
        <v>137</v>
      </c>
      <c r="E58" s="8" t="s">
        <v>22</v>
      </c>
      <c r="F58" s="9">
        <v>2878500</v>
      </c>
      <c r="G58" s="10">
        <v>3271.42</v>
      </c>
      <c r="H58" s="10">
        <v>0.41</v>
      </c>
      <c r="I58" s="11" t="s">
        <v>17</v>
      </c>
      <c r="J58" s="11" t="s">
        <v>17</v>
      </c>
    </row>
    <row r="59" spans="1:10" x14ac:dyDescent="0.25">
      <c r="A59" s="7" t="s">
        <v>17</v>
      </c>
      <c r="B59" s="8" t="s">
        <v>138</v>
      </c>
      <c r="C59" s="8" t="s">
        <v>17</v>
      </c>
      <c r="D59" s="8" t="s">
        <v>139</v>
      </c>
      <c r="E59" s="8" t="s">
        <v>107</v>
      </c>
      <c r="F59" s="9">
        <v>142000</v>
      </c>
      <c r="G59" s="10">
        <v>3201.39</v>
      </c>
      <c r="H59" s="10">
        <v>0.4</v>
      </c>
      <c r="I59" s="11" t="s">
        <v>17</v>
      </c>
      <c r="J59" s="11" t="s">
        <v>17</v>
      </c>
    </row>
    <row r="60" spans="1:10" x14ac:dyDescent="0.25">
      <c r="A60" s="7" t="s">
        <v>17</v>
      </c>
      <c r="B60" s="8" t="s">
        <v>140</v>
      </c>
      <c r="C60" s="8" t="s">
        <v>17</v>
      </c>
      <c r="D60" s="8" t="s">
        <v>141</v>
      </c>
      <c r="E60" s="8" t="s">
        <v>123</v>
      </c>
      <c r="F60" s="9">
        <v>1053000</v>
      </c>
      <c r="G60" s="10">
        <v>3192.7</v>
      </c>
      <c r="H60" s="10">
        <v>0.4</v>
      </c>
      <c r="I60" s="11" t="s">
        <v>17</v>
      </c>
      <c r="J60" s="11" t="s">
        <v>17</v>
      </c>
    </row>
    <row r="61" spans="1:10" x14ac:dyDescent="0.25">
      <c r="A61" s="7" t="s">
        <v>17</v>
      </c>
      <c r="B61" s="8" t="s">
        <v>142</v>
      </c>
      <c r="C61" s="8" t="s">
        <v>17</v>
      </c>
      <c r="D61" s="8" t="s">
        <v>143</v>
      </c>
      <c r="E61" s="8" t="s">
        <v>52</v>
      </c>
      <c r="F61" s="9">
        <v>17700</v>
      </c>
      <c r="G61" s="10">
        <v>3148.25</v>
      </c>
      <c r="H61" s="10">
        <v>0.39</v>
      </c>
      <c r="I61" s="11" t="s">
        <v>17</v>
      </c>
      <c r="J61" s="11" t="s">
        <v>17</v>
      </c>
    </row>
    <row r="62" spans="1:10" x14ac:dyDescent="0.25">
      <c r="A62" s="7" t="s">
        <v>17</v>
      </c>
      <c r="B62" s="8" t="s">
        <v>144</v>
      </c>
      <c r="C62" s="8" t="s">
        <v>17</v>
      </c>
      <c r="D62" s="8" t="s">
        <v>145</v>
      </c>
      <c r="E62" s="8" t="s">
        <v>31</v>
      </c>
      <c r="F62" s="9">
        <v>307000</v>
      </c>
      <c r="G62" s="10">
        <v>3161.79</v>
      </c>
      <c r="H62" s="10">
        <v>0.39</v>
      </c>
      <c r="I62" s="11" t="s">
        <v>17</v>
      </c>
      <c r="J62" s="11" t="s">
        <v>17</v>
      </c>
    </row>
    <row r="63" spans="1:10" x14ac:dyDescent="0.25">
      <c r="A63" s="7" t="s">
        <v>17</v>
      </c>
      <c r="B63" s="8" t="s">
        <v>146</v>
      </c>
      <c r="C63" s="8" t="s">
        <v>17</v>
      </c>
      <c r="D63" s="8" t="s">
        <v>147</v>
      </c>
      <c r="E63" s="8" t="s">
        <v>25</v>
      </c>
      <c r="F63" s="9">
        <v>3257260</v>
      </c>
      <c r="G63" s="10">
        <v>2962.48</v>
      </c>
      <c r="H63" s="10">
        <v>0.37</v>
      </c>
      <c r="I63" s="11" t="s">
        <v>17</v>
      </c>
      <c r="J63" s="11" t="s">
        <v>17</v>
      </c>
    </row>
    <row r="64" spans="1:10" x14ac:dyDescent="0.25">
      <c r="A64" s="7" t="s">
        <v>17</v>
      </c>
      <c r="B64" s="8" t="s">
        <v>148</v>
      </c>
      <c r="C64" s="8" t="s">
        <v>17</v>
      </c>
      <c r="D64" s="8" t="s">
        <v>149</v>
      </c>
      <c r="E64" s="8" t="s">
        <v>25</v>
      </c>
      <c r="F64" s="9">
        <v>202500</v>
      </c>
      <c r="G64" s="10">
        <v>2936.86</v>
      </c>
      <c r="H64" s="10">
        <v>0.36</v>
      </c>
      <c r="I64" s="11" t="s">
        <v>17</v>
      </c>
      <c r="J64" s="11" t="s">
        <v>17</v>
      </c>
    </row>
    <row r="65" spans="1:10" x14ac:dyDescent="0.25">
      <c r="A65" s="7" t="s">
        <v>17</v>
      </c>
      <c r="B65" s="8" t="s">
        <v>150</v>
      </c>
      <c r="C65" s="8" t="s">
        <v>17</v>
      </c>
      <c r="D65" s="8" t="s">
        <v>151</v>
      </c>
      <c r="E65" s="8" t="s">
        <v>42</v>
      </c>
      <c r="F65" s="9">
        <v>1620000</v>
      </c>
      <c r="G65" s="10">
        <v>2802.6</v>
      </c>
      <c r="H65" s="10">
        <v>0.35</v>
      </c>
      <c r="I65" s="11" t="s">
        <v>17</v>
      </c>
      <c r="J65" s="11" t="s">
        <v>17</v>
      </c>
    </row>
    <row r="66" spans="1:10" x14ac:dyDescent="0.25">
      <c r="A66" s="7" t="s">
        <v>17</v>
      </c>
      <c r="B66" s="8" t="s">
        <v>152</v>
      </c>
      <c r="C66" s="8" t="s">
        <v>17</v>
      </c>
      <c r="D66" s="8" t="s">
        <v>153</v>
      </c>
      <c r="E66" s="8" t="s">
        <v>25</v>
      </c>
      <c r="F66" s="9">
        <v>215600</v>
      </c>
      <c r="G66" s="10">
        <v>2800.32</v>
      </c>
      <c r="H66" s="10">
        <v>0.35</v>
      </c>
      <c r="I66" s="11" t="s">
        <v>17</v>
      </c>
      <c r="J66" s="11" t="s">
        <v>17</v>
      </c>
    </row>
    <row r="67" spans="1:10" x14ac:dyDescent="0.25">
      <c r="A67" s="7" t="s">
        <v>17</v>
      </c>
      <c r="B67" s="8" t="s">
        <v>154</v>
      </c>
      <c r="C67" s="8" t="s">
        <v>17</v>
      </c>
      <c r="D67" s="8" t="s">
        <v>155</v>
      </c>
      <c r="E67" s="8" t="s">
        <v>107</v>
      </c>
      <c r="F67" s="9">
        <v>159125</v>
      </c>
      <c r="G67" s="10">
        <v>2656.51</v>
      </c>
      <c r="H67" s="10">
        <v>0.33</v>
      </c>
      <c r="I67" s="11" t="s">
        <v>17</v>
      </c>
      <c r="J67" s="11" t="s">
        <v>17</v>
      </c>
    </row>
    <row r="68" spans="1:10" x14ac:dyDescent="0.25">
      <c r="A68" s="7" t="s">
        <v>17</v>
      </c>
      <c r="B68" s="8" t="s">
        <v>156</v>
      </c>
      <c r="C68" s="8" t="s">
        <v>17</v>
      </c>
      <c r="D68" s="8" t="s">
        <v>157</v>
      </c>
      <c r="E68" s="8" t="s">
        <v>42</v>
      </c>
      <c r="F68" s="9">
        <v>218700</v>
      </c>
      <c r="G68" s="10">
        <v>2431.73</v>
      </c>
      <c r="H68" s="10">
        <v>0.3</v>
      </c>
      <c r="I68" s="11" t="s">
        <v>17</v>
      </c>
      <c r="J68" s="11" t="s">
        <v>17</v>
      </c>
    </row>
    <row r="69" spans="1:10" x14ac:dyDescent="0.25">
      <c r="A69" s="7" t="s">
        <v>17</v>
      </c>
      <c r="B69" s="8" t="s">
        <v>158</v>
      </c>
      <c r="C69" s="8" t="s">
        <v>17</v>
      </c>
      <c r="D69" s="8" t="s">
        <v>159</v>
      </c>
      <c r="E69" s="8" t="s">
        <v>160</v>
      </c>
      <c r="F69" s="9">
        <v>209525</v>
      </c>
      <c r="G69" s="10">
        <v>2149.41</v>
      </c>
      <c r="H69" s="10">
        <v>0.27</v>
      </c>
      <c r="I69" s="11" t="s">
        <v>17</v>
      </c>
      <c r="J69" s="11" t="s">
        <v>17</v>
      </c>
    </row>
    <row r="70" spans="1:10" x14ac:dyDescent="0.25">
      <c r="A70" s="7" t="s">
        <v>17</v>
      </c>
      <c r="B70" s="8" t="s">
        <v>161</v>
      </c>
      <c r="C70" s="8" t="s">
        <v>17</v>
      </c>
      <c r="D70" s="8" t="s">
        <v>162</v>
      </c>
      <c r="E70" s="8" t="s">
        <v>93</v>
      </c>
      <c r="F70" s="9">
        <v>702000</v>
      </c>
      <c r="G70" s="10">
        <v>2106</v>
      </c>
      <c r="H70" s="10">
        <v>0.26</v>
      </c>
      <c r="I70" s="11" t="s">
        <v>17</v>
      </c>
      <c r="J70" s="11" t="s">
        <v>17</v>
      </c>
    </row>
    <row r="71" spans="1:10" x14ac:dyDescent="0.25">
      <c r="A71" s="7" t="s">
        <v>17</v>
      </c>
      <c r="B71" s="8" t="s">
        <v>163</v>
      </c>
      <c r="C71" s="8" t="s">
        <v>17</v>
      </c>
      <c r="D71" s="8" t="s">
        <v>164</v>
      </c>
      <c r="E71" s="8" t="s">
        <v>93</v>
      </c>
      <c r="F71" s="9">
        <v>1592500</v>
      </c>
      <c r="G71" s="10">
        <v>1995.4</v>
      </c>
      <c r="H71" s="10">
        <v>0.25</v>
      </c>
      <c r="I71" s="11" t="s">
        <v>17</v>
      </c>
      <c r="J71" s="11" t="s">
        <v>17</v>
      </c>
    </row>
    <row r="72" spans="1:10" x14ac:dyDescent="0.25">
      <c r="A72" s="7" t="s">
        <v>17</v>
      </c>
      <c r="B72" s="8" t="s">
        <v>165</v>
      </c>
      <c r="C72" s="8" t="s">
        <v>17</v>
      </c>
      <c r="D72" s="8" t="s">
        <v>166</v>
      </c>
      <c r="E72" s="8" t="s">
        <v>65</v>
      </c>
      <c r="F72" s="9">
        <v>84000</v>
      </c>
      <c r="G72" s="10">
        <v>2000.84</v>
      </c>
      <c r="H72" s="10">
        <v>0.25</v>
      </c>
      <c r="I72" s="11" t="s">
        <v>17</v>
      </c>
      <c r="J72" s="11" t="s">
        <v>17</v>
      </c>
    </row>
    <row r="73" spans="1:10" x14ac:dyDescent="0.25">
      <c r="A73" s="7" t="s">
        <v>17</v>
      </c>
      <c r="B73" s="8" t="s">
        <v>167</v>
      </c>
      <c r="C73" s="8" t="s">
        <v>17</v>
      </c>
      <c r="D73" s="8" t="s">
        <v>168</v>
      </c>
      <c r="E73" s="8" t="s">
        <v>169</v>
      </c>
      <c r="F73" s="9">
        <v>136200</v>
      </c>
      <c r="G73" s="10">
        <v>1880.38</v>
      </c>
      <c r="H73" s="10">
        <v>0.23</v>
      </c>
      <c r="I73" s="11" t="s">
        <v>17</v>
      </c>
      <c r="J73" s="11" t="s">
        <v>17</v>
      </c>
    </row>
    <row r="74" spans="1:10" x14ac:dyDescent="0.25">
      <c r="A74" s="7" t="s">
        <v>17</v>
      </c>
      <c r="B74" s="8" t="s">
        <v>170</v>
      </c>
      <c r="C74" s="8" t="s">
        <v>17</v>
      </c>
      <c r="D74" s="8" t="s">
        <v>171</v>
      </c>
      <c r="E74" s="8" t="s">
        <v>172</v>
      </c>
      <c r="F74" s="9">
        <v>99550</v>
      </c>
      <c r="G74" s="10">
        <v>1770.15</v>
      </c>
      <c r="H74" s="10">
        <v>0.22</v>
      </c>
      <c r="I74" s="11" t="s">
        <v>17</v>
      </c>
      <c r="J74" s="11" t="s">
        <v>17</v>
      </c>
    </row>
    <row r="75" spans="1:10" x14ac:dyDescent="0.25">
      <c r="A75" s="7" t="s">
        <v>17</v>
      </c>
      <c r="B75" s="8" t="s">
        <v>173</v>
      </c>
      <c r="C75" s="8" t="s">
        <v>17</v>
      </c>
      <c r="D75" s="8" t="s">
        <v>174</v>
      </c>
      <c r="E75" s="8" t="s">
        <v>25</v>
      </c>
      <c r="F75" s="9">
        <v>295000</v>
      </c>
      <c r="G75" s="10">
        <v>1664.54</v>
      </c>
      <c r="H75" s="10">
        <v>0.21</v>
      </c>
      <c r="I75" s="11" t="s">
        <v>17</v>
      </c>
      <c r="J75" s="11" t="s">
        <v>17</v>
      </c>
    </row>
    <row r="76" spans="1:10" x14ac:dyDescent="0.25">
      <c r="A76" s="7" t="s">
        <v>17</v>
      </c>
      <c r="B76" s="8" t="s">
        <v>175</v>
      </c>
      <c r="C76" s="8" t="s">
        <v>17</v>
      </c>
      <c r="D76" s="8" t="s">
        <v>176</v>
      </c>
      <c r="E76" s="8" t="s">
        <v>31</v>
      </c>
      <c r="F76" s="9">
        <v>280000</v>
      </c>
      <c r="G76" s="10">
        <v>1727.74</v>
      </c>
      <c r="H76" s="10">
        <v>0.21</v>
      </c>
      <c r="I76" s="11" t="s">
        <v>17</v>
      </c>
      <c r="J76" s="11" t="s">
        <v>17</v>
      </c>
    </row>
    <row r="77" spans="1:10" x14ac:dyDescent="0.25">
      <c r="A77" s="7" t="s">
        <v>17</v>
      </c>
      <c r="B77" s="8" t="s">
        <v>177</v>
      </c>
      <c r="C77" s="8" t="s">
        <v>17</v>
      </c>
      <c r="D77" s="8" t="s">
        <v>178</v>
      </c>
      <c r="E77" s="8" t="s">
        <v>169</v>
      </c>
      <c r="F77" s="9">
        <v>41200</v>
      </c>
      <c r="G77" s="10">
        <v>1730.44</v>
      </c>
      <c r="H77" s="10">
        <v>0.21</v>
      </c>
      <c r="I77" s="11" t="s">
        <v>17</v>
      </c>
      <c r="J77" s="11" t="s">
        <v>17</v>
      </c>
    </row>
    <row r="78" spans="1:10" x14ac:dyDescent="0.25">
      <c r="A78" s="7" t="s">
        <v>17</v>
      </c>
      <c r="B78" s="8" t="s">
        <v>179</v>
      </c>
      <c r="C78" s="8" t="s">
        <v>17</v>
      </c>
      <c r="D78" s="8" t="s">
        <v>180</v>
      </c>
      <c r="E78" s="8" t="s">
        <v>31</v>
      </c>
      <c r="F78" s="9">
        <v>211950</v>
      </c>
      <c r="G78" s="10">
        <v>1724.43</v>
      </c>
      <c r="H78" s="10">
        <v>0.21</v>
      </c>
      <c r="I78" s="11" t="s">
        <v>17</v>
      </c>
      <c r="J78" s="11" t="s">
        <v>17</v>
      </c>
    </row>
    <row r="79" spans="1:10" x14ac:dyDescent="0.25">
      <c r="A79" s="7" t="s">
        <v>17</v>
      </c>
      <c r="B79" s="8" t="s">
        <v>181</v>
      </c>
      <c r="C79" s="8" t="s">
        <v>17</v>
      </c>
      <c r="D79" s="8" t="s">
        <v>182</v>
      </c>
      <c r="E79" s="8" t="s">
        <v>25</v>
      </c>
      <c r="F79" s="9">
        <v>816000</v>
      </c>
      <c r="G79" s="10">
        <v>1511.23</v>
      </c>
      <c r="H79" s="10">
        <v>0.19</v>
      </c>
      <c r="I79" s="11" t="s">
        <v>17</v>
      </c>
      <c r="J79" s="11" t="s">
        <v>17</v>
      </c>
    </row>
    <row r="80" spans="1:10" x14ac:dyDescent="0.25">
      <c r="A80" s="7" t="s">
        <v>17</v>
      </c>
      <c r="B80" s="8" t="s">
        <v>183</v>
      </c>
      <c r="C80" s="8" t="s">
        <v>17</v>
      </c>
      <c r="D80" s="8" t="s">
        <v>184</v>
      </c>
      <c r="E80" s="8" t="s">
        <v>110</v>
      </c>
      <c r="F80" s="9">
        <v>1820</v>
      </c>
      <c r="G80" s="10">
        <v>1444.64</v>
      </c>
      <c r="H80" s="10">
        <v>0.18</v>
      </c>
      <c r="I80" s="11" t="s">
        <v>17</v>
      </c>
      <c r="J80" s="11" t="s">
        <v>17</v>
      </c>
    </row>
    <row r="81" spans="1:10" x14ac:dyDescent="0.25">
      <c r="A81" s="7" t="s">
        <v>17</v>
      </c>
      <c r="B81" s="8" t="s">
        <v>185</v>
      </c>
      <c r="C81" s="8" t="s">
        <v>17</v>
      </c>
      <c r="D81" s="8" t="s">
        <v>186</v>
      </c>
      <c r="E81" s="8" t="s">
        <v>25</v>
      </c>
      <c r="F81" s="9">
        <v>194025</v>
      </c>
      <c r="G81" s="10">
        <v>1332.56</v>
      </c>
      <c r="H81" s="10">
        <v>0.17</v>
      </c>
      <c r="I81" s="11" t="s">
        <v>17</v>
      </c>
      <c r="J81" s="11" t="s">
        <v>17</v>
      </c>
    </row>
    <row r="82" spans="1:10" x14ac:dyDescent="0.25">
      <c r="A82" s="7" t="s">
        <v>17</v>
      </c>
      <c r="B82" s="8" t="s">
        <v>187</v>
      </c>
      <c r="C82" s="8" t="s">
        <v>17</v>
      </c>
      <c r="D82" s="8" t="s">
        <v>188</v>
      </c>
      <c r="E82" s="8" t="s">
        <v>65</v>
      </c>
      <c r="F82" s="9">
        <v>58500</v>
      </c>
      <c r="G82" s="10">
        <v>1407.83</v>
      </c>
      <c r="H82" s="10">
        <v>0.17</v>
      </c>
      <c r="I82" s="11" t="s">
        <v>17</v>
      </c>
      <c r="J82" s="11" t="s">
        <v>17</v>
      </c>
    </row>
    <row r="83" spans="1:10" x14ac:dyDescent="0.25">
      <c r="A83" s="7" t="s">
        <v>17</v>
      </c>
      <c r="B83" s="8" t="s">
        <v>189</v>
      </c>
      <c r="C83" s="8" t="s">
        <v>17</v>
      </c>
      <c r="D83" s="8" t="s">
        <v>190</v>
      </c>
      <c r="E83" s="8" t="s">
        <v>169</v>
      </c>
      <c r="F83" s="9">
        <v>30500</v>
      </c>
      <c r="G83" s="10">
        <v>1389.56</v>
      </c>
      <c r="H83" s="10">
        <v>0.17</v>
      </c>
      <c r="I83" s="11" t="s">
        <v>17</v>
      </c>
      <c r="J83" s="11" t="s">
        <v>17</v>
      </c>
    </row>
    <row r="84" spans="1:10" x14ac:dyDescent="0.25">
      <c r="A84" s="7" t="s">
        <v>17</v>
      </c>
      <c r="B84" s="8" t="s">
        <v>191</v>
      </c>
      <c r="C84" s="8" t="s">
        <v>17</v>
      </c>
      <c r="D84" s="8" t="s">
        <v>192</v>
      </c>
      <c r="E84" s="8" t="s">
        <v>110</v>
      </c>
      <c r="F84" s="9">
        <v>542500</v>
      </c>
      <c r="G84" s="10">
        <v>1224.42</v>
      </c>
      <c r="H84" s="10">
        <v>0.15</v>
      </c>
      <c r="I84" s="11" t="s">
        <v>17</v>
      </c>
      <c r="J84" s="11" t="s">
        <v>17</v>
      </c>
    </row>
    <row r="85" spans="1:10" x14ac:dyDescent="0.25">
      <c r="A85" s="7" t="s">
        <v>17</v>
      </c>
      <c r="B85" s="8" t="s">
        <v>193</v>
      </c>
      <c r="C85" s="8" t="s">
        <v>17</v>
      </c>
      <c r="D85" s="8" t="s">
        <v>194</v>
      </c>
      <c r="E85" s="8" t="s">
        <v>42</v>
      </c>
      <c r="F85" s="9">
        <v>106500</v>
      </c>
      <c r="G85" s="10">
        <v>1239.93</v>
      </c>
      <c r="H85" s="10">
        <v>0.15</v>
      </c>
      <c r="I85" s="11" t="s">
        <v>17</v>
      </c>
      <c r="J85" s="11" t="s">
        <v>17</v>
      </c>
    </row>
    <row r="86" spans="1:10" x14ac:dyDescent="0.25">
      <c r="A86" s="7" t="s">
        <v>17</v>
      </c>
      <c r="B86" s="8" t="s">
        <v>195</v>
      </c>
      <c r="C86" s="8" t="s">
        <v>17</v>
      </c>
      <c r="D86" s="8" t="s">
        <v>196</v>
      </c>
      <c r="E86" s="8" t="s">
        <v>110</v>
      </c>
      <c r="F86" s="9">
        <v>684000</v>
      </c>
      <c r="G86" s="10">
        <v>1219.23</v>
      </c>
      <c r="H86" s="10">
        <v>0.15</v>
      </c>
      <c r="I86" s="11" t="s">
        <v>17</v>
      </c>
      <c r="J86" s="11" t="s">
        <v>17</v>
      </c>
    </row>
    <row r="87" spans="1:10" x14ac:dyDescent="0.25">
      <c r="A87" s="7" t="s">
        <v>17</v>
      </c>
      <c r="B87" s="8" t="s">
        <v>197</v>
      </c>
      <c r="C87" s="8" t="s">
        <v>17</v>
      </c>
      <c r="D87" s="8" t="s">
        <v>198</v>
      </c>
      <c r="E87" s="8" t="s">
        <v>107</v>
      </c>
      <c r="F87" s="9">
        <v>276000</v>
      </c>
      <c r="G87" s="10">
        <v>1104.55</v>
      </c>
      <c r="H87" s="10">
        <v>0.14000000000000001</v>
      </c>
      <c r="I87" s="11" t="s">
        <v>17</v>
      </c>
      <c r="J87" s="11" t="s">
        <v>17</v>
      </c>
    </row>
    <row r="88" spans="1:10" x14ac:dyDescent="0.25">
      <c r="A88" s="7" t="s">
        <v>17</v>
      </c>
      <c r="B88" s="8" t="s">
        <v>199</v>
      </c>
      <c r="C88" s="8" t="s">
        <v>17</v>
      </c>
      <c r="D88" s="8" t="s">
        <v>200</v>
      </c>
      <c r="E88" s="8" t="s">
        <v>37</v>
      </c>
      <c r="F88" s="9">
        <v>217350</v>
      </c>
      <c r="G88" s="10">
        <v>1109.46</v>
      </c>
      <c r="H88" s="10">
        <v>0.14000000000000001</v>
      </c>
      <c r="I88" s="11" t="s">
        <v>17</v>
      </c>
      <c r="J88" s="11" t="s">
        <v>17</v>
      </c>
    </row>
    <row r="89" spans="1:10" x14ac:dyDescent="0.25">
      <c r="A89" s="7" t="s">
        <v>17</v>
      </c>
      <c r="B89" s="8" t="s">
        <v>201</v>
      </c>
      <c r="C89" s="8" t="s">
        <v>17</v>
      </c>
      <c r="D89" s="8" t="s">
        <v>202</v>
      </c>
      <c r="E89" s="8" t="s">
        <v>37</v>
      </c>
      <c r="F89" s="9">
        <v>354950</v>
      </c>
      <c r="G89" s="10">
        <v>1137.08</v>
      </c>
      <c r="H89" s="10">
        <v>0.14000000000000001</v>
      </c>
      <c r="I89" s="11" t="s">
        <v>17</v>
      </c>
      <c r="J89" s="11" t="s">
        <v>17</v>
      </c>
    </row>
    <row r="90" spans="1:10" x14ac:dyDescent="0.25">
      <c r="A90" s="7" t="s">
        <v>17</v>
      </c>
      <c r="B90" s="8" t="s">
        <v>203</v>
      </c>
      <c r="C90" s="8" t="s">
        <v>17</v>
      </c>
      <c r="D90" s="8" t="s">
        <v>204</v>
      </c>
      <c r="E90" s="8" t="s">
        <v>25</v>
      </c>
      <c r="F90" s="9">
        <v>502200</v>
      </c>
      <c r="G90" s="10">
        <v>1163.3499999999999</v>
      </c>
      <c r="H90" s="10">
        <v>0.14000000000000001</v>
      </c>
      <c r="I90" s="11" t="s">
        <v>17</v>
      </c>
      <c r="J90" s="11" t="s">
        <v>17</v>
      </c>
    </row>
    <row r="91" spans="1:10" x14ac:dyDescent="0.25">
      <c r="A91" s="7" t="s">
        <v>17</v>
      </c>
      <c r="B91" s="8" t="s">
        <v>205</v>
      </c>
      <c r="C91" s="8" t="s">
        <v>17</v>
      </c>
      <c r="D91" s="8" t="s">
        <v>206</v>
      </c>
      <c r="E91" s="8" t="s">
        <v>31</v>
      </c>
      <c r="F91" s="9">
        <v>210000</v>
      </c>
      <c r="G91" s="10">
        <v>1149.75</v>
      </c>
      <c r="H91" s="10">
        <v>0.14000000000000001</v>
      </c>
      <c r="I91" s="11" t="s">
        <v>17</v>
      </c>
      <c r="J91" s="11" t="s">
        <v>17</v>
      </c>
    </row>
    <row r="92" spans="1:10" x14ac:dyDescent="0.25">
      <c r="A92" s="7" t="s">
        <v>17</v>
      </c>
      <c r="B92" s="8" t="s">
        <v>207</v>
      </c>
      <c r="C92" s="8" t="s">
        <v>17</v>
      </c>
      <c r="D92" s="8" t="s">
        <v>208</v>
      </c>
      <c r="E92" s="8" t="s">
        <v>118</v>
      </c>
      <c r="F92" s="9">
        <v>34750</v>
      </c>
      <c r="G92" s="10">
        <v>1104.48</v>
      </c>
      <c r="H92" s="10">
        <v>0.14000000000000001</v>
      </c>
      <c r="I92" s="11" t="s">
        <v>17</v>
      </c>
      <c r="J92" s="11" t="s">
        <v>17</v>
      </c>
    </row>
    <row r="93" spans="1:10" x14ac:dyDescent="0.25">
      <c r="A93" s="7" t="s">
        <v>17</v>
      </c>
      <c r="B93" s="8" t="s">
        <v>209</v>
      </c>
      <c r="C93" s="8" t="s">
        <v>17</v>
      </c>
      <c r="D93" s="8" t="s">
        <v>210</v>
      </c>
      <c r="E93" s="8" t="s">
        <v>160</v>
      </c>
      <c r="F93" s="9">
        <v>16000</v>
      </c>
      <c r="G93" s="10">
        <v>1029.02</v>
      </c>
      <c r="H93" s="10">
        <v>0.13</v>
      </c>
      <c r="I93" s="11" t="s">
        <v>17</v>
      </c>
      <c r="J93" s="11" t="s">
        <v>17</v>
      </c>
    </row>
    <row r="94" spans="1:10" x14ac:dyDescent="0.25">
      <c r="A94" s="7" t="s">
        <v>17</v>
      </c>
      <c r="B94" s="8" t="s">
        <v>211</v>
      </c>
      <c r="C94" s="8" t="s">
        <v>17</v>
      </c>
      <c r="D94" s="8" t="s">
        <v>212</v>
      </c>
      <c r="E94" s="8" t="s">
        <v>213</v>
      </c>
      <c r="F94" s="9">
        <v>26000</v>
      </c>
      <c r="G94" s="10">
        <v>1050.6300000000001</v>
      </c>
      <c r="H94" s="10">
        <v>0.13</v>
      </c>
      <c r="I94" s="11" t="s">
        <v>17</v>
      </c>
      <c r="J94" s="11" t="s">
        <v>17</v>
      </c>
    </row>
    <row r="95" spans="1:10" x14ac:dyDescent="0.25">
      <c r="A95" s="7" t="s">
        <v>17</v>
      </c>
      <c r="B95" s="8" t="s">
        <v>214</v>
      </c>
      <c r="C95" s="8" t="s">
        <v>17</v>
      </c>
      <c r="D95" s="8" t="s">
        <v>215</v>
      </c>
      <c r="E95" s="8" t="s">
        <v>79</v>
      </c>
      <c r="F95" s="9">
        <v>96600</v>
      </c>
      <c r="G95" s="10">
        <v>1045.8399999999999</v>
      </c>
      <c r="H95" s="10">
        <v>0.13</v>
      </c>
      <c r="I95" s="11" t="s">
        <v>17</v>
      </c>
      <c r="J95" s="11" t="s">
        <v>17</v>
      </c>
    </row>
    <row r="96" spans="1:10" x14ac:dyDescent="0.25">
      <c r="A96" s="7" t="s">
        <v>17</v>
      </c>
      <c r="B96" s="8" t="s">
        <v>216</v>
      </c>
      <c r="C96" s="8" t="s">
        <v>17</v>
      </c>
      <c r="D96" s="8" t="s">
        <v>217</v>
      </c>
      <c r="E96" s="8" t="s">
        <v>42</v>
      </c>
      <c r="F96" s="9">
        <v>60500</v>
      </c>
      <c r="G96" s="10">
        <v>964.94</v>
      </c>
      <c r="H96" s="10">
        <v>0.12</v>
      </c>
      <c r="I96" s="11" t="s">
        <v>17</v>
      </c>
      <c r="J96" s="11" t="s">
        <v>17</v>
      </c>
    </row>
    <row r="97" spans="1:10" x14ac:dyDescent="0.25">
      <c r="A97" s="7" t="s">
        <v>17</v>
      </c>
      <c r="B97" s="8" t="s">
        <v>218</v>
      </c>
      <c r="C97" s="8" t="s">
        <v>17</v>
      </c>
      <c r="D97" s="8" t="s">
        <v>219</v>
      </c>
      <c r="E97" s="8" t="s">
        <v>25</v>
      </c>
      <c r="F97" s="9">
        <v>34800</v>
      </c>
      <c r="G97" s="10">
        <v>958.5</v>
      </c>
      <c r="H97" s="10">
        <v>0.12</v>
      </c>
      <c r="I97" s="11" t="s">
        <v>17</v>
      </c>
      <c r="J97" s="11" t="s">
        <v>17</v>
      </c>
    </row>
    <row r="98" spans="1:10" x14ac:dyDescent="0.25">
      <c r="A98" s="7" t="s">
        <v>17</v>
      </c>
      <c r="B98" s="8" t="s">
        <v>220</v>
      </c>
      <c r="C98" s="8" t="s">
        <v>17</v>
      </c>
      <c r="D98" s="8" t="s">
        <v>221</v>
      </c>
      <c r="E98" s="8" t="s">
        <v>222</v>
      </c>
      <c r="F98" s="9">
        <v>150000</v>
      </c>
      <c r="G98" s="10">
        <v>968.93</v>
      </c>
      <c r="H98" s="10">
        <v>0.12</v>
      </c>
      <c r="I98" s="11" t="s">
        <v>17</v>
      </c>
      <c r="J98" s="11" t="s">
        <v>17</v>
      </c>
    </row>
    <row r="99" spans="1:10" x14ac:dyDescent="0.25">
      <c r="A99" s="7" t="s">
        <v>17</v>
      </c>
      <c r="B99" s="8" t="s">
        <v>223</v>
      </c>
      <c r="C99" s="8" t="s">
        <v>17</v>
      </c>
      <c r="D99" s="8" t="s">
        <v>224</v>
      </c>
      <c r="E99" s="8" t="s">
        <v>37</v>
      </c>
      <c r="F99" s="9">
        <v>17625</v>
      </c>
      <c r="G99" s="10">
        <v>983.67</v>
      </c>
      <c r="H99" s="10">
        <v>0.12</v>
      </c>
      <c r="I99" s="11" t="s">
        <v>17</v>
      </c>
      <c r="J99" s="11" t="s">
        <v>17</v>
      </c>
    </row>
    <row r="100" spans="1:10" x14ac:dyDescent="0.25">
      <c r="A100" s="7" t="s">
        <v>17</v>
      </c>
      <c r="B100" s="8" t="s">
        <v>225</v>
      </c>
      <c r="C100" s="8" t="s">
        <v>17</v>
      </c>
      <c r="D100" s="8" t="s">
        <v>226</v>
      </c>
      <c r="E100" s="8" t="s">
        <v>123</v>
      </c>
      <c r="F100" s="9">
        <v>198000</v>
      </c>
      <c r="G100" s="10">
        <v>1000.59</v>
      </c>
      <c r="H100" s="10">
        <v>0.12</v>
      </c>
      <c r="I100" s="11" t="s">
        <v>17</v>
      </c>
      <c r="J100" s="11" t="s">
        <v>17</v>
      </c>
    </row>
    <row r="101" spans="1:10" x14ac:dyDescent="0.25">
      <c r="A101" s="7" t="s">
        <v>17</v>
      </c>
      <c r="B101" s="8" t="s">
        <v>227</v>
      </c>
      <c r="C101" s="8" t="s">
        <v>17</v>
      </c>
      <c r="D101" s="8" t="s">
        <v>228</v>
      </c>
      <c r="E101" s="8" t="s">
        <v>172</v>
      </c>
      <c r="F101" s="9">
        <v>44250</v>
      </c>
      <c r="G101" s="10">
        <v>956.62</v>
      </c>
      <c r="H101" s="10">
        <v>0.12</v>
      </c>
      <c r="I101" s="11" t="s">
        <v>17</v>
      </c>
      <c r="J101" s="11" t="s">
        <v>17</v>
      </c>
    </row>
    <row r="102" spans="1:10" x14ac:dyDescent="0.25">
      <c r="A102" s="7" t="s">
        <v>17</v>
      </c>
      <c r="B102" s="8" t="s">
        <v>229</v>
      </c>
      <c r="C102" s="8" t="s">
        <v>17</v>
      </c>
      <c r="D102" s="8" t="s">
        <v>230</v>
      </c>
      <c r="E102" s="8" t="s">
        <v>37</v>
      </c>
      <c r="F102" s="9">
        <v>29250</v>
      </c>
      <c r="G102" s="10">
        <v>902.51</v>
      </c>
      <c r="H102" s="10">
        <v>0.11</v>
      </c>
      <c r="I102" s="11" t="s">
        <v>17</v>
      </c>
      <c r="J102" s="11" t="s">
        <v>17</v>
      </c>
    </row>
    <row r="103" spans="1:10" x14ac:dyDescent="0.25">
      <c r="A103" s="7" t="s">
        <v>17</v>
      </c>
      <c r="B103" s="8" t="s">
        <v>231</v>
      </c>
      <c r="C103" s="8" t="s">
        <v>17</v>
      </c>
      <c r="D103" s="8" t="s">
        <v>232</v>
      </c>
      <c r="E103" s="8" t="s">
        <v>113</v>
      </c>
      <c r="F103" s="9">
        <v>78600</v>
      </c>
      <c r="G103" s="10">
        <v>779.67</v>
      </c>
      <c r="H103" s="10">
        <v>0.1</v>
      </c>
      <c r="I103" s="11" t="s">
        <v>17</v>
      </c>
      <c r="J103" s="11" t="s">
        <v>17</v>
      </c>
    </row>
    <row r="104" spans="1:10" x14ac:dyDescent="0.25">
      <c r="A104" s="7" t="s">
        <v>17</v>
      </c>
      <c r="B104" s="8" t="s">
        <v>233</v>
      </c>
      <c r="C104" s="8" t="s">
        <v>17</v>
      </c>
      <c r="D104" s="8" t="s">
        <v>234</v>
      </c>
      <c r="E104" s="8" t="s">
        <v>19</v>
      </c>
      <c r="F104" s="9">
        <v>103158</v>
      </c>
      <c r="G104" s="10">
        <v>726.54</v>
      </c>
      <c r="H104" s="10">
        <v>0.09</v>
      </c>
      <c r="I104" s="11" t="s">
        <v>17</v>
      </c>
      <c r="J104" s="11" t="s">
        <v>17</v>
      </c>
    </row>
    <row r="105" spans="1:10" x14ac:dyDescent="0.25">
      <c r="A105" s="7" t="s">
        <v>17</v>
      </c>
      <c r="B105" s="8" t="s">
        <v>235</v>
      </c>
      <c r="C105" s="8" t="s">
        <v>17</v>
      </c>
      <c r="D105" s="8" t="s">
        <v>236</v>
      </c>
      <c r="E105" s="8" t="s">
        <v>213</v>
      </c>
      <c r="F105" s="9">
        <v>386100</v>
      </c>
      <c r="G105" s="10">
        <v>700.39</v>
      </c>
      <c r="H105" s="10">
        <v>0.09</v>
      </c>
      <c r="I105" s="11" t="s">
        <v>17</v>
      </c>
      <c r="J105" s="11" t="s">
        <v>17</v>
      </c>
    </row>
    <row r="106" spans="1:10" x14ac:dyDescent="0.25">
      <c r="A106" s="7" t="s">
        <v>17</v>
      </c>
      <c r="B106" s="8" t="s">
        <v>237</v>
      </c>
      <c r="C106" s="8" t="s">
        <v>17</v>
      </c>
      <c r="D106" s="8" t="s">
        <v>238</v>
      </c>
      <c r="E106" s="8" t="s">
        <v>79</v>
      </c>
      <c r="F106" s="9">
        <v>130625</v>
      </c>
      <c r="G106" s="10">
        <v>696.36</v>
      </c>
      <c r="H106" s="10">
        <v>0.09</v>
      </c>
      <c r="I106" s="11" t="s">
        <v>17</v>
      </c>
      <c r="J106" s="11" t="s">
        <v>17</v>
      </c>
    </row>
    <row r="107" spans="1:10" x14ac:dyDescent="0.25">
      <c r="A107" s="7" t="s">
        <v>17</v>
      </c>
      <c r="B107" s="8" t="s">
        <v>239</v>
      </c>
      <c r="C107" s="8" t="s">
        <v>17</v>
      </c>
      <c r="D107" s="8" t="s">
        <v>240</v>
      </c>
      <c r="E107" s="8" t="s">
        <v>52</v>
      </c>
      <c r="F107" s="9">
        <v>71500</v>
      </c>
      <c r="G107" s="10">
        <v>725.22</v>
      </c>
      <c r="H107" s="10">
        <v>0.09</v>
      </c>
      <c r="I107" s="11" t="s">
        <v>17</v>
      </c>
      <c r="J107" s="11" t="s">
        <v>17</v>
      </c>
    </row>
    <row r="108" spans="1:10" x14ac:dyDescent="0.25">
      <c r="A108" s="7" t="s">
        <v>17</v>
      </c>
      <c r="B108" s="8" t="s">
        <v>241</v>
      </c>
      <c r="C108" s="8" t="s">
        <v>17</v>
      </c>
      <c r="D108" s="8" t="s">
        <v>242</v>
      </c>
      <c r="E108" s="8" t="s">
        <v>243</v>
      </c>
      <c r="F108" s="9">
        <v>492800</v>
      </c>
      <c r="G108" s="10">
        <v>712.1</v>
      </c>
      <c r="H108" s="10">
        <v>0.09</v>
      </c>
      <c r="I108" s="11" t="s">
        <v>17</v>
      </c>
      <c r="J108" s="11" t="s">
        <v>17</v>
      </c>
    </row>
    <row r="109" spans="1:10" x14ac:dyDescent="0.25">
      <c r="A109" s="7" t="s">
        <v>17</v>
      </c>
      <c r="B109" s="8" t="s">
        <v>244</v>
      </c>
      <c r="C109" s="8" t="s">
        <v>17</v>
      </c>
      <c r="D109" s="8" t="s">
        <v>245</v>
      </c>
      <c r="E109" s="8" t="s">
        <v>31</v>
      </c>
      <c r="F109" s="9">
        <v>75900</v>
      </c>
      <c r="G109" s="10">
        <v>614.03</v>
      </c>
      <c r="H109" s="10">
        <v>0.08</v>
      </c>
      <c r="I109" s="11" t="s">
        <v>17</v>
      </c>
      <c r="J109" s="11" t="s">
        <v>17</v>
      </c>
    </row>
    <row r="110" spans="1:10" x14ac:dyDescent="0.25">
      <c r="A110" s="7" t="s">
        <v>17</v>
      </c>
      <c r="B110" s="8" t="s">
        <v>246</v>
      </c>
      <c r="C110" s="8" t="s">
        <v>17</v>
      </c>
      <c r="D110" s="8" t="s">
        <v>247</v>
      </c>
      <c r="E110" s="8" t="s">
        <v>160</v>
      </c>
      <c r="F110" s="9">
        <v>236600</v>
      </c>
      <c r="G110" s="10">
        <v>582.86</v>
      </c>
      <c r="H110" s="10">
        <v>7.0000000000000007E-2</v>
      </c>
      <c r="I110" s="11" t="s">
        <v>17</v>
      </c>
      <c r="J110" s="11" t="s">
        <v>17</v>
      </c>
    </row>
    <row r="111" spans="1:10" x14ac:dyDescent="0.25">
      <c r="A111" s="7" t="s">
        <v>17</v>
      </c>
      <c r="B111" s="8" t="s">
        <v>248</v>
      </c>
      <c r="C111" s="8" t="s">
        <v>17</v>
      </c>
      <c r="D111" s="8" t="s">
        <v>249</v>
      </c>
      <c r="E111" s="8" t="s">
        <v>37</v>
      </c>
      <c r="F111" s="9">
        <v>62700</v>
      </c>
      <c r="G111" s="10">
        <v>494.77</v>
      </c>
      <c r="H111" s="10">
        <v>0.06</v>
      </c>
      <c r="I111" s="11" t="s">
        <v>17</v>
      </c>
      <c r="J111" s="11" t="s">
        <v>17</v>
      </c>
    </row>
    <row r="112" spans="1:10" x14ac:dyDescent="0.25">
      <c r="A112" s="7" t="s">
        <v>17</v>
      </c>
      <c r="B112" s="8" t="s">
        <v>250</v>
      </c>
      <c r="C112" s="8" t="s">
        <v>17</v>
      </c>
      <c r="D112" s="8" t="s">
        <v>251</v>
      </c>
      <c r="E112" s="8" t="s">
        <v>79</v>
      </c>
      <c r="F112" s="9">
        <v>81250</v>
      </c>
      <c r="G112" s="10">
        <v>517.92999999999995</v>
      </c>
      <c r="H112" s="10">
        <v>0.06</v>
      </c>
      <c r="I112" s="11" t="s">
        <v>17</v>
      </c>
      <c r="J112" s="11" t="s">
        <v>17</v>
      </c>
    </row>
    <row r="113" spans="1:10" x14ac:dyDescent="0.25">
      <c r="A113" s="7" t="s">
        <v>17</v>
      </c>
      <c r="B113" s="8" t="s">
        <v>252</v>
      </c>
      <c r="C113" s="8" t="s">
        <v>17</v>
      </c>
      <c r="D113" s="8" t="s">
        <v>253</v>
      </c>
      <c r="E113" s="8" t="s">
        <v>160</v>
      </c>
      <c r="F113" s="9">
        <v>5400</v>
      </c>
      <c r="G113" s="10">
        <v>452.46</v>
      </c>
      <c r="H113" s="10">
        <v>0.06</v>
      </c>
      <c r="I113" s="11" t="s">
        <v>17</v>
      </c>
      <c r="J113" s="11" t="s">
        <v>17</v>
      </c>
    </row>
    <row r="114" spans="1:10" x14ac:dyDescent="0.25">
      <c r="A114" s="7" t="s">
        <v>17</v>
      </c>
      <c r="B114" s="8" t="s">
        <v>254</v>
      </c>
      <c r="C114" s="8" t="s">
        <v>17</v>
      </c>
      <c r="D114" s="8" t="s">
        <v>255</v>
      </c>
      <c r="E114" s="8" t="s">
        <v>19</v>
      </c>
      <c r="F114" s="9">
        <v>12025</v>
      </c>
      <c r="G114" s="10">
        <v>456.77</v>
      </c>
      <c r="H114" s="10">
        <v>0.06</v>
      </c>
      <c r="I114" s="11" t="s">
        <v>17</v>
      </c>
      <c r="J114" s="11" t="s">
        <v>17</v>
      </c>
    </row>
    <row r="115" spans="1:10" x14ac:dyDescent="0.25">
      <c r="A115" s="7" t="s">
        <v>17</v>
      </c>
      <c r="B115" s="8" t="s">
        <v>256</v>
      </c>
      <c r="C115" s="8" t="s">
        <v>17</v>
      </c>
      <c r="D115" s="8" t="s">
        <v>257</v>
      </c>
      <c r="E115" s="8" t="s">
        <v>107</v>
      </c>
      <c r="F115" s="9">
        <v>45050</v>
      </c>
      <c r="G115" s="10">
        <v>443.58</v>
      </c>
      <c r="H115" s="10">
        <v>0.06</v>
      </c>
      <c r="I115" s="11" t="s">
        <v>17</v>
      </c>
      <c r="J115" s="11" t="s">
        <v>17</v>
      </c>
    </row>
    <row r="116" spans="1:10" x14ac:dyDescent="0.25">
      <c r="A116" s="7" t="s">
        <v>17</v>
      </c>
      <c r="B116" s="8" t="s">
        <v>258</v>
      </c>
      <c r="C116" s="8" t="s">
        <v>17</v>
      </c>
      <c r="D116" s="8" t="s">
        <v>259</v>
      </c>
      <c r="E116" s="8" t="s">
        <v>37</v>
      </c>
      <c r="F116" s="9">
        <v>44850</v>
      </c>
      <c r="G116" s="10">
        <v>441.12</v>
      </c>
      <c r="H116" s="10">
        <v>0.05</v>
      </c>
      <c r="I116" s="11" t="s">
        <v>17</v>
      </c>
      <c r="J116" s="11" t="s">
        <v>17</v>
      </c>
    </row>
    <row r="117" spans="1:10" x14ac:dyDescent="0.25">
      <c r="A117" s="7" t="s">
        <v>17</v>
      </c>
      <c r="B117" s="8" t="s">
        <v>260</v>
      </c>
      <c r="C117" s="8" t="s">
        <v>17</v>
      </c>
      <c r="D117" s="8" t="s">
        <v>261</v>
      </c>
      <c r="E117" s="8" t="s">
        <v>262</v>
      </c>
      <c r="F117" s="9">
        <v>54375</v>
      </c>
      <c r="G117" s="10">
        <v>431.98</v>
      </c>
      <c r="H117" s="10">
        <v>0.05</v>
      </c>
      <c r="I117" s="11" t="s">
        <v>17</v>
      </c>
      <c r="J117" s="11" t="s">
        <v>17</v>
      </c>
    </row>
    <row r="118" spans="1:10" x14ac:dyDescent="0.25">
      <c r="A118" s="7" t="s">
        <v>17</v>
      </c>
      <c r="B118" s="8" t="s">
        <v>263</v>
      </c>
      <c r="C118" s="8" t="s">
        <v>17</v>
      </c>
      <c r="D118" s="8" t="s">
        <v>264</v>
      </c>
      <c r="E118" s="8" t="s">
        <v>169</v>
      </c>
      <c r="F118" s="9">
        <v>6900</v>
      </c>
      <c r="G118" s="10">
        <v>397.8</v>
      </c>
      <c r="H118" s="10">
        <v>0.05</v>
      </c>
      <c r="I118" s="11" t="s">
        <v>17</v>
      </c>
      <c r="J118" s="11" t="s">
        <v>17</v>
      </c>
    </row>
    <row r="119" spans="1:10" x14ac:dyDescent="0.25">
      <c r="A119" s="7" t="s">
        <v>17</v>
      </c>
      <c r="B119" s="8" t="s">
        <v>265</v>
      </c>
      <c r="C119" s="8" t="s">
        <v>17</v>
      </c>
      <c r="D119" s="8" t="s">
        <v>266</v>
      </c>
      <c r="E119" s="8" t="s">
        <v>62</v>
      </c>
      <c r="F119" s="9">
        <v>3710000</v>
      </c>
      <c r="G119" s="10">
        <v>441.49</v>
      </c>
      <c r="H119" s="10">
        <v>0.05</v>
      </c>
      <c r="I119" s="11" t="s">
        <v>17</v>
      </c>
      <c r="J119" s="11" t="s">
        <v>17</v>
      </c>
    </row>
    <row r="120" spans="1:10" x14ac:dyDescent="0.25">
      <c r="A120" s="7" t="s">
        <v>17</v>
      </c>
      <c r="B120" s="8" t="s">
        <v>267</v>
      </c>
      <c r="C120" s="8" t="s">
        <v>17</v>
      </c>
      <c r="D120" s="8" t="s">
        <v>268</v>
      </c>
      <c r="E120" s="8" t="s">
        <v>113</v>
      </c>
      <c r="F120" s="9">
        <v>15675</v>
      </c>
      <c r="G120" s="10">
        <v>338.64</v>
      </c>
      <c r="H120" s="10">
        <v>0.04</v>
      </c>
      <c r="I120" s="11" t="s">
        <v>17</v>
      </c>
      <c r="J120" s="11" t="s">
        <v>17</v>
      </c>
    </row>
    <row r="121" spans="1:10" x14ac:dyDescent="0.25">
      <c r="A121" s="7" t="s">
        <v>17</v>
      </c>
      <c r="B121" s="8" t="s">
        <v>269</v>
      </c>
      <c r="C121" s="8" t="s">
        <v>17</v>
      </c>
      <c r="D121" s="8" t="s">
        <v>270</v>
      </c>
      <c r="E121" s="8" t="s">
        <v>42</v>
      </c>
      <c r="F121" s="9">
        <v>42000</v>
      </c>
      <c r="G121" s="10">
        <v>321.95</v>
      </c>
      <c r="H121" s="10">
        <v>0.04</v>
      </c>
      <c r="I121" s="11" t="s">
        <v>17</v>
      </c>
      <c r="J121" s="11" t="s">
        <v>17</v>
      </c>
    </row>
    <row r="122" spans="1:10" x14ac:dyDescent="0.25">
      <c r="A122" s="7" t="s">
        <v>17</v>
      </c>
      <c r="B122" s="8" t="s">
        <v>271</v>
      </c>
      <c r="C122" s="8" t="s">
        <v>17</v>
      </c>
      <c r="D122" s="8" t="s">
        <v>272</v>
      </c>
      <c r="E122" s="8" t="s">
        <v>110</v>
      </c>
      <c r="F122" s="9">
        <v>14000</v>
      </c>
      <c r="G122" s="10">
        <v>354.71</v>
      </c>
      <c r="H122" s="10">
        <v>0.04</v>
      </c>
      <c r="I122" s="11" t="s">
        <v>17</v>
      </c>
      <c r="J122" s="11" t="s">
        <v>17</v>
      </c>
    </row>
    <row r="123" spans="1:10" x14ac:dyDescent="0.25">
      <c r="A123" s="7" t="s">
        <v>17</v>
      </c>
      <c r="B123" s="8" t="s">
        <v>273</v>
      </c>
      <c r="C123" s="8" t="s">
        <v>17</v>
      </c>
      <c r="D123" s="8" t="s">
        <v>274</v>
      </c>
      <c r="E123" s="8" t="s">
        <v>34</v>
      </c>
      <c r="F123" s="9">
        <v>155400</v>
      </c>
      <c r="G123" s="10">
        <v>287.64999999999998</v>
      </c>
      <c r="H123" s="10">
        <v>0.04</v>
      </c>
      <c r="I123" s="11" t="s">
        <v>17</v>
      </c>
      <c r="J123" s="11" t="s">
        <v>17</v>
      </c>
    </row>
    <row r="124" spans="1:10" x14ac:dyDescent="0.25">
      <c r="A124" s="7" t="s">
        <v>17</v>
      </c>
      <c r="B124" s="8" t="s">
        <v>275</v>
      </c>
      <c r="C124" s="8" t="s">
        <v>17</v>
      </c>
      <c r="D124" s="8" t="s">
        <v>276</v>
      </c>
      <c r="E124" s="8" t="s">
        <v>172</v>
      </c>
      <c r="F124" s="9">
        <v>21500</v>
      </c>
      <c r="G124" s="10">
        <v>295.22000000000003</v>
      </c>
      <c r="H124" s="10">
        <v>0.04</v>
      </c>
      <c r="I124" s="11" t="s">
        <v>17</v>
      </c>
      <c r="J124" s="11" t="s">
        <v>17</v>
      </c>
    </row>
    <row r="125" spans="1:10" x14ac:dyDescent="0.25">
      <c r="A125" s="7" t="s">
        <v>17</v>
      </c>
      <c r="B125" s="8" t="s">
        <v>277</v>
      </c>
      <c r="C125" s="8" t="s">
        <v>17</v>
      </c>
      <c r="D125" s="8" t="s">
        <v>278</v>
      </c>
      <c r="E125" s="8" t="s">
        <v>25</v>
      </c>
      <c r="F125" s="9">
        <v>210000</v>
      </c>
      <c r="G125" s="10">
        <v>355.22</v>
      </c>
      <c r="H125" s="10">
        <v>0.04</v>
      </c>
      <c r="I125" s="11" t="s">
        <v>17</v>
      </c>
      <c r="J125" s="11" t="s">
        <v>17</v>
      </c>
    </row>
    <row r="126" spans="1:10" x14ac:dyDescent="0.25">
      <c r="A126" s="7" t="s">
        <v>17</v>
      </c>
      <c r="B126" s="8" t="s">
        <v>279</v>
      </c>
      <c r="C126" s="8" t="s">
        <v>17</v>
      </c>
      <c r="D126" s="8" t="s">
        <v>280</v>
      </c>
      <c r="E126" s="8" t="s">
        <v>37</v>
      </c>
      <c r="F126" s="9">
        <v>57375</v>
      </c>
      <c r="G126" s="10">
        <v>338.23</v>
      </c>
      <c r="H126" s="10">
        <v>0.04</v>
      </c>
      <c r="I126" s="11" t="s">
        <v>17</v>
      </c>
      <c r="J126" s="11" t="s">
        <v>17</v>
      </c>
    </row>
    <row r="127" spans="1:10" x14ac:dyDescent="0.25">
      <c r="A127" s="7" t="s">
        <v>17</v>
      </c>
      <c r="B127" s="8" t="s">
        <v>281</v>
      </c>
      <c r="C127" s="8" t="s">
        <v>17</v>
      </c>
      <c r="D127" s="8" t="s">
        <v>282</v>
      </c>
      <c r="E127" s="8" t="s">
        <v>110</v>
      </c>
      <c r="F127" s="9">
        <v>1650</v>
      </c>
      <c r="G127" s="10">
        <v>255.33</v>
      </c>
      <c r="H127" s="10">
        <v>0.03</v>
      </c>
      <c r="I127" s="11" t="s">
        <v>17</v>
      </c>
      <c r="J127" s="11" t="s">
        <v>17</v>
      </c>
    </row>
    <row r="128" spans="1:10" x14ac:dyDescent="0.25">
      <c r="A128" s="7" t="s">
        <v>17</v>
      </c>
      <c r="B128" s="8" t="s">
        <v>283</v>
      </c>
      <c r="C128" s="8" t="s">
        <v>17</v>
      </c>
      <c r="D128" s="8" t="s">
        <v>284</v>
      </c>
      <c r="E128" s="8" t="s">
        <v>110</v>
      </c>
      <c r="F128" s="9">
        <v>108500</v>
      </c>
      <c r="G128" s="10">
        <v>245.16</v>
      </c>
      <c r="H128" s="10">
        <v>0.03</v>
      </c>
      <c r="I128" s="11" t="s">
        <v>17</v>
      </c>
      <c r="J128" s="11" t="s">
        <v>17</v>
      </c>
    </row>
    <row r="129" spans="1:10" x14ac:dyDescent="0.25">
      <c r="A129" s="7" t="s">
        <v>17</v>
      </c>
      <c r="B129" s="8" t="s">
        <v>285</v>
      </c>
      <c r="C129" s="8" t="s">
        <v>17</v>
      </c>
      <c r="D129" s="8" t="s">
        <v>286</v>
      </c>
      <c r="E129" s="8" t="s">
        <v>45</v>
      </c>
      <c r="F129" s="9">
        <v>122659</v>
      </c>
      <c r="G129" s="10">
        <v>232.93</v>
      </c>
      <c r="H129" s="10">
        <v>0.03</v>
      </c>
      <c r="I129" s="11" t="s">
        <v>17</v>
      </c>
      <c r="J129" s="11" t="s">
        <v>17</v>
      </c>
    </row>
    <row r="130" spans="1:10" x14ac:dyDescent="0.25">
      <c r="A130" s="7" t="s">
        <v>17</v>
      </c>
      <c r="B130" s="8" t="s">
        <v>287</v>
      </c>
      <c r="C130" s="8" t="s">
        <v>17</v>
      </c>
      <c r="D130" s="8" t="s">
        <v>288</v>
      </c>
      <c r="E130" s="8" t="s">
        <v>52</v>
      </c>
      <c r="F130" s="9">
        <v>22500</v>
      </c>
      <c r="G130" s="10">
        <v>273.39999999999998</v>
      </c>
      <c r="H130" s="10">
        <v>0.03</v>
      </c>
      <c r="I130" s="11" t="s">
        <v>17</v>
      </c>
      <c r="J130" s="11" t="s">
        <v>17</v>
      </c>
    </row>
    <row r="131" spans="1:10" x14ac:dyDescent="0.25">
      <c r="A131" s="7" t="s">
        <v>17</v>
      </c>
      <c r="B131" s="8" t="s">
        <v>289</v>
      </c>
      <c r="C131" s="8" t="s">
        <v>17</v>
      </c>
      <c r="D131" s="8" t="s">
        <v>290</v>
      </c>
      <c r="E131" s="8" t="s">
        <v>86</v>
      </c>
      <c r="F131" s="9">
        <v>34000</v>
      </c>
      <c r="G131" s="10">
        <v>203.97</v>
      </c>
      <c r="H131" s="10">
        <v>0.03</v>
      </c>
      <c r="I131" s="11" t="s">
        <v>17</v>
      </c>
      <c r="J131" s="11" t="s">
        <v>17</v>
      </c>
    </row>
    <row r="132" spans="1:10" x14ac:dyDescent="0.25">
      <c r="A132" s="7" t="s">
        <v>17</v>
      </c>
      <c r="B132" s="8" t="s">
        <v>291</v>
      </c>
      <c r="C132" s="8" t="s">
        <v>17</v>
      </c>
      <c r="D132" s="8" t="s">
        <v>292</v>
      </c>
      <c r="E132" s="8" t="s">
        <v>37</v>
      </c>
      <c r="F132" s="9">
        <v>5000</v>
      </c>
      <c r="G132" s="10">
        <v>199.04</v>
      </c>
      <c r="H132" s="10">
        <v>0.02</v>
      </c>
      <c r="I132" s="11" t="s">
        <v>17</v>
      </c>
      <c r="J132" s="11" t="s">
        <v>17</v>
      </c>
    </row>
    <row r="133" spans="1:10" x14ac:dyDescent="0.25">
      <c r="A133" s="7" t="s">
        <v>17</v>
      </c>
      <c r="B133" s="8" t="s">
        <v>293</v>
      </c>
      <c r="C133" s="8" t="s">
        <v>17</v>
      </c>
      <c r="D133" s="8" t="s">
        <v>294</v>
      </c>
      <c r="E133" s="8" t="s">
        <v>295</v>
      </c>
      <c r="F133" s="9">
        <v>64600</v>
      </c>
      <c r="G133" s="10">
        <v>131.11000000000001</v>
      </c>
      <c r="H133" s="10">
        <v>0.02</v>
      </c>
      <c r="I133" s="11" t="s">
        <v>17</v>
      </c>
      <c r="J133" s="11" t="s">
        <v>17</v>
      </c>
    </row>
    <row r="134" spans="1:10" x14ac:dyDescent="0.25">
      <c r="A134" s="7" t="s">
        <v>17</v>
      </c>
      <c r="B134" s="8" t="s">
        <v>296</v>
      </c>
      <c r="C134" s="8" t="s">
        <v>17</v>
      </c>
      <c r="D134" s="8" t="s">
        <v>297</v>
      </c>
      <c r="E134" s="8" t="s">
        <v>37</v>
      </c>
      <c r="F134" s="9">
        <v>3125</v>
      </c>
      <c r="G134" s="10">
        <v>152.52000000000001</v>
      </c>
      <c r="H134" s="10">
        <v>0.02</v>
      </c>
      <c r="I134" s="11" t="s">
        <v>17</v>
      </c>
      <c r="J134" s="11" t="s">
        <v>17</v>
      </c>
    </row>
    <row r="135" spans="1:10" x14ac:dyDescent="0.25">
      <c r="A135" s="7" t="s">
        <v>17</v>
      </c>
      <c r="B135" s="8" t="s">
        <v>298</v>
      </c>
      <c r="C135" s="8" t="s">
        <v>17</v>
      </c>
      <c r="D135" s="8" t="s">
        <v>299</v>
      </c>
      <c r="E135" s="8" t="s">
        <v>19</v>
      </c>
      <c r="F135" s="9">
        <v>6500</v>
      </c>
      <c r="G135" s="10">
        <v>131.41</v>
      </c>
      <c r="H135" s="10">
        <v>0.02</v>
      </c>
      <c r="I135" s="11" t="s">
        <v>17</v>
      </c>
      <c r="J135" s="11" t="s">
        <v>17</v>
      </c>
    </row>
    <row r="136" spans="1:10" x14ac:dyDescent="0.25">
      <c r="A136" s="7" t="s">
        <v>17</v>
      </c>
      <c r="B136" s="8" t="s">
        <v>300</v>
      </c>
      <c r="C136" s="8" t="s">
        <v>17</v>
      </c>
      <c r="D136" s="8" t="s">
        <v>301</v>
      </c>
      <c r="E136" s="8" t="s">
        <v>302</v>
      </c>
      <c r="F136" s="9">
        <v>450</v>
      </c>
      <c r="G136" s="10">
        <v>142.66999999999999</v>
      </c>
      <c r="H136" s="10">
        <v>0.02</v>
      </c>
      <c r="I136" s="11" t="s">
        <v>17</v>
      </c>
      <c r="J136" s="11" t="s">
        <v>17</v>
      </c>
    </row>
    <row r="137" spans="1:10" x14ac:dyDescent="0.25">
      <c r="A137" s="7" t="s">
        <v>17</v>
      </c>
      <c r="B137" s="8" t="s">
        <v>303</v>
      </c>
      <c r="C137" s="8" t="s">
        <v>17</v>
      </c>
      <c r="D137" s="8" t="s">
        <v>304</v>
      </c>
      <c r="E137" s="8" t="s">
        <v>172</v>
      </c>
      <c r="F137" s="9">
        <v>2375</v>
      </c>
      <c r="G137" s="10">
        <v>109.53</v>
      </c>
      <c r="H137" s="10">
        <v>0.01</v>
      </c>
      <c r="I137" s="11" t="s">
        <v>17</v>
      </c>
      <c r="J137" s="11" t="s">
        <v>17</v>
      </c>
    </row>
    <row r="138" spans="1:10" x14ac:dyDescent="0.25">
      <c r="A138" s="7" t="s">
        <v>17</v>
      </c>
      <c r="B138" s="8" t="s">
        <v>305</v>
      </c>
      <c r="C138" s="8" t="s">
        <v>17</v>
      </c>
      <c r="D138" s="8" t="s">
        <v>306</v>
      </c>
      <c r="E138" s="8" t="s">
        <v>28</v>
      </c>
      <c r="F138" s="9">
        <v>85000</v>
      </c>
      <c r="G138" s="10">
        <v>79.39</v>
      </c>
      <c r="H138" s="10">
        <v>0.01</v>
      </c>
      <c r="I138" s="11" t="s">
        <v>17</v>
      </c>
      <c r="J138" s="11" t="s">
        <v>17</v>
      </c>
    </row>
    <row r="139" spans="1:10" x14ac:dyDescent="0.25">
      <c r="A139" s="7" t="s">
        <v>17</v>
      </c>
      <c r="B139" s="8" t="s">
        <v>307</v>
      </c>
      <c r="C139" s="8" t="s">
        <v>17</v>
      </c>
      <c r="D139" s="8" t="s">
        <v>308</v>
      </c>
      <c r="E139" s="8" t="s">
        <v>113</v>
      </c>
      <c r="F139" s="9">
        <v>3000</v>
      </c>
      <c r="G139" s="10">
        <v>71.67</v>
      </c>
      <c r="H139" s="10">
        <v>0.01</v>
      </c>
      <c r="I139" s="11" t="s">
        <v>17</v>
      </c>
      <c r="J139" s="11" t="s">
        <v>17</v>
      </c>
    </row>
    <row r="140" spans="1:10" x14ac:dyDescent="0.25">
      <c r="A140" s="7" t="s">
        <v>17</v>
      </c>
      <c r="B140" s="8" t="s">
        <v>309</v>
      </c>
      <c r="C140" s="8" t="s">
        <v>17</v>
      </c>
      <c r="D140" s="8" t="s">
        <v>310</v>
      </c>
      <c r="E140" s="8" t="s">
        <v>172</v>
      </c>
      <c r="F140" s="9">
        <v>8000</v>
      </c>
      <c r="G140" s="10">
        <v>97.44</v>
      </c>
      <c r="H140" s="10">
        <v>0.01</v>
      </c>
      <c r="I140" s="11" t="s">
        <v>17</v>
      </c>
      <c r="J140" s="11" t="s">
        <v>17</v>
      </c>
    </row>
    <row r="141" spans="1:10" x14ac:dyDescent="0.25">
      <c r="A141" s="7" t="s">
        <v>17</v>
      </c>
      <c r="B141" s="8" t="s">
        <v>311</v>
      </c>
      <c r="C141" s="8" t="s">
        <v>17</v>
      </c>
      <c r="D141" s="8" t="s">
        <v>312</v>
      </c>
      <c r="E141" s="8" t="s">
        <v>169</v>
      </c>
      <c r="F141" s="9">
        <v>17600</v>
      </c>
      <c r="G141" s="10">
        <v>111.6</v>
      </c>
      <c r="H141" s="10">
        <v>0.01</v>
      </c>
      <c r="I141" s="11" t="s">
        <v>17</v>
      </c>
      <c r="J141" s="11" t="s">
        <v>17</v>
      </c>
    </row>
    <row r="142" spans="1:10" x14ac:dyDescent="0.25">
      <c r="A142" s="7" t="s">
        <v>17</v>
      </c>
      <c r="B142" s="8" t="s">
        <v>313</v>
      </c>
      <c r="C142" s="8" t="s">
        <v>17</v>
      </c>
      <c r="D142" s="8" t="s">
        <v>314</v>
      </c>
      <c r="E142" s="8" t="s">
        <v>65</v>
      </c>
      <c r="F142" s="9">
        <v>125</v>
      </c>
      <c r="G142" s="10">
        <v>14.1</v>
      </c>
      <c r="H142" s="10" t="s">
        <v>315</v>
      </c>
      <c r="I142" s="11" t="s">
        <v>17</v>
      </c>
      <c r="J142" s="11" t="s">
        <v>17</v>
      </c>
    </row>
    <row r="143" spans="1:10" x14ac:dyDescent="0.25">
      <c r="A143" s="12"/>
      <c r="B143" s="6" t="s">
        <v>316</v>
      </c>
      <c r="C143" s="12"/>
      <c r="D143" s="12"/>
      <c r="E143" s="12"/>
      <c r="F143" s="12"/>
      <c r="G143" s="13">
        <v>544825.21000000008</v>
      </c>
      <c r="H143" s="13">
        <v>67.57000000000005</v>
      </c>
      <c r="I143" s="12"/>
      <c r="J143" s="12"/>
    </row>
    <row r="144" spans="1:10" x14ac:dyDescent="0.25">
      <c r="A144" s="5"/>
      <c r="B144" s="6" t="s">
        <v>317</v>
      </c>
      <c r="C144" s="5"/>
      <c r="D144" s="5"/>
      <c r="E144" s="5"/>
      <c r="F144" s="5"/>
      <c r="G144" s="13">
        <v>544825.21000000008</v>
      </c>
      <c r="H144" s="13">
        <v>67.57000000000005</v>
      </c>
      <c r="I144" s="5"/>
      <c r="J144" s="5"/>
    </row>
    <row r="145" spans="1:10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</row>
    <row r="146" spans="1:10" x14ac:dyDescent="0.25">
      <c r="A146" s="5"/>
      <c r="B146" s="6" t="s">
        <v>318</v>
      </c>
      <c r="C146" s="5"/>
      <c r="D146" s="5"/>
      <c r="E146" s="5"/>
      <c r="F146" s="5"/>
      <c r="G146" s="5"/>
      <c r="H146" s="5"/>
      <c r="I146" s="5"/>
      <c r="J146" s="5"/>
    </row>
    <row r="147" spans="1:10" x14ac:dyDescent="0.25">
      <c r="A147" s="5"/>
      <c r="B147" s="6" t="s">
        <v>13</v>
      </c>
      <c r="C147" s="5"/>
      <c r="D147" s="5"/>
      <c r="E147" s="5"/>
      <c r="F147" s="5"/>
      <c r="G147" s="5"/>
      <c r="H147" s="5"/>
      <c r="I147" s="5"/>
      <c r="J147" s="5"/>
    </row>
    <row r="148" spans="1:10" x14ac:dyDescent="0.25">
      <c r="A148" s="5"/>
      <c r="B148" s="6" t="s">
        <v>319</v>
      </c>
      <c r="C148" s="5"/>
      <c r="D148" s="5"/>
      <c r="E148" s="5"/>
      <c r="F148" s="5"/>
      <c r="G148" s="5"/>
      <c r="H148" s="5"/>
      <c r="I148" s="5"/>
      <c r="J148" s="5"/>
    </row>
    <row r="149" spans="1:10" x14ac:dyDescent="0.25">
      <c r="A149" s="7" t="s">
        <v>17</v>
      </c>
      <c r="B149" s="8" t="s">
        <v>320</v>
      </c>
      <c r="C149" s="8">
        <v>6.84</v>
      </c>
      <c r="D149" s="8" t="s">
        <v>321</v>
      </c>
      <c r="E149" s="8" t="s">
        <v>322</v>
      </c>
      <c r="F149" s="9">
        <v>14500000</v>
      </c>
      <c r="G149" s="10">
        <v>14977.78</v>
      </c>
      <c r="H149" s="10">
        <v>1.86</v>
      </c>
      <c r="I149" s="11">
        <v>4.03</v>
      </c>
      <c r="J149" s="11" t="s">
        <v>17</v>
      </c>
    </row>
    <row r="150" spans="1:10" x14ac:dyDescent="0.25">
      <c r="A150" s="7" t="s">
        <v>17</v>
      </c>
      <c r="B150" s="8" t="s">
        <v>323</v>
      </c>
      <c r="C150" s="8">
        <v>5.09</v>
      </c>
      <c r="D150" s="8" t="s">
        <v>324</v>
      </c>
      <c r="E150" s="8" t="s">
        <v>322</v>
      </c>
      <c r="F150" s="9">
        <v>13000000</v>
      </c>
      <c r="G150" s="10">
        <v>13094.28</v>
      </c>
      <c r="H150" s="10">
        <v>1.62</v>
      </c>
      <c r="I150" s="11">
        <v>3.7</v>
      </c>
      <c r="J150" s="11" t="s">
        <v>17</v>
      </c>
    </row>
    <row r="151" spans="1:10" x14ac:dyDescent="0.25">
      <c r="A151" s="7" t="s">
        <v>17</v>
      </c>
      <c r="B151" s="8" t="s">
        <v>325</v>
      </c>
      <c r="C151" s="8">
        <v>7.16</v>
      </c>
      <c r="D151" s="8" t="s">
        <v>326</v>
      </c>
      <c r="E151" s="8" t="s">
        <v>322</v>
      </c>
      <c r="F151" s="9">
        <v>11000000</v>
      </c>
      <c r="G151" s="10">
        <v>11466.17</v>
      </c>
      <c r="H151" s="10">
        <v>1.42</v>
      </c>
      <c r="I151" s="11">
        <v>4.4450000000000003</v>
      </c>
      <c r="J151" s="11" t="s">
        <v>17</v>
      </c>
    </row>
    <row r="152" spans="1:10" x14ac:dyDescent="0.25">
      <c r="A152" s="7" t="s">
        <v>17</v>
      </c>
      <c r="B152" s="8" t="s">
        <v>327</v>
      </c>
      <c r="C152" s="8">
        <v>8.1300000000000008</v>
      </c>
      <c r="D152" s="8" t="s">
        <v>328</v>
      </c>
      <c r="E152" s="8" t="s">
        <v>322</v>
      </c>
      <c r="F152" s="9">
        <v>10000000</v>
      </c>
      <c r="G152" s="10">
        <v>10395</v>
      </c>
      <c r="H152" s="10">
        <v>1.29</v>
      </c>
      <c r="I152" s="11">
        <v>3.95</v>
      </c>
      <c r="J152" s="11" t="s">
        <v>17</v>
      </c>
    </row>
    <row r="153" spans="1:10" x14ac:dyDescent="0.25">
      <c r="A153" s="7" t="s">
        <v>17</v>
      </c>
      <c r="B153" s="8" t="s">
        <v>329</v>
      </c>
      <c r="C153" s="8">
        <v>8.35</v>
      </c>
      <c r="D153" s="8" t="s">
        <v>330</v>
      </c>
      <c r="E153" s="8" t="s">
        <v>322</v>
      </c>
      <c r="F153" s="9">
        <v>10000000</v>
      </c>
      <c r="G153" s="10">
        <v>10281.86</v>
      </c>
      <c r="H153" s="10">
        <v>1.28</v>
      </c>
      <c r="I153" s="11">
        <v>3.6949999999999998</v>
      </c>
      <c r="J153" s="11" t="s">
        <v>17</v>
      </c>
    </row>
    <row r="154" spans="1:10" x14ac:dyDescent="0.25">
      <c r="A154" s="7" t="s">
        <v>17</v>
      </c>
      <c r="B154" s="8" t="s">
        <v>331</v>
      </c>
      <c r="C154" s="8">
        <v>8.1999999999999993</v>
      </c>
      <c r="D154" s="8" t="s">
        <v>332</v>
      </c>
      <c r="E154" s="8" t="s">
        <v>322</v>
      </c>
      <c r="F154" s="9">
        <v>10000000</v>
      </c>
      <c r="G154" s="10">
        <v>10166</v>
      </c>
      <c r="H154" s="10">
        <v>1.26</v>
      </c>
      <c r="I154" s="11">
        <v>3.61</v>
      </c>
      <c r="J154" s="11" t="s">
        <v>17</v>
      </c>
    </row>
    <row r="155" spans="1:10" x14ac:dyDescent="0.25">
      <c r="A155" s="7" t="s">
        <v>17</v>
      </c>
      <c r="B155" s="8" t="s">
        <v>333</v>
      </c>
      <c r="C155" s="8">
        <v>8.15</v>
      </c>
      <c r="D155" s="8" t="s">
        <v>334</v>
      </c>
      <c r="E155" s="8" t="s">
        <v>322</v>
      </c>
      <c r="F155" s="9">
        <v>8000000</v>
      </c>
      <c r="G155" s="10">
        <v>8232.7999999999993</v>
      </c>
      <c r="H155" s="10">
        <v>1.02</v>
      </c>
      <c r="I155" s="11">
        <v>3.85</v>
      </c>
      <c r="J155" s="11" t="s">
        <v>17</v>
      </c>
    </row>
    <row r="156" spans="1:10" x14ac:dyDescent="0.25">
      <c r="A156" s="7" t="s">
        <v>17</v>
      </c>
      <c r="B156" s="8" t="s">
        <v>335</v>
      </c>
      <c r="C156" s="8">
        <v>8.08</v>
      </c>
      <c r="D156" s="8" t="s">
        <v>336</v>
      </c>
      <c r="E156" s="8" t="s">
        <v>322</v>
      </c>
      <c r="F156" s="9">
        <v>7500000</v>
      </c>
      <c r="G156" s="10">
        <v>7755.84</v>
      </c>
      <c r="H156" s="10">
        <v>0.96</v>
      </c>
      <c r="I156" s="11">
        <v>3.88</v>
      </c>
      <c r="J156" s="11" t="s">
        <v>17</v>
      </c>
    </row>
    <row r="157" spans="1:10" x14ac:dyDescent="0.25">
      <c r="A157" s="7" t="s">
        <v>17</v>
      </c>
      <c r="B157" s="8" t="s">
        <v>337</v>
      </c>
      <c r="C157" s="8">
        <v>7.37</v>
      </c>
      <c r="D157" s="8" t="s">
        <v>338</v>
      </c>
      <c r="E157" s="8" t="s">
        <v>322</v>
      </c>
      <c r="F157" s="9">
        <v>5500000</v>
      </c>
      <c r="G157" s="10">
        <v>5739.55</v>
      </c>
      <c r="H157" s="10">
        <v>0.71</v>
      </c>
      <c r="I157" s="11">
        <v>4.415</v>
      </c>
      <c r="J157" s="11" t="s">
        <v>17</v>
      </c>
    </row>
    <row r="158" spans="1:10" x14ac:dyDescent="0.25">
      <c r="A158" s="7" t="s">
        <v>17</v>
      </c>
      <c r="B158" s="8" t="s">
        <v>339</v>
      </c>
      <c r="C158" s="8">
        <v>4.26</v>
      </c>
      <c r="D158" s="8" t="s">
        <v>340</v>
      </c>
      <c r="E158" s="8" t="s">
        <v>322</v>
      </c>
      <c r="F158" s="9">
        <v>1000000</v>
      </c>
      <c r="G158" s="10">
        <v>999.94</v>
      </c>
      <c r="H158" s="10">
        <v>0.12</v>
      </c>
      <c r="I158" s="11">
        <v>4.2649999999999997</v>
      </c>
      <c r="J158" s="11" t="s">
        <v>17</v>
      </c>
    </row>
    <row r="159" spans="1:10" x14ac:dyDescent="0.25">
      <c r="A159" s="5"/>
      <c r="B159" s="6" t="s">
        <v>341</v>
      </c>
      <c r="C159" s="5"/>
      <c r="D159" s="5"/>
      <c r="E159" s="5"/>
      <c r="F159" s="5"/>
      <c r="G159" s="5"/>
      <c r="H159" s="5"/>
      <c r="I159" s="5"/>
      <c r="J159" s="5"/>
    </row>
    <row r="160" spans="1:10" x14ac:dyDescent="0.25">
      <c r="A160" s="7" t="s">
        <v>17</v>
      </c>
      <c r="B160" s="8" t="s">
        <v>342</v>
      </c>
      <c r="C160" s="8">
        <v>5.4</v>
      </c>
      <c r="D160" s="8" t="s">
        <v>219</v>
      </c>
      <c r="E160" s="8" t="s">
        <v>343</v>
      </c>
      <c r="F160" s="9">
        <v>1000</v>
      </c>
      <c r="G160" s="10">
        <v>10085.34</v>
      </c>
      <c r="H160" s="10">
        <v>1.25</v>
      </c>
      <c r="I160" s="11">
        <v>4.9000000000000004</v>
      </c>
      <c r="J160" s="11" t="s">
        <v>17</v>
      </c>
    </row>
    <row r="161" spans="1:10" x14ac:dyDescent="0.25">
      <c r="A161" s="7" t="s">
        <v>17</v>
      </c>
      <c r="B161" s="8" t="s">
        <v>344</v>
      </c>
      <c r="C161" s="8">
        <v>7.17</v>
      </c>
      <c r="D161" s="8" t="s">
        <v>345</v>
      </c>
      <c r="E161" s="8" t="s">
        <v>343</v>
      </c>
      <c r="F161" s="9">
        <v>500</v>
      </c>
      <c r="G161" s="10">
        <v>5147.0600000000004</v>
      </c>
      <c r="H161" s="10">
        <v>0.64</v>
      </c>
      <c r="I161" s="11">
        <v>4.37</v>
      </c>
      <c r="J161" s="11" t="s">
        <v>17</v>
      </c>
    </row>
    <row r="162" spans="1:10" x14ac:dyDescent="0.25">
      <c r="A162" s="7" t="s">
        <v>17</v>
      </c>
      <c r="B162" s="8" t="s">
        <v>346</v>
      </c>
      <c r="C162" s="8">
        <v>8.5</v>
      </c>
      <c r="D162" s="8" t="s">
        <v>347</v>
      </c>
      <c r="E162" s="8" t="s">
        <v>343</v>
      </c>
      <c r="F162" s="9">
        <v>250</v>
      </c>
      <c r="G162" s="10">
        <v>2624.38</v>
      </c>
      <c r="H162" s="10">
        <v>0.33</v>
      </c>
      <c r="I162" s="11">
        <v>4.54</v>
      </c>
      <c r="J162" s="11" t="s">
        <v>17</v>
      </c>
    </row>
    <row r="163" spans="1:10" x14ac:dyDescent="0.25">
      <c r="A163" s="7" t="s">
        <v>17</v>
      </c>
      <c r="B163" s="8" t="s">
        <v>348</v>
      </c>
      <c r="C163" s="8">
        <v>7.35</v>
      </c>
      <c r="D163" s="8" t="s">
        <v>349</v>
      </c>
      <c r="E163" s="8" t="s">
        <v>343</v>
      </c>
      <c r="F163" s="9">
        <v>250</v>
      </c>
      <c r="G163" s="10">
        <v>2571.87</v>
      </c>
      <c r="H163" s="10">
        <v>0.32</v>
      </c>
      <c r="I163" s="11">
        <v>4.45</v>
      </c>
      <c r="J163" s="11" t="s">
        <v>17</v>
      </c>
    </row>
    <row r="164" spans="1:10" x14ac:dyDescent="0.25">
      <c r="A164" s="12"/>
      <c r="B164" s="6" t="s">
        <v>316</v>
      </c>
      <c r="C164" s="12"/>
      <c r="D164" s="12"/>
      <c r="E164" s="12"/>
      <c r="F164" s="12"/>
      <c r="G164" s="13">
        <v>113537.87</v>
      </c>
      <c r="H164" s="13">
        <v>14.080000000000002</v>
      </c>
      <c r="I164" s="12"/>
      <c r="J164" s="12"/>
    </row>
    <row r="165" spans="1:10" x14ac:dyDescent="0.25">
      <c r="A165" s="5"/>
      <c r="B165" s="6" t="s">
        <v>317</v>
      </c>
      <c r="C165" s="5"/>
      <c r="D165" s="5"/>
      <c r="E165" s="5"/>
      <c r="F165" s="5"/>
      <c r="G165" s="13">
        <v>113537.87</v>
      </c>
      <c r="H165" s="13">
        <v>14.080000000000002</v>
      </c>
      <c r="I165" s="5"/>
      <c r="J165" s="5"/>
    </row>
    <row r="166" spans="1:10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</row>
    <row r="167" spans="1:10" x14ac:dyDescent="0.25">
      <c r="A167" s="5"/>
      <c r="B167" s="6" t="s">
        <v>350</v>
      </c>
      <c r="C167" s="5"/>
      <c r="D167" s="5"/>
      <c r="E167" s="5"/>
      <c r="F167" s="5"/>
      <c r="G167" s="5"/>
      <c r="H167" s="5"/>
      <c r="I167" s="5"/>
      <c r="J167" s="5"/>
    </row>
    <row r="168" spans="1:10" x14ac:dyDescent="0.25">
      <c r="A168" s="5"/>
      <c r="B168" s="6" t="s">
        <v>351</v>
      </c>
      <c r="C168" s="5"/>
      <c r="D168" s="5"/>
      <c r="E168" s="5"/>
      <c r="F168" s="5"/>
      <c r="G168" s="5"/>
      <c r="H168" s="5"/>
      <c r="I168" s="5"/>
      <c r="J168" s="5"/>
    </row>
    <row r="169" spans="1:10" x14ac:dyDescent="0.25">
      <c r="A169" s="7" t="s">
        <v>17</v>
      </c>
      <c r="B169" s="8" t="s">
        <v>352</v>
      </c>
      <c r="C169" s="8" t="s">
        <v>17</v>
      </c>
      <c r="D169" s="8" t="s">
        <v>353</v>
      </c>
      <c r="E169" s="8" t="s">
        <v>354</v>
      </c>
      <c r="F169" s="9">
        <v>12500000</v>
      </c>
      <c r="G169" s="10">
        <v>12395.48</v>
      </c>
      <c r="H169" s="10">
        <v>1.54</v>
      </c>
      <c r="I169" s="11">
        <v>3.42</v>
      </c>
      <c r="J169" s="11" t="s">
        <v>17</v>
      </c>
    </row>
    <row r="170" spans="1:10" x14ac:dyDescent="0.25">
      <c r="A170" s="7" t="s">
        <v>17</v>
      </c>
      <c r="B170" s="8" t="s">
        <v>355</v>
      </c>
      <c r="C170" s="8" t="s">
        <v>17</v>
      </c>
      <c r="D170" s="8" t="s">
        <v>356</v>
      </c>
      <c r="E170" s="8" t="s">
        <v>354</v>
      </c>
      <c r="F170" s="9">
        <v>12500000</v>
      </c>
      <c r="G170" s="10">
        <v>12308.35</v>
      </c>
      <c r="H170" s="10">
        <v>1.53</v>
      </c>
      <c r="I170" s="11">
        <v>3.53</v>
      </c>
      <c r="J170" s="11" t="s">
        <v>17</v>
      </c>
    </row>
    <row r="171" spans="1:10" x14ac:dyDescent="0.25">
      <c r="A171" s="7" t="s">
        <v>17</v>
      </c>
      <c r="B171" s="8" t="s">
        <v>357</v>
      </c>
      <c r="C171" s="8" t="s">
        <v>17</v>
      </c>
      <c r="D171" s="8" t="s">
        <v>358</v>
      </c>
      <c r="E171" s="8" t="s">
        <v>354</v>
      </c>
      <c r="F171" s="9">
        <v>12000000</v>
      </c>
      <c r="G171" s="10">
        <v>11825.03</v>
      </c>
      <c r="H171" s="10">
        <v>1.47</v>
      </c>
      <c r="I171" s="11">
        <v>3.53</v>
      </c>
      <c r="J171" s="11" t="s">
        <v>17</v>
      </c>
    </row>
    <row r="172" spans="1:10" x14ac:dyDescent="0.25">
      <c r="A172" s="7" t="s">
        <v>17</v>
      </c>
      <c r="B172" s="8" t="s">
        <v>359</v>
      </c>
      <c r="C172" s="8" t="s">
        <v>17</v>
      </c>
      <c r="D172" s="8" t="s">
        <v>360</v>
      </c>
      <c r="E172" s="8" t="s">
        <v>354</v>
      </c>
      <c r="F172" s="9">
        <v>10000000</v>
      </c>
      <c r="G172" s="10">
        <v>9936.14</v>
      </c>
      <c r="H172" s="10">
        <v>1.23</v>
      </c>
      <c r="I172" s="11">
        <v>3.4</v>
      </c>
      <c r="J172" s="11" t="s">
        <v>17</v>
      </c>
    </row>
    <row r="173" spans="1:10" x14ac:dyDescent="0.25">
      <c r="A173" s="7" t="s">
        <v>17</v>
      </c>
      <c r="B173" s="8" t="s">
        <v>361</v>
      </c>
      <c r="C173" s="8" t="s">
        <v>17</v>
      </c>
      <c r="D173" s="8" t="s">
        <v>362</v>
      </c>
      <c r="E173" s="8" t="s">
        <v>354</v>
      </c>
      <c r="F173" s="9">
        <v>10000000</v>
      </c>
      <c r="G173" s="10">
        <v>9828.9</v>
      </c>
      <c r="H173" s="10">
        <v>1.22</v>
      </c>
      <c r="I173" s="11">
        <v>3.53</v>
      </c>
      <c r="J173" s="11" t="s">
        <v>17</v>
      </c>
    </row>
    <row r="174" spans="1:10" x14ac:dyDescent="0.25">
      <c r="A174" s="7" t="s">
        <v>17</v>
      </c>
      <c r="B174" s="8" t="s">
        <v>363</v>
      </c>
      <c r="C174" s="8" t="s">
        <v>17</v>
      </c>
      <c r="D174" s="8" t="s">
        <v>364</v>
      </c>
      <c r="E174" s="8" t="s">
        <v>354</v>
      </c>
      <c r="F174" s="9">
        <v>10000000</v>
      </c>
      <c r="G174" s="10">
        <v>9834.51</v>
      </c>
      <c r="H174" s="10">
        <v>1.22</v>
      </c>
      <c r="I174" s="11">
        <v>3.53</v>
      </c>
      <c r="J174" s="11" t="s">
        <v>17</v>
      </c>
    </row>
    <row r="175" spans="1:10" x14ac:dyDescent="0.25">
      <c r="A175" s="7" t="s">
        <v>17</v>
      </c>
      <c r="B175" s="8" t="s">
        <v>365</v>
      </c>
      <c r="C175" s="8" t="s">
        <v>17</v>
      </c>
      <c r="D175" s="8" t="s">
        <v>366</v>
      </c>
      <c r="E175" s="8" t="s">
        <v>354</v>
      </c>
      <c r="F175" s="9">
        <v>10000000</v>
      </c>
      <c r="G175" s="10">
        <v>9793.39</v>
      </c>
      <c r="H175" s="10">
        <v>1.21</v>
      </c>
      <c r="I175" s="11">
        <v>3.5649999999999999</v>
      </c>
      <c r="J175" s="11" t="s">
        <v>17</v>
      </c>
    </row>
    <row r="176" spans="1:10" x14ac:dyDescent="0.25">
      <c r="A176" s="7" t="s">
        <v>17</v>
      </c>
      <c r="B176" s="8" t="s">
        <v>367</v>
      </c>
      <c r="C176" s="8" t="s">
        <v>17</v>
      </c>
      <c r="D176" s="8" t="s">
        <v>368</v>
      </c>
      <c r="E176" s="8" t="s">
        <v>354</v>
      </c>
      <c r="F176" s="9">
        <v>10000000</v>
      </c>
      <c r="G176" s="10">
        <v>9780.2999999999993</v>
      </c>
      <c r="H176" s="10">
        <v>1.21</v>
      </c>
      <c r="I176" s="11">
        <v>3.5649999999999999</v>
      </c>
      <c r="J176" s="11" t="s">
        <v>17</v>
      </c>
    </row>
    <row r="177" spans="1:10" x14ac:dyDescent="0.25">
      <c r="A177" s="7" t="s">
        <v>17</v>
      </c>
      <c r="B177" s="8" t="s">
        <v>369</v>
      </c>
      <c r="C177" s="8" t="s">
        <v>17</v>
      </c>
      <c r="D177" s="8" t="s">
        <v>370</v>
      </c>
      <c r="E177" s="8" t="s">
        <v>354</v>
      </c>
      <c r="F177" s="9">
        <v>7500000</v>
      </c>
      <c r="G177" s="10">
        <v>7314.65</v>
      </c>
      <c r="H177" s="10">
        <v>0.91</v>
      </c>
      <c r="I177" s="11">
        <v>3.585</v>
      </c>
      <c r="J177" s="11" t="s">
        <v>17</v>
      </c>
    </row>
    <row r="178" spans="1:10" x14ac:dyDescent="0.25">
      <c r="A178" s="7" t="s">
        <v>17</v>
      </c>
      <c r="B178" s="8" t="s">
        <v>371</v>
      </c>
      <c r="C178" s="8" t="s">
        <v>17</v>
      </c>
      <c r="D178" s="8" t="s">
        <v>372</v>
      </c>
      <c r="E178" s="8" t="s">
        <v>354</v>
      </c>
      <c r="F178" s="9">
        <v>7500000</v>
      </c>
      <c r="G178" s="10">
        <v>7350.17</v>
      </c>
      <c r="H178" s="10">
        <v>0.91</v>
      </c>
      <c r="I178" s="11">
        <v>3.56</v>
      </c>
      <c r="J178" s="11" t="s">
        <v>17</v>
      </c>
    </row>
    <row r="179" spans="1:10" x14ac:dyDescent="0.25">
      <c r="A179" s="7" t="s">
        <v>17</v>
      </c>
      <c r="B179" s="8" t="s">
        <v>373</v>
      </c>
      <c r="C179" s="8" t="s">
        <v>17</v>
      </c>
      <c r="D179" s="8" t="s">
        <v>374</v>
      </c>
      <c r="E179" s="8" t="s">
        <v>354</v>
      </c>
      <c r="F179" s="9">
        <v>5500000</v>
      </c>
      <c r="G179" s="10">
        <v>5371.28</v>
      </c>
      <c r="H179" s="10">
        <v>0.67</v>
      </c>
      <c r="I179" s="11">
        <v>3.585</v>
      </c>
      <c r="J179" s="11" t="s">
        <v>17</v>
      </c>
    </row>
    <row r="180" spans="1:10" x14ac:dyDescent="0.25">
      <c r="A180" s="7" t="s">
        <v>17</v>
      </c>
      <c r="B180" s="8" t="s">
        <v>375</v>
      </c>
      <c r="C180" s="8" t="s">
        <v>17</v>
      </c>
      <c r="D180" s="8" t="s">
        <v>376</v>
      </c>
      <c r="E180" s="8" t="s">
        <v>354</v>
      </c>
      <c r="F180" s="9">
        <v>5000000</v>
      </c>
      <c r="G180" s="10">
        <v>4961.28</v>
      </c>
      <c r="H180" s="10">
        <v>0.62</v>
      </c>
      <c r="I180" s="11">
        <v>3.4350000000000001</v>
      </c>
      <c r="J180" s="11" t="s">
        <v>17</v>
      </c>
    </row>
    <row r="181" spans="1:10" x14ac:dyDescent="0.25">
      <c r="A181" s="7" t="s">
        <v>17</v>
      </c>
      <c r="B181" s="8" t="s">
        <v>377</v>
      </c>
      <c r="C181" s="8" t="s">
        <v>17</v>
      </c>
      <c r="D181" s="8" t="s">
        <v>378</v>
      </c>
      <c r="E181" s="8" t="s">
        <v>354</v>
      </c>
      <c r="F181" s="9">
        <v>4500000</v>
      </c>
      <c r="G181" s="10">
        <v>4468.1099999999997</v>
      </c>
      <c r="H181" s="10">
        <v>0.55000000000000004</v>
      </c>
      <c r="I181" s="11">
        <v>3.43</v>
      </c>
      <c r="J181" s="11" t="s">
        <v>17</v>
      </c>
    </row>
    <row r="182" spans="1:10" x14ac:dyDescent="0.25">
      <c r="A182" s="7" t="s">
        <v>17</v>
      </c>
      <c r="B182" s="8" t="s">
        <v>379</v>
      </c>
      <c r="C182" s="8" t="s">
        <v>17</v>
      </c>
      <c r="D182" s="8" t="s">
        <v>380</v>
      </c>
      <c r="E182" s="8" t="s">
        <v>354</v>
      </c>
      <c r="F182" s="9">
        <v>2500000</v>
      </c>
      <c r="G182" s="10">
        <v>2480.64</v>
      </c>
      <c r="H182" s="10">
        <v>0.31</v>
      </c>
      <c r="I182" s="11">
        <v>3.4350000000000001</v>
      </c>
      <c r="J182" s="11" t="s">
        <v>17</v>
      </c>
    </row>
    <row r="183" spans="1:10" x14ac:dyDescent="0.25">
      <c r="A183" s="5"/>
      <c r="B183" s="6" t="s">
        <v>381</v>
      </c>
      <c r="C183" s="5"/>
      <c r="D183" s="5"/>
      <c r="E183" s="5"/>
      <c r="F183" s="5"/>
      <c r="G183" s="5"/>
      <c r="H183" s="5"/>
      <c r="I183" s="5"/>
      <c r="J183" s="5"/>
    </row>
    <row r="184" spans="1:10" x14ac:dyDescent="0.25">
      <c r="A184" s="7" t="s">
        <v>17</v>
      </c>
      <c r="B184" s="8" t="s">
        <v>17</v>
      </c>
      <c r="C184" s="8" t="s">
        <v>17</v>
      </c>
      <c r="D184" s="8" t="s">
        <v>381</v>
      </c>
      <c r="E184" s="8" t="s">
        <v>17</v>
      </c>
      <c r="F184" s="9" t="s">
        <v>17</v>
      </c>
      <c r="G184" s="10">
        <v>20502.75</v>
      </c>
      <c r="H184" s="10">
        <v>2.54</v>
      </c>
      <c r="I184" s="11" t="s">
        <v>17</v>
      </c>
      <c r="J184" s="11" t="s">
        <v>17</v>
      </c>
    </row>
    <row r="185" spans="1:10" x14ac:dyDescent="0.25">
      <c r="A185" s="5"/>
      <c r="B185" s="6" t="s">
        <v>382</v>
      </c>
      <c r="C185" s="5"/>
      <c r="D185" s="5"/>
      <c r="E185" s="5"/>
      <c r="F185" s="5"/>
      <c r="G185" s="5"/>
      <c r="H185" s="5"/>
      <c r="I185" s="5"/>
      <c r="J185" s="5"/>
    </row>
    <row r="186" spans="1:10" x14ac:dyDescent="0.25">
      <c r="A186" s="7" t="s">
        <v>17</v>
      </c>
      <c r="B186" s="8" t="s">
        <v>17</v>
      </c>
      <c r="C186" s="8" t="s">
        <v>17</v>
      </c>
      <c r="D186" s="8" t="s">
        <v>382</v>
      </c>
      <c r="E186" s="8" t="s">
        <v>17</v>
      </c>
      <c r="F186" s="9" t="s">
        <v>17</v>
      </c>
      <c r="G186" s="10">
        <v>3291.35</v>
      </c>
      <c r="H186" s="10">
        <v>0.41</v>
      </c>
      <c r="I186" s="11" t="s">
        <v>17</v>
      </c>
      <c r="J186" s="11" t="s">
        <v>17</v>
      </c>
    </row>
    <row r="187" spans="1:10" x14ac:dyDescent="0.25">
      <c r="A187" s="12"/>
      <c r="B187" s="6" t="s">
        <v>316</v>
      </c>
      <c r="C187" s="12"/>
      <c r="D187" s="12"/>
      <c r="E187" s="12"/>
      <c r="F187" s="12"/>
      <c r="G187" s="13">
        <v>141442.32999999999</v>
      </c>
      <c r="H187" s="13">
        <v>17.55</v>
      </c>
      <c r="I187" s="12"/>
      <c r="J187" s="12"/>
    </row>
    <row r="188" spans="1:10" x14ac:dyDescent="0.25">
      <c r="A188" s="5"/>
      <c r="B188" s="6" t="s">
        <v>317</v>
      </c>
      <c r="C188" s="5"/>
      <c r="D188" s="5"/>
      <c r="E188" s="5"/>
      <c r="F188" s="5"/>
      <c r="G188" s="13">
        <v>141442.32999999999</v>
      </c>
      <c r="H188" s="13">
        <v>17.55</v>
      </c>
      <c r="I188" s="5"/>
      <c r="J188" s="5"/>
    </row>
    <row r="189" spans="1:10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</row>
    <row r="190" spans="1:10" x14ac:dyDescent="0.25">
      <c r="A190" s="5"/>
      <c r="B190" s="6" t="s">
        <v>383</v>
      </c>
      <c r="C190" s="5"/>
      <c r="D190" s="5"/>
      <c r="E190" s="5"/>
      <c r="F190" s="5"/>
      <c r="G190" s="5"/>
      <c r="H190" s="5"/>
      <c r="I190" s="5"/>
      <c r="J190" s="5"/>
    </row>
    <row r="191" spans="1:10" x14ac:dyDescent="0.25">
      <c r="A191" s="5"/>
      <c r="B191" s="6" t="s">
        <v>384</v>
      </c>
      <c r="C191" s="5"/>
      <c r="D191" s="5"/>
      <c r="E191" s="5"/>
      <c r="F191" s="5"/>
      <c r="G191" s="5"/>
      <c r="H191" s="5"/>
      <c r="I191" s="5"/>
      <c r="J191" s="5"/>
    </row>
    <row r="192" spans="1:10" x14ac:dyDescent="0.25">
      <c r="A192" s="7" t="s">
        <v>17</v>
      </c>
      <c r="B192" s="8" t="s">
        <v>17</v>
      </c>
      <c r="C192" s="8" t="s">
        <v>17</v>
      </c>
      <c r="D192" s="8" t="s">
        <v>384</v>
      </c>
      <c r="E192" s="8" t="s">
        <v>17</v>
      </c>
      <c r="F192" s="9" t="s">
        <v>17</v>
      </c>
      <c r="G192" s="10">
        <v>6473.57</v>
      </c>
      <c r="H192" s="10">
        <v>0.8</v>
      </c>
      <c r="I192" s="11" t="s">
        <v>17</v>
      </c>
      <c r="J192" s="11" t="s">
        <v>17</v>
      </c>
    </row>
    <row r="193" spans="1:10" x14ac:dyDescent="0.25">
      <c r="A193" s="12"/>
      <c r="B193" s="6" t="s">
        <v>316</v>
      </c>
      <c r="C193" s="12"/>
      <c r="D193" s="12"/>
      <c r="E193" s="12"/>
      <c r="F193" s="12"/>
      <c r="G193" s="13">
        <v>6473.57</v>
      </c>
      <c r="H193" s="13">
        <v>0.8</v>
      </c>
      <c r="I193" s="12"/>
      <c r="J193" s="12"/>
    </row>
    <row r="194" spans="1:10" x14ac:dyDescent="0.25">
      <c r="A194" s="5"/>
      <c r="B194" s="6" t="s">
        <v>317</v>
      </c>
      <c r="C194" s="5"/>
      <c r="D194" s="5"/>
      <c r="E194" s="5"/>
      <c r="F194" s="5"/>
      <c r="G194" s="13">
        <v>6473.57</v>
      </c>
      <c r="H194" s="13">
        <v>0.8</v>
      </c>
      <c r="I194" s="5"/>
      <c r="J194" s="5"/>
    </row>
    <row r="195" spans="1:10" x14ac:dyDescent="0.25">
      <c r="A195" s="2"/>
      <c r="B195" s="14" t="s">
        <v>385</v>
      </c>
      <c r="C195" s="2"/>
      <c r="D195" s="2"/>
      <c r="E195" s="2"/>
      <c r="F195" s="2"/>
      <c r="G195" s="15">
        <v>806278.98000000033</v>
      </c>
      <c r="H195" s="15">
        <v>100.00000000000004</v>
      </c>
      <c r="I195" s="2"/>
      <c r="J195" s="2"/>
    </row>
    <row r="196" spans="1:10" x14ac:dyDescent="0.25">
      <c r="A196" s="2"/>
      <c r="B196" s="2"/>
      <c r="C196" s="2"/>
      <c r="D196" s="2"/>
      <c r="E196" s="2"/>
      <c r="F196" s="2"/>
      <c r="G196" s="2"/>
      <c r="H196" s="2"/>
    </row>
    <row r="197" spans="1:10" x14ac:dyDescent="0.25">
      <c r="A197" s="7" t="s">
        <v>15</v>
      </c>
      <c r="B197" s="16" t="s">
        <v>386</v>
      </c>
      <c r="C197" s="2"/>
      <c r="D197" s="2"/>
      <c r="E197" s="2"/>
      <c r="F197" s="2"/>
      <c r="G197" s="2"/>
      <c r="H197" s="2"/>
    </row>
    <row r="198" spans="1:10" x14ac:dyDescent="0.25">
      <c r="A198" s="17" t="s">
        <v>387</v>
      </c>
      <c r="B198" s="16" t="s">
        <v>388</v>
      </c>
      <c r="C198" s="2"/>
      <c r="D198" s="2"/>
      <c r="E198" s="2"/>
      <c r="F198" s="2"/>
      <c r="G198" s="2"/>
      <c r="H198" s="2"/>
    </row>
    <row r="199" spans="1:10" x14ac:dyDescent="0.25">
      <c r="A199" s="17" t="s">
        <v>389</v>
      </c>
      <c r="B199" s="16" t="s">
        <v>390</v>
      </c>
      <c r="C199" s="2"/>
      <c r="D199" s="2"/>
      <c r="E199" s="2"/>
      <c r="F199" s="2"/>
      <c r="G199" s="2"/>
      <c r="H199" s="2"/>
    </row>
    <row r="200" spans="1:10" x14ac:dyDescent="0.25">
      <c r="A200" s="17" t="s">
        <v>391</v>
      </c>
      <c r="B200" s="16" t="s">
        <v>392</v>
      </c>
      <c r="C200" s="2"/>
      <c r="D200" s="2"/>
      <c r="E200" s="2"/>
      <c r="F200" s="2"/>
      <c r="G200" s="2"/>
      <c r="H200" s="2"/>
    </row>
    <row r="201" spans="1:10" x14ac:dyDescent="0.25">
      <c r="A201" s="17" t="s">
        <v>393</v>
      </c>
      <c r="B201" s="16" t="s">
        <v>394</v>
      </c>
      <c r="C201" s="2"/>
      <c r="D201" s="2"/>
      <c r="E201" s="2"/>
      <c r="F201" s="2"/>
      <c r="G201" s="2"/>
      <c r="H201" s="2"/>
    </row>
    <row r="202" spans="1:10" x14ac:dyDescent="0.25">
      <c r="A202" s="2"/>
      <c r="B202" s="2"/>
      <c r="C202" s="2"/>
      <c r="D202" s="2"/>
      <c r="E202" s="2"/>
      <c r="F202" s="2"/>
      <c r="G202" s="2"/>
      <c r="H202" s="2"/>
    </row>
    <row r="203" spans="1:10" ht="15.75" x14ac:dyDescent="0.3">
      <c r="A203" s="2"/>
      <c r="B203" s="18" t="s">
        <v>395</v>
      </c>
      <c r="C203" s="2"/>
      <c r="D203" s="2"/>
      <c r="E203" s="2"/>
      <c r="F203" s="2"/>
      <c r="G203" s="2"/>
      <c r="H203" s="2"/>
    </row>
    <row r="204" spans="1:10" x14ac:dyDescent="0.25">
      <c r="A204" s="2"/>
      <c r="B204" s="2"/>
      <c r="C204" s="2"/>
      <c r="D204" s="2"/>
      <c r="E204" s="2"/>
      <c r="F204" s="2"/>
      <c r="G204" s="2"/>
      <c r="H204" s="2"/>
    </row>
    <row r="205" spans="1:10" x14ac:dyDescent="0.25">
      <c r="A205" s="2"/>
      <c r="B205" s="8" t="s">
        <v>396</v>
      </c>
      <c r="C205" s="2"/>
      <c r="D205" s="2"/>
      <c r="E205" s="2"/>
      <c r="F205" s="2"/>
      <c r="G205" s="2"/>
      <c r="H205" s="2"/>
    </row>
    <row r="206" spans="1:10" x14ac:dyDescent="0.25">
      <c r="A206" s="2"/>
      <c r="B206" s="2"/>
      <c r="C206" s="2"/>
      <c r="D206" s="2"/>
      <c r="E206" s="2"/>
      <c r="F206" s="2"/>
      <c r="G206" s="2"/>
      <c r="H206" s="2"/>
    </row>
    <row r="207" spans="1:10" x14ac:dyDescent="0.25">
      <c r="A207" s="2"/>
      <c r="B207" s="63" t="s">
        <v>397</v>
      </c>
      <c r="C207" s="64" t="s">
        <v>397</v>
      </c>
      <c r="D207" s="19" t="s">
        <v>398</v>
      </c>
      <c r="E207" s="20" t="s">
        <v>399</v>
      </c>
      <c r="F207" s="2"/>
      <c r="G207" s="2"/>
      <c r="H207" s="2"/>
    </row>
    <row r="208" spans="1:10" x14ac:dyDescent="0.25">
      <c r="A208" s="2"/>
      <c r="B208" s="65" t="s">
        <v>400</v>
      </c>
      <c r="C208" s="65" t="s">
        <v>400</v>
      </c>
      <c r="D208" s="21"/>
      <c r="E208" s="22"/>
      <c r="F208" s="2"/>
      <c r="G208" s="2"/>
      <c r="H208" s="2"/>
    </row>
    <row r="209" spans="1:8" ht="15.75" x14ac:dyDescent="0.3">
      <c r="A209" s="2"/>
      <c r="B209" s="58" t="s">
        <v>401</v>
      </c>
      <c r="C209" s="59" t="s">
        <v>401</v>
      </c>
      <c r="D209" s="23">
        <v>17.734467983167008</v>
      </c>
      <c r="E209" s="23">
        <v>17.391064770005418</v>
      </c>
      <c r="F209" s="2"/>
      <c r="G209" s="2"/>
      <c r="H209" s="2"/>
    </row>
    <row r="210" spans="1:8" ht="15.75" x14ac:dyDescent="0.3">
      <c r="A210" s="2"/>
      <c r="B210" s="58" t="s">
        <v>402</v>
      </c>
      <c r="C210" s="59" t="s">
        <v>402</v>
      </c>
      <c r="D210" s="23">
        <v>16.963823619116251</v>
      </c>
      <c r="E210" s="23">
        <v>16.635225465779321</v>
      </c>
      <c r="F210" s="2"/>
      <c r="G210" s="2"/>
      <c r="H210" s="2"/>
    </row>
    <row r="211" spans="1:8" ht="15.75" x14ac:dyDescent="0.3">
      <c r="A211" s="2"/>
      <c r="B211" s="58" t="s">
        <v>403</v>
      </c>
      <c r="C211" s="59" t="s">
        <v>403</v>
      </c>
      <c r="D211" s="23">
        <v>23.877779525034398</v>
      </c>
      <c r="E211" s="23">
        <v>23.415256159846532</v>
      </c>
      <c r="F211" s="2"/>
      <c r="G211" s="2"/>
      <c r="H211" s="2"/>
    </row>
    <row r="212" spans="1:8" x14ac:dyDescent="0.25">
      <c r="A212" s="2"/>
      <c r="B212" s="65" t="s">
        <v>404</v>
      </c>
      <c r="C212" s="65" t="s">
        <v>404</v>
      </c>
      <c r="D212" s="21"/>
      <c r="E212" s="22"/>
      <c r="F212" s="2"/>
      <c r="G212" s="2"/>
      <c r="H212" s="2"/>
    </row>
    <row r="213" spans="1:8" ht="15.75" x14ac:dyDescent="0.3">
      <c r="A213" s="2"/>
      <c r="B213" s="58" t="s">
        <v>405</v>
      </c>
      <c r="C213" s="59" t="s">
        <v>405</v>
      </c>
      <c r="D213" s="23">
        <v>18.963962891095616</v>
      </c>
      <c r="E213" s="23">
        <v>18.535824768569405</v>
      </c>
      <c r="F213" s="2"/>
      <c r="G213" s="2"/>
      <c r="H213" s="2"/>
    </row>
    <row r="214" spans="1:8" ht="15.75" x14ac:dyDescent="0.3">
      <c r="A214" s="2"/>
      <c r="B214" s="58" t="s">
        <v>406</v>
      </c>
      <c r="C214" s="59" t="s">
        <v>406</v>
      </c>
      <c r="D214" s="23">
        <v>25.024662569264283</v>
      </c>
      <c r="E214" s="23">
        <v>24.459688639714877</v>
      </c>
      <c r="F214" s="2"/>
      <c r="G214" s="2"/>
      <c r="H214" s="2"/>
    </row>
    <row r="215" spans="1:8" ht="15.75" x14ac:dyDescent="0.3">
      <c r="A215" s="2"/>
      <c r="B215" s="58" t="s">
        <v>407</v>
      </c>
      <c r="C215" s="59" t="s">
        <v>407</v>
      </c>
      <c r="D215" s="23">
        <v>10.556521400460367</v>
      </c>
      <c r="E215" s="23">
        <v>10.555002599889505</v>
      </c>
      <c r="F215" s="2"/>
      <c r="G215" s="2"/>
      <c r="H215" s="2"/>
    </row>
    <row r="216" spans="1:8" ht="15.75" x14ac:dyDescent="0.3">
      <c r="A216" s="2"/>
      <c r="B216" s="58" t="s">
        <v>408</v>
      </c>
      <c r="C216" s="59" t="s">
        <v>408</v>
      </c>
      <c r="D216" s="23">
        <v>10.852857948075995</v>
      </c>
      <c r="E216" s="23">
        <v>10.844463500303323</v>
      </c>
      <c r="F216" s="2"/>
      <c r="G216" s="2"/>
      <c r="H216" s="2"/>
    </row>
    <row r="217" spans="1:8" ht="15.75" x14ac:dyDescent="0.3">
      <c r="A217" s="2"/>
      <c r="B217" s="58" t="s">
        <v>409</v>
      </c>
      <c r="C217" s="59" t="s">
        <v>409</v>
      </c>
      <c r="D217" s="23">
        <v>15.787403994999316</v>
      </c>
      <c r="E217" s="23">
        <v>15.431027796089161</v>
      </c>
      <c r="F217" s="2"/>
      <c r="G217" s="2"/>
      <c r="H217" s="2"/>
    </row>
    <row r="218" spans="1:8" x14ac:dyDescent="0.25">
      <c r="A218" s="2"/>
      <c r="B218" s="65" t="s">
        <v>410</v>
      </c>
      <c r="C218" s="65" t="s">
        <v>410</v>
      </c>
      <c r="D218" s="21"/>
      <c r="E218" s="22"/>
      <c r="F218" s="2"/>
      <c r="G218" s="2"/>
      <c r="H218" s="2"/>
    </row>
    <row r="219" spans="1:8" ht="15.75" x14ac:dyDescent="0.3">
      <c r="A219" s="2"/>
      <c r="B219" s="58" t="s">
        <v>411</v>
      </c>
      <c r="C219" s="59" t="s">
        <v>411</v>
      </c>
      <c r="D219" s="23">
        <v>10.877379984747908</v>
      </c>
      <c r="E219" s="23">
        <v>10.898329208104689</v>
      </c>
      <c r="F219" s="2"/>
      <c r="G219" s="2"/>
      <c r="H219" s="2"/>
    </row>
    <row r="220" spans="1:8" ht="15.75" x14ac:dyDescent="0.3">
      <c r="A220" s="2"/>
      <c r="B220" s="58" t="s">
        <v>412</v>
      </c>
      <c r="C220" s="59" t="s">
        <v>412</v>
      </c>
      <c r="D220" s="23">
        <v>10.520565341734638</v>
      </c>
      <c r="E220" s="23">
        <v>10.508830326566091</v>
      </c>
      <c r="F220" s="2"/>
      <c r="G220" s="2"/>
      <c r="H220" s="2"/>
    </row>
    <row r="221" spans="1:8" ht="15.75" x14ac:dyDescent="0.3">
      <c r="A221" s="2"/>
      <c r="B221" s="58" t="s">
        <v>413</v>
      </c>
      <c r="C221" s="59" t="s">
        <v>413</v>
      </c>
      <c r="D221" s="23">
        <v>24.463195718179016</v>
      </c>
      <c r="E221" s="23">
        <v>23.977305419657821</v>
      </c>
      <c r="F221" s="2"/>
      <c r="G221" s="2"/>
      <c r="H221" s="2"/>
    </row>
    <row r="222" spans="1:8" x14ac:dyDescent="0.25">
      <c r="A222" s="2"/>
      <c r="B222" s="2"/>
      <c r="C222" s="2"/>
      <c r="D222" s="2"/>
      <c r="E222" s="2"/>
      <c r="F222" s="2"/>
      <c r="G222" s="2"/>
      <c r="H222" s="2"/>
    </row>
    <row r="223" spans="1:8" x14ac:dyDescent="0.25">
      <c r="A223" s="2"/>
      <c r="B223" s="8" t="s">
        <v>414</v>
      </c>
      <c r="C223" s="2"/>
      <c r="D223" s="2"/>
      <c r="E223" s="2"/>
      <c r="F223" s="2"/>
      <c r="G223" s="2"/>
      <c r="H223" s="2"/>
    </row>
    <row r="224" spans="1:8" x14ac:dyDescent="0.25">
      <c r="A224" s="2"/>
      <c r="B224" s="24" t="s">
        <v>17</v>
      </c>
      <c r="C224" s="25" t="s">
        <v>17</v>
      </c>
      <c r="D224" s="25" t="s">
        <v>17</v>
      </c>
      <c r="E224" s="66" t="s">
        <v>415</v>
      </c>
      <c r="F224" s="66" t="s">
        <v>415</v>
      </c>
      <c r="G224" s="2"/>
      <c r="H224" s="2"/>
    </row>
    <row r="225" spans="1:8" x14ac:dyDescent="0.25">
      <c r="A225" s="2"/>
      <c r="B225" s="26" t="s">
        <v>416</v>
      </c>
      <c r="C225" s="26" t="s">
        <v>417</v>
      </c>
      <c r="D225" s="26" t="s">
        <v>418</v>
      </c>
      <c r="E225" s="27" t="s">
        <v>419</v>
      </c>
      <c r="F225" s="27" t="s">
        <v>420</v>
      </c>
      <c r="G225" s="2"/>
      <c r="H225" s="2"/>
    </row>
    <row r="226" spans="1:8" x14ac:dyDescent="0.25">
      <c r="A226" s="2"/>
      <c r="B226" s="28" t="s">
        <v>421</v>
      </c>
      <c r="C226" s="29">
        <v>44308</v>
      </c>
      <c r="D226" s="28">
        <v>10.602</v>
      </c>
      <c r="E226" s="28">
        <v>0.04</v>
      </c>
      <c r="F226" s="28">
        <v>0.04</v>
      </c>
      <c r="G226" s="2"/>
      <c r="H226" s="2"/>
    </row>
    <row r="227" spans="1:8" x14ac:dyDescent="0.25">
      <c r="A227" s="2"/>
      <c r="B227" s="28" t="s">
        <v>421</v>
      </c>
      <c r="C227" s="29">
        <v>44336</v>
      </c>
      <c r="D227" s="28">
        <v>10.582000000000001</v>
      </c>
      <c r="E227" s="28">
        <v>0.04</v>
      </c>
      <c r="F227" s="28">
        <v>0.04</v>
      </c>
      <c r="G227" s="2"/>
      <c r="H227" s="2"/>
    </row>
    <row r="228" spans="1:8" x14ac:dyDescent="0.25">
      <c r="A228" s="2"/>
      <c r="B228" s="28" t="s">
        <v>421</v>
      </c>
      <c r="C228" s="29">
        <v>44364</v>
      </c>
      <c r="D228" s="28">
        <v>10.601000000000001</v>
      </c>
      <c r="E228" s="28">
        <v>0.04</v>
      </c>
      <c r="F228" s="28">
        <v>0.04</v>
      </c>
      <c r="G228" s="2"/>
      <c r="H228" s="2"/>
    </row>
    <row r="229" spans="1:8" x14ac:dyDescent="0.25">
      <c r="A229" s="2"/>
      <c r="B229" s="28" t="s">
        <v>421</v>
      </c>
      <c r="C229" s="29">
        <v>44399</v>
      </c>
      <c r="D229" s="28">
        <v>10.609</v>
      </c>
      <c r="E229" s="28">
        <v>0.04</v>
      </c>
      <c r="F229" s="28">
        <v>0.04</v>
      </c>
      <c r="G229" s="2"/>
      <c r="H229" s="2"/>
    </row>
    <row r="230" spans="1:8" x14ac:dyDescent="0.25">
      <c r="A230" s="2"/>
      <c r="B230" s="28" t="s">
        <v>421</v>
      </c>
      <c r="C230" s="29">
        <v>44428</v>
      </c>
      <c r="D230" s="28">
        <v>10.615</v>
      </c>
      <c r="E230" s="28">
        <v>0.04</v>
      </c>
      <c r="F230" s="28">
        <v>0.04</v>
      </c>
      <c r="G230" s="2"/>
      <c r="H230" s="2"/>
    </row>
    <row r="231" spans="1:8" x14ac:dyDescent="0.25">
      <c r="A231" s="2"/>
      <c r="B231" s="28" t="s">
        <v>421</v>
      </c>
      <c r="C231" s="29">
        <v>44462</v>
      </c>
      <c r="D231" s="28">
        <v>10.587999999999999</v>
      </c>
      <c r="E231" s="28">
        <v>0.04</v>
      </c>
      <c r="F231" s="28">
        <v>0.04</v>
      </c>
      <c r="G231" s="2"/>
      <c r="H231" s="2"/>
    </row>
    <row r="232" spans="1:8" x14ac:dyDescent="0.25">
      <c r="A232" s="2"/>
      <c r="B232" s="28" t="s">
        <v>422</v>
      </c>
      <c r="C232" s="29">
        <v>44308</v>
      </c>
      <c r="D232" s="28">
        <v>10.943</v>
      </c>
      <c r="E232" s="28">
        <v>0.04</v>
      </c>
      <c r="F232" s="28">
        <v>0.04</v>
      </c>
      <c r="G232" s="2"/>
      <c r="H232" s="2"/>
    </row>
    <row r="233" spans="1:8" x14ac:dyDescent="0.25">
      <c r="A233" s="2"/>
      <c r="B233" s="28" t="s">
        <v>422</v>
      </c>
      <c r="C233" s="29">
        <v>44336</v>
      </c>
      <c r="D233" s="28">
        <v>10.919</v>
      </c>
      <c r="E233" s="28">
        <v>0.04</v>
      </c>
      <c r="F233" s="28">
        <v>0.04</v>
      </c>
      <c r="G233" s="2"/>
      <c r="H233" s="2"/>
    </row>
    <row r="234" spans="1:8" x14ac:dyDescent="0.25">
      <c r="A234" s="2"/>
      <c r="B234" s="28" t="s">
        <v>422</v>
      </c>
      <c r="C234" s="29">
        <v>44364</v>
      </c>
      <c r="D234" s="28">
        <v>10.936</v>
      </c>
      <c r="E234" s="28">
        <v>0.04</v>
      </c>
      <c r="F234" s="28">
        <v>0.04</v>
      </c>
      <c r="G234" s="2"/>
      <c r="H234" s="2"/>
    </row>
    <row r="235" spans="1:8" x14ac:dyDescent="0.25">
      <c r="A235" s="2"/>
      <c r="B235" s="28" t="s">
        <v>422</v>
      </c>
      <c r="C235" s="29">
        <v>44399</v>
      </c>
      <c r="D235" s="28">
        <v>10.939</v>
      </c>
      <c r="E235" s="28">
        <v>0.04</v>
      </c>
      <c r="F235" s="28">
        <v>0.04</v>
      </c>
      <c r="G235" s="2"/>
      <c r="H235" s="2"/>
    </row>
    <row r="236" spans="1:8" x14ac:dyDescent="0.25">
      <c r="A236" s="2"/>
      <c r="B236" s="28" t="s">
        <v>422</v>
      </c>
      <c r="C236" s="29">
        <v>44428</v>
      </c>
      <c r="D236" s="28">
        <v>10.941000000000001</v>
      </c>
      <c r="E236" s="28">
        <v>0.04</v>
      </c>
      <c r="F236" s="28">
        <v>0.04</v>
      </c>
      <c r="G236" s="2"/>
      <c r="H236" s="2"/>
    </row>
    <row r="237" spans="1:8" x14ac:dyDescent="0.25">
      <c r="A237" s="2"/>
      <c r="B237" s="28" t="s">
        <v>422</v>
      </c>
      <c r="C237" s="29">
        <v>44462</v>
      </c>
      <c r="D237" s="28">
        <v>10.909000000000001</v>
      </c>
      <c r="E237" s="28">
        <v>0.04</v>
      </c>
      <c r="F237" s="28">
        <v>0.04</v>
      </c>
      <c r="G237" s="2"/>
      <c r="H237" s="2"/>
    </row>
    <row r="238" spans="1:8" x14ac:dyDescent="0.25">
      <c r="A238" s="2"/>
      <c r="B238" s="28" t="s">
        <v>423</v>
      </c>
      <c r="C238" s="29">
        <v>44308</v>
      </c>
      <c r="D238" s="28">
        <v>10.552</v>
      </c>
      <c r="E238" s="28">
        <v>0.04</v>
      </c>
      <c r="F238" s="28">
        <v>0.04</v>
      </c>
      <c r="G238" s="2"/>
      <c r="H238" s="2"/>
    </row>
    <row r="239" spans="1:8" x14ac:dyDescent="0.25">
      <c r="A239" s="2"/>
      <c r="B239" s="28" t="s">
        <v>423</v>
      </c>
      <c r="C239" s="29">
        <v>44364</v>
      </c>
      <c r="D239" s="28">
        <v>10.582000000000001</v>
      </c>
      <c r="E239" s="28">
        <v>0.04</v>
      </c>
      <c r="F239" s="28">
        <v>0.04</v>
      </c>
      <c r="G239" s="2"/>
      <c r="H239" s="2"/>
    </row>
    <row r="240" spans="1:8" x14ac:dyDescent="0.25">
      <c r="A240" s="2"/>
      <c r="B240" s="28" t="s">
        <v>423</v>
      </c>
      <c r="C240" s="29">
        <v>44399</v>
      </c>
      <c r="D240" s="28">
        <v>10.584</v>
      </c>
      <c r="E240" s="28">
        <v>0.04</v>
      </c>
      <c r="F240" s="28">
        <v>0.04</v>
      </c>
      <c r="G240" s="2"/>
      <c r="H240" s="2"/>
    </row>
    <row r="241" spans="1:8" x14ac:dyDescent="0.25">
      <c r="A241" s="2"/>
      <c r="B241" s="28" t="s">
        <v>423</v>
      </c>
      <c r="C241" s="29">
        <v>44428</v>
      </c>
      <c r="D241" s="28">
        <v>10.585000000000001</v>
      </c>
      <c r="E241" s="28">
        <v>0.04</v>
      </c>
      <c r="F241" s="28">
        <v>0.04</v>
      </c>
      <c r="G241" s="2"/>
      <c r="H241" s="2"/>
    </row>
    <row r="242" spans="1:8" x14ac:dyDescent="0.25">
      <c r="A242" s="2"/>
      <c r="B242" s="28" t="s">
        <v>423</v>
      </c>
      <c r="C242" s="29">
        <v>44462</v>
      </c>
      <c r="D242" s="28">
        <v>10.553000000000001</v>
      </c>
      <c r="E242" s="28">
        <v>0.04</v>
      </c>
      <c r="F242" s="28">
        <v>0.04</v>
      </c>
      <c r="G242" s="2"/>
      <c r="H242" s="2"/>
    </row>
    <row r="243" spans="1:8" x14ac:dyDescent="0.25">
      <c r="A243" s="2"/>
      <c r="B243" s="28" t="s">
        <v>424</v>
      </c>
      <c r="C243" s="29">
        <v>44308</v>
      </c>
      <c r="D243" s="28">
        <v>10.891999999999999</v>
      </c>
      <c r="E243" s="28">
        <v>0.04</v>
      </c>
      <c r="F243" s="28">
        <v>0.04</v>
      </c>
      <c r="G243" s="2"/>
      <c r="H243" s="2"/>
    </row>
    <row r="244" spans="1:8" x14ac:dyDescent="0.25">
      <c r="A244" s="2"/>
      <c r="B244" s="28" t="s">
        <v>424</v>
      </c>
      <c r="C244" s="29">
        <v>44336</v>
      </c>
      <c r="D244" s="28">
        <v>10.874000000000001</v>
      </c>
      <c r="E244" s="28">
        <v>0.04</v>
      </c>
      <c r="F244" s="28">
        <v>0.04</v>
      </c>
      <c r="G244" s="2"/>
      <c r="H244" s="2"/>
    </row>
    <row r="245" spans="1:8" x14ac:dyDescent="0.25">
      <c r="A245" s="2"/>
      <c r="B245" s="28" t="s">
        <v>424</v>
      </c>
      <c r="C245" s="29">
        <v>44364</v>
      </c>
      <c r="D245" s="28">
        <v>10.894</v>
      </c>
      <c r="E245" s="28">
        <v>0.04</v>
      </c>
      <c r="F245" s="28">
        <v>0.04</v>
      </c>
      <c r="G245" s="2"/>
      <c r="H245" s="2"/>
    </row>
    <row r="246" spans="1:8" x14ac:dyDescent="0.25">
      <c r="A246" s="2"/>
      <c r="B246" s="28" t="s">
        <v>424</v>
      </c>
      <c r="C246" s="29">
        <v>44399</v>
      </c>
      <c r="D246" s="28">
        <v>10.903</v>
      </c>
      <c r="E246" s="28">
        <v>0.04</v>
      </c>
      <c r="F246" s="28">
        <v>0.04</v>
      </c>
      <c r="G246" s="2"/>
      <c r="H246" s="2"/>
    </row>
    <row r="247" spans="1:8" x14ac:dyDescent="0.25">
      <c r="A247" s="2"/>
      <c r="B247" s="28" t="s">
        <v>424</v>
      </c>
      <c r="C247" s="29">
        <v>44428</v>
      </c>
      <c r="D247" s="28">
        <v>10.91</v>
      </c>
      <c r="E247" s="28">
        <v>0.04</v>
      </c>
      <c r="F247" s="28">
        <v>0.04</v>
      </c>
      <c r="G247" s="2"/>
      <c r="H247" s="2"/>
    </row>
    <row r="248" spans="1:8" x14ac:dyDescent="0.25">
      <c r="A248" s="2"/>
      <c r="B248" s="28" t="s">
        <v>424</v>
      </c>
      <c r="C248" s="29">
        <v>44462</v>
      </c>
      <c r="D248" s="28">
        <v>10.884</v>
      </c>
      <c r="E248" s="28">
        <v>0.04</v>
      </c>
      <c r="F248" s="28">
        <v>0.04</v>
      </c>
      <c r="G248" s="2"/>
      <c r="H248" s="2"/>
    </row>
    <row r="249" spans="1:8" x14ac:dyDescent="0.25">
      <c r="A249" s="2"/>
      <c r="B249" s="2"/>
      <c r="C249" s="2"/>
      <c r="D249" s="2"/>
      <c r="E249" s="2"/>
      <c r="F249" s="2"/>
      <c r="G249" s="2"/>
      <c r="H249" s="2"/>
    </row>
    <row r="250" spans="1:8" x14ac:dyDescent="0.25">
      <c r="A250" s="2"/>
      <c r="B250" s="8" t="s">
        <v>425</v>
      </c>
      <c r="C250" s="2"/>
      <c r="D250" s="2"/>
      <c r="E250" s="2"/>
      <c r="F250" s="2"/>
      <c r="G250" s="2"/>
      <c r="H250" s="2"/>
    </row>
    <row r="251" spans="1:8" x14ac:dyDescent="0.25">
      <c r="A251" s="2"/>
      <c r="B251" s="8" t="s">
        <v>426</v>
      </c>
      <c r="C251" s="2"/>
      <c r="D251" s="2"/>
      <c r="E251" s="2"/>
      <c r="F251" s="2"/>
      <c r="G251" s="2"/>
      <c r="H251" s="2"/>
    </row>
    <row r="252" spans="1:8" x14ac:dyDescent="0.25">
      <c r="A252" s="2"/>
      <c r="B252" s="8" t="s">
        <v>427</v>
      </c>
      <c r="C252" s="2"/>
      <c r="D252" s="2"/>
      <c r="E252" s="2"/>
      <c r="F252" s="2"/>
      <c r="G252" s="2"/>
      <c r="H252" s="2"/>
    </row>
    <row r="253" spans="1:8" x14ac:dyDescent="0.25">
      <c r="A253" s="2"/>
      <c r="B253" s="8" t="s">
        <v>428</v>
      </c>
      <c r="C253" s="2"/>
      <c r="D253" s="2"/>
      <c r="E253" s="2"/>
      <c r="F253" s="2"/>
      <c r="G253" s="2"/>
      <c r="H253" s="2"/>
    </row>
    <row r="254" spans="1:8" x14ac:dyDescent="0.25">
      <c r="A254" s="2"/>
      <c r="B254" s="8" t="s">
        <v>429</v>
      </c>
      <c r="C254" s="2"/>
      <c r="D254" s="2"/>
      <c r="E254" s="2"/>
      <c r="F254" s="2"/>
      <c r="G254" s="2"/>
      <c r="H254" s="2"/>
    </row>
    <row r="255" spans="1:8" x14ac:dyDescent="0.25">
      <c r="A255" s="2"/>
      <c r="B255" s="8" t="s">
        <v>430</v>
      </c>
      <c r="C255" s="2"/>
      <c r="D255" s="2"/>
      <c r="E255" s="2"/>
      <c r="F255" s="2"/>
      <c r="G255" s="2"/>
      <c r="H255" s="2"/>
    </row>
    <row r="256" spans="1:8" x14ac:dyDescent="0.25">
      <c r="A256" s="2"/>
      <c r="B256" s="8" t="s">
        <v>431</v>
      </c>
      <c r="C256" s="2"/>
      <c r="D256" s="2"/>
      <c r="E256" s="2"/>
      <c r="F256" s="2"/>
      <c r="G256" s="2"/>
      <c r="H256" s="2"/>
    </row>
    <row r="257" spans="1:8" x14ac:dyDescent="0.25">
      <c r="A257" s="2"/>
      <c r="B257" s="8" t="s">
        <v>432</v>
      </c>
      <c r="C257" s="2"/>
      <c r="D257" s="2"/>
      <c r="E257" s="2"/>
      <c r="F257" s="2"/>
      <c r="G257" s="2"/>
      <c r="H257" s="2"/>
    </row>
    <row r="258" spans="1:8" x14ac:dyDescent="0.25">
      <c r="A258" s="2"/>
      <c r="B258" s="8" t="s">
        <v>433</v>
      </c>
      <c r="C258" s="2"/>
      <c r="D258" s="2"/>
      <c r="E258" s="2"/>
      <c r="F258" s="2"/>
      <c r="G258" s="2"/>
      <c r="H258" s="2"/>
    </row>
    <row r="260" spans="1:8" x14ac:dyDescent="0.25">
      <c r="B260" s="30" t="s">
        <v>434</v>
      </c>
    </row>
    <row r="276" spans="2:2" x14ac:dyDescent="0.25">
      <c r="B276" s="30" t="s">
        <v>435</v>
      </c>
    </row>
  </sheetData>
  <mergeCells count="19">
    <mergeCell ref="E224:F224"/>
    <mergeCell ref="B216:C216"/>
    <mergeCell ref="B217:C217"/>
    <mergeCell ref="B218:C218"/>
    <mergeCell ref="B219:C219"/>
    <mergeCell ref="B220:C220"/>
    <mergeCell ref="B221:C221"/>
    <mergeCell ref="B215:C215"/>
    <mergeCell ref="A1:J1"/>
    <mergeCell ref="A2:J2"/>
    <mergeCell ref="A3:J3"/>
    <mergeCell ref="B207:C207"/>
    <mergeCell ref="B208:C208"/>
    <mergeCell ref="B209:C209"/>
    <mergeCell ref="B210:C210"/>
    <mergeCell ref="B211:C211"/>
    <mergeCell ref="B212:C212"/>
    <mergeCell ref="B213:C213"/>
    <mergeCell ref="B214:C214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V156"/>
  <sheetViews>
    <sheetView workbookViewId="0"/>
  </sheetViews>
  <sheetFormatPr defaultRowHeight="12.75" x14ac:dyDescent="0.2"/>
  <cols>
    <col min="1" max="1" width="46.5703125" style="57" customWidth="1"/>
    <col min="2" max="2" width="42.42578125" style="57" customWidth="1"/>
    <col min="3" max="3" width="22.7109375" style="57" customWidth="1"/>
    <col min="4" max="4" width="15.85546875" style="57" customWidth="1"/>
    <col min="5" max="5" width="16.140625" style="57" customWidth="1"/>
    <col min="6" max="6" width="13.7109375" style="57" customWidth="1"/>
    <col min="7" max="7" width="21.7109375" style="57" customWidth="1"/>
    <col min="8" max="8" width="38.5703125" style="57" hidden="1" customWidth="1"/>
    <col min="9" max="9" width="9.140625" style="57" hidden="1" customWidth="1"/>
    <col min="10" max="10" width="11.7109375" style="57" hidden="1" customWidth="1"/>
    <col min="11" max="11" width="12.7109375" style="57" customWidth="1"/>
    <col min="12" max="12" width="27.28515625" style="57" customWidth="1"/>
    <col min="13" max="14" width="9.140625" style="57" customWidth="1"/>
    <col min="15" max="15" width="10.7109375" style="57" customWidth="1"/>
    <col min="16" max="16" width="40.7109375" style="57" bestFit="1" customWidth="1"/>
    <col min="17" max="17" width="12.28515625" style="57" bestFit="1" customWidth="1"/>
    <col min="18" max="18" width="12.42578125" style="57" bestFit="1" customWidth="1"/>
    <col min="19" max="19" width="11.7109375" style="57" bestFit="1" customWidth="1"/>
    <col min="20" max="20" width="16.140625" style="57" bestFit="1" customWidth="1"/>
    <col min="21" max="21" width="9.5703125" style="57" bestFit="1" customWidth="1"/>
    <col min="22" max="22" width="14" style="57" bestFit="1" customWidth="1"/>
    <col min="23" max="256" width="9.140625" style="57"/>
    <col min="257" max="257" width="46.5703125" style="57" customWidth="1"/>
    <col min="258" max="258" width="32.42578125" style="57" customWidth="1"/>
    <col min="259" max="259" width="22.7109375" style="57" customWidth="1"/>
    <col min="260" max="260" width="15.85546875" style="57" customWidth="1"/>
    <col min="261" max="261" width="16.140625" style="57" customWidth="1"/>
    <col min="262" max="262" width="13.7109375" style="57" customWidth="1"/>
    <col min="263" max="270" width="0" style="57" hidden="1" customWidth="1"/>
    <col min="271" max="271" width="10.7109375" style="57" customWidth="1"/>
    <col min="272" max="512" width="9.140625" style="57"/>
    <col min="513" max="513" width="46.5703125" style="57" customWidth="1"/>
    <col min="514" max="514" width="32.42578125" style="57" customWidth="1"/>
    <col min="515" max="515" width="22.7109375" style="57" customWidth="1"/>
    <col min="516" max="516" width="15.85546875" style="57" customWidth="1"/>
    <col min="517" max="517" width="16.140625" style="57" customWidth="1"/>
    <col min="518" max="518" width="13.7109375" style="57" customWidth="1"/>
    <col min="519" max="526" width="0" style="57" hidden="1" customWidth="1"/>
    <col min="527" max="527" width="10.7109375" style="57" customWidth="1"/>
    <col min="528" max="768" width="9.140625" style="57"/>
    <col min="769" max="769" width="46.5703125" style="57" customWidth="1"/>
    <col min="770" max="770" width="32.42578125" style="57" customWidth="1"/>
    <col min="771" max="771" width="22.7109375" style="57" customWidth="1"/>
    <col min="772" max="772" width="15.85546875" style="57" customWidth="1"/>
    <col min="773" max="773" width="16.140625" style="57" customWidth="1"/>
    <col min="774" max="774" width="13.7109375" style="57" customWidth="1"/>
    <col min="775" max="782" width="0" style="57" hidden="1" customWidth="1"/>
    <col min="783" max="783" width="10.7109375" style="57" customWidth="1"/>
    <col min="784" max="1024" width="9.140625" style="57"/>
    <col min="1025" max="1025" width="46.5703125" style="57" customWidth="1"/>
    <col min="1026" max="1026" width="32.42578125" style="57" customWidth="1"/>
    <col min="1027" max="1027" width="22.7109375" style="57" customWidth="1"/>
    <col min="1028" max="1028" width="15.85546875" style="57" customWidth="1"/>
    <col min="1029" max="1029" width="16.140625" style="57" customWidth="1"/>
    <col min="1030" max="1030" width="13.7109375" style="57" customWidth="1"/>
    <col min="1031" max="1038" width="0" style="57" hidden="1" customWidth="1"/>
    <col min="1039" max="1039" width="10.7109375" style="57" customWidth="1"/>
    <col min="1040" max="1280" width="9.140625" style="57"/>
    <col min="1281" max="1281" width="46.5703125" style="57" customWidth="1"/>
    <col min="1282" max="1282" width="32.42578125" style="57" customWidth="1"/>
    <col min="1283" max="1283" width="22.7109375" style="57" customWidth="1"/>
    <col min="1284" max="1284" width="15.85546875" style="57" customWidth="1"/>
    <col min="1285" max="1285" width="16.140625" style="57" customWidth="1"/>
    <col min="1286" max="1286" width="13.7109375" style="57" customWidth="1"/>
    <col min="1287" max="1294" width="0" style="57" hidden="1" customWidth="1"/>
    <col min="1295" max="1295" width="10.7109375" style="57" customWidth="1"/>
    <col min="1296" max="1536" width="9.140625" style="57"/>
    <col min="1537" max="1537" width="46.5703125" style="57" customWidth="1"/>
    <col min="1538" max="1538" width="32.42578125" style="57" customWidth="1"/>
    <col min="1539" max="1539" width="22.7109375" style="57" customWidth="1"/>
    <col min="1540" max="1540" width="15.85546875" style="57" customWidth="1"/>
    <col min="1541" max="1541" width="16.140625" style="57" customWidth="1"/>
    <col min="1542" max="1542" width="13.7109375" style="57" customWidth="1"/>
    <col min="1543" max="1550" width="0" style="57" hidden="1" customWidth="1"/>
    <col min="1551" max="1551" width="10.7109375" style="57" customWidth="1"/>
    <col min="1552" max="1792" width="9.140625" style="57"/>
    <col min="1793" max="1793" width="46.5703125" style="57" customWidth="1"/>
    <col min="1794" max="1794" width="32.42578125" style="57" customWidth="1"/>
    <col min="1795" max="1795" width="22.7109375" style="57" customWidth="1"/>
    <col min="1796" max="1796" width="15.85546875" style="57" customWidth="1"/>
    <col min="1797" max="1797" width="16.140625" style="57" customWidth="1"/>
    <col min="1798" max="1798" width="13.7109375" style="57" customWidth="1"/>
    <col min="1799" max="1806" width="0" style="57" hidden="1" customWidth="1"/>
    <col min="1807" max="1807" width="10.7109375" style="57" customWidth="1"/>
    <col min="1808" max="2048" width="9.140625" style="57"/>
    <col min="2049" max="2049" width="46.5703125" style="57" customWidth="1"/>
    <col min="2050" max="2050" width="32.42578125" style="57" customWidth="1"/>
    <col min="2051" max="2051" width="22.7109375" style="57" customWidth="1"/>
    <col min="2052" max="2052" width="15.85546875" style="57" customWidth="1"/>
    <col min="2053" max="2053" width="16.140625" style="57" customWidth="1"/>
    <col min="2054" max="2054" width="13.7109375" style="57" customWidth="1"/>
    <col min="2055" max="2062" width="0" style="57" hidden="1" customWidth="1"/>
    <col min="2063" max="2063" width="10.7109375" style="57" customWidth="1"/>
    <col min="2064" max="2304" width="9.140625" style="57"/>
    <col min="2305" max="2305" width="46.5703125" style="57" customWidth="1"/>
    <col min="2306" max="2306" width="32.42578125" style="57" customWidth="1"/>
    <col min="2307" max="2307" width="22.7109375" style="57" customWidth="1"/>
    <col min="2308" max="2308" width="15.85546875" style="57" customWidth="1"/>
    <col min="2309" max="2309" width="16.140625" style="57" customWidth="1"/>
    <col min="2310" max="2310" width="13.7109375" style="57" customWidth="1"/>
    <col min="2311" max="2318" width="0" style="57" hidden="1" customWidth="1"/>
    <col min="2319" max="2319" width="10.7109375" style="57" customWidth="1"/>
    <col min="2320" max="2560" width="9.140625" style="57"/>
    <col min="2561" max="2561" width="46.5703125" style="57" customWidth="1"/>
    <col min="2562" max="2562" width="32.42578125" style="57" customWidth="1"/>
    <col min="2563" max="2563" width="22.7109375" style="57" customWidth="1"/>
    <col min="2564" max="2564" width="15.85546875" style="57" customWidth="1"/>
    <col min="2565" max="2565" width="16.140625" style="57" customWidth="1"/>
    <col min="2566" max="2566" width="13.7109375" style="57" customWidth="1"/>
    <col min="2567" max="2574" width="0" style="57" hidden="1" customWidth="1"/>
    <col min="2575" max="2575" width="10.7109375" style="57" customWidth="1"/>
    <col min="2576" max="2816" width="9.140625" style="57"/>
    <col min="2817" max="2817" width="46.5703125" style="57" customWidth="1"/>
    <col min="2818" max="2818" width="32.42578125" style="57" customWidth="1"/>
    <col min="2819" max="2819" width="22.7109375" style="57" customWidth="1"/>
    <col min="2820" max="2820" width="15.85546875" style="57" customWidth="1"/>
    <col min="2821" max="2821" width="16.140625" style="57" customWidth="1"/>
    <col min="2822" max="2822" width="13.7109375" style="57" customWidth="1"/>
    <col min="2823" max="2830" width="0" style="57" hidden="1" customWidth="1"/>
    <col min="2831" max="2831" width="10.7109375" style="57" customWidth="1"/>
    <col min="2832" max="3072" width="9.140625" style="57"/>
    <col min="3073" max="3073" width="46.5703125" style="57" customWidth="1"/>
    <col min="3074" max="3074" width="32.42578125" style="57" customWidth="1"/>
    <col min="3075" max="3075" width="22.7109375" style="57" customWidth="1"/>
    <col min="3076" max="3076" width="15.85546875" style="57" customWidth="1"/>
    <col min="3077" max="3077" width="16.140625" style="57" customWidth="1"/>
    <col min="3078" max="3078" width="13.7109375" style="57" customWidth="1"/>
    <col min="3079" max="3086" width="0" style="57" hidden="1" customWidth="1"/>
    <col min="3087" max="3087" width="10.7109375" style="57" customWidth="1"/>
    <col min="3088" max="3328" width="9.140625" style="57"/>
    <col min="3329" max="3329" width="46.5703125" style="57" customWidth="1"/>
    <col min="3330" max="3330" width="32.42578125" style="57" customWidth="1"/>
    <col min="3331" max="3331" width="22.7109375" style="57" customWidth="1"/>
    <col min="3332" max="3332" width="15.85546875" style="57" customWidth="1"/>
    <col min="3333" max="3333" width="16.140625" style="57" customWidth="1"/>
    <col min="3334" max="3334" width="13.7109375" style="57" customWidth="1"/>
    <col min="3335" max="3342" width="0" style="57" hidden="1" customWidth="1"/>
    <col min="3343" max="3343" width="10.7109375" style="57" customWidth="1"/>
    <col min="3344" max="3584" width="9.140625" style="57"/>
    <col min="3585" max="3585" width="46.5703125" style="57" customWidth="1"/>
    <col min="3586" max="3586" width="32.42578125" style="57" customWidth="1"/>
    <col min="3587" max="3587" width="22.7109375" style="57" customWidth="1"/>
    <col min="3588" max="3588" width="15.85546875" style="57" customWidth="1"/>
    <col min="3589" max="3589" width="16.140625" style="57" customWidth="1"/>
    <col min="3590" max="3590" width="13.7109375" style="57" customWidth="1"/>
    <col min="3591" max="3598" width="0" style="57" hidden="1" customWidth="1"/>
    <col min="3599" max="3599" width="10.7109375" style="57" customWidth="1"/>
    <col min="3600" max="3840" width="9.140625" style="57"/>
    <col min="3841" max="3841" width="46.5703125" style="57" customWidth="1"/>
    <col min="3842" max="3842" width="32.42578125" style="57" customWidth="1"/>
    <col min="3843" max="3843" width="22.7109375" style="57" customWidth="1"/>
    <col min="3844" max="3844" width="15.85546875" style="57" customWidth="1"/>
    <col min="3845" max="3845" width="16.140625" style="57" customWidth="1"/>
    <col min="3846" max="3846" width="13.7109375" style="57" customWidth="1"/>
    <col min="3847" max="3854" width="0" style="57" hidden="1" customWidth="1"/>
    <col min="3855" max="3855" width="10.7109375" style="57" customWidth="1"/>
    <col min="3856" max="4096" width="9.140625" style="57"/>
    <col min="4097" max="4097" width="46.5703125" style="57" customWidth="1"/>
    <col min="4098" max="4098" width="32.42578125" style="57" customWidth="1"/>
    <col min="4099" max="4099" width="22.7109375" style="57" customWidth="1"/>
    <col min="4100" max="4100" width="15.85546875" style="57" customWidth="1"/>
    <col min="4101" max="4101" width="16.140625" style="57" customWidth="1"/>
    <col min="4102" max="4102" width="13.7109375" style="57" customWidth="1"/>
    <col min="4103" max="4110" width="0" style="57" hidden="1" customWidth="1"/>
    <col min="4111" max="4111" width="10.7109375" style="57" customWidth="1"/>
    <col min="4112" max="4352" width="9.140625" style="57"/>
    <col min="4353" max="4353" width="46.5703125" style="57" customWidth="1"/>
    <col min="4354" max="4354" width="32.42578125" style="57" customWidth="1"/>
    <col min="4355" max="4355" width="22.7109375" style="57" customWidth="1"/>
    <col min="4356" max="4356" width="15.85546875" style="57" customWidth="1"/>
    <col min="4357" max="4357" width="16.140625" style="57" customWidth="1"/>
    <col min="4358" max="4358" width="13.7109375" style="57" customWidth="1"/>
    <col min="4359" max="4366" width="0" style="57" hidden="1" customWidth="1"/>
    <col min="4367" max="4367" width="10.7109375" style="57" customWidth="1"/>
    <col min="4368" max="4608" width="9.140625" style="57"/>
    <col min="4609" max="4609" width="46.5703125" style="57" customWidth="1"/>
    <col min="4610" max="4610" width="32.42578125" style="57" customWidth="1"/>
    <col min="4611" max="4611" width="22.7109375" style="57" customWidth="1"/>
    <col min="4612" max="4612" width="15.85546875" style="57" customWidth="1"/>
    <col min="4613" max="4613" width="16.140625" style="57" customWidth="1"/>
    <col min="4614" max="4614" width="13.7109375" style="57" customWidth="1"/>
    <col min="4615" max="4622" width="0" style="57" hidden="1" customWidth="1"/>
    <col min="4623" max="4623" width="10.7109375" style="57" customWidth="1"/>
    <col min="4624" max="4864" width="9.140625" style="57"/>
    <col min="4865" max="4865" width="46.5703125" style="57" customWidth="1"/>
    <col min="4866" max="4866" width="32.42578125" style="57" customWidth="1"/>
    <col min="4867" max="4867" width="22.7109375" style="57" customWidth="1"/>
    <col min="4868" max="4868" width="15.85546875" style="57" customWidth="1"/>
    <col min="4869" max="4869" width="16.140625" style="57" customWidth="1"/>
    <col min="4870" max="4870" width="13.7109375" style="57" customWidth="1"/>
    <col min="4871" max="4878" width="0" style="57" hidden="1" customWidth="1"/>
    <col min="4879" max="4879" width="10.7109375" style="57" customWidth="1"/>
    <col min="4880" max="5120" width="9.140625" style="57"/>
    <col min="5121" max="5121" width="46.5703125" style="57" customWidth="1"/>
    <col min="5122" max="5122" width="32.42578125" style="57" customWidth="1"/>
    <col min="5123" max="5123" width="22.7109375" style="57" customWidth="1"/>
    <col min="5124" max="5124" width="15.85546875" style="57" customWidth="1"/>
    <col min="5125" max="5125" width="16.140625" style="57" customWidth="1"/>
    <col min="5126" max="5126" width="13.7109375" style="57" customWidth="1"/>
    <col min="5127" max="5134" width="0" style="57" hidden="1" customWidth="1"/>
    <col min="5135" max="5135" width="10.7109375" style="57" customWidth="1"/>
    <col min="5136" max="5376" width="9.140625" style="57"/>
    <col min="5377" max="5377" width="46.5703125" style="57" customWidth="1"/>
    <col min="5378" max="5378" width="32.42578125" style="57" customWidth="1"/>
    <col min="5379" max="5379" width="22.7109375" style="57" customWidth="1"/>
    <col min="5380" max="5380" width="15.85546875" style="57" customWidth="1"/>
    <col min="5381" max="5381" width="16.140625" style="57" customWidth="1"/>
    <col min="5382" max="5382" width="13.7109375" style="57" customWidth="1"/>
    <col min="5383" max="5390" width="0" style="57" hidden="1" customWidth="1"/>
    <col min="5391" max="5391" width="10.7109375" style="57" customWidth="1"/>
    <col min="5392" max="5632" width="9.140625" style="57"/>
    <col min="5633" max="5633" width="46.5703125" style="57" customWidth="1"/>
    <col min="5634" max="5634" width="32.42578125" style="57" customWidth="1"/>
    <col min="5635" max="5635" width="22.7109375" style="57" customWidth="1"/>
    <col min="5636" max="5636" width="15.85546875" style="57" customWidth="1"/>
    <col min="5637" max="5637" width="16.140625" style="57" customWidth="1"/>
    <col min="5638" max="5638" width="13.7109375" style="57" customWidth="1"/>
    <col min="5639" max="5646" width="0" style="57" hidden="1" customWidth="1"/>
    <col min="5647" max="5647" width="10.7109375" style="57" customWidth="1"/>
    <col min="5648" max="5888" width="9.140625" style="57"/>
    <col min="5889" max="5889" width="46.5703125" style="57" customWidth="1"/>
    <col min="5890" max="5890" width="32.42578125" style="57" customWidth="1"/>
    <col min="5891" max="5891" width="22.7109375" style="57" customWidth="1"/>
    <col min="5892" max="5892" width="15.85546875" style="57" customWidth="1"/>
    <col min="5893" max="5893" width="16.140625" style="57" customWidth="1"/>
    <col min="5894" max="5894" width="13.7109375" style="57" customWidth="1"/>
    <col min="5895" max="5902" width="0" style="57" hidden="1" customWidth="1"/>
    <col min="5903" max="5903" width="10.7109375" style="57" customWidth="1"/>
    <col min="5904" max="6144" width="9.140625" style="57"/>
    <col min="6145" max="6145" width="46.5703125" style="57" customWidth="1"/>
    <col min="6146" max="6146" width="32.42578125" style="57" customWidth="1"/>
    <col min="6147" max="6147" width="22.7109375" style="57" customWidth="1"/>
    <col min="6148" max="6148" width="15.85546875" style="57" customWidth="1"/>
    <col min="6149" max="6149" width="16.140625" style="57" customWidth="1"/>
    <col min="6150" max="6150" width="13.7109375" style="57" customWidth="1"/>
    <col min="6151" max="6158" width="0" style="57" hidden="1" customWidth="1"/>
    <col min="6159" max="6159" width="10.7109375" style="57" customWidth="1"/>
    <col min="6160" max="6400" width="9.140625" style="57"/>
    <col min="6401" max="6401" width="46.5703125" style="57" customWidth="1"/>
    <col min="6402" max="6402" width="32.42578125" style="57" customWidth="1"/>
    <col min="6403" max="6403" width="22.7109375" style="57" customWidth="1"/>
    <col min="6404" max="6404" width="15.85546875" style="57" customWidth="1"/>
    <col min="6405" max="6405" width="16.140625" style="57" customWidth="1"/>
    <col min="6406" max="6406" width="13.7109375" style="57" customWidth="1"/>
    <col min="6407" max="6414" width="0" style="57" hidden="1" customWidth="1"/>
    <col min="6415" max="6415" width="10.7109375" style="57" customWidth="1"/>
    <col min="6416" max="6656" width="9.140625" style="57"/>
    <col min="6657" max="6657" width="46.5703125" style="57" customWidth="1"/>
    <col min="6658" max="6658" width="32.42578125" style="57" customWidth="1"/>
    <col min="6659" max="6659" width="22.7109375" style="57" customWidth="1"/>
    <col min="6660" max="6660" width="15.85546875" style="57" customWidth="1"/>
    <col min="6661" max="6661" width="16.140625" style="57" customWidth="1"/>
    <col min="6662" max="6662" width="13.7109375" style="57" customWidth="1"/>
    <col min="6663" max="6670" width="0" style="57" hidden="1" customWidth="1"/>
    <col min="6671" max="6671" width="10.7109375" style="57" customWidth="1"/>
    <col min="6672" max="6912" width="9.140625" style="57"/>
    <col min="6913" max="6913" width="46.5703125" style="57" customWidth="1"/>
    <col min="6914" max="6914" width="32.42578125" style="57" customWidth="1"/>
    <col min="6915" max="6915" width="22.7109375" style="57" customWidth="1"/>
    <col min="6916" max="6916" width="15.85546875" style="57" customWidth="1"/>
    <col min="6917" max="6917" width="16.140625" style="57" customWidth="1"/>
    <col min="6918" max="6918" width="13.7109375" style="57" customWidth="1"/>
    <col min="6919" max="6926" width="0" style="57" hidden="1" customWidth="1"/>
    <col min="6927" max="6927" width="10.7109375" style="57" customWidth="1"/>
    <col min="6928" max="7168" width="9.140625" style="57"/>
    <col min="7169" max="7169" width="46.5703125" style="57" customWidth="1"/>
    <col min="7170" max="7170" width="32.42578125" style="57" customWidth="1"/>
    <col min="7171" max="7171" width="22.7109375" style="57" customWidth="1"/>
    <col min="7172" max="7172" width="15.85546875" style="57" customWidth="1"/>
    <col min="7173" max="7173" width="16.140625" style="57" customWidth="1"/>
    <col min="7174" max="7174" width="13.7109375" style="57" customWidth="1"/>
    <col min="7175" max="7182" width="0" style="57" hidden="1" customWidth="1"/>
    <col min="7183" max="7183" width="10.7109375" style="57" customWidth="1"/>
    <col min="7184" max="7424" width="9.140625" style="57"/>
    <col min="7425" max="7425" width="46.5703125" style="57" customWidth="1"/>
    <col min="7426" max="7426" width="32.42578125" style="57" customWidth="1"/>
    <col min="7427" max="7427" width="22.7109375" style="57" customWidth="1"/>
    <col min="7428" max="7428" width="15.85546875" style="57" customWidth="1"/>
    <col min="7429" max="7429" width="16.140625" style="57" customWidth="1"/>
    <col min="7430" max="7430" width="13.7109375" style="57" customWidth="1"/>
    <col min="7431" max="7438" width="0" style="57" hidden="1" customWidth="1"/>
    <col min="7439" max="7439" width="10.7109375" style="57" customWidth="1"/>
    <col min="7440" max="7680" width="9.140625" style="57"/>
    <col min="7681" max="7681" width="46.5703125" style="57" customWidth="1"/>
    <col min="7682" max="7682" width="32.42578125" style="57" customWidth="1"/>
    <col min="7683" max="7683" width="22.7109375" style="57" customWidth="1"/>
    <col min="7684" max="7684" width="15.85546875" style="57" customWidth="1"/>
    <col min="7685" max="7685" width="16.140625" style="57" customWidth="1"/>
    <col min="7686" max="7686" width="13.7109375" style="57" customWidth="1"/>
    <col min="7687" max="7694" width="0" style="57" hidden="1" customWidth="1"/>
    <col min="7695" max="7695" width="10.7109375" style="57" customWidth="1"/>
    <col min="7696" max="7936" width="9.140625" style="57"/>
    <col min="7937" max="7937" width="46.5703125" style="57" customWidth="1"/>
    <col min="7938" max="7938" width="32.42578125" style="57" customWidth="1"/>
    <col min="7939" max="7939" width="22.7109375" style="57" customWidth="1"/>
    <col min="7940" max="7940" width="15.85546875" style="57" customWidth="1"/>
    <col min="7941" max="7941" width="16.140625" style="57" customWidth="1"/>
    <col min="7942" max="7942" width="13.7109375" style="57" customWidth="1"/>
    <col min="7943" max="7950" width="0" style="57" hidden="1" customWidth="1"/>
    <col min="7951" max="7951" width="10.7109375" style="57" customWidth="1"/>
    <col min="7952" max="8192" width="9.140625" style="57"/>
    <col min="8193" max="8193" width="46.5703125" style="57" customWidth="1"/>
    <col min="8194" max="8194" width="32.42578125" style="57" customWidth="1"/>
    <col min="8195" max="8195" width="22.7109375" style="57" customWidth="1"/>
    <col min="8196" max="8196" width="15.85546875" style="57" customWidth="1"/>
    <col min="8197" max="8197" width="16.140625" style="57" customWidth="1"/>
    <col min="8198" max="8198" width="13.7109375" style="57" customWidth="1"/>
    <col min="8199" max="8206" width="0" style="57" hidden="1" customWidth="1"/>
    <col min="8207" max="8207" width="10.7109375" style="57" customWidth="1"/>
    <col min="8208" max="8448" width="9.140625" style="57"/>
    <col min="8449" max="8449" width="46.5703125" style="57" customWidth="1"/>
    <col min="8450" max="8450" width="32.42578125" style="57" customWidth="1"/>
    <col min="8451" max="8451" width="22.7109375" style="57" customWidth="1"/>
    <col min="8452" max="8452" width="15.85546875" style="57" customWidth="1"/>
    <col min="8453" max="8453" width="16.140625" style="57" customWidth="1"/>
    <col min="8454" max="8454" width="13.7109375" style="57" customWidth="1"/>
    <col min="8455" max="8462" width="0" style="57" hidden="1" customWidth="1"/>
    <col min="8463" max="8463" width="10.7109375" style="57" customWidth="1"/>
    <col min="8464" max="8704" width="9.140625" style="57"/>
    <col min="8705" max="8705" width="46.5703125" style="57" customWidth="1"/>
    <col min="8706" max="8706" width="32.42578125" style="57" customWidth="1"/>
    <col min="8707" max="8707" width="22.7109375" style="57" customWidth="1"/>
    <col min="8708" max="8708" width="15.85546875" style="57" customWidth="1"/>
    <col min="8709" max="8709" width="16.140625" style="57" customWidth="1"/>
    <col min="8710" max="8710" width="13.7109375" style="57" customWidth="1"/>
    <col min="8711" max="8718" width="0" style="57" hidden="1" customWidth="1"/>
    <col min="8719" max="8719" width="10.7109375" style="57" customWidth="1"/>
    <col min="8720" max="8960" width="9.140625" style="57"/>
    <col min="8961" max="8961" width="46.5703125" style="57" customWidth="1"/>
    <col min="8962" max="8962" width="32.42578125" style="57" customWidth="1"/>
    <col min="8963" max="8963" width="22.7109375" style="57" customWidth="1"/>
    <col min="8964" max="8964" width="15.85546875" style="57" customWidth="1"/>
    <col min="8965" max="8965" width="16.140625" style="57" customWidth="1"/>
    <col min="8966" max="8966" width="13.7109375" style="57" customWidth="1"/>
    <col min="8967" max="8974" width="0" style="57" hidden="1" customWidth="1"/>
    <col min="8975" max="8975" width="10.7109375" style="57" customWidth="1"/>
    <col min="8976" max="9216" width="9.140625" style="57"/>
    <col min="9217" max="9217" width="46.5703125" style="57" customWidth="1"/>
    <col min="9218" max="9218" width="32.42578125" style="57" customWidth="1"/>
    <col min="9219" max="9219" width="22.7109375" style="57" customWidth="1"/>
    <col min="9220" max="9220" width="15.85546875" style="57" customWidth="1"/>
    <col min="9221" max="9221" width="16.140625" style="57" customWidth="1"/>
    <col min="9222" max="9222" width="13.7109375" style="57" customWidth="1"/>
    <col min="9223" max="9230" width="0" style="57" hidden="1" customWidth="1"/>
    <col min="9231" max="9231" width="10.7109375" style="57" customWidth="1"/>
    <col min="9232" max="9472" width="9.140625" style="57"/>
    <col min="9473" max="9473" width="46.5703125" style="57" customWidth="1"/>
    <col min="9474" max="9474" width="32.42578125" style="57" customWidth="1"/>
    <col min="9475" max="9475" width="22.7109375" style="57" customWidth="1"/>
    <col min="9476" max="9476" width="15.85546875" style="57" customWidth="1"/>
    <col min="9477" max="9477" width="16.140625" style="57" customWidth="1"/>
    <col min="9478" max="9478" width="13.7109375" style="57" customWidth="1"/>
    <col min="9479" max="9486" width="0" style="57" hidden="1" customWidth="1"/>
    <col min="9487" max="9487" width="10.7109375" style="57" customWidth="1"/>
    <col min="9488" max="9728" width="9.140625" style="57"/>
    <col min="9729" max="9729" width="46.5703125" style="57" customWidth="1"/>
    <col min="9730" max="9730" width="32.42578125" style="57" customWidth="1"/>
    <col min="9731" max="9731" width="22.7109375" style="57" customWidth="1"/>
    <col min="9732" max="9732" width="15.85546875" style="57" customWidth="1"/>
    <col min="9733" max="9733" width="16.140625" style="57" customWidth="1"/>
    <col min="9734" max="9734" width="13.7109375" style="57" customWidth="1"/>
    <col min="9735" max="9742" width="0" style="57" hidden="1" customWidth="1"/>
    <col min="9743" max="9743" width="10.7109375" style="57" customWidth="1"/>
    <col min="9744" max="9984" width="9.140625" style="57"/>
    <col min="9985" max="9985" width="46.5703125" style="57" customWidth="1"/>
    <col min="9986" max="9986" width="32.42578125" style="57" customWidth="1"/>
    <col min="9987" max="9987" width="22.7109375" style="57" customWidth="1"/>
    <col min="9988" max="9988" width="15.85546875" style="57" customWidth="1"/>
    <col min="9989" max="9989" width="16.140625" style="57" customWidth="1"/>
    <col min="9990" max="9990" width="13.7109375" style="57" customWidth="1"/>
    <col min="9991" max="9998" width="0" style="57" hidden="1" customWidth="1"/>
    <col min="9999" max="9999" width="10.7109375" style="57" customWidth="1"/>
    <col min="10000" max="10240" width="9.140625" style="57"/>
    <col min="10241" max="10241" width="46.5703125" style="57" customWidth="1"/>
    <col min="10242" max="10242" width="32.42578125" style="57" customWidth="1"/>
    <col min="10243" max="10243" width="22.7109375" style="57" customWidth="1"/>
    <col min="10244" max="10244" width="15.85546875" style="57" customWidth="1"/>
    <col min="10245" max="10245" width="16.140625" style="57" customWidth="1"/>
    <col min="10246" max="10246" width="13.7109375" style="57" customWidth="1"/>
    <col min="10247" max="10254" width="0" style="57" hidden="1" customWidth="1"/>
    <col min="10255" max="10255" width="10.7109375" style="57" customWidth="1"/>
    <col min="10256" max="10496" width="9.140625" style="57"/>
    <col min="10497" max="10497" width="46.5703125" style="57" customWidth="1"/>
    <col min="10498" max="10498" width="32.42578125" style="57" customWidth="1"/>
    <col min="10499" max="10499" width="22.7109375" style="57" customWidth="1"/>
    <col min="10500" max="10500" width="15.85546875" style="57" customWidth="1"/>
    <col min="10501" max="10501" width="16.140625" style="57" customWidth="1"/>
    <col min="10502" max="10502" width="13.7109375" style="57" customWidth="1"/>
    <col min="10503" max="10510" width="0" style="57" hidden="1" customWidth="1"/>
    <col min="10511" max="10511" width="10.7109375" style="57" customWidth="1"/>
    <col min="10512" max="10752" width="9.140625" style="57"/>
    <col min="10753" max="10753" width="46.5703125" style="57" customWidth="1"/>
    <col min="10754" max="10754" width="32.42578125" style="57" customWidth="1"/>
    <col min="10755" max="10755" width="22.7109375" style="57" customWidth="1"/>
    <col min="10756" max="10756" width="15.85546875" style="57" customWidth="1"/>
    <col min="10757" max="10757" width="16.140625" style="57" customWidth="1"/>
    <col min="10758" max="10758" width="13.7109375" style="57" customWidth="1"/>
    <col min="10759" max="10766" width="0" style="57" hidden="1" customWidth="1"/>
    <col min="10767" max="10767" width="10.7109375" style="57" customWidth="1"/>
    <col min="10768" max="11008" width="9.140625" style="57"/>
    <col min="11009" max="11009" width="46.5703125" style="57" customWidth="1"/>
    <col min="11010" max="11010" width="32.42578125" style="57" customWidth="1"/>
    <col min="11011" max="11011" width="22.7109375" style="57" customWidth="1"/>
    <col min="11012" max="11012" width="15.85546875" style="57" customWidth="1"/>
    <col min="11013" max="11013" width="16.140625" style="57" customWidth="1"/>
    <col min="11014" max="11014" width="13.7109375" style="57" customWidth="1"/>
    <col min="11015" max="11022" width="0" style="57" hidden="1" customWidth="1"/>
    <col min="11023" max="11023" width="10.7109375" style="57" customWidth="1"/>
    <col min="11024" max="11264" width="9.140625" style="57"/>
    <col min="11265" max="11265" width="46.5703125" style="57" customWidth="1"/>
    <col min="11266" max="11266" width="32.42578125" style="57" customWidth="1"/>
    <col min="11267" max="11267" width="22.7109375" style="57" customWidth="1"/>
    <col min="11268" max="11268" width="15.85546875" style="57" customWidth="1"/>
    <col min="11269" max="11269" width="16.140625" style="57" customWidth="1"/>
    <col min="11270" max="11270" width="13.7109375" style="57" customWidth="1"/>
    <col min="11271" max="11278" width="0" style="57" hidden="1" customWidth="1"/>
    <col min="11279" max="11279" width="10.7109375" style="57" customWidth="1"/>
    <col min="11280" max="11520" width="9.140625" style="57"/>
    <col min="11521" max="11521" width="46.5703125" style="57" customWidth="1"/>
    <col min="11522" max="11522" width="32.42578125" style="57" customWidth="1"/>
    <col min="11523" max="11523" width="22.7109375" style="57" customWidth="1"/>
    <col min="11524" max="11524" width="15.85546875" style="57" customWidth="1"/>
    <col min="11525" max="11525" width="16.140625" style="57" customWidth="1"/>
    <col min="11526" max="11526" width="13.7109375" style="57" customWidth="1"/>
    <col min="11527" max="11534" width="0" style="57" hidden="1" customWidth="1"/>
    <col min="11535" max="11535" width="10.7109375" style="57" customWidth="1"/>
    <col min="11536" max="11776" width="9.140625" style="57"/>
    <col min="11777" max="11777" width="46.5703125" style="57" customWidth="1"/>
    <col min="11778" max="11778" width="32.42578125" style="57" customWidth="1"/>
    <col min="11779" max="11779" width="22.7109375" style="57" customWidth="1"/>
    <col min="11780" max="11780" width="15.85546875" style="57" customWidth="1"/>
    <col min="11781" max="11781" width="16.140625" style="57" customWidth="1"/>
    <col min="11782" max="11782" width="13.7109375" style="57" customWidth="1"/>
    <col min="11783" max="11790" width="0" style="57" hidden="1" customWidth="1"/>
    <col min="11791" max="11791" width="10.7109375" style="57" customWidth="1"/>
    <col min="11792" max="12032" width="9.140625" style="57"/>
    <col min="12033" max="12033" width="46.5703125" style="57" customWidth="1"/>
    <col min="12034" max="12034" width="32.42578125" style="57" customWidth="1"/>
    <col min="12035" max="12035" width="22.7109375" style="57" customWidth="1"/>
    <col min="12036" max="12036" width="15.85546875" style="57" customWidth="1"/>
    <col min="12037" max="12037" width="16.140625" style="57" customWidth="1"/>
    <col min="12038" max="12038" width="13.7109375" style="57" customWidth="1"/>
    <col min="12039" max="12046" width="0" style="57" hidden="1" customWidth="1"/>
    <col min="12047" max="12047" width="10.7109375" style="57" customWidth="1"/>
    <col min="12048" max="12288" width="9.140625" style="57"/>
    <col min="12289" max="12289" width="46.5703125" style="57" customWidth="1"/>
    <col min="12290" max="12290" width="32.42578125" style="57" customWidth="1"/>
    <col min="12291" max="12291" width="22.7109375" style="57" customWidth="1"/>
    <col min="12292" max="12292" width="15.85546875" style="57" customWidth="1"/>
    <col min="12293" max="12293" width="16.140625" style="57" customWidth="1"/>
    <col min="12294" max="12294" width="13.7109375" style="57" customWidth="1"/>
    <col min="12295" max="12302" width="0" style="57" hidden="1" customWidth="1"/>
    <col min="12303" max="12303" width="10.7109375" style="57" customWidth="1"/>
    <col min="12304" max="12544" width="9.140625" style="57"/>
    <col min="12545" max="12545" width="46.5703125" style="57" customWidth="1"/>
    <col min="12546" max="12546" width="32.42578125" style="57" customWidth="1"/>
    <col min="12547" max="12547" width="22.7109375" style="57" customWidth="1"/>
    <col min="12548" max="12548" width="15.85546875" style="57" customWidth="1"/>
    <col min="12549" max="12549" width="16.140625" style="57" customWidth="1"/>
    <col min="12550" max="12550" width="13.7109375" style="57" customWidth="1"/>
    <col min="12551" max="12558" width="0" style="57" hidden="1" customWidth="1"/>
    <col min="12559" max="12559" width="10.7109375" style="57" customWidth="1"/>
    <col min="12560" max="12800" width="9.140625" style="57"/>
    <col min="12801" max="12801" width="46.5703125" style="57" customWidth="1"/>
    <col min="12802" max="12802" width="32.42578125" style="57" customWidth="1"/>
    <col min="12803" max="12803" width="22.7109375" style="57" customWidth="1"/>
    <col min="12804" max="12804" width="15.85546875" style="57" customWidth="1"/>
    <col min="12805" max="12805" width="16.140625" style="57" customWidth="1"/>
    <col min="12806" max="12806" width="13.7109375" style="57" customWidth="1"/>
    <col min="12807" max="12814" width="0" style="57" hidden="1" customWidth="1"/>
    <col min="12815" max="12815" width="10.7109375" style="57" customWidth="1"/>
    <col min="12816" max="13056" width="9.140625" style="57"/>
    <col min="13057" max="13057" width="46.5703125" style="57" customWidth="1"/>
    <col min="13058" max="13058" width="32.42578125" style="57" customWidth="1"/>
    <col min="13059" max="13059" width="22.7109375" style="57" customWidth="1"/>
    <col min="13060" max="13060" width="15.85546875" style="57" customWidth="1"/>
    <col min="13061" max="13061" width="16.140625" style="57" customWidth="1"/>
    <col min="13062" max="13062" width="13.7109375" style="57" customWidth="1"/>
    <col min="13063" max="13070" width="0" style="57" hidden="1" customWidth="1"/>
    <col min="13071" max="13071" width="10.7109375" style="57" customWidth="1"/>
    <col min="13072" max="13312" width="9.140625" style="57"/>
    <col min="13313" max="13313" width="46.5703125" style="57" customWidth="1"/>
    <col min="13314" max="13314" width="32.42578125" style="57" customWidth="1"/>
    <col min="13315" max="13315" width="22.7109375" style="57" customWidth="1"/>
    <col min="13316" max="13316" width="15.85546875" style="57" customWidth="1"/>
    <col min="13317" max="13317" width="16.140625" style="57" customWidth="1"/>
    <col min="13318" max="13318" width="13.7109375" style="57" customWidth="1"/>
    <col min="13319" max="13326" width="0" style="57" hidden="1" customWidth="1"/>
    <col min="13327" max="13327" width="10.7109375" style="57" customWidth="1"/>
    <col min="13328" max="13568" width="9.140625" style="57"/>
    <col min="13569" max="13569" width="46.5703125" style="57" customWidth="1"/>
    <col min="13570" max="13570" width="32.42578125" style="57" customWidth="1"/>
    <col min="13571" max="13571" width="22.7109375" style="57" customWidth="1"/>
    <col min="13572" max="13572" width="15.85546875" style="57" customWidth="1"/>
    <col min="13573" max="13573" width="16.140625" style="57" customWidth="1"/>
    <col min="13574" max="13574" width="13.7109375" style="57" customWidth="1"/>
    <col min="13575" max="13582" width="0" style="57" hidden="1" customWidth="1"/>
    <col min="13583" max="13583" width="10.7109375" style="57" customWidth="1"/>
    <col min="13584" max="13824" width="9.140625" style="57"/>
    <col min="13825" max="13825" width="46.5703125" style="57" customWidth="1"/>
    <col min="13826" max="13826" width="32.42578125" style="57" customWidth="1"/>
    <col min="13827" max="13827" width="22.7109375" style="57" customWidth="1"/>
    <col min="13828" max="13828" width="15.85546875" style="57" customWidth="1"/>
    <col min="13829" max="13829" width="16.140625" style="57" customWidth="1"/>
    <col min="13830" max="13830" width="13.7109375" style="57" customWidth="1"/>
    <col min="13831" max="13838" width="0" style="57" hidden="1" customWidth="1"/>
    <col min="13839" max="13839" width="10.7109375" style="57" customWidth="1"/>
    <col min="13840" max="14080" width="9.140625" style="57"/>
    <col min="14081" max="14081" width="46.5703125" style="57" customWidth="1"/>
    <col min="14082" max="14082" width="32.42578125" style="57" customWidth="1"/>
    <col min="14083" max="14083" width="22.7109375" style="57" customWidth="1"/>
    <col min="14084" max="14084" width="15.85546875" style="57" customWidth="1"/>
    <col min="14085" max="14085" width="16.140625" style="57" customWidth="1"/>
    <col min="14086" max="14086" width="13.7109375" style="57" customWidth="1"/>
    <col min="14087" max="14094" width="0" style="57" hidden="1" customWidth="1"/>
    <col min="14095" max="14095" width="10.7109375" style="57" customWidth="1"/>
    <col min="14096" max="14336" width="9.140625" style="57"/>
    <col min="14337" max="14337" width="46.5703125" style="57" customWidth="1"/>
    <col min="14338" max="14338" width="32.42578125" style="57" customWidth="1"/>
    <col min="14339" max="14339" width="22.7109375" style="57" customWidth="1"/>
    <col min="14340" max="14340" width="15.85546875" style="57" customWidth="1"/>
    <col min="14341" max="14341" width="16.140625" style="57" customWidth="1"/>
    <col min="14342" max="14342" width="13.7109375" style="57" customWidth="1"/>
    <col min="14343" max="14350" width="0" style="57" hidden="1" customWidth="1"/>
    <col min="14351" max="14351" width="10.7109375" style="57" customWidth="1"/>
    <col min="14352" max="14592" width="9.140625" style="57"/>
    <col min="14593" max="14593" width="46.5703125" style="57" customWidth="1"/>
    <col min="14594" max="14594" width="32.42578125" style="57" customWidth="1"/>
    <col min="14595" max="14595" width="22.7109375" style="57" customWidth="1"/>
    <col min="14596" max="14596" width="15.85546875" style="57" customWidth="1"/>
    <col min="14597" max="14597" width="16.140625" style="57" customWidth="1"/>
    <col min="14598" max="14598" width="13.7109375" style="57" customWidth="1"/>
    <col min="14599" max="14606" width="0" style="57" hidden="1" customWidth="1"/>
    <col min="14607" max="14607" width="10.7109375" style="57" customWidth="1"/>
    <col min="14608" max="14848" width="9.140625" style="57"/>
    <col min="14849" max="14849" width="46.5703125" style="57" customWidth="1"/>
    <col min="14850" max="14850" width="32.42578125" style="57" customWidth="1"/>
    <col min="14851" max="14851" width="22.7109375" style="57" customWidth="1"/>
    <col min="14852" max="14852" width="15.85546875" style="57" customWidth="1"/>
    <col min="14853" max="14853" width="16.140625" style="57" customWidth="1"/>
    <col min="14854" max="14854" width="13.7109375" style="57" customWidth="1"/>
    <col min="14855" max="14862" width="0" style="57" hidden="1" customWidth="1"/>
    <col min="14863" max="14863" width="10.7109375" style="57" customWidth="1"/>
    <col min="14864" max="15104" width="9.140625" style="57"/>
    <col min="15105" max="15105" width="46.5703125" style="57" customWidth="1"/>
    <col min="15106" max="15106" width="32.42578125" style="57" customWidth="1"/>
    <col min="15107" max="15107" width="22.7109375" style="57" customWidth="1"/>
    <col min="15108" max="15108" width="15.85546875" style="57" customWidth="1"/>
    <col min="15109" max="15109" width="16.140625" style="57" customWidth="1"/>
    <col min="15110" max="15110" width="13.7109375" style="57" customWidth="1"/>
    <col min="15111" max="15118" width="0" style="57" hidden="1" customWidth="1"/>
    <col min="15119" max="15119" width="10.7109375" style="57" customWidth="1"/>
    <col min="15120" max="15360" width="9.140625" style="57"/>
    <col min="15361" max="15361" width="46.5703125" style="57" customWidth="1"/>
    <col min="15362" max="15362" width="32.42578125" style="57" customWidth="1"/>
    <col min="15363" max="15363" width="22.7109375" style="57" customWidth="1"/>
    <col min="15364" max="15364" width="15.85546875" style="57" customWidth="1"/>
    <col min="15365" max="15365" width="16.140625" style="57" customWidth="1"/>
    <col min="15366" max="15366" width="13.7109375" style="57" customWidth="1"/>
    <col min="15367" max="15374" width="0" style="57" hidden="1" customWidth="1"/>
    <col min="15375" max="15375" width="10.7109375" style="57" customWidth="1"/>
    <col min="15376" max="15616" width="9.140625" style="57"/>
    <col min="15617" max="15617" width="46.5703125" style="57" customWidth="1"/>
    <col min="15618" max="15618" width="32.42578125" style="57" customWidth="1"/>
    <col min="15619" max="15619" width="22.7109375" style="57" customWidth="1"/>
    <col min="15620" max="15620" width="15.85546875" style="57" customWidth="1"/>
    <col min="15621" max="15621" width="16.140625" style="57" customWidth="1"/>
    <col min="15622" max="15622" width="13.7109375" style="57" customWidth="1"/>
    <col min="15623" max="15630" width="0" style="57" hidden="1" customWidth="1"/>
    <col min="15631" max="15631" width="10.7109375" style="57" customWidth="1"/>
    <col min="15632" max="15872" width="9.140625" style="57"/>
    <col min="15873" max="15873" width="46.5703125" style="57" customWidth="1"/>
    <col min="15874" max="15874" width="32.42578125" style="57" customWidth="1"/>
    <col min="15875" max="15875" width="22.7109375" style="57" customWidth="1"/>
    <col min="15876" max="15876" width="15.85546875" style="57" customWidth="1"/>
    <col min="15877" max="15877" width="16.140625" style="57" customWidth="1"/>
    <col min="15878" max="15878" width="13.7109375" style="57" customWidth="1"/>
    <col min="15879" max="15886" width="0" style="57" hidden="1" customWidth="1"/>
    <col min="15887" max="15887" width="10.7109375" style="57" customWidth="1"/>
    <col min="15888" max="16128" width="9.140625" style="57"/>
    <col min="16129" max="16129" width="46.5703125" style="57" customWidth="1"/>
    <col min="16130" max="16130" width="32.42578125" style="57" customWidth="1"/>
    <col min="16131" max="16131" width="22.7109375" style="57" customWidth="1"/>
    <col min="16132" max="16132" width="15.85546875" style="57" customWidth="1"/>
    <col min="16133" max="16133" width="16.140625" style="57" customWidth="1"/>
    <col min="16134" max="16134" width="13.7109375" style="57" customWidth="1"/>
    <col min="16135" max="16142" width="0" style="57" hidden="1" customWidth="1"/>
    <col min="16143" max="16143" width="10.7109375" style="57" customWidth="1"/>
    <col min="16144" max="16384" width="9.140625" style="57"/>
  </cols>
  <sheetData>
    <row r="2" spans="1:22" x14ac:dyDescent="0.2">
      <c r="F2" s="31"/>
    </row>
    <row r="3" spans="1:22" x14ac:dyDescent="0.2">
      <c r="A3" s="67" t="s">
        <v>436</v>
      </c>
      <c r="B3" s="67"/>
      <c r="C3" s="67"/>
      <c r="D3" s="67"/>
      <c r="E3" s="67"/>
      <c r="F3" s="67"/>
    </row>
    <row r="5" spans="1:22" x14ac:dyDescent="0.2">
      <c r="A5" s="57" t="s">
        <v>437</v>
      </c>
    </row>
    <row r="7" spans="1:22" x14ac:dyDescent="0.2">
      <c r="A7" s="68" t="s">
        <v>438</v>
      </c>
      <c r="B7" s="68"/>
      <c r="C7" s="68"/>
      <c r="D7" s="68"/>
      <c r="E7" s="68"/>
    </row>
    <row r="8" spans="1:22" ht="51" x14ac:dyDescent="0.2">
      <c r="A8" s="32" t="s">
        <v>439</v>
      </c>
      <c r="B8" s="33" t="s">
        <v>440</v>
      </c>
      <c r="C8" s="33" t="s">
        <v>441</v>
      </c>
      <c r="D8" s="33" t="s">
        <v>491</v>
      </c>
      <c r="E8" s="33" t="s">
        <v>492</v>
      </c>
      <c r="F8" s="33" t="s">
        <v>442</v>
      </c>
    </row>
    <row r="9" spans="1:22" x14ac:dyDescent="0.2">
      <c r="A9" s="69" t="s">
        <v>443</v>
      </c>
      <c r="B9" s="34" t="s">
        <v>444</v>
      </c>
      <c r="C9" s="35">
        <v>-142000</v>
      </c>
      <c r="D9" s="36">
        <v>2285.7754503521128</v>
      </c>
      <c r="E9" s="37">
        <v>2262.4</v>
      </c>
      <c r="F9" s="37">
        <v>592.18827999999996</v>
      </c>
      <c r="H9" s="57">
        <f>+E9*C9</f>
        <v>-321260800</v>
      </c>
      <c r="K9" s="38"/>
      <c r="Q9" s="38"/>
      <c r="R9" s="38"/>
      <c r="S9" s="38"/>
      <c r="T9" s="38"/>
      <c r="V9" s="38"/>
    </row>
    <row r="10" spans="1:22" x14ac:dyDescent="0.2">
      <c r="A10" s="70"/>
      <c r="B10" s="34" t="s">
        <v>33</v>
      </c>
      <c r="C10" s="35">
        <v>-1379000</v>
      </c>
      <c r="D10" s="36">
        <v>1483.2829841914431</v>
      </c>
      <c r="E10" s="37">
        <v>1474.95</v>
      </c>
      <c r="F10" s="37">
        <v>6781.8737350000001</v>
      </c>
      <c r="K10" s="38"/>
      <c r="Q10" s="38"/>
      <c r="R10" s="38"/>
      <c r="S10" s="38"/>
      <c r="T10" s="38"/>
      <c r="V10" s="38"/>
    </row>
    <row r="11" spans="1:22" x14ac:dyDescent="0.2">
      <c r="A11" s="70"/>
      <c r="B11" s="34" t="s">
        <v>445</v>
      </c>
      <c r="C11" s="35">
        <v>-5000</v>
      </c>
      <c r="D11" s="36">
        <v>3954.7139320000001</v>
      </c>
      <c r="E11" s="37">
        <v>4001.4</v>
      </c>
      <c r="F11" s="37">
        <v>35.301450000000003</v>
      </c>
      <c r="K11" s="38"/>
      <c r="Q11" s="38"/>
      <c r="R11" s="38"/>
      <c r="S11" s="38"/>
      <c r="T11" s="38"/>
      <c r="V11" s="38"/>
    </row>
    <row r="12" spans="1:22" x14ac:dyDescent="0.2">
      <c r="A12" s="70"/>
      <c r="B12" s="34" t="s">
        <v>109</v>
      </c>
      <c r="C12" s="35">
        <v>-500000</v>
      </c>
      <c r="D12" s="36">
        <v>735.27430159999994</v>
      </c>
      <c r="E12" s="37">
        <v>753.9</v>
      </c>
      <c r="F12" s="37">
        <v>790.74874999999997</v>
      </c>
      <c r="K12" s="38"/>
      <c r="Q12" s="38"/>
      <c r="R12" s="38"/>
      <c r="S12" s="38"/>
      <c r="T12" s="38"/>
      <c r="V12" s="38"/>
    </row>
    <row r="13" spans="1:22" x14ac:dyDescent="0.2">
      <c r="A13" s="70"/>
      <c r="B13" s="34" t="s">
        <v>249</v>
      </c>
      <c r="C13" s="35">
        <v>-62700</v>
      </c>
      <c r="D13" s="36">
        <v>801.77097192982455</v>
      </c>
      <c r="E13" s="37">
        <v>790.85</v>
      </c>
      <c r="F13" s="37">
        <v>113.0040533</v>
      </c>
      <c r="K13" s="38"/>
      <c r="Q13" s="38"/>
      <c r="R13" s="38"/>
      <c r="S13" s="38"/>
      <c r="T13" s="38"/>
      <c r="V13" s="38"/>
    </row>
    <row r="14" spans="1:22" x14ac:dyDescent="0.2">
      <c r="A14" s="70"/>
      <c r="B14" s="34" t="s">
        <v>446</v>
      </c>
      <c r="C14" s="35">
        <v>-122000</v>
      </c>
      <c r="D14" s="36">
        <v>4477.6194066393446</v>
      </c>
      <c r="E14" s="37">
        <v>4490.6000000000004</v>
      </c>
      <c r="F14" s="37">
        <v>1365.1324199999999</v>
      </c>
      <c r="K14" s="38"/>
      <c r="Q14" s="38"/>
      <c r="R14" s="38"/>
      <c r="S14" s="38"/>
      <c r="T14" s="38"/>
      <c r="V14" s="38"/>
    </row>
    <row r="15" spans="1:22" x14ac:dyDescent="0.2">
      <c r="A15" s="70"/>
      <c r="B15" s="34" t="s">
        <v>192</v>
      </c>
      <c r="C15" s="35">
        <v>-542500</v>
      </c>
      <c r="D15" s="36">
        <v>229.9121870967742</v>
      </c>
      <c r="E15" s="37">
        <v>226.8</v>
      </c>
      <c r="F15" s="37">
        <v>315.34440000000001</v>
      </c>
      <c r="K15" s="38"/>
      <c r="Q15" s="38"/>
      <c r="R15" s="38"/>
      <c r="S15" s="38"/>
      <c r="T15" s="38"/>
      <c r="V15" s="38"/>
    </row>
    <row r="16" spans="1:22" x14ac:dyDescent="0.2">
      <c r="A16" s="70"/>
      <c r="B16" s="34" t="s">
        <v>125</v>
      </c>
      <c r="C16" s="35">
        <v>-2655000</v>
      </c>
      <c r="D16" s="36">
        <v>130.76988372881357</v>
      </c>
      <c r="E16" s="37">
        <v>134.55000000000001</v>
      </c>
      <c r="F16" s="37">
        <v>1148.2675875</v>
      </c>
      <c r="K16" s="38"/>
      <c r="Q16" s="38"/>
      <c r="R16" s="38"/>
      <c r="S16" s="38"/>
      <c r="T16" s="38"/>
      <c r="V16" s="38"/>
    </row>
    <row r="17" spans="1:22" x14ac:dyDescent="0.2">
      <c r="A17" s="70"/>
      <c r="B17" s="34" t="s">
        <v>268</v>
      </c>
      <c r="C17" s="35">
        <v>-15675</v>
      </c>
      <c r="D17" s="36">
        <v>2167.492052950558</v>
      </c>
      <c r="E17" s="37">
        <v>2169.9499999999998</v>
      </c>
      <c r="F17" s="37">
        <v>87.861238200000003</v>
      </c>
      <c r="K17" s="38"/>
      <c r="Q17" s="38"/>
      <c r="R17" s="38"/>
      <c r="S17" s="38"/>
      <c r="T17" s="38"/>
      <c r="V17" s="38"/>
    </row>
    <row r="18" spans="1:22" x14ac:dyDescent="0.2">
      <c r="A18" s="70"/>
      <c r="B18" s="34" t="s">
        <v>447</v>
      </c>
      <c r="C18" s="35">
        <v>-106500</v>
      </c>
      <c r="D18" s="36">
        <v>1178.3670999999999</v>
      </c>
      <c r="E18" s="37">
        <v>1168.8</v>
      </c>
      <c r="F18" s="37">
        <v>362.72622000000001</v>
      </c>
      <c r="K18" s="38"/>
      <c r="Q18" s="38"/>
      <c r="R18" s="38"/>
      <c r="S18" s="38"/>
      <c r="T18" s="38"/>
      <c r="V18" s="38"/>
    </row>
    <row r="19" spans="1:22" x14ac:dyDescent="0.2">
      <c r="A19" s="70"/>
      <c r="B19" s="34" t="s">
        <v>104</v>
      </c>
      <c r="C19" s="35">
        <v>-518700</v>
      </c>
      <c r="D19" s="36">
        <v>733.47414864083282</v>
      </c>
      <c r="E19" s="37">
        <v>728.15</v>
      </c>
      <c r="F19" s="37">
        <v>1255.6443218000002</v>
      </c>
      <c r="K19" s="38"/>
      <c r="Q19" s="38"/>
      <c r="R19" s="38"/>
      <c r="S19" s="38"/>
      <c r="T19" s="38"/>
      <c r="V19" s="38"/>
    </row>
    <row r="20" spans="1:22" x14ac:dyDescent="0.2">
      <c r="A20" s="70"/>
      <c r="B20" s="34" t="s">
        <v>127</v>
      </c>
      <c r="C20" s="35">
        <v>-93250</v>
      </c>
      <c r="D20" s="36">
        <v>3874.1876065415549</v>
      </c>
      <c r="E20" s="37">
        <v>3841.85</v>
      </c>
      <c r="F20" s="37">
        <v>750.35920939999994</v>
      </c>
      <c r="K20" s="38"/>
      <c r="Q20" s="38"/>
      <c r="R20" s="38"/>
      <c r="S20" s="38"/>
      <c r="T20" s="38"/>
      <c r="V20" s="38"/>
    </row>
    <row r="21" spans="1:22" x14ac:dyDescent="0.2">
      <c r="A21" s="70"/>
      <c r="B21" s="34" t="s">
        <v>448</v>
      </c>
      <c r="C21" s="35">
        <v>-323750</v>
      </c>
      <c r="D21" s="36">
        <v>7639.263955150579</v>
      </c>
      <c r="E21" s="37">
        <v>7687.25</v>
      </c>
      <c r="F21" s="37">
        <v>6474.9150155999996</v>
      </c>
      <c r="K21" s="38"/>
      <c r="Q21" s="38"/>
      <c r="R21" s="38"/>
      <c r="S21" s="38"/>
      <c r="T21" s="38"/>
      <c r="V21" s="38"/>
    </row>
    <row r="22" spans="1:22" x14ac:dyDescent="0.2">
      <c r="A22" s="70"/>
      <c r="B22" s="34" t="s">
        <v>272</v>
      </c>
      <c r="C22" s="35">
        <v>-14000</v>
      </c>
      <c r="D22" s="36">
        <v>2526.6757142857141</v>
      </c>
      <c r="E22" s="37">
        <v>2545.1</v>
      </c>
      <c r="F22" s="37">
        <v>80.830190000000002</v>
      </c>
      <c r="K22" s="38"/>
      <c r="Q22" s="38"/>
      <c r="R22" s="38"/>
      <c r="S22" s="38"/>
      <c r="T22" s="38"/>
      <c r="V22" s="38"/>
    </row>
    <row r="23" spans="1:22" x14ac:dyDescent="0.2">
      <c r="A23" s="70"/>
      <c r="B23" s="34" t="s">
        <v>449</v>
      </c>
      <c r="C23" s="35">
        <v>-2073600</v>
      </c>
      <c r="D23" s="36">
        <v>286.79363151041667</v>
      </c>
      <c r="E23" s="37">
        <v>284.45</v>
      </c>
      <c r="F23" s="37">
        <v>2646.0328319999999</v>
      </c>
      <c r="K23" s="38"/>
      <c r="Q23" s="38"/>
      <c r="R23" s="38"/>
      <c r="S23" s="38"/>
      <c r="T23" s="38"/>
      <c r="V23" s="38"/>
    </row>
    <row r="24" spans="1:22" x14ac:dyDescent="0.2">
      <c r="A24" s="70"/>
      <c r="B24" s="34" t="s">
        <v>88</v>
      </c>
      <c r="C24" s="35">
        <v>-6610500</v>
      </c>
      <c r="D24" s="36">
        <v>81.635880884955753</v>
      </c>
      <c r="E24" s="37">
        <v>81.95</v>
      </c>
      <c r="F24" s="37">
        <v>2311.7331656000001</v>
      </c>
      <c r="K24" s="38"/>
      <c r="Q24" s="38"/>
      <c r="R24" s="38"/>
      <c r="S24" s="38"/>
      <c r="T24" s="38"/>
      <c r="V24" s="38"/>
    </row>
    <row r="25" spans="1:22" x14ac:dyDescent="0.2">
      <c r="A25" s="70"/>
      <c r="B25" s="34" t="s">
        <v>450</v>
      </c>
      <c r="C25" s="35">
        <v>-99550</v>
      </c>
      <c r="D25" s="36">
        <v>1767.1361420391763</v>
      </c>
      <c r="E25" s="37">
        <v>1783.6</v>
      </c>
      <c r="F25" s="37">
        <v>334.68312300000002</v>
      </c>
      <c r="K25" s="38"/>
      <c r="Q25" s="38"/>
      <c r="R25" s="38"/>
      <c r="S25" s="38"/>
      <c r="T25" s="38"/>
      <c r="V25" s="38"/>
    </row>
    <row r="26" spans="1:22" x14ac:dyDescent="0.2">
      <c r="A26" s="70"/>
      <c r="B26" s="34" t="s">
        <v>451</v>
      </c>
      <c r="C26" s="35">
        <v>-75900</v>
      </c>
      <c r="D26" s="36">
        <v>829.29996956521734</v>
      </c>
      <c r="E26" s="37">
        <v>810.75</v>
      </c>
      <c r="F26" s="37">
        <v>114.62892380000001</v>
      </c>
      <c r="K26" s="38"/>
      <c r="Q26" s="38"/>
      <c r="R26" s="38"/>
      <c r="S26" s="38"/>
      <c r="T26" s="38"/>
      <c r="V26" s="38"/>
    </row>
    <row r="27" spans="1:22" x14ac:dyDescent="0.2">
      <c r="A27" s="70"/>
      <c r="B27" s="34" t="s">
        <v>452</v>
      </c>
      <c r="C27" s="35">
        <v>-17700</v>
      </c>
      <c r="D27" s="36">
        <v>17793.75167062147</v>
      </c>
      <c r="E27" s="37">
        <v>17841.8</v>
      </c>
      <c r="F27" s="37">
        <v>906.98393099999998</v>
      </c>
      <c r="H27" s="57">
        <f t="shared" ref="H27:H90" si="0">+E27*C27</f>
        <v>-315799860</v>
      </c>
      <c r="K27" s="38"/>
      <c r="Q27" s="38"/>
      <c r="R27" s="38"/>
      <c r="S27" s="38"/>
      <c r="T27" s="38"/>
    </row>
    <row r="28" spans="1:22" x14ac:dyDescent="0.2">
      <c r="A28" s="70"/>
      <c r="B28" s="34" t="s">
        <v>131</v>
      </c>
      <c r="C28" s="35">
        <v>-5407500</v>
      </c>
      <c r="D28" s="36">
        <v>57.983086990291262</v>
      </c>
      <c r="E28" s="37">
        <v>64.900000000000006</v>
      </c>
      <c r="F28" s="37">
        <v>1524.0768375</v>
      </c>
      <c r="H28" s="57">
        <f t="shared" si="0"/>
        <v>-350946750.00000006</v>
      </c>
      <c r="K28" s="38"/>
      <c r="Q28" s="38"/>
      <c r="R28" s="38"/>
      <c r="S28" s="38"/>
      <c r="T28" s="38"/>
    </row>
    <row r="29" spans="1:22" x14ac:dyDescent="0.2">
      <c r="A29" s="70"/>
      <c r="B29" s="34" t="s">
        <v>92</v>
      </c>
      <c r="C29" s="35">
        <v>-1240200</v>
      </c>
      <c r="D29" s="36">
        <v>429.90039970972424</v>
      </c>
      <c r="E29" s="37">
        <v>433.15</v>
      </c>
      <c r="F29" s="37">
        <v>2364.8164605000002</v>
      </c>
      <c r="H29" s="57">
        <f t="shared" si="0"/>
        <v>-537192630</v>
      </c>
      <c r="K29" s="38"/>
      <c r="Q29" s="38"/>
      <c r="R29" s="38"/>
      <c r="S29" s="38"/>
      <c r="T29" s="38"/>
    </row>
    <row r="30" spans="1:22" x14ac:dyDescent="0.2">
      <c r="A30" s="70"/>
      <c r="B30" s="34" t="s">
        <v>294</v>
      </c>
      <c r="C30" s="35">
        <v>-64600</v>
      </c>
      <c r="D30" s="36">
        <v>204.97348823529413</v>
      </c>
      <c r="E30" s="37">
        <v>203.1</v>
      </c>
      <c r="F30" s="37">
        <v>32.550971000000004</v>
      </c>
      <c r="H30" s="57">
        <f t="shared" si="0"/>
        <v>-13120260</v>
      </c>
      <c r="K30" s="38"/>
      <c r="Q30" s="38"/>
      <c r="R30" s="38"/>
      <c r="S30" s="38"/>
      <c r="T30" s="38"/>
    </row>
    <row r="31" spans="1:22" x14ac:dyDescent="0.2">
      <c r="A31" s="70"/>
      <c r="B31" s="34" t="s">
        <v>61</v>
      </c>
      <c r="C31" s="35">
        <v>-1037300</v>
      </c>
      <c r="D31" s="36">
        <v>696.92816144798996</v>
      </c>
      <c r="E31" s="37">
        <v>691.5</v>
      </c>
      <c r="F31" s="37">
        <v>1778.0618625</v>
      </c>
      <c r="H31" s="57">
        <f t="shared" si="0"/>
        <v>-717292950</v>
      </c>
      <c r="K31" s="38"/>
      <c r="Q31" s="38"/>
      <c r="R31" s="38"/>
      <c r="S31" s="38"/>
      <c r="T31" s="38"/>
    </row>
    <row r="32" spans="1:22" x14ac:dyDescent="0.2">
      <c r="A32" s="70"/>
      <c r="B32" s="34" t="s">
        <v>112</v>
      </c>
      <c r="C32" s="35">
        <v>-499500</v>
      </c>
      <c r="D32" s="36">
        <v>764.48013663663664</v>
      </c>
      <c r="E32" s="37">
        <v>740.55</v>
      </c>
      <c r="F32" s="37">
        <v>942.60270379999997</v>
      </c>
      <c r="H32" s="57">
        <f t="shared" si="0"/>
        <v>-369904725</v>
      </c>
      <c r="K32" s="38"/>
      <c r="Q32" s="38"/>
      <c r="R32" s="38"/>
      <c r="S32" s="38"/>
      <c r="T32" s="38"/>
    </row>
    <row r="33" spans="1:20" x14ac:dyDescent="0.2">
      <c r="A33" s="70"/>
      <c r="B33" s="34" t="s">
        <v>129</v>
      </c>
      <c r="C33" s="35">
        <v>-970600</v>
      </c>
      <c r="D33" s="36">
        <v>366.3851049763033</v>
      </c>
      <c r="E33" s="37">
        <v>364</v>
      </c>
      <c r="F33" s="37">
        <v>851.89562000000001</v>
      </c>
      <c r="H33" s="57">
        <f t="shared" si="0"/>
        <v>-353298400</v>
      </c>
      <c r="K33" s="38"/>
      <c r="Q33" s="38"/>
      <c r="R33" s="38"/>
      <c r="S33" s="38"/>
      <c r="T33" s="38"/>
    </row>
    <row r="34" spans="1:20" x14ac:dyDescent="0.2">
      <c r="A34" s="70"/>
      <c r="B34" s="34" t="s">
        <v>71</v>
      </c>
      <c r="C34" s="35">
        <v>-1181400</v>
      </c>
      <c r="D34" s="36">
        <v>553.65082104283056</v>
      </c>
      <c r="E34" s="37">
        <v>554.35</v>
      </c>
      <c r="F34" s="37">
        <v>1324.8485415</v>
      </c>
      <c r="H34" s="57">
        <f t="shared" si="0"/>
        <v>-654909090</v>
      </c>
      <c r="K34" s="38"/>
      <c r="Q34" s="38"/>
      <c r="R34" s="38"/>
      <c r="S34" s="38"/>
      <c r="T34" s="38"/>
    </row>
    <row r="35" spans="1:20" x14ac:dyDescent="0.2">
      <c r="A35" s="70"/>
      <c r="B35" s="34" t="s">
        <v>151</v>
      </c>
      <c r="C35" s="35">
        <v>-1620000</v>
      </c>
      <c r="D35" s="36">
        <v>163.895298</v>
      </c>
      <c r="E35" s="37">
        <v>173.9</v>
      </c>
      <c r="F35" s="37">
        <v>980.73990000000003</v>
      </c>
      <c r="H35" s="57">
        <f t="shared" si="0"/>
        <v>-281718000</v>
      </c>
      <c r="K35" s="38"/>
      <c r="Q35" s="38"/>
      <c r="R35" s="38"/>
      <c r="S35" s="38"/>
      <c r="T35" s="38"/>
    </row>
    <row r="36" spans="1:20" x14ac:dyDescent="0.2">
      <c r="A36" s="70"/>
      <c r="B36" s="34" t="s">
        <v>453</v>
      </c>
      <c r="C36" s="35">
        <v>-194025</v>
      </c>
      <c r="D36" s="36">
        <v>655.51932714856332</v>
      </c>
      <c r="E36" s="37">
        <v>689.45</v>
      </c>
      <c r="F36" s="37">
        <v>335.25725769999997</v>
      </c>
      <c r="H36" s="57">
        <f t="shared" si="0"/>
        <v>-133770536.25000001</v>
      </c>
      <c r="K36" s="38"/>
      <c r="Q36" s="38"/>
      <c r="R36" s="38"/>
      <c r="S36" s="38"/>
      <c r="T36" s="38"/>
    </row>
    <row r="37" spans="1:20" x14ac:dyDescent="0.2">
      <c r="A37" s="70"/>
      <c r="B37" s="34" t="s">
        <v>454</v>
      </c>
      <c r="C37" s="35">
        <v>-295000</v>
      </c>
      <c r="D37" s="36">
        <v>574.15147372881358</v>
      </c>
      <c r="E37" s="37">
        <v>566.95000000000005</v>
      </c>
      <c r="F37" s="37">
        <v>575.79058750000002</v>
      </c>
      <c r="H37" s="57">
        <f t="shared" si="0"/>
        <v>-167250250</v>
      </c>
      <c r="K37" s="38"/>
      <c r="Q37" s="38"/>
      <c r="R37" s="38"/>
      <c r="S37" s="38"/>
      <c r="T37" s="38"/>
    </row>
    <row r="38" spans="1:20" x14ac:dyDescent="0.2">
      <c r="A38" s="70"/>
      <c r="B38" s="34" t="s">
        <v>259</v>
      </c>
      <c r="C38" s="35">
        <v>-44850</v>
      </c>
      <c r="D38" s="36">
        <v>961.19998550724642</v>
      </c>
      <c r="E38" s="37">
        <v>985.9</v>
      </c>
      <c r="F38" s="37">
        <v>99.081055299999989</v>
      </c>
      <c r="H38" s="57">
        <f t="shared" si="0"/>
        <v>-44217615</v>
      </c>
      <c r="K38" s="38"/>
      <c r="Q38" s="38"/>
      <c r="R38" s="38"/>
      <c r="S38" s="38"/>
      <c r="T38" s="38"/>
    </row>
    <row r="39" spans="1:20" x14ac:dyDescent="0.2">
      <c r="A39" s="70"/>
      <c r="B39" s="34" t="s">
        <v>274</v>
      </c>
      <c r="C39" s="35">
        <v>-155400</v>
      </c>
      <c r="D39" s="36">
        <v>161.72837027027026</v>
      </c>
      <c r="E39" s="37">
        <v>186.15</v>
      </c>
      <c r="F39" s="37">
        <v>67.6382385</v>
      </c>
      <c r="H39" s="57">
        <f t="shared" si="0"/>
        <v>-28927710</v>
      </c>
      <c r="K39" s="38"/>
      <c r="Q39" s="38"/>
      <c r="R39" s="38"/>
      <c r="S39" s="38"/>
      <c r="T39" s="38"/>
    </row>
    <row r="40" spans="1:20" x14ac:dyDescent="0.2">
      <c r="A40" s="70"/>
      <c r="B40" s="34" t="s">
        <v>234</v>
      </c>
      <c r="C40" s="35">
        <v>-103158</v>
      </c>
      <c r="D40" s="36">
        <v>718.13560606060605</v>
      </c>
      <c r="E40" s="37">
        <v>708.1</v>
      </c>
      <c r="F40" s="37">
        <v>245.13796289999999</v>
      </c>
      <c r="H40" s="57">
        <f t="shared" si="0"/>
        <v>-73046179.799999997</v>
      </c>
      <c r="K40" s="38"/>
      <c r="Q40" s="38"/>
      <c r="R40" s="38"/>
      <c r="S40" s="38"/>
      <c r="T40" s="38"/>
    </row>
    <row r="41" spans="1:20" x14ac:dyDescent="0.2">
      <c r="A41" s="70"/>
      <c r="B41" s="34" t="s">
        <v>261</v>
      </c>
      <c r="C41" s="35">
        <v>-54375</v>
      </c>
      <c r="D41" s="36">
        <v>798.76257471264364</v>
      </c>
      <c r="E41" s="37">
        <v>798.5</v>
      </c>
      <c r="F41" s="37">
        <v>87.732703100000009</v>
      </c>
      <c r="H41" s="57">
        <f t="shared" si="0"/>
        <v>-43418437.5</v>
      </c>
      <c r="K41" s="38"/>
      <c r="Q41" s="38"/>
      <c r="R41" s="38"/>
      <c r="S41" s="38"/>
      <c r="T41" s="38"/>
    </row>
    <row r="42" spans="1:20" x14ac:dyDescent="0.2">
      <c r="A42" s="70"/>
      <c r="B42" s="34" t="s">
        <v>232</v>
      </c>
      <c r="C42" s="35">
        <v>-78600</v>
      </c>
      <c r="D42" s="36">
        <v>1002.2770427480916</v>
      </c>
      <c r="E42" s="37">
        <v>997.85</v>
      </c>
      <c r="F42" s="37">
        <v>167.02873349999999</v>
      </c>
      <c r="H42" s="57">
        <f t="shared" si="0"/>
        <v>-78431010</v>
      </c>
      <c r="K42" s="38"/>
      <c r="Q42" s="38"/>
      <c r="R42" s="38"/>
      <c r="S42" s="38"/>
      <c r="T42" s="38"/>
    </row>
    <row r="43" spans="1:20" x14ac:dyDescent="0.2">
      <c r="A43" s="70"/>
      <c r="B43" s="34" t="s">
        <v>176</v>
      </c>
      <c r="C43" s="35">
        <v>-280000</v>
      </c>
      <c r="D43" s="36">
        <v>625.16270803571433</v>
      </c>
      <c r="E43" s="37">
        <v>620.35</v>
      </c>
      <c r="F43" s="37">
        <v>306.43830000000003</v>
      </c>
      <c r="H43" s="57">
        <f t="shared" si="0"/>
        <v>-173698000</v>
      </c>
      <c r="K43" s="38"/>
      <c r="Q43" s="38"/>
      <c r="R43" s="38"/>
      <c r="S43" s="38"/>
      <c r="T43" s="38"/>
    </row>
    <row r="44" spans="1:20" x14ac:dyDescent="0.2">
      <c r="A44" s="70"/>
      <c r="B44" s="34" t="s">
        <v>188</v>
      </c>
      <c r="C44" s="35">
        <v>-58500</v>
      </c>
      <c r="D44" s="36">
        <v>2485.2153623931622</v>
      </c>
      <c r="E44" s="37">
        <v>2410.0500000000002</v>
      </c>
      <c r="F44" s="37">
        <v>373.9681238</v>
      </c>
      <c r="H44" s="57">
        <f t="shared" si="0"/>
        <v>-140987925</v>
      </c>
      <c r="K44" s="38"/>
      <c r="Q44" s="38"/>
      <c r="R44" s="38"/>
      <c r="S44" s="38"/>
      <c r="T44" s="38"/>
    </row>
    <row r="45" spans="1:20" x14ac:dyDescent="0.2">
      <c r="A45" s="70"/>
      <c r="B45" s="34" t="s">
        <v>99</v>
      </c>
      <c r="C45" s="35">
        <v>-90400</v>
      </c>
      <c r="D45" s="36">
        <v>4862.9546878318588</v>
      </c>
      <c r="E45" s="37">
        <v>4812.75</v>
      </c>
      <c r="F45" s="37">
        <v>842.12684999999999</v>
      </c>
      <c r="H45" s="57">
        <f t="shared" si="0"/>
        <v>-435072600</v>
      </c>
      <c r="K45" s="38"/>
      <c r="Q45" s="38"/>
      <c r="R45" s="38"/>
      <c r="S45" s="38"/>
      <c r="T45" s="38"/>
    </row>
    <row r="46" spans="1:20" x14ac:dyDescent="0.2">
      <c r="A46" s="70"/>
      <c r="B46" s="34" t="s">
        <v>304</v>
      </c>
      <c r="C46" s="35">
        <v>-2375</v>
      </c>
      <c r="D46" s="36">
        <v>4333.3421052631575</v>
      </c>
      <c r="E46" s="37">
        <v>4640.05</v>
      </c>
      <c r="F46" s="37">
        <v>27.156031600000002</v>
      </c>
      <c r="H46" s="57">
        <f t="shared" si="0"/>
        <v>-11020118.75</v>
      </c>
      <c r="K46" s="38"/>
      <c r="Q46" s="38"/>
      <c r="R46" s="38"/>
      <c r="S46" s="38"/>
      <c r="T46" s="38"/>
    </row>
    <row r="47" spans="1:20" x14ac:dyDescent="0.2">
      <c r="A47" s="70"/>
      <c r="B47" s="34" t="s">
        <v>73</v>
      </c>
      <c r="C47" s="35">
        <v>-1501500</v>
      </c>
      <c r="D47" s="36">
        <v>384.7191964835165</v>
      </c>
      <c r="E47" s="37">
        <v>419.3</v>
      </c>
      <c r="F47" s="37">
        <v>1813.4441325</v>
      </c>
      <c r="H47" s="57">
        <f t="shared" si="0"/>
        <v>-629578950</v>
      </c>
      <c r="K47" s="38"/>
      <c r="Q47" s="38"/>
      <c r="R47" s="38"/>
      <c r="S47" s="38"/>
      <c r="T47" s="38"/>
    </row>
    <row r="48" spans="1:20" x14ac:dyDescent="0.2">
      <c r="A48" s="70"/>
      <c r="B48" s="34" t="s">
        <v>297</v>
      </c>
      <c r="C48" s="35">
        <v>-3125</v>
      </c>
      <c r="D48" s="36">
        <v>4845.3219840000002</v>
      </c>
      <c r="E48" s="37">
        <v>4901.6499999999996</v>
      </c>
      <c r="F48" s="37">
        <v>28.222739700000002</v>
      </c>
      <c r="H48" s="57">
        <f t="shared" si="0"/>
        <v>-15317656.249999998</v>
      </c>
      <c r="K48" s="38"/>
      <c r="Q48" s="38"/>
      <c r="R48" s="38"/>
      <c r="S48" s="38"/>
      <c r="T48" s="38"/>
    </row>
    <row r="49" spans="1:20" x14ac:dyDescent="0.2">
      <c r="A49" s="70"/>
      <c r="B49" s="34" t="s">
        <v>455</v>
      </c>
      <c r="C49" s="35">
        <v>-477950</v>
      </c>
      <c r="D49" s="36">
        <v>1474.7027906894027</v>
      </c>
      <c r="E49" s="37">
        <v>1488.25</v>
      </c>
      <c r="F49" s="37">
        <v>1945.7225013</v>
      </c>
      <c r="H49" s="57">
        <f t="shared" si="0"/>
        <v>-711309087.5</v>
      </c>
      <c r="K49" s="38"/>
      <c r="Q49" s="38"/>
      <c r="R49" s="38"/>
      <c r="S49" s="38"/>
      <c r="T49" s="38"/>
    </row>
    <row r="50" spans="1:20" x14ac:dyDescent="0.2">
      <c r="A50" s="70"/>
      <c r="B50" s="34" t="s">
        <v>196</v>
      </c>
      <c r="C50" s="35">
        <v>-684000</v>
      </c>
      <c r="D50" s="36">
        <v>180.49864631578947</v>
      </c>
      <c r="E50" s="37">
        <v>179.25</v>
      </c>
      <c r="F50" s="37">
        <v>364.69170000000003</v>
      </c>
      <c r="H50" s="57">
        <f t="shared" si="0"/>
        <v>-122607000</v>
      </c>
      <c r="K50" s="38"/>
      <c r="Q50" s="38"/>
      <c r="R50" s="38"/>
      <c r="S50" s="38"/>
      <c r="T50" s="38"/>
    </row>
    <row r="51" spans="1:20" x14ac:dyDescent="0.2">
      <c r="A51" s="70"/>
      <c r="B51" s="34" t="s">
        <v>78</v>
      </c>
      <c r="C51" s="35">
        <v>-3696600</v>
      </c>
      <c r="D51" s="36">
        <v>157.12998778877889</v>
      </c>
      <c r="E51" s="37">
        <v>159.85</v>
      </c>
      <c r="F51" s="37">
        <v>2413.6857285000001</v>
      </c>
      <c r="H51" s="57">
        <f t="shared" si="0"/>
        <v>-590901510</v>
      </c>
      <c r="K51" s="38"/>
      <c r="Q51" s="38"/>
      <c r="R51" s="38"/>
      <c r="S51" s="38"/>
      <c r="T51" s="38"/>
    </row>
    <row r="52" spans="1:20" x14ac:dyDescent="0.2">
      <c r="A52" s="70"/>
      <c r="B52" s="34" t="s">
        <v>200</v>
      </c>
      <c r="C52" s="35">
        <v>-217350</v>
      </c>
      <c r="D52" s="36">
        <v>516.48959631930063</v>
      </c>
      <c r="E52" s="37">
        <v>512.9</v>
      </c>
      <c r="F52" s="37">
        <v>444.74483530000003</v>
      </c>
      <c r="H52" s="57">
        <f t="shared" si="0"/>
        <v>-111478815</v>
      </c>
      <c r="K52" s="38"/>
      <c r="Q52" s="38"/>
      <c r="R52" s="38"/>
      <c r="S52" s="38"/>
      <c r="T52" s="38"/>
    </row>
    <row r="53" spans="1:20" x14ac:dyDescent="0.2">
      <c r="A53" s="70"/>
      <c r="B53" s="34" t="s">
        <v>145</v>
      </c>
      <c r="C53" s="35">
        <v>-307000</v>
      </c>
      <c r="D53" s="36">
        <v>1036.8152654723126</v>
      </c>
      <c r="E53" s="37">
        <v>1034.4000000000001</v>
      </c>
      <c r="F53" s="37">
        <v>713.51098000000002</v>
      </c>
      <c r="H53" s="57">
        <f t="shared" si="0"/>
        <v>-317560800</v>
      </c>
      <c r="K53" s="38"/>
      <c r="Q53" s="38"/>
      <c r="R53" s="38"/>
      <c r="S53" s="38"/>
      <c r="T53" s="38"/>
    </row>
    <row r="54" spans="1:20" x14ac:dyDescent="0.2">
      <c r="A54" s="70"/>
      <c r="B54" s="34" t="s">
        <v>456</v>
      </c>
      <c r="C54" s="35">
        <v>-354950</v>
      </c>
      <c r="D54" s="36">
        <v>320.97620087336247</v>
      </c>
      <c r="E54" s="37">
        <v>320.95</v>
      </c>
      <c r="F54" s="37">
        <v>343.6146718</v>
      </c>
      <c r="H54" s="57">
        <f t="shared" si="0"/>
        <v>-113921202.5</v>
      </c>
      <c r="K54" s="38"/>
      <c r="Q54" s="38"/>
      <c r="R54" s="38"/>
      <c r="S54" s="38"/>
      <c r="T54" s="38"/>
    </row>
    <row r="55" spans="1:20" x14ac:dyDescent="0.2">
      <c r="A55" s="70"/>
      <c r="B55" s="34" t="s">
        <v>155</v>
      </c>
      <c r="C55" s="35">
        <v>-159125</v>
      </c>
      <c r="D55" s="36">
        <v>1627.6898443990574</v>
      </c>
      <c r="E55" s="37">
        <v>1676.6</v>
      </c>
      <c r="F55" s="37">
        <v>668.97900130000005</v>
      </c>
      <c r="H55" s="57">
        <f t="shared" si="0"/>
        <v>-266788975</v>
      </c>
      <c r="K55" s="38"/>
      <c r="Q55" s="38"/>
      <c r="R55" s="38"/>
      <c r="S55" s="38"/>
      <c r="T55" s="38"/>
    </row>
    <row r="56" spans="1:20" x14ac:dyDescent="0.2">
      <c r="A56" s="70"/>
      <c r="B56" s="34" t="s">
        <v>198</v>
      </c>
      <c r="C56" s="35">
        <v>-276000</v>
      </c>
      <c r="D56" s="36">
        <v>402.49560869565215</v>
      </c>
      <c r="E56" s="37">
        <v>402.35</v>
      </c>
      <c r="F56" s="37">
        <v>281.30540999999999</v>
      </c>
      <c r="H56" s="57">
        <f t="shared" si="0"/>
        <v>-111048600</v>
      </c>
      <c r="K56" s="38"/>
      <c r="Q56" s="38"/>
      <c r="R56" s="38"/>
      <c r="S56" s="38"/>
      <c r="T56" s="38"/>
    </row>
    <row r="57" spans="1:20" x14ac:dyDescent="0.2">
      <c r="A57" s="70"/>
      <c r="B57" s="34" t="s">
        <v>251</v>
      </c>
      <c r="C57" s="35">
        <v>-81250</v>
      </c>
      <c r="D57" s="36">
        <v>631.29765538461538</v>
      </c>
      <c r="E57" s="37">
        <v>640.85</v>
      </c>
      <c r="F57" s="37">
        <v>117.9179219</v>
      </c>
      <c r="H57" s="57">
        <f t="shared" si="0"/>
        <v>-52069062.5</v>
      </c>
      <c r="K57" s="38"/>
      <c r="Q57" s="38"/>
      <c r="R57" s="38"/>
      <c r="S57" s="38"/>
      <c r="T57" s="38"/>
    </row>
    <row r="58" spans="1:20" x14ac:dyDescent="0.2">
      <c r="A58" s="70"/>
      <c r="B58" s="34" t="s">
        <v>457</v>
      </c>
      <c r="C58" s="35">
        <v>-21500</v>
      </c>
      <c r="D58" s="36">
        <v>1389.0767162790698</v>
      </c>
      <c r="E58" s="37">
        <v>1380.9</v>
      </c>
      <c r="F58" s="37">
        <v>64.096122500000007</v>
      </c>
      <c r="H58" s="57">
        <f t="shared" si="0"/>
        <v>-29689350.000000004</v>
      </c>
      <c r="K58" s="38"/>
      <c r="Q58" s="38"/>
      <c r="R58" s="38"/>
      <c r="S58" s="38"/>
      <c r="T58" s="38"/>
    </row>
    <row r="59" spans="1:20" x14ac:dyDescent="0.2">
      <c r="A59" s="70"/>
      <c r="B59" s="34" t="s">
        <v>217</v>
      </c>
      <c r="C59" s="35">
        <v>-60500</v>
      </c>
      <c r="D59" s="36">
        <v>1562.8517882644628</v>
      </c>
      <c r="E59" s="37">
        <v>1600.15</v>
      </c>
      <c r="F59" s="37">
        <v>176.7902263</v>
      </c>
      <c r="H59" s="57">
        <f t="shared" si="0"/>
        <v>-96809075</v>
      </c>
      <c r="K59" s="38"/>
      <c r="Q59" s="38"/>
      <c r="R59" s="38"/>
      <c r="S59" s="38"/>
      <c r="T59" s="38"/>
    </row>
    <row r="60" spans="1:20" x14ac:dyDescent="0.2">
      <c r="A60" s="70"/>
      <c r="B60" s="34" t="s">
        <v>51</v>
      </c>
      <c r="C60" s="35">
        <v>-1175900</v>
      </c>
      <c r="D60" s="36">
        <v>730.85840074836301</v>
      </c>
      <c r="E60" s="37">
        <v>726.15</v>
      </c>
      <c r="F60" s="37">
        <v>1902.6679347999998</v>
      </c>
      <c r="H60" s="57">
        <f t="shared" si="0"/>
        <v>-853879785</v>
      </c>
      <c r="K60" s="38"/>
      <c r="Q60" s="38"/>
      <c r="R60" s="38"/>
      <c r="S60" s="38"/>
      <c r="T60" s="38"/>
    </row>
    <row r="61" spans="1:20" x14ac:dyDescent="0.2">
      <c r="A61" s="70"/>
      <c r="B61" s="34" t="s">
        <v>458</v>
      </c>
      <c r="C61" s="35">
        <v>-34800</v>
      </c>
      <c r="D61" s="36">
        <v>2770.6077560344829</v>
      </c>
      <c r="E61" s="37">
        <v>2761.75</v>
      </c>
      <c r="F61" s="37">
        <v>248.441115</v>
      </c>
      <c r="H61" s="57">
        <f t="shared" si="0"/>
        <v>-96108900</v>
      </c>
      <c r="K61" s="38"/>
      <c r="Q61" s="38"/>
      <c r="R61" s="38"/>
      <c r="S61" s="38"/>
      <c r="T61" s="38"/>
    </row>
    <row r="62" spans="1:20" x14ac:dyDescent="0.2">
      <c r="A62" s="70"/>
      <c r="B62" s="34" t="s">
        <v>69</v>
      </c>
      <c r="C62" s="35">
        <v>-234300</v>
      </c>
      <c r="D62" s="36">
        <v>2887.6088262483995</v>
      </c>
      <c r="E62" s="37">
        <v>2846.9</v>
      </c>
      <c r="F62" s="37">
        <v>1396.6423844999999</v>
      </c>
      <c r="H62" s="57">
        <f t="shared" si="0"/>
        <v>-667028670</v>
      </c>
      <c r="K62" s="38"/>
      <c r="Q62" s="38"/>
      <c r="R62" s="38"/>
      <c r="S62" s="38"/>
      <c r="T62" s="38"/>
    </row>
    <row r="63" spans="1:20" x14ac:dyDescent="0.2">
      <c r="A63" s="70"/>
      <c r="B63" s="34" t="s">
        <v>459</v>
      </c>
      <c r="C63" s="35">
        <v>-713800</v>
      </c>
      <c r="D63" s="36">
        <v>476.51284407397031</v>
      </c>
      <c r="E63" s="37">
        <v>488.6</v>
      </c>
      <c r="F63" s="37">
        <v>965.20749799999999</v>
      </c>
      <c r="H63" s="57">
        <f t="shared" si="0"/>
        <v>-348762680</v>
      </c>
      <c r="K63" s="38"/>
      <c r="Q63" s="38"/>
      <c r="R63" s="38"/>
      <c r="S63" s="38"/>
      <c r="T63" s="38"/>
    </row>
    <row r="64" spans="1:20" x14ac:dyDescent="0.2">
      <c r="A64" s="70"/>
      <c r="B64" s="34" t="s">
        <v>162</v>
      </c>
      <c r="C64" s="35">
        <v>-702000</v>
      </c>
      <c r="D64" s="36">
        <v>296.19955538461539</v>
      </c>
      <c r="E64" s="37">
        <v>300.5</v>
      </c>
      <c r="F64" s="37">
        <v>732.23865000000001</v>
      </c>
      <c r="H64" s="57">
        <f t="shared" si="0"/>
        <v>-210951000</v>
      </c>
      <c r="K64" s="38"/>
      <c r="Q64" s="38"/>
      <c r="R64" s="38"/>
      <c r="S64" s="38"/>
      <c r="T64" s="38"/>
    </row>
    <row r="65" spans="1:20" x14ac:dyDescent="0.2">
      <c r="A65" s="70"/>
      <c r="B65" s="34" t="s">
        <v>460</v>
      </c>
      <c r="C65" s="35">
        <v>-502200</v>
      </c>
      <c r="D65" s="36">
        <v>230.4913</v>
      </c>
      <c r="E65" s="37">
        <v>232.65</v>
      </c>
      <c r="F65" s="37">
        <v>585.82132200000001</v>
      </c>
      <c r="H65" s="57">
        <f t="shared" si="0"/>
        <v>-116836830</v>
      </c>
      <c r="K65" s="38"/>
      <c r="Q65" s="38"/>
      <c r="R65" s="38"/>
      <c r="S65" s="38"/>
      <c r="T65" s="38"/>
    </row>
    <row r="66" spans="1:20" x14ac:dyDescent="0.2">
      <c r="A66" s="70"/>
      <c r="B66" s="34" t="s">
        <v>41</v>
      </c>
      <c r="C66" s="35">
        <v>-2473625</v>
      </c>
      <c r="D66" s="36">
        <v>723.12387688109561</v>
      </c>
      <c r="E66" s="37">
        <v>704.2</v>
      </c>
      <c r="F66" s="37">
        <v>4033.9134438000001</v>
      </c>
      <c r="H66" s="57">
        <f t="shared" si="0"/>
        <v>-1741926725</v>
      </c>
      <c r="K66" s="38"/>
      <c r="Q66" s="38"/>
      <c r="R66" s="38"/>
      <c r="S66" s="38"/>
      <c r="T66" s="38"/>
    </row>
    <row r="67" spans="1:20" x14ac:dyDescent="0.2">
      <c r="A67" s="70"/>
      <c r="B67" s="34" t="s">
        <v>461</v>
      </c>
      <c r="C67" s="35">
        <v>-3710000</v>
      </c>
      <c r="D67" s="36">
        <v>11.75</v>
      </c>
      <c r="E67" s="37">
        <v>12</v>
      </c>
      <c r="F67" s="37">
        <v>246.715</v>
      </c>
      <c r="H67" s="57">
        <f t="shared" si="0"/>
        <v>-44520000</v>
      </c>
      <c r="K67" s="38"/>
      <c r="Q67" s="38"/>
      <c r="R67" s="38"/>
      <c r="S67" s="38"/>
      <c r="T67" s="38"/>
    </row>
    <row r="68" spans="1:20" x14ac:dyDescent="0.2">
      <c r="A68" s="70"/>
      <c r="B68" s="34" t="s">
        <v>97</v>
      </c>
      <c r="C68" s="35">
        <v>-9946500</v>
      </c>
      <c r="D68" s="36">
        <v>47.935926074498568</v>
      </c>
      <c r="E68" s="37">
        <v>47.9</v>
      </c>
      <c r="F68" s="37">
        <v>2237.6143725000002</v>
      </c>
      <c r="H68" s="57">
        <f t="shared" si="0"/>
        <v>-476437350</v>
      </c>
      <c r="K68" s="38"/>
      <c r="Q68" s="38"/>
      <c r="R68" s="38"/>
      <c r="S68" s="38"/>
      <c r="T68" s="38"/>
    </row>
    <row r="69" spans="1:20" x14ac:dyDescent="0.2">
      <c r="A69" s="70"/>
      <c r="B69" s="34" t="s">
        <v>462</v>
      </c>
      <c r="C69" s="35">
        <v>-30500</v>
      </c>
      <c r="D69" s="36">
        <v>4634.9913918032789</v>
      </c>
      <c r="E69" s="37">
        <v>4583.55</v>
      </c>
      <c r="F69" s="37">
        <v>285.84424630000001</v>
      </c>
      <c r="H69" s="57">
        <f t="shared" si="0"/>
        <v>-139798275</v>
      </c>
      <c r="K69" s="38"/>
      <c r="Q69" s="38"/>
      <c r="R69" s="38"/>
      <c r="S69" s="38"/>
      <c r="T69" s="38"/>
    </row>
    <row r="70" spans="1:20" x14ac:dyDescent="0.2">
      <c r="A70" s="70"/>
      <c r="B70" s="34" t="s">
        <v>236</v>
      </c>
      <c r="C70" s="35">
        <v>-386100</v>
      </c>
      <c r="D70" s="36">
        <v>182.81209999999999</v>
      </c>
      <c r="E70" s="37">
        <v>182.5</v>
      </c>
      <c r="F70" s="37">
        <v>180.9168075</v>
      </c>
      <c r="H70" s="57">
        <f t="shared" si="0"/>
        <v>-70463250</v>
      </c>
      <c r="K70" s="38"/>
      <c r="Q70" s="38"/>
      <c r="R70" s="38"/>
      <c r="S70" s="38"/>
      <c r="T70" s="38"/>
    </row>
    <row r="71" spans="1:20" x14ac:dyDescent="0.2">
      <c r="A71" s="70"/>
      <c r="B71" s="34" t="s">
        <v>253</v>
      </c>
      <c r="C71" s="35">
        <v>-5400</v>
      </c>
      <c r="D71" s="36">
        <v>8568.7569129629628</v>
      </c>
      <c r="E71" s="37">
        <v>8389.4500000000007</v>
      </c>
      <c r="F71" s="37">
        <v>129.9861405</v>
      </c>
      <c r="H71" s="57">
        <f t="shared" si="0"/>
        <v>-45303030.000000007</v>
      </c>
      <c r="K71" s="38"/>
      <c r="Q71" s="38"/>
      <c r="R71" s="38"/>
      <c r="S71" s="38"/>
      <c r="T71" s="38"/>
    </row>
    <row r="72" spans="1:20" x14ac:dyDescent="0.2">
      <c r="A72" s="70"/>
      <c r="B72" s="34" t="s">
        <v>221</v>
      </c>
      <c r="C72" s="35">
        <v>-150000</v>
      </c>
      <c r="D72" s="36">
        <v>605.37791500000003</v>
      </c>
      <c r="E72" s="37">
        <v>648.54999999999995</v>
      </c>
      <c r="F72" s="37">
        <v>246.22387499999999</v>
      </c>
      <c r="H72" s="57">
        <f t="shared" si="0"/>
        <v>-97282500</v>
      </c>
      <c r="K72" s="38"/>
      <c r="Q72" s="38"/>
      <c r="R72" s="38"/>
      <c r="S72" s="38"/>
      <c r="T72" s="38"/>
    </row>
    <row r="73" spans="1:20" x14ac:dyDescent="0.2">
      <c r="A73" s="70"/>
      <c r="B73" s="34" t="s">
        <v>157</v>
      </c>
      <c r="C73" s="35">
        <v>-218700</v>
      </c>
      <c r="D73" s="36">
        <v>1026.5625</v>
      </c>
      <c r="E73" s="37">
        <v>1117.7</v>
      </c>
      <c r="F73" s="37">
        <v>1262.5540065</v>
      </c>
      <c r="H73" s="57">
        <f t="shared" si="0"/>
        <v>-244440990</v>
      </c>
      <c r="K73" s="38"/>
      <c r="Q73" s="38"/>
      <c r="R73" s="38"/>
      <c r="S73" s="38"/>
      <c r="T73" s="38"/>
    </row>
    <row r="74" spans="1:20" x14ac:dyDescent="0.2">
      <c r="A74" s="70"/>
      <c r="B74" s="34" t="s">
        <v>299</v>
      </c>
      <c r="C74" s="35">
        <v>-6500</v>
      </c>
      <c r="D74" s="36">
        <v>2163.0576000000001</v>
      </c>
      <c r="E74" s="37">
        <v>2024.75</v>
      </c>
      <c r="F74" s="37">
        <v>37.020506300000001</v>
      </c>
      <c r="H74" s="57">
        <f t="shared" si="0"/>
        <v>-13160875</v>
      </c>
      <c r="K74" s="38"/>
      <c r="Q74" s="38"/>
      <c r="R74" s="38"/>
      <c r="S74" s="38"/>
      <c r="T74" s="38"/>
    </row>
    <row r="75" spans="1:20" x14ac:dyDescent="0.2">
      <c r="A75" s="70"/>
      <c r="B75" s="34" t="s">
        <v>164</v>
      </c>
      <c r="C75" s="35">
        <v>-1592500</v>
      </c>
      <c r="D75" s="36">
        <v>123.00201714285714</v>
      </c>
      <c r="E75" s="37">
        <v>125.75</v>
      </c>
      <c r="F75" s="37">
        <v>425.05815630000001</v>
      </c>
      <c r="H75" s="57">
        <f t="shared" si="0"/>
        <v>-200256875</v>
      </c>
      <c r="K75" s="38"/>
      <c r="Q75" s="38"/>
      <c r="R75" s="38"/>
      <c r="S75" s="38"/>
      <c r="T75" s="38"/>
    </row>
    <row r="76" spans="1:20" x14ac:dyDescent="0.2">
      <c r="A76" s="70"/>
      <c r="B76" s="34" t="s">
        <v>238</v>
      </c>
      <c r="C76" s="35">
        <v>-130625</v>
      </c>
      <c r="D76" s="36">
        <v>516.83310001913878</v>
      </c>
      <c r="E76" s="37">
        <v>535.35</v>
      </c>
      <c r="F76" s="37">
        <v>160.14266279999998</v>
      </c>
      <c r="H76" s="57">
        <f t="shared" si="0"/>
        <v>-69930093.75</v>
      </c>
      <c r="K76" s="38"/>
      <c r="Q76" s="38"/>
      <c r="R76" s="38"/>
      <c r="S76" s="38"/>
      <c r="T76" s="38"/>
    </row>
    <row r="77" spans="1:20" x14ac:dyDescent="0.2">
      <c r="A77" s="70"/>
      <c r="B77" s="34" t="s">
        <v>463</v>
      </c>
      <c r="C77" s="35">
        <v>-12025</v>
      </c>
      <c r="D77" s="36">
        <v>3849.1120997920998</v>
      </c>
      <c r="E77" s="37">
        <v>3814.15</v>
      </c>
      <c r="F77" s="37">
        <v>139.0676995</v>
      </c>
      <c r="H77" s="57">
        <f t="shared" si="0"/>
        <v>-45865153.75</v>
      </c>
      <c r="K77" s="38"/>
      <c r="Q77" s="38"/>
      <c r="R77" s="38"/>
      <c r="S77" s="38"/>
      <c r="T77" s="38"/>
    </row>
    <row r="78" spans="1:20" x14ac:dyDescent="0.2">
      <c r="A78" s="70"/>
      <c r="B78" s="34" t="s">
        <v>30</v>
      </c>
      <c r="C78" s="35">
        <v>-9849600</v>
      </c>
      <c r="D78" s="36">
        <v>237.83420747238466</v>
      </c>
      <c r="E78" s="37">
        <v>236.85</v>
      </c>
      <c r="F78" s="37">
        <v>5089.263696</v>
      </c>
      <c r="H78" s="57">
        <f t="shared" si="0"/>
        <v>-2332877760</v>
      </c>
      <c r="K78" s="38"/>
      <c r="Q78" s="38"/>
      <c r="R78" s="38"/>
      <c r="S78" s="38"/>
      <c r="T78" s="38"/>
    </row>
    <row r="79" spans="1:20" x14ac:dyDescent="0.2">
      <c r="A79" s="70"/>
      <c r="B79" s="34" t="s">
        <v>49</v>
      </c>
      <c r="C79" s="35">
        <v>-2632500</v>
      </c>
      <c r="D79" s="36">
        <v>375.75064624881293</v>
      </c>
      <c r="E79" s="37">
        <v>390.2</v>
      </c>
      <c r="F79" s="37">
        <v>3657.4375500000001</v>
      </c>
      <c r="H79" s="57">
        <f t="shared" si="0"/>
        <v>-1027201500</v>
      </c>
      <c r="K79" s="38"/>
      <c r="Q79" s="38"/>
      <c r="R79" s="38"/>
      <c r="S79" s="38"/>
      <c r="T79" s="38"/>
    </row>
    <row r="80" spans="1:20" x14ac:dyDescent="0.2">
      <c r="A80" s="70"/>
      <c r="B80" s="34" t="s">
        <v>464</v>
      </c>
      <c r="C80" s="35">
        <v>-2704050</v>
      </c>
      <c r="D80" s="36">
        <v>662.93986750245006</v>
      </c>
      <c r="E80" s="37">
        <v>671.95</v>
      </c>
      <c r="F80" s="37">
        <v>4758.2694691000006</v>
      </c>
      <c r="H80" s="57">
        <f t="shared" si="0"/>
        <v>-1816986397.5000002</v>
      </c>
      <c r="K80" s="38"/>
      <c r="Q80" s="38"/>
      <c r="R80" s="38"/>
      <c r="S80" s="38"/>
      <c r="T80" s="38"/>
    </row>
    <row r="81" spans="1:20" x14ac:dyDescent="0.2">
      <c r="A81" s="70"/>
      <c r="B81" s="34" t="s">
        <v>212</v>
      </c>
      <c r="C81" s="35">
        <v>-26000</v>
      </c>
      <c r="D81" s="36">
        <v>4075.2206000000001</v>
      </c>
      <c r="E81" s="37">
        <v>4066.05</v>
      </c>
      <c r="F81" s="37">
        <v>441.750855</v>
      </c>
      <c r="H81" s="57">
        <f t="shared" si="0"/>
        <v>-105717300</v>
      </c>
      <c r="K81" s="38"/>
      <c r="Q81" s="38"/>
      <c r="R81" s="38"/>
      <c r="S81" s="38"/>
      <c r="T81" s="38"/>
    </row>
    <row r="82" spans="1:20" x14ac:dyDescent="0.2">
      <c r="A82" s="70"/>
      <c r="B82" s="34" t="s">
        <v>147</v>
      </c>
      <c r="C82" s="35">
        <v>-3257260</v>
      </c>
      <c r="D82" s="36">
        <v>89.632190411572921</v>
      </c>
      <c r="E82" s="37">
        <v>91.45</v>
      </c>
      <c r="F82" s="37">
        <v>864.51344419999998</v>
      </c>
      <c r="H82" s="57">
        <f t="shared" si="0"/>
        <v>-297876427</v>
      </c>
      <c r="K82" s="38"/>
      <c r="Q82" s="38"/>
      <c r="R82" s="38"/>
      <c r="S82" s="38"/>
      <c r="T82" s="38"/>
    </row>
    <row r="83" spans="1:20" x14ac:dyDescent="0.2">
      <c r="A83" s="70"/>
      <c r="B83" s="34" t="s">
        <v>264</v>
      </c>
      <c r="C83" s="35">
        <v>-6900</v>
      </c>
      <c r="D83" s="36">
        <v>5743.1401999999998</v>
      </c>
      <c r="E83" s="37">
        <v>5775.75</v>
      </c>
      <c r="F83" s="37">
        <v>91.979156300000014</v>
      </c>
      <c r="H83" s="57">
        <f t="shared" si="0"/>
        <v>-39852675</v>
      </c>
      <c r="K83" s="38"/>
      <c r="Q83" s="38"/>
      <c r="R83" s="38"/>
      <c r="S83" s="38"/>
      <c r="T83" s="38"/>
    </row>
    <row r="84" spans="1:20" x14ac:dyDescent="0.2">
      <c r="A84" s="70"/>
      <c r="B84" s="34" t="s">
        <v>95</v>
      </c>
      <c r="C84" s="35">
        <v>-1240000</v>
      </c>
      <c r="D84" s="36">
        <v>431.3698829032258</v>
      </c>
      <c r="E84" s="37">
        <v>429.25</v>
      </c>
      <c r="F84" s="37">
        <v>1620.4784999999999</v>
      </c>
      <c r="H84" s="57">
        <f t="shared" si="0"/>
        <v>-532270000</v>
      </c>
      <c r="K84" s="38"/>
      <c r="Q84" s="38"/>
      <c r="R84" s="38"/>
      <c r="S84" s="38"/>
      <c r="T84" s="38"/>
    </row>
    <row r="85" spans="1:20" x14ac:dyDescent="0.2">
      <c r="A85" s="70"/>
      <c r="B85" s="34" t="s">
        <v>115</v>
      </c>
      <c r="C85" s="35">
        <v>-386750</v>
      </c>
      <c r="D85" s="36">
        <v>949.04974906270195</v>
      </c>
      <c r="E85" s="37">
        <v>955.25</v>
      </c>
      <c r="F85" s="37">
        <v>812.73095810000007</v>
      </c>
      <c r="H85" s="57">
        <f t="shared" si="0"/>
        <v>-369442937.5</v>
      </c>
      <c r="K85" s="38"/>
      <c r="Q85" s="38"/>
      <c r="R85" s="38"/>
      <c r="S85" s="38"/>
      <c r="T85" s="38"/>
    </row>
    <row r="86" spans="1:20" x14ac:dyDescent="0.2">
      <c r="A86" s="70"/>
      <c r="B86" s="34" t="s">
        <v>465</v>
      </c>
      <c r="C86" s="35">
        <v>-816000</v>
      </c>
      <c r="D86" s="36">
        <v>182.15</v>
      </c>
      <c r="E86" s="37">
        <v>185.7</v>
      </c>
      <c r="F86" s="37">
        <v>468.37992000000003</v>
      </c>
      <c r="H86" s="57">
        <f t="shared" si="0"/>
        <v>-151531200</v>
      </c>
      <c r="K86" s="38"/>
      <c r="Q86" s="38"/>
      <c r="R86" s="38"/>
      <c r="S86" s="38"/>
      <c r="T86" s="38"/>
    </row>
    <row r="87" spans="1:20" x14ac:dyDescent="0.2">
      <c r="A87" s="70"/>
      <c r="B87" s="34" t="s">
        <v>83</v>
      </c>
      <c r="C87" s="35">
        <v>-690200</v>
      </c>
      <c r="D87" s="36">
        <v>804.26574797160242</v>
      </c>
      <c r="E87" s="37">
        <v>804.9</v>
      </c>
      <c r="F87" s="37">
        <v>1676.6441930000001</v>
      </c>
      <c r="H87" s="57">
        <f t="shared" si="0"/>
        <v>-555541980</v>
      </c>
      <c r="K87" s="38"/>
      <c r="Q87" s="38"/>
      <c r="R87" s="38"/>
      <c r="S87" s="38"/>
      <c r="T87" s="38"/>
    </row>
    <row r="88" spans="1:20" x14ac:dyDescent="0.2">
      <c r="A88" s="70"/>
      <c r="B88" s="34" t="s">
        <v>257</v>
      </c>
      <c r="C88" s="35">
        <v>-45050</v>
      </c>
      <c r="D88" s="36">
        <v>989.42169256381794</v>
      </c>
      <c r="E88" s="37">
        <v>985.6</v>
      </c>
      <c r="F88" s="37">
        <v>92.535408000000004</v>
      </c>
      <c r="H88" s="57">
        <f t="shared" si="0"/>
        <v>-44401280</v>
      </c>
      <c r="K88" s="38"/>
      <c r="Q88" s="38"/>
      <c r="R88" s="38"/>
      <c r="S88" s="38"/>
      <c r="T88" s="38"/>
    </row>
    <row r="89" spans="1:20" x14ac:dyDescent="0.2">
      <c r="A89" s="70"/>
      <c r="B89" s="34" t="s">
        <v>215</v>
      </c>
      <c r="C89" s="35">
        <v>-96600</v>
      </c>
      <c r="D89" s="36">
        <v>1117.3574242236025</v>
      </c>
      <c r="E89" s="37">
        <v>1088.75</v>
      </c>
      <c r="F89" s="37">
        <v>256.92339750000002</v>
      </c>
      <c r="H89" s="57">
        <f t="shared" si="0"/>
        <v>-105173250</v>
      </c>
      <c r="K89" s="38"/>
      <c r="Q89" s="38"/>
      <c r="R89" s="38"/>
      <c r="S89" s="38"/>
      <c r="T89" s="38"/>
    </row>
    <row r="90" spans="1:20" x14ac:dyDescent="0.2">
      <c r="A90" s="70"/>
      <c r="B90" s="34" t="s">
        <v>278</v>
      </c>
      <c r="C90" s="35">
        <v>-210000</v>
      </c>
      <c r="D90" s="36">
        <v>169.04998000000001</v>
      </c>
      <c r="E90" s="37">
        <v>169.95</v>
      </c>
      <c r="F90" s="37">
        <v>112.829325</v>
      </c>
      <c r="H90" s="57">
        <f t="shared" si="0"/>
        <v>-35689500</v>
      </c>
      <c r="K90" s="38"/>
      <c r="Q90" s="38"/>
      <c r="R90" s="38"/>
      <c r="S90" s="38"/>
      <c r="T90" s="38"/>
    </row>
    <row r="91" spans="1:20" x14ac:dyDescent="0.2">
      <c r="A91" s="70"/>
      <c r="B91" s="34" t="s">
        <v>466</v>
      </c>
      <c r="C91" s="35">
        <v>-210000</v>
      </c>
      <c r="D91" s="36">
        <v>551.6618552380952</v>
      </c>
      <c r="E91" s="37">
        <v>550.04999999999995</v>
      </c>
      <c r="F91" s="37">
        <v>203.892675</v>
      </c>
      <c r="H91" s="57">
        <f t="shared" ref="H91:H103" si="1">+E91*C91</f>
        <v>-115510499.99999999</v>
      </c>
      <c r="K91" s="38"/>
      <c r="Q91" s="38"/>
      <c r="R91" s="38"/>
      <c r="S91" s="38"/>
      <c r="T91" s="38"/>
    </row>
    <row r="92" spans="1:20" x14ac:dyDescent="0.2">
      <c r="A92" s="70"/>
      <c r="B92" s="34" t="s">
        <v>54</v>
      </c>
      <c r="C92" s="35">
        <v>-114200</v>
      </c>
      <c r="D92" s="36">
        <v>7332.544115499124</v>
      </c>
      <c r="E92" s="37">
        <v>7354.4</v>
      </c>
      <c r="F92" s="37">
        <v>2214.7879480000001</v>
      </c>
      <c r="H92" s="57">
        <f t="shared" si="1"/>
        <v>-839872480</v>
      </c>
      <c r="K92" s="38"/>
      <c r="Q92" s="38"/>
      <c r="R92" s="38"/>
      <c r="S92" s="38"/>
      <c r="T92" s="38"/>
    </row>
    <row r="93" spans="1:20" x14ac:dyDescent="0.2">
      <c r="A93" s="70"/>
      <c r="B93" s="34" t="s">
        <v>467</v>
      </c>
      <c r="C93" s="35">
        <v>-71500</v>
      </c>
      <c r="D93" s="36">
        <v>1000.57908</v>
      </c>
      <c r="E93" s="37">
        <v>1016.85</v>
      </c>
      <c r="F93" s="37">
        <v>234.20522129999998</v>
      </c>
      <c r="H93" s="57">
        <f t="shared" si="1"/>
        <v>-72704775</v>
      </c>
      <c r="K93" s="38"/>
      <c r="Q93" s="38"/>
      <c r="R93" s="38"/>
      <c r="S93" s="38"/>
      <c r="T93" s="38"/>
    </row>
    <row r="94" spans="1:20" x14ac:dyDescent="0.2">
      <c r="A94" s="70"/>
      <c r="B94" s="34" t="s">
        <v>57</v>
      </c>
      <c r="C94" s="35">
        <v>-965000</v>
      </c>
      <c r="D94" s="36">
        <v>824.25040611398958</v>
      </c>
      <c r="E94" s="37">
        <v>856.65</v>
      </c>
      <c r="F94" s="37">
        <v>1661.6600375</v>
      </c>
      <c r="H94" s="57">
        <f t="shared" si="1"/>
        <v>-826667250</v>
      </c>
      <c r="K94" s="38"/>
      <c r="Q94" s="38"/>
      <c r="R94" s="38"/>
      <c r="S94" s="38"/>
      <c r="T94" s="38"/>
    </row>
    <row r="95" spans="1:20" x14ac:dyDescent="0.2">
      <c r="A95" s="70"/>
      <c r="B95" s="34" t="s">
        <v>282</v>
      </c>
      <c r="C95" s="35">
        <v>-1650</v>
      </c>
      <c r="D95" s="36">
        <v>14965.036375757576</v>
      </c>
      <c r="E95" s="37">
        <v>15553.75</v>
      </c>
      <c r="F95" s="37">
        <v>57.266900599999992</v>
      </c>
      <c r="H95" s="57">
        <f t="shared" si="1"/>
        <v>-25663687.5</v>
      </c>
      <c r="K95" s="38"/>
      <c r="Q95" s="38"/>
      <c r="R95" s="38"/>
      <c r="S95" s="38"/>
      <c r="T95" s="38"/>
    </row>
    <row r="96" spans="1:20" x14ac:dyDescent="0.2">
      <c r="A96" s="70"/>
      <c r="B96" s="34" t="s">
        <v>468</v>
      </c>
      <c r="C96" s="35">
        <v>-41200</v>
      </c>
      <c r="D96" s="36">
        <v>4165.5213592233013</v>
      </c>
      <c r="E96" s="37">
        <v>4219.6499999999996</v>
      </c>
      <c r="F96" s="37">
        <v>469.46483299999994</v>
      </c>
      <c r="H96" s="57">
        <f t="shared" si="1"/>
        <v>-173849579.99999997</v>
      </c>
      <c r="K96" s="38"/>
      <c r="Q96" s="38"/>
      <c r="R96" s="38"/>
      <c r="S96" s="38"/>
      <c r="T96" s="38"/>
    </row>
    <row r="97" spans="1:20" x14ac:dyDescent="0.2">
      <c r="A97" s="70"/>
      <c r="B97" s="34" t="s">
        <v>284</v>
      </c>
      <c r="C97" s="35">
        <v>-108500</v>
      </c>
      <c r="D97" s="36">
        <v>228.45805806451614</v>
      </c>
      <c r="E97" s="37">
        <v>227.2</v>
      </c>
      <c r="F97" s="37">
        <v>85.033619999999999</v>
      </c>
      <c r="H97" s="57">
        <f t="shared" si="1"/>
        <v>-24651200</v>
      </c>
      <c r="K97" s="38"/>
      <c r="Q97" s="38"/>
      <c r="R97" s="38"/>
      <c r="S97" s="38"/>
      <c r="T97" s="38"/>
    </row>
    <row r="98" spans="1:20" x14ac:dyDescent="0.2">
      <c r="A98" s="70"/>
      <c r="B98" s="34" t="s">
        <v>184</v>
      </c>
      <c r="C98" s="35">
        <v>-1820</v>
      </c>
      <c r="D98" s="36">
        <v>79856.410906593403</v>
      </c>
      <c r="E98" s="37">
        <v>79529.399999999994</v>
      </c>
      <c r="F98" s="37">
        <v>278.21937780000002</v>
      </c>
      <c r="H98" s="57">
        <f t="shared" si="1"/>
        <v>-144743508</v>
      </c>
      <c r="K98" s="38"/>
      <c r="Q98" s="38"/>
      <c r="R98" s="38"/>
      <c r="S98" s="38"/>
      <c r="T98" s="38"/>
    </row>
    <row r="99" spans="1:20" x14ac:dyDescent="0.2">
      <c r="A99" s="70"/>
      <c r="B99" s="34" t="s">
        <v>469</v>
      </c>
      <c r="C99" s="35">
        <v>-6063750</v>
      </c>
      <c r="D99" s="36">
        <v>753.84851748340543</v>
      </c>
      <c r="E99" s="37">
        <v>739.95</v>
      </c>
      <c r="F99" s="37">
        <v>12799.1512688</v>
      </c>
      <c r="H99" s="57">
        <f t="shared" si="1"/>
        <v>-4486871812.5</v>
      </c>
      <c r="K99" s="38"/>
      <c r="Q99" s="38"/>
      <c r="R99" s="38"/>
      <c r="S99" s="38"/>
      <c r="T99" s="38"/>
    </row>
    <row r="100" spans="1:20" x14ac:dyDescent="0.2">
      <c r="A100" s="70"/>
      <c r="B100" s="34" t="s">
        <v>470</v>
      </c>
      <c r="C100" s="35">
        <v>-202500</v>
      </c>
      <c r="D100" s="36">
        <v>1470.2483192592592</v>
      </c>
      <c r="E100" s="37">
        <v>1457.55</v>
      </c>
      <c r="F100" s="37">
        <v>807.96335629999999</v>
      </c>
      <c r="H100" s="57">
        <f t="shared" si="1"/>
        <v>-295153875</v>
      </c>
      <c r="K100" s="38"/>
      <c r="Q100" s="38"/>
      <c r="R100" s="38"/>
      <c r="S100" s="38"/>
      <c r="T100" s="38"/>
    </row>
    <row r="101" spans="1:20" x14ac:dyDescent="0.2">
      <c r="A101" s="70"/>
      <c r="B101" s="34" t="s">
        <v>471</v>
      </c>
      <c r="C101" s="35">
        <v>-85000</v>
      </c>
      <c r="D101" s="36">
        <v>90.5</v>
      </c>
      <c r="E101" s="37">
        <v>93.95</v>
      </c>
      <c r="F101" s="37">
        <v>33.32255</v>
      </c>
      <c r="H101" s="57">
        <f t="shared" si="1"/>
        <v>-7985750</v>
      </c>
      <c r="K101" s="38"/>
      <c r="Q101" s="38"/>
      <c r="R101" s="38"/>
      <c r="S101" s="38"/>
      <c r="T101" s="38"/>
    </row>
    <row r="102" spans="1:20" x14ac:dyDescent="0.2">
      <c r="A102" s="70"/>
      <c r="B102" s="34" t="s">
        <v>472</v>
      </c>
      <c r="C102" s="35">
        <v>-16000</v>
      </c>
      <c r="D102" s="36">
        <v>6586.0648474999998</v>
      </c>
      <c r="E102" s="37">
        <v>6453.95</v>
      </c>
      <c r="F102" s="37">
        <v>266.44452000000001</v>
      </c>
      <c r="H102" s="57">
        <f t="shared" si="1"/>
        <v>-103263200</v>
      </c>
      <c r="K102" s="38"/>
      <c r="Q102" s="38"/>
      <c r="R102" s="38"/>
      <c r="S102" s="38"/>
      <c r="T102" s="38"/>
    </row>
    <row r="103" spans="1:20" x14ac:dyDescent="0.2">
      <c r="A103" s="70"/>
      <c r="B103" s="34" t="s">
        <v>473</v>
      </c>
      <c r="C103" s="35">
        <v>-289300</v>
      </c>
      <c r="D103" s="36">
        <v>2654.986485413066</v>
      </c>
      <c r="E103" s="37">
        <v>2609.65</v>
      </c>
      <c r="F103" s="37">
        <v>3722.6769608</v>
      </c>
      <c r="H103" s="57">
        <f t="shared" si="1"/>
        <v>-754971745</v>
      </c>
      <c r="K103" s="38"/>
      <c r="Q103" s="38"/>
      <c r="R103" s="38"/>
      <c r="S103" s="38"/>
      <c r="T103" s="38"/>
    </row>
    <row r="104" spans="1:20" x14ac:dyDescent="0.2">
      <c r="A104" s="70"/>
      <c r="B104" s="34" t="s">
        <v>81</v>
      </c>
      <c r="C104" s="35">
        <v>-4127200</v>
      </c>
      <c r="D104" s="36">
        <v>145.45501964285714</v>
      </c>
      <c r="E104" s="37">
        <v>143.69999999999999</v>
      </c>
      <c r="F104" s="37">
        <v>2024.3296919999998</v>
      </c>
      <c r="K104" s="38"/>
      <c r="Q104" s="38"/>
      <c r="R104" s="38"/>
      <c r="S104" s="38"/>
      <c r="T104" s="38"/>
    </row>
    <row r="105" spans="1:20" x14ac:dyDescent="0.2">
      <c r="A105" s="70"/>
      <c r="B105" s="34" t="s">
        <v>242</v>
      </c>
      <c r="C105" s="35">
        <v>-492800</v>
      </c>
      <c r="D105" s="36">
        <v>139.79944993912338</v>
      </c>
      <c r="E105" s="37">
        <v>144.85</v>
      </c>
      <c r="F105" s="37">
        <v>363.73444799999999</v>
      </c>
      <c r="K105" s="38"/>
      <c r="Q105" s="38"/>
      <c r="R105" s="38"/>
      <c r="S105" s="38"/>
      <c r="T105" s="38"/>
    </row>
    <row r="106" spans="1:20" x14ac:dyDescent="0.2">
      <c r="A106" s="70"/>
      <c r="B106" s="34" t="s">
        <v>301</v>
      </c>
      <c r="C106" s="35">
        <v>-450</v>
      </c>
      <c r="D106" s="36">
        <v>34052.806666666664</v>
      </c>
      <c r="E106" s="37">
        <v>31905.9</v>
      </c>
      <c r="F106" s="37">
        <v>31.461559300000001</v>
      </c>
      <c r="K106" s="38"/>
      <c r="Q106" s="38"/>
      <c r="R106" s="38"/>
      <c r="S106" s="38"/>
      <c r="T106" s="38"/>
    </row>
    <row r="107" spans="1:20" x14ac:dyDescent="0.2">
      <c r="A107" s="70"/>
      <c r="B107" s="34" t="s">
        <v>247</v>
      </c>
      <c r="C107" s="35">
        <v>-236600</v>
      </c>
      <c r="D107" s="36">
        <v>224.73673846153847</v>
      </c>
      <c r="E107" s="37">
        <v>247.3</v>
      </c>
      <c r="F107" s="37">
        <v>145.61665300000001</v>
      </c>
      <c r="K107" s="38"/>
      <c r="Q107" s="38"/>
      <c r="R107" s="38"/>
      <c r="S107" s="38"/>
      <c r="T107" s="38"/>
    </row>
    <row r="108" spans="1:20" x14ac:dyDescent="0.2">
      <c r="A108" s="70"/>
      <c r="B108" s="34" t="s">
        <v>474</v>
      </c>
      <c r="C108" s="35">
        <v>-1524000</v>
      </c>
      <c r="D108" s="36">
        <v>240.74706988188976</v>
      </c>
      <c r="E108" s="37">
        <v>239.55</v>
      </c>
      <c r="F108" s="37">
        <v>992.79836999999998</v>
      </c>
      <c r="K108" s="38"/>
      <c r="Q108" s="38"/>
      <c r="R108" s="38"/>
      <c r="S108" s="38"/>
      <c r="T108" s="38"/>
    </row>
    <row r="109" spans="1:20" x14ac:dyDescent="0.2">
      <c r="A109" s="70"/>
      <c r="B109" s="34" t="s">
        <v>224</v>
      </c>
      <c r="C109" s="35">
        <v>-17625</v>
      </c>
      <c r="D109" s="36">
        <v>5678.3506604255317</v>
      </c>
      <c r="E109" s="37">
        <v>5609.65</v>
      </c>
      <c r="F109" s="37">
        <v>187.96141839999999</v>
      </c>
      <c r="K109" s="38"/>
      <c r="Q109" s="38"/>
      <c r="R109" s="38"/>
      <c r="S109" s="38"/>
      <c r="T109" s="38"/>
    </row>
    <row r="110" spans="1:20" x14ac:dyDescent="0.2">
      <c r="A110" s="70"/>
      <c r="B110" s="34" t="s">
        <v>166</v>
      </c>
      <c r="C110" s="35">
        <v>-84000</v>
      </c>
      <c r="D110" s="36">
        <v>2402.2264089285713</v>
      </c>
      <c r="E110" s="37">
        <v>2387.0500000000002</v>
      </c>
      <c r="F110" s="37">
        <v>383.74286999999998</v>
      </c>
      <c r="K110" s="38"/>
      <c r="Q110" s="38"/>
      <c r="R110" s="38"/>
      <c r="S110" s="38"/>
      <c r="T110" s="38"/>
    </row>
    <row r="111" spans="1:20" x14ac:dyDescent="0.2">
      <c r="A111" s="70"/>
      <c r="B111" s="34" t="s">
        <v>475</v>
      </c>
      <c r="C111" s="35">
        <v>-34750</v>
      </c>
      <c r="D111" s="36">
        <v>3230.1938791366906</v>
      </c>
      <c r="E111" s="37">
        <v>3186.25</v>
      </c>
      <c r="F111" s="37">
        <v>258.70636559999997</v>
      </c>
      <c r="K111" s="38"/>
      <c r="Q111" s="38"/>
      <c r="R111" s="38"/>
      <c r="S111" s="38"/>
      <c r="T111" s="38"/>
    </row>
    <row r="112" spans="1:20" x14ac:dyDescent="0.2">
      <c r="A112" s="70"/>
      <c r="B112" s="34" t="s">
        <v>135</v>
      </c>
      <c r="C112" s="35">
        <v>-8608000</v>
      </c>
      <c r="D112" s="36">
        <v>40.460684014869891</v>
      </c>
      <c r="E112" s="37">
        <v>40.25</v>
      </c>
      <c r="F112" s="37">
        <v>1609.2655999999999</v>
      </c>
      <c r="K112" s="38"/>
      <c r="Q112" s="38"/>
      <c r="R112" s="38"/>
      <c r="S112" s="38"/>
      <c r="T112" s="38"/>
    </row>
    <row r="113" spans="1:20" x14ac:dyDescent="0.2">
      <c r="A113" s="70"/>
      <c r="B113" s="34" t="s">
        <v>308</v>
      </c>
      <c r="C113" s="35">
        <v>-3000</v>
      </c>
      <c r="D113" s="36">
        <v>2416.86</v>
      </c>
      <c r="E113" s="37">
        <v>2404</v>
      </c>
      <c r="F113" s="37">
        <v>15.772500000000001</v>
      </c>
      <c r="K113" s="38"/>
      <c r="Q113" s="38"/>
      <c r="R113" s="38"/>
      <c r="S113" s="38"/>
      <c r="T113" s="38"/>
    </row>
    <row r="114" spans="1:20" x14ac:dyDescent="0.2">
      <c r="A114" s="70"/>
      <c r="B114" s="34" t="s">
        <v>476</v>
      </c>
      <c r="C114" s="35">
        <v>-122659</v>
      </c>
      <c r="D114" s="36">
        <v>178.76742856211121</v>
      </c>
      <c r="E114" s="37">
        <v>190.25</v>
      </c>
      <c r="F114" s="37">
        <v>45.136976199999999</v>
      </c>
      <c r="K114" s="38"/>
      <c r="Q114" s="38"/>
      <c r="R114" s="38"/>
      <c r="S114" s="38"/>
      <c r="T114" s="38"/>
    </row>
    <row r="115" spans="1:20" x14ac:dyDescent="0.2">
      <c r="A115" s="70"/>
      <c r="B115" s="34" t="s">
        <v>122</v>
      </c>
      <c r="C115" s="35">
        <v>-226292</v>
      </c>
      <c r="D115" s="36">
        <v>1593.1030340003181</v>
      </c>
      <c r="E115" s="37">
        <v>1605.35</v>
      </c>
      <c r="F115" s="37">
        <v>1575.8233818000001</v>
      </c>
      <c r="K115" s="38"/>
      <c r="Q115" s="38"/>
      <c r="R115" s="38"/>
      <c r="S115" s="38"/>
      <c r="T115" s="38"/>
    </row>
    <row r="116" spans="1:20" x14ac:dyDescent="0.2">
      <c r="A116" s="70"/>
      <c r="B116" s="34" t="s">
        <v>477</v>
      </c>
      <c r="C116" s="35">
        <v>-2878500</v>
      </c>
      <c r="D116" s="36">
        <v>114.67404983498349</v>
      </c>
      <c r="E116" s="37">
        <v>114.25</v>
      </c>
      <c r="F116" s="37">
        <v>1472.5686375</v>
      </c>
      <c r="K116" s="38"/>
      <c r="Q116" s="38"/>
      <c r="R116" s="38"/>
      <c r="S116" s="38"/>
      <c r="T116" s="38"/>
    </row>
    <row r="117" spans="1:20" x14ac:dyDescent="0.2">
      <c r="A117" s="70"/>
      <c r="B117" s="34" t="s">
        <v>288</v>
      </c>
      <c r="C117" s="35">
        <v>-22500</v>
      </c>
      <c r="D117" s="36">
        <v>1208.3273582222223</v>
      </c>
      <c r="E117" s="37">
        <v>1218.55</v>
      </c>
      <c r="F117" s="37">
        <v>75.0868313</v>
      </c>
      <c r="K117" s="38"/>
      <c r="Q117" s="38"/>
      <c r="R117" s="38"/>
      <c r="S117" s="38"/>
      <c r="T117" s="38"/>
    </row>
    <row r="118" spans="1:20" x14ac:dyDescent="0.2">
      <c r="A118" s="70"/>
      <c r="B118" s="34" t="s">
        <v>27</v>
      </c>
      <c r="C118" s="35">
        <v>-8295600</v>
      </c>
      <c r="D118" s="36">
        <v>292.71779573991029</v>
      </c>
      <c r="E118" s="37">
        <v>288.39999999999998</v>
      </c>
      <c r="F118" s="37">
        <v>8369.7626639999999</v>
      </c>
      <c r="K118" s="38"/>
      <c r="Q118" s="38"/>
      <c r="R118" s="38"/>
      <c r="S118" s="38"/>
      <c r="T118" s="38"/>
    </row>
    <row r="119" spans="1:20" x14ac:dyDescent="0.2">
      <c r="A119" s="70"/>
      <c r="B119" s="34" t="s">
        <v>153</v>
      </c>
      <c r="C119" s="35">
        <v>-215600</v>
      </c>
      <c r="D119" s="36">
        <v>1321.3332293135436</v>
      </c>
      <c r="E119" s="37">
        <v>1307.7</v>
      </c>
      <c r="F119" s="37">
        <v>849.57072200000005</v>
      </c>
      <c r="K119" s="38"/>
      <c r="Q119" s="38"/>
      <c r="R119" s="38"/>
      <c r="S119" s="38"/>
      <c r="T119" s="38"/>
    </row>
    <row r="120" spans="1:20" x14ac:dyDescent="0.2">
      <c r="A120" s="70"/>
      <c r="B120" s="34" t="s">
        <v>101</v>
      </c>
      <c r="C120" s="35">
        <v>-190300</v>
      </c>
      <c r="D120" s="36">
        <v>2134.4523714135576</v>
      </c>
      <c r="E120" s="37">
        <v>2134.1999999999998</v>
      </c>
      <c r="F120" s="37">
        <v>833.67956099999992</v>
      </c>
      <c r="K120" s="38"/>
      <c r="Q120" s="38"/>
      <c r="R120" s="38"/>
      <c r="S120" s="38"/>
      <c r="T120" s="38"/>
    </row>
    <row r="121" spans="1:20" x14ac:dyDescent="0.2">
      <c r="A121" s="70"/>
      <c r="B121" s="34" t="s">
        <v>314</v>
      </c>
      <c r="C121" s="35">
        <v>-125</v>
      </c>
      <c r="D121" s="36">
        <v>11081.1</v>
      </c>
      <c r="E121" s="37">
        <v>11325.95</v>
      </c>
      <c r="F121" s="37">
        <v>3.3766403000000005</v>
      </c>
      <c r="K121" s="38"/>
      <c r="Q121" s="38"/>
      <c r="R121" s="38"/>
      <c r="S121" s="38"/>
      <c r="T121" s="38"/>
    </row>
    <row r="122" spans="1:20" x14ac:dyDescent="0.2">
      <c r="A122" s="70"/>
      <c r="B122" s="34" t="s">
        <v>47</v>
      </c>
      <c r="C122" s="35">
        <v>-3064500</v>
      </c>
      <c r="D122" s="36">
        <v>449.73638893457331</v>
      </c>
      <c r="E122" s="37">
        <v>454.1</v>
      </c>
      <c r="F122" s="37">
        <v>4885.8396075000001</v>
      </c>
      <c r="K122" s="38"/>
      <c r="Q122" s="38"/>
      <c r="R122" s="38"/>
      <c r="S122" s="38"/>
      <c r="T122" s="38"/>
    </row>
    <row r="123" spans="1:20" x14ac:dyDescent="0.2">
      <c r="A123" s="70"/>
      <c r="B123" s="34" t="s">
        <v>478</v>
      </c>
      <c r="C123" s="35">
        <v>-57375</v>
      </c>
      <c r="D123" s="36">
        <v>594.1934764270153</v>
      </c>
      <c r="E123" s="37">
        <v>592.65</v>
      </c>
      <c r="F123" s="37">
        <v>96.919432799999996</v>
      </c>
      <c r="K123" s="38"/>
      <c r="Q123" s="38"/>
      <c r="R123" s="38"/>
      <c r="S123" s="38"/>
      <c r="T123" s="38"/>
    </row>
    <row r="124" spans="1:20" x14ac:dyDescent="0.2">
      <c r="A124" s="70"/>
      <c r="B124" s="34" t="s">
        <v>36</v>
      </c>
      <c r="C124" s="35">
        <v>-2429000</v>
      </c>
      <c r="D124" s="36">
        <v>779.11627717579256</v>
      </c>
      <c r="E124" s="37">
        <v>822.35</v>
      </c>
      <c r="F124" s="37">
        <v>4776.4402524999996</v>
      </c>
      <c r="K124" s="38"/>
      <c r="Q124" s="38"/>
      <c r="R124" s="38"/>
      <c r="S124" s="38"/>
      <c r="T124" s="38"/>
    </row>
    <row r="125" spans="1:20" x14ac:dyDescent="0.2">
      <c r="A125" s="70"/>
      <c r="B125" s="34" t="s">
        <v>226</v>
      </c>
      <c r="C125" s="35">
        <v>-198000</v>
      </c>
      <c r="D125" s="36">
        <v>525.2174</v>
      </c>
      <c r="E125" s="37">
        <v>509.9</v>
      </c>
      <c r="F125" s="37">
        <v>389.27096999999998</v>
      </c>
      <c r="K125" s="38"/>
      <c r="Q125" s="38"/>
      <c r="R125" s="38"/>
      <c r="S125" s="38"/>
      <c r="T125" s="38"/>
    </row>
    <row r="126" spans="1:20" x14ac:dyDescent="0.2">
      <c r="A126" s="70"/>
      <c r="B126" s="34" t="s">
        <v>479</v>
      </c>
      <c r="C126" s="35">
        <v>-34000</v>
      </c>
      <c r="D126" s="36">
        <v>647.08749529411762</v>
      </c>
      <c r="E126" s="37">
        <v>602.79999999999995</v>
      </c>
      <c r="F126" s="37">
        <v>41.938319999999997</v>
      </c>
      <c r="K126" s="38"/>
      <c r="Q126" s="38"/>
      <c r="R126" s="38"/>
      <c r="S126" s="38"/>
      <c r="T126" s="38"/>
    </row>
    <row r="127" spans="1:20" x14ac:dyDescent="0.2">
      <c r="A127" s="70"/>
      <c r="B127" s="34" t="s">
        <v>64</v>
      </c>
      <c r="C127" s="35">
        <v>-782000</v>
      </c>
      <c r="D127" s="36">
        <v>905.6855823529412</v>
      </c>
      <c r="E127" s="37">
        <v>924.15</v>
      </c>
      <c r="F127" s="37">
        <v>1919.7357099999999</v>
      </c>
      <c r="K127" s="38"/>
      <c r="Q127" s="38"/>
      <c r="R127" s="38"/>
      <c r="S127" s="38"/>
      <c r="T127" s="38"/>
    </row>
    <row r="128" spans="1:20" x14ac:dyDescent="0.2">
      <c r="A128" s="70"/>
      <c r="B128" s="34" t="s">
        <v>44</v>
      </c>
      <c r="C128" s="35">
        <v>-9868500</v>
      </c>
      <c r="D128" s="36">
        <v>145.10876491260069</v>
      </c>
      <c r="E128" s="37">
        <v>159.65</v>
      </c>
      <c r="F128" s="37">
        <v>4562.7503175000002</v>
      </c>
      <c r="K128" s="38"/>
      <c r="Q128" s="38"/>
      <c r="R128" s="38"/>
      <c r="S128" s="38"/>
      <c r="T128" s="38"/>
    </row>
    <row r="129" spans="1:20" x14ac:dyDescent="0.2">
      <c r="A129" s="70"/>
      <c r="B129" s="34" t="s">
        <v>180</v>
      </c>
      <c r="C129" s="35">
        <v>-211950</v>
      </c>
      <c r="D129" s="36">
        <v>832.40122741212554</v>
      </c>
      <c r="E129" s="37">
        <v>818</v>
      </c>
      <c r="F129" s="37">
        <v>467.540505</v>
      </c>
      <c r="K129" s="38"/>
      <c r="Q129" s="38"/>
      <c r="R129" s="38"/>
      <c r="S129" s="38"/>
      <c r="T129" s="38"/>
    </row>
    <row r="130" spans="1:20" x14ac:dyDescent="0.2">
      <c r="A130" s="70"/>
      <c r="B130" s="34" t="s">
        <v>168</v>
      </c>
      <c r="C130" s="35">
        <v>-136200</v>
      </c>
      <c r="D130" s="36">
        <v>1468.5902339207048</v>
      </c>
      <c r="E130" s="37">
        <v>1387.8</v>
      </c>
      <c r="F130" s="37">
        <v>412.70370600000001</v>
      </c>
      <c r="K130" s="38"/>
      <c r="Q130" s="38"/>
      <c r="R130" s="38"/>
      <c r="S130" s="38"/>
      <c r="T130" s="38"/>
    </row>
    <row r="131" spans="1:20" x14ac:dyDescent="0.2">
      <c r="A131" s="70"/>
      <c r="B131" s="34" t="s">
        <v>90</v>
      </c>
      <c r="C131" s="35">
        <v>-1621650</v>
      </c>
      <c r="D131" s="36">
        <v>325.77403673419047</v>
      </c>
      <c r="E131" s="37">
        <v>334.15</v>
      </c>
      <c r="F131" s="37">
        <v>1578.7614116</v>
      </c>
      <c r="K131" s="38"/>
      <c r="Q131" s="38"/>
      <c r="R131" s="38"/>
      <c r="S131" s="38"/>
      <c r="T131" s="38"/>
    </row>
    <row r="132" spans="1:20" x14ac:dyDescent="0.2">
      <c r="A132" s="70"/>
      <c r="B132" s="34" t="s">
        <v>21</v>
      </c>
      <c r="C132" s="35">
        <v>-2508350</v>
      </c>
      <c r="D132" s="36">
        <v>1301.1012875316444</v>
      </c>
      <c r="E132" s="37">
        <v>1293</v>
      </c>
      <c r="F132" s="37">
        <v>10264.042782500001</v>
      </c>
      <c r="K132" s="38"/>
      <c r="Q132" s="38"/>
      <c r="R132" s="38"/>
      <c r="S132" s="38"/>
      <c r="T132" s="38"/>
    </row>
    <row r="133" spans="1:20" x14ac:dyDescent="0.2">
      <c r="A133" s="70"/>
      <c r="B133" s="34" t="s">
        <v>228</v>
      </c>
      <c r="C133" s="35">
        <v>-44250</v>
      </c>
      <c r="D133" s="36">
        <v>2155.1079737853106</v>
      </c>
      <c r="E133" s="37">
        <v>2166.9499999999998</v>
      </c>
      <c r="F133" s="37">
        <v>196.9050881</v>
      </c>
      <c r="K133" s="38"/>
      <c r="Q133" s="38"/>
      <c r="R133" s="38"/>
      <c r="S133" s="38"/>
      <c r="T133" s="38"/>
    </row>
    <row r="134" spans="1:20" x14ac:dyDescent="0.2">
      <c r="A134" s="70"/>
      <c r="B134" s="34" t="s">
        <v>230</v>
      </c>
      <c r="C134" s="35">
        <v>-29250</v>
      </c>
      <c r="D134" s="36">
        <v>3155.9995001709403</v>
      </c>
      <c r="E134" s="37">
        <v>3092.15</v>
      </c>
      <c r="F134" s="37">
        <v>169.23033559999999</v>
      </c>
      <c r="K134" s="38"/>
      <c r="Q134" s="38"/>
      <c r="R134" s="38"/>
      <c r="S134" s="38"/>
      <c r="T134" s="38"/>
    </row>
    <row r="135" spans="1:20" x14ac:dyDescent="0.2">
      <c r="A135" s="70"/>
      <c r="B135" s="34" t="s">
        <v>159</v>
      </c>
      <c r="C135" s="35">
        <v>-209525</v>
      </c>
      <c r="D135" s="36">
        <v>1020.4844225271447</v>
      </c>
      <c r="E135" s="37">
        <v>1029.7</v>
      </c>
      <c r="F135" s="37">
        <v>526.34670240000003</v>
      </c>
      <c r="K135" s="38"/>
      <c r="Q135" s="38"/>
      <c r="R135" s="38"/>
      <c r="S135" s="38"/>
      <c r="T135" s="38"/>
    </row>
    <row r="136" spans="1:20" x14ac:dyDescent="0.2">
      <c r="A136" s="70"/>
      <c r="B136" s="34" t="s">
        <v>106</v>
      </c>
      <c r="C136" s="35">
        <v>-51600</v>
      </c>
      <c r="D136" s="36">
        <v>7637.8211286821706</v>
      </c>
      <c r="E136" s="37">
        <v>7418.05</v>
      </c>
      <c r="F136" s="37">
        <v>1102.125303</v>
      </c>
      <c r="K136" s="38"/>
      <c r="Q136" s="38"/>
      <c r="R136" s="38"/>
      <c r="S136" s="38"/>
      <c r="T136" s="38"/>
    </row>
    <row r="137" spans="1:20" x14ac:dyDescent="0.2">
      <c r="A137" s="70"/>
      <c r="B137" s="34" t="s">
        <v>117</v>
      </c>
      <c r="C137" s="35">
        <v>-522600</v>
      </c>
      <c r="D137" s="36">
        <v>729.93417985074632</v>
      </c>
      <c r="E137" s="37">
        <v>710.8</v>
      </c>
      <c r="F137" s="37">
        <v>918.92938800000002</v>
      </c>
      <c r="K137" s="38"/>
      <c r="Q137" s="38"/>
      <c r="R137" s="38"/>
      <c r="S137" s="38"/>
      <c r="T137" s="38"/>
    </row>
    <row r="138" spans="1:20" x14ac:dyDescent="0.2">
      <c r="A138" s="70"/>
      <c r="B138" s="34" t="s">
        <v>270</v>
      </c>
      <c r="C138" s="35">
        <v>-42000</v>
      </c>
      <c r="D138" s="36">
        <v>802.89</v>
      </c>
      <c r="E138" s="37">
        <v>770.35</v>
      </c>
      <c r="F138" s="37">
        <v>96.256545000000003</v>
      </c>
      <c r="K138" s="38"/>
      <c r="Q138" s="38"/>
      <c r="R138" s="38"/>
      <c r="S138" s="38"/>
      <c r="T138" s="38"/>
    </row>
    <row r="139" spans="1:20" x14ac:dyDescent="0.2">
      <c r="A139" s="70"/>
      <c r="B139" s="34" t="s">
        <v>310</v>
      </c>
      <c r="C139" s="35">
        <v>-8000</v>
      </c>
      <c r="D139" s="36">
        <v>1210.8968</v>
      </c>
      <c r="E139" s="37">
        <v>1225.3</v>
      </c>
      <c r="F139" s="37">
        <v>19.89564</v>
      </c>
      <c r="K139" s="38"/>
      <c r="Q139" s="38"/>
      <c r="R139" s="38"/>
      <c r="S139" s="38"/>
      <c r="T139" s="38"/>
    </row>
    <row r="140" spans="1:20" x14ac:dyDescent="0.2">
      <c r="A140" s="70"/>
      <c r="B140" s="34" t="s">
        <v>312</v>
      </c>
      <c r="C140" s="35">
        <v>-17600</v>
      </c>
      <c r="D140" s="36">
        <v>635.65899999999999</v>
      </c>
      <c r="E140" s="37">
        <v>637.65</v>
      </c>
      <c r="F140" s="37">
        <v>22.488883999999999</v>
      </c>
      <c r="K140" s="38"/>
      <c r="Q140" s="38"/>
      <c r="R140" s="38"/>
      <c r="S140" s="38"/>
      <c r="T140" s="38"/>
    </row>
    <row r="141" spans="1:20" x14ac:dyDescent="0.2">
      <c r="A141" s="71"/>
      <c r="B141" s="34" t="s">
        <v>480</v>
      </c>
      <c r="C141" s="35">
        <v>-1053000</v>
      </c>
      <c r="D141" s="36">
        <v>271.86281196581194</v>
      </c>
      <c r="E141" s="37">
        <v>304.25</v>
      </c>
      <c r="F141" s="37">
        <v>1439.5299749999999</v>
      </c>
      <c r="K141" s="38"/>
      <c r="Q141" s="38"/>
      <c r="R141" s="38"/>
      <c r="S141" s="38"/>
      <c r="T141" s="38"/>
    </row>
    <row r="142" spans="1:20" x14ac:dyDescent="0.2">
      <c r="A142" s="39"/>
      <c r="B142" s="40"/>
      <c r="C142" s="41"/>
      <c r="D142" s="42"/>
      <c r="E142" s="38"/>
      <c r="F142" s="38"/>
      <c r="K142" s="38"/>
      <c r="Q142" s="38"/>
      <c r="R142" s="38"/>
      <c r="S142" s="38"/>
      <c r="T142" s="38"/>
    </row>
    <row r="143" spans="1:20" x14ac:dyDescent="0.2">
      <c r="A143" s="43" t="s">
        <v>481</v>
      </c>
      <c r="H143" s="57">
        <v>-23483203108.299999</v>
      </c>
      <c r="I143" s="57" t="e">
        <f>+#REF!-H143</f>
        <v>#REF!</v>
      </c>
      <c r="T143" s="38"/>
    </row>
    <row r="144" spans="1:20" x14ac:dyDescent="0.2">
      <c r="A144" s="44" t="s">
        <v>439</v>
      </c>
      <c r="B144" s="45" t="s">
        <v>482</v>
      </c>
      <c r="C144" s="46"/>
      <c r="D144" s="46"/>
      <c r="E144" s="46"/>
      <c r="T144" s="38"/>
    </row>
    <row r="145" spans="1:20" x14ac:dyDescent="0.2">
      <c r="A145" s="47" t="s">
        <v>443</v>
      </c>
      <c r="B145" s="48">
        <v>67.83</v>
      </c>
      <c r="C145" s="46"/>
      <c r="D145" s="46"/>
      <c r="E145" s="46"/>
      <c r="T145" s="38"/>
    </row>
    <row r="146" spans="1:20" x14ac:dyDescent="0.2">
      <c r="A146" s="40"/>
      <c r="B146" s="40"/>
      <c r="C146" s="46"/>
      <c r="D146" s="46"/>
      <c r="E146" s="46"/>
    </row>
    <row r="147" spans="1:20" x14ac:dyDescent="0.2">
      <c r="A147" s="46" t="s">
        <v>483</v>
      </c>
      <c r="B147" s="40"/>
      <c r="C147" s="40"/>
      <c r="D147" s="40"/>
      <c r="E147" s="40"/>
    </row>
    <row r="148" spans="1:20" s="43" customFormat="1" ht="76.5" x14ac:dyDescent="0.2">
      <c r="A148" s="49" t="s">
        <v>439</v>
      </c>
      <c r="B148" s="50" t="s">
        <v>484</v>
      </c>
      <c r="C148" s="50" t="s">
        <v>485</v>
      </c>
      <c r="D148" s="50" t="s">
        <v>486</v>
      </c>
      <c r="E148" s="50" t="s">
        <v>487</v>
      </c>
      <c r="F148" s="50" t="s">
        <v>488</v>
      </c>
    </row>
    <row r="149" spans="1:20" s="43" customFormat="1" x14ac:dyDescent="0.2">
      <c r="A149" s="47" t="s">
        <v>443</v>
      </c>
      <c r="B149" s="51">
        <v>415566</v>
      </c>
      <c r="C149" s="52">
        <v>431017</v>
      </c>
      <c r="D149" s="53">
        <v>3452246.649679109</v>
      </c>
      <c r="E149" s="54">
        <v>3487687.7503761034</v>
      </c>
      <c r="F149" s="53">
        <v>-4071.8399772200073</v>
      </c>
      <c r="R149" s="55"/>
      <c r="S149" s="55"/>
      <c r="T149" s="55"/>
    </row>
    <row r="150" spans="1:20" x14ac:dyDescent="0.2">
      <c r="D150" s="38"/>
      <c r="E150" s="38"/>
      <c r="R150" s="38"/>
    </row>
    <row r="151" spans="1:20" x14ac:dyDescent="0.2">
      <c r="A151" s="68" t="s">
        <v>489</v>
      </c>
      <c r="B151" s="68"/>
      <c r="C151" s="68"/>
      <c r="D151" s="68"/>
      <c r="E151" s="68"/>
      <c r="R151" s="38"/>
    </row>
    <row r="152" spans="1:20" x14ac:dyDescent="0.2">
      <c r="A152" s="56"/>
      <c r="B152" s="56"/>
      <c r="C152" s="56"/>
      <c r="D152" s="56"/>
      <c r="E152" s="56"/>
    </row>
    <row r="153" spans="1:20" ht="12.75" customHeight="1" x14ac:dyDescent="0.2">
      <c r="A153" s="68" t="s">
        <v>490</v>
      </c>
      <c r="B153" s="72"/>
      <c r="C153" s="72"/>
      <c r="D153" s="72"/>
    </row>
    <row r="154" spans="1:20" ht="12.75" customHeight="1" x14ac:dyDescent="0.2">
      <c r="A154" s="56"/>
    </row>
    <row r="155" spans="1:20" ht="12.75" customHeight="1" x14ac:dyDescent="0.2">
      <c r="A155" s="56"/>
    </row>
    <row r="156" spans="1:20" ht="12.75" customHeight="1" x14ac:dyDescent="0.2">
      <c r="A156" s="56"/>
    </row>
  </sheetData>
  <mergeCells count="5">
    <mergeCell ref="A3:F3"/>
    <mergeCell ref="A7:E7"/>
    <mergeCell ref="A9:A141"/>
    <mergeCell ref="A151:E151"/>
    <mergeCell ref="A153:D153"/>
  </mergeCells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HDFCAR</vt:lpstr>
      <vt:lpstr>DerivativeHDFCAR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Anmol Mundada</dc:creator>
  <cp:lastModifiedBy>Anmol Mundada</cp:lastModifiedBy>
  <dcterms:created xsi:type="dcterms:W3CDTF">2021-10-08T04:40:00Z</dcterms:created>
  <dcterms:modified xsi:type="dcterms:W3CDTF">2021-10-09T05:29:53Z</dcterms:modified>
</cp:coreProperties>
</file>