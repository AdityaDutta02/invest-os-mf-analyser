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1.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2.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13.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14.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15.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16.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17.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drawings/drawing18.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2"/>
  <workbookPr defaultThemeVersion="166925"/>
  <mc:AlternateContent xmlns:mc="http://schemas.openxmlformats.org/markup-compatibility/2006">
    <mc:Choice Requires="x15">
      <x15ac:absPath xmlns:x15ac="http://schemas.microsoft.com/office/spreadsheetml/2010/11/ac" url="D:\old desktop d drive\Documents\2022\March\03-March\Latest Portfolio\"/>
    </mc:Choice>
  </mc:AlternateContent>
  <xr:revisionPtr revIDLastSave="0" documentId="13_ncr:1_{CEA30C86-BF4F-4604-B4DA-320951FEDF1A}" xr6:coauthVersionLast="36" xr6:coauthVersionMax="36" xr10:uidLastSave="{00000000-0000-0000-0000-000000000000}"/>
  <bookViews>
    <workbookView xWindow="0" yWindow="0" windowWidth="15345" windowHeight="4470" xr2:uid="{3535D5E8-C9CA-4EBF-A5FE-50F3697F7F79}"/>
  </bookViews>
  <sheets>
    <sheet name="IDFC OF" sheetId="18" r:id="rId1"/>
    <sheet name="IDFC CF" sheetId="7" r:id="rId2"/>
    <sheet name="IDFC LDF" sheetId="16" r:id="rId3"/>
    <sheet name="IDFC MMF" sheetId="17" r:id="rId4"/>
    <sheet name="IDFC USTF" sheetId="19" r:id="rId5"/>
    <sheet name="IDFC DBF" sheetId="10" r:id="rId6"/>
    <sheet name="IDFC BOND IP" sheetId="4" r:id="rId7"/>
    <sheet name="IDFC BOND MT" sheetId="5" r:id="rId8"/>
    <sheet name="IDFC BOND ST" sheetId="6" r:id="rId9"/>
    <sheet name="IDFC BPDF" sheetId="3" r:id="rId10"/>
    <sheet name="IDFC-CBF" sheetId="8" r:id="rId11"/>
    <sheet name="IDFC FRF" sheetId="11" r:id="rId12"/>
    <sheet name="IDFC CRF" sheetId="9" r:id="rId13"/>
    <sheet name="IDFC GSF-IP" sheetId="14" r:id="rId14"/>
    <sheet name="IDFC GSF - CMP" sheetId="15" r:id="rId15"/>
    <sheet name="IDFC-GIF2027" sheetId="12" r:id="rId16"/>
    <sheet name="IDFC-GIF2028" sheetId="13" r:id="rId17"/>
    <sheet name="IDFC ASBF" sheetId="2" r:id="rId18"/>
  </sheets>
  <definedNames>
    <definedName name="_xlnm.Print_Area" localSheetId="17">'IDFC ASBF'!$A$1:$P$45</definedName>
    <definedName name="_xlnm.Print_Area" localSheetId="6">'IDFC BOND IP'!$A$1:$P$45</definedName>
    <definedName name="_xlnm.Print_Area" localSheetId="7">'IDFC BOND MT'!$A$1:$P$45</definedName>
    <definedName name="_xlnm.Print_Area" localSheetId="8">'IDFC BOND ST'!$A$1:$P$48</definedName>
    <definedName name="_xlnm.Print_Area" localSheetId="9">'IDFC BPDF'!$A$1:$P$77</definedName>
    <definedName name="_xlnm.Print_Area" localSheetId="1">'IDFC CF'!$A$1:$P$55</definedName>
    <definedName name="_xlnm.Print_Area" localSheetId="12">'IDFC CRF'!$A$1:$P$45</definedName>
    <definedName name="_xlnm.Print_Area" localSheetId="5">'IDFC DBF'!$A$1:$P$45</definedName>
    <definedName name="_xlnm.Print_Area" localSheetId="11">'IDFC FRF'!$A$1:$P$47</definedName>
    <definedName name="_xlnm.Print_Area" localSheetId="14">'IDFC GSF - CMP'!$A$1:$P$45</definedName>
    <definedName name="_xlnm.Print_Area" localSheetId="13">'IDFC GSF-IP'!$A$1:$P$45</definedName>
    <definedName name="_xlnm.Print_Area" localSheetId="2">'IDFC LDF'!$A$1:$P$65</definedName>
    <definedName name="_xlnm.Print_Area" localSheetId="3">'IDFC MMF'!$A$1:$P$48</definedName>
    <definedName name="_xlnm.Print_Area" localSheetId="0">'IDFC OF'!$A$1:$P$45</definedName>
    <definedName name="_xlnm.Print_Area" localSheetId="4">'IDFC USTF'!$A$1:$P$47</definedName>
    <definedName name="_xlnm.Print_Area" localSheetId="10">'IDFC-CBF'!$A$1:$P$72</definedName>
    <definedName name="_xlnm.Print_Area" localSheetId="15">'IDFC-GIF2027'!$A$1:$P$45</definedName>
    <definedName name="_xlnm.Print_Area" localSheetId="16">'IDFC-GIF2028'!$A$1:$P$45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0" i="9" l="1"/>
  <c r="H8" i="9"/>
  <c r="E32" i="11"/>
  <c r="H8" i="11"/>
</calcChain>
</file>

<file path=xl/sharedStrings.xml><?xml version="1.0" encoding="utf-8"?>
<sst xmlns="http://schemas.openxmlformats.org/spreadsheetml/2006/main" count="1099" uniqueCount="236">
  <si>
    <t>IDFC ALL SEASONS BOND FUND (28 February, 2022 )</t>
  </si>
  <si>
    <t>Net Assets as on 28 February, 2022</t>
  </si>
  <si>
    <t>158.03 crs</t>
  </si>
  <si>
    <t>Name</t>
  </si>
  <si>
    <t>Rating</t>
  </si>
  <si>
    <t>Total</t>
  </si>
  <si>
    <t>IDFC Bond Fund -Short Term Plan Direct Plan-Growth</t>
  </si>
  <si>
    <t>IDFC Corporate Bond Fund - Direct Growth</t>
  </si>
  <si>
    <t>Mutual Fund Units Total</t>
  </si>
  <si>
    <t>Clearing Corporation of India Ltd</t>
  </si>
  <si>
    <t>TRI Party Repo Total</t>
  </si>
  <si>
    <t>Net Current Asset</t>
  </si>
  <si>
    <t>Grand Total</t>
  </si>
  <si>
    <t>Company</t>
  </si>
  <si>
    <t>TRI Party Repo</t>
  </si>
  <si>
    <t>Mutual Fund Units</t>
  </si>
  <si>
    <t>AAA EQUIVALENT</t>
  </si>
  <si>
    <t>Asset Quality</t>
  </si>
  <si>
    <t>Average Maturity Years</t>
  </si>
  <si>
    <t>Asset Allocation</t>
  </si>
  <si>
    <t>IDFC BANKING &amp; PSU DEBT FUND (28 February, 2022 )</t>
  </si>
  <si>
    <t>17917.62 crs</t>
  </si>
  <si>
    <t>Bank of Baroda</t>
  </si>
  <si>
    <t xml:space="preserve"> A1+</t>
  </si>
  <si>
    <t>Axis Bank Limited</t>
  </si>
  <si>
    <t>Export Import Bank of India</t>
  </si>
  <si>
    <t>HDFC Bank Limited</t>
  </si>
  <si>
    <t>Canara Bank</t>
  </si>
  <si>
    <t>Certificate of Deposit Total</t>
  </si>
  <si>
    <t>Housing Development Finance Corporation Limited</t>
  </si>
  <si>
    <t>Small Industries Dev Bank of India</t>
  </si>
  <si>
    <t>Commercial Paper Total</t>
  </si>
  <si>
    <t>National Bank For Agriculture and Rural Development</t>
  </si>
  <si>
    <t xml:space="preserve"> AAA</t>
  </si>
  <si>
    <t>Indian Railway Finance Corporation Limited</t>
  </si>
  <si>
    <t>REC Limited</t>
  </si>
  <si>
    <t>Hindustan Petroleum Corporation Limited</t>
  </si>
  <si>
    <t>Power Finance Corporation Limited</t>
  </si>
  <si>
    <t>National Housing Bank</t>
  </si>
  <si>
    <t>ICICI Bank Limited</t>
  </si>
  <si>
    <t>National Highways Auth Of Ind</t>
  </si>
  <si>
    <t>Power Grid Corporation of India Limited</t>
  </si>
  <si>
    <t>Housing &amp; Urban Development Corporation Limited</t>
  </si>
  <si>
    <t>LIC Housing Finance Limited</t>
  </si>
  <si>
    <t>Reliance Industries Limited</t>
  </si>
  <si>
    <t>Indian Oil Corporation Limited</t>
  </si>
  <si>
    <t>NTPC Limited</t>
  </si>
  <si>
    <t>NHPC Limited</t>
  </si>
  <si>
    <t>Larsen &amp; Toubro Limited</t>
  </si>
  <si>
    <t>Oil &amp; Natural Gas Corporation Limited</t>
  </si>
  <si>
    <t>Bajaj Finance Limited</t>
  </si>
  <si>
    <t>Tata Sons Private Ltd</t>
  </si>
  <si>
    <t>Corporate Bond Total</t>
  </si>
  <si>
    <t>Kotak Mahindra Bank Limited</t>
  </si>
  <si>
    <t>Floating Rate Note Total</t>
  </si>
  <si>
    <t>7.37% GOI (MD 16/04/2023)</t>
  </si>
  <si>
    <t>SOV</t>
  </si>
  <si>
    <t>7.32% GOI (MD 28/01/2024)</t>
  </si>
  <si>
    <t>7.16% GOI (MD 20/05/2023)</t>
  </si>
  <si>
    <t>4.26% GOI (MD 17/05/2023)</t>
  </si>
  <si>
    <t>7.68% GOI (MD 15/12/2023)</t>
  </si>
  <si>
    <t>8.13% GOI (MD 21/09/2022)</t>
  </si>
  <si>
    <t>Government Bond Total</t>
  </si>
  <si>
    <t>State Government Bond Total</t>
  </si>
  <si>
    <t>Zero Coupon Bond Total</t>
  </si>
  <si>
    <t>Certificate of Deposit</t>
  </si>
  <si>
    <t>Corporate Bond</t>
  </si>
  <si>
    <t>Commercial Paper</t>
  </si>
  <si>
    <t>Floating Rate Note</t>
  </si>
  <si>
    <t>Government Bond</t>
  </si>
  <si>
    <t>State Government Bond</t>
  </si>
  <si>
    <t>Zero Coupon Bond</t>
  </si>
  <si>
    <t>IDFC BOND FUND - INCOME PLAN (28 February, 2022 )</t>
  </si>
  <si>
    <t>615.25 crs</t>
  </si>
  <si>
    <t>6.79% GOI (MD 15/05/2027)</t>
  </si>
  <si>
    <t>5.63% GOI (MD 12/04/2026)</t>
  </si>
  <si>
    <t>6.1% GOI (MD 12/07/2031)</t>
  </si>
  <si>
    <t>7.73% GOI (MD 19/12/2034)</t>
  </si>
  <si>
    <t>IDFC BOND FUND - MEDIUM TERM PLAN (28 February, 2022 )</t>
  </si>
  <si>
    <t>2602.34 crs</t>
  </si>
  <si>
    <t>Kotak Mahindra Prime Limited</t>
  </si>
  <si>
    <t>7.17% GOI (MD 08/01/2028)</t>
  </si>
  <si>
    <t>8.24% GOI (MD 15/02/2027)</t>
  </si>
  <si>
    <t xml:space="preserve"> AAA(SO)</t>
  </si>
  <si>
    <t>PTC Total</t>
  </si>
  <si>
    <t>PTC</t>
  </si>
  <si>
    <t>IDFC BOND FUND - SHORT TERM PLAN (28 February, 2022 )</t>
  </si>
  <si>
    <t>12275.00 crs</t>
  </si>
  <si>
    <t>Kotak Mahindra Investments Limited</t>
  </si>
  <si>
    <t>5.15% GOI (MD 09/11/2025)</t>
  </si>
  <si>
    <t>8.28% GOI (M/D 21/09/2027)</t>
  </si>
  <si>
    <t>IDFC CASH FUND (28 February, 2022 )</t>
  </si>
  <si>
    <t>9611.23 crs</t>
  </si>
  <si>
    <t>Reliance Retail Ventures Limited</t>
  </si>
  <si>
    <t>Reliance Jio Infocomm Limited</t>
  </si>
  <si>
    <t>HDFC Securities Limited</t>
  </si>
  <si>
    <t>ICICI Securities Limited</t>
  </si>
  <si>
    <t>Bajaj Housing Finance Limited</t>
  </si>
  <si>
    <t>5.09% GOI (MD 13/04/2022)</t>
  </si>
  <si>
    <t>8.35% GOI (MD 14/05/2022)</t>
  </si>
  <si>
    <t>91 Days Tbill (MD 31/03/2022)</t>
  </si>
  <si>
    <t>Treasury Bill Total</t>
  </si>
  <si>
    <t>Treasury Bill</t>
  </si>
  <si>
    <t>Average Maturity in Days</t>
  </si>
  <si>
    <t>IDFC CORPORATE BOND FUND (28 February, 2022 )</t>
  </si>
  <si>
    <t>19500.28 crs</t>
  </si>
  <si>
    <t>UltraTech Cement Limited</t>
  </si>
  <si>
    <t>Mahindra &amp; Mahindra Limited</t>
  </si>
  <si>
    <t>HDB Financial Services Limited</t>
  </si>
  <si>
    <t>5.22% GOI (MD 15/06/2025)</t>
  </si>
  <si>
    <t>IDFC CREDIT RISK FUND (28 February, 2022 )</t>
  </si>
  <si>
    <t>772.40 crs</t>
  </si>
  <si>
    <t xml:space="preserve"> AA(CE)</t>
  </si>
  <si>
    <t>Bharti Hexacom Limited</t>
  </si>
  <si>
    <t xml:space="preserve"> AA+</t>
  </si>
  <si>
    <t>Summit Digitel Infrastructure Private Limited</t>
  </si>
  <si>
    <t>Tata Steel Limited</t>
  </si>
  <si>
    <t>Hindalco Industries Limited</t>
  </si>
  <si>
    <t xml:space="preserve"> AA</t>
  </si>
  <si>
    <t>Tata Motors Limited</t>
  </si>
  <si>
    <t xml:space="preserve"> AA-</t>
  </si>
  <si>
    <t>Tata Power Company Limited</t>
  </si>
  <si>
    <t>AA+</t>
  </si>
  <si>
    <t>AA</t>
  </si>
  <si>
    <t>AA-</t>
  </si>
  <si>
    <t>IDFC DYNAMIC BOND FUND (28 February, 2022 )</t>
  </si>
  <si>
    <t>2769.93 crs</t>
  </si>
  <si>
    <t>8.20% GOI (MD 24/09/2025)</t>
  </si>
  <si>
    <t>IDFC FLOATING RATE FUND (28 February, 2022 )</t>
  </si>
  <si>
    <t>895.75 crs</t>
  </si>
  <si>
    <t>Sikka Ports and Terminals Limited</t>
  </si>
  <si>
    <t>Jamnagar Utilities &amp; Power Private Limited</t>
  </si>
  <si>
    <t>Interest Rate Swaps</t>
  </si>
  <si>
    <t>IDFC GILT 2027 INDEX FUND (28 February, 2022 )</t>
  </si>
  <si>
    <t>2057.84 crs</t>
  </si>
  <si>
    <t>91 Days Tbill (MD 10/03/2022)</t>
  </si>
  <si>
    <t>91 Days Tbill (MD 17/03/2022)</t>
  </si>
  <si>
    <t>91 Days Tbill (MD 24/03/2022)</t>
  </si>
  <si>
    <t>IDFC GILT 2028 INDEX FUND (28 February, 2022 )</t>
  </si>
  <si>
    <t>554.54 crs</t>
  </si>
  <si>
    <t>IDFC GOVERNMENT SECURITIES FUND - INVESTMENT PLAN (28 February, 2022 )</t>
  </si>
  <si>
    <t>1448.57 crs</t>
  </si>
  <si>
    <t>IDFC GOVERNMENT SECURITIES FUND-CONSTANT MATURITY (28 February, 2022 )</t>
  </si>
  <si>
    <t>272.73 crs</t>
  </si>
  <si>
    <t>IDFC LOW DURATION FUND (28 February, 2022 )</t>
  </si>
  <si>
    <t>5998.70 crs</t>
  </si>
  <si>
    <t>Grasim Industries Limited</t>
  </si>
  <si>
    <t>8.33% GOI 2026 (M/D 09/07/2026)</t>
  </si>
  <si>
    <t>6.84% GOI (MD 19/12/2022)</t>
  </si>
  <si>
    <t>Sundaram Finance Limited</t>
  </si>
  <si>
    <t>IDFC MONEY MANAGER FUND (28 February, 2022 )</t>
  </si>
  <si>
    <t>2693.08 crs</t>
  </si>
  <si>
    <t>8.15% GOI (MD 11/06/2022)</t>
  </si>
  <si>
    <t>364 Days Tbill (MD 11/03/2022)</t>
  </si>
  <si>
    <t>IDFC OVERNIGHT FUND (28 February, 2022 )</t>
  </si>
  <si>
    <t>2615.30 crs</t>
  </si>
  <si>
    <t>IDFC ULTRA SHORT TERM FUND (28 February, 2022 )</t>
  </si>
  <si>
    <t>4325.43 crs</t>
  </si>
  <si>
    <t>7.18% Madhya Pradesh SDL (MD 27/03/2022)</t>
  </si>
  <si>
    <t>9.28% Uttar Pradesh SDL (MD 30/03/2022)</t>
  </si>
  <si>
    <t>6.58% Odisha SDL(MD 24/03/2022)</t>
  </si>
  <si>
    <t>9.23% Gujarat SDL (MD 30/03/2022)</t>
  </si>
  <si>
    <t>9.24% Rajasthan SDL(MD 30/03/2022)</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</si>
  <si>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IDFC Asset Management Company Limited and/or IDFC Mutual Fund. The Scheme may or may not have any present or future positions in the above securities. Investors are advised to consult their own investment advisor before making any investment decision in light of their risk appetite, investment goals and horizon.”</t>
  </si>
  <si>
    <t>8.05% Gujarat SDL (MD 25/02/2025)</t>
  </si>
  <si>
    <t>8.38% Haryana SDL (MD 27/01/2026)</t>
  </si>
  <si>
    <t>8.48% Karnataka SDL (MD 17/10/2022)</t>
  </si>
  <si>
    <t>4.75% Haryana SDL (MD 06/05/2022)</t>
  </si>
  <si>
    <t>8.95% Maharashtra SDL (MD 07/03/2022)</t>
  </si>
  <si>
    <t>8.92% Tamil Nadu SDL (MD 07/03/2022)</t>
  </si>
  <si>
    <t>8.99% Gujrat SDL (MD 14/03/2022)</t>
  </si>
  <si>
    <t>9.20% Andhra Pradesh SDL (MD 11/04/2022)</t>
  </si>
  <si>
    <t>8.84% Tamil Nadu SDL (MD 18/07/2022)</t>
  </si>
  <si>
    <t>8.85% Maharashtra SDL (MD 18/07/2022)</t>
  </si>
  <si>
    <t>8.92% Tamilnadu SDL (MD 08/08/2022)</t>
  </si>
  <si>
    <t>8.92%  Tamilnadu SDL (MD 05/09/2022)</t>
  </si>
  <si>
    <t>8.90% TAMILNADU SDL(MD/20/09/2022)</t>
  </si>
  <si>
    <t>8.86% Tamil Nadu SDL (MD 03/10/2022)</t>
  </si>
  <si>
    <t>8.79% Gujrat SDL (MD 25/10/2022)</t>
  </si>
  <si>
    <t>8.85% Maharashtra SDL (MD 03/10/2022)</t>
  </si>
  <si>
    <t>6.93% Maharastra SDL (MD 09/08/2022)</t>
  </si>
  <si>
    <t>4.68% Haryana SDL (MD 20/05/2022)</t>
  </si>
  <si>
    <t>4.54% Maharashtra SDL (MD 03/06/2022)</t>
  </si>
  <si>
    <t>8.37% Odisha SDL(MD 29/08/2022)</t>
  </si>
  <si>
    <t>6.64% Rajasthan SDL (MD 25/09/2022)</t>
  </si>
  <si>
    <t>8.99% Madhya Pradesh SDL (MD 07/03/2022)</t>
  </si>
  <si>
    <t>8.91% Andhra Pradesh SDL (MD 05/09/2022)</t>
  </si>
  <si>
    <t>8.90% Andhra pradesh SDL (MD 04/07/2022)</t>
  </si>
  <si>
    <t>8.90% MAHARASHTRA SDL(MD 20/09/2022)</t>
  </si>
  <si>
    <t>8.84% Gujrat SDL (MD 17/10/2022)</t>
  </si>
  <si>
    <t>8.25% Andhra PradeshSDL (MD 25/04/2023)</t>
  </si>
  <si>
    <t>8.25% Maharastra SDL  ( MD 13/05/2025)</t>
  </si>
  <si>
    <t>8.2% Gujarat SDL (MD 24/06/2025)</t>
  </si>
  <si>
    <t>8.37% Tamil Nadu SDL (MD 05/12/2028)</t>
  </si>
  <si>
    <t>8.68% Gujarat SDL (MD 06/02/2023)</t>
  </si>
  <si>
    <t>8.10% TAMIL NADU SDL (MD 08/05/2023)</t>
  </si>
  <si>
    <t>7.62% Tamil Nadu SDL (MD 05/06/2023)</t>
  </si>
  <si>
    <t>8.62% Maharashtra SDL (MD 06/03/2023)</t>
  </si>
  <si>
    <t>7.77% Gujarat SDL (MD 19/06/2023)</t>
  </si>
  <si>
    <t>7.77% Tamil Nadu SDL (MD 19/06/2023)</t>
  </si>
  <si>
    <t>7.95% Tamil Nadu SDL (MD 03/07/2023)</t>
  </si>
  <si>
    <t>9.25% Haryana SDL (MD 09-Oct-2023)</t>
  </si>
  <si>
    <t>8.48% Tamilnadu SDL (MD 04/07/2023)</t>
  </si>
  <si>
    <t>7.93% Chattisgarh SDL (MD 13/02/2024)</t>
  </si>
  <si>
    <t>5.93% ODISHA SDL (MD 08/04/2022)</t>
  </si>
  <si>
    <t>5.41% Andhra Pradesh SDL (MD 12/08/2024)</t>
  </si>
  <si>
    <t>5.68% Maharashtra SDL (MD 23/09/2024)</t>
  </si>
  <si>
    <t>6.20% Madhya Pradesh SDL (MD 15/04/2023)</t>
  </si>
  <si>
    <t>9.5% Gujrat SDL (MD 11/09/2023)</t>
  </si>
  <si>
    <t>9.22% Gujarat SDL (MD 09/10/2023)</t>
  </si>
  <si>
    <t>9.37% Gujarat SDL (MD 30/01/2024)</t>
  </si>
  <si>
    <t>9.55% Karnataka SDL (MD 12/02/2024)</t>
  </si>
  <si>
    <t>9.63% Andhra Pradesh SDL (MD 12/02/2024)</t>
  </si>
  <si>
    <t>9.80% Haryana SDL (MD 26/02/2024)</t>
  </si>
  <si>
    <t>9.71% Haryana SDL (MD 12/03/2024)</t>
  </si>
  <si>
    <t>9.47% Haryana SDL (MD 26/03/2024)</t>
  </si>
  <si>
    <t>9.11% Maharashtra SDL (MD 28/05/2024)</t>
  </si>
  <si>
    <t>9.24% Haryana SDL (MD 16/01/2024)</t>
  </si>
  <si>
    <t>8.96% Maharashtra SDL  (MD 09/07/2024)</t>
  </si>
  <si>
    <t>8.83% Tamilnadu SDL (MD 11/06/2024)</t>
  </si>
  <si>
    <t>9.48% Andhra Pradesh SDL (MD 26/03/2024)</t>
  </si>
  <si>
    <t>6.64% Rajasthan SDL (MD 05/02/2024)</t>
  </si>
  <si>
    <t>5.6% Haryana SDL (MD 20/05/2024)</t>
  </si>
  <si>
    <t>5.75% Tamilnadu SDL (MD 27/05/2025)</t>
  </si>
  <si>
    <t>5.6% Maharashtra SDL (MD 09/09/2024)</t>
  </si>
  <si>
    <t>5.46% Tamilnadu SDL (MD 03/06/2024)</t>
  </si>
  <si>
    <t>9.10% Tamil Nadu SDL(MD 09/05/2022)</t>
  </si>
  <si>
    <t>IDFC Banking &amp; PSU Debt Fund - Direct Growth</t>
  </si>
  <si>
    <t>^PTC originated by Reliance Industries Limited</t>
  </si>
  <si>
    <t>First Business Receivables Trust^</t>
  </si>
  <si>
    <t>* Corporate Guarantee from Tata Power</t>
  </si>
  <si>
    <t>^^AT1 Bonds under Basel III</t>
  </si>
  <si>
    <t>IndusInd Bank Limited^^</t>
  </si>
  <si>
    <t>Indian Bank^^</t>
  </si>
  <si>
    <t>Tata Power Renewable Energy Limited*</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</si>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</sst>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Black]\(0.00%\)"/>
    <numFmt numFmtId="165" formatCode="0.000%;[Black]\(0.000%\)"/>
    <numFmt numFmtId="166" formatCode="0.0000%;[Black]\(0.0000%\)"/>
  </numFmts>
  <fonts count="7"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b/>
      <sz val="11"/>
      <color theme="1"/>
      <name val="Arial"/>
      <family val="2"/>
    </font>
    <font>
      <sz val="11"/>
      <color indexed="9"/>
      <name val="Calibri"/>
      <family val="2"/>
      <scheme val="minor"/>
    </font>
  </fonts>
  <fills count="3">
    <fill>
      <patternFill patternType="none"/>
    </fill>
    <fill>
      <patternFill patternType="gray125"/>
    </fill>
    <fill>
      <patternFill patternType="solid">
        <fgColor rgb="FFD8D8D8"/>
        <bgColor indexed="64"/>
      </patternFill>
    </fill>
  </fills>
  <borders count="22">
    <border>
      <left/>
      <right/>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7">
    <xf numFmtId="0" fontId="0" fillId="0" borderId="0" xfId="0"/>
    <xf numFmtId="0" fontId="0" fillId="0" borderId="0" xfId="0" applyBorder="1"/>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xf>
    <xf numFmtId="0" fontId="1" fillId="0" borderId="8" xfId="0" applyFont="1" applyBorder="1" applyAlignment="1">
      <alignment vertical="center"/>
    </xf>
    <xf numFmtId="0" fontId="1" fillId="0" borderId="4" xfId="0" applyFont="1" applyBorder="1" applyAlignment="1">
      <alignment vertical="center"/>
    </xf>
    <xf numFmtId="0" fontId="2" fillId="2" borderId="8" xfId="0" applyFont="1" applyFill="1" applyBorder="1" applyAlignment="1">
      <alignment horizontal="left" vertical="center"/>
    </xf>
    <xf numFmtId="0" fontId="2" fillId="2" borderId="4" xfId="0" applyFont="1" applyFill="1" applyBorder="1" applyAlignment="1">
      <alignment horizontal="right" vertical="center"/>
    </xf>
    <xf numFmtId="0" fontId="2" fillId="2" borderId="9" xfId="0" applyFont="1" applyFill="1" applyBorder="1" applyAlignment="1">
      <alignment horizontal="left" vertical="center"/>
    </xf>
    <xf numFmtId="0" fontId="2" fillId="2" borderId="5" xfId="0" applyFont="1" applyFill="1" applyBorder="1" applyAlignment="1">
      <alignment horizontal="right" vertical="center"/>
    </xf>
    <xf numFmtId="164" fontId="1" fillId="0" borderId="2" xfId="0" applyNumberFormat="1" applyFont="1" applyBorder="1" applyAlignment="1">
      <alignment vertical="center"/>
    </xf>
    <xf numFmtId="164" fontId="2" fillId="2" borderId="2" xfId="0" applyNumberFormat="1" applyFont="1" applyFill="1" applyBorder="1" applyAlignment="1">
      <alignment horizontal="right" vertical="center"/>
    </xf>
    <xf numFmtId="164" fontId="2" fillId="2" borderId="6" xfId="0" applyNumberFormat="1" applyFont="1" applyFill="1" applyBorder="1" applyAlignment="1">
      <alignment horizontal="right" vertical="center"/>
    </xf>
    <xf numFmtId="0" fontId="4" fillId="0" borderId="0" xfId="0" applyFont="1" applyBorder="1" applyAlignment="1">
      <alignment horizontal="left"/>
    </xf>
    <xf numFmtId="0" fontId="3" fillId="2" borderId="0" xfId="0" applyFont="1" applyFill="1" applyBorder="1" applyAlignment="1">
      <alignment horizontal="left"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6" fillId="0" borderId="0" xfId="0" applyFont="1" applyBorder="1"/>
    <xf numFmtId="9" fontId="6" fillId="0" borderId="0" xfId="0" applyNumberFormat="1" applyFont="1" applyBorder="1"/>
    <xf numFmtId="2" fontId="5" fillId="2" borderId="0" xfId="0" applyNumberFormat="1" applyFont="1" applyFill="1" applyBorder="1" applyAlignment="1">
      <alignment vertical="center"/>
    </xf>
    <xf numFmtId="0" fontId="0" fillId="2" borderId="0" xfId="0" applyFill="1" applyBorder="1"/>
    <xf numFmtId="0" fontId="0" fillId="2" borderId="12" xfId="0" applyFill="1" applyBorder="1"/>
    <xf numFmtId="10" fontId="6" fillId="0" borderId="0" xfId="0" applyNumberFormat="1" applyFont="1" applyBorder="1"/>
    <xf numFmtId="165" fontId="1" fillId="0" borderId="2" xfId="0" applyNumberFormat="1" applyFont="1" applyBorder="1" applyAlignment="1">
      <alignment vertical="center"/>
    </xf>
    <xf numFmtId="166" fontId="1" fillId="0" borderId="2" xfId="0" applyNumberFormat="1" applyFont="1" applyBorder="1" applyAlignment="1">
      <alignment vertical="center"/>
    </xf>
    <xf numFmtId="0" fontId="1" fillId="0" borderId="21" xfId="0" applyFont="1" applyBorder="1" applyAlignment="1">
      <alignment vertical="center"/>
    </xf>
    <xf numFmtId="164" fontId="1" fillId="0" borderId="21" xfId="0" applyNumberFormat="1" applyFont="1" applyBorder="1" applyAlignment="1">
      <alignment vertical="center"/>
    </xf>
    <xf numFmtId="0" fontId="0" fillId="0" borderId="0" xfId="0" applyFill="1" applyBorder="1"/>
    <xf numFmtId="1" fontId="5" fillId="2" borderId="0" xfId="0" applyNumberFormat="1" applyFont="1" applyFill="1" applyBorder="1" applyAlignment="1">
      <alignment vertical="center"/>
    </xf>
    <xf numFmtId="0" fontId="0" fillId="0" borderId="18" xfId="0" applyBorder="1" applyAlignment="1">
      <alignment horizontal="left" vertical="top"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0" fillId="0" borderId="12" xfId="0" applyBorder="1" applyAlignment="1">
      <alignment horizontal="center" vertical="center"/>
    </xf>
    <xf numFmtId="0" fontId="3" fillId="2" borderId="0" xfId="0" applyFont="1" applyFill="1" applyBorder="1" applyAlignment="1">
      <alignment horizontal="right" vertical="center"/>
    </xf>
    <xf numFmtId="0" fontId="0" fillId="0" borderId="0" xfId="0" applyBorder="1" applyAlignment="1">
      <alignment horizontal="right"/>
    </xf>
    <xf numFmtId="0" fontId="5" fillId="2" borderId="0" xfId="0" applyFont="1" applyFill="1" applyBorder="1" applyAlignment="1">
      <alignment vertical="center"/>
    </xf>
    <xf numFmtId="0" fontId="0" fillId="0" borderId="0" xfId="0" applyBorder="1" applyAlignment="1">
      <alignment vertical="center"/>
    </xf>
    <xf numFmtId="0" fontId="0" fillId="0" borderId="12" xfId="0"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993500143317201"/>
                  <c:y val="-2.6431718061674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27C-4816-BDEF-3A724DFCD6E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OF'!$G$8</c:f>
              <c:strCache>
                <c:ptCount val="1"/>
                <c:pt idx="0">
                  <c:v>AAA EQUIVALENT</c:v>
                </c:pt>
              </c:strCache>
            </c:strRef>
          </c:cat>
          <c:val>
            <c:numRef>
              <c:f>'IDFC OF'!$H$8</c:f>
              <c:numCache>
                <c:formatCode>0%</c:formatCode>
                <c:ptCount val="1"/>
                <c:pt idx="0">
                  <c:v>1</c:v>
                </c:pt>
              </c:numCache>
            </c:numRef>
          </c:val>
          <c:extLst>
            <c:ext xmlns:c16="http://schemas.microsoft.com/office/drawing/2014/chart" uri="{C3380CC4-5D6E-409C-BE32-E72D297353CC}">
              <c16:uniqueId val="{0000000C-227C-4816-BDEF-3A724DFCD6E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OF'!$K$8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E1B-45A5-992B-4720E460848F}"/>
                </c:ext>
              </c:extLst>
            </c:dLbl>
            <c:dLbl>
              <c:idx val="1"/>
              <c:layout>
                <c:manualLayout>
                  <c:x val="-0.3564669780303158"/>
                  <c:y val="-3.915240594925634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E1B-45A5-992B-4720E460848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OF'!$J$9:$J$10</c:f>
              <c:strCache>
                <c:ptCount val="2"/>
                <c:pt idx="0">
                  <c:v>Net Current Asset</c:v>
                </c:pt>
                <c:pt idx="1">
                  <c:v>TRI Party Repo</c:v>
                </c:pt>
              </c:strCache>
            </c:strRef>
          </c:cat>
          <c:val>
            <c:numRef>
              <c:f>'IDFC OF'!$K$9:$K$10</c:f>
              <c:numCache>
                <c:formatCode>0.00%</c:formatCode>
                <c:ptCount val="2"/>
                <c:pt idx="0">
                  <c:v>-4.633E-3</c:v>
                </c:pt>
                <c:pt idx="1">
                  <c:v>1.0046299999999999</c:v>
                </c:pt>
              </c:numCache>
            </c:numRef>
          </c:val>
          <c:extLst>
            <c:ext xmlns:c16="http://schemas.microsoft.com/office/drawing/2014/chart" uri="{C3380CC4-5D6E-409C-BE32-E72D297353CC}">
              <c16:uniqueId val="{0000000C-FE1B-45A5-992B-4720E460848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394999072653393"/>
                  <c:y val="-3.761061946902655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0B4-4082-9326-F75FC8F339E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CF'!$G$8</c:f>
              <c:strCache>
                <c:ptCount val="1"/>
                <c:pt idx="0">
                  <c:v>AAA EQUIVALENT</c:v>
                </c:pt>
              </c:strCache>
            </c:strRef>
          </c:cat>
          <c:val>
            <c:numRef>
              <c:f>'IDFC CF'!$H$8</c:f>
              <c:numCache>
                <c:formatCode>0%</c:formatCode>
                <c:ptCount val="1"/>
                <c:pt idx="0">
                  <c:v>1</c:v>
                </c:pt>
              </c:numCache>
            </c:numRef>
          </c:val>
          <c:extLst>
            <c:ext xmlns:c16="http://schemas.microsoft.com/office/drawing/2014/chart" uri="{C3380CC4-5D6E-409C-BE32-E72D297353CC}">
              <c16:uniqueId val="{0000000C-90B4-4082-9326-F75FC8F339E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CF'!$K$8</c:f>
              <c:strCache>
                <c:ptCount val="1"/>
                <c:pt idx="0">
                  <c:v>Total</c:v>
                </c:pt>
              </c:strCache>
            </c:strRef>
          </c:tx>
          <c:dLbls>
            <c:dLbl>
              <c:idx val="0"/>
              <c:layout>
                <c:manualLayout>
                  <c:x val="0.10505631523040349"/>
                  <c:y val="-2.698874894467513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342-4B40-845E-0CBECD1CDC92}"/>
                </c:ext>
              </c:extLst>
            </c:dLbl>
            <c:dLbl>
              <c:idx val="1"/>
              <c:layout>
                <c:manualLayout>
                  <c:x val="0.13102328483029557"/>
                  <c:y val="-5.728355071589793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342-4B40-845E-0CBECD1CDC92}"/>
                </c:ext>
              </c:extLst>
            </c:dLbl>
            <c:dLbl>
              <c:idx val="2"/>
              <c:layout>
                <c:manualLayout>
                  <c:x val="-7.0690788919051074E-3"/>
                  <c:y val="0.333480590637330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342-4B40-845E-0CBECD1CDC92}"/>
                </c:ext>
              </c:extLst>
            </c:dLbl>
            <c:dLbl>
              <c:idx val="3"/>
              <c:layout>
                <c:manualLayout>
                  <c:x val="-5.1664924379099218E-2"/>
                  <c:y val="6.212684574165647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8342-4B40-845E-0CBECD1CDC92}"/>
                </c:ext>
              </c:extLst>
            </c:dLbl>
            <c:dLbl>
              <c:idx val="4"/>
              <c:layout>
                <c:manualLayout>
                  <c:x val="3.7818543559999321E-2"/>
                  <c:y val="0.1616357966195144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8342-4B40-845E-0CBECD1CDC92}"/>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8342-4B40-845E-0CBECD1CDC92}"/>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8342-4B40-845E-0CBECD1CDC92}"/>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8342-4B40-845E-0CBECD1CDC92}"/>
                </c:ext>
              </c:extLst>
            </c:dLbl>
            <c:dLbl>
              <c:idx val="8"/>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8342-4B40-845E-0CBECD1CDC9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CF'!$J$9:$J$17</c:f>
              <c:strCache>
                <c:ptCount val="9"/>
                <c:pt idx="0">
                  <c:v>Net Current Asset</c:v>
                </c:pt>
                <c:pt idx="1">
                  <c:v>TRI Party Repo</c:v>
                </c:pt>
                <c:pt idx="2">
                  <c:v>Certificate of Deposit</c:v>
                </c:pt>
                <c:pt idx="3">
                  <c:v>Corporate Bond</c:v>
                </c:pt>
                <c:pt idx="4">
                  <c:v>Commercial Paper</c:v>
                </c:pt>
                <c:pt idx="5">
                  <c:v>Government Bond</c:v>
                </c:pt>
                <c:pt idx="6">
                  <c:v>State Government Bond</c:v>
                </c:pt>
                <c:pt idx="7">
                  <c:v>Treasury Bill</c:v>
                </c:pt>
                <c:pt idx="8">
                  <c:v>Zero Coupon Bond</c:v>
                </c:pt>
              </c:strCache>
            </c:strRef>
          </c:cat>
          <c:val>
            <c:numRef>
              <c:f>'IDFC CF'!$K$9:$K$17</c:f>
              <c:numCache>
                <c:formatCode>0.00%</c:formatCode>
                <c:ptCount val="9"/>
                <c:pt idx="0">
                  <c:v>1.2865E-2</c:v>
                </c:pt>
                <c:pt idx="1">
                  <c:v>0.15016099999999999</c:v>
                </c:pt>
                <c:pt idx="2">
                  <c:v>0.21956800000000001</c:v>
                </c:pt>
                <c:pt idx="3">
                  <c:v>0.13438900000000001</c:v>
                </c:pt>
                <c:pt idx="4">
                  <c:v>0.30471700000000002</c:v>
                </c:pt>
                <c:pt idx="5">
                  <c:v>2.9714000000000001E-2</c:v>
                </c:pt>
                <c:pt idx="6">
                  <c:v>2.9842E-2</c:v>
                </c:pt>
                <c:pt idx="7">
                  <c:v>0.10531699999999999</c:v>
                </c:pt>
                <c:pt idx="8">
                  <c:v>1.3427E-2</c:v>
                </c:pt>
              </c:numCache>
            </c:numRef>
          </c:val>
          <c:extLst>
            <c:ext xmlns:c16="http://schemas.microsoft.com/office/drawing/2014/chart" uri="{C3380CC4-5D6E-409C-BE32-E72D297353CC}">
              <c16:uniqueId val="{0000000C-8342-4B40-845E-0CBECD1CDC9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777226053381445"/>
                  <c:y val="-2.6431718061674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66D-404E-A96E-75F627DA0E5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LDF'!$G$8</c:f>
              <c:strCache>
                <c:ptCount val="1"/>
                <c:pt idx="0">
                  <c:v>AAA EQUIVALENT</c:v>
                </c:pt>
              </c:strCache>
            </c:strRef>
          </c:cat>
          <c:val>
            <c:numRef>
              <c:f>'IDFC LDF'!$H$8</c:f>
              <c:numCache>
                <c:formatCode>0%</c:formatCode>
                <c:ptCount val="1"/>
                <c:pt idx="0">
                  <c:v>1</c:v>
                </c:pt>
              </c:numCache>
            </c:numRef>
          </c:val>
          <c:extLst>
            <c:ext xmlns:c16="http://schemas.microsoft.com/office/drawing/2014/chart" uri="{C3380CC4-5D6E-409C-BE32-E72D297353CC}">
              <c16:uniqueId val="{0000000C-E66D-404E-A96E-75F627DA0E5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LDF'!$K$8</c:f>
              <c:strCache>
                <c:ptCount val="1"/>
                <c:pt idx="0">
                  <c:v>Total</c:v>
                </c:pt>
              </c:strCache>
            </c:strRef>
          </c:tx>
          <c:dLbls>
            <c:dLbl>
              <c:idx val="0"/>
              <c:layout>
                <c:manualLayout>
                  <c:x val="0.10793985735723077"/>
                  <c:y val="-9.262202159583472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D4F-46CB-9DB8-89305F9A2932}"/>
                </c:ext>
              </c:extLst>
            </c:dLbl>
            <c:dLbl>
              <c:idx val="1"/>
              <c:layout>
                <c:manualLayout>
                  <c:x val="-3.8604933483956903E-2"/>
                  <c:y val="-0.106983337180572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D4F-46CB-9DB8-89305F9A2932}"/>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D4F-46CB-9DB8-89305F9A2932}"/>
                </c:ext>
              </c:extLst>
            </c:dLbl>
            <c:dLbl>
              <c:idx val="3"/>
              <c:layout>
                <c:manualLayout>
                  <c:x val="8.5548736279485407E-2"/>
                  <c:y val="8.116101122538835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DD4F-46CB-9DB8-89305F9A2932}"/>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DD4F-46CB-9DB8-89305F9A2932}"/>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DD4F-46CB-9DB8-89305F9A2932}"/>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DD4F-46CB-9DB8-89305F9A2932}"/>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DD4F-46CB-9DB8-89305F9A2932}"/>
                </c:ext>
              </c:extLst>
            </c:dLbl>
            <c:dLbl>
              <c:idx val="8"/>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DD4F-46CB-9DB8-89305F9A293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LDF'!$J$9:$J$17</c:f>
              <c:strCache>
                <c:ptCount val="9"/>
                <c:pt idx="0">
                  <c:v>Net Current Asset</c:v>
                </c:pt>
                <c:pt idx="1">
                  <c:v>TRI Party Repo</c:v>
                </c:pt>
                <c:pt idx="2">
                  <c:v>Certificate of Deposit</c:v>
                </c:pt>
                <c:pt idx="3">
                  <c:v>Corporate Bond</c:v>
                </c:pt>
                <c:pt idx="4">
                  <c:v>Commercial Paper</c:v>
                </c:pt>
                <c:pt idx="5">
                  <c:v>Floating Rate Note</c:v>
                </c:pt>
                <c:pt idx="6">
                  <c:v>Government Bond</c:v>
                </c:pt>
                <c:pt idx="7">
                  <c:v>State Government Bond</c:v>
                </c:pt>
                <c:pt idx="8">
                  <c:v>Zero Coupon Bond</c:v>
                </c:pt>
              </c:strCache>
            </c:strRef>
          </c:cat>
          <c:val>
            <c:numRef>
              <c:f>'IDFC LDF'!$K$9:$K$17</c:f>
              <c:numCache>
                <c:formatCode>0.00%</c:formatCode>
                <c:ptCount val="9"/>
                <c:pt idx="0">
                  <c:v>1.252E-2</c:v>
                </c:pt>
                <c:pt idx="1">
                  <c:v>0.32716600000000001</c:v>
                </c:pt>
                <c:pt idx="2">
                  <c:v>0.103784</c:v>
                </c:pt>
                <c:pt idx="3">
                  <c:v>0.36588599999999999</c:v>
                </c:pt>
                <c:pt idx="4">
                  <c:v>4.8869999999999997E-2</c:v>
                </c:pt>
                <c:pt idx="5">
                  <c:v>1.6670000000000001E-2</c:v>
                </c:pt>
                <c:pt idx="6">
                  <c:v>9.6593999999999999E-2</c:v>
                </c:pt>
                <c:pt idx="7">
                  <c:v>1.9184E-2</c:v>
                </c:pt>
                <c:pt idx="8">
                  <c:v>9.3259999999999992E-3</c:v>
                </c:pt>
              </c:numCache>
            </c:numRef>
          </c:val>
          <c:extLst>
            <c:ext xmlns:c16="http://schemas.microsoft.com/office/drawing/2014/chart" uri="{C3380CC4-5D6E-409C-BE32-E72D297353CC}">
              <c16:uniqueId val="{0000000C-DD4F-46CB-9DB8-89305F9A293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33757102631976"/>
                  <c:y val="-1.762114537444934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E26-4704-9646-6178335E554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MMF'!$G$8</c:f>
              <c:strCache>
                <c:ptCount val="1"/>
                <c:pt idx="0">
                  <c:v>AAA EQUIVALENT</c:v>
                </c:pt>
              </c:strCache>
            </c:strRef>
          </c:cat>
          <c:val>
            <c:numRef>
              <c:f>'IDFC MMF'!$H$8</c:f>
              <c:numCache>
                <c:formatCode>0%</c:formatCode>
                <c:ptCount val="1"/>
                <c:pt idx="0">
                  <c:v>1</c:v>
                </c:pt>
              </c:numCache>
            </c:numRef>
          </c:val>
          <c:extLst>
            <c:ext xmlns:c16="http://schemas.microsoft.com/office/drawing/2014/chart" uri="{C3380CC4-5D6E-409C-BE32-E72D297353CC}">
              <c16:uniqueId val="{0000000C-9E26-4704-9646-6178335E554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MMF'!$K$8</c:f>
              <c:strCache>
                <c:ptCount val="1"/>
                <c:pt idx="0">
                  <c:v>Total</c:v>
                </c:pt>
              </c:strCache>
            </c:strRef>
          </c:tx>
          <c:dLbls>
            <c:dLbl>
              <c:idx val="0"/>
              <c:layout>
                <c:manualLayout>
                  <c:x val="-0.14882294424117756"/>
                  <c:y val="2.665684199703546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5DF-4348-BA6A-8BA865A512E6}"/>
                </c:ext>
              </c:extLst>
            </c:dLbl>
            <c:dLbl>
              <c:idx val="1"/>
              <c:layout>
                <c:manualLayout>
                  <c:x val="9.571751336222159E-2"/>
                  <c:y val="-0.1202495009124947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C5DF-4348-BA6A-8BA865A512E6}"/>
                </c:ext>
              </c:extLst>
            </c:dLbl>
            <c:dLbl>
              <c:idx val="2"/>
              <c:layout>
                <c:manualLayout>
                  <c:x val="-5.7390278035374061E-2"/>
                  <c:y val="0.257582274468139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C5DF-4348-BA6A-8BA865A512E6}"/>
                </c:ext>
              </c:extLst>
            </c:dLbl>
            <c:dLbl>
              <c:idx val="3"/>
              <c:layout>
                <c:manualLayout>
                  <c:x val="1.1681448009576961E-2"/>
                  <c:y val="6.081824646783134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C5DF-4348-BA6A-8BA865A512E6}"/>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C5DF-4348-BA6A-8BA865A512E6}"/>
                </c:ext>
              </c:extLst>
            </c:dLbl>
            <c:dLbl>
              <c:idx val="5"/>
              <c:layout>
                <c:manualLayout>
                  <c:x val="-9.3523748503599791E-2"/>
                  <c:y val="-0.1477412113474934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C5DF-4348-BA6A-8BA865A512E6}"/>
                </c:ext>
              </c:extLst>
            </c:dLbl>
            <c:dLbl>
              <c:idx val="6"/>
              <c:layout>
                <c:manualLayout>
                  <c:x val="0.17501947427877726"/>
                  <c:y val="-3.868360850976326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C5DF-4348-BA6A-8BA865A512E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MMF'!$J$9:$J$15</c:f>
              <c:strCache>
                <c:ptCount val="7"/>
                <c:pt idx="0">
                  <c:v>Net Current Asset</c:v>
                </c:pt>
                <c:pt idx="1">
                  <c:v>TRI Party Repo</c:v>
                </c:pt>
                <c:pt idx="2">
                  <c:v>Certificate of Deposit</c:v>
                </c:pt>
                <c:pt idx="3">
                  <c:v>Commercial Paper</c:v>
                </c:pt>
                <c:pt idx="4">
                  <c:v>Government Bond</c:v>
                </c:pt>
                <c:pt idx="5">
                  <c:v>State Government Bond</c:v>
                </c:pt>
                <c:pt idx="6">
                  <c:v>Treasury Bill</c:v>
                </c:pt>
              </c:strCache>
            </c:strRef>
          </c:cat>
          <c:val>
            <c:numRef>
              <c:f>'IDFC MMF'!$K$9:$K$15</c:f>
              <c:numCache>
                <c:formatCode>0.00%</c:formatCode>
                <c:ptCount val="7"/>
                <c:pt idx="0">
                  <c:v>-8.7500000000000002E-4</c:v>
                </c:pt>
                <c:pt idx="1">
                  <c:v>0.211063</c:v>
                </c:pt>
                <c:pt idx="2">
                  <c:v>0.182342</c:v>
                </c:pt>
                <c:pt idx="3">
                  <c:v>0.39108500000000002</c:v>
                </c:pt>
                <c:pt idx="4">
                  <c:v>9.3644000000000005E-2</c:v>
                </c:pt>
                <c:pt idx="5">
                  <c:v>0.113466</c:v>
                </c:pt>
                <c:pt idx="6">
                  <c:v>9.2750000000000003E-3</c:v>
                </c:pt>
              </c:numCache>
            </c:numRef>
          </c:val>
          <c:extLst>
            <c:ext xmlns:c16="http://schemas.microsoft.com/office/drawing/2014/chart" uri="{C3380CC4-5D6E-409C-BE32-E72D297353CC}">
              <c16:uniqueId val="{0000000C-C5DF-4348-BA6A-8BA865A512E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205491578006711"/>
                  <c:y val="-5.372807017543859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5C8-4C7D-B1DC-1817D53A46D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USTF'!$G$8</c:f>
              <c:strCache>
                <c:ptCount val="1"/>
                <c:pt idx="0">
                  <c:v>AAA EQUIVALENT</c:v>
                </c:pt>
              </c:strCache>
            </c:strRef>
          </c:cat>
          <c:val>
            <c:numRef>
              <c:f>'IDFC USTF'!$H$8</c:f>
              <c:numCache>
                <c:formatCode>0%</c:formatCode>
                <c:ptCount val="1"/>
                <c:pt idx="0">
                  <c:v>1</c:v>
                </c:pt>
              </c:numCache>
            </c:numRef>
          </c:val>
          <c:extLst>
            <c:ext xmlns:c16="http://schemas.microsoft.com/office/drawing/2014/chart" uri="{C3380CC4-5D6E-409C-BE32-E72D297353CC}">
              <c16:uniqueId val="{0000000C-95C8-4C7D-B1DC-1817D53A46D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USTF'!$K$8</c:f>
              <c:strCache>
                <c:ptCount val="1"/>
                <c:pt idx="0">
                  <c:v>Total</c:v>
                </c:pt>
              </c:strCache>
            </c:strRef>
          </c:tx>
          <c:dLbls>
            <c:dLbl>
              <c:idx val="0"/>
              <c:layout>
                <c:manualLayout>
                  <c:x val="0.21762582407391787"/>
                  <c:y val="-0.126554050591832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437-4727-B85F-41BD0744EABA}"/>
                </c:ext>
              </c:extLst>
            </c:dLbl>
            <c:dLbl>
              <c:idx val="1"/>
              <c:layout>
                <c:manualLayout>
                  <c:x val="3.5574701984521583E-2"/>
                  <c:y val="-0.1462595863152680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437-4727-B85F-41BD0744EABA}"/>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437-4727-B85F-41BD0744EABA}"/>
                </c:ext>
              </c:extLst>
            </c:dLbl>
            <c:dLbl>
              <c:idx val="3"/>
              <c:layout>
                <c:manualLayout>
                  <c:x val="-2.7707936400883509E-2"/>
                  <c:y val="7.2772302594496727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3437-4727-B85F-41BD0744EABA}"/>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3437-4727-B85F-41BD0744EABA}"/>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3437-4727-B85F-41BD0744EABA}"/>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3437-4727-B85F-41BD0744EABA}"/>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3437-4727-B85F-41BD0744EABA}"/>
                </c:ext>
              </c:extLst>
            </c:dLbl>
            <c:dLbl>
              <c:idx val="8"/>
              <c:layout>
                <c:manualLayout>
                  <c:x val="0.18826434436594774"/>
                  <c:y val="-3.978615471330725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3437-4727-B85F-41BD0744EAB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USTF'!$J$9:$J$17</c:f>
              <c:strCache>
                <c:ptCount val="9"/>
                <c:pt idx="0">
                  <c:v>Net Current Asset</c:v>
                </c:pt>
                <c:pt idx="1">
                  <c:v>TRI Party Repo</c:v>
                </c:pt>
                <c:pt idx="2">
                  <c:v>Certificate of Deposit</c:v>
                </c:pt>
                <c:pt idx="3">
                  <c:v>Corporate Bond</c:v>
                </c:pt>
                <c:pt idx="4">
                  <c:v>Commercial Paper</c:v>
                </c:pt>
                <c:pt idx="5">
                  <c:v>Floating Rate Note</c:v>
                </c:pt>
                <c:pt idx="6">
                  <c:v>State Government Bond</c:v>
                </c:pt>
                <c:pt idx="7">
                  <c:v>Treasury Bill</c:v>
                </c:pt>
                <c:pt idx="8">
                  <c:v>Zero Coupon Bond</c:v>
                </c:pt>
              </c:strCache>
            </c:strRef>
          </c:cat>
          <c:val>
            <c:numRef>
              <c:f>'IDFC USTF'!$K$9:$K$17</c:f>
              <c:numCache>
                <c:formatCode>0.00%</c:formatCode>
                <c:ptCount val="9"/>
                <c:pt idx="0">
                  <c:v>8.6779999999999999E-3</c:v>
                </c:pt>
                <c:pt idx="1">
                  <c:v>0.30373699999999998</c:v>
                </c:pt>
                <c:pt idx="2">
                  <c:v>9.8154000000000005E-2</c:v>
                </c:pt>
                <c:pt idx="3">
                  <c:v>0.313691</c:v>
                </c:pt>
                <c:pt idx="4">
                  <c:v>0.180171</c:v>
                </c:pt>
                <c:pt idx="5">
                  <c:v>2.3119000000000001E-2</c:v>
                </c:pt>
                <c:pt idx="6">
                  <c:v>3.7873999999999998E-2</c:v>
                </c:pt>
                <c:pt idx="7">
                  <c:v>5.764E-3</c:v>
                </c:pt>
                <c:pt idx="8">
                  <c:v>2.8812000000000001E-2</c:v>
                </c:pt>
              </c:numCache>
            </c:numRef>
          </c:val>
          <c:extLst>
            <c:ext xmlns:c16="http://schemas.microsoft.com/office/drawing/2014/chart" uri="{C3380CC4-5D6E-409C-BE32-E72D297353CC}">
              <c16:uniqueId val="{0000000C-3437-4727-B85F-41BD0744EAB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0781508708627697"/>
                  <c:y val="-1.42543859649122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45B-47B9-9AB9-76D4845DF0D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DBF'!$G$8</c:f>
              <c:strCache>
                <c:ptCount val="1"/>
                <c:pt idx="0">
                  <c:v>AAA EQUIVALENT</c:v>
                </c:pt>
              </c:strCache>
            </c:strRef>
          </c:cat>
          <c:val>
            <c:numRef>
              <c:f>'IDFC DBF'!$H$8</c:f>
              <c:numCache>
                <c:formatCode>0%</c:formatCode>
                <c:ptCount val="1"/>
                <c:pt idx="0">
                  <c:v>1</c:v>
                </c:pt>
              </c:numCache>
            </c:numRef>
          </c:val>
          <c:extLst>
            <c:ext xmlns:c16="http://schemas.microsoft.com/office/drawing/2014/chart" uri="{C3380CC4-5D6E-409C-BE32-E72D297353CC}">
              <c16:uniqueId val="{0000000C-A45B-47B9-9AB9-76D4845DF0D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DBF'!$K$8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392-4E94-AADE-FD8C00809B8F}"/>
                </c:ext>
              </c:extLst>
            </c:dLbl>
            <c:dLbl>
              <c:idx val="1"/>
              <c:layout>
                <c:manualLayout>
                  <c:x val="-8.6298200947579784E-2"/>
                  <c:y val="0.2866992125984251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392-4E94-AADE-FD8C00809B8F}"/>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392-4E94-AADE-FD8C00809B8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DBF'!$J$9:$J$11</c:f>
              <c:strCache>
                <c:ptCount val="3"/>
                <c:pt idx="0">
                  <c:v>Net Current Asset</c:v>
                </c:pt>
                <c:pt idx="1">
                  <c:v>TRI Party Repo</c:v>
                </c:pt>
                <c:pt idx="2">
                  <c:v>Government Bond</c:v>
                </c:pt>
              </c:strCache>
            </c:strRef>
          </c:cat>
          <c:val>
            <c:numRef>
              <c:f>'IDFC DBF'!$K$9:$K$11</c:f>
              <c:numCache>
                <c:formatCode>0.00%</c:formatCode>
                <c:ptCount val="3"/>
                <c:pt idx="0">
                  <c:v>9.0690000000000007E-3</c:v>
                </c:pt>
                <c:pt idx="1">
                  <c:v>0.54221600000000003</c:v>
                </c:pt>
                <c:pt idx="2">
                  <c:v>0.44871499999999997</c:v>
                </c:pt>
              </c:numCache>
            </c:numRef>
          </c:val>
          <c:extLst>
            <c:ext xmlns:c16="http://schemas.microsoft.com/office/drawing/2014/chart" uri="{C3380CC4-5D6E-409C-BE32-E72D297353CC}">
              <c16:uniqueId val="{0000000C-A392-4E94-AADE-FD8C00809B8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33757102631976"/>
                  <c:y val="-8.442982456140350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02C-4F62-83F2-0FD27C2CB53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IP'!$G$8</c:f>
              <c:strCache>
                <c:ptCount val="1"/>
                <c:pt idx="0">
                  <c:v>AAA EQUIVALENT</c:v>
                </c:pt>
              </c:strCache>
            </c:strRef>
          </c:cat>
          <c:val>
            <c:numRef>
              <c:f>'IDFC BOND IP'!$H$8</c:f>
              <c:numCache>
                <c:formatCode>0%</c:formatCode>
                <c:ptCount val="1"/>
                <c:pt idx="0">
                  <c:v>1</c:v>
                </c:pt>
              </c:numCache>
            </c:numRef>
          </c:val>
          <c:extLst>
            <c:ext xmlns:c16="http://schemas.microsoft.com/office/drawing/2014/chart" uri="{C3380CC4-5D6E-409C-BE32-E72D297353CC}">
              <c16:uniqueId val="{0000000C-702C-4F62-83F2-0FD27C2CB53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527-41D5-A495-DA8438CA63BF}"/>
                </c:ext>
              </c:extLst>
            </c:dLbl>
            <c:dLbl>
              <c:idx val="1"/>
              <c:layout>
                <c:manualLayout>
                  <c:x val="-0.11627678767134836"/>
                  <c:y val="0.5479706036745406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527-41D5-A495-DA8438CA63BF}"/>
                </c:ext>
              </c:extLst>
            </c:dLbl>
            <c:dLbl>
              <c:idx val="2"/>
              <c:layout>
                <c:manualLayout>
                  <c:x val="2.3717901161712386E-2"/>
                  <c:y val="0.2527321084864391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527-41D5-A495-DA8438CA63B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IP'!$J$9:$J$11</c:f>
              <c:strCache>
                <c:ptCount val="3"/>
                <c:pt idx="0">
                  <c:v>Net Current Asset</c:v>
                </c:pt>
                <c:pt idx="1">
                  <c:v>TRI Party Repo</c:v>
                </c:pt>
                <c:pt idx="2">
                  <c:v>Government Bond</c:v>
                </c:pt>
              </c:strCache>
            </c:strRef>
          </c:cat>
          <c:val>
            <c:numRef>
              <c:f>'IDFC BOND IP'!$K$9:$K$11</c:f>
              <c:numCache>
                <c:formatCode>0.00%</c:formatCode>
                <c:ptCount val="3"/>
                <c:pt idx="0">
                  <c:v>9.9419999999999994E-3</c:v>
                </c:pt>
                <c:pt idx="1">
                  <c:v>0.43778800000000001</c:v>
                </c:pt>
                <c:pt idx="2">
                  <c:v>0.55227000000000004</c:v>
                </c:pt>
              </c:numCache>
            </c:numRef>
          </c:val>
          <c:extLst>
            <c:ext xmlns:c16="http://schemas.microsoft.com/office/drawing/2014/chart" uri="{C3380CC4-5D6E-409C-BE32-E72D297353CC}">
              <c16:uniqueId val="{0000000C-3527-41D5-A495-DA8438CA63B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064163954880373"/>
                  <c:y val="-3.260869565217391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FCB-4004-834A-8F9E716EF1D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MT'!$G$8</c:f>
              <c:strCache>
                <c:ptCount val="1"/>
                <c:pt idx="0">
                  <c:v>AAA EQUIVALENT</c:v>
                </c:pt>
              </c:strCache>
            </c:strRef>
          </c:cat>
          <c:val>
            <c:numRef>
              <c:f>'IDFC BOND MT'!$H$8</c:f>
              <c:numCache>
                <c:formatCode>0%</c:formatCode>
                <c:ptCount val="1"/>
                <c:pt idx="0">
                  <c:v>1</c:v>
                </c:pt>
              </c:numCache>
            </c:numRef>
          </c:val>
          <c:extLst>
            <c:ext xmlns:c16="http://schemas.microsoft.com/office/drawing/2014/chart" uri="{C3380CC4-5D6E-409C-BE32-E72D297353CC}">
              <c16:uniqueId val="{0000000C-1FCB-4004-834A-8F9E716EF1D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MT'!$K$8</c:f>
              <c:strCache>
                <c:ptCount val="1"/>
                <c:pt idx="0">
                  <c:v>Total</c:v>
                </c:pt>
              </c:strCache>
            </c:strRef>
          </c:tx>
          <c:dLbls>
            <c:dLbl>
              <c:idx val="0"/>
              <c:layout>
                <c:manualLayout>
                  <c:x val="4.6623783911379384E-2"/>
                  <c:y val="-1.287966487632754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25B-4AB8-948B-781D25B58060}"/>
                </c:ext>
              </c:extLst>
            </c:dLbl>
            <c:dLbl>
              <c:idx val="1"/>
              <c:layout>
                <c:manualLayout>
                  <c:x val="-8.2550877607108539E-2"/>
                  <c:y val="0.4894526429229458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25B-4AB8-948B-781D25B58060}"/>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25B-4AB8-948B-781D25B58060}"/>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125B-4AB8-948B-781D25B58060}"/>
                </c:ext>
              </c:extLst>
            </c:dLbl>
            <c:dLbl>
              <c:idx val="4"/>
              <c:layout>
                <c:manualLayout>
                  <c:x val="1.4617258763425451E-2"/>
                  <c:y val="-0.221832751038570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125B-4AB8-948B-781D25B58060}"/>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125B-4AB8-948B-781D25B58060}"/>
                </c:ext>
              </c:extLst>
            </c:dLbl>
            <c:dLbl>
              <c:idx val="6"/>
              <c:layout>
                <c:manualLayout>
                  <c:x val="-0.12319192702625234"/>
                  <c:y val="-3.936973110149311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125B-4AB8-948B-781D25B5806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MT'!$J$9:$J$15</c:f>
              <c:strCache>
                <c:ptCount val="7"/>
                <c:pt idx="0">
                  <c:v>Net Current Asset</c:v>
                </c:pt>
                <c:pt idx="1">
                  <c:v>TRI Party Repo</c:v>
                </c:pt>
                <c:pt idx="2">
                  <c:v>Corporate Bond</c:v>
                </c:pt>
                <c:pt idx="3">
                  <c:v>Commercial Paper</c:v>
                </c:pt>
                <c:pt idx="4">
                  <c:v>Government Bond</c:v>
                </c:pt>
                <c:pt idx="5">
                  <c:v>PTC</c:v>
                </c:pt>
                <c:pt idx="6">
                  <c:v>State Government Bond</c:v>
                </c:pt>
              </c:strCache>
            </c:strRef>
          </c:cat>
          <c:val>
            <c:numRef>
              <c:f>'IDFC BOND MT'!$K$9:$K$15</c:f>
              <c:numCache>
                <c:formatCode>0.00%</c:formatCode>
                <c:ptCount val="7"/>
                <c:pt idx="0">
                  <c:v>4.437E-3</c:v>
                </c:pt>
                <c:pt idx="1">
                  <c:v>0.47154000000000001</c:v>
                </c:pt>
                <c:pt idx="2">
                  <c:v>4.2588000000000001E-2</c:v>
                </c:pt>
                <c:pt idx="3">
                  <c:v>2.8707E-2</c:v>
                </c:pt>
                <c:pt idx="4">
                  <c:v>0.42802899999999999</c:v>
                </c:pt>
                <c:pt idx="5">
                  <c:v>1.1521E-2</c:v>
                </c:pt>
                <c:pt idx="6">
                  <c:v>1.3178E-2</c:v>
                </c:pt>
              </c:numCache>
            </c:numRef>
          </c:val>
          <c:extLst>
            <c:ext xmlns:c16="http://schemas.microsoft.com/office/drawing/2014/chart" uri="{C3380CC4-5D6E-409C-BE32-E72D297353CC}">
              <c16:uniqueId val="{0000000C-125B-4AB8-948B-781D25B5806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205491578006711"/>
                  <c:y val="-4.40528634361233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F8D-4473-838F-3E6AADDE59A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ST'!$G$8</c:f>
              <c:strCache>
                <c:ptCount val="1"/>
                <c:pt idx="0">
                  <c:v>AAA EQUIVALENT</c:v>
                </c:pt>
              </c:strCache>
            </c:strRef>
          </c:cat>
          <c:val>
            <c:numRef>
              <c:f>'IDFC BOND ST'!$H$8</c:f>
              <c:numCache>
                <c:formatCode>0%</c:formatCode>
                <c:ptCount val="1"/>
                <c:pt idx="0">
                  <c:v>1</c:v>
                </c:pt>
              </c:numCache>
            </c:numRef>
          </c:val>
          <c:extLst>
            <c:ext xmlns:c16="http://schemas.microsoft.com/office/drawing/2014/chart" uri="{C3380CC4-5D6E-409C-BE32-E72D297353CC}">
              <c16:uniqueId val="{0000000C-7F8D-4473-838F-3E6AADDE59A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ST'!$K$8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F3E-452B-B3AE-EC2724F6D835}"/>
                </c:ext>
              </c:extLst>
            </c:dLbl>
            <c:dLbl>
              <c:idx val="1"/>
              <c:layout>
                <c:manualLayout>
                  <c:x val="1.6135830986865401E-3"/>
                  <c:y val="-4.125125580676461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F3E-452B-B3AE-EC2724F6D835}"/>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F3E-452B-B3AE-EC2724F6D835}"/>
                </c:ext>
              </c:extLst>
            </c:dLbl>
            <c:dLbl>
              <c:idx val="3"/>
              <c:layout>
                <c:manualLayout>
                  <c:x val="6.0855856615353492E-3"/>
                  <c:y val="-4.465090718622004E-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DF3E-452B-B3AE-EC2724F6D835}"/>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DF3E-452B-B3AE-EC2724F6D835}"/>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DF3E-452B-B3AE-EC2724F6D835}"/>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DF3E-452B-B3AE-EC2724F6D83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ST'!$J$9:$J$15</c:f>
              <c:strCache>
                <c:ptCount val="7"/>
                <c:pt idx="0">
                  <c:v>Net Current Asset</c:v>
                </c:pt>
                <c:pt idx="1">
                  <c:v>TRI Party Repo</c:v>
                </c:pt>
                <c:pt idx="2">
                  <c:v>Certificate of Deposit</c:v>
                </c:pt>
                <c:pt idx="3">
                  <c:v>Corporate Bond</c:v>
                </c:pt>
                <c:pt idx="4">
                  <c:v>Commercial Paper</c:v>
                </c:pt>
                <c:pt idx="5">
                  <c:v>Government Bond</c:v>
                </c:pt>
                <c:pt idx="6">
                  <c:v>PTC</c:v>
                </c:pt>
              </c:strCache>
            </c:strRef>
          </c:cat>
          <c:val>
            <c:numRef>
              <c:f>'IDFC BOND ST'!$K$9:$K$15</c:f>
              <c:numCache>
                <c:formatCode>0.00%</c:formatCode>
                <c:ptCount val="7"/>
                <c:pt idx="0">
                  <c:v>2.2596999999999999E-2</c:v>
                </c:pt>
                <c:pt idx="1">
                  <c:v>0.31021300000000002</c:v>
                </c:pt>
                <c:pt idx="2">
                  <c:v>1.9723999999999998E-2</c:v>
                </c:pt>
                <c:pt idx="3">
                  <c:v>0.280304</c:v>
                </c:pt>
                <c:pt idx="4">
                  <c:v>6.0949999999999997E-3</c:v>
                </c:pt>
                <c:pt idx="5">
                  <c:v>0.355931</c:v>
                </c:pt>
                <c:pt idx="6">
                  <c:v>5.1359999999999999E-3</c:v>
                </c:pt>
              </c:numCache>
            </c:numRef>
          </c:val>
          <c:extLst>
            <c:ext xmlns:c16="http://schemas.microsoft.com/office/drawing/2014/chart" uri="{C3380CC4-5D6E-409C-BE32-E72D297353CC}">
              <c16:uniqueId val="{0000000C-DF3E-452B-B3AE-EC2724F6D83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850031192567738"/>
                  <c:y val="-3.524229074889868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130-43AB-B467-D591492A078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BPDF'!$G$8</c:f>
              <c:strCache>
                <c:ptCount val="1"/>
                <c:pt idx="0">
                  <c:v>AAA EQUIVALENT</c:v>
                </c:pt>
              </c:strCache>
            </c:strRef>
          </c:cat>
          <c:val>
            <c:numRef>
              <c:f>'IDFC BPDF'!$H$8</c:f>
              <c:numCache>
                <c:formatCode>0%</c:formatCode>
                <c:ptCount val="1"/>
                <c:pt idx="0">
                  <c:v>1</c:v>
                </c:pt>
              </c:numCache>
            </c:numRef>
          </c:val>
          <c:extLst>
            <c:ext xmlns:c16="http://schemas.microsoft.com/office/drawing/2014/chart" uri="{C3380CC4-5D6E-409C-BE32-E72D297353CC}">
              <c16:uniqueId val="{0000000C-C130-43AB-B467-D591492A078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BPDF'!$K$8</c:f>
              <c:strCache>
                <c:ptCount val="1"/>
                <c:pt idx="0">
                  <c:v>Total</c:v>
                </c:pt>
              </c:strCache>
            </c:strRef>
          </c:tx>
          <c:dLbls>
            <c:dLbl>
              <c:idx val="0"/>
              <c:layout>
                <c:manualLayout>
                  <c:x val="7.1665008683336431E-2"/>
                  <c:y val="6.878446520489045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235-4BB1-8600-8B7D6E8D86B4}"/>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235-4BB1-8600-8B7D6E8D86B4}"/>
                </c:ext>
              </c:extLst>
            </c:dLbl>
            <c:dLbl>
              <c:idx val="2"/>
              <c:layout>
                <c:manualLayout>
                  <c:x val="8.5862010824664048E-2"/>
                  <c:y val="-5.491710872433953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235-4BB1-8600-8B7D6E8D86B4}"/>
                </c:ext>
              </c:extLst>
            </c:dLbl>
            <c:dLbl>
              <c:idx val="3"/>
              <c:layout>
                <c:manualLayout>
                  <c:x val="-0.1645842115024701"/>
                  <c:y val="1.150462740437134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3235-4BB1-8600-8B7D6E8D86B4}"/>
                </c:ext>
              </c:extLst>
            </c:dLbl>
            <c:dLbl>
              <c:idx val="4"/>
              <c:layout>
                <c:manualLayout>
                  <c:x val="-0.13015090458446441"/>
                  <c:y val="-2.717016088860146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3235-4BB1-8600-8B7D6E8D86B4}"/>
                </c:ext>
              </c:extLst>
            </c:dLbl>
            <c:dLbl>
              <c:idx val="5"/>
              <c:layout>
                <c:manualLayout>
                  <c:x val="9.8228430760930047E-2"/>
                  <c:y val="0.6224198834191231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3235-4BB1-8600-8B7D6E8D86B4}"/>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3235-4BB1-8600-8B7D6E8D86B4}"/>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3235-4BB1-8600-8B7D6E8D86B4}"/>
                </c:ext>
              </c:extLst>
            </c:dLbl>
            <c:dLbl>
              <c:idx val="8"/>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3235-4BB1-8600-8B7D6E8D86B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BPDF'!$J$9:$J$17</c:f>
              <c:strCache>
                <c:ptCount val="9"/>
                <c:pt idx="0">
                  <c:v>Net Current Asset</c:v>
                </c:pt>
                <c:pt idx="1">
                  <c:v>TRI Party Repo</c:v>
                </c:pt>
                <c:pt idx="2">
                  <c:v>Certificate of Deposit</c:v>
                </c:pt>
                <c:pt idx="3">
                  <c:v>Corporate Bond</c:v>
                </c:pt>
                <c:pt idx="4">
                  <c:v>Commercial Paper</c:v>
                </c:pt>
                <c:pt idx="5">
                  <c:v>Floating Rate Note</c:v>
                </c:pt>
                <c:pt idx="6">
                  <c:v>Government Bond</c:v>
                </c:pt>
                <c:pt idx="7">
                  <c:v>State Government Bond</c:v>
                </c:pt>
                <c:pt idx="8">
                  <c:v>Zero Coupon Bond</c:v>
                </c:pt>
              </c:strCache>
            </c:strRef>
          </c:cat>
          <c:val>
            <c:numRef>
              <c:f>'IDFC BPDF'!$K$9:$K$17</c:f>
              <c:numCache>
                <c:formatCode>0.00%</c:formatCode>
                <c:ptCount val="9"/>
                <c:pt idx="0">
                  <c:v>2.6067E-2</c:v>
                </c:pt>
                <c:pt idx="1">
                  <c:v>3.0894000000000001E-2</c:v>
                </c:pt>
                <c:pt idx="2">
                  <c:v>9.7604999999999997E-2</c:v>
                </c:pt>
                <c:pt idx="3">
                  <c:v>0.73440499999999997</c:v>
                </c:pt>
                <c:pt idx="4">
                  <c:v>1.085E-2</c:v>
                </c:pt>
                <c:pt idx="5">
                  <c:v>1.6739999999999999E-3</c:v>
                </c:pt>
                <c:pt idx="6">
                  <c:v>7.6287999999999995E-2</c:v>
                </c:pt>
                <c:pt idx="7">
                  <c:v>2.2065000000000001E-2</c:v>
                </c:pt>
                <c:pt idx="8">
                  <c:v>1.5200000000000001E-4</c:v>
                </c:pt>
              </c:numCache>
            </c:numRef>
          </c:val>
          <c:extLst>
            <c:ext xmlns:c16="http://schemas.microsoft.com/office/drawing/2014/chart" uri="{C3380CC4-5D6E-409C-BE32-E72D297353CC}">
              <c16:uniqueId val="{0000000C-3235-4BB1-8600-8B7D6E8D86B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33757102631976"/>
                  <c:y val="-2.6431718061674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BB1-419F-A447-C314345C33A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'IDFC-CBF'!$G$8</c:f>
              <c:strCache>
                <c:ptCount val="1"/>
                <c:pt idx="0">
                  <c:v>AAA EQUIVALENT</c:v>
                </c:pt>
              </c:strCache>
            </c:strRef>
          </c:cat>
          <c:val>
            <c:numRef>
              <c:f>'IDFC-CBF'!$H$8</c:f>
              <c:numCache>
                <c:formatCode>0%</c:formatCode>
                <c:ptCount val="1"/>
                <c:pt idx="0">
                  <c:v>1</c:v>
                </c:pt>
              </c:numCache>
            </c:numRef>
          </c:val>
          <c:extLst>
            <c:ext xmlns:c16="http://schemas.microsoft.com/office/drawing/2014/chart" uri="{C3380CC4-5D6E-409C-BE32-E72D297353CC}">
              <c16:uniqueId val="{0000000C-CBB1-419F-A447-C314345C33A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'IDFC-CBF'!$K$8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647-415E-B744-73F733765461}"/>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647-415E-B744-73F733765461}"/>
                </c:ext>
              </c:extLst>
            </c:dLbl>
            <c:dLbl>
              <c:idx val="2"/>
              <c:layout>
                <c:manualLayout>
                  <c:x val="0.13841255121482407"/>
                  <c:y val="-2.611438954746041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647-415E-B744-73F733765461}"/>
                </c:ext>
              </c:extLst>
            </c:dLbl>
            <c:dLbl>
              <c:idx val="3"/>
              <c:layout>
                <c:manualLayout>
                  <c:x val="-4.2681717783135779E-2"/>
                  <c:y val="0.1368178593060482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9647-415E-B744-73F733765461}"/>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9647-415E-B744-73F733765461}"/>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9647-415E-B744-73F733765461}"/>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9647-415E-B744-73F733765461}"/>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9647-415E-B744-73F73376546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'IDFC-CBF'!$J$9:$J$16</c:f>
              <c:strCache>
                <c:ptCount val="8"/>
                <c:pt idx="0">
                  <c:v>Net Current Asset</c:v>
                </c:pt>
                <c:pt idx="1">
                  <c:v>TRI Party Repo</c:v>
                </c:pt>
                <c:pt idx="2">
                  <c:v>Certificate of Deposit</c:v>
                </c:pt>
                <c:pt idx="3">
                  <c:v>Corporate Bond</c:v>
                </c:pt>
                <c:pt idx="4">
                  <c:v>Commercial Paper</c:v>
                </c:pt>
                <c:pt idx="5">
                  <c:v>Government Bond</c:v>
                </c:pt>
                <c:pt idx="6">
                  <c:v>State Government Bond</c:v>
                </c:pt>
                <c:pt idx="7">
                  <c:v>Zero Coupon Bond</c:v>
                </c:pt>
              </c:strCache>
            </c:strRef>
          </c:cat>
          <c:val>
            <c:numRef>
              <c:f>'IDFC-CBF'!$K$9:$K$16</c:f>
              <c:numCache>
                <c:formatCode>0.00%</c:formatCode>
                <c:ptCount val="8"/>
                <c:pt idx="0">
                  <c:v>2.7060000000000001E-2</c:v>
                </c:pt>
                <c:pt idx="1">
                  <c:v>1.1991999999999999E-2</c:v>
                </c:pt>
                <c:pt idx="2">
                  <c:v>9.9330000000000009E-3</c:v>
                </c:pt>
                <c:pt idx="3">
                  <c:v>0.70316299999999998</c:v>
                </c:pt>
                <c:pt idx="4">
                  <c:v>2.513E-3</c:v>
                </c:pt>
                <c:pt idx="5">
                  <c:v>0.20691399999999999</c:v>
                </c:pt>
                <c:pt idx="6">
                  <c:v>3.8325999999999999E-2</c:v>
                </c:pt>
                <c:pt idx="7">
                  <c:v>9.8999999999999994E-5</c:v>
                </c:pt>
              </c:numCache>
            </c:numRef>
          </c:val>
          <c:extLst>
            <c:ext xmlns:c16="http://schemas.microsoft.com/office/drawing/2014/chart" uri="{C3380CC4-5D6E-409C-BE32-E72D297353CC}">
              <c16:uniqueId val="{0000000C-9647-415E-B744-73F73376546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5.6131447166534579E-2"/>
                  <c:y val="-1.211453744493392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6476976512839534"/>
                      <c:h val="0.16519823788546256"/>
                    </c:manualLayout>
                  </c15:layout>
                </c:ext>
                <c:ext xmlns:c16="http://schemas.microsoft.com/office/drawing/2014/chart" uri="{C3380CC4-5D6E-409C-BE32-E72D297353CC}">
                  <c16:uniqueId val="{0000000D-69E0-4F35-8B06-7C4CD8A7DE8D}"/>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9E0-4F35-8B06-7C4CD8A7DE8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FRF'!$G$8:$G$9</c:f>
              <c:strCache>
                <c:ptCount val="2"/>
                <c:pt idx="0">
                  <c:v>AAA EQUIVALENT</c:v>
                </c:pt>
                <c:pt idx="1">
                  <c:v>AA+</c:v>
                </c:pt>
              </c:strCache>
            </c:strRef>
          </c:cat>
          <c:val>
            <c:numRef>
              <c:f>'IDFC FRF'!$H$8:$H$9</c:f>
              <c:numCache>
                <c:formatCode>0.00%</c:formatCode>
                <c:ptCount val="2"/>
                <c:pt idx="0">
                  <c:v>0.915713</c:v>
                </c:pt>
                <c:pt idx="1">
                  <c:v>8.4281999999999996E-2</c:v>
                </c:pt>
              </c:numCache>
            </c:numRef>
          </c:val>
          <c:extLst>
            <c:ext xmlns:c16="http://schemas.microsoft.com/office/drawing/2014/chart" uri="{C3380CC4-5D6E-409C-BE32-E72D297353CC}">
              <c16:uniqueId val="{0000000C-69E0-4F35-8B06-7C4CD8A7DE8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FRF'!$K$8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809-493C-BA0C-0CFF825A6C99}"/>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809-493C-BA0C-0CFF825A6C99}"/>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809-493C-BA0C-0CFF825A6C99}"/>
                </c:ext>
              </c:extLst>
            </c:dLbl>
            <c:dLbl>
              <c:idx val="3"/>
              <c:layout>
                <c:manualLayout>
                  <c:x val="5.4084455984757793E-2"/>
                  <c:y val="1.668981541241771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1809-493C-BA0C-0CFF825A6C99}"/>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1809-493C-BA0C-0CFF825A6C99}"/>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1809-493C-BA0C-0CFF825A6C99}"/>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1809-493C-BA0C-0CFF825A6C9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FRF'!$J$9:$J$15</c:f>
              <c:strCache>
                <c:ptCount val="6"/>
                <c:pt idx="0">
                  <c:v>Net Current Asset</c:v>
                </c:pt>
                <c:pt idx="1">
                  <c:v>TRI Party Repo</c:v>
                </c:pt>
                <c:pt idx="2">
                  <c:v>Certificate of Deposit</c:v>
                </c:pt>
                <c:pt idx="3">
                  <c:v>Corporate Bond</c:v>
                </c:pt>
                <c:pt idx="4">
                  <c:v>Commercial Paper</c:v>
                </c:pt>
                <c:pt idx="5">
                  <c:v>Floating Rate Note</c:v>
                </c:pt>
              </c:strCache>
            </c:strRef>
          </c:cat>
          <c:val>
            <c:numRef>
              <c:f>'IDFC FRF'!$K$9:$K$15</c:f>
              <c:numCache>
                <c:formatCode>0.00%</c:formatCode>
                <c:ptCount val="7"/>
                <c:pt idx="0">
                  <c:v>2.2792E-2</c:v>
                </c:pt>
                <c:pt idx="1">
                  <c:v>0.18117800000000001</c:v>
                </c:pt>
                <c:pt idx="2">
                  <c:v>1.6643000000000002E-2</c:v>
                </c:pt>
                <c:pt idx="3">
                  <c:v>0.48961399999999999</c:v>
                </c:pt>
                <c:pt idx="4">
                  <c:v>0.194909</c:v>
                </c:pt>
                <c:pt idx="5">
                  <c:v>9.486E-2</c:v>
                </c:pt>
              </c:numCache>
            </c:numRef>
          </c:val>
          <c:extLst>
            <c:ext xmlns:c16="http://schemas.microsoft.com/office/drawing/2014/chart" uri="{C3380CC4-5D6E-409C-BE32-E72D297353CC}">
              <c16:uniqueId val="{0000000C-1809-493C-BA0C-0CFF825A6C9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2.3396617714006307E-2"/>
                  <c:y val="0.2186753536338931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5406312701276368"/>
                      <c:h val="0.16592920353982302"/>
                    </c:manualLayout>
                  </c15:layout>
                </c:ext>
                <c:ext xmlns:c16="http://schemas.microsoft.com/office/drawing/2014/chart" uri="{C3380CC4-5D6E-409C-BE32-E72D297353CC}">
                  <c16:uniqueId val="{0000000D-2BA7-48B0-BC3F-AAC0694B3A80}"/>
                </c:ext>
              </c:extLst>
            </c:dLbl>
            <c:dLbl>
              <c:idx val="1"/>
              <c:layout>
                <c:manualLayout>
                  <c:x val="3.7284054696589047E-2"/>
                  <c:y val="0.3570632708522054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BA7-48B0-BC3F-AAC0694B3A80}"/>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2BA7-48B0-BC3F-AAC0694B3A80}"/>
                </c:ext>
              </c:extLst>
            </c:dLbl>
            <c:dLbl>
              <c:idx val="3"/>
              <c:layout>
                <c:manualLayout>
                  <c:x val="0.12292485120302146"/>
                  <c:y val="-5.74353703574663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2BA7-48B0-BC3F-AAC0694B3A8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CRF'!$G$8:$G$11</c:f>
              <c:strCache>
                <c:ptCount val="4"/>
                <c:pt idx="0">
                  <c:v>AAA EQUIVALENT</c:v>
                </c:pt>
                <c:pt idx="1">
                  <c:v>AA+</c:v>
                </c:pt>
                <c:pt idx="2">
                  <c:v>AA</c:v>
                </c:pt>
                <c:pt idx="3">
                  <c:v>AA-</c:v>
                </c:pt>
              </c:strCache>
            </c:strRef>
          </c:cat>
          <c:val>
            <c:numRef>
              <c:f>'IDFC CRF'!$H$8:$H$11</c:f>
              <c:numCache>
                <c:formatCode>0.00%</c:formatCode>
                <c:ptCount val="4"/>
                <c:pt idx="0">
                  <c:v>0.64671400000000001</c:v>
                </c:pt>
                <c:pt idx="1">
                  <c:v>0.20327300000000001</c:v>
                </c:pt>
                <c:pt idx="2">
                  <c:v>0.11735300000000001</c:v>
                </c:pt>
                <c:pt idx="3">
                  <c:v>3.2660000000000002E-2</c:v>
                </c:pt>
              </c:numCache>
            </c:numRef>
          </c:val>
          <c:extLst>
            <c:ext xmlns:c16="http://schemas.microsoft.com/office/drawing/2014/chart" uri="{C3380CC4-5D6E-409C-BE32-E72D297353CC}">
              <c16:uniqueId val="{0000000C-2BA7-48B0-BC3F-AAC0694B3A8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CRF'!$K$8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2D2-4683-90E7-DDB1F3502A83}"/>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2D2-4683-90E7-DDB1F3502A83}"/>
                </c:ext>
              </c:extLst>
            </c:dLbl>
            <c:dLbl>
              <c:idx val="2"/>
              <c:layout>
                <c:manualLayout>
                  <c:x val="0.29076936046805713"/>
                  <c:y val="3.191199021347714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2D2-4683-90E7-DDB1F3502A83}"/>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B2D2-4683-90E7-DDB1F3502A83}"/>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B2D2-4683-90E7-DDB1F3502A8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CRF'!$J$9:$J$13</c:f>
              <c:strCache>
                <c:ptCount val="5"/>
                <c:pt idx="0">
                  <c:v>Net Current Asset</c:v>
                </c:pt>
                <c:pt idx="1">
                  <c:v>TRI Party Repo</c:v>
                </c:pt>
                <c:pt idx="2">
                  <c:v>Corporate Bond</c:v>
                </c:pt>
                <c:pt idx="3">
                  <c:v>Government Bond</c:v>
                </c:pt>
                <c:pt idx="4">
                  <c:v>PTC</c:v>
                </c:pt>
              </c:strCache>
            </c:strRef>
          </c:cat>
          <c:val>
            <c:numRef>
              <c:f>'IDFC CRF'!$K$9:$K$13</c:f>
              <c:numCache>
                <c:formatCode>0.00%</c:formatCode>
                <c:ptCount val="5"/>
                <c:pt idx="0">
                  <c:v>2.0961E-2</c:v>
                </c:pt>
                <c:pt idx="1">
                  <c:v>0.19246199999999999</c:v>
                </c:pt>
                <c:pt idx="2">
                  <c:v>0.56452899999999995</c:v>
                </c:pt>
                <c:pt idx="3">
                  <c:v>0.145208</c:v>
                </c:pt>
                <c:pt idx="4">
                  <c:v>7.6840000000000006E-2</c:v>
                </c:pt>
              </c:numCache>
            </c:numRef>
          </c:val>
          <c:extLst>
            <c:ext xmlns:c16="http://schemas.microsoft.com/office/drawing/2014/chart" uri="{C3380CC4-5D6E-409C-BE32-E72D297353CC}">
              <c16:uniqueId val="{0000000C-B2D2-4683-90E7-DDB1F3502A8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850031192567738"/>
                  <c:y val="-3.61842105263157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2C6-4F3F-AB46-E50B401D494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GSF-IP'!$G$8</c:f>
              <c:strCache>
                <c:ptCount val="1"/>
                <c:pt idx="0">
                  <c:v>AAA EQUIVALENT</c:v>
                </c:pt>
              </c:strCache>
            </c:strRef>
          </c:cat>
          <c:val>
            <c:numRef>
              <c:f>'IDFC GSF-IP'!$H$8</c:f>
              <c:numCache>
                <c:formatCode>0%</c:formatCode>
                <c:ptCount val="1"/>
                <c:pt idx="0">
                  <c:v>1</c:v>
                </c:pt>
              </c:numCache>
            </c:numRef>
          </c:val>
          <c:extLst>
            <c:ext xmlns:c16="http://schemas.microsoft.com/office/drawing/2014/chart" uri="{C3380CC4-5D6E-409C-BE32-E72D297353CC}">
              <c16:uniqueId val="{0000000C-E2C6-4F3F-AB46-E50B401D494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GSF-IP'!$K$8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715-4C37-93D7-8819268A5754}"/>
                </c:ext>
              </c:extLst>
            </c:dLbl>
            <c:dLbl>
              <c:idx val="1"/>
              <c:layout>
                <c:manualLayout>
                  <c:x val="-8.201554570132695E-2"/>
                  <c:y val="0.2991030621172353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5715-4C37-93D7-8819268A5754}"/>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5715-4C37-93D7-8819268A575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GSF-IP'!$J$9:$J$11</c:f>
              <c:strCache>
                <c:ptCount val="3"/>
                <c:pt idx="0">
                  <c:v>Net Current Asset</c:v>
                </c:pt>
                <c:pt idx="1">
                  <c:v>TRI Party Repo</c:v>
                </c:pt>
                <c:pt idx="2">
                  <c:v>Government Bond</c:v>
                </c:pt>
              </c:strCache>
            </c:strRef>
          </c:cat>
          <c:val>
            <c:numRef>
              <c:f>'IDFC GSF-IP'!$K$9:$K$11</c:f>
              <c:numCache>
                <c:formatCode>0.00%</c:formatCode>
                <c:ptCount val="3"/>
                <c:pt idx="0">
                  <c:v>9.4990000000000005E-3</c:v>
                </c:pt>
                <c:pt idx="1">
                  <c:v>0.52236499999999997</c:v>
                </c:pt>
                <c:pt idx="2">
                  <c:v>0.468136</c:v>
                </c:pt>
              </c:numCache>
            </c:numRef>
          </c:val>
          <c:extLst>
            <c:ext xmlns:c16="http://schemas.microsoft.com/office/drawing/2014/chart" uri="{C3380CC4-5D6E-409C-BE32-E72D297353CC}">
              <c16:uniqueId val="{0000000C-5715-4C37-93D7-8819268A575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134827766443539"/>
                  <c:y val="-1.864035087719298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292-44AF-9DB1-C7BB457C1AC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 - CMP'!$G$8</c:f>
              <c:strCache>
                <c:ptCount val="1"/>
                <c:pt idx="0">
                  <c:v>AAA EQUIVALENT</c:v>
                </c:pt>
              </c:strCache>
            </c:strRef>
          </c:cat>
          <c:val>
            <c:numRef>
              <c:f>'IDFC GSF - CMP'!$H$8</c:f>
              <c:numCache>
                <c:formatCode>0%</c:formatCode>
                <c:ptCount val="1"/>
                <c:pt idx="0">
                  <c:v>1</c:v>
                </c:pt>
              </c:numCache>
            </c:numRef>
          </c:val>
          <c:extLst>
            <c:ext xmlns:c16="http://schemas.microsoft.com/office/drawing/2014/chart" uri="{C3380CC4-5D6E-409C-BE32-E72D297353CC}">
              <c16:uniqueId val="{0000000C-A292-44AF-9DB1-C7BB457C1AC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GSF - CMP'!$K$8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C10-45B0-867C-41DF3569BC50}"/>
                </c:ext>
              </c:extLst>
            </c:dLbl>
            <c:dLbl>
              <c:idx val="1"/>
              <c:layout>
                <c:manualLayout>
                  <c:x val="0.14439191353757441"/>
                  <c:y val="-7.696972878390201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C10-45B0-867C-41DF3569BC50}"/>
                </c:ext>
              </c:extLst>
            </c:dLbl>
            <c:dLbl>
              <c:idx val="2"/>
              <c:layout>
                <c:manualLayout>
                  <c:x val="-0.18262708863747493"/>
                  <c:y val="-6.930183727034120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C10-45B0-867C-41DF3569BC5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 - CMP'!$J$9:$J$11</c:f>
              <c:strCache>
                <c:ptCount val="3"/>
                <c:pt idx="0">
                  <c:v>Net Current Asset</c:v>
                </c:pt>
                <c:pt idx="1">
                  <c:v>TRI Party Repo</c:v>
                </c:pt>
                <c:pt idx="2">
                  <c:v>Government Bond</c:v>
                </c:pt>
              </c:strCache>
            </c:strRef>
          </c:cat>
          <c:val>
            <c:numRef>
              <c:f>'IDFC GSF - CMP'!$K$9:$K$11</c:f>
              <c:numCache>
                <c:formatCode>0.00%</c:formatCode>
                <c:ptCount val="3"/>
                <c:pt idx="0">
                  <c:v>2.6228000000000001E-2</c:v>
                </c:pt>
                <c:pt idx="1">
                  <c:v>4.9899999999999999E-4</c:v>
                </c:pt>
                <c:pt idx="2">
                  <c:v>0.97327300000000005</c:v>
                </c:pt>
              </c:numCache>
            </c:numRef>
          </c:val>
          <c:extLst>
            <c:ext xmlns:c16="http://schemas.microsoft.com/office/drawing/2014/chart" uri="{C3380CC4-5D6E-409C-BE32-E72D297353CC}">
              <c16:uniqueId val="{0000000C-3C10-45B0-867C-41DF3569BC5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920695004130909"/>
                  <c:y val="-6.22270742358078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688-464E-A130-8FC3AB57225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'IDFC-GIF2027'!$G$8</c:f>
              <c:strCache>
                <c:ptCount val="1"/>
                <c:pt idx="0">
                  <c:v>AAA EQUIVALENT</c:v>
                </c:pt>
              </c:strCache>
            </c:strRef>
          </c:cat>
          <c:val>
            <c:numRef>
              <c:f>'IDFC-GIF2027'!$H$8</c:f>
              <c:numCache>
                <c:formatCode>0%</c:formatCode>
                <c:ptCount val="1"/>
                <c:pt idx="0">
                  <c:v>1</c:v>
                </c:pt>
              </c:numCache>
            </c:numRef>
          </c:val>
          <c:extLst>
            <c:ext xmlns:c16="http://schemas.microsoft.com/office/drawing/2014/chart" uri="{C3380CC4-5D6E-409C-BE32-E72D297353CC}">
              <c16:uniqueId val="{0000000C-B688-464E-A130-8FC3AB57225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'IDFC-GIF2027'!$K$8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CC1-44DE-BA8C-BB3C47C9DA99}"/>
                </c:ext>
              </c:extLst>
            </c:dLbl>
            <c:dLbl>
              <c:idx val="1"/>
              <c:layout>
                <c:manualLayout>
                  <c:x val="0.10745544521067621"/>
                  <c:y val="-1.191356080489938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CC1-44DE-BA8C-BB3C47C9DA99}"/>
                </c:ext>
              </c:extLst>
            </c:dLbl>
            <c:dLbl>
              <c:idx val="2"/>
              <c:layout>
                <c:manualLayout>
                  <c:x val="-0.26686228059822287"/>
                  <c:y val="-2.915240594925634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CC1-44DE-BA8C-BB3C47C9DA99}"/>
                </c:ext>
              </c:extLst>
            </c:dLbl>
            <c:dLbl>
              <c:idx val="3"/>
              <c:layout>
                <c:manualLayout>
                  <c:x val="-8.372388676254866E-2"/>
                  <c:y val="-3.047804024496937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4CC1-44DE-BA8C-BB3C47C9DA9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'IDFC-GIF2027'!$J$9:$J$12</c:f>
              <c:strCache>
                <c:ptCount val="4"/>
                <c:pt idx="0">
                  <c:v>Net Current Asset</c:v>
                </c:pt>
                <c:pt idx="1">
                  <c:v>TRI Party Repo</c:v>
                </c:pt>
                <c:pt idx="2">
                  <c:v>Government Bond</c:v>
                </c:pt>
                <c:pt idx="3">
                  <c:v>Treasury Bill</c:v>
                </c:pt>
              </c:strCache>
            </c:strRef>
          </c:cat>
          <c:val>
            <c:numRef>
              <c:f>'IDFC-GIF2027'!$K$9:$K$12</c:f>
              <c:numCache>
                <c:formatCode>0.00%</c:formatCode>
                <c:ptCount val="4"/>
                <c:pt idx="0">
                  <c:v>1.2161999999999999E-2</c:v>
                </c:pt>
                <c:pt idx="1">
                  <c:v>3.8488000000000001E-2</c:v>
                </c:pt>
                <c:pt idx="2">
                  <c:v>0.93199799999999999</c:v>
                </c:pt>
                <c:pt idx="3">
                  <c:v>1.7351999999999999E-2</c:v>
                </c:pt>
              </c:numCache>
            </c:numRef>
          </c:val>
          <c:extLst>
            <c:ext xmlns:c16="http://schemas.microsoft.com/office/drawing/2014/chart" uri="{C3380CC4-5D6E-409C-BE32-E72D297353CC}">
              <c16:uniqueId val="{0000000C-4CC1-44DE-BA8C-BB3C47C9DA9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064163954880373"/>
                  <c:y val="-4.912663755458514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CEB-4112-A430-5CDE6F00BDC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'IDFC-GIF2028'!$G$8</c:f>
              <c:strCache>
                <c:ptCount val="1"/>
                <c:pt idx="0">
                  <c:v>AAA EQUIVALENT</c:v>
                </c:pt>
              </c:strCache>
            </c:strRef>
          </c:cat>
          <c:val>
            <c:numRef>
              <c:f>'IDFC-GIF2028'!$H$8</c:f>
              <c:numCache>
                <c:formatCode>0%</c:formatCode>
                <c:ptCount val="1"/>
                <c:pt idx="0">
                  <c:v>1</c:v>
                </c:pt>
              </c:numCache>
            </c:numRef>
          </c:val>
          <c:extLst>
            <c:ext xmlns:c16="http://schemas.microsoft.com/office/drawing/2014/chart" uri="{C3380CC4-5D6E-409C-BE32-E72D297353CC}">
              <c16:uniqueId val="{0000000C-7CEB-4112-A430-5CDE6F00BDC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'IDFC-GIF2028'!$K$8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2DD-4D43-A177-035174460FDB}"/>
                </c:ext>
              </c:extLst>
            </c:dLbl>
            <c:dLbl>
              <c:idx val="1"/>
              <c:layout>
                <c:manualLayout>
                  <c:x val="0.11548542379740014"/>
                  <c:y val="-8.580227471566054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2DD-4D43-A177-035174460FDB}"/>
                </c:ext>
              </c:extLst>
            </c:dLbl>
            <c:dLbl>
              <c:idx val="2"/>
              <c:layout>
                <c:manualLayout>
                  <c:x val="0.5518489605287562"/>
                  <c:y val="-5.137462817147856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2DD-4D43-A177-035174460FDB}"/>
                </c:ext>
              </c:extLst>
            </c:dLbl>
            <c:dLbl>
              <c:idx val="3"/>
              <c:layout>
                <c:manualLayout>
                  <c:x val="-9.8713264428670192E-2"/>
                  <c:y val="-4.714470691163604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B2DD-4D43-A177-035174460FD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'IDFC-GIF2028'!$J$9:$J$12</c:f>
              <c:strCache>
                <c:ptCount val="4"/>
                <c:pt idx="0">
                  <c:v>Net Current Asset</c:v>
                </c:pt>
                <c:pt idx="1">
                  <c:v>TRI Party Repo</c:v>
                </c:pt>
                <c:pt idx="2">
                  <c:v>Government Bond</c:v>
                </c:pt>
                <c:pt idx="3">
                  <c:v>Treasury Bill</c:v>
                </c:pt>
              </c:strCache>
            </c:strRef>
          </c:cat>
          <c:val>
            <c:numRef>
              <c:f>'IDFC-GIF2028'!$K$9:$K$12</c:f>
              <c:numCache>
                <c:formatCode>0.00%</c:formatCode>
                <c:ptCount val="4"/>
                <c:pt idx="0">
                  <c:v>1.5062000000000001E-2</c:v>
                </c:pt>
                <c:pt idx="1">
                  <c:v>3.2938000000000002E-2</c:v>
                </c:pt>
                <c:pt idx="2">
                  <c:v>0.93536200000000003</c:v>
                </c:pt>
                <c:pt idx="3">
                  <c:v>1.6638E-2</c:v>
                </c:pt>
              </c:numCache>
            </c:numRef>
          </c:val>
          <c:extLst>
            <c:ext xmlns:c16="http://schemas.microsoft.com/office/drawing/2014/chart" uri="{C3380CC4-5D6E-409C-BE32-E72D297353CC}">
              <c16:uniqueId val="{0000000C-B2DD-4D43-A177-035174460FD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922836331754035"/>
                  <c:y val="2.288368559193258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CC2-4E42-B564-ECF24189060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ASBF'!$G$8</c:f>
              <c:strCache>
                <c:ptCount val="1"/>
                <c:pt idx="0">
                  <c:v>AAA EQUIVALENT</c:v>
                </c:pt>
              </c:strCache>
            </c:strRef>
          </c:cat>
          <c:val>
            <c:numRef>
              <c:f>'IDFC ASBF'!$H$8</c:f>
              <c:numCache>
                <c:formatCode>0%</c:formatCode>
                <c:ptCount val="1"/>
                <c:pt idx="0">
                  <c:v>1</c:v>
                </c:pt>
              </c:numCache>
            </c:numRef>
          </c:val>
          <c:extLst>
            <c:ext xmlns:c16="http://schemas.microsoft.com/office/drawing/2014/chart" uri="{C3380CC4-5D6E-409C-BE32-E72D297353CC}">
              <c16:uniqueId val="{0000000C-6CC2-4E42-B564-ECF24189060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ASBF'!$K$8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FCA-4F63-B187-FBE43ED541C1}"/>
                </c:ext>
              </c:extLst>
            </c:dLbl>
            <c:dLbl>
              <c:idx val="1"/>
              <c:layout>
                <c:manualLayout>
                  <c:x val="0.16612504004451265"/>
                  <c:y val="1.174418197725284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FCA-4F63-B187-FBE43ED541C1}"/>
                </c:ext>
              </c:extLst>
            </c:dLbl>
            <c:dLbl>
              <c:idx val="2"/>
              <c:layout>
                <c:manualLayout>
                  <c:x val="0.32237097236507106"/>
                  <c:y val="-2.24857392825896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6FCA-4F63-B187-FBE43ED541C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ASBF'!$J$9:$J$11</c:f>
              <c:strCache>
                <c:ptCount val="3"/>
                <c:pt idx="0">
                  <c:v>Net Current Asset</c:v>
                </c:pt>
                <c:pt idx="1">
                  <c:v>TRI Party Repo</c:v>
                </c:pt>
                <c:pt idx="2">
                  <c:v>Mutual Fund Units</c:v>
                </c:pt>
              </c:strCache>
            </c:strRef>
          </c:cat>
          <c:val>
            <c:numRef>
              <c:f>'IDFC ASBF'!$K$9:$K$11</c:f>
              <c:numCache>
                <c:formatCode>0.00%</c:formatCode>
                <c:ptCount val="3"/>
                <c:pt idx="0">
                  <c:v>-1.3190000000000001E-3</c:v>
                </c:pt>
                <c:pt idx="1">
                  <c:v>5.4679999999999998E-3</c:v>
                </c:pt>
                <c:pt idx="2">
                  <c:v>0.99585100000000004</c:v>
                </c:pt>
              </c:numCache>
            </c:numRef>
          </c:val>
          <c:extLst>
            <c:ext xmlns:c16="http://schemas.microsoft.com/office/drawing/2014/chart" uri="{C3380CC4-5D6E-409C-BE32-E72D297353CC}">
              <c16:uniqueId val="{0000000C-6FCA-4F63-B187-FBE43ED541C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drawing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721CCF0-682A-4DC7-9658-714365BCA9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3B174264-5427-4338-9A50-32B648DD13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6FB43C3B-C87A-47A0-BF0E-DA78B7C536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19051</xdr:rowOff>
    </xdr:to>
    <xdr:graphicFrame macro="">
      <xdr:nvGraphicFramePr>
        <xdr:cNvPr id="3" name="Chart 2">
          <a:extLst>
            <a:ext uri="{FF2B5EF4-FFF2-40B4-BE49-F238E27FC236}">
              <a16:creationId xmlns:a16="http://schemas.microsoft.com/office/drawing/2014/main" id="{12A270AD-D48D-4D7D-9112-5491D24BB7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61270C48-A29D-4E7F-98A6-228840F130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1D84952C-EB9E-4583-A393-7CA4F6E456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D0B9FF7B-8D9C-4739-BC79-4F50EB1A0D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FCFB8DE2-3229-4BF0-B94D-DE9AAABDF9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85100B7A-2A86-4E2A-BA95-53B3776ABB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57150</xdr:rowOff>
    </xdr:to>
    <xdr:graphicFrame macro="">
      <xdr:nvGraphicFramePr>
        <xdr:cNvPr id="3" name="Chart 2">
          <a:extLst>
            <a:ext uri="{FF2B5EF4-FFF2-40B4-BE49-F238E27FC236}">
              <a16:creationId xmlns:a16="http://schemas.microsoft.com/office/drawing/2014/main" id="{E253BFDB-2D56-42D8-A957-7A0845AD93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955FC361-3C05-4D38-BA94-277D353A50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CCF8289-2CD0-48C1-8BF6-33AC7E69AD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4F5BD8D5-4065-4632-8A50-31254A3500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48F8D0AD-EB66-4F21-B0CA-18AC50E7C8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880553E2-1069-443A-B624-39218A410B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57150</xdr:rowOff>
    </xdr:to>
    <xdr:graphicFrame macro="">
      <xdr:nvGraphicFramePr>
        <xdr:cNvPr id="3" name="Chart 2">
          <a:extLst>
            <a:ext uri="{FF2B5EF4-FFF2-40B4-BE49-F238E27FC236}">
              <a16:creationId xmlns:a16="http://schemas.microsoft.com/office/drawing/2014/main" id="{0FD755AF-D03E-47A7-B43B-06953EAB05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F10E4852-BAB2-4101-B814-0785CFBE47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28575</xdr:rowOff>
    </xdr:to>
    <xdr:graphicFrame macro="">
      <xdr:nvGraphicFramePr>
        <xdr:cNvPr id="3" name="Chart 2">
          <a:extLst>
            <a:ext uri="{FF2B5EF4-FFF2-40B4-BE49-F238E27FC236}">
              <a16:creationId xmlns:a16="http://schemas.microsoft.com/office/drawing/2014/main" id="{CF449A4E-805D-47CB-A0A4-995ABB499D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1E5CB8D1-5DFB-47BA-AFC7-FB35163E57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28575</xdr:rowOff>
    </xdr:to>
    <xdr:graphicFrame macro="">
      <xdr:nvGraphicFramePr>
        <xdr:cNvPr id="3" name="Chart 2">
          <a:extLst>
            <a:ext uri="{FF2B5EF4-FFF2-40B4-BE49-F238E27FC236}">
              <a16:creationId xmlns:a16="http://schemas.microsoft.com/office/drawing/2014/main" id="{33C9BFA6-6CF1-4E55-A230-6D82721E51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85E127FE-256E-4F70-BB29-34533CDF7A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19050</xdr:rowOff>
    </xdr:to>
    <xdr:graphicFrame macro="">
      <xdr:nvGraphicFramePr>
        <xdr:cNvPr id="3" name="Chart 2">
          <a:extLst>
            <a:ext uri="{FF2B5EF4-FFF2-40B4-BE49-F238E27FC236}">
              <a16:creationId xmlns:a16="http://schemas.microsoft.com/office/drawing/2014/main" id="{4E947F78-19A9-482C-84F7-DED0E65BEA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571500</xdr:colOff>
      <xdr:row>7</xdr:row>
      <xdr:rowOff>63500</xdr:rowOff>
    </xdr:from>
    <xdr:to>
      <xdr:col>13</xdr:col>
      <xdr:colOff>508000</xdr:colOff>
      <xdr:row>22</xdr:row>
      <xdr:rowOff>63500</xdr:rowOff>
    </xdr:to>
    <xdr:graphicFrame macro="">
      <xdr:nvGraphicFramePr>
        <xdr:cNvPr id="2" name="Chart 1">
          <a:extLst>
            <a:ext uri="{FF2B5EF4-FFF2-40B4-BE49-F238E27FC236}">
              <a16:creationId xmlns:a16="http://schemas.microsoft.com/office/drawing/2014/main" id="{EB6E238B-A236-4E83-953F-DA511B6E76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747E872F-09AF-4A5C-B72A-C0962B4FCA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584200</xdr:colOff>
      <xdr:row>7</xdr:row>
      <xdr:rowOff>38101</xdr:rowOff>
    </xdr:from>
    <xdr:to>
      <xdr:col>13</xdr:col>
      <xdr:colOff>520700</xdr:colOff>
      <xdr:row>22</xdr:row>
      <xdr:rowOff>38101</xdr:rowOff>
    </xdr:to>
    <xdr:graphicFrame macro="">
      <xdr:nvGraphicFramePr>
        <xdr:cNvPr id="2" name="Chart 1">
          <a:extLst>
            <a:ext uri="{FF2B5EF4-FFF2-40B4-BE49-F238E27FC236}">
              <a16:creationId xmlns:a16="http://schemas.microsoft.com/office/drawing/2014/main" id="{A10DADF6-CFA7-4CEE-8EA8-51CDFB1C55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57150</xdr:rowOff>
    </xdr:to>
    <xdr:graphicFrame macro="">
      <xdr:nvGraphicFramePr>
        <xdr:cNvPr id="3" name="Chart 2">
          <a:extLst>
            <a:ext uri="{FF2B5EF4-FFF2-40B4-BE49-F238E27FC236}">
              <a16:creationId xmlns:a16="http://schemas.microsoft.com/office/drawing/2014/main" id="{89369E0B-E195-43CC-8130-917636E68E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E58DF444-CEA7-4FDB-8763-B038E954CC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12FE2DBE-1F29-49F8-B3F8-CFAB490431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D09AF0B0-90E3-45F5-90A9-6F042BAF94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7BAFE74C-0376-416B-91BF-F5B7A416BB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4C1461F8-5C96-4D0D-A59D-402A85E43C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683D1BD9-966E-47E3-9B85-D641E4841B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41F6A1E-8C82-4634-BCEA-ED2FAAEA47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8C95B130-E92C-47B1-ADC1-3C136B917C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B84C36C9-0690-49E9-90CD-7D291EF6B7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14121778-A024-437F-866D-769018239D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C5D44-DEDB-4D56-A5C1-2C3BA754FB81}">
  <sheetPr>
    <pageSetUpPr fitToPage="1"/>
  </sheetPr>
  <dimension ref="B1:N45"/>
  <sheetViews>
    <sheetView showGridLines="0" tabSelected="1" view="pageBreakPreview" zoomScale="60" zoomScaleNormal="75" workbookViewId="0"/>
  </sheetViews>
  <sheetFormatPr defaultRowHeight="15" x14ac:dyDescent="0.25"/>
  <cols>
    <col min="1" max="1" width="2.85546875" customWidth="1"/>
    <col min="2" max="2" width="3.85546875" customWidth="1"/>
    <col min="3" max="3" width="54.28515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9" t="s">
        <v>154</v>
      </c>
      <c r="D3" s="40"/>
      <c r="E3" s="40"/>
      <c r="F3" s="40"/>
      <c r="G3" s="40"/>
      <c r="H3" s="40"/>
      <c r="I3" s="40"/>
      <c r="J3" s="40"/>
      <c r="K3" s="40"/>
      <c r="L3" s="40"/>
      <c r="M3" s="40"/>
      <c r="N3" s="41"/>
    </row>
    <row r="4" spans="2:14" ht="15.75" customHeight="1" x14ac:dyDescent="0.25">
      <c r="B4" s="20"/>
      <c r="C4" s="14"/>
      <c r="D4" s="1"/>
      <c r="E4" s="1"/>
      <c r="F4" s="1"/>
      <c r="G4" s="1"/>
      <c r="H4" s="1"/>
      <c r="I4" s="1"/>
      <c r="J4" s="1"/>
      <c r="K4" s="1"/>
      <c r="L4" s="1"/>
      <c r="M4" s="1"/>
      <c r="N4" s="18"/>
    </row>
    <row r="5" spans="2:14" ht="18" customHeight="1" x14ac:dyDescent="0.25">
      <c r="B5" s="20"/>
      <c r="C5" s="15" t="s">
        <v>1</v>
      </c>
      <c r="D5" s="42" t="s">
        <v>155</v>
      </c>
      <c r="E5" s="4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4" t="s">
        <v>17</v>
      </c>
      <c r="H7" s="45"/>
      <c r="I7" s="45"/>
      <c r="J7" s="45"/>
      <c r="K7" s="45"/>
      <c r="L7" s="45"/>
      <c r="M7" s="45"/>
      <c r="N7" s="46"/>
    </row>
    <row r="8" spans="2:14" ht="15" customHeight="1" x14ac:dyDescent="0.25">
      <c r="B8" s="20"/>
      <c r="C8" s="5" t="s">
        <v>9</v>
      </c>
      <c r="D8" s="6"/>
      <c r="E8" s="11">
        <v>1.0046299999999999</v>
      </c>
      <c r="F8" s="1"/>
      <c r="G8" s="24" t="s">
        <v>16</v>
      </c>
      <c r="H8" s="25">
        <v>1</v>
      </c>
      <c r="I8" s="1"/>
      <c r="J8" s="24" t="s">
        <v>13</v>
      </c>
      <c r="K8" s="24" t="s">
        <v>5</v>
      </c>
      <c r="L8" s="1"/>
      <c r="M8" s="1"/>
      <c r="N8" s="18"/>
    </row>
    <row r="9" spans="2:14" ht="15.75" customHeight="1" x14ac:dyDescent="0.25">
      <c r="B9" s="20"/>
      <c r="C9" s="7" t="s">
        <v>10</v>
      </c>
      <c r="D9" s="8"/>
      <c r="E9" s="12">
        <v>1.0046299999999999</v>
      </c>
      <c r="F9" s="1"/>
      <c r="G9" s="1"/>
      <c r="H9" s="1"/>
      <c r="I9" s="1"/>
      <c r="J9" s="24" t="s">
        <v>11</v>
      </c>
      <c r="K9" s="29">
        <v>-4.633E-3</v>
      </c>
      <c r="L9" s="1"/>
      <c r="M9" s="1"/>
      <c r="N9" s="18"/>
    </row>
    <row r="10" spans="2:14" ht="15" customHeight="1" x14ac:dyDescent="0.25">
      <c r="B10" s="20"/>
      <c r="C10" s="5"/>
      <c r="D10" s="6"/>
      <c r="E10" s="11"/>
      <c r="F10" s="1"/>
      <c r="G10" s="1"/>
      <c r="H10" s="1"/>
      <c r="I10" s="1"/>
      <c r="J10" s="24" t="s">
        <v>14</v>
      </c>
      <c r="K10" s="29">
        <v>1.0046299999999999</v>
      </c>
      <c r="L10" s="1"/>
      <c r="M10" s="1"/>
      <c r="N10" s="18"/>
    </row>
    <row r="11" spans="2:14" ht="15.75" customHeight="1" x14ac:dyDescent="0.25">
      <c r="B11" s="20"/>
      <c r="C11" s="7" t="s">
        <v>11</v>
      </c>
      <c r="D11" s="8"/>
      <c r="E11" s="12">
        <v>-4.633E-3</v>
      </c>
      <c r="F11" s="1"/>
      <c r="G11" s="1"/>
      <c r="H11" s="1"/>
      <c r="I11" s="1"/>
      <c r="J11" s="1"/>
      <c r="K11" s="1"/>
      <c r="L11" s="1"/>
      <c r="M11" s="1"/>
      <c r="N11" s="18"/>
    </row>
    <row r="12" spans="2:14" ht="15" customHeight="1" x14ac:dyDescent="0.25">
      <c r="B12" s="20"/>
      <c r="C12" s="5"/>
      <c r="D12" s="6"/>
      <c r="E12" s="11"/>
      <c r="F12" s="1"/>
      <c r="G12" s="1"/>
      <c r="H12" s="1"/>
      <c r="I12" s="1"/>
      <c r="J12" s="1"/>
      <c r="K12" s="1"/>
      <c r="L12" s="1"/>
      <c r="M12" s="1"/>
      <c r="N12" s="18"/>
    </row>
    <row r="13" spans="2:14" ht="15" customHeight="1" x14ac:dyDescent="0.25">
      <c r="B13" s="20"/>
      <c r="C13" s="9" t="s">
        <v>12</v>
      </c>
      <c r="D13" s="10"/>
      <c r="E13" s="13">
        <v>1</v>
      </c>
      <c r="F13" s="1"/>
      <c r="G13" s="1"/>
      <c r="H13" s="1"/>
      <c r="I13" s="1"/>
      <c r="J13" s="1"/>
      <c r="K13" s="1"/>
      <c r="L13" s="1"/>
      <c r="M13" s="1"/>
      <c r="N13" s="18"/>
    </row>
    <row r="14" spans="2:14" ht="15" customHeight="1" x14ac:dyDescent="0.25">
      <c r="B14" s="20"/>
      <c r="C14" s="1"/>
      <c r="D14" s="1"/>
      <c r="E14" s="1"/>
      <c r="F14" s="1"/>
      <c r="G14" s="1"/>
      <c r="H14" s="1"/>
      <c r="I14" s="1"/>
      <c r="J14" s="1"/>
      <c r="K14" s="1"/>
      <c r="L14" s="1"/>
      <c r="M14" s="1"/>
      <c r="N14" s="18"/>
    </row>
    <row r="15" spans="2:14" ht="15" customHeight="1" x14ac:dyDescent="0.25">
      <c r="B15" s="20"/>
      <c r="C15" s="1"/>
      <c r="D15" s="1"/>
      <c r="E15" s="1"/>
      <c r="F15" s="1"/>
      <c r="G15" s="1"/>
      <c r="H15" s="1"/>
      <c r="I15" s="1"/>
      <c r="J15" s="1"/>
      <c r="K15" s="1"/>
      <c r="L15" s="1"/>
      <c r="M15" s="1"/>
      <c r="N15" s="18"/>
    </row>
    <row r="16" spans="2:14" ht="15" customHeight="1" x14ac:dyDescent="0.25">
      <c r="B16" s="20"/>
      <c r="C16" s="1"/>
      <c r="D16" s="1"/>
      <c r="E16" s="1"/>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4" t="s">
        <v>103</v>
      </c>
      <c r="H24" s="45"/>
      <c r="I24" s="45"/>
      <c r="J24" s="45"/>
      <c r="K24" s="45"/>
      <c r="L24" s="35">
        <v>2</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4" t="s">
        <v>19</v>
      </c>
      <c r="H26" s="45"/>
      <c r="I26" s="45"/>
      <c r="J26" s="45"/>
      <c r="K26" s="45"/>
      <c r="L26" s="45"/>
      <c r="M26" s="45"/>
      <c r="N26" s="46"/>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0.25" customHeight="1" thickBot="1" x14ac:dyDescent="0.3">
      <c r="B45" s="36" t="s">
        <v>163</v>
      </c>
      <c r="C45" s="37"/>
      <c r="D45" s="37"/>
      <c r="E45" s="37"/>
      <c r="F45" s="37"/>
      <c r="G45" s="37"/>
      <c r="H45" s="37"/>
      <c r="I45" s="37"/>
      <c r="J45" s="37"/>
      <c r="K45" s="37"/>
      <c r="L45" s="37"/>
      <c r="M45" s="37"/>
      <c r="N45" s="38"/>
    </row>
  </sheetData>
  <mergeCells count="6">
    <mergeCell ref="B45:N45"/>
    <mergeCell ref="C3:N3"/>
    <mergeCell ref="D5:E5"/>
    <mergeCell ref="G7:N7"/>
    <mergeCell ref="G24:K24"/>
    <mergeCell ref="G26:N26"/>
  </mergeCells>
  <pageMargins left="0.25" right="0.25" top="0.75" bottom="0.75" header="0.3" footer="0.3"/>
  <pageSetup scale="65" orientation="landscape"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496E7-613A-47E8-A49E-08DAC06C0FB3}">
  <sheetPr>
    <pageSetUpPr fitToPage="1"/>
  </sheetPr>
  <dimension ref="B1:N75"/>
  <sheetViews>
    <sheetView showGridLines="0" view="pageBreakPreview" topLeftCell="A31" zoomScale="60"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9" t="s">
        <v>91</v>
      </c>
      <c r="D3" s="40"/>
      <c r="E3" s="40"/>
      <c r="F3" s="40"/>
      <c r="G3" s="40"/>
      <c r="H3" s="40"/>
      <c r="I3" s="40"/>
      <c r="J3" s="40"/>
      <c r="K3" s="40"/>
      <c r="L3" s="40"/>
      <c r="M3" s="40"/>
      <c r="N3" s="41"/>
    </row>
    <row r="4" spans="2:14" ht="15.75" customHeight="1" x14ac:dyDescent="0.25">
      <c r="B4" s="20"/>
      <c r="C4" s="14"/>
      <c r="D4" s="1"/>
      <c r="E4" s="1"/>
      <c r="F4" s="1"/>
      <c r="G4" s="1"/>
      <c r="H4" s="1"/>
      <c r="I4" s="1"/>
      <c r="J4" s="1"/>
      <c r="K4" s="1"/>
      <c r="L4" s="1"/>
      <c r="M4" s="1"/>
      <c r="N4" s="18"/>
    </row>
    <row r="5" spans="2:14" ht="18" customHeight="1" x14ac:dyDescent="0.25">
      <c r="B5" s="20"/>
      <c r="C5" s="15" t="s">
        <v>1</v>
      </c>
      <c r="D5" s="42" t="s">
        <v>92</v>
      </c>
      <c r="E5" s="4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4" t="s">
        <v>17</v>
      </c>
      <c r="H7" s="45"/>
      <c r="I7" s="45"/>
      <c r="J7" s="45"/>
      <c r="K7" s="45"/>
      <c r="L7" s="45"/>
      <c r="M7" s="45"/>
      <c r="N7" s="46"/>
    </row>
    <row r="8" spans="2:14" ht="15" customHeight="1" x14ac:dyDescent="0.25">
      <c r="B8" s="20"/>
      <c r="C8" s="5" t="s">
        <v>24</v>
      </c>
      <c r="D8" s="6" t="s">
        <v>23</v>
      </c>
      <c r="E8" s="11">
        <v>7.1721999999999994E-2</v>
      </c>
      <c r="F8" s="1"/>
      <c r="G8" s="24" t="s">
        <v>16</v>
      </c>
      <c r="H8" s="25">
        <v>1</v>
      </c>
      <c r="I8" s="1"/>
      <c r="J8" s="24" t="s">
        <v>13</v>
      </c>
      <c r="K8" s="24" t="s">
        <v>5</v>
      </c>
      <c r="L8" s="1"/>
      <c r="M8" s="1"/>
      <c r="N8" s="18"/>
    </row>
    <row r="9" spans="2:14" ht="15" customHeight="1" x14ac:dyDescent="0.25">
      <c r="B9" s="20"/>
      <c r="C9" s="5" t="s">
        <v>26</v>
      </c>
      <c r="D9" s="6" t="s">
        <v>23</v>
      </c>
      <c r="E9" s="11">
        <v>5.7026E-2</v>
      </c>
      <c r="F9" s="1"/>
      <c r="G9" s="1"/>
      <c r="H9" s="1"/>
      <c r="I9" s="1"/>
      <c r="J9" s="24" t="s">
        <v>11</v>
      </c>
      <c r="K9" s="29">
        <v>1.2865E-2</v>
      </c>
      <c r="L9" s="1"/>
      <c r="M9" s="1"/>
      <c r="N9" s="18"/>
    </row>
    <row r="10" spans="2:14" ht="15" customHeight="1" x14ac:dyDescent="0.25">
      <c r="B10" s="20"/>
      <c r="C10" s="5" t="s">
        <v>22</v>
      </c>
      <c r="D10" s="6" t="s">
        <v>23</v>
      </c>
      <c r="E10" s="11">
        <v>5.4614999999999997E-2</v>
      </c>
      <c r="F10" s="1"/>
      <c r="G10" s="1"/>
      <c r="H10" s="1"/>
      <c r="I10" s="1"/>
      <c r="J10" s="24" t="s">
        <v>14</v>
      </c>
      <c r="K10" s="29">
        <v>0.15016099999999999</v>
      </c>
      <c r="L10" s="1"/>
      <c r="M10" s="1"/>
      <c r="N10" s="18"/>
    </row>
    <row r="11" spans="2:14" ht="15" customHeight="1" x14ac:dyDescent="0.25">
      <c r="B11" s="20"/>
      <c r="C11" s="5" t="s">
        <v>27</v>
      </c>
      <c r="D11" s="6" t="s">
        <v>23</v>
      </c>
      <c r="E11" s="11">
        <v>2.5821E-2</v>
      </c>
      <c r="F11" s="1"/>
      <c r="G11" s="1"/>
      <c r="H11" s="1"/>
      <c r="I11" s="1"/>
      <c r="J11" s="24" t="s">
        <v>65</v>
      </c>
      <c r="K11" s="29">
        <v>0.21956800000000001</v>
      </c>
      <c r="L11" s="1"/>
      <c r="M11" s="1"/>
      <c r="N11" s="18"/>
    </row>
    <row r="12" spans="2:14" ht="15" customHeight="1" x14ac:dyDescent="0.25">
      <c r="B12" s="20"/>
      <c r="C12" s="5" t="s">
        <v>30</v>
      </c>
      <c r="D12" s="6" t="s">
        <v>23</v>
      </c>
      <c r="E12" s="11">
        <v>1.0383999999999999E-2</v>
      </c>
      <c r="F12" s="1"/>
      <c r="G12" s="1"/>
      <c r="H12" s="1"/>
      <c r="I12" s="1"/>
      <c r="J12" s="24" t="s">
        <v>66</v>
      </c>
      <c r="K12" s="29">
        <v>0.13438900000000001</v>
      </c>
      <c r="L12" s="1"/>
      <c r="M12" s="1"/>
      <c r="N12" s="18"/>
    </row>
    <row r="13" spans="2:14" ht="15.75" customHeight="1" x14ac:dyDescent="0.25">
      <c r="B13" s="20"/>
      <c r="C13" s="7" t="s">
        <v>28</v>
      </c>
      <c r="D13" s="8"/>
      <c r="E13" s="12">
        <v>0.21956800000000001</v>
      </c>
      <c r="F13" s="1"/>
      <c r="G13" s="1"/>
      <c r="H13" s="1"/>
      <c r="I13" s="1"/>
      <c r="J13" s="24" t="s">
        <v>67</v>
      </c>
      <c r="K13" s="29">
        <v>0.30471700000000002</v>
      </c>
      <c r="L13" s="1"/>
      <c r="M13" s="1"/>
      <c r="N13" s="18"/>
    </row>
    <row r="14" spans="2:14" ht="15" customHeight="1" x14ac:dyDescent="0.25">
      <c r="B14" s="20"/>
      <c r="C14" s="5" t="s">
        <v>93</v>
      </c>
      <c r="D14" s="6" t="s">
        <v>23</v>
      </c>
      <c r="E14" s="11">
        <v>9.3020000000000005E-2</v>
      </c>
      <c r="F14" s="1"/>
      <c r="G14" s="1"/>
      <c r="H14" s="1"/>
      <c r="I14" s="1"/>
      <c r="J14" s="24" t="s">
        <v>69</v>
      </c>
      <c r="K14" s="29">
        <v>2.9714000000000001E-2</v>
      </c>
      <c r="L14" s="1"/>
      <c r="M14" s="1"/>
      <c r="N14" s="18"/>
    </row>
    <row r="15" spans="2:14" ht="15" customHeight="1" x14ac:dyDescent="0.25">
      <c r="B15" s="20"/>
      <c r="C15" s="5" t="s">
        <v>94</v>
      </c>
      <c r="D15" s="6" t="s">
        <v>23</v>
      </c>
      <c r="E15" s="11">
        <v>4.6593999999999997E-2</v>
      </c>
      <c r="F15" s="1"/>
      <c r="G15" s="1"/>
      <c r="H15" s="1"/>
      <c r="I15" s="1"/>
      <c r="J15" s="24" t="s">
        <v>70</v>
      </c>
      <c r="K15" s="29">
        <v>2.9842E-2</v>
      </c>
      <c r="L15" s="1"/>
      <c r="M15" s="1"/>
      <c r="N15" s="18"/>
    </row>
    <row r="16" spans="2:14" ht="15" customHeight="1" x14ac:dyDescent="0.25">
      <c r="B16" s="20"/>
      <c r="C16" s="5" t="s">
        <v>80</v>
      </c>
      <c r="D16" s="6" t="s">
        <v>23</v>
      </c>
      <c r="E16" s="11">
        <v>3.6323000000000001E-2</v>
      </c>
      <c r="F16" s="1"/>
      <c r="G16" s="1"/>
      <c r="H16" s="1"/>
      <c r="I16" s="1"/>
      <c r="J16" s="24" t="s">
        <v>102</v>
      </c>
      <c r="K16" s="29">
        <v>0.10531699999999999</v>
      </c>
      <c r="L16" s="1"/>
      <c r="M16" s="1"/>
      <c r="N16" s="18"/>
    </row>
    <row r="17" spans="2:14" ht="15" customHeight="1" x14ac:dyDescent="0.25">
      <c r="B17" s="20"/>
      <c r="C17" s="5" t="s">
        <v>88</v>
      </c>
      <c r="D17" s="6" t="s">
        <v>23</v>
      </c>
      <c r="E17" s="11">
        <v>3.3221000000000001E-2</v>
      </c>
      <c r="F17" s="1"/>
      <c r="G17" s="1"/>
      <c r="H17" s="1"/>
      <c r="I17" s="1"/>
      <c r="J17" s="24" t="s">
        <v>71</v>
      </c>
      <c r="K17" s="29">
        <v>1.3427E-2</v>
      </c>
      <c r="L17" s="1"/>
      <c r="M17" s="1"/>
      <c r="N17" s="18"/>
    </row>
    <row r="18" spans="2:14" ht="15" customHeight="1" x14ac:dyDescent="0.25">
      <c r="B18" s="20"/>
      <c r="C18" s="5" t="s">
        <v>95</v>
      </c>
      <c r="D18" s="6" t="s">
        <v>23</v>
      </c>
      <c r="E18" s="11">
        <v>2.5791999999999999E-2</v>
      </c>
      <c r="F18" s="1"/>
      <c r="G18" s="1"/>
      <c r="H18" s="1"/>
      <c r="I18" s="1"/>
      <c r="J18" s="1"/>
      <c r="K18" s="1"/>
      <c r="L18" s="1"/>
      <c r="M18" s="1"/>
      <c r="N18" s="18"/>
    </row>
    <row r="19" spans="2:14" ht="15" customHeight="1" x14ac:dyDescent="0.25">
      <c r="B19" s="20"/>
      <c r="C19" s="5" t="s">
        <v>96</v>
      </c>
      <c r="D19" s="6" t="s">
        <v>23</v>
      </c>
      <c r="E19" s="11">
        <v>2.0705000000000001E-2</v>
      </c>
      <c r="F19" s="1"/>
      <c r="G19" s="1"/>
      <c r="H19" s="1"/>
      <c r="I19" s="1"/>
      <c r="J19" s="1"/>
      <c r="K19" s="1"/>
      <c r="L19" s="1"/>
      <c r="M19" s="1"/>
      <c r="N19" s="18"/>
    </row>
    <row r="20" spans="2:14" ht="15" customHeight="1" x14ac:dyDescent="0.25">
      <c r="B20" s="20"/>
      <c r="C20" s="5" t="s">
        <v>97</v>
      </c>
      <c r="D20" s="6" t="s">
        <v>23</v>
      </c>
      <c r="E20" s="11">
        <v>2.0650999999999999E-2</v>
      </c>
      <c r="F20" s="1"/>
      <c r="G20" s="1"/>
      <c r="H20" s="1"/>
      <c r="I20" s="1"/>
      <c r="J20" s="1"/>
      <c r="K20" s="1"/>
      <c r="L20" s="1"/>
      <c r="M20" s="1"/>
      <c r="N20" s="18"/>
    </row>
    <row r="21" spans="2:14" ht="15" customHeight="1" x14ac:dyDescent="0.25">
      <c r="B21" s="20"/>
      <c r="C21" s="5" t="s">
        <v>32</v>
      </c>
      <c r="D21" s="6" t="s">
        <v>23</v>
      </c>
      <c r="E21" s="11">
        <v>2.0618000000000001E-2</v>
      </c>
      <c r="F21" s="1"/>
      <c r="G21" s="1"/>
      <c r="H21" s="1"/>
      <c r="I21" s="1"/>
      <c r="J21" s="1"/>
      <c r="K21" s="1"/>
      <c r="L21" s="1"/>
      <c r="M21" s="1"/>
      <c r="N21" s="18"/>
    </row>
    <row r="22" spans="2:14" ht="15" customHeight="1" x14ac:dyDescent="0.25">
      <c r="B22" s="20"/>
      <c r="C22" s="5" t="s">
        <v>44</v>
      </c>
      <c r="D22" s="6" t="s">
        <v>23</v>
      </c>
      <c r="E22" s="11">
        <v>7.7929999999999996E-3</v>
      </c>
      <c r="F22" s="1"/>
      <c r="G22" s="1"/>
      <c r="H22" s="1"/>
      <c r="I22" s="1"/>
      <c r="J22" s="1"/>
      <c r="K22" s="1"/>
      <c r="L22" s="1"/>
      <c r="M22" s="1"/>
      <c r="N22" s="18"/>
    </row>
    <row r="23" spans="2:14" ht="15.75" customHeight="1" x14ac:dyDescent="0.25">
      <c r="B23" s="20"/>
      <c r="C23" s="7" t="s">
        <v>31</v>
      </c>
      <c r="D23" s="8"/>
      <c r="E23" s="12">
        <v>0.30471700000000002</v>
      </c>
      <c r="F23" s="1"/>
      <c r="G23" s="1"/>
      <c r="H23" s="1"/>
      <c r="I23" s="1"/>
      <c r="J23" s="1"/>
      <c r="K23" s="1"/>
      <c r="L23" s="1"/>
      <c r="M23" s="1"/>
      <c r="N23" s="18"/>
    </row>
    <row r="24" spans="2:14" ht="15" customHeight="1" x14ac:dyDescent="0.25">
      <c r="B24" s="20"/>
      <c r="C24" s="5" t="s">
        <v>44</v>
      </c>
      <c r="D24" s="6" t="s">
        <v>33</v>
      </c>
      <c r="E24" s="11">
        <v>8.695E-2</v>
      </c>
      <c r="F24" s="1"/>
      <c r="G24" s="44" t="s">
        <v>103</v>
      </c>
      <c r="H24" s="45"/>
      <c r="I24" s="45"/>
      <c r="J24" s="45"/>
      <c r="K24" s="45"/>
      <c r="L24" s="35">
        <v>36</v>
      </c>
      <c r="M24" s="27"/>
      <c r="N24" s="28"/>
    </row>
    <row r="25" spans="2:14" ht="15" customHeight="1" x14ac:dyDescent="0.25">
      <c r="B25" s="20"/>
      <c r="C25" s="5" t="s">
        <v>48</v>
      </c>
      <c r="D25" s="6" t="s">
        <v>33</v>
      </c>
      <c r="E25" s="11">
        <v>1.3592999999999999E-2</v>
      </c>
      <c r="F25" s="1"/>
      <c r="G25" s="1"/>
      <c r="H25" s="1"/>
      <c r="I25" s="1"/>
      <c r="J25" s="1"/>
      <c r="K25" s="1"/>
      <c r="L25" s="1"/>
      <c r="M25" s="1"/>
      <c r="N25" s="18"/>
    </row>
    <row r="26" spans="2:14" ht="15" customHeight="1" x14ac:dyDescent="0.25">
      <c r="B26" s="20"/>
      <c r="C26" s="5" t="s">
        <v>29</v>
      </c>
      <c r="D26" s="6" t="s">
        <v>33</v>
      </c>
      <c r="E26" s="11">
        <v>1.0635E-2</v>
      </c>
      <c r="F26" s="1"/>
      <c r="G26" s="44" t="s">
        <v>19</v>
      </c>
      <c r="H26" s="45"/>
      <c r="I26" s="45"/>
      <c r="J26" s="45"/>
      <c r="K26" s="45"/>
      <c r="L26" s="45"/>
      <c r="M26" s="45"/>
      <c r="N26" s="46"/>
    </row>
    <row r="27" spans="2:14" ht="15" customHeight="1" x14ac:dyDescent="0.25">
      <c r="B27" s="20"/>
      <c r="C27" s="5" t="s">
        <v>37</v>
      </c>
      <c r="D27" s="6" t="s">
        <v>33</v>
      </c>
      <c r="E27" s="11">
        <v>8.038E-3</v>
      </c>
      <c r="F27" s="1"/>
      <c r="G27" s="1"/>
      <c r="H27" s="1"/>
      <c r="I27" s="1"/>
      <c r="J27" s="1"/>
      <c r="K27" s="1"/>
      <c r="L27" s="1"/>
      <c r="M27" s="1"/>
      <c r="N27" s="18"/>
    </row>
    <row r="28" spans="2:14" ht="15" customHeight="1" x14ac:dyDescent="0.25">
      <c r="B28" s="20"/>
      <c r="C28" s="5" t="s">
        <v>50</v>
      </c>
      <c r="D28" s="6" t="s">
        <v>33</v>
      </c>
      <c r="E28" s="11">
        <v>7.8670000000000007E-3</v>
      </c>
      <c r="F28" s="1"/>
      <c r="G28" s="1"/>
      <c r="H28" s="1"/>
      <c r="I28" s="1"/>
      <c r="J28" s="1"/>
      <c r="K28" s="1"/>
      <c r="L28" s="1"/>
      <c r="M28" s="1"/>
      <c r="N28" s="18"/>
    </row>
    <row r="29" spans="2:14" ht="15" customHeight="1" x14ac:dyDescent="0.25">
      <c r="B29" s="20"/>
      <c r="C29" s="5" t="s">
        <v>32</v>
      </c>
      <c r="D29" s="6" t="s">
        <v>33</v>
      </c>
      <c r="E29" s="11">
        <v>2.614E-3</v>
      </c>
      <c r="F29" s="1"/>
      <c r="G29" s="1"/>
      <c r="H29" s="1"/>
      <c r="I29" s="1"/>
      <c r="J29" s="1"/>
      <c r="K29" s="1"/>
      <c r="L29" s="1"/>
      <c r="M29" s="1"/>
      <c r="N29" s="18"/>
    </row>
    <row r="30" spans="2:14" ht="15" customHeight="1" x14ac:dyDescent="0.25">
      <c r="B30" s="20"/>
      <c r="C30" s="5" t="s">
        <v>40</v>
      </c>
      <c r="D30" s="6" t="s">
        <v>33</v>
      </c>
      <c r="E30" s="11">
        <v>2.6059999999999998E-3</v>
      </c>
      <c r="F30" s="1"/>
      <c r="G30" s="1"/>
      <c r="H30" s="1"/>
      <c r="I30" s="1"/>
      <c r="J30" s="1"/>
      <c r="K30" s="1"/>
      <c r="L30" s="1"/>
      <c r="M30" s="1"/>
      <c r="N30" s="18"/>
    </row>
    <row r="31" spans="2:14" ht="15" customHeight="1" x14ac:dyDescent="0.25">
      <c r="B31" s="20"/>
      <c r="C31" s="5" t="s">
        <v>43</v>
      </c>
      <c r="D31" s="6" t="s">
        <v>33</v>
      </c>
      <c r="E31" s="11">
        <v>2.0860000000000002E-3</v>
      </c>
      <c r="F31" s="1"/>
      <c r="G31" s="1"/>
      <c r="H31" s="1"/>
      <c r="I31" s="1"/>
      <c r="J31" s="1"/>
      <c r="K31" s="1"/>
      <c r="L31" s="1"/>
      <c r="M31" s="1"/>
      <c r="N31" s="18"/>
    </row>
    <row r="32" spans="2:14" ht="15.75" customHeight="1" x14ac:dyDescent="0.25">
      <c r="B32" s="20"/>
      <c r="C32" s="7" t="s">
        <v>52</v>
      </c>
      <c r="D32" s="8"/>
      <c r="E32" s="12">
        <v>0.13438900000000001</v>
      </c>
      <c r="F32" s="1"/>
      <c r="G32" s="1"/>
      <c r="H32" s="1"/>
      <c r="I32" s="1"/>
      <c r="J32" s="1"/>
      <c r="K32" s="1"/>
      <c r="L32" s="1"/>
      <c r="M32" s="1"/>
      <c r="N32" s="18"/>
    </row>
    <row r="33" spans="2:14" ht="15" customHeight="1" x14ac:dyDescent="0.25">
      <c r="B33" s="20"/>
      <c r="C33" s="5" t="s">
        <v>98</v>
      </c>
      <c r="D33" s="6" t="s">
        <v>56</v>
      </c>
      <c r="E33" s="11">
        <v>1.9214999999999999E-2</v>
      </c>
      <c r="F33" s="1"/>
      <c r="G33" s="1"/>
      <c r="H33" s="1"/>
      <c r="I33" s="1"/>
      <c r="J33" s="1"/>
      <c r="K33" s="1"/>
      <c r="L33" s="1"/>
      <c r="M33" s="1"/>
      <c r="N33" s="18"/>
    </row>
    <row r="34" spans="2:14" ht="15" customHeight="1" x14ac:dyDescent="0.25">
      <c r="B34" s="20"/>
      <c r="C34" s="5" t="s">
        <v>99</v>
      </c>
      <c r="D34" s="6" t="s">
        <v>56</v>
      </c>
      <c r="E34" s="11">
        <v>1.0499E-2</v>
      </c>
      <c r="F34" s="1"/>
      <c r="G34" s="1"/>
      <c r="H34" s="1"/>
      <c r="I34" s="1"/>
      <c r="J34" s="1"/>
      <c r="K34" s="1"/>
      <c r="L34" s="1"/>
      <c r="M34" s="1"/>
      <c r="N34" s="18"/>
    </row>
    <row r="35" spans="2:14" ht="15.75" customHeight="1" x14ac:dyDescent="0.25">
      <c r="B35" s="20"/>
      <c r="C35" s="7" t="s">
        <v>62</v>
      </c>
      <c r="D35" s="8"/>
      <c r="E35" s="12">
        <v>2.9714000000000001E-2</v>
      </c>
      <c r="F35" s="1"/>
      <c r="G35" s="1"/>
      <c r="H35" s="1"/>
      <c r="I35" s="1"/>
      <c r="J35" s="1"/>
      <c r="K35" s="1"/>
      <c r="L35" s="1"/>
      <c r="M35" s="1"/>
      <c r="N35" s="18"/>
    </row>
    <row r="36" spans="2:14" ht="15" customHeight="1" x14ac:dyDescent="0.25">
      <c r="B36" s="20"/>
      <c r="C36" s="5" t="s">
        <v>159</v>
      </c>
      <c r="D36" s="6" t="s">
        <v>56</v>
      </c>
      <c r="E36" s="11">
        <v>8.8839999999999995E-3</v>
      </c>
      <c r="F36" s="1"/>
      <c r="G36" s="1"/>
      <c r="H36" s="1"/>
      <c r="I36" s="1"/>
      <c r="J36" s="1"/>
      <c r="K36" s="1"/>
      <c r="L36" s="1"/>
      <c r="M36" s="1"/>
      <c r="N36" s="18"/>
    </row>
    <row r="37" spans="2:14" ht="15.75" customHeight="1" x14ac:dyDescent="0.25">
      <c r="B37" s="20"/>
      <c r="C37" s="5" t="s">
        <v>160</v>
      </c>
      <c r="D37" s="6" t="s">
        <v>56</v>
      </c>
      <c r="E37" s="11">
        <v>6.5570000000000003E-3</v>
      </c>
      <c r="F37" s="1"/>
      <c r="G37" s="1"/>
      <c r="H37" s="1"/>
      <c r="I37" s="1"/>
      <c r="J37" s="1"/>
      <c r="K37" s="1"/>
      <c r="L37" s="1"/>
      <c r="M37" s="1"/>
      <c r="N37" s="18"/>
    </row>
    <row r="38" spans="2:14" ht="15" customHeight="1" x14ac:dyDescent="0.25">
      <c r="B38" s="20"/>
      <c r="C38" s="5" t="s">
        <v>161</v>
      </c>
      <c r="D38" s="6" t="s">
        <v>56</v>
      </c>
      <c r="E38" s="11">
        <v>6.2709999999999997E-3</v>
      </c>
      <c r="F38" s="1"/>
      <c r="G38" s="1"/>
      <c r="H38" s="1"/>
      <c r="I38" s="1"/>
      <c r="J38" s="1"/>
      <c r="K38" s="1"/>
      <c r="L38" s="1"/>
      <c r="M38" s="1"/>
      <c r="N38" s="18"/>
    </row>
    <row r="39" spans="2:14" ht="15.75" customHeight="1" x14ac:dyDescent="0.25">
      <c r="B39" s="20"/>
      <c r="C39" s="5" t="s">
        <v>158</v>
      </c>
      <c r="D39" s="6" t="s">
        <v>56</v>
      </c>
      <c r="E39" s="11">
        <v>4.4720000000000003E-3</v>
      </c>
      <c r="F39" s="1"/>
      <c r="G39" s="1"/>
      <c r="H39" s="1"/>
      <c r="I39" s="1"/>
      <c r="J39" s="1"/>
      <c r="K39" s="1"/>
      <c r="L39" s="1"/>
      <c r="M39" s="1"/>
      <c r="N39" s="18"/>
    </row>
    <row r="40" spans="2:14" ht="15" customHeight="1" x14ac:dyDescent="0.25">
      <c r="B40" s="20"/>
      <c r="C40" s="5" t="s">
        <v>162</v>
      </c>
      <c r="D40" s="6" t="s">
        <v>56</v>
      </c>
      <c r="E40" s="11">
        <v>3.6579999999999998E-3</v>
      </c>
      <c r="F40" s="1"/>
      <c r="G40" s="1"/>
      <c r="H40" s="1"/>
      <c r="I40" s="1"/>
      <c r="J40" s="1"/>
      <c r="K40" s="1"/>
      <c r="L40" s="1"/>
      <c r="M40" s="1"/>
      <c r="N40" s="18"/>
    </row>
    <row r="41" spans="2:14" ht="15.75" customHeight="1" x14ac:dyDescent="0.25">
      <c r="B41" s="20"/>
      <c r="C41" s="7" t="s">
        <v>63</v>
      </c>
      <c r="D41" s="8"/>
      <c r="E41" s="12">
        <v>2.9842E-2</v>
      </c>
      <c r="F41" s="1"/>
      <c r="G41" s="1"/>
      <c r="H41" s="1"/>
      <c r="I41" s="1"/>
      <c r="J41" s="1"/>
      <c r="K41" s="1"/>
      <c r="L41" s="1"/>
      <c r="M41" s="1"/>
      <c r="N41" s="18"/>
    </row>
    <row r="42" spans="2:14" ht="15" customHeight="1" x14ac:dyDescent="0.25">
      <c r="B42" s="20"/>
      <c r="C42" s="5" t="s">
        <v>100</v>
      </c>
      <c r="D42" s="6" t="s">
        <v>56</v>
      </c>
      <c r="E42" s="11">
        <v>0.10531699999999999</v>
      </c>
      <c r="F42" s="1"/>
      <c r="G42" s="1"/>
      <c r="H42" s="1"/>
      <c r="I42" s="1"/>
      <c r="J42" s="1"/>
      <c r="K42" s="1"/>
      <c r="L42" s="1"/>
      <c r="M42" s="1"/>
      <c r="N42" s="18"/>
    </row>
    <row r="43" spans="2:14" ht="15.75" customHeight="1" x14ac:dyDescent="0.25">
      <c r="B43" s="20"/>
      <c r="C43" s="7" t="s">
        <v>101</v>
      </c>
      <c r="D43" s="8"/>
      <c r="E43" s="12">
        <v>0.10531699999999999</v>
      </c>
      <c r="F43" s="1"/>
      <c r="G43" s="1"/>
      <c r="H43" s="1"/>
      <c r="I43" s="1"/>
      <c r="J43" s="1"/>
      <c r="K43" s="1"/>
      <c r="L43" s="1"/>
      <c r="M43" s="1"/>
      <c r="N43" s="18"/>
    </row>
    <row r="44" spans="2:14" ht="15" customHeight="1" x14ac:dyDescent="0.25">
      <c r="B44" s="20"/>
      <c r="C44" s="5" t="s">
        <v>9</v>
      </c>
      <c r="D44" s="6"/>
      <c r="E44" s="11">
        <v>0.15016099999999999</v>
      </c>
      <c r="F44" s="1"/>
      <c r="G44" s="1"/>
      <c r="H44" s="1"/>
      <c r="I44" s="1"/>
      <c r="J44" s="1"/>
      <c r="K44" s="1"/>
      <c r="L44" s="1"/>
      <c r="M44" s="1"/>
      <c r="N44" s="18"/>
    </row>
    <row r="45" spans="2:14" ht="15.75" customHeight="1" x14ac:dyDescent="0.25">
      <c r="B45" s="20"/>
      <c r="C45" s="7" t="s">
        <v>10</v>
      </c>
      <c r="D45" s="8"/>
      <c r="E45" s="12">
        <v>0.15016099999999999</v>
      </c>
      <c r="F45" s="1"/>
      <c r="G45" s="1"/>
      <c r="H45" s="1"/>
      <c r="I45" s="1"/>
      <c r="J45" s="1"/>
      <c r="K45" s="1"/>
      <c r="L45" s="1"/>
      <c r="M45" s="1"/>
      <c r="N45" s="18"/>
    </row>
    <row r="46" spans="2:14" ht="15" customHeight="1" x14ac:dyDescent="0.25">
      <c r="B46" s="20"/>
      <c r="C46" s="5" t="s">
        <v>97</v>
      </c>
      <c r="D46" s="6" t="s">
        <v>33</v>
      </c>
      <c r="E46" s="11">
        <v>1.3427E-2</v>
      </c>
      <c r="F46" s="1"/>
      <c r="G46" s="1"/>
      <c r="H46" s="1"/>
      <c r="I46" s="1"/>
      <c r="J46" s="1"/>
      <c r="K46" s="1"/>
      <c r="L46" s="1"/>
      <c r="M46" s="1"/>
      <c r="N46" s="18"/>
    </row>
    <row r="47" spans="2:14" ht="15" customHeight="1" x14ac:dyDescent="0.25">
      <c r="B47" s="20"/>
      <c r="C47" s="7" t="s">
        <v>64</v>
      </c>
      <c r="D47" s="8"/>
      <c r="E47" s="12">
        <v>1.3427E-2</v>
      </c>
      <c r="F47" s="1"/>
      <c r="G47" s="1"/>
      <c r="H47" s="1"/>
      <c r="I47" s="1"/>
      <c r="J47" s="1"/>
      <c r="K47" s="1"/>
      <c r="L47" s="1"/>
      <c r="M47" s="1"/>
      <c r="N47" s="18"/>
    </row>
    <row r="48" spans="2:14" ht="15" customHeight="1" x14ac:dyDescent="0.25">
      <c r="B48" s="20"/>
      <c r="C48" s="5"/>
      <c r="D48" s="6"/>
      <c r="E48" s="11"/>
      <c r="F48" s="1"/>
      <c r="G48" s="1"/>
      <c r="H48" s="1"/>
      <c r="I48" s="1"/>
      <c r="J48" s="1"/>
      <c r="K48" s="1"/>
      <c r="L48" s="1"/>
      <c r="M48" s="1"/>
      <c r="N48" s="18"/>
    </row>
    <row r="49" spans="2:14" ht="15" customHeight="1" x14ac:dyDescent="0.25">
      <c r="B49" s="20"/>
      <c r="C49" s="7" t="s">
        <v>11</v>
      </c>
      <c r="D49" s="8"/>
      <c r="E49" s="12">
        <v>1.2865E-2</v>
      </c>
      <c r="F49" s="1"/>
      <c r="G49" s="1"/>
      <c r="H49" s="1"/>
      <c r="I49" s="1"/>
      <c r="J49" s="1"/>
      <c r="K49" s="1"/>
      <c r="L49" s="1"/>
      <c r="M49" s="1"/>
      <c r="N49" s="18"/>
    </row>
    <row r="50" spans="2:14" ht="15" customHeight="1" x14ac:dyDescent="0.25">
      <c r="B50" s="20"/>
      <c r="C50" s="5"/>
      <c r="D50" s="6"/>
      <c r="E50" s="11"/>
      <c r="F50" s="1"/>
      <c r="G50" s="1"/>
      <c r="H50" s="1"/>
      <c r="I50" s="1"/>
      <c r="J50" s="1"/>
      <c r="K50" s="1"/>
      <c r="L50" s="1"/>
      <c r="M50" s="1"/>
      <c r="N50" s="18"/>
    </row>
    <row r="51" spans="2:14" ht="15" customHeight="1" x14ac:dyDescent="0.25">
      <c r="B51" s="20"/>
      <c r="C51" s="9" t="s">
        <v>12</v>
      </c>
      <c r="D51" s="10"/>
      <c r="E51" s="13">
        <v>1</v>
      </c>
      <c r="F51" s="1"/>
      <c r="G51" s="1"/>
      <c r="H51" s="1"/>
      <c r="I51" s="1"/>
      <c r="J51" s="1"/>
      <c r="K51" s="1"/>
      <c r="L51" s="1"/>
      <c r="M51" s="1"/>
      <c r="N51" s="18"/>
    </row>
    <row r="52" spans="2:14" ht="15" customHeight="1" x14ac:dyDescent="0.25">
      <c r="B52" s="20"/>
      <c r="F52" s="1"/>
      <c r="G52" s="1"/>
      <c r="H52" s="1"/>
      <c r="I52" s="1"/>
      <c r="J52" s="1"/>
      <c r="K52" s="1"/>
      <c r="L52" s="1"/>
      <c r="M52" s="1"/>
      <c r="N52" s="18"/>
    </row>
    <row r="53" spans="2:14" ht="15" customHeight="1" thickBot="1" x14ac:dyDescent="0.3">
      <c r="B53" s="21"/>
      <c r="C53" s="22"/>
      <c r="D53" s="22"/>
      <c r="E53" s="22"/>
      <c r="F53" s="22"/>
      <c r="G53" s="22"/>
      <c r="H53" s="22"/>
      <c r="I53" s="22"/>
      <c r="J53" s="22"/>
      <c r="K53" s="22"/>
      <c r="L53" s="22"/>
      <c r="M53" s="22"/>
      <c r="N53" s="23"/>
    </row>
    <row r="54" spans="2:14" ht="15" customHeight="1" thickBot="1" x14ac:dyDescent="0.3"/>
    <row r="55" spans="2:14" ht="125.25" customHeight="1" thickBot="1" x14ac:dyDescent="0.3">
      <c r="B55" s="36" t="s">
        <v>163</v>
      </c>
      <c r="C55" s="37"/>
      <c r="D55" s="37"/>
      <c r="E55" s="37"/>
      <c r="F55" s="37"/>
      <c r="G55" s="37"/>
      <c r="H55" s="37"/>
      <c r="I55" s="37"/>
      <c r="J55" s="37"/>
      <c r="K55" s="37"/>
      <c r="L55" s="37"/>
      <c r="M55" s="37"/>
      <c r="N55" s="38"/>
    </row>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sheetData>
  <sortState ref="C36:E40">
    <sortCondition descending="1" ref="E36"/>
  </sortState>
  <mergeCells count="6">
    <mergeCell ref="B55:N55"/>
    <mergeCell ref="C3:N3"/>
    <mergeCell ref="D5:E5"/>
    <mergeCell ref="G7:N7"/>
    <mergeCell ref="G24:K24"/>
    <mergeCell ref="G26:N26"/>
  </mergeCells>
  <pageMargins left="0.25" right="0.25" top="0.75" bottom="0.75" header="0.3" footer="0.3"/>
  <pageSetup scale="47"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F4AC2-6165-4452-B0F4-D0F4812B7131}">
  <sheetPr>
    <pageSetUpPr fitToPage="1"/>
  </sheetPr>
  <dimension ref="B1:N81"/>
  <sheetViews>
    <sheetView showGridLines="0" view="pageBreakPreview" zoomScale="60"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9" t="s">
        <v>144</v>
      </c>
      <c r="D3" s="40"/>
      <c r="E3" s="40"/>
      <c r="F3" s="40"/>
      <c r="G3" s="40"/>
      <c r="H3" s="40"/>
      <c r="I3" s="40"/>
      <c r="J3" s="40"/>
      <c r="K3" s="40"/>
      <c r="L3" s="40"/>
      <c r="M3" s="40"/>
      <c r="N3" s="41"/>
    </row>
    <row r="4" spans="2:14" ht="15.75" customHeight="1" x14ac:dyDescent="0.25">
      <c r="B4" s="20"/>
      <c r="C4" s="14"/>
      <c r="D4" s="1"/>
      <c r="E4" s="1"/>
      <c r="F4" s="1"/>
      <c r="G4" s="1"/>
      <c r="H4" s="1"/>
      <c r="I4" s="1"/>
      <c r="J4" s="1"/>
      <c r="K4" s="1"/>
      <c r="L4" s="1"/>
      <c r="M4" s="1"/>
      <c r="N4" s="18"/>
    </row>
    <row r="5" spans="2:14" ht="18" customHeight="1" x14ac:dyDescent="0.25">
      <c r="B5" s="20"/>
      <c r="C5" s="15" t="s">
        <v>1</v>
      </c>
      <c r="D5" s="42" t="s">
        <v>145</v>
      </c>
      <c r="E5" s="4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4" t="s">
        <v>17</v>
      </c>
      <c r="H7" s="45"/>
      <c r="I7" s="45"/>
      <c r="J7" s="45"/>
      <c r="K7" s="45"/>
      <c r="L7" s="45"/>
      <c r="M7" s="45"/>
      <c r="N7" s="46"/>
    </row>
    <row r="8" spans="2:14" ht="15" customHeight="1" x14ac:dyDescent="0.25">
      <c r="B8" s="20"/>
      <c r="C8" s="5" t="s">
        <v>24</v>
      </c>
      <c r="D8" s="6" t="s">
        <v>23</v>
      </c>
      <c r="E8" s="11">
        <v>0.103784</v>
      </c>
      <c r="F8" s="1"/>
      <c r="G8" s="24" t="s">
        <v>16</v>
      </c>
      <c r="H8" s="25">
        <v>1</v>
      </c>
      <c r="I8" s="1"/>
      <c r="J8" s="24" t="s">
        <v>13</v>
      </c>
      <c r="K8" s="24" t="s">
        <v>5</v>
      </c>
      <c r="L8" s="1"/>
      <c r="M8" s="1"/>
      <c r="N8" s="18"/>
    </row>
    <row r="9" spans="2:14" ht="15.75" customHeight="1" x14ac:dyDescent="0.25">
      <c r="B9" s="20"/>
      <c r="C9" s="7" t="s">
        <v>28</v>
      </c>
      <c r="D9" s="8"/>
      <c r="E9" s="12">
        <v>0.103784</v>
      </c>
      <c r="F9" s="1"/>
      <c r="G9" s="1"/>
      <c r="H9" s="1"/>
      <c r="I9" s="1"/>
      <c r="J9" s="24" t="s">
        <v>11</v>
      </c>
      <c r="K9" s="29">
        <v>1.252E-2</v>
      </c>
      <c r="L9" s="1"/>
      <c r="M9" s="1"/>
      <c r="N9" s="18"/>
    </row>
    <row r="10" spans="2:14" ht="15" customHeight="1" x14ac:dyDescent="0.25">
      <c r="B10" s="20"/>
      <c r="C10" s="5" t="s">
        <v>88</v>
      </c>
      <c r="D10" s="6" t="s">
        <v>23</v>
      </c>
      <c r="E10" s="11">
        <v>2.8174000000000001E-2</v>
      </c>
      <c r="F10" s="1"/>
      <c r="G10" s="1"/>
      <c r="H10" s="1"/>
      <c r="I10" s="1"/>
      <c r="J10" s="24" t="s">
        <v>14</v>
      </c>
      <c r="K10" s="29">
        <v>0.32716600000000001</v>
      </c>
      <c r="L10" s="1"/>
      <c r="M10" s="1"/>
      <c r="N10" s="18"/>
    </row>
    <row r="11" spans="2:14" ht="15" customHeight="1" x14ac:dyDescent="0.25">
      <c r="B11" s="20"/>
      <c r="C11" s="5" t="s">
        <v>80</v>
      </c>
      <c r="D11" s="6" t="s">
        <v>23</v>
      </c>
      <c r="E11" s="11">
        <v>1.6605000000000002E-2</v>
      </c>
      <c r="F11" s="1"/>
      <c r="G11" s="1"/>
      <c r="H11" s="1"/>
      <c r="I11" s="1"/>
      <c r="J11" s="24" t="s">
        <v>65</v>
      </c>
      <c r="K11" s="29">
        <v>0.103784</v>
      </c>
      <c r="L11" s="1"/>
      <c r="M11" s="1"/>
      <c r="N11" s="18"/>
    </row>
    <row r="12" spans="2:14" ht="15" customHeight="1" x14ac:dyDescent="0.25">
      <c r="B12" s="20"/>
      <c r="C12" s="5" t="s">
        <v>29</v>
      </c>
      <c r="D12" s="6" t="s">
        <v>23</v>
      </c>
      <c r="E12" s="11">
        <v>2.4499999999999999E-3</v>
      </c>
      <c r="F12" s="1"/>
      <c r="G12" s="1"/>
      <c r="H12" s="1"/>
      <c r="I12" s="1"/>
      <c r="J12" s="24" t="s">
        <v>66</v>
      </c>
      <c r="K12" s="29">
        <v>0.36588599999999999</v>
      </c>
      <c r="L12" s="1"/>
      <c r="M12" s="1"/>
      <c r="N12" s="18"/>
    </row>
    <row r="13" spans="2:14" ht="15" customHeight="1" x14ac:dyDescent="0.25">
      <c r="B13" s="20"/>
      <c r="C13" s="5" t="s">
        <v>43</v>
      </c>
      <c r="D13" s="6" t="s">
        <v>23</v>
      </c>
      <c r="E13" s="11">
        <v>1.6410000000000001E-3</v>
      </c>
      <c r="F13" s="1"/>
      <c r="G13" s="1"/>
      <c r="H13" s="1"/>
      <c r="I13" s="1"/>
      <c r="J13" s="24" t="s">
        <v>67</v>
      </c>
      <c r="K13" s="29">
        <v>4.8869999999999997E-2</v>
      </c>
      <c r="L13" s="1"/>
      <c r="M13" s="1"/>
      <c r="N13" s="18"/>
    </row>
    <row r="14" spans="2:14" ht="15.75" customHeight="1" x14ac:dyDescent="0.25">
      <c r="B14" s="20"/>
      <c r="C14" s="7" t="s">
        <v>31</v>
      </c>
      <c r="D14" s="8"/>
      <c r="E14" s="12">
        <v>4.8869999999999997E-2</v>
      </c>
      <c r="F14" s="1"/>
      <c r="G14" s="1"/>
      <c r="H14" s="1"/>
      <c r="I14" s="1"/>
      <c r="J14" s="24" t="s">
        <v>68</v>
      </c>
      <c r="K14" s="29">
        <v>1.6670000000000001E-2</v>
      </c>
      <c r="L14" s="1"/>
      <c r="M14" s="1"/>
      <c r="N14" s="18"/>
    </row>
    <row r="15" spans="2:14" ht="15" customHeight="1" x14ac:dyDescent="0.25">
      <c r="B15" s="20"/>
      <c r="C15" s="5" t="s">
        <v>32</v>
      </c>
      <c r="D15" s="6" t="s">
        <v>33</v>
      </c>
      <c r="E15" s="11">
        <v>8.6578000000000002E-2</v>
      </c>
      <c r="F15" s="1"/>
      <c r="G15" s="1"/>
      <c r="H15" s="1"/>
      <c r="I15" s="1"/>
      <c r="J15" s="24" t="s">
        <v>69</v>
      </c>
      <c r="K15" s="29">
        <v>9.6593999999999999E-2</v>
      </c>
      <c r="L15" s="1"/>
      <c r="M15" s="1"/>
      <c r="N15" s="18"/>
    </row>
    <row r="16" spans="2:14" ht="15" customHeight="1" x14ac:dyDescent="0.25">
      <c r="B16" s="20"/>
      <c r="C16" s="5" t="s">
        <v>29</v>
      </c>
      <c r="D16" s="6" t="s">
        <v>33</v>
      </c>
      <c r="E16" s="11">
        <v>8.5682999999999995E-2</v>
      </c>
      <c r="F16" s="1"/>
      <c r="G16" s="1"/>
      <c r="H16" s="1"/>
      <c r="I16" s="1"/>
      <c r="J16" s="24" t="s">
        <v>70</v>
      </c>
      <c r="K16" s="29">
        <v>1.9184E-2</v>
      </c>
      <c r="L16" s="1"/>
      <c r="M16" s="1"/>
      <c r="N16" s="18"/>
    </row>
    <row r="17" spans="2:14" ht="15" customHeight="1" x14ac:dyDescent="0.25">
      <c r="B17" s="20"/>
      <c r="C17" s="5" t="s">
        <v>43</v>
      </c>
      <c r="D17" s="6" t="s">
        <v>33</v>
      </c>
      <c r="E17" s="11">
        <v>7.4742000000000003E-2</v>
      </c>
      <c r="F17" s="1"/>
      <c r="G17" s="1"/>
      <c r="H17" s="1"/>
      <c r="I17" s="1"/>
      <c r="J17" s="24" t="s">
        <v>71</v>
      </c>
      <c r="K17" s="29">
        <v>9.3259999999999992E-3</v>
      </c>
      <c r="L17" s="1"/>
      <c r="M17" s="1"/>
      <c r="N17" s="18"/>
    </row>
    <row r="18" spans="2:14" ht="15" customHeight="1" x14ac:dyDescent="0.25">
      <c r="B18" s="20"/>
      <c r="C18" s="5" t="s">
        <v>44</v>
      </c>
      <c r="D18" s="6" t="s">
        <v>33</v>
      </c>
      <c r="E18" s="11">
        <v>6.6406000000000007E-2</v>
      </c>
      <c r="F18" s="1"/>
      <c r="G18" s="1"/>
      <c r="H18" s="1"/>
      <c r="I18" s="1"/>
      <c r="J18" s="1"/>
      <c r="K18" s="1"/>
      <c r="L18" s="1"/>
      <c r="M18" s="1"/>
      <c r="N18" s="18"/>
    </row>
    <row r="19" spans="2:14" ht="15" customHeight="1" x14ac:dyDescent="0.25">
      <c r="B19" s="20"/>
      <c r="C19" s="5" t="s">
        <v>37</v>
      </c>
      <c r="D19" s="6" t="s">
        <v>33</v>
      </c>
      <c r="E19" s="11">
        <v>1.2629E-2</v>
      </c>
      <c r="F19" s="1"/>
      <c r="G19" s="1"/>
      <c r="H19" s="1"/>
      <c r="I19" s="1"/>
      <c r="J19" s="1"/>
      <c r="K19" s="1"/>
      <c r="L19" s="1"/>
      <c r="M19" s="1"/>
      <c r="N19" s="18"/>
    </row>
    <row r="20" spans="2:14" ht="15" customHeight="1" x14ac:dyDescent="0.25">
      <c r="B20" s="20"/>
      <c r="C20" s="5" t="s">
        <v>50</v>
      </c>
      <c r="D20" s="6" t="s">
        <v>33</v>
      </c>
      <c r="E20" s="11">
        <v>1.0946000000000001E-2</v>
      </c>
      <c r="F20" s="1"/>
      <c r="G20" s="1"/>
      <c r="H20" s="1"/>
      <c r="I20" s="1"/>
      <c r="J20" s="1"/>
      <c r="K20" s="1"/>
      <c r="L20" s="1"/>
      <c r="M20" s="1"/>
      <c r="N20" s="18"/>
    </row>
    <row r="21" spans="2:14" ht="15" customHeight="1" x14ac:dyDescent="0.25">
      <c r="B21" s="20"/>
      <c r="C21" s="5" t="s">
        <v>35</v>
      </c>
      <c r="D21" s="6" t="s">
        <v>33</v>
      </c>
      <c r="E21" s="11">
        <v>9.1789999999999997E-3</v>
      </c>
      <c r="F21" s="1"/>
      <c r="G21" s="1"/>
      <c r="H21" s="1"/>
      <c r="I21" s="1"/>
      <c r="J21" s="1"/>
      <c r="K21" s="1"/>
      <c r="L21" s="1"/>
      <c r="M21" s="1"/>
      <c r="N21" s="18"/>
    </row>
    <row r="22" spans="2:14" ht="15" customHeight="1" x14ac:dyDescent="0.25">
      <c r="B22" s="20"/>
      <c r="C22" s="5" t="s">
        <v>108</v>
      </c>
      <c r="D22" s="6" t="s">
        <v>33</v>
      </c>
      <c r="E22" s="11">
        <v>8.8699999999999994E-3</v>
      </c>
      <c r="F22" s="1"/>
      <c r="G22" s="1"/>
      <c r="H22" s="1"/>
      <c r="I22" s="1"/>
      <c r="J22" s="1"/>
      <c r="K22" s="1"/>
      <c r="L22" s="1"/>
      <c r="M22" s="1"/>
      <c r="N22" s="18"/>
    </row>
    <row r="23" spans="2:14" ht="15" customHeight="1" x14ac:dyDescent="0.25">
      <c r="B23" s="20"/>
      <c r="C23" s="5" t="s">
        <v>146</v>
      </c>
      <c r="D23" s="6" t="s">
        <v>33</v>
      </c>
      <c r="E23" s="11">
        <v>8.3899999999999999E-3</v>
      </c>
      <c r="F23" s="1"/>
      <c r="G23" s="1"/>
      <c r="H23" s="1"/>
      <c r="I23" s="1"/>
      <c r="J23" s="1"/>
      <c r="K23" s="1"/>
      <c r="L23" s="1"/>
      <c r="M23" s="1"/>
      <c r="N23" s="18"/>
    </row>
    <row r="24" spans="2:14" ht="15" customHeight="1" x14ac:dyDescent="0.25">
      <c r="B24" s="20"/>
      <c r="C24" s="5" t="s">
        <v>48</v>
      </c>
      <c r="D24" s="6" t="s">
        <v>33</v>
      </c>
      <c r="E24" s="11">
        <v>2.3119999999999998E-3</v>
      </c>
      <c r="F24" s="1"/>
      <c r="G24" s="44" t="s">
        <v>18</v>
      </c>
      <c r="H24" s="45"/>
      <c r="I24" s="45"/>
      <c r="J24" s="45"/>
      <c r="K24" s="45"/>
      <c r="L24" s="35">
        <v>288</v>
      </c>
      <c r="M24" s="27"/>
      <c r="N24" s="28"/>
    </row>
    <row r="25" spans="2:14" ht="15" customHeight="1" x14ac:dyDescent="0.25">
      <c r="B25" s="20"/>
      <c r="C25" s="5" t="s">
        <v>30</v>
      </c>
      <c r="D25" s="6" t="s">
        <v>33</v>
      </c>
      <c r="E25" s="11">
        <v>1.5100000000000001E-4</v>
      </c>
      <c r="F25" s="1"/>
      <c r="G25" s="1"/>
      <c r="H25" s="1"/>
      <c r="I25" s="1"/>
      <c r="J25" s="1"/>
      <c r="K25" s="1"/>
      <c r="L25" s="1"/>
      <c r="M25" s="1"/>
      <c r="N25" s="18"/>
    </row>
    <row r="26" spans="2:14" ht="15.75" customHeight="1" x14ac:dyDescent="0.25">
      <c r="B26" s="20"/>
      <c r="C26" s="7" t="s">
        <v>52</v>
      </c>
      <c r="D26" s="8"/>
      <c r="E26" s="12">
        <v>0.36588599999999999</v>
      </c>
      <c r="F26" s="1"/>
      <c r="G26" s="44" t="s">
        <v>19</v>
      </c>
      <c r="H26" s="45"/>
      <c r="I26" s="45"/>
      <c r="J26" s="45"/>
      <c r="K26" s="45"/>
      <c r="L26" s="45"/>
      <c r="M26" s="45"/>
      <c r="N26" s="46"/>
    </row>
    <row r="27" spans="2:14" ht="15" customHeight="1" x14ac:dyDescent="0.25">
      <c r="B27" s="20"/>
      <c r="C27" s="5" t="s">
        <v>24</v>
      </c>
      <c r="D27" s="6" t="s">
        <v>23</v>
      </c>
      <c r="E27" s="11">
        <v>1.6670000000000001E-2</v>
      </c>
      <c r="F27" s="1"/>
      <c r="G27" s="1"/>
      <c r="H27" s="1"/>
      <c r="I27" s="1"/>
      <c r="J27" s="1"/>
      <c r="K27" s="1"/>
      <c r="L27" s="1"/>
      <c r="M27" s="1"/>
      <c r="N27" s="18"/>
    </row>
    <row r="28" spans="2:14" ht="15.75" customHeight="1" x14ac:dyDescent="0.25">
      <c r="B28" s="20"/>
      <c r="C28" s="7" t="s">
        <v>54</v>
      </c>
      <c r="D28" s="8"/>
      <c r="E28" s="12">
        <v>1.6670000000000001E-2</v>
      </c>
      <c r="F28" s="1"/>
      <c r="G28" s="1"/>
      <c r="H28" s="1"/>
      <c r="I28" s="1"/>
      <c r="J28" s="1"/>
      <c r="K28" s="1"/>
      <c r="L28" s="1"/>
      <c r="M28" s="1"/>
      <c r="N28" s="18"/>
    </row>
    <row r="29" spans="2:14" ht="15" customHeight="1" x14ac:dyDescent="0.25">
      <c r="B29" s="20"/>
      <c r="C29" s="5" t="s">
        <v>75</v>
      </c>
      <c r="D29" s="6" t="s">
        <v>56</v>
      </c>
      <c r="E29" s="11">
        <v>9.5520999999999995E-2</v>
      </c>
      <c r="F29" s="1"/>
      <c r="G29" s="1"/>
      <c r="H29" s="1"/>
      <c r="I29" s="1"/>
      <c r="J29" s="1"/>
      <c r="K29" s="1"/>
      <c r="L29" s="1"/>
      <c r="M29" s="1"/>
      <c r="N29" s="18"/>
    </row>
    <row r="30" spans="2:14" ht="15" customHeight="1" x14ac:dyDescent="0.25">
      <c r="B30" s="20"/>
      <c r="C30" s="5" t="s">
        <v>147</v>
      </c>
      <c r="D30" s="6" t="s">
        <v>56</v>
      </c>
      <c r="E30" s="11">
        <v>9.0300000000000005E-4</v>
      </c>
      <c r="F30" s="1"/>
      <c r="G30" s="1"/>
      <c r="H30" s="1"/>
      <c r="I30" s="1"/>
      <c r="J30" s="1"/>
      <c r="K30" s="1"/>
      <c r="L30" s="1"/>
      <c r="M30" s="1"/>
      <c r="N30" s="18"/>
    </row>
    <row r="31" spans="2:14" ht="15" customHeight="1" x14ac:dyDescent="0.25">
      <c r="B31" s="20"/>
      <c r="C31" s="5" t="s">
        <v>148</v>
      </c>
      <c r="D31" s="6" t="s">
        <v>56</v>
      </c>
      <c r="E31" s="11">
        <v>1.7000000000000001E-4</v>
      </c>
      <c r="F31" s="1"/>
      <c r="G31" s="1"/>
      <c r="H31" s="1"/>
      <c r="I31" s="1"/>
      <c r="J31" s="1"/>
      <c r="K31" s="1"/>
      <c r="L31" s="1"/>
      <c r="M31" s="1"/>
      <c r="N31" s="18"/>
    </row>
    <row r="32" spans="2:14" ht="15.75" customHeight="1" x14ac:dyDescent="0.25">
      <c r="B32" s="20"/>
      <c r="C32" s="7" t="s">
        <v>62</v>
      </c>
      <c r="D32" s="8"/>
      <c r="E32" s="12">
        <v>9.6593999999999999E-2</v>
      </c>
      <c r="F32" s="1"/>
      <c r="G32" s="1"/>
      <c r="H32" s="1"/>
      <c r="I32" s="1"/>
      <c r="J32" s="1"/>
      <c r="K32" s="1"/>
      <c r="L32" s="1"/>
      <c r="M32" s="1"/>
      <c r="N32" s="18"/>
    </row>
    <row r="33" spans="2:14" ht="15" customHeight="1" x14ac:dyDescent="0.25">
      <c r="B33" s="20"/>
      <c r="C33" s="5" t="s">
        <v>176</v>
      </c>
      <c r="D33" s="6" t="s">
        <v>56</v>
      </c>
      <c r="E33" s="11">
        <v>5.1219999999999998E-3</v>
      </c>
      <c r="F33" s="1"/>
      <c r="G33" s="1"/>
      <c r="H33" s="1"/>
      <c r="I33" s="1"/>
      <c r="J33" s="1"/>
      <c r="K33" s="1"/>
      <c r="L33" s="1"/>
      <c r="M33" s="1"/>
      <c r="N33" s="18"/>
    </row>
    <row r="34" spans="2:14" ht="15.75" customHeight="1" x14ac:dyDescent="0.25">
      <c r="B34" s="20"/>
      <c r="C34" s="5" t="s">
        <v>166</v>
      </c>
      <c r="D34" s="6" t="s">
        <v>56</v>
      </c>
      <c r="E34" s="11">
        <v>5.1209999999999997E-3</v>
      </c>
      <c r="F34" s="1"/>
      <c r="G34" s="1"/>
      <c r="H34" s="1"/>
      <c r="I34" s="1"/>
      <c r="J34" s="1"/>
      <c r="K34" s="1"/>
      <c r="L34" s="1"/>
      <c r="M34" s="1"/>
      <c r="N34" s="18"/>
    </row>
    <row r="35" spans="2:14" ht="15" customHeight="1" x14ac:dyDescent="0.25">
      <c r="B35" s="20"/>
      <c r="C35" s="5" t="s">
        <v>165</v>
      </c>
      <c r="D35" s="6" t="s">
        <v>56</v>
      </c>
      <c r="E35" s="11">
        <v>2.6900000000000001E-3</v>
      </c>
      <c r="F35" s="1"/>
      <c r="G35" s="1"/>
      <c r="H35" s="1"/>
      <c r="I35" s="1"/>
      <c r="J35" s="1"/>
      <c r="K35" s="1"/>
      <c r="L35" s="1"/>
      <c r="M35" s="1"/>
      <c r="N35" s="18"/>
    </row>
    <row r="36" spans="2:14" ht="15.75" customHeight="1" x14ac:dyDescent="0.25">
      <c r="B36" s="20"/>
      <c r="C36" s="5" t="s">
        <v>178</v>
      </c>
      <c r="D36" s="6" t="s">
        <v>56</v>
      </c>
      <c r="E36" s="11">
        <v>2.5669999999999998E-3</v>
      </c>
      <c r="F36" s="1"/>
      <c r="G36" s="1"/>
      <c r="H36" s="1"/>
      <c r="I36" s="1"/>
      <c r="J36" s="1"/>
      <c r="K36" s="1"/>
      <c r="L36" s="1"/>
      <c r="M36" s="1"/>
      <c r="N36" s="18"/>
    </row>
    <row r="37" spans="2:14" ht="15" customHeight="1" x14ac:dyDescent="0.25">
      <c r="B37" s="20"/>
      <c r="C37" s="5" t="s">
        <v>164</v>
      </c>
      <c r="D37" s="6" t="s">
        <v>56</v>
      </c>
      <c r="E37" s="11">
        <v>8.8800000000000001E-4</v>
      </c>
      <c r="F37" s="1"/>
      <c r="G37" s="1"/>
      <c r="H37" s="1"/>
      <c r="I37" s="1"/>
      <c r="J37" s="1"/>
      <c r="K37" s="1"/>
      <c r="L37" s="1"/>
      <c r="M37" s="1"/>
      <c r="N37" s="18"/>
    </row>
    <row r="38" spans="2:14" ht="15" customHeight="1" x14ac:dyDescent="0.25">
      <c r="B38" s="20"/>
      <c r="C38" s="5" t="s">
        <v>170</v>
      </c>
      <c r="D38" s="6" t="s">
        <v>56</v>
      </c>
      <c r="E38" s="11">
        <v>7.6999999999999996E-4</v>
      </c>
      <c r="F38" s="1"/>
      <c r="G38" s="1"/>
      <c r="H38" s="1"/>
      <c r="I38" s="1"/>
      <c r="J38" s="1"/>
      <c r="K38" s="1"/>
      <c r="L38" s="1"/>
      <c r="M38" s="1"/>
      <c r="N38" s="18"/>
    </row>
    <row r="39" spans="2:14" ht="15.75" customHeight="1" x14ac:dyDescent="0.25">
      <c r="B39" s="20"/>
      <c r="C39" s="5" t="s">
        <v>171</v>
      </c>
      <c r="D39" s="6" t="s">
        <v>56</v>
      </c>
      <c r="E39" s="11">
        <v>4.55E-4</v>
      </c>
      <c r="F39" s="1"/>
      <c r="G39" s="1"/>
      <c r="H39" s="1"/>
      <c r="I39" s="1"/>
      <c r="J39" s="1"/>
      <c r="K39" s="1"/>
      <c r="L39" s="1"/>
      <c r="M39" s="1"/>
      <c r="N39" s="18"/>
    </row>
    <row r="40" spans="2:14" ht="15" customHeight="1" x14ac:dyDescent="0.25">
      <c r="B40" s="20"/>
      <c r="C40" s="5" t="s">
        <v>167</v>
      </c>
      <c r="D40" s="6" t="s">
        <v>56</v>
      </c>
      <c r="E40" s="11">
        <v>3.97E-4</v>
      </c>
      <c r="F40" s="1"/>
      <c r="G40" s="1"/>
      <c r="H40" s="1"/>
      <c r="I40" s="1"/>
      <c r="J40" s="1"/>
      <c r="K40" s="1"/>
      <c r="L40" s="1"/>
      <c r="M40" s="1"/>
      <c r="N40" s="18"/>
    </row>
    <row r="41" spans="2:14" ht="15.75" customHeight="1" x14ac:dyDescent="0.25">
      <c r="B41" s="20"/>
      <c r="C41" s="5" t="s">
        <v>177</v>
      </c>
      <c r="D41" s="6" t="s">
        <v>56</v>
      </c>
      <c r="E41" s="11">
        <v>2.8699999999999998E-4</v>
      </c>
      <c r="F41" s="1"/>
      <c r="G41" s="1"/>
      <c r="H41" s="1"/>
      <c r="I41" s="1"/>
      <c r="J41" s="1"/>
      <c r="K41" s="1"/>
      <c r="L41" s="1"/>
      <c r="M41" s="1"/>
      <c r="N41" s="18"/>
    </row>
    <row r="42" spans="2:14" ht="15" customHeight="1" x14ac:dyDescent="0.25">
      <c r="B42" s="20"/>
      <c r="C42" s="5" t="s">
        <v>179</v>
      </c>
      <c r="D42" s="6" t="s">
        <v>56</v>
      </c>
      <c r="E42" s="11">
        <v>2.61E-4</v>
      </c>
      <c r="F42" s="1"/>
      <c r="G42" s="1"/>
      <c r="H42" s="1"/>
      <c r="I42" s="1"/>
      <c r="J42" s="1"/>
      <c r="K42" s="1"/>
      <c r="L42" s="1"/>
      <c r="M42" s="1"/>
      <c r="N42" s="18"/>
    </row>
    <row r="43" spans="2:14" ht="15" customHeight="1" x14ac:dyDescent="0.25">
      <c r="B43" s="20"/>
      <c r="C43" s="5" t="s">
        <v>174</v>
      </c>
      <c r="D43" s="6" t="s">
        <v>56</v>
      </c>
      <c r="E43" s="11">
        <v>2.41E-4</v>
      </c>
      <c r="F43" s="1"/>
      <c r="G43" s="1"/>
      <c r="H43" s="1"/>
      <c r="I43" s="1"/>
      <c r="J43" s="1"/>
      <c r="K43" s="1"/>
      <c r="L43" s="1"/>
      <c r="M43" s="1"/>
      <c r="N43" s="18"/>
    </row>
    <row r="44" spans="2:14" ht="15" customHeight="1" x14ac:dyDescent="0.25">
      <c r="B44" s="20"/>
      <c r="C44" s="5" t="s">
        <v>175</v>
      </c>
      <c r="D44" s="6" t="s">
        <v>56</v>
      </c>
      <c r="E44" s="11">
        <v>1.02E-4</v>
      </c>
      <c r="F44" s="1"/>
      <c r="G44" s="1"/>
      <c r="H44" s="1"/>
      <c r="I44" s="1"/>
      <c r="J44" s="1"/>
      <c r="K44" s="1"/>
      <c r="L44" s="1"/>
      <c r="M44" s="1"/>
      <c r="N44" s="18"/>
    </row>
    <row r="45" spans="2:14" ht="15" customHeight="1" x14ac:dyDescent="0.25">
      <c r="B45" s="20"/>
      <c r="C45" s="5" t="s">
        <v>169</v>
      </c>
      <c r="D45" s="6" t="s">
        <v>56</v>
      </c>
      <c r="E45" s="11">
        <v>9.0000000000000006E-5</v>
      </c>
      <c r="F45" s="1"/>
      <c r="G45" s="1"/>
      <c r="H45" s="1"/>
      <c r="I45" s="1"/>
      <c r="J45" s="1"/>
      <c r="K45" s="1"/>
      <c r="L45" s="1"/>
      <c r="M45" s="1"/>
      <c r="N45" s="18"/>
    </row>
    <row r="46" spans="2:14" ht="15" customHeight="1" x14ac:dyDescent="0.25">
      <c r="B46" s="20"/>
      <c r="C46" s="5" t="s">
        <v>168</v>
      </c>
      <c r="D46" s="6" t="s">
        <v>56</v>
      </c>
      <c r="E46" s="11">
        <v>8.2999999999999998E-5</v>
      </c>
      <c r="F46" s="1"/>
      <c r="G46" s="1"/>
      <c r="H46" s="1"/>
      <c r="I46" s="1"/>
      <c r="J46" s="1"/>
      <c r="K46" s="1"/>
      <c r="L46" s="1"/>
      <c r="M46" s="1"/>
      <c r="N46" s="18"/>
    </row>
    <row r="47" spans="2:14" ht="15" customHeight="1" x14ac:dyDescent="0.25">
      <c r="B47" s="20"/>
      <c r="C47" s="5" t="s">
        <v>173</v>
      </c>
      <c r="D47" s="6" t="s">
        <v>56</v>
      </c>
      <c r="E47" s="11">
        <v>6.7999999999999999E-5</v>
      </c>
      <c r="F47" s="1"/>
      <c r="G47" s="1"/>
      <c r="H47" s="1"/>
      <c r="I47" s="1"/>
      <c r="J47" s="1"/>
      <c r="K47" s="1"/>
      <c r="L47" s="1"/>
      <c r="M47" s="1"/>
      <c r="N47" s="18"/>
    </row>
    <row r="48" spans="2:14" ht="15" customHeight="1" x14ac:dyDescent="0.25">
      <c r="B48" s="20"/>
      <c r="C48" s="5" t="s">
        <v>172</v>
      </c>
      <c r="D48" s="6" t="s">
        <v>56</v>
      </c>
      <c r="E48" s="30">
        <v>4.1999999999999998E-5</v>
      </c>
      <c r="F48" s="1"/>
      <c r="G48" s="1"/>
      <c r="H48" s="1"/>
      <c r="I48" s="1"/>
      <c r="J48" s="1"/>
      <c r="K48" s="1"/>
      <c r="L48" s="1"/>
      <c r="M48" s="1"/>
      <c r="N48" s="18"/>
    </row>
    <row r="49" spans="2:14" ht="15" customHeight="1" x14ac:dyDescent="0.25">
      <c r="B49" s="20"/>
      <c r="C49" s="7" t="s">
        <v>63</v>
      </c>
      <c r="D49" s="8"/>
      <c r="E49" s="12">
        <v>1.9184E-2</v>
      </c>
      <c r="F49" s="1"/>
      <c r="G49" s="1"/>
      <c r="H49" s="1"/>
      <c r="I49" s="1"/>
      <c r="J49" s="1"/>
      <c r="K49" s="1"/>
      <c r="L49" s="1"/>
      <c r="M49" s="1"/>
      <c r="N49" s="18"/>
    </row>
    <row r="50" spans="2:14" ht="15" customHeight="1" x14ac:dyDescent="0.25">
      <c r="B50" s="20"/>
      <c r="C50" s="5" t="s">
        <v>9</v>
      </c>
      <c r="D50" s="6"/>
      <c r="E50" s="11">
        <v>0.32716600000000001</v>
      </c>
      <c r="F50" s="1"/>
      <c r="G50" s="1"/>
      <c r="H50" s="1"/>
      <c r="I50" s="1"/>
      <c r="J50" s="1"/>
      <c r="K50" s="1"/>
      <c r="L50" s="1"/>
      <c r="M50" s="1"/>
      <c r="N50" s="18"/>
    </row>
    <row r="51" spans="2:14" ht="15" customHeight="1" x14ac:dyDescent="0.25">
      <c r="B51" s="20"/>
      <c r="C51" s="7" t="s">
        <v>10</v>
      </c>
      <c r="D51" s="8"/>
      <c r="E51" s="12">
        <v>0.32716600000000001</v>
      </c>
      <c r="F51" s="1"/>
      <c r="G51" s="1"/>
      <c r="H51" s="1"/>
      <c r="I51" s="1"/>
      <c r="J51" s="1"/>
      <c r="K51" s="1"/>
      <c r="L51" s="1"/>
      <c r="M51" s="1"/>
      <c r="N51" s="18"/>
    </row>
    <row r="52" spans="2:14" ht="15" customHeight="1" x14ac:dyDescent="0.25">
      <c r="B52" s="20"/>
      <c r="C52" s="5" t="s">
        <v>43</v>
      </c>
      <c r="D52" s="6" t="s">
        <v>33</v>
      </c>
      <c r="E52" s="11">
        <v>8.4950000000000008E-3</v>
      </c>
      <c r="F52" s="1"/>
      <c r="G52" s="1"/>
      <c r="H52" s="1"/>
      <c r="I52" s="1"/>
      <c r="J52" s="1"/>
      <c r="K52" s="1"/>
      <c r="L52" s="1"/>
      <c r="M52" s="1"/>
      <c r="N52" s="18"/>
    </row>
    <row r="53" spans="2:14" ht="15" customHeight="1" x14ac:dyDescent="0.25">
      <c r="B53" s="20"/>
      <c r="C53" s="5" t="s">
        <v>149</v>
      </c>
      <c r="D53" s="6" t="s">
        <v>33</v>
      </c>
      <c r="E53" s="11">
        <v>8.3100000000000003E-4</v>
      </c>
      <c r="F53" s="1"/>
      <c r="G53" s="1"/>
      <c r="H53" s="1"/>
      <c r="I53" s="1"/>
      <c r="J53" s="1"/>
      <c r="K53" s="1"/>
      <c r="L53" s="1"/>
      <c r="M53" s="1"/>
      <c r="N53" s="18"/>
    </row>
    <row r="54" spans="2:14" ht="15" customHeight="1" x14ac:dyDescent="0.25">
      <c r="B54" s="20"/>
      <c r="C54" s="7" t="s">
        <v>64</v>
      </c>
      <c r="D54" s="8"/>
      <c r="E54" s="12">
        <v>9.3259999999999992E-3</v>
      </c>
      <c r="F54" s="1"/>
      <c r="G54" s="1"/>
      <c r="H54" s="1"/>
      <c r="I54" s="1"/>
      <c r="J54" s="1"/>
      <c r="K54" s="1"/>
      <c r="L54" s="1"/>
      <c r="M54" s="1"/>
      <c r="N54" s="18"/>
    </row>
    <row r="55" spans="2:14" ht="15" customHeight="1" x14ac:dyDescent="0.25">
      <c r="B55" s="20"/>
      <c r="C55" s="5"/>
      <c r="D55" s="6"/>
      <c r="E55" s="11"/>
      <c r="F55" s="1"/>
      <c r="G55" s="1"/>
      <c r="H55" s="1"/>
      <c r="I55" s="1"/>
      <c r="J55" s="1"/>
      <c r="K55" s="1"/>
      <c r="L55" s="1"/>
      <c r="M55" s="1"/>
      <c r="N55" s="18"/>
    </row>
    <row r="56" spans="2:14" ht="15" customHeight="1" x14ac:dyDescent="0.25">
      <c r="B56" s="20"/>
      <c r="C56" s="7" t="s">
        <v>11</v>
      </c>
      <c r="D56" s="8"/>
      <c r="E56" s="12">
        <v>1.252E-2</v>
      </c>
      <c r="F56" s="1"/>
      <c r="G56" s="1"/>
      <c r="H56" s="1"/>
      <c r="I56" s="1"/>
      <c r="J56" s="1"/>
      <c r="K56" s="1"/>
      <c r="L56" s="1"/>
      <c r="M56" s="1"/>
      <c r="N56" s="18"/>
    </row>
    <row r="57" spans="2:14" ht="15" customHeight="1" x14ac:dyDescent="0.25">
      <c r="B57" s="20"/>
      <c r="C57" s="5"/>
      <c r="D57" s="6"/>
      <c r="E57" s="11"/>
      <c r="F57" s="1"/>
      <c r="G57" s="1"/>
      <c r="H57" s="1"/>
      <c r="I57" s="1"/>
      <c r="J57" s="1"/>
      <c r="K57" s="1"/>
      <c r="L57" s="1"/>
      <c r="M57" s="1"/>
      <c r="N57" s="18"/>
    </row>
    <row r="58" spans="2:14" ht="15" customHeight="1" x14ac:dyDescent="0.25">
      <c r="B58" s="20"/>
      <c r="C58" s="9" t="s">
        <v>12</v>
      </c>
      <c r="D58" s="10"/>
      <c r="E58" s="13">
        <v>1</v>
      </c>
      <c r="F58" s="1"/>
      <c r="G58" s="1"/>
      <c r="H58" s="1"/>
      <c r="I58" s="1"/>
      <c r="J58" s="1"/>
      <c r="K58" s="1"/>
      <c r="L58" s="1"/>
      <c r="M58" s="1"/>
      <c r="N58" s="18"/>
    </row>
    <row r="59" spans="2:14" ht="15" customHeight="1" x14ac:dyDescent="0.25">
      <c r="B59" s="20"/>
      <c r="C59" s="1"/>
      <c r="D59" s="1"/>
      <c r="E59" s="1"/>
      <c r="F59" s="1"/>
      <c r="G59" s="1"/>
      <c r="H59" s="1"/>
      <c r="I59" s="1"/>
      <c r="J59" s="1"/>
      <c r="K59" s="1"/>
      <c r="L59" s="1"/>
      <c r="M59" s="1"/>
      <c r="N59" s="18"/>
    </row>
    <row r="60" spans="2:14" ht="15" customHeight="1" x14ac:dyDescent="0.25">
      <c r="B60" s="20"/>
      <c r="C60" s="1"/>
      <c r="D60" s="1"/>
      <c r="E60" s="1"/>
      <c r="F60" s="1"/>
      <c r="G60" s="1"/>
      <c r="H60" s="1"/>
      <c r="I60" s="1"/>
      <c r="J60" s="1"/>
      <c r="K60" s="1"/>
      <c r="L60" s="1"/>
      <c r="M60" s="1"/>
      <c r="N60" s="18"/>
    </row>
    <row r="61" spans="2:14" ht="15" customHeight="1" thickBot="1" x14ac:dyDescent="0.3">
      <c r="B61" s="21"/>
      <c r="C61" s="22"/>
      <c r="D61" s="22"/>
      <c r="E61" s="22"/>
      <c r="F61" s="22"/>
      <c r="G61" s="22"/>
      <c r="H61" s="22"/>
      <c r="I61" s="22"/>
      <c r="J61" s="22"/>
      <c r="K61" s="22"/>
      <c r="L61" s="22"/>
      <c r="M61" s="22"/>
      <c r="N61" s="23"/>
    </row>
    <row r="62" spans="2:14" ht="15" customHeight="1" thickBot="1" x14ac:dyDescent="0.3"/>
    <row r="63" spans="2:14" ht="113.25" customHeight="1" thickBot="1" x14ac:dyDescent="0.3">
      <c r="B63" s="36" t="s">
        <v>163</v>
      </c>
      <c r="C63" s="37"/>
      <c r="D63" s="37"/>
      <c r="E63" s="37"/>
      <c r="F63" s="37"/>
      <c r="G63" s="37"/>
      <c r="H63" s="37"/>
      <c r="I63" s="37"/>
      <c r="J63" s="37"/>
      <c r="K63" s="37"/>
      <c r="L63" s="37"/>
      <c r="M63" s="37"/>
      <c r="N63" s="38"/>
    </row>
    <row r="64" spans="2:14" ht="15" customHeight="1" thickBot="1" x14ac:dyDescent="0.3"/>
    <row r="65" spans="2:14" ht="61.5" customHeight="1" thickBot="1" x14ac:dyDescent="0.3">
      <c r="B65" s="36" t="s">
        <v>235</v>
      </c>
      <c r="C65" s="37"/>
      <c r="D65" s="37"/>
      <c r="E65" s="37"/>
      <c r="F65" s="37"/>
      <c r="G65" s="37"/>
      <c r="H65" s="37"/>
      <c r="I65" s="37"/>
      <c r="J65" s="37"/>
      <c r="K65" s="37"/>
      <c r="L65" s="37"/>
      <c r="M65" s="37"/>
      <c r="N65" s="38"/>
    </row>
    <row r="66" spans="2:14" ht="15" customHeight="1" x14ac:dyDescent="0.25"/>
    <row r="67" spans="2:14" ht="15" customHeight="1" x14ac:dyDescent="0.25"/>
    <row r="68" spans="2:14" ht="15" customHeight="1" x14ac:dyDescent="0.25"/>
    <row r="69" spans="2:14" ht="15" customHeight="1" x14ac:dyDescent="0.25"/>
    <row r="70" spans="2:14" ht="15" customHeight="1" x14ac:dyDescent="0.25"/>
    <row r="71" spans="2:14" ht="15" customHeight="1" x14ac:dyDescent="0.25"/>
    <row r="72" spans="2:14" ht="15"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sheetData>
  <sortState ref="C33:E48">
    <sortCondition descending="1" ref="E33"/>
  </sortState>
  <mergeCells count="7">
    <mergeCell ref="B65:N65"/>
    <mergeCell ref="B63:N63"/>
    <mergeCell ref="C3:N3"/>
    <mergeCell ref="D5:E5"/>
    <mergeCell ref="G7:N7"/>
    <mergeCell ref="G24:K24"/>
    <mergeCell ref="G26:N26"/>
  </mergeCells>
  <pageMargins left="0.7" right="0.7" top="0.75" bottom="0.75" header="0.3" footer="0.3"/>
  <pageSetup scale="45" orientation="landscape"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F0BF7-71B9-4FB3-8C0B-9901FB3DF786}">
  <sheetPr>
    <pageSetUpPr fitToPage="1"/>
  </sheetPr>
  <dimension ref="B1:N58"/>
  <sheetViews>
    <sheetView showGridLines="0" view="pageBreakPreview" zoomScale="60" zoomScaleNormal="75" workbookViewId="0"/>
  </sheetViews>
  <sheetFormatPr defaultRowHeight="15" x14ac:dyDescent="0.25"/>
  <cols>
    <col min="1" max="1" width="2.85546875" customWidth="1"/>
    <col min="2" max="2" width="3.85546875" customWidth="1"/>
    <col min="3" max="3" width="56.71093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9" t="s">
        <v>150</v>
      </c>
      <c r="D3" s="40"/>
      <c r="E3" s="40"/>
      <c r="F3" s="40"/>
      <c r="G3" s="40"/>
      <c r="H3" s="40"/>
      <c r="I3" s="40"/>
      <c r="J3" s="40"/>
      <c r="K3" s="40"/>
      <c r="L3" s="40"/>
      <c r="M3" s="40"/>
      <c r="N3" s="41"/>
    </row>
    <row r="4" spans="2:14" ht="15.75" customHeight="1" x14ac:dyDescent="0.25">
      <c r="B4" s="20"/>
      <c r="C4" s="14"/>
      <c r="D4" s="1"/>
      <c r="E4" s="1"/>
      <c r="F4" s="1"/>
      <c r="G4" s="1"/>
      <c r="H4" s="1"/>
      <c r="I4" s="1"/>
      <c r="J4" s="1"/>
      <c r="K4" s="1"/>
      <c r="L4" s="1"/>
      <c r="M4" s="1"/>
      <c r="N4" s="18"/>
    </row>
    <row r="5" spans="2:14" ht="18" customHeight="1" x14ac:dyDescent="0.25">
      <c r="B5" s="20"/>
      <c r="C5" s="15" t="s">
        <v>1</v>
      </c>
      <c r="D5" s="42" t="s">
        <v>151</v>
      </c>
      <c r="E5" s="4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4" t="s">
        <v>17</v>
      </c>
      <c r="H7" s="45"/>
      <c r="I7" s="45"/>
      <c r="J7" s="45"/>
      <c r="K7" s="45"/>
      <c r="L7" s="45"/>
      <c r="M7" s="45"/>
      <c r="N7" s="46"/>
    </row>
    <row r="8" spans="2:14" ht="15" customHeight="1" x14ac:dyDescent="0.25">
      <c r="B8" s="20"/>
      <c r="C8" s="5" t="s">
        <v>24</v>
      </c>
      <c r="D8" s="6" t="s">
        <v>23</v>
      </c>
      <c r="E8" s="11">
        <v>9.0648000000000006E-2</v>
      </c>
      <c r="F8" s="1"/>
      <c r="G8" s="24" t="s">
        <v>16</v>
      </c>
      <c r="H8" s="25">
        <v>1</v>
      </c>
      <c r="I8" s="1"/>
      <c r="J8" s="24" t="s">
        <v>13</v>
      </c>
      <c r="K8" s="24" t="s">
        <v>5</v>
      </c>
      <c r="L8" s="1"/>
      <c r="M8" s="1"/>
      <c r="N8" s="18"/>
    </row>
    <row r="9" spans="2:14" ht="15" customHeight="1" x14ac:dyDescent="0.25">
      <c r="B9" s="20"/>
      <c r="C9" s="5" t="s">
        <v>22</v>
      </c>
      <c r="D9" s="6" t="s">
        <v>23</v>
      </c>
      <c r="E9" s="11">
        <v>4.6198000000000003E-2</v>
      </c>
      <c r="F9" s="1"/>
      <c r="G9" s="1"/>
      <c r="H9" s="1"/>
      <c r="I9" s="1"/>
      <c r="J9" s="24" t="s">
        <v>11</v>
      </c>
      <c r="K9" s="29">
        <v>-8.7500000000000002E-4</v>
      </c>
      <c r="L9" s="1"/>
      <c r="M9" s="1"/>
      <c r="N9" s="18"/>
    </row>
    <row r="10" spans="2:14" ht="15" customHeight="1" x14ac:dyDescent="0.25">
      <c r="B10" s="20"/>
      <c r="C10" s="5" t="s">
        <v>27</v>
      </c>
      <c r="D10" s="6" t="s">
        <v>23</v>
      </c>
      <c r="E10" s="11">
        <v>4.5496000000000002E-2</v>
      </c>
      <c r="F10" s="1"/>
      <c r="G10" s="1"/>
      <c r="H10" s="1"/>
      <c r="I10" s="1"/>
      <c r="J10" s="24" t="s">
        <v>14</v>
      </c>
      <c r="K10" s="29">
        <v>0.211063</v>
      </c>
      <c r="L10" s="1"/>
      <c r="M10" s="1"/>
      <c r="N10" s="18"/>
    </row>
    <row r="11" spans="2:14" ht="15.75" customHeight="1" x14ac:dyDescent="0.25">
      <c r="B11" s="20"/>
      <c r="C11" s="7" t="s">
        <v>28</v>
      </c>
      <c r="D11" s="8"/>
      <c r="E11" s="12">
        <v>0.182342</v>
      </c>
      <c r="F11" s="1"/>
      <c r="G11" s="1"/>
      <c r="H11" s="1"/>
      <c r="I11" s="1"/>
      <c r="J11" s="24" t="s">
        <v>65</v>
      </c>
      <c r="K11" s="29">
        <v>0.182342</v>
      </c>
      <c r="L11" s="1"/>
      <c r="M11" s="1"/>
      <c r="N11" s="18"/>
    </row>
    <row r="12" spans="2:14" ht="15" customHeight="1" x14ac:dyDescent="0.25">
      <c r="B12" s="20"/>
      <c r="C12" s="5" t="s">
        <v>80</v>
      </c>
      <c r="D12" s="6" t="s">
        <v>23</v>
      </c>
      <c r="E12" s="11">
        <v>8.3226999999999995E-2</v>
      </c>
      <c r="F12" s="1"/>
      <c r="G12" s="1"/>
      <c r="H12" s="1"/>
      <c r="I12" s="1"/>
      <c r="J12" s="24" t="s">
        <v>67</v>
      </c>
      <c r="K12" s="29">
        <v>0.39108500000000002</v>
      </c>
      <c r="L12" s="1"/>
      <c r="M12" s="1"/>
      <c r="N12" s="18"/>
    </row>
    <row r="13" spans="2:14" ht="15" customHeight="1" x14ac:dyDescent="0.25">
      <c r="B13" s="20"/>
      <c r="C13" s="5" t="s">
        <v>94</v>
      </c>
      <c r="D13" s="6" t="s">
        <v>23</v>
      </c>
      <c r="E13" s="11">
        <v>7.3469000000000007E-2</v>
      </c>
      <c r="F13" s="1"/>
      <c r="G13" s="1"/>
      <c r="H13" s="1"/>
      <c r="I13" s="1"/>
      <c r="J13" s="24" t="s">
        <v>69</v>
      </c>
      <c r="K13" s="29">
        <v>9.3644000000000005E-2</v>
      </c>
      <c r="L13" s="1"/>
      <c r="M13" s="1"/>
      <c r="N13" s="18"/>
    </row>
    <row r="14" spans="2:14" ht="15" customHeight="1" x14ac:dyDescent="0.25">
      <c r="B14" s="20"/>
      <c r="C14" s="5" t="s">
        <v>97</v>
      </c>
      <c r="D14" s="6" t="s">
        <v>23</v>
      </c>
      <c r="E14" s="11">
        <v>5.4026999999999999E-2</v>
      </c>
      <c r="F14" s="1"/>
      <c r="G14" s="1"/>
      <c r="H14" s="1"/>
      <c r="I14" s="1"/>
      <c r="J14" s="24" t="s">
        <v>70</v>
      </c>
      <c r="K14" s="29">
        <v>0.113466</v>
      </c>
      <c r="L14" s="1"/>
      <c r="M14" s="1"/>
      <c r="N14" s="18"/>
    </row>
    <row r="15" spans="2:14" ht="15" customHeight="1" x14ac:dyDescent="0.25">
      <c r="B15" s="20"/>
      <c r="C15" s="5" t="s">
        <v>149</v>
      </c>
      <c r="D15" s="6" t="s">
        <v>23</v>
      </c>
      <c r="E15" s="11">
        <v>3.7076999999999999E-2</v>
      </c>
      <c r="F15" s="1"/>
      <c r="G15" s="1"/>
      <c r="H15" s="1"/>
      <c r="I15" s="1"/>
      <c r="J15" s="24" t="s">
        <v>102</v>
      </c>
      <c r="K15" s="29">
        <v>9.2750000000000003E-3</v>
      </c>
      <c r="L15" s="1"/>
      <c r="M15" s="1"/>
      <c r="N15" s="18"/>
    </row>
    <row r="16" spans="2:14" ht="15" customHeight="1" x14ac:dyDescent="0.25">
      <c r="B16" s="20"/>
      <c r="C16" s="5" t="s">
        <v>106</v>
      </c>
      <c r="D16" s="6" t="s">
        <v>23</v>
      </c>
      <c r="E16" s="11">
        <v>3.7076999999999999E-2</v>
      </c>
      <c r="F16" s="1"/>
      <c r="G16" s="1"/>
      <c r="H16" s="1"/>
      <c r="I16" s="1"/>
      <c r="J16" s="1"/>
      <c r="K16" s="1"/>
      <c r="L16" s="1"/>
      <c r="M16" s="1"/>
      <c r="N16" s="18"/>
    </row>
    <row r="17" spans="2:14" ht="15" customHeight="1" x14ac:dyDescent="0.25">
      <c r="B17" s="20"/>
      <c r="C17" s="5" t="s">
        <v>96</v>
      </c>
      <c r="D17" s="6" t="s">
        <v>23</v>
      </c>
      <c r="E17" s="11">
        <v>3.6752E-2</v>
      </c>
      <c r="F17" s="1"/>
      <c r="G17" s="1"/>
      <c r="H17" s="1"/>
      <c r="I17" s="1"/>
      <c r="J17" s="1"/>
      <c r="K17" s="1"/>
      <c r="L17" s="1"/>
      <c r="M17" s="1"/>
      <c r="N17" s="18"/>
    </row>
    <row r="18" spans="2:14" ht="15" customHeight="1" x14ac:dyDescent="0.25">
      <c r="B18" s="20"/>
      <c r="C18" s="5" t="s">
        <v>29</v>
      </c>
      <c r="D18" s="6" t="s">
        <v>23</v>
      </c>
      <c r="E18" s="11">
        <v>3.2710000000000003E-2</v>
      </c>
      <c r="F18" s="1"/>
      <c r="G18" s="1"/>
      <c r="H18" s="1"/>
      <c r="I18" s="1"/>
      <c r="J18" s="1"/>
      <c r="K18" s="1"/>
      <c r="L18" s="1"/>
      <c r="M18" s="1"/>
      <c r="N18" s="18"/>
    </row>
    <row r="19" spans="2:14" ht="15" customHeight="1" x14ac:dyDescent="0.25">
      <c r="B19" s="20"/>
      <c r="C19" s="5" t="s">
        <v>88</v>
      </c>
      <c r="D19" s="6" t="s">
        <v>23</v>
      </c>
      <c r="E19" s="11">
        <v>2.7608000000000001E-2</v>
      </c>
      <c r="F19" s="1"/>
      <c r="G19" s="1"/>
      <c r="H19" s="1"/>
      <c r="I19" s="1"/>
      <c r="J19" s="1"/>
      <c r="K19" s="1"/>
      <c r="L19" s="1"/>
      <c r="M19" s="1"/>
      <c r="N19" s="18"/>
    </row>
    <row r="20" spans="2:14" ht="15" customHeight="1" x14ac:dyDescent="0.25">
      <c r="B20" s="20"/>
      <c r="C20" s="5" t="s">
        <v>43</v>
      </c>
      <c r="D20" s="6" t="s">
        <v>23</v>
      </c>
      <c r="E20" s="11">
        <v>9.1380000000000003E-3</v>
      </c>
      <c r="F20" s="1"/>
      <c r="G20" s="1"/>
      <c r="H20" s="1"/>
      <c r="I20" s="1"/>
      <c r="J20" s="1"/>
      <c r="K20" s="1"/>
      <c r="L20" s="1"/>
      <c r="M20" s="1"/>
      <c r="N20" s="18"/>
    </row>
    <row r="21" spans="2:14" ht="15.75" customHeight="1" x14ac:dyDescent="0.25">
      <c r="B21" s="20"/>
      <c r="C21" s="7" t="s">
        <v>31</v>
      </c>
      <c r="D21" s="8"/>
      <c r="E21" s="12">
        <v>0.39108500000000002</v>
      </c>
      <c r="F21" s="1"/>
      <c r="G21" s="1"/>
      <c r="H21" s="1"/>
      <c r="I21" s="1"/>
      <c r="J21" s="1"/>
      <c r="K21" s="1"/>
      <c r="L21" s="1"/>
      <c r="M21" s="1"/>
      <c r="N21" s="18"/>
    </row>
    <row r="22" spans="2:14" ht="15" customHeight="1" x14ac:dyDescent="0.25">
      <c r="B22" s="20"/>
      <c r="C22" s="5" t="s">
        <v>99</v>
      </c>
      <c r="D22" s="6" t="s">
        <v>56</v>
      </c>
      <c r="E22" s="11">
        <v>6.5571000000000004E-2</v>
      </c>
      <c r="F22" s="1"/>
      <c r="G22" s="1"/>
      <c r="H22" s="1"/>
      <c r="I22" s="1"/>
      <c r="J22" s="1"/>
      <c r="K22" s="1"/>
      <c r="L22" s="1"/>
      <c r="M22" s="1"/>
      <c r="N22" s="18"/>
    </row>
    <row r="23" spans="2:14" ht="15" customHeight="1" x14ac:dyDescent="0.25">
      <c r="B23" s="20"/>
      <c r="C23" s="5" t="s">
        <v>152</v>
      </c>
      <c r="D23" s="6" t="s">
        <v>56</v>
      </c>
      <c r="E23" s="11">
        <v>1.8776000000000001E-2</v>
      </c>
      <c r="F23" s="1"/>
      <c r="G23" s="1"/>
      <c r="H23" s="1"/>
      <c r="I23" s="1"/>
      <c r="J23" s="1"/>
      <c r="K23" s="1"/>
      <c r="L23" s="1"/>
      <c r="M23" s="1"/>
      <c r="N23" s="18"/>
    </row>
    <row r="24" spans="2:14" ht="15" customHeight="1" x14ac:dyDescent="0.25">
      <c r="B24" s="20"/>
      <c r="C24" s="5" t="s">
        <v>98</v>
      </c>
      <c r="D24" s="6" t="s">
        <v>56</v>
      </c>
      <c r="E24" s="11">
        <v>9.2969999999999997E-3</v>
      </c>
      <c r="F24" s="1"/>
      <c r="G24" s="44" t="s">
        <v>103</v>
      </c>
      <c r="H24" s="45"/>
      <c r="I24" s="45"/>
      <c r="J24" s="45"/>
      <c r="K24" s="45"/>
      <c r="L24" s="35">
        <v>83</v>
      </c>
      <c r="M24" s="27"/>
      <c r="N24" s="28"/>
    </row>
    <row r="25" spans="2:14" ht="15.75" customHeight="1" x14ac:dyDescent="0.25">
      <c r="B25" s="20"/>
      <c r="C25" s="7" t="s">
        <v>62</v>
      </c>
      <c r="D25" s="8"/>
      <c r="E25" s="12">
        <v>9.3644000000000005E-2</v>
      </c>
      <c r="F25" s="1"/>
      <c r="G25" s="1"/>
      <c r="H25" s="1"/>
      <c r="I25" s="1"/>
      <c r="J25" s="1"/>
      <c r="K25" s="1"/>
      <c r="L25" s="1"/>
      <c r="M25" s="1"/>
      <c r="N25" s="18"/>
    </row>
    <row r="26" spans="2:14" ht="15" customHeight="1" x14ac:dyDescent="0.25">
      <c r="B26" s="20"/>
      <c r="C26" s="5" t="s">
        <v>182</v>
      </c>
      <c r="D26" s="6" t="s">
        <v>56</v>
      </c>
      <c r="E26" s="11">
        <v>6.6913E-2</v>
      </c>
      <c r="F26" s="1"/>
      <c r="G26" s="44" t="s">
        <v>19</v>
      </c>
      <c r="H26" s="45"/>
      <c r="I26" s="45"/>
      <c r="J26" s="45"/>
      <c r="K26" s="45"/>
      <c r="L26" s="45"/>
      <c r="M26" s="45"/>
      <c r="N26" s="46"/>
    </row>
    <row r="27" spans="2:14" ht="15.75" customHeight="1" x14ac:dyDescent="0.25">
      <c r="B27" s="20"/>
      <c r="C27" s="5" t="s">
        <v>180</v>
      </c>
      <c r="D27" s="6" t="s">
        <v>56</v>
      </c>
      <c r="E27" s="11">
        <v>1.8762999999999998E-2</v>
      </c>
      <c r="F27" s="1"/>
      <c r="G27" s="1"/>
      <c r="H27" s="1"/>
      <c r="I27" s="1"/>
      <c r="J27" s="1"/>
      <c r="K27" s="1"/>
      <c r="L27" s="1"/>
      <c r="M27" s="1"/>
      <c r="N27" s="18"/>
    </row>
    <row r="28" spans="2:14" ht="15" customHeight="1" x14ac:dyDescent="0.25">
      <c r="B28" s="20"/>
      <c r="C28" s="5" t="s">
        <v>181</v>
      </c>
      <c r="D28" s="6" t="s">
        <v>56</v>
      </c>
      <c r="E28" s="11">
        <v>1.5155E-2</v>
      </c>
      <c r="F28" s="1"/>
      <c r="G28" s="1"/>
      <c r="H28" s="1"/>
      <c r="I28" s="1"/>
      <c r="J28" s="1"/>
      <c r="K28" s="1"/>
      <c r="L28" s="1"/>
      <c r="M28" s="1"/>
      <c r="N28" s="18"/>
    </row>
    <row r="29" spans="2:14" ht="15.75" customHeight="1" x14ac:dyDescent="0.25">
      <c r="B29" s="20"/>
      <c r="C29" s="5" t="s">
        <v>173</v>
      </c>
      <c r="D29" s="6" t="s">
        <v>56</v>
      </c>
      <c r="E29" s="11">
        <v>3.774E-3</v>
      </c>
      <c r="F29" s="1"/>
      <c r="G29" s="1"/>
      <c r="H29" s="1"/>
      <c r="I29" s="1"/>
      <c r="J29" s="1"/>
      <c r="K29" s="1"/>
      <c r="L29" s="1"/>
      <c r="M29" s="1"/>
      <c r="N29" s="18"/>
    </row>
    <row r="30" spans="2:14" ht="15" customHeight="1" x14ac:dyDescent="0.25">
      <c r="B30" s="20"/>
      <c r="C30" s="5" t="s">
        <v>167</v>
      </c>
      <c r="D30" s="6" t="s">
        <v>56</v>
      </c>
      <c r="E30" s="11">
        <v>3.718E-3</v>
      </c>
      <c r="F30" s="1"/>
      <c r="G30" s="1"/>
      <c r="H30" s="1"/>
      <c r="I30" s="1"/>
      <c r="J30" s="1"/>
      <c r="K30" s="1"/>
      <c r="L30" s="1"/>
      <c r="M30" s="1"/>
      <c r="N30" s="18"/>
    </row>
    <row r="31" spans="2:14" ht="15.75" customHeight="1" x14ac:dyDescent="0.25">
      <c r="B31" s="20"/>
      <c r="C31" s="5" t="s">
        <v>184</v>
      </c>
      <c r="D31" s="6" t="s">
        <v>56</v>
      </c>
      <c r="E31" s="11">
        <v>1.879E-3</v>
      </c>
      <c r="F31" s="1"/>
      <c r="G31" s="1"/>
      <c r="H31" s="1"/>
      <c r="I31" s="1"/>
      <c r="J31" s="1"/>
      <c r="K31" s="1"/>
      <c r="L31" s="1"/>
      <c r="M31" s="1"/>
      <c r="N31" s="18"/>
    </row>
    <row r="32" spans="2:14" ht="15" customHeight="1" x14ac:dyDescent="0.25">
      <c r="B32" s="20"/>
      <c r="C32" s="5" t="s">
        <v>168</v>
      </c>
      <c r="D32" s="6" t="s">
        <v>56</v>
      </c>
      <c r="E32" s="11">
        <v>1.691E-3</v>
      </c>
      <c r="F32" s="1"/>
      <c r="G32" s="1"/>
      <c r="H32" s="1"/>
      <c r="I32" s="1"/>
      <c r="J32" s="1"/>
      <c r="K32" s="1"/>
      <c r="L32" s="1"/>
      <c r="M32" s="1"/>
      <c r="N32" s="18"/>
    </row>
    <row r="33" spans="2:14" ht="15.75" customHeight="1" x14ac:dyDescent="0.25">
      <c r="B33" s="20"/>
      <c r="C33" s="5" t="s">
        <v>185</v>
      </c>
      <c r="D33" s="6" t="s">
        <v>56</v>
      </c>
      <c r="E33" s="11">
        <v>8.7699999999999996E-4</v>
      </c>
      <c r="F33" s="1"/>
      <c r="G33" s="1"/>
      <c r="H33" s="1"/>
      <c r="I33" s="1"/>
      <c r="J33" s="1"/>
      <c r="K33" s="1"/>
      <c r="L33" s="1"/>
      <c r="M33" s="1"/>
      <c r="N33" s="18"/>
    </row>
    <row r="34" spans="2:14" ht="15" customHeight="1" x14ac:dyDescent="0.25">
      <c r="B34" s="20"/>
      <c r="C34" s="5" t="s">
        <v>183</v>
      </c>
      <c r="D34" s="6" t="s">
        <v>56</v>
      </c>
      <c r="E34" s="11">
        <v>5.8600000000000004E-4</v>
      </c>
      <c r="F34" s="1"/>
      <c r="G34" s="1"/>
      <c r="H34" s="1"/>
      <c r="I34" s="1"/>
      <c r="J34" s="1"/>
      <c r="K34" s="1"/>
      <c r="L34" s="1"/>
      <c r="M34" s="1"/>
      <c r="N34" s="18"/>
    </row>
    <row r="35" spans="2:14" ht="15" customHeight="1" x14ac:dyDescent="0.25">
      <c r="B35" s="20"/>
      <c r="C35" s="5" t="s">
        <v>186</v>
      </c>
      <c r="D35" s="6" t="s">
        <v>56</v>
      </c>
      <c r="E35" s="11">
        <v>1.1E-4</v>
      </c>
      <c r="F35" s="1"/>
      <c r="G35" s="1"/>
      <c r="H35" s="1"/>
      <c r="I35" s="1"/>
      <c r="J35" s="1"/>
      <c r="K35" s="1"/>
      <c r="L35" s="1"/>
      <c r="M35" s="1"/>
      <c r="N35" s="18"/>
    </row>
    <row r="36" spans="2:14" ht="15" customHeight="1" x14ac:dyDescent="0.25">
      <c r="B36" s="20"/>
      <c r="C36" s="7" t="s">
        <v>63</v>
      </c>
      <c r="D36" s="8"/>
      <c r="E36" s="12">
        <v>0.113466</v>
      </c>
      <c r="F36" s="1"/>
      <c r="G36" s="1"/>
      <c r="H36" s="1"/>
      <c r="I36" s="1"/>
      <c r="J36" s="1"/>
      <c r="K36" s="1"/>
      <c r="L36" s="1"/>
      <c r="M36" s="1"/>
      <c r="N36" s="18"/>
    </row>
    <row r="37" spans="2:14" ht="15" customHeight="1" x14ac:dyDescent="0.25">
      <c r="B37" s="20"/>
      <c r="C37" s="5" t="s">
        <v>153</v>
      </c>
      <c r="D37" s="6" t="s">
        <v>56</v>
      </c>
      <c r="E37" s="11">
        <v>9.2750000000000003E-3</v>
      </c>
      <c r="F37" s="1"/>
      <c r="G37" s="1"/>
      <c r="H37" s="1"/>
      <c r="I37" s="1"/>
      <c r="J37" s="1"/>
      <c r="K37" s="1"/>
      <c r="L37" s="1"/>
      <c r="M37" s="1"/>
      <c r="N37" s="18"/>
    </row>
    <row r="38" spans="2:14" ht="15" customHeight="1" x14ac:dyDescent="0.25">
      <c r="B38" s="20"/>
      <c r="C38" s="7" t="s">
        <v>101</v>
      </c>
      <c r="D38" s="8"/>
      <c r="E38" s="12">
        <v>9.2750000000000003E-3</v>
      </c>
      <c r="F38" s="1"/>
      <c r="G38" s="1"/>
      <c r="H38" s="1"/>
      <c r="I38" s="1"/>
      <c r="J38" s="1"/>
      <c r="K38" s="1"/>
      <c r="L38" s="1"/>
      <c r="M38" s="1"/>
      <c r="N38" s="18"/>
    </row>
    <row r="39" spans="2:14" ht="15" customHeight="1" x14ac:dyDescent="0.25">
      <c r="B39" s="20"/>
      <c r="C39" s="5" t="s">
        <v>9</v>
      </c>
      <c r="D39" s="6"/>
      <c r="E39" s="11">
        <v>0.211063</v>
      </c>
      <c r="F39" s="1"/>
      <c r="G39" s="1"/>
      <c r="H39" s="1"/>
      <c r="I39" s="1"/>
      <c r="J39" s="1"/>
      <c r="K39" s="1"/>
      <c r="L39" s="1"/>
      <c r="M39" s="1"/>
      <c r="N39" s="18"/>
    </row>
    <row r="40" spans="2:14" ht="15" customHeight="1" x14ac:dyDescent="0.25">
      <c r="B40" s="20"/>
      <c r="C40" s="7" t="s">
        <v>10</v>
      </c>
      <c r="D40" s="8"/>
      <c r="E40" s="12">
        <v>0.211063</v>
      </c>
      <c r="F40" s="1"/>
      <c r="G40" s="1"/>
      <c r="H40" s="1"/>
      <c r="I40" s="1"/>
      <c r="J40" s="1"/>
      <c r="K40" s="1"/>
      <c r="L40" s="1"/>
      <c r="M40" s="1"/>
      <c r="N40" s="18"/>
    </row>
    <row r="41" spans="2:14" ht="15" customHeight="1" x14ac:dyDescent="0.25">
      <c r="B41" s="20"/>
      <c r="C41" s="5"/>
      <c r="D41" s="6"/>
      <c r="E41" s="11"/>
      <c r="F41" s="1"/>
      <c r="G41" s="1"/>
      <c r="H41" s="1"/>
      <c r="I41" s="1"/>
      <c r="J41" s="1"/>
      <c r="K41" s="1"/>
      <c r="L41" s="1"/>
      <c r="M41" s="1"/>
      <c r="N41" s="18"/>
    </row>
    <row r="42" spans="2:14" ht="15" customHeight="1" x14ac:dyDescent="0.25">
      <c r="B42" s="20"/>
      <c r="C42" s="7" t="s">
        <v>11</v>
      </c>
      <c r="D42" s="8"/>
      <c r="E42" s="12">
        <v>-8.7500000000000002E-4</v>
      </c>
      <c r="F42" s="1"/>
      <c r="G42" s="1"/>
      <c r="H42" s="1"/>
      <c r="I42" s="1"/>
      <c r="J42" s="1"/>
      <c r="K42" s="1"/>
      <c r="L42" s="1"/>
      <c r="M42" s="1"/>
      <c r="N42" s="18"/>
    </row>
    <row r="43" spans="2:14" ht="15" customHeight="1" x14ac:dyDescent="0.25">
      <c r="B43" s="20"/>
      <c r="C43" s="5"/>
      <c r="D43" s="6"/>
      <c r="E43" s="11"/>
      <c r="F43" s="1"/>
      <c r="G43" s="1"/>
      <c r="H43" s="1"/>
      <c r="I43" s="1"/>
      <c r="J43" s="1"/>
      <c r="K43" s="1"/>
      <c r="L43" s="1"/>
      <c r="M43" s="1"/>
      <c r="N43" s="18"/>
    </row>
    <row r="44" spans="2:14" ht="15" customHeight="1" x14ac:dyDescent="0.25">
      <c r="B44" s="20"/>
      <c r="C44" s="9" t="s">
        <v>12</v>
      </c>
      <c r="D44" s="10"/>
      <c r="E44" s="13">
        <v>1</v>
      </c>
      <c r="F44" s="1"/>
      <c r="G44" s="1"/>
      <c r="H44" s="1"/>
      <c r="I44" s="1"/>
      <c r="J44" s="1"/>
      <c r="K44" s="1"/>
      <c r="L44" s="1"/>
      <c r="M44" s="1"/>
      <c r="N44" s="18"/>
    </row>
    <row r="45" spans="2:14" ht="15" customHeight="1" x14ac:dyDescent="0.25">
      <c r="B45" s="20"/>
      <c r="C45" s="1"/>
      <c r="D45" s="1"/>
      <c r="E45" s="1"/>
      <c r="F45" s="1"/>
      <c r="G45" s="1"/>
      <c r="H45" s="1"/>
      <c r="I45" s="1"/>
      <c r="J45" s="1"/>
      <c r="K45" s="1"/>
      <c r="L45" s="1"/>
      <c r="M45" s="1"/>
      <c r="N45" s="18"/>
    </row>
    <row r="46" spans="2:14" ht="15" customHeight="1" thickBot="1" x14ac:dyDescent="0.3">
      <c r="B46" s="21"/>
      <c r="C46" s="22"/>
      <c r="D46" s="22"/>
      <c r="E46" s="22"/>
      <c r="F46" s="22"/>
      <c r="G46" s="22"/>
      <c r="H46" s="22"/>
      <c r="I46" s="22"/>
      <c r="J46" s="22"/>
      <c r="K46" s="22"/>
      <c r="L46" s="22"/>
      <c r="M46" s="22"/>
      <c r="N46" s="23"/>
    </row>
    <row r="47" spans="2:14" ht="15" customHeight="1" thickBot="1" x14ac:dyDescent="0.3"/>
    <row r="48" spans="2:14" ht="110.25" customHeight="1" thickBot="1" x14ac:dyDescent="0.3">
      <c r="B48" s="36" t="s">
        <v>163</v>
      </c>
      <c r="C48" s="37"/>
      <c r="D48" s="37"/>
      <c r="E48" s="37"/>
      <c r="F48" s="37"/>
      <c r="G48" s="37"/>
      <c r="H48" s="37"/>
      <c r="I48" s="37"/>
      <c r="J48" s="37"/>
      <c r="K48" s="37"/>
      <c r="L48" s="37"/>
      <c r="M48" s="37"/>
      <c r="N48" s="38"/>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sheetData>
  <sortState ref="C26:E35">
    <sortCondition descending="1" ref="E26"/>
  </sortState>
  <mergeCells count="6">
    <mergeCell ref="B48:N48"/>
    <mergeCell ref="C3:N3"/>
    <mergeCell ref="D5:E5"/>
    <mergeCell ref="G7:N7"/>
    <mergeCell ref="G24:K24"/>
    <mergeCell ref="G26:N26"/>
  </mergeCells>
  <pageMargins left="0.25" right="0.25" top="0.75" bottom="0.75" header="0.3" footer="0.3"/>
  <pageSetup scale="48"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8D429-C3A3-4E91-9B7C-4E59D013C992}">
  <sheetPr>
    <pageSetUpPr fitToPage="1"/>
  </sheetPr>
  <dimension ref="B1:N56"/>
  <sheetViews>
    <sheetView showGridLines="0" view="pageBreakPreview" zoomScale="60"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9" t="s">
        <v>156</v>
      </c>
      <c r="D3" s="40"/>
      <c r="E3" s="40"/>
      <c r="F3" s="40"/>
      <c r="G3" s="40"/>
      <c r="H3" s="40"/>
      <c r="I3" s="40"/>
      <c r="J3" s="40"/>
      <c r="K3" s="40"/>
      <c r="L3" s="40"/>
      <c r="M3" s="40"/>
      <c r="N3" s="41"/>
    </row>
    <row r="4" spans="2:14" ht="15.75" customHeight="1" x14ac:dyDescent="0.25">
      <c r="B4" s="20"/>
      <c r="C4" s="14"/>
      <c r="D4" s="1"/>
      <c r="E4" s="1"/>
      <c r="F4" s="1"/>
      <c r="G4" s="1"/>
      <c r="H4" s="1"/>
      <c r="I4" s="1"/>
      <c r="J4" s="1"/>
      <c r="K4" s="1"/>
      <c r="L4" s="1"/>
      <c r="M4" s="1"/>
      <c r="N4" s="18"/>
    </row>
    <row r="5" spans="2:14" ht="18" customHeight="1" x14ac:dyDescent="0.25">
      <c r="B5" s="20"/>
      <c r="C5" s="15" t="s">
        <v>1</v>
      </c>
      <c r="D5" s="42" t="s">
        <v>157</v>
      </c>
      <c r="E5" s="4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4" t="s">
        <v>17</v>
      </c>
      <c r="H7" s="45"/>
      <c r="I7" s="45"/>
      <c r="J7" s="45"/>
      <c r="K7" s="45"/>
      <c r="L7" s="45"/>
      <c r="M7" s="45"/>
      <c r="N7" s="46"/>
    </row>
    <row r="8" spans="2:14" ht="15" customHeight="1" x14ac:dyDescent="0.25">
      <c r="B8" s="20"/>
      <c r="C8" s="5" t="s">
        <v>24</v>
      </c>
      <c r="D8" s="6" t="s">
        <v>23</v>
      </c>
      <c r="E8" s="11">
        <v>9.8154000000000005E-2</v>
      </c>
      <c r="F8" s="1"/>
      <c r="G8" s="24" t="s">
        <v>16</v>
      </c>
      <c r="H8" s="25">
        <v>1</v>
      </c>
      <c r="I8" s="1"/>
      <c r="J8" s="24" t="s">
        <v>13</v>
      </c>
      <c r="K8" s="24" t="s">
        <v>5</v>
      </c>
      <c r="L8" s="1"/>
      <c r="M8" s="1"/>
      <c r="N8" s="18"/>
    </row>
    <row r="9" spans="2:14" ht="15.75" customHeight="1" x14ac:dyDescent="0.25">
      <c r="B9" s="20"/>
      <c r="C9" s="7" t="s">
        <v>28</v>
      </c>
      <c r="D9" s="8"/>
      <c r="E9" s="12">
        <v>9.8154000000000005E-2</v>
      </c>
      <c r="F9" s="1"/>
      <c r="G9" s="1"/>
      <c r="H9" s="1"/>
      <c r="I9" s="1"/>
      <c r="J9" s="24" t="s">
        <v>11</v>
      </c>
      <c r="K9" s="29">
        <v>8.6779999999999999E-3</v>
      </c>
      <c r="L9" s="1"/>
      <c r="M9" s="1"/>
      <c r="N9" s="18"/>
    </row>
    <row r="10" spans="2:14" ht="15" customHeight="1" x14ac:dyDescent="0.25">
      <c r="B10" s="20"/>
      <c r="C10" s="5" t="s">
        <v>94</v>
      </c>
      <c r="D10" s="6" t="s">
        <v>23</v>
      </c>
      <c r="E10" s="11">
        <v>6.9052000000000002E-2</v>
      </c>
      <c r="F10" s="1"/>
      <c r="G10" s="1"/>
      <c r="H10" s="1"/>
      <c r="I10" s="1"/>
      <c r="J10" s="24" t="s">
        <v>14</v>
      </c>
      <c r="K10" s="29">
        <v>0.30373699999999998</v>
      </c>
      <c r="L10" s="1"/>
      <c r="M10" s="1"/>
      <c r="N10" s="18"/>
    </row>
    <row r="11" spans="2:14" ht="15" customHeight="1" x14ac:dyDescent="0.25">
      <c r="B11" s="20"/>
      <c r="C11" s="5" t="s">
        <v>80</v>
      </c>
      <c r="D11" s="6" t="s">
        <v>23</v>
      </c>
      <c r="E11" s="11">
        <v>6.8737000000000006E-2</v>
      </c>
      <c r="F11" s="1"/>
      <c r="G11" s="1"/>
      <c r="H11" s="1"/>
      <c r="I11" s="1"/>
      <c r="J11" s="24" t="s">
        <v>65</v>
      </c>
      <c r="K11" s="29">
        <v>9.8154000000000005E-2</v>
      </c>
      <c r="L11" s="1"/>
      <c r="M11" s="1"/>
      <c r="N11" s="18"/>
    </row>
    <row r="12" spans="2:14" ht="15" customHeight="1" x14ac:dyDescent="0.25">
      <c r="B12" s="20"/>
      <c r="C12" s="5" t="s">
        <v>88</v>
      </c>
      <c r="D12" s="6" t="s">
        <v>23</v>
      </c>
      <c r="E12" s="11">
        <v>4.2382000000000003E-2</v>
      </c>
      <c r="F12" s="1"/>
      <c r="G12" s="1"/>
      <c r="H12" s="1"/>
      <c r="I12" s="1"/>
      <c r="J12" s="24" t="s">
        <v>66</v>
      </c>
      <c r="K12" s="29">
        <v>0.313691</v>
      </c>
      <c r="L12" s="1"/>
      <c r="M12" s="1"/>
      <c r="N12" s="18"/>
    </row>
    <row r="13" spans="2:14" ht="15.75" customHeight="1" x14ac:dyDescent="0.25">
      <c r="B13" s="20"/>
      <c r="C13" s="7" t="s">
        <v>31</v>
      </c>
      <c r="D13" s="8"/>
      <c r="E13" s="12">
        <v>0.180171</v>
      </c>
      <c r="F13" s="1"/>
      <c r="G13" s="1"/>
      <c r="H13" s="1"/>
      <c r="I13" s="1"/>
      <c r="J13" s="24" t="s">
        <v>67</v>
      </c>
      <c r="K13" s="29">
        <v>0.180171</v>
      </c>
      <c r="L13" s="1"/>
      <c r="M13" s="1"/>
      <c r="N13" s="18"/>
    </row>
    <row r="14" spans="2:14" ht="15" customHeight="1" x14ac:dyDescent="0.25">
      <c r="B14" s="20"/>
      <c r="C14" s="5" t="s">
        <v>32</v>
      </c>
      <c r="D14" s="6" t="s">
        <v>33</v>
      </c>
      <c r="E14" s="11">
        <v>0.10763200000000001</v>
      </c>
      <c r="F14" s="1"/>
      <c r="G14" s="1"/>
      <c r="H14" s="1"/>
      <c r="I14" s="1"/>
      <c r="J14" s="24" t="s">
        <v>68</v>
      </c>
      <c r="K14" s="29">
        <v>2.3119000000000001E-2</v>
      </c>
      <c r="L14" s="1"/>
      <c r="M14" s="1"/>
      <c r="N14" s="18"/>
    </row>
    <row r="15" spans="2:14" ht="15" customHeight="1" x14ac:dyDescent="0.25">
      <c r="B15" s="20"/>
      <c r="C15" s="5" t="s">
        <v>35</v>
      </c>
      <c r="D15" s="6" t="s">
        <v>33</v>
      </c>
      <c r="E15" s="11">
        <v>5.1526000000000002E-2</v>
      </c>
      <c r="F15" s="1"/>
      <c r="G15" s="1"/>
      <c r="H15" s="1"/>
      <c r="I15" s="1"/>
      <c r="J15" s="24" t="s">
        <v>70</v>
      </c>
      <c r="K15" s="29">
        <v>3.7873999999999998E-2</v>
      </c>
      <c r="L15" s="1"/>
      <c r="M15" s="1"/>
      <c r="N15" s="18"/>
    </row>
    <row r="16" spans="2:14" ht="15" customHeight="1" x14ac:dyDescent="0.25">
      <c r="B16" s="20"/>
      <c r="C16" s="5" t="s">
        <v>43</v>
      </c>
      <c r="D16" s="6" t="s">
        <v>33</v>
      </c>
      <c r="E16" s="11">
        <v>4.9250000000000002E-2</v>
      </c>
      <c r="F16" s="1"/>
      <c r="G16" s="1"/>
      <c r="H16" s="1"/>
      <c r="I16" s="1"/>
      <c r="J16" s="24" t="s">
        <v>102</v>
      </c>
      <c r="K16" s="29">
        <v>5.764E-3</v>
      </c>
      <c r="L16" s="1"/>
      <c r="M16" s="1"/>
      <c r="N16" s="18"/>
    </row>
    <row r="17" spans="2:14" ht="15" customHeight="1" x14ac:dyDescent="0.25">
      <c r="B17" s="20"/>
      <c r="C17" s="5" t="s">
        <v>29</v>
      </c>
      <c r="D17" s="6" t="s">
        <v>33</v>
      </c>
      <c r="E17" s="11">
        <v>4.3168999999999999E-2</v>
      </c>
      <c r="F17" s="1"/>
      <c r="G17" s="1"/>
      <c r="H17" s="1"/>
      <c r="I17" s="1"/>
      <c r="J17" s="24" t="s">
        <v>71</v>
      </c>
      <c r="K17" s="29">
        <v>2.8812000000000001E-2</v>
      </c>
      <c r="L17" s="1"/>
      <c r="M17" s="1"/>
      <c r="N17" s="18"/>
    </row>
    <row r="18" spans="2:14" ht="15" customHeight="1" x14ac:dyDescent="0.25">
      <c r="B18" s="20"/>
      <c r="C18" s="5" t="s">
        <v>37</v>
      </c>
      <c r="D18" s="6" t="s">
        <v>33</v>
      </c>
      <c r="E18" s="11">
        <v>3.5275000000000001E-2</v>
      </c>
      <c r="F18" s="1"/>
      <c r="G18" s="1"/>
      <c r="H18" s="1"/>
      <c r="I18" s="1"/>
      <c r="J18" s="1"/>
      <c r="K18" s="1"/>
      <c r="L18" s="1"/>
      <c r="M18" s="1"/>
      <c r="N18" s="18"/>
    </row>
    <row r="19" spans="2:14" ht="15" customHeight="1" x14ac:dyDescent="0.25">
      <c r="B19" s="20"/>
      <c r="C19" s="5" t="s">
        <v>44</v>
      </c>
      <c r="D19" s="6" t="s">
        <v>33</v>
      </c>
      <c r="E19" s="11">
        <v>1.1690000000000001E-2</v>
      </c>
      <c r="F19" s="1"/>
      <c r="G19" s="1"/>
      <c r="H19" s="1"/>
      <c r="I19" s="1"/>
      <c r="J19" s="1"/>
      <c r="K19" s="1"/>
      <c r="L19" s="1"/>
      <c r="M19" s="1"/>
      <c r="N19" s="18"/>
    </row>
    <row r="20" spans="2:14" ht="15" customHeight="1" x14ac:dyDescent="0.25">
      <c r="B20" s="20"/>
      <c r="C20" s="5" t="s">
        <v>50</v>
      </c>
      <c r="D20" s="6" t="s">
        <v>33</v>
      </c>
      <c r="E20" s="11">
        <v>1.1676000000000001E-2</v>
      </c>
      <c r="F20" s="1"/>
      <c r="G20" s="1"/>
      <c r="H20" s="1"/>
      <c r="I20" s="1"/>
      <c r="J20" s="1"/>
      <c r="K20" s="1"/>
      <c r="L20" s="1"/>
      <c r="M20" s="1"/>
      <c r="N20" s="18"/>
    </row>
    <row r="21" spans="2:14" ht="15" customHeight="1" x14ac:dyDescent="0.25">
      <c r="B21" s="20"/>
      <c r="C21" s="5" t="s">
        <v>80</v>
      </c>
      <c r="D21" s="6" t="s">
        <v>33</v>
      </c>
      <c r="E21" s="11">
        <v>3.473E-3</v>
      </c>
      <c r="F21" s="1"/>
      <c r="G21" s="1"/>
      <c r="H21" s="1"/>
      <c r="I21" s="1"/>
      <c r="J21" s="1"/>
      <c r="K21" s="1"/>
      <c r="L21" s="1"/>
      <c r="M21" s="1"/>
      <c r="N21" s="18"/>
    </row>
    <row r="22" spans="2:14" ht="15.75" customHeight="1" x14ac:dyDescent="0.25">
      <c r="B22" s="20"/>
      <c r="C22" s="7" t="s">
        <v>52</v>
      </c>
      <c r="D22" s="8"/>
      <c r="E22" s="12">
        <v>0.313691</v>
      </c>
      <c r="F22" s="1"/>
      <c r="G22" s="1"/>
      <c r="H22" s="1"/>
      <c r="I22" s="1"/>
      <c r="J22" s="1"/>
      <c r="K22" s="1"/>
      <c r="L22" s="1"/>
      <c r="M22" s="1"/>
      <c r="N22" s="18"/>
    </row>
    <row r="23" spans="2:14" ht="15" customHeight="1" x14ac:dyDescent="0.25">
      <c r="B23" s="20"/>
      <c r="C23" s="5" t="s">
        <v>24</v>
      </c>
      <c r="D23" s="6" t="s">
        <v>23</v>
      </c>
      <c r="E23" s="11">
        <v>2.3119000000000001E-2</v>
      </c>
      <c r="F23" s="1"/>
      <c r="G23" s="1"/>
      <c r="H23" s="1"/>
      <c r="I23" s="1"/>
      <c r="J23" s="1"/>
      <c r="K23" s="1"/>
      <c r="L23" s="1"/>
      <c r="M23" s="1"/>
      <c r="N23" s="18"/>
    </row>
    <row r="24" spans="2:14" ht="15.75" customHeight="1" x14ac:dyDescent="0.25">
      <c r="B24" s="20"/>
      <c r="C24" s="7" t="s">
        <v>54</v>
      </c>
      <c r="D24" s="8"/>
      <c r="E24" s="12">
        <v>2.3119000000000001E-2</v>
      </c>
      <c r="F24" s="1"/>
      <c r="G24" s="44" t="s">
        <v>103</v>
      </c>
      <c r="H24" s="45"/>
      <c r="I24" s="45"/>
      <c r="J24" s="45"/>
      <c r="K24" s="45"/>
      <c r="L24" s="35">
        <v>136</v>
      </c>
      <c r="M24" s="27"/>
      <c r="N24" s="28"/>
    </row>
    <row r="25" spans="2:14" ht="15" customHeight="1" x14ac:dyDescent="0.25">
      <c r="B25" s="20"/>
      <c r="C25" s="5" t="s">
        <v>188</v>
      </c>
      <c r="D25" s="6" t="s">
        <v>56</v>
      </c>
      <c r="E25" s="11">
        <v>3.5514999999999998E-2</v>
      </c>
      <c r="F25" s="1"/>
      <c r="G25" s="1"/>
      <c r="H25" s="1"/>
      <c r="I25" s="1"/>
      <c r="J25" s="1"/>
      <c r="K25" s="1"/>
      <c r="L25" s="1"/>
      <c r="M25" s="1"/>
      <c r="N25" s="18"/>
    </row>
    <row r="26" spans="2:14" ht="15.75" customHeight="1" x14ac:dyDescent="0.25">
      <c r="B26" s="20"/>
      <c r="C26" s="5" t="s">
        <v>189</v>
      </c>
      <c r="D26" s="6" t="s">
        <v>56</v>
      </c>
      <c r="E26" s="11">
        <v>1.186E-3</v>
      </c>
      <c r="F26" s="1"/>
      <c r="G26" s="44" t="s">
        <v>19</v>
      </c>
      <c r="H26" s="45"/>
      <c r="I26" s="45"/>
      <c r="J26" s="45"/>
      <c r="K26" s="45"/>
      <c r="L26" s="45"/>
      <c r="M26" s="45"/>
      <c r="N26" s="46"/>
    </row>
    <row r="27" spans="2:14" ht="15" customHeight="1" x14ac:dyDescent="0.25">
      <c r="B27" s="20"/>
      <c r="C27" s="5" t="s">
        <v>187</v>
      </c>
      <c r="D27" s="6" t="s">
        <v>56</v>
      </c>
      <c r="E27" s="11">
        <v>1.173E-3</v>
      </c>
      <c r="F27" s="1"/>
      <c r="G27" s="1"/>
      <c r="H27" s="1"/>
      <c r="I27" s="1"/>
      <c r="J27" s="1"/>
      <c r="K27" s="1"/>
      <c r="L27" s="1"/>
      <c r="M27" s="1"/>
      <c r="N27" s="18"/>
    </row>
    <row r="28" spans="2:14" ht="15.75" customHeight="1" x14ac:dyDescent="0.25">
      <c r="B28" s="20"/>
      <c r="C28" s="7" t="s">
        <v>63</v>
      </c>
      <c r="D28" s="8"/>
      <c r="E28" s="12">
        <v>3.7873999999999998E-2</v>
      </c>
      <c r="F28" s="1"/>
      <c r="G28" s="1"/>
      <c r="H28" s="1"/>
      <c r="I28" s="1"/>
      <c r="J28" s="1"/>
      <c r="K28" s="1"/>
      <c r="L28" s="1"/>
      <c r="M28" s="1"/>
      <c r="N28" s="18"/>
    </row>
    <row r="29" spans="2:14" ht="15" customHeight="1" x14ac:dyDescent="0.25">
      <c r="B29" s="20"/>
      <c r="C29" s="5" t="s">
        <v>100</v>
      </c>
      <c r="D29" s="6" t="s">
        <v>56</v>
      </c>
      <c r="E29" s="11">
        <v>5.764E-3</v>
      </c>
      <c r="F29" s="1"/>
      <c r="G29" s="1"/>
      <c r="H29" s="1"/>
      <c r="I29" s="1"/>
      <c r="J29" s="1"/>
      <c r="K29" s="1"/>
      <c r="L29" s="1"/>
      <c r="M29" s="1"/>
      <c r="N29" s="18"/>
    </row>
    <row r="30" spans="2:14" ht="15.75" customHeight="1" x14ac:dyDescent="0.25">
      <c r="B30" s="20"/>
      <c r="C30" s="7" t="s">
        <v>101</v>
      </c>
      <c r="D30" s="8"/>
      <c r="E30" s="12">
        <v>5.764E-3</v>
      </c>
      <c r="F30" s="1"/>
      <c r="G30" s="1"/>
      <c r="H30" s="1"/>
      <c r="I30" s="1"/>
      <c r="J30" s="1"/>
      <c r="K30" s="1"/>
      <c r="L30" s="1"/>
      <c r="M30" s="1"/>
      <c r="N30" s="18"/>
    </row>
    <row r="31" spans="2:14" ht="15" customHeight="1" x14ac:dyDescent="0.25">
      <c r="B31" s="20"/>
      <c r="C31" s="5" t="s">
        <v>9</v>
      </c>
      <c r="D31" s="6"/>
      <c r="E31" s="11">
        <v>0.30373699999999998</v>
      </c>
      <c r="F31" s="1"/>
      <c r="G31" s="1"/>
      <c r="H31" s="1"/>
      <c r="I31" s="1"/>
      <c r="J31" s="1"/>
      <c r="K31" s="1"/>
      <c r="L31" s="1"/>
      <c r="M31" s="1"/>
      <c r="N31" s="18"/>
    </row>
    <row r="32" spans="2:14" ht="15.75" customHeight="1" x14ac:dyDescent="0.25">
      <c r="B32" s="20"/>
      <c r="C32" s="7" t="s">
        <v>10</v>
      </c>
      <c r="D32" s="8"/>
      <c r="E32" s="12">
        <v>0.30373699999999998</v>
      </c>
      <c r="F32" s="1"/>
      <c r="G32" s="1"/>
      <c r="H32" s="1"/>
      <c r="I32" s="1"/>
      <c r="J32" s="1"/>
      <c r="K32" s="1"/>
      <c r="L32" s="1"/>
      <c r="M32" s="1"/>
      <c r="N32" s="18"/>
    </row>
    <row r="33" spans="2:14" ht="15" customHeight="1" x14ac:dyDescent="0.25">
      <c r="B33" s="20"/>
      <c r="C33" s="5" t="s">
        <v>80</v>
      </c>
      <c r="D33" s="6" t="s">
        <v>33</v>
      </c>
      <c r="E33" s="11">
        <v>2.8812000000000001E-2</v>
      </c>
      <c r="F33" s="1"/>
      <c r="G33" s="1"/>
      <c r="H33" s="1"/>
      <c r="I33" s="1"/>
      <c r="J33" s="1"/>
      <c r="K33" s="1"/>
      <c r="L33" s="1"/>
      <c r="M33" s="1"/>
      <c r="N33" s="18"/>
    </row>
    <row r="34" spans="2:14" ht="15.75" customHeight="1" x14ac:dyDescent="0.25">
      <c r="B34" s="20"/>
      <c r="C34" s="7" t="s">
        <v>64</v>
      </c>
      <c r="D34" s="8"/>
      <c r="E34" s="12">
        <v>2.8812000000000001E-2</v>
      </c>
      <c r="F34" s="1"/>
      <c r="G34" s="1"/>
      <c r="H34" s="1"/>
      <c r="I34" s="1"/>
      <c r="J34" s="1"/>
      <c r="K34" s="1"/>
      <c r="L34" s="1"/>
      <c r="M34" s="1"/>
      <c r="N34" s="18"/>
    </row>
    <row r="35" spans="2:14" ht="15" customHeight="1" x14ac:dyDescent="0.25">
      <c r="B35" s="20"/>
      <c r="C35" s="5"/>
      <c r="D35" s="6"/>
      <c r="E35" s="11"/>
      <c r="F35" s="1"/>
      <c r="G35" s="1"/>
      <c r="H35" s="1"/>
      <c r="I35" s="1"/>
      <c r="J35" s="1"/>
      <c r="K35" s="1"/>
      <c r="L35" s="1"/>
      <c r="M35" s="1"/>
      <c r="N35" s="18"/>
    </row>
    <row r="36" spans="2:14" ht="15" customHeight="1" x14ac:dyDescent="0.25">
      <c r="B36" s="20"/>
      <c r="C36" s="7" t="s">
        <v>11</v>
      </c>
      <c r="D36" s="8"/>
      <c r="E36" s="12">
        <v>8.6779999999999999E-3</v>
      </c>
      <c r="F36" s="1"/>
      <c r="G36" s="1"/>
      <c r="H36" s="1"/>
      <c r="I36" s="1"/>
      <c r="J36" s="1"/>
      <c r="K36" s="1"/>
      <c r="L36" s="1"/>
      <c r="M36" s="1"/>
      <c r="N36" s="18"/>
    </row>
    <row r="37" spans="2:14" ht="15" customHeight="1" x14ac:dyDescent="0.25">
      <c r="B37" s="20"/>
      <c r="C37" s="5"/>
      <c r="D37" s="6"/>
      <c r="E37" s="11"/>
      <c r="F37" s="1"/>
      <c r="G37" s="1"/>
      <c r="H37" s="1"/>
      <c r="I37" s="1"/>
      <c r="J37" s="1"/>
      <c r="K37" s="1"/>
      <c r="L37" s="1"/>
      <c r="M37" s="1"/>
      <c r="N37" s="18"/>
    </row>
    <row r="38" spans="2:14" ht="15" customHeight="1" x14ac:dyDescent="0.25">
      <c r="B38" s="20"/>
      <c r="C38" s="9" t="s">
        <v>12</v>
      </c>
      <c r="D38" s="10"/>
      <c r="E38" s="13">
        <v>1</v>
      </c>
      <c r="F38" s="1"/>
      <c r="G38" s="1"/>
      <c r="H38" s="1"/>
      <c r="I38" s="1"/>
      <c r="J38" s="1"/>
      <c r="K38" s="1"/>
      <c r="L38" s="1"/>
      <c r="M38" s="1"/>
      <c r="N38" s="18"/>
    </row>
    <row r="39" spans="2:14" ht="15" customHeight="1" x14ac:dyDescent="0.25">
      <c r="B39" s="20"/>
      <c r="F39" s="1"/>
      <c r="G39" s="1"/>
      <c r="H39" s="1"/>
      <c r="I39" s="1"/>
      <c r="J39" s="1"/>
      <c r="K39" s="1"/>
      <c r="L39" s="1"/>
      <c r="M39" s="1"/>
      <c r="N39" s="18"/>
    </row>
    <row r="40" spans="2:14" ht="15" customHeight="1" x14ac:dyDescent="0.25">
      <c r="B40" s="20"/>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27.5" customHeight="1" thickBot="1" x14ac:dyDescent="0.3">
      <c r="B45" s="36" t="s">
        <v>163</v>
      </c>
      <c r="C45" s="37"/>
      <c r="D45" s="37"/>
      <c r="E45" s="37"/>
      <c r="F45" s="37"/>
      <c r="G45" s="37"/>
      <c r="H45" s="37"/>
      <c r="I45" s="37"/>
      <c r="J45" s="37"/>
      <c r="K45" s="37"/>
      <c r="L45" s="37"/>
      <c r="M45" s="37"/>
      <c r="N45" s="38"/>
    </row>
    <row r="46" spans="2:14" ht="15" customHeight="1" thickBot="1" x14ac:dyDescent="0.3"/>
    <row r="47" spans="2:14" ht="66" customHeight="1" thickBot="1" x14ac:dyDescent="0.3">
      <c r="B47" s="36" t="s">
        <v>235</v>
      </c>
      <c r="C47" s="37"/>
      <c r="D47" s="37"/>
      <c r="E47" s="37"/>
      <c r="F47" s="37"/>
      <c r="G47" s="37"/>
      <c r="H47" s="37"/>
      <c r="I47" s="37"/>
      <c r="J47" s="37"/>
      <c r="K47" s="37"/>
      <c r="L47" s="37"/>
      <c r="M47" s="37"/>
      <c r="N47" s="38"/>
    </row>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sheetData>
  <sortState ref="C25:E27">
    <sortCondition descending="1" ref="E25"/>
  </sortState>
  <mergeCells count="7">
    <mergeCell ref="B47:N47"/>
    <mergeCell ref="B45:N45"/>
    <mergeCell ref="C3:N3"/>
    <mergeCell ref="D5:E5"/>
    <mergeCell ref="G7:N7"/>
    <mergeCell ref="G24:K24"/>
    <mergeCell ref="G26:N26"/>
  </mergeCells>
  <pageMargins left="0.25" right="0.25" top="0.75" bottom="0.75" header="0.3" footer="0.3"/>
  <pageSetup scale="58" orientation="landscape"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73EEB-4DAC-4371-882C-DFC67F45BFCE}">
  <sheetPr>
    <pageSetUpPr fitToPage="1"/>
  </sheetPr>
  <dimension ref="B1:N45"/>
  <sheetViews>
    <sheetView showGridLines="0" view="pageBreakPreview" zoomScale="60" zoomScaleNormal="75" workbookViewId="0"/>
  </sheetViews>
  <sheetFormatPr defaultRowHeight="15" x14ac:dyDescent="0.25"/>
  <cols>
    <col min="1" max="1" width="2.85546875" customWidth="1"/>
    <col min="2" max="2" width="3.85546875" customWidth="1"/>
    <col min="3" max="3" width="54.28515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9" t="s">
        <v>125</v>
      </c>
      <c r="D3" s="40"/>
      <c r="E3" s="40"/>
      <c r="F3" s="40"/>
      <c r="G3" s="40"/>
      <c r="H3" s="40"/>
      <c r="I3" s="40"/>
      <c r="J3" s="40"/>
      <c r="K3" s="40"/>
      <c r="L3" s="40"/>
      <c r="M3" s="40"/>
      <c r="N3" s="41"/>
    </row>
    <row r="4" spans="2:14" ht="15.75" customHeight="1" x14ac:dyDescent="0.25">
      <c r="B4" s="20"/>
      <c r="C4" s="14"/>
      <c r="D4" s="1"/>
      <c r="E4" s="1"/>
      <c r="F4" s="1"/>
      <c r="G4" s="1"/>
      <c r="H4" s="1"/>
      <c r="I4" s="1"/>
      <c r="J4" s="1"/>
      <c r="K4" s="1"/>
      <c r="L4" s="1"/>
      <c r="M4" s="1"/>
      <c r="N4" s="18"/>
    </row>
    <row r="5" spans="2:14" ht="18" customHeight="1" x14ac:dyDescent="0.25">
      <c r="B5" s="20"/>
      <c r="C5" s="15" t="s">
        <v>1</v>
      </c>
      <c r="D5" s="42" t="s">
        <v>126</v>
      </c>
      <c r="E5" s="4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4" t="s">
        <v>17</v>
      </c>
      <c r="H7" s="45"/>
      <c r="I7" s="45"/>
      <c r="J7" s="45"/>
      <c r="K7" s="45"/>
      <c r="L7" s="45"/>
      <c r="M7" s="45"/>
      <c r="N7" s="46"/>
    </row>
    <row r="8" spans="2:14" ht="15" customHeight="1" x14ac:dyDescent="0.25">
      <c r="B8" s="20"/>
      <c r="C8" s="5" t="s">
        <v>74</v>
      </c>
      <c r="D8" s="6" t="s">
        <v>56</v>
      </c>
      <c r="E8" s="11">
        <v>0.27351799999999998</v>
      </c>
      <c r="F8" s="1"/>
      <c r="G8" s="24" t="s">
        <v>16</v>
      </c>
      <c r="H8" s="25">
        <v>1</v>
      </c>
      <c r="I8" s="1"/>
      <c r="J8" s="24" t="s">
        <v>13</v>
      </c>
      <c r="K8" s="24" t="s">
        <v>5</v>
      </c>
      <c r="L8" s="1"/>
      <c r="M8" s="1"/>
      <c r="N8" s="18"/>
    </row>
    <row r="9" spans="2:14" ht="15" customHeight="1" x14ac:dyDescent="0.25">
      <c r="B9" s="20"/>
      <c r="C9" s="5" t="s">
        <v>75</v>
      </c>
      <c r="D9" s="6" t="s">
        <v>56</v>
      </c>
      <c r="E9" s="11">
        <v>0.175121</v>
      </c>
      <c r="F9" s="1"/>
      <c r="G9" s="1"/>
      <c r="H9" s="1"/>
      <c r="I9" s="1"/>
      <c r="J9" s="24" t="s">
        <v>11</v>
      </c>
      <c r="K9" s="29">
        <v>9.0690000000000007E-3</v>
      </c>
      <c r="L9" s="1"/>
      <c r="M9" s="1"/>
      <c r="N9" s="18"/>
    </row>
    <row r="10" spans="2:14" ht="15" customHeight="1" x14ac:dyDescent="0.25">
      <c r="B10" s="20"/>
      <c r="C10" s="5" t="s">
        <v>127</v>
      </c>
      <c r="D10" s="6" t="s">
        <v>56</v>
      </c>
      <c r="E10" s="30">
        <v>3.8999999999999999E-5</v>
      </c>
      <c r="F10" s="1"/>
      <c r="G10" s="1"/>
      <c r="H10" s="1"/>
      <c r="I10" s="1"/>
      <c r="J10" s="24" t="s">
        <v>14</v>
      </c>
      <c r="K10" s="29">
        <v>0.54221600000000003</v>
      </c>
      <c r="L10" s="1"/>
      <c r="M10" s="1"/>
      <c r="N10" s="18"/>
    </row>
    <row r="11" spans="2:14" ht="15" customHeight="1" x14ac:dyDescent="0.25">
      <c r="B11" s="20"/>
      <c r="C11" s="5" t="s">
        <v>81</v>
      </c>
      <c r="D11" s="6" t="s">
        <v>56</v>
      </c>
      <c r="E11" s="30">
        <v>3.6999999999999998E-5</v>
      </c>
      <c r="F11" s="1"/>
      <c r="G11" s="1"/>
      <c r="H11" s="1"/>
      <c r="I11" s="1"/>
      <c r="J11" s="24" t="s">
        <v>69</v>
      </c>
      <c r="K11" s="29">
        <v>0.44871499999999997</v>
      </c>
      <c r="L11" s="1"/>
      <c r="M11" s="1"/>
      <c r="N11" s="18"/>
    </row>
    <row r="12" spans="2:14" ht="15.75" customHeight="1" x14ac:dyDescent="0.25">
      <c r="B12" s="20"/>
      <c r="C12" s="7" t="s">
        <v>62</v>
      </c>
      <c r="D12" s="8"/>
      <c r="E12" s="12">
        <v>0.44871499999999997</v>
      </c>
      <c r="F12" s="1"/>
      <c r="G12" s="1"/>
      <c r="H12" s="1"/>
      <c r="I12" s="1"/>
      <c r="J12" s="1"/>
      <c r="K12" s="1"/>
      <c r="L12" s="1"/>
      <c r="M12" s="1"/>
      <c r="N12" s="18"/>
    </row>
    <row r="13" spans="2:14" ht="15" customHeight="1" x14ac:dyDescent="0.25">
      <c r="B13" s="20"/>
      <c r="C13" s="5" t="s">
        <v>9</v>
      </c>
      <c r="D13" s="6"/>
      <c r="E13" s="11">
        <v>0.54221600000000003</v>
      </c>
      <c r="F13" s="1"/>
      <c r="G13" s="1"/>
      <c r="H13" s="1"/>
      <c r="I13" s="1"/>
      <c r="J13" s="1"/>
      <c r="K13" s="1"/>
      <c r="L13" s="1"/>
      <c r="M13" s="1"/>
      <c r="N13" s="18"/>
    </row>
    <row r="14" spans="2:14" ht="15.75" customHeight="1" x14ac:dyDescent="0.25">
      <c r="B14" s="20"/>
      <c r="C14" s="7" t="s">
        <v>10</v>
      </c>
      <c r="D14" s="8"/>
      <c r="E14" s="12">
        <v>0.54221600000000003</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7" t="s">
        <v>11</v>
      </c>
      <c r="D16" s="8"/>
      <c r="E16" s="12">
        <v>9.0690000000000007E-3</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9" t="s">
        <v>12</v>
      </c>
      <c r="D18" s="10"/>
      <c r="E18" s="13">
        <v>1</v>
      </c>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4" t="s">
        <v>18</v>
      </c>
      <c r="H24" s="45"/>
      <c r="I24" s="45"/>
      <c r="J24" s="45"/>
      <c r="K24" s="45"/>
      <c r="L24" s="26">
        <v>2.19</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4" t="s">
        <v>19</v>
      </c>
      <c r="H26" s="45"/>
      <c r="I26" s="45"/>
      <c r="J26" s="45"/>
      <c r="K26" s="45"/>
      <c r="L26" s="45"/>
      <c r="M26" s="45"/>
      <c r="N26" s="46"/>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0.75" customHeight="1" thickBot="1" x14ac:dyDescent="0.3">
      <c r="B45" s="36" t="s">
        <v>163</v>
      </c>
      <c r="C45" s="37"/>
      <c r="D45" s="37"/>
      <c r="E45" s="37"/>
      <c r="F45" s="37"/>
      <c r="G45" s="37"/>
      <c r="H45" s="37"/>
      <c r="I45" s="37"/>
      <c r="J45" s="37"/>
      <c r="K45" s="37"/>
      <c r="L45" s="37"/>
      <c r="M45" s="37"/>
      <c r="N45" s="38"/>
    </row>
  </sheetData>
  <mergeCells count="6">
    <mergeCell ref="B45:N45"/>
    <mergeCell ref="C3:N3"/>
    <mergeCell ref="D5:E5"/>
    <mergeCell ref="G7:N7"/>
    <mergeCell ref="G24:K24"/>
    <mergeCell ref="G26:N26"/>
  </mergeCells>
  <pageMargins left="0.25" right="0.25" top="0.75" bottom="0.75" header="0.3" footer="0.3"/>
  <pageSetup scale="65" orientation="landscape"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B61ED-B266-4BAC-8321-08FB7CA8FA22}">
  <sheetPr>
    <pageSetUpPr fitToPage="1"/>
  </sheetPr>
  <dimension ref="B1:N45"/>
  <sheetViews>
    <sheetView showGridLines="0" view="pageBreakPreview" zoomScale="60" zoomScaleNormal="75" workbookViewId="0">
      <selection activeCell="S25" sqref="S25"/>
    </sheetView>
  </sheetViews>
  <sheetFormatPr defaultRowHeight="15" x14ac:dyDescent="0.25"/>
  <cols>
    <col min="1" max="1" width="2.85546875" customWidth="1"/>
    <col min="2" max="2" width="3.85546875" customWidth="1"/>
    <col min="3" max="3" width="54.28515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9" t="s">
        <v>72</v>
      </c>
      <c r="D3" s="40"/>
      <c r="E3" s="40"/>
      <c r="F3" s="40"/>
      <c r="G3" s="40"/>
      <c r="H3" s="40"/>
      <c r="I3" s="40"/>
      <c r="J3" s="40"/>
      <c r="K3" s="40"/>
      <c r="L3" s="40"/>
      <c r="M3" s="40"/>
      <c r="N3" s="41"/>
    </row>
    <row r="4" spans="2:14" ht="15.75" customHeight="1" x14ac:dyDescent="0.25">
      <c r="B4" s="20"/>
      <c r="C4" s="14"/>
      <c r="D4" s="1"/>
      <c r="E4" s="1"/>
      <c r="F4" s="1"/>
      <c r="G4" s="1"/>
      <c r="H4" s="1"/>
      <c r="I4" s="1"/>
      <c r="J4" s="1"/>
      <c r="K4" s="1"/>
      <c r="L4" s="1"/>
      <c r="M4" s="1"/>
      <c r="N4" s="18"/>
    </row>
    <row r="5" spans="2:14" ht="18" customHeight="1" x14ac:dyDescent="0.25">
      <c r="B5" s="20"/>
      <c r="C5" s="15" t="s">
        <v>1</v>
      </c>
      <c r="D5" s="42" t="s">
        <v>73</v>
      </c>
      <c r="E5" s="4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4" t="s">
        <v>17</v>
      </c>
      <c r="H7" s="45"/>
      <c r="I7" s="45"/>
      <c r="J7" s="45"/>
      <c r="K7" s="45"/>
      <c r="L7" s="45"/>
      <c r="M7" s="45"/>
      <c r="N7" s="46"/>
    </row>
    <row r="8" spans="2:14" ht="15" customHeight="1" x14ac:dyDescent="0.25">
      <c r="B8" s="20"/>
      <c r="C8" s="5" t="s">
        <v>74</v>
      </c>
      <c r="D8" s="6" t="s">
        <v>56</v>
      </c>
      <c r="E8" s="11">
        <v>0.32693699999999998</v>
      </c>
      <c r="F8" s="1"/>
      <c r="G8" s="24" t="s">
        <v>16</v>
      </c>
      <c r="H8" s="25">
        <v>1</v>
      </c>
      <c r="I8" s="1"/>
      <c r="J8" s="24" t="s">
        <v>13</v>
      </c>
      <c r="K8" s="24" t="s">
        <v>5</v>
      </c>
      <c r="L8" s="1"/>
      <c r="M8" s="1"/>
      <c r="N8" s="18"/>
    </row>
    <row r="9" spans="2:14" ht="15" customHeight="1" x14ac:dyDescent="0.25">
      <c r="B9" s="20"/>
      <c r="C9" s="5" t="s">
        <v>75</v>
      </c>
      <c r="D9" s="6" t="s">
        <v>56</v>
      </c>
      <c r="E9" s="11">
        <v>0.13167000000000001</v>
      </c>
      <c r="F9" s="1"/>
      <c r="G9" s="1"/>
      <c r="H9" s="1"/>
      <c r="I9" s="1"/>
      <c r="J9" s="24" t="s">
        <v>11</v>
      </c>
      <c r="K9" s="29">
        <v>9.9419999999999994E-3</v>
      </c>
      <c r="L9" s="1"/>
      <c r="M9" s="1"/>
      <c r="N9" s="18"/>
    </row>
    <row r="10" spans="2:14" ht="15" customHeight="1" x14ac:dyDescent="0.25">
      <c r="B10" s="20"/>
      <c r="C10" s="5" t="s">
        <v>76</v>
      </c>
      <c r="D10" s="6" t="s">
        <v>56</v>
      </c>
      <c r="E10" s="11">
        <v>9.3020000000000005E-2</v>
      </c>
      <c r="F10" s="1"/>
      <c r="G10" s="1"/>
      <c r="H10" s="1"/>
      <c r="I10" s="1"/>
      <c r="J10" s="24" t="s">
        <v>14</v>
      </c>
      <c r="K10" s="29">
        <v>0.43778800000000001</v>
      </c>
      <c r="L10" s="1"/>
      <c r="M10" s="1"/>
      <c r="N10" s="18"/>
    </row>
    <row r="11" spans="2:14" ht="15" customHeight="1" x14ac:dyDescent="0.25">
      <c r="B11" s="20"/>
      <c r="C11" s="5" t="s">
        <v>77</v>
      </c>
      <c r="D11" s="6" t="s">
        <v>56</v>
      </c>
      <c r="E11" s="11">
        <v>6.4300000000000002E-4</v>
      </c>
      <c r="F11" s="1"/>
      <c r="G11" s="1"/>
      <c r="H11" s="1"/>
      <c r="I11" s="1"/>
      <c r="J11" s="24" t="s">
        <v>69</v>
      </c>
      <c r="K11" s="29">
        <v>0.55227000000000004</v>
      </c>
      <c r="L11" s="1"/>
      <c r="M11" s="1"/>
      <c r="N11" s="18"/>
    </row>
    <row r="12" spans="2:14" ht="15.75" customHeight="1" x14ac:dyDescent="0.25">
      <c r="B12" s="20"/>
      <c r="C12" s="7" t="s">
        <v>62</v>
      </c>
      <c r="D12" s="8"/>
      <c r="E12" s="12">
        <v>0.55227000000000004</v>
      </c>
      <c r="F12" s="1"/>
      <c r="G12" s="1"/>
      <c r="H12" s="1"/>
      <c r="I12" s="1"/>
      <c r="J12" s="1"/>
      <c r="K12" s="1"/>
      <c r="L12" s="1"/>
      <c r="M12" s="1"/>
      <c r="N12" s="18"/>
    </row>
    <row r="13" spans="2:14" ht="15" customHeight="1" x14ac:dyDescent="0.25">
      <c r="B13" s="20"/>
      <c r="C13" s="5" t="s">
        <v>9</v>
      </c>
      <c r="D13" s="6"/>
      <c r="E13" s="11">
        <v>0.43778800000000001</v>
      </c>
      <c r="F13" s="1"/>
      <c r="G13" s="1"/>
      <c r="H13" s="1"/>
      <c r="I13" s="1"/>
      <c r="J13" s="1"/>
      <c r="K13" s="1"/>
      <c r="L13" s="1"/>
      <c r="M13" s="1"/>
      <c r="N13" s="18"/>
    </row>
    <row r="14" spans="2:14" ht="15.75" customHeight="1" x14ac:dyDescent="0.25">
      <c r="B14" s="20"/>
      <c r="C14" s="7" t="s">
        <v>10</v>
      </c>
      <c r="D14" s="8"/>
      <c r="E14" s="12">
        <v>0.43778800000000001</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7" t="s">
        <v>11</v>
      </c>
      <c r="D16" s="8"/>
      <c r="E16" s="12">
        <v>9.9419999999999994E-3</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9" t="s">
        <v>12</v>
      </c>
      <c r="D18" s="10"/>
      <c r="E18" s="13">
        <v>1</v>
      </c>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4" t="s">
        <v>18</v>
      </c>
      <c r="H24" s="45"/>
      <c r="I24" s="45"/>
      <c r="J24" s="45"/>
      <c r="K24" s="45"/>
      <c r="L24" s="26">
        <v>3.18</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4" t="s">
        <v>19</v>
      </c>
      <c r="H26" s="45"/>
      <c r="I26" s="45"/>
      <c r="J26" s="45"/>
      <c r="K26" s="45"/>
      <c r="L26" s="45"/>
      <c r="M26" s="45"/>
      <c r="N26" s="46"/>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8.5" customHeight="1" thickBot="1" x14ac:dyDescent="0.3">
      <c r="B45" s="36" t="s">
        <v>163</v>
      </c>
      <c r="C45" s="37"/>
      <c r="D45" s="37"/>
      <c r="E45" s="37"/>
      <c r="F45" s="37"/>
      <c r="G45" s="37"/>
      <c r="H45" s="37"/>
      <c r="I45" s="37"/>
      <c r="J45" s="37"/>
      <c r="K45" s="37"/>
      <c r="L45" s="37"/>
      <c r="M45" s="37"/>
      <c r="N45" s="38"/>
    </row>
  </sheetData>
  <mergeCells count="6">
    <mergeCell ref="B45:N45"/>
    <mergeCell ref="C3:N3"/>
    <mergeCell ref="D5:E5"/>
    <mergeCell ref="G7:N7"/>
    <mergeCell ref="G24:K24"/>
    <mergeCell ref="G26:N26"/>
  </mergeCells>
  <pageMargins left="0.7" right="0.7" top="0.75" bottom="0.75" header="0.3" footer="0.3"/>
  <pageSetup scale="43" orientation="portrait" horizontalDpi="1200" verticalDpi="12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06A74-E7D5-4C94-A548-AD7CB59B3BAE}">
  <sheetPr>
    <pageSetUpPr fitToPage="1"/>
  </sheetPr>
  <dimension ref="B1:N48"/>
  <sheetViews>
    <sheetView showGridLines="0" view="pageBreakPreview" topLeftCell="A22" zoomScale="60"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9" t="s">
        <v>78</v>
      </c>
      <c r="D3" s="40"/>
      <c r="E3" s="40"/>
      <c r="F3" s="40"/>
      <c r="G3" s="40"/>
      <c r="H3" s="40"/>
      <c r="I3" s="40"/>
      <c r="J3" s="40"/>
      <c r="K3" s="40"/>
      <c r="L3" s="40"/>
      <c r="M3" s="40"/>
      <c r="N3" s="41"/>
    </row>
    <row r="4" spans="2:14" ht="15.75" customHeight="1" x14ac:dyDescent="0.25">
      <c r="B4" s="20"/>
      <c r="C4" s="14"/>
      <c r="D4" s="1"/>
      <c r="E4" s="1"/>
      <c r="F4" s="1"/>
      <c r="G4" s="1"/>
      <c r="H4" s="1"/>
      <c r="I4" s="1"/>
      <c r="J4" s="1"/>
      <c r="K4" s="1"/>
      <c r="L4" s="1"/>
      <c r="M4" s="1"/>
      <c r="N4" s="18"/>
    </row>
    <row r="5" spans="2:14" ht="18" customHeight="1" x14ac:dyDescent="0.25">
      <c r="B5" s="20"/>
      <c r="C5" s="15" t="s">
        <v>1</v>
      </c>
      <c r="D5" s="42" t="s">
        <v>79</v>
      </c>
      <c r="E5" s="4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4" t="s">
        <v>17</v>
      </c>
      <c r="H7" s="45"/>
      <c r="I7" s="45"/>
      <c r="J7" s="45"/>
      <c r="K7" s="45"/>
      <c r="L7" s="45"/>
      <c r="M7" s="45"/>
      <c r="N7" s="46"/>
    </row>
    <row r="8" spans="2:14" ht="15" customHeight="1" x14ac:dyDescent="0.25">
      <c r="B8" s="20"/>
      <c r="C8" s="5" t="s">
        <v>80</v>
      </c>
      <c r="D8" s="6" t="s">
        <v>23</v>
      </c>
      <c r="E8" s="11">
        <v>2.8707E-2</v>
      </c>
      <c r="F8" s="1"/>
      <c r="G8" s="24" t="s">
        <v>16</v>
      </c>
      <c r="H8" s="25">
        <v>1</v>
      </c>
      <c r="I8" s="1"/>
      <c r="J8" s="24" t="s">
        <v>13</v>
      </c>
      <c r="K8" s="24" t="s">
        <v>5</v>
      </c>
      <c r="L8" s="1"/>
      <c r="M8" s="1"/>
      <c r="N8" s="18"/>
    </row>
    <row r="9" spans="2:14" ht="15.75" customHeight="1" x14ac:dyDescent="0.25">
      <c r="B9" s="20"/>
      <c r="C9" s="7" t="s">
        <v>31</v>
      </c>
      <c r="D9" s="8"/>
      <c r="E9" s="12">
        <v>2.8707E-2</v>
      </c>
      <c r="F9" s="1"/>
      <c r="G9" s="1"/>
      <c r="H9" s="1"/>
      <c r="I9" s="1"/>
      <c r="J9" s="24" t="s">
        <v>11</v>
      </c>
      <c r="K9" s="29">
        <v>4.437E-3</v>
      </c>
      <c r="L9" s="1"/>
      <c r="M9" s="1"/>
      <c r="N9" s="18"/>
    </row>
    <row r="10" spans="2:14" ht="15" customHeight="1" x14ac:dyDescent="0.25">
      <c r="B10" s="20"/>
      <c r="C10" s="5" t="s">
        <v>32</v>
      </c>
      <c r="D10" s="6" t="s">
        <v>33</v>
      </c>
      <c r="E10" s="11">
        <v>2.4962000000000002E-2</v>
      </c>
      <c r="F10" s="1"/>
      <c r="G10" s="1"/>
      <c r="H10" s="1"/>
      <c r="I10" s="1"/>
      <c r="J10" s="24" t="s">
        <v>14</v>
      </c>
      <c r="K10" s="29">
        <v>0.47154000000000001</v>
      </c>
      <c r="L10" s="1"/>
      <c r="M10" s="1"/>
      <c r="N10" s="18"/>
    </row>
    <row r="11" spans="2:14" ht="15" customHeight="1" x14ac:dyDescent="0.25">
      <c r="B11" s="20"/>
      <c r="C11" s="5" t="s">
        <v>35</v>
      </c>
      <c r="D11" s="6" t="s">
        <v>33</v>
      </c>
      <c r="E11" s="11">
        <v>1.5682999999999999E-2</v>
      </c>
      <c r="F11" s="1"/>
      <c r="G11" s="1"/>
      <c r="H11" s="1"/>
      <c r="I11" s="1"/>
      <c r="J11" s="24" t="s">
        <v>66</v>
      </c>
      <c r="K11" s="29">
        <v>4.2588000000000001E-2</v>
      </c>
      <c r="L11" s="1"/>
      <c r="M11" s="1"/>
      <c r="N11" s="18"/>
    </row>
    <row r="12" spans="2:14" ht="15" customHeight="1" x14ac:dyDescent="0.25">
      <c r="B12" s="20"/>
      <c r="C12" s="5" t="s">
        <v>29</v>
      </c>
      <c r="D12" s="6" t="s">
        <v>33</v>
      </c>
      <c r="E12" s="11">
        <v>1.9430000000000001E-3</v>
      </c>
      <c r="F12" s="1"/>
      <c r="G12" s="1"/>
      <c r="H12" s="1"/>
      <c r="I12" s="1"/>
      <c r="J12" s="24" t="s">
        <v>67</v>
      </c>
      <c r="K12" s="29">
        <v>2.8707E-2</v>
      </c>
      <c r="L12" s="1"/>
      <c r="M12" s="1"/>
      <c r="N12" s="18"/>
    </row>
    <row r="13" spans="2:14" ht="15.75" customHeight="1" x14ac:dyDescent="0.25">
      <c r="B13" s="20"/>
      <c r="C13" s="7" t="s">
        <v>52</v>
      </c>
      <c r="D13" s="8"/>
      <c r="E13" s="12">
        <v>4.2588000000000001E-2</v>
      </c>
      <c r="F13" s="1"/>
      <c r="G13" s="1"/>
      <c r="H13" s="1"/>
      <c r="I13" s="1"/>
      <c r="J13" s="24" t="s">
        <v>69</v>
      </c>
      <c r="K13" s="29">
        <v>0.42802899999999999</v>
      </c>
      <c r="L13" s="1"/>
      <c r="M13" s="1"/>
      <c r="N13" s="18"/>
    </row>
    <row r="14" spans="2:14" ht="15" customHeight="1" x14ac:dyDescent="0.25">
      <c r="B14" s="20"/>
      <c r="C14" s="5" t="s">
        <v>75</v>
      </c>
      <c r="D14" s="6" t="s">
        <v>56</v>
      </c>
      <c r="E14" s="11">
        <v>0.238788</v>
      </c>
      <c r="F14" s="1"/>
      <c r="G14" s="1"/>
      <c r="H14" s="1"/>
      <c r="I14" s="1"/>
      <c r="J14" s="24" t="s">
        <v>85</v>
      </c>
      <c r="K14" s="29">
        <v>1.1521E-2</v>
      </c>
      <c r="L14" s="1"/>
      <c r="M14" s="1"/>
      <c r="N14" s="18"/>
    </row>
    <row r="15" spans="2:14" ht="15" customHeight="1" x14ac:dyDescent="0.25">
      <c r="B15" s="20"/>
      <c r="C15" s="5" t="s">
        <v>74</v>
      </c>
      <c r="D15" s="6" t="s">
        <v>56</v>
      </c>
      <c r="E15" s="11">
        <v>0.18762699999999999</v>
      </c>
      <c r="F15" s="1"/>
      <c r="G15" s="1"/>
      <c r="H15" s="1"/>
      <c r="I15" s="1"/>
      <c r="J15" s="24" t="s">
        <v>70</v>
      </c>
      <c r="K15" s="29">
        <v>1.3178E-2</v>
      </c>
      <c r="L15" s="1"/>
      <c r="M15" s="1"/>
      <c r="N15" s="18"/>
    </row>
    <row r="16" spans="2:14" ht="15" customHeight="1" x14ac:dyDescent="0.25">
      <c r="B16" s="20"/>
      <c r="C16" s="5" t="s">
        <v>81</v>
      </c>
      <c r="D16" s="6" t="s">
        <v>56</v>
      </c>
      <c r="E16" s="11">
        <v>1.5679999999999999E-3</v>
      </c>
      <c r="F16" s="1"/>
      <c r="G16" s="1"/>
      <c r="H16" s="1"/>
      <c r="I16" s="1"/>
      <c r="J16" s="1"/>
      <c r="K16" s="1"/>
      <c r="L16" s="1"/>
      <c r="M16" s="1"/>
      <c r="N16" s="18"/>
    </row>
    <row r="17" spans="2:14" ht="15" customHeight="1" x14ac:dyDescent="0.25">
      <c r="B17" s="20"/>
      <c r="C17" s="5" t="s">
        <v>82</v>
      </c>
      <c r="D17" s="6" t="s">
        <v>56</v>
      </c>
      <c r="E17" s="30">
        <v>4.6E-5</v>
      </c>
      <c r="F17" s="1"/>
      <c r="G17" s="1"/>
      <c r="H17" s="1"/>
      <c r="I17" s="1"/>
      <c r="J17" s="1"/>
      <c r="K17" s="1"/>
      <c r="L17" s="1"/>
      <c r="M17" s="1"/>
      <c r="N17" s="18"/>
    </row>
    <row r="18" spans="2:14" ht="15.75" customHeight="1" x14ac:dyDescent="0.25">
      <c r="B18" s="20"/>
      <c r="C18" s="7" t="s">
        <v>62</v>
      </c>
      <c r="D18" s="8"/>
      <c r="E18" s="12">
        <v>0.42802899999999999</v>
      </c>
      <c r="F18" s="1"/>
      <c r="G18" s="1"/>
      <c r="H18" s="1"/>
      <c r="I18" s="1"/>
      <c r="J18" s="1"/>
      <c r="K18" s="1"/>
      <c r="L18" s="1"/>
      <c r="M18" s="1"/>
      <c r="N18" s="18"/>
    </row>
    <row r="19" spans="2:14" ht="15" customHeight="1" x14ac:dyDescent="0.25">
      <c r="B19" s="20"/>
      <c r="C19" s="5" t="s">
        <v>229</v>
      </c>
      <c r="D19" s="6" t="s">
        <v>83</v>
      </c>
      <c r="E19" s="11">
        <v>1.1521E-2</v>
      </c>
      <c r="F19" s="1"/>
      <c r="G19" s="1"/>
      <c r="H19" s="1"/>
      <c r="I19" s="1"/>
      <c r="J19" s="1"/>
      <c r="K19" s="1"/>
      <c r="L19" s="1"/>
      <c r="M19" s="1"/>
      <c r="N19" s="18"/>
    </row>
    <row r="20" spans="2:14" ht="15.75" customHeight="1" x14ac:dyDescent="0.25">
      <c r="B20" s="20"/>
      <c r="C20" s="7" t="s">
        <v>84</v>
      </c>
      <c r="D20" s="8"/>
      <c r="E20" s="12">
        <v>1.1521E-2</v>
      </c>
      <c r="F20" s="1"/>
      <c r="G20" s="1"/>
      <c r="H20" s="1"/>
      <c r="I20" s="1"/>
      <c r="J20" s="1"/>
      <c r="K20" s="1"/>
      <c r="L20" s="1"/>
      <c r="M20" s="1"/>
      <c r="N20" s="18"/>
    </row>
    <row r="21" spans="2:14" ht="15" customHeight="1" x14ac:dyDescent="0.25">
      <c r="B21" s="20"/>
      <c r="C21" s="5" t="s">
        <v>192</v>
      </c>
      <c r="D21" s="6" t="s">
        <v>56</v>
      </c>
      <c r="E21" s="11">
        <v>6.1830000000000001E-3</v>
      </c>
      <c r="F21" s="1"/>
      <c r="G21" s="1"/>
      <c r="H21" s="1"/>
      <c r="I21" s="1"/>
      <c r="J21" s="1"/>
      <c r="K21" s="1"/>
      <c r="L21" s="1"/>
      <c r="M21" s="1"/>
      <c r="N21" s="18"/>
    </row>
    <row r="22" spans="2:14" ht="15.75" customHeight="1" x14ac:dyDescent="0.25">
      <c r="B22" s="20"/>
      <c r="C22" s="5" t="s">
        <v>191</v>
      </c>
      <c r="D22" s="6" t="s">
        <v>56</v>
      </c>
      <c r="E22" s="11">
        <v>6.1760000000000001E-3</v>
      </c>
      <c r="F22" s="1"/>
      <c r="G22" s="1"/>
      <c r="H22" s="1"/>
      <c r="I22" s="1"/>
      <c r="J22" s="1"/>
      <c r="K22" s="1"/>
      <c r="L22" s="1"/>
      <c r="M22" s="1"/>
      <c r="N22" s="18"/>
    </row>
    <row r="23" spans="2:14" ht="15" customHeight="1" x14ac:dyDescent="0.25">
      <c r="B23" s="20"/>
      <c r="C23" s="5" t="s">
        <v>193</v>
      </c>
      <c r="D23" s="6" t="s">
        <v>56</v>
      </c>
      <c r="E23" s="11">
        <v>8.0900000000000004E-4</v>
      </c>
      <c r="F23" s="1"/>
      <c r="G23" s="1"/>
      <c r="H23" s="1"/>
      <c r="I23" s="1"/>
      <c r="J23" s="1"/>
      <c r="K23" s="1"/>
      <c r="L23" s="1"/>
      <c r="M23" s="1"/>
      <c r="N23" s="18"/>
    </row>
    <row r="24" spans="2:14" ht="15.75" customHeight="1" x14ac:dyDescent="0.25">
      <c r="B24" s="20"/>
      <c r="C24" s="5" t="s">
        <v>190</v>
      </c>
      <c r="D24" s="6" t="s">
        <v>56</v>
      </c>
      <c r="E24" s="30">
        <v>7.9999999999999996E-6</v>
      </c>
      <c r="F24" s="1"/>
      <c r="G24" s="44" t="s">
        <v>18</v>
      </c>
      <c r="H24" s="45"/>
      <c r="I24" s="45"/>
      <c r="J24" s="45"/>
      <c r="K24" s="45"/>
      <c r="L24" s="26">
        <v>2.11</v>
      </c>
      <c r="M24" s="27"/>
      <c r="N24" s="28"/>
    </row>
    <row r="25" spans="2:14" ht="15" customHeight="1" x14ac:dyDescent="0.25">
      <c r="B25" s="20"/>
      <c r="C25" s="5" t="s">
        <v>194</v>
      </c>
      <c r="D25" s="6" t="s">
        <v>56</v>
      </c>
      <c r="E25" s="31">
        <v>1.9999999999999999E-6</v>
      </c>
      <c r="F25" s="1"/>
      <c r="G25" s="1"/>
      <c r="H25" s="1"/>
      <c r="I25" s="1"/>
      <c r="J25" s="1"/>
      <c r="K25" s="1"/>
      <c r="L25" s="1"/>
      <c r="M25" s="1"/>
      <c r="N25" s="18"/>
    </row>
    <row r="26" spans="2:14" ht="15.75" customHeight="1" x14ac:dyDescent="0.25">
      <c r="B26" s="20"/>
      <c r="C26" s="7" t="s">
        <v>63</v>
      </c>
      <c r="D26" s="8"/>
      <c r="E26" s="12">
        <v>1.3178E-2</v>
      </c>
      <c r="F26" s="1"/>
      <c r="G26" s="44" t="s">
        <v>19</v>
      </c>
      <c r="H26" s="45"/>
      <c r="I26" s="45"/>
      <c r="J26" s="45"/>
      <c r="K26" s="45"/>
      <c r="L26" s="45"/>
      <c r="M26" s="45"/>
      <c r="N26" s="46"/>
    </row>
    <row r="27" spans="2:14" ht="15" customHeight="1" x14ac:dyDescent="0.25">
      <c r="B27" s="20"/>
      <c r="C27" s="5" t="s">
        <v>9</v>
      </c>
      <c r="D27" s="6"/>
      <c r="E27" s="11">
        <v>0.47154000000000001</v>
      </c>
      <c r="F27" s="1"/>
      <c r="G27" s="1"/>
      <c r="H27" s="1"/>
      <c r="I27" s="1"/>
      <c r="J27" s="1"/>
      <c r="K27" s="1"/>
      <c r="L27" s="1"/>
      <c r="M27" s="1"/>
      <c r="N27" s="18"/>
    </row>
    <row r="28" spans="2:14" ht="15" customHeight="1" x14ac:dyDescent="0.25">
      <c r="B28" s="20"/>
      <c r="C28" s="7" t="s">
        <v>10</v>
      </c>
      <c r="D28" s="8"/>
      <c r="E28" s="12">
        <v>0.47154000000000001</v>
      </c>
      <c r="F28" s="1"/>
      <c r="G28" s="1"/>
      <c r="H28" s="1"/>
      <c r="I28" s="1"/>
      <c r="J28" s="1"/>
      <c r="K28" s="1"/>
      <c r="L28" s="1"/>
      <c r="M28" s="1"/>
      <c r="N28" s="18"/>
    </row>
    <row r="29" spans="2:14" ht="15" customHeight="1" x14ac:dyDescent="0.25">
      <c r="B29" s="20"/>
      <c r="C29" s="5"/>
      <c r="D29" s="6"/>
      <c r="E29" s="11"/>
      <c r="F29" s="1"/>
      <c r="G29" s="1"/>
      <c r="H29" s="1"/>
      <c r="I29" s="1"/>
      <c r="J29" s="1"/>
      <c r="K29" s="1"/>
      <c r="L29" s="1"/>
      <c r="M29" s="1"/>
      <c r="N29" s="18"/>
    </row>
    <row r="30" spans="2:14" ht="15" customHeight="1" x14ac:dyDescent="0.25">
      <c r="B30" s="20"/>
      <c r="C30" s="7" t="s">
        <v>11</v>
      </c>
      <c r="D30" s="8"/>
      <c r="E30" s="12">
        <v>4.437E-3</v>
      </c>
      <c r="F30" s="1"/>
      <c r="G30" s="1"/>
      <c r="H30" s="1"/>
      <c r="I30" s="1"/>
      <c r="J30" s="1"/>
      <c r="K30" s="1"/>
      <c r="L30" s="1"/>
      <c r="M30" s="1"/>
      <c r="N30" s="18"/>
    </row>
    <row r="31" spans="2:14" ht="15" customHeight="1" x14ac:dyDescent="0.25">
      <c r="B31" s="20"/>
      <c r="C31" s="5"/>
      <c r="D31" s="6"/>
      <c r="E31" s="11"/>
      <c r="F31" s="1"/>
      <c r="G31" s="1"/>
      <c r="H31" s="1"/>
      <c r="I31" s="1"/>
      <c r="J31" s="1"/>
      <c r="K31" s="1"/>
      <c r="L31" s="1"/>
      <c r="M31" s="1"/>
      <c r="N31" s="18"/>
    </row>
    <row r="32" spans="2:14" ht="15" customHeight="1" x14ac:dyDescent="0.25">
      <c r="B32" s="20"/>
      <c r="C32" s="9" t="s">
        <v>12</v>
      </c>
      <c r="D32" s="10"/>
      <c r="E32" s="13">
        <v>1</v>
      </c>
      <c r="F32" s="1"/>
      <c r="G32" s="1"/>
      <c r="H32" s="1"/>
      <c r="I32" s="1"/>
      <c r="J32" s="1"/>
      <c r="K32" s="1"/>
      <c r="L32" s="1"/>
      <c r="M32" s="1"/>
      <c r="N32" s="18"/>
    </row>
    <row r="33" spans="2:14" ht="15" customHeight="1" x14ac:dyDescent="0.25">
      <c r="B33" s="20"/>
      <c r="F33" s="1"/>
      <c r="G33" s="1"/>
      <c r="H33" s="1"/>
      <c r="I33" s="1"/>
      <c r="J33" s="1"/>
      <c r="K33" s="1"/>
      <c r="L33" s="1"/>
      <c r="M33" s="1"/>
      <c r="N33" s="18"/>
    </row>
    <row r="34" spans="2:14" ht="15" customHeight="1" x14ac:dyDescent="0.25">
      <c r="B34" s="20"/>
      <c r="C34" s="1" t="s">
        <v>228</v>
      </c>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23" customHeight="1" thickBot="1" x14ac:dyDescent="0.3">
      <c r="B45" s="36" t="s">
        <v>163</v>
      </c>
      <c r="C45" s="37"/>
      <c r="D45" s="37"/>
      <c r="E45" s="37"/>
      <c r="F45" s="37"/>
      <c r="G45" s="37"/>
      <c r="H45" s="37"/>
      <c r="I45" s="37"/>
      <c r="J45" s="37"/>
      <c r="K45" s="37"/>
      <c r="L45" s="37"/>
      <c r="M45" s="37"/>
      <c r="N45" s="38"/>
    </row>
    <row r="46" spans="2:14" ht="15" customHeight="1" x14ac:dyDescent="0.25"/>
    <row r="47" spans="2:14" ht="15" customHeight="1" x14ac:dyDescent="0.25"/>
    <row r="48" spans="2:14" ht="15" customHeight="1" x14ac:dyDescent="0.25"/>
  </sheetData>
  <sortState ref="C21:E25">
    <sortCondition descending="1" ref="E21"/>
  </sortState>
  <mergeCells count="6">
    <mergeCell ref="B45:N45"/>
    <mergeCell ref="C3:N3"/>
    <mergeCell ref="D5:E5"/>
    <mergeCell ref="G7:N7"/>
    <mergeCell ref="G24:K24"/>
    <mergeCell ref="G26:N26"/>
  </mergeCells>
  <pageMargins left="0.7" right="0.7" top="0.75" bottom="0.75" header="0.3" footer="0.3"/>
  <pageSetup scale="57" orientation="landscape" horizontalDpi="1200"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6CE6E-61ED-409C-A3C1-E91508535E4E}">
  <sheetPr>
    <pageSetUpPr fitToPage="1"/>
  </sheetPr>
  <dimension ref="B1:N64"/>
  <sheetViews>
    <sheetView showGridLines="0" view="pageBreakPreview" topLeftCell="A22" zoomScale="60" zoomScaleNormal="75" workbookViewId="0">
      <selection activeCell="B48" sqref="B48:N48"/>
    </sheetView>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9" t="s">
        <v>86</v>
      </c>
      <c r="D3" s="40"/>
      <c r="E3" s="40"/>
      <c r="F3" s="40"/>
      <c r="G3" s="40"/>
      <c r="H3" s="40"/>
      <c r="I3" s="40"/>
      <c r="J3" s="40"/>
      <c r="K3" s="40"/>
      <c r="L3" s="40"/>
      <c r="M3" s="40"/>
      <c r="N3" s="41"/>
    </row>
    <row r="4" spans="2:14" ht="15.75" customHeight="1" x14ac:dyDescent="0.25">
      <c r="B4" s="20"/>
      <c r="C4" s="14"/>
      <c r="D4" s="1"/>
      <c r="E4" s="1"/>
      <c r="F4" s="1"/>
      <c r="G4" s="1"/>
      <c r="H4" s="1"/>
      <c r="I4" s="1"/>
      <c r="J4" s="1"/>
      <c r="K4" s="1"/>
      <c r="L4" s="1"/>
      <c r="M4" s="1"/>
      <c r="N4" s="18"/>
    </row>
    <row r="5" spans="2:14" ht="18" customHeight="1" x14ac:dyDescent="0.25">
      <c r="B5" s="20"/>
      <c r="C5" s="15" t="s">
        <v>1</v>
      </c>
      <c r="D5" s="42" t="s">
        <v>87</v>
      </c>
      <c r="E5" s="4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4" t="s">
        <v>17</v>
      </c>
      <c r="H7" s="45"/>
      <c r="I7" s="45"/>
      <c r="J7" s="45"/>
      <c r="K7" s="45"/>
      <c r="L7" s="45"/>
      <c r="M7" s="45"/>
      <c r="N7" s="46"/>
    </row>
    <row r="8" spans="2:14" ht="15" customHeight="1" x14ac:dyDescent="0.25">
      <c r="B8" s="20"/>
      <c r="C8" s="5" t="s">
        <v>24</v>
      </c>
      <c r="D8" s="6" t="s">
        <v>23</v>
      </c>
      <c r="E8" s="11">
        <v>1.9723999999999998E-2</v>
      </c>
      <c r="F8" s="1"/>
      <c r="G8" s="24" t="s">
        <v>16</v>
      </c>
      <c r="H8" s="25">
        <v>1</v>
      </c>
      <c r="I8" s="1"/>
      <c r="J8" s="24" t="s">
        <v>13</v>
      </c>
      <c r="K8" s="24" t="s">
        <v>5</v>
      </c>
      <c r="L8" s="1"/>
      <c r="M8" s="1"/>
      <c r="N8" s="18"/>
    </row>
    <row r="9" spans="2:14" ht="15.75" customHeight="1" x14ac:dyDescent="0.25">
      <c r="B9" s="20"/>
      <c r="C9" s="7" t="s">
        <v>28</v>
      </c>
      <c r="D9" s="8"/>
      <c r="E9" s="12">
        <v>1.9723999999999998E-2</v>
      </c>
      <c r="F9" s="1"/>
      <c r="G9" s="1"/>
      <c r="H9" s="1"/>
      <c r="I9" s="1"/>
      <c r="J9" s="24" t="s">
        <v>11</v>
      </c>
      <c r="K9" s="29">
        <v>2.2596999999999999E-2</v>
      </c>
      <c r="L9" s="1"/>
      <c r="M9" s="1"/>
      <c r="N9" s="18"/>
    </row>
    <row r="10" spans="2:14" ht="15" customHeight="1" x14ac:dyDescent="0.25">
      <c r="B10" s="20"/>
      <c r="C10" s="5" t="s">
        <v>80</v>
      </c>
      <c r="D10" s="6" t="s">
        <v>23</v>
      </c>
      <c r="E10" s="11">
        <v>4.0679999999999996E-3</v>
      </c>
      <c r="F10" s="1"/>
      <c r="G10" s="1"/>
      <c r="H10" s="1"/>
      <c r="I10" s="1"/>
      <c r="J10" s="24" t="s">
        <v>14</v>
      </c>
      <c r="K10" s="29">
        <v>0.31021300000000002</v>
      </c>
      <c r="L10" s="1"/>
      <c r="M10" s="1"/>
      <c r="N10" s="18"/>
    </row>
    <row r="11" spans="2:14" ht="15" customHeight="1" x14ac:dyDescent="0.25">
      <c r="B11" s="20"/>
      <c r="C11" s="5" t="s">
        <v>88</v>
      </c>
      <c r="D11" s="6" t="s">
        <v>23</v>
      </c>
      <c r="E11" s="11">
        <v>2.0270000000000002E-3</v>
      </c>
      <c r="F11" s="1"/>
      <c r="G11" s="1"/>
      <c r="H11" s="1"/>
      <c r="I11" s="1"/>
      <c r="J11" s="24" t="s">
        <v>65</v>
      </c>
      <c r="K11" s="29">
        <v>1.9723999999999998E-2</v>
      </c>
      <c r="L11" s="1"/>
      <c r="M11" s="1"/>
      <c r="N11" s="18"/>
    </row>
    <row r="12" spans="2:14" ht="15.75" customHeight="1" x14ac:dyDescent="0.25">
      <c r="B12" s="20"/>
      <c r="C12" s="7" t="s">
        <v>31</v>
      </c>
      <c r="D12" s="8"/>
      <c r="E12" s="12">
        <v>6.0949999999999997E-3</v>
      </c>
      <c r="F12" s="1"/>
      <c r="G12" s="1"/>
      <c r="H12" s="1"/>
      <c r="I12" s="1"/>
      <c r="J12" s="24" t="s">
        <v>66</v>
      </c>
      <c r="K12" s="29">
        <v>0.280304</v>
      </c>
      <c r="L12" s="1"/>
      <c r="M12" s="1"/>
      <c r="N12" s="18"/>
    </row>
    <row r="13" spans="2:14" ht="15" customHeight="1" x14ac:dyDescent="0.25">
      <c r="B13" s="20"/>
      <c r="C13" s="5" t="s">
        <v>29</v>
      </c>
      <c r="D13" s="6" t="s">
        <v>33</v>
      </c>
      <c r="E13" s="11">
        <v>5.8488999999999999E-2</v>
      </c>
      <c r="F13" s="1"/>
      <c r="G13" s="1"/>
      <c r="H13" s="1"/>
      <c r="I13" s="1"/>
      <c r="J13" s="24" t="s">
        <v>67</v>
      </c>
      <c r="K13" s="29">
        <v>6.0949999999999997E-3</v>
      </c>
      <c r="L13" s="1"/>
      <c r="M13" s="1"/>
      <c r="N13" s="18"/>
    </row>
    <row r="14" spans="2:14" ht="15" customHeight="1" x14ac:dyDescent="0.25">
      <c r="B14" s="20"/>
      <c r="C14" s="5" t="s">
        <v>32</v>
      </c>
      <c r="D14" s="6" t="s">
        <v>33</v>
      </c>
      <c r="E14" s="11">
        <v>4.7043000000000001E-2</v>
      </c>
      <c r="F14" s="1"/>
      <c r="G14" s="1"/>
      <c r="H14" s="1"/>
      <c r="I14" s="1"/>
      <c r="J14" s="24" t="s">
        <v>69</v>
      </c>
      <c r="K14" s="29">
        <v>0.355931</v>
      </c>
      <c r="L14" s="1"/>
      <c r="M14" s="1"/>
      <c r="N14" s="18"/>
    </row>
    <row r="15" spans="2:14" ht="15" customHeight="1" x14ac:dyDescent="0.25">
      <c r="B15" s="20"/>
      <c r="C15" s="5" t="s">
        <v>35</v>
      </c>
      <c r="D15" s="6" t="s">
        <v>33</v>
      </c>
      <c r="E15" s="11">
        <v>2.6013000000000001E-2</v>
      </c>
      <c r="F15" s="1"/>
      <c r="G15" s="1"/>
      <c r="H15" s="1"/>
      <c r="I15" s="1"/>
      <c r="J15" s="24" t="s">
        <v>85</v>
      </c>
      <c r="K15" s="29">
        <v>5.1359999999999999E-3</v>
      </c>
      <c r="L15" s="1"/>
      <c r="M15" s="1"/>
      <c r="N15" s="18"/>
    </row>
    <row r="16" spans="2:14" ht="15" customHeight="1" x14ac:dyDescent="0.25">
      <c r="B16" s="20"/>
      <c r="C16" s="5" t="s">
        <v>48</v>
      </c>
      <c r="D16" s="6" t="s">
        <v>33</v>
      </c>
      <c r="E16" s="11">
        <v>2.3444E-2</v>
      </c>
      <c r="F16" s="1"/>
      <c r="G16" s="1"/>
      <c r="H16" s="1"/>
      <c r="I16" s="1"/>
      <c r="J16" s="1"/>
      <c r="K16" s="1"/>
      <c r="L16" s="1"/>
      <c r="M16" s="1"/>
      <c r="N16" s="18"/>
    </row>
    <row r="17" spans="2:14" ht="15" customHeight="1" x14ac:dyDescent="0.25">
      <c r="B17" s="20"/>
      <c r="C17" s="5" t="s">
        <v>44</v>
      </c>
      <c r="D17" s="6" t="s">
        <v>33</v>
      </c>
      <c r="E17" s="11">
        <v>2.2741000000000001E-2</v>
      </c>
      <c r="F17" s="1"/>
      <c r="G17" s="1"/>
      <c r="H17" s="1"/>
      <c r="I17" s="1"/>
      <c r="J17" s="1"/>
      <c r="K17" s="1"/>
      <c r="L17" s="1"/>
      <c r="M17" s="1"/>
      <c r="N17" s="18"/>
    </row>
    <row r="18" spans="2:14" ht="15" customHeight="1" x14ac:dyDescent="0.25">
      <c r="B18" s="20"/>
      <c r="C18" s="5" t="s">
        <v>41</v>
      </c>
      <c r="D18" s="6" t="s">
        <v>33</v>
      </c>
      <c r="E18" s="11">
        <v>2.2643E-2</v>
      </c>
      <c r="F18" s="1"/>
      <c r="G18" s="1"/>
      <c r="H18" s="1"/>
      <c r="I18" s="1"/>
      <c r="J18" s="1"/>
      <c r="K18" s="1"/>
      <c r="L18" s="1"/>
      <c r="M18" s="1"/>
      <c r="N18" s="18"/>
    </row>
    <row r="19" spans="2:14" ht="15" customHeight="1" x14ac:dyDescent="0.25">
      <c r="B19" s="20"/>
      <c r="C19" s="5" t="s">
        <v>46</v>
      </c>
      <c r="D19" s="6" t="s">
        <v>33</v>
      </c>
      <c r="E19" s="11">
        <v>1.9366000000000001E-2</v>
      </c>
      <c r="F19" s="1"/>
      <c r="G19" s="1"/>
      <c r="H19" s="1"/>
      <c r="I19" s="1"/>
      <c r="J19" s="1"/>
      <c r="K19" s="1"/>
      <c r="L19" s="1"/>
      <c r="M19" s="1"/>
      <c r="N19" s="18"/>
    </row>
    <row r="20" spans="2:14" ht="15" customHeight="1" x14ac:dyDescent="0.25">
      <c r="B20" s="20"/>
      <c r="C20" s="5" t="s">
        <v>37</v>
      </c>
      <c r="D20" s="6" t="s">
        <v>33</v>
      </c>
      <c r="E20" s="11">
        <v>1.525E-2</v>
      </c>
      <c r="F20" s="1"/>
      <c r="G20" s="1"/>
      <c r="H20" s="1"/>
      <c r="I20" s="1"/>
      <c r="J20" s="1"/>
      <c r="K20" s="1"/>
      <c r="L20" s="1"/>
      <c r="M20" s="1"/>
      <c r="N20" s="18"/>
    </row>
    <row r="21" spans="2:14" ht="15" customHeight="1" x14ac:dyDescent="0.25">
      <c r="B21" s="20"/>
      <c r="C21" s="5" t="s">
        <v>30</v>
      </c>
      <c r="D21" s="6" t="s">
        <v>33</v>
      </c>
      <c r="E21" s="11">
        <v>1.2699999999999999E-2</v>
      </c>
      <c r="F21" s="1"/>
      <c r="G21" s="1"/>
      <c r="H21" s="1"/>
      <c r="I21" s="1"/>
      <c r="J21" s="1"/>
      <c r="K21" s="1"/>
      <c r="L21" s="1"/>
      <c r="M21" s="1"/>
      <c r="N21" s="18"/>
    </row>
    <row r="22" spans="2:14" ht="15" customHeight="1" x14ac:dyDescent="0.25">
      <c r="B22" s="20"/>
      <c r="C22" s="5" t="s">
        <v>38</v>
      </c>
      <c r="D22" s="6" t="s">
        <v>33</v>
      </c>
      <c r="E22" s="11">
        <v>1.0248E-2</v>
      </c>
      <c r="F22" s="1"/>
      <c r="G22" s="1"/>
      <c r="H22" s="1"/>
      <c r="I22" s="1"/>
      <c r="J22" s="1"/>
      <c r="K22" s="1"/>
      <c r="L22" s="1"/>
      <c r="M22" s="1"/>
      <c r="N22" s="18"/>
    </row>
    <row r="23" spans="2:14" ht="15" customHeight="1" x14ac:dyDescent="0.25">
      <c r="B23" s="20"/>
      <c r="C23" s="5" t="s">
        <v>43</v>
      </c>
      <c r="D23" s="6" t="s">
        <v>33</v>
      </c>
      <c r="E23" s="11">
        <v>9.0449999999999992E-3</v>
      </c>
      <c r="F23" s="1"/>
      <c r="G23" s="1"/>
      <c r="H23" s="1"/>
      <c r="I23" s="1"/>
      <c r="J23" s="1"/>
      <c r="K23" s="1"/>
      <c r="L23" s="1"/>
      <c r="M23" s="1"/>
      <c r="N23" s="18"/>
    </row>
    <row r="24" spans="2:14" ht="15" customHeight="1" x14ac:dyDescent="0.25">
      <c r="B24" s="20"/>
      <c r="C24" s="5" t="s">
        <v>40</v>
      </c>
      <c r="D24" s="6" t="s">
        <v>33</v>
      </c>
      <c r="E24" s="11">
        <v>8.7569999999999992E-3</v>
      </c>
      <c r="F24" s="1"/>
      <c r="G24" s="44" t="s">
        <v>18</v>
      </c>
      <c r="H24" s="45"/>
      <c r="I24" s="45"/>
      <c r="J24" s="45"/>
      <c r="K24" s="45"/>
      <c r="L24" s="26">
        <v>1.7</v>
      </c>
      <c r="M24" s="27"/>
      <c r="N24" s="28"/>
    </row>
    <row r="25" spans="2:14" ht="15" customHeight="1" x14ac:dyDescent="0.25">
      <c r="B25" s="20"/>
      <c r="C25" s="5" t="s">
        <v>34</v>
      </c>
      <c r="D25" s="6" t="s">
        <v>33</v>
      </c>
      <c r="E25" s="11">
        <v>4.1479999999999998E-3</v>
      </c>
      <c r="F25" s="1"/>
      <c r="G25" s="1"/>
      <c r="H25" s="1"/>
      <c r="I25" s="1"/>
      <c r="J25" s="1"/>
      <c r="K25" s="1"/>
      <c r="L25" s="1"/>
      <c r="M25" s="1"/>
      <c r="N25" s="18"/>
    </row>
    <row r="26" spans="2:14" ht="15" customHeight="1" x14ac:dyDescent="0.25">
      <c r="B26" s="20"/>
      <c r="C26" s="5" t="s">
        <v>25</v>
      </c>
      <c r="D26" s="6" t="s">
        <v>33</v>
      </c>
      <c r="E26" s="11">
        <v>4.17E-4</v>
      </c>
      <c r="F26" s="1"/>
      <c r="G26" s="44" t="s">
        <v>19</v>
      </c>
      <c r="H26" s="45"/>
      <c r="I26" s="45"/>
      <c r="J26" s="45"/>
      <c r="K26" s="45"/>
      <c r="L26" s="45"/>
      <c r="M26" s="45"/>
      <c r="N26" s="46"/>
    </row>
    <row r="27" spans="2:14" ht="15.75" customHeight="1" x14ac:dyDescent="0.25">
      <c r="B27" s="20"/>
      <c r="C27" s="7" t="s">
        <v>52</v>
      </c>
      <c r="D27" s="8"/>
      <c r="E27" s="12">
        <v>0.280304</v>
      </c>
      <c r="F27" s="1"/>
      <c r="G27" s="1"/>
      <c r="H27" s="1"/>
      <c r="I27" s="1"/>
      <c r="J27" s="1"/>
      <c r="K27" s="1"/>
      <c r="L27" s="1"/>
      <c r="M27" s="1"/>
      <c r="N27" s="18"/>
    </row>
    <row r="28" spans="2:14" ht="15" customHeight="1" x14ac:dyDescent="0.25">
      <c r="B28" s="20"/>
      <c r="C28" s="5" t="s">
        <v>75</v>
      </c>
      <c r="D28" s="6" t="s">
        <v>56</v>
      </c>
      <c r="E28" s="11">
        <v>0.32941799999999999</v>
      </c>
      <c r="F28" s="1"/>
      <c r="G28" s="1"/>
      <c r="H28" s="1"/>
      <c r="I28" s="1"/>
      <c r="J28" s="1"/>
      <c r="K28" s="1"/>
      <c r="L28" s="1"/>
      <c r="M28" s="1"/>
      <c r="N28" s="18"/>
    </row>
    <row r="29" spans="2:14" ht="15" customHeight="1" x14ac:dyDescent="0.25">
      <c r="B29" s="20"/>
      <c r="C29" s="5" t="s">
        <v>89</v>
      </c>
      <c r="D29" s="6" t="s">
        <v>56</v>
      </c>
      <c r="E29" s="11">
        <v>1.3167E-2</v>
      </c>
      <c r="F29" s="1"/>
      <c r="G29" s="1"/>
      <c r="H29" s="1"/>
      <c r="I29" s="1"/>
      <c r="J29" s="1"/>
      <c r="K29" s="1"/>
      <c r="L29" s="1"/>
      <c r="M29" s="1"/>
      <c r="N29" s="18"/>
    </row>
    <row r="30" spans="2:14" ht="15" customHeight="1" x14ac:dyDescent="0.25">
      <c r="B30" s="20"/>
      <c r="C30" s="5" t="s">
        <v>74</v>
      </c>
      <c r="D30" s="6" t="s">
        <v>56</v>
      </c>
      <c r="E30" s="11">
        <v>1.3047E-2</v>
      </c>
      <c r="F30" s="1"/>
      <c r="G30" s="1"/>
      <c r="H30" s="1"/>
      <c r="I30" s="1"/>
      <c r="J30" s="1"/>
      <c r="K30" s="1"/>
      <c r="L30" s="1"/>
      <c r="M30" s="1"/>
      <c r="N30" s="18"/>
    </row>
    <row r="31" spans="2:14" ht="15" customHeight="1" x14ac:dyDescent="0.25">
      <c r="B31" s="20"/>
      <c r="C31" s="5" t="s">
        <v>90</v>
      </c>
      <c r="D31" s="6" t="s">
        <v>56</v>
      </c>
      <c r="E31" s="11">
        <v>2.1100000000000001E-4</v>
      </c>
      <c r="F31" s="1"/>
      <c r="G31" s="1"/>
      <c r="H31" s="1"/>
      <c r="I31" s="1"/>
      <c r="J31" s="1"/>
      <c r="K31" s="1"/>
      <c r="L31" s="1"/>
      <c r="M31" s="1"/>
      <c r="N31" s="18"/>
    </row>
    <row r="32" spans="2:14" ht="15" customHeight="1" x14ac:dyDescent="0.25">
      <c r="B32" s="20"/>
      <c r="C32" s="5" t="s">
        <v>82</v>
      </c>
      <c r="D32" s="6" t="s">
        <v>56</v>
      </c>
      <c r="E32" s="11">
        <v>8.7999999999999998E-5</v>
      </c>
      <c r="F32" s="1"/>
      <c r="G32" s="1"/>
      <c r="H32" s="1"/>
      <c r="I32" s="1"/>
      <c r="J32" s="1"/>
      <c r="K32" s="1"/>
      <c r="L32" s="1"/>
      <c r="M32" s="1"/>
      <c r="N32" s="18"/>
    </row>
    <row r="33" spans="2:14" ht="15.75" customHeight="1" x14ac:dyDescent="0.25">
      <c r="B33" s="20"/>
      <c r="C33" s="7" t="s">
        <v>62</v>
      </c>
      <c r="D33" s="8"/>
      <c r="E33" s="12">
        <v>0.355931</v>
      </c>
      <c r="F33" s="1"/>
      <c r="G33" s="1"/>
      <c r="H33" s="1"/>
      <c r="I33" s="1"/>
      <c r="J33" s="1"/>
      <c r="K33" s="1"/>
      <c r="L33" s="1"/>
      <c r="M33" s="1"/>
      <c r="N33" s="18"/>
    </row>
    <row r="34" spans="2:14" ht="15" customHeight="1" x14ac:dyDescent="0.25">
      <c r="B34" s="20"/>
      <c r="C34" s="5" t="s">
        <v>229</v>
      </c>
      <c r="D34" s="6" t="s">
        <v>83</v>
      </c>
      <c r="E34" s="11">
        <v>5.1359999999999999E-3</v>
      </c>
      <c r="F34" s="1"/>
      <c r="G34" s="1"/>
      <c r="H34" s="1"/>
      <c r="I34" s="1"/>
      <c r="J34" s="1"/>
      <c r="K34" s="1"/>
      <c r="L34" s="1"/>
      <c r="M34" s="1"/>
      <c r="N34" s="18"/>
    </row>
    <row r="35" spans="2:14" ht="15.75" customHeight="1" x14ac:dyDescent="0.25">
      <c r="B35" s="20"/>
      <c r="C35" s="7" t="s">
        <v>84</v>
      </c>
      <c r="D35" s="8"/>
      <c r="E35" s="12">
        <v>5.1359999999999999E-3</v>
      </c>
      <c r="F35" s="1"/>
      <c r="G35" s="1"/>
      <c r="H35" s="1"/>
      <c r="I35" s="1"/>
      <c r="J35" s="1"/>
      <c r="K35" s="1"/>
      <c r="L35" s="1"/>
      <c r="M35" s="1"/>
      <c r="N35" s="18"/>
    </row>
    <row r="36" spans="2:14" ht="15" customHeight="1" x14ac:dyDescent="0.25">
      <c r="B36" s="20"/>
      <c r="C36" s="5" t="s">
        <v>9</v>
      </c>
      <c r="D36" s="6"/>
      <c r="E36" s="11">
        <v>0.31021300000000002</v>
      </c>
      <c r="F36" s="1"/>
      <c r="G36" s="1"/>
      <c r="H36" s="1"/>
      <c r="I36" s="1"/>
      <c r="J36" s="1"/>
      <c r="K36" s="1"/>
      <c r="L36" s="1"/>
      <c r="M36" s="1"/>
      <c r="N36" s="18"/>
    </row>
    <row r="37" spans="2:14" ht="15.75" customHeight="1" x14ac:dyDescent="0.25">
      <c r="B37" s="20"/>
      <c r="C37" s="7" t="s">
        <v>10</v>
      </c>
      <c r="D37" s="8"/>
      <c r="E37" s="12">
        <v>0.31021300000000002</v>
      </c>
      <c r="F37" s="1"/>
      <c r="G37" s="1"/>
      <c r="H37" s="1"/>
      <c r="I37" s="1"/>
      <c r="J37" s="1"/>
      <c r="K37" s="1"/>
      <c r="L37" s="1"/>
      <c r="M37" s="1"/>
      <c r="N37" s="18"/>
    </row>
    <row r="38" spans="2:14" ht="15" customHeight="1" x14ac:dyDescent="0.25">
      <c r="B38" s="20"/>
      <c r="C38" s="5"/>
      <c r="D38" s="6"/>
      <c r="E38" s="11"/>
      <c r="F38" s="1"/>
      <c r="G38" s="1"/>
      <c r="H38" s="1"/>
      <c r="I38" s="1"/>
      <c r="J38" s="1"/>
      <c r="K38" s="1"/>
      <c r="L38" s="1"/>
      <c r="M38" s="1"/>
      <c r="N38" s="18"/>
    </row>
    <row r="39" spans="2:14" ht="15.75" customHeight="1" x14ac:dyDescent="0.25">
      <c r="B39" s="20"/>
      <c r="C39" s="7" t="s">
        <v>11</v>
      </c>
      <c r="D39" s="8"/>
      <c r="E39" s="12">
        <v>2.2596999999999999E-2</v>
      </c>
      <c r="F39" s="1"/>
      <c r="G39" s="1"/>
      <c r="H39" s="1"/>
      <c r="I39" s="1"/>
      <c r="J39" s="1"/>
      <c r="K39" s="1"/>
      <c r="L39" s="1"/>
      <c r="M39" s="1"/>
      <c r="N39" s="18"/>
    </row>
    <row r="40" spans="2:14" ht="15" customHeight="1" x14ac:dyDescent="0.25">
      <c r="B40" s="20"/>
      <c r="C40" s="5"/>
      <c r="D40" s="6"/>
      <c r="E40" s="11"/>
      <c r="F40" s="1"/>
      <c r="G40" s="1"/>
      <c r="H40" s="1"/>
      <c r="I40" s="1"/>
      <c r="J40" s="1"/>
      <c r="K40" s="1"/>
      <c r="L40" s="1"/>
      <c r="M40" s="1"/>
      <c r="N40" s="18"/>
    </row>
    <row r="41" spans="2:14" ht="15" customHeight="1" x14ac:dyDescent="0.25">
      <c r="B41" s="20"/>
      <c r="C41" s="9" t="s">
        <v>12</v>
      </c>
      <c r="D41" s="10"/>
      <c r="E41" s="13">
        <v>1</v>
      </c>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x14ac:dyDescent="0.25">
      <c r="B43" s="20"/>
      <c r="C43" s="1" t="s">
        <v>228</v>
      </c>
      <c r="D43" s="1"/>
      <c r="E43" s="1"/>
      <c r="F43" s="1"/>
      <c r="G43" s="1"/>
      <c r="H43" s="1"/>
      <c r="I43" s="1"/>
      <c r="J43" s="1"/>
      <c r="K43" s="1"/>
      <c r="L43" s="1"/>
      <c r="M43" s="1"/>
      <c r="N43" s="18"/>
    </row>
    <row r="44" spans="2:14" ht="15" customHeight="1" x14ac:dyDescent="0.25">
      <c r="B44" s="20"/>
      <c r="C44" s="1"/>
      <c r="D44" s="1"/>
      <c r="E44" s="1"/>
      <c r="F44" s="1"/>
      <c r="G44" s="1"/>
      <c r="H44" s="1"/>
      <c r="I44" s="1"/>
      <c r="J44" s="1"/>
      <c r="K44" s="1"/>
      <c r="L44" s="1"/>
      <c r="M44" s="1"/>
      <c r="N44" s="18"/>
    </row>
    <row r="45" spans="2:14" ht="15" customHeight="1" x14ac:dyDescent="0.25">
      <c r="B45" s="20"/>
      <c r="C45" s="1"/>
      <c r="D45" s="1"/>
      <c r="E45" s="1"/>
      <c r="F45" s="1"/>
      <c r="G45" s="1"/>
      <c r="H45" s="1"/>
      <c r="I45" s="1"/>
      <c r="J45" s="1"/>
      <c r="K45" s="1"/>
      <c r="L45" s="1"/>
      <c r="M45" s="1"/>
      <c r="N45" s="18"/>
    </row>
    <row r="46" spans="2:14" ht="15" customHeight="1" thickBot="1" x14ac:dyDescent="0.3">
      <c r="B46" s="21"/>
      <c r="C46" s="22"/>
      <c r="D46" s="22"/>
      <c r="E46" s="22"/>
      <c r="F46" s="22"/>
      <c r="G46" s="22"/>
      <c r="H46" s="22"/>
      <c r="I46" s="22"/>
      <c r="J46" s="22"/>
      <c r="K46" s="22"/>
      <c r="L46" s="22"/>
      <c r="M46" s="22"/>
      <c r="N46" s="23"/>
    </row>
    <row r="47" spans="2:14" ht="15" customHeight="1" thickBot="1" x14ac:dyDescent="0.3"/>
    <row r="48" spans="2:14" ht="115.5" customHeight="1" thickBot="1" x14ac:dyDescent="0.3">
      <c r="B48" s="36" t="s">
        <v>163</v>
      </c>
      <c r="C48" s="37"/>
      <c r="D48" s="37"/>
      <c r="E48" s="37"/>
      <c r="F48" s="37"/>
      <c r="G48" s="37"/>
      <c r="H48" s="37"/>
      <c r="I48" s="37"/>
      <c r="J48" s="37"/>
      <c r="K48" s="37"/>
      <c r="L48" s="37"/>
      <c r="M48" s="37"/>
      <c r="N48" s="38"/>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mergeCells count="6">
    <mergeCell ref="B48:N48"/>
    <mergeCell ref="C3:N3"/>
    <mergeCell ref="D5:E5"/>
    <mergeCell ref="G7:N7"/>
    <mergeCell ref="G24:K24"/>
    <mergeCell ref="G26:N26"/>
  </mergeCells>
  <pageMargins left="0.7" right="0.7" top="0.75" bottom="0.75" header="0.3" footer="0.3"/>
  <pageSetup scale="57" orientation="landscape" horizontalDpi="1200" verticalDpi="12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02B2F-C2B0-4B11-980A-E9A918069A9D}">
  <sheetPr>
    <pageSetUpPr fitToPage="1"/>
  </sheetPr>
  <dimension ref="B1:N95"/>
  <sheetViews>
    <sheetView showGridLines="0" view="pageBreakPreview" zoomScale="60" zoomScaleNormal="75" workbookViewId="0">
      <selection activeCell="R24" sqref="R24"/>
    </sheetView>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9" t="s">
        <v>20</v>
      </c>
      <c r="D3" s="40"/>
      <c r="E3" s="40"/>
      <c r="F3" s="40"/>
      <c r="G3" s="40"/>
      <c r="H3" s="40"/>
      <c r="I3" s="40"/>
      <c r="J3" s="40"/>
      <c r="K3" s="40"/>
      <c r="L3" s="40"/>
      <c r="M3" s="40"/>
      <c r="N3" s="41"/>
    </row>
    <row r="4" spans="2:14" ht="15.75" customHeight="1" x14ac:dyDescent="0.25">
      <c r="B4" s="20"/>
      <c r="C4" s="14"/>
      <c r="D4" s="1"/>
      <c r="E4" s="1"/>
      <c r="F4" s="1"/>
      <c r="G4" s="1"/>
      <c r="H4" s="1"/>
      <c r="I4" s="1"/>
      <c r="J4" s="1"/>
      <c r="K4" s="1"/>
      <c r="L4" s="1"/>
      <c r="M4" s="1"/>
      <c r="N4" s="18"/>
    </row>
    <row r="5" spans="2:14" ht="18" customHeight="1" x14ac:dyDescent="0.25">
      <c r="B5" s="20"/>
      <c r="C5" s="15" t="s">
        <v>1</v>
      </c>
      <c r="D5" s="42" t="s">
        <v>21</v>
      </c>
      <c r="E5" s="4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4" t="s">
        <v>17</v>
      </c>
      <c r="H7" s="45"/>
      <c r="I7" s="45"/>
      <c r="J7" s="45"/>
      <c r="K7" s="45"/>
      <c r="L7" s="45"/>
      <c r="M7" s="45"/>
      <c r="N7" s="46"/>
    </row>
    <row r="8" spans="2:14" ht="15" customHeight="1" x14ac:dyDescent="0.25">
      <c r="B8" s="20"/>
      <c r="C8" s="5" t="s">
        <v>22</v>
      </c>
      <c r="D8" s="6" t="s">
        <v>23</v>
      </c>
      <c r="E8" s="11">
        <v>4.0196999999999997E-2</v>
      </c>
      <c r="F8" s="1"/>
      <c r="G8" s="24" t="s">
        <v>16</v>
      </c>
      <c r="H8" s="25">
        <v>1</v>
      </c>
      <c r="I8" s="1"/>
      <c r="J8" s="24" t="s">
        <v>13</v>
      </c>
      <c r="K8" s="24" t="s">
        <v>5</v>
      </c>
      <c r="L8" s="1"/>
      <c r="M8" s="1"/>
      <c r="N8" s="18"/>
    </row>
    <row r="9" spans="2:14" ht="15" customHeight="1" x14ac:dyDescent="0.25">
      <c r="B9" s="20"/>
      <c r="C9" s="5" t="s">
        <v>24</v>
      </c>
      <c r="D9" s="6" t="s">
        <v>23</v>
      </c>
      <c r="E9" s="11">
        <v>2.4806000000000002E-2</v>
      </c>
      <c r="F9" s="1"/>
      <c r="G9" s="1"/>
      <c r="H9" s="1"/>
      <c r="I9" s="1"/>
      <c r="J9" s="24" t="s">
        <v>11</v>
      </c>
      <c r="K9" s="29">
        <v>2.6067E-2</v>
      </c>
      <c r="L9" s="1"/>
      <c r="M9" s="1"/>
      <c r="N9" s="18"/>
    </row>
    <row r="10" spans="2:14" ht="15" customHeight="1" x14ac:dyDescent="0.25">
      <c r="B10" s="20"/>
      <c r="C10" s="5" t="s">
        <v>25</v>
      </c>
      <c r="D10" s="6" t="s">
        <v>23</v>
      </c>
      <c r="E10" s="11">
        <v>1.3365E-2</v>
      </c>
      <c r="F10" s="1"/>
      <c r="G10" s="1"/>
      <c r="H10" s="1"/>
      <c r="I10" s="1"/>
      <c r="J10" s="24" t="s">
        <v>14</v>
      </c>
      <c r="K10" s="29">
        <v>3.0894000000000001E-2</v>
      </c>
      <c r="L10" s="1"/>
      <c r="M10" s="1"/>
      <c r="N10" s="18"/>
    </row>
    <row r="11" spans="2:14" ht="15" customHeight="1" x14ac:dyDescent="0.25">
      <c r="B11" s="20"/>
      <c r="C11" s="5" t="s">
        <v>26</v>
      </c>
      <c r="D11" s="6" t="s">
        <v>23</v>
      </c>
      <c r="E11" s="11">
        <v>1.1030999999999999E-2</v>
      </c>
      <c r="F11" s="1"/>
      <c r="G11" s="1"/>
      <c r="H11" s="1"/>
      <c r="I11" s="1"/>
      <c r="J11" s="24" t="s">
        <v>65</v>
      </c>
      <c r="K11" s="29">
        <v>9.7604999999999997E-2</v>
      </c>
      <c r="L11" s="1"/>
      <c r="M11" s="1"/>
      <c r="N11" s="18"/>
    </row>
    <row r="12" spans="2:14" ht="15" customHeight="1" x14ac:dyDescent="0.25">
      <c r="B12" s="20"/>
      <c r="C12" s="5" t="s">
        <v>27</v>
      </c>
      <c r="D12" s="6" t="s">
        <v>23</v>
      </c>
      <c r="E12" s="11">
        <v>8.2059999999999998E-3</v>
      </c>
      <c r="F12" s="1"/>
      <c r="G12" s="1"/>
      <c r="H12" s="1"/>
      <c r="I12" s="1"/>
      <c r="J12" s="24" t="s">
        <v>66</v>
      </c>
      <c r="K12" s="29">
        <v>0.73440499999999997</v>
      </c>
      <c r="L12" s="1"/>
      <c r="M12" s="1"/>
      <c r="N12" s="18"/>
    </row>
    <row r="13" spans="2:14" ht="15.75" customHeight="1" x14ac:dyDescent="0.25">
      <c r="B13" s="20"/>
      <c r="C13" s="7" t="s">
        <v>28</v>
      </c>
      <c r="D13" s="8"/>
      <c r="E13" s="12">
        <v>9.7604999999999997E-2</v>
      </c>
      <c r="F13" s="1"/>
      <c r="G13" s="1"/>
      <c r="H13" s="1"/>
      <c r="I13" s="1"/>
      <c r="J13" s="24" t="s">
        <v>67</v>
      </c>
      <c r="K13" s="29">
        <v>1.085E-2</v>
      </c>
      <c r="L13" s="1"/>
      <c r="M13" s="1"/>
      <c r="N13" s="18"/>
    </row>
    <row r="14" spans="2:14" ht="15" customHeight="1" x14ac:dyDescent="0.25">
      <c r="B14" s="20"/>
      <c r="C14" s="5" t="s">
        <v>29</v>
      </c>
      <c r="D14" s="6" t="s">
        <v>23</v>
      </c>
      <c r="E14" s="11">
        <v>5.4689999999999999E-3</v>
      </c>
      <c r="F14" s="1"/>
      <c r="G14" s="1"/>
      <c r="H14" s="1"/>
      <c r="I14" s="1"/>
      <c r="J14" s="24" t="s">
        <v>68</v>
      </c>
      <c r="K14" s="29">
        <v>1.6739999999999999E-3</v>
      </c>
      <c r="L14" s="1"/>
      <c r="M14" s="1"/>
      <c r="N14" s="18"/>
    </row>
    <row r="15" spans="2:14" ht="15" customHeight="1" x14ac:dyDescent="0.25">
      <c r="B15" s="20"/>
      <c r="C15" s="5" t="s">
        <v>30</v>
      </c>
      <c r="D15" s="6" t="s">
        <v>23</v>
      </c>
      <c r="E15" s="11">
        <v>5.3810000000000004E-3</v>
      </c>
      <c r="F15" s="1"/>
      <c r="G15" s="1"/>
      <c r="H15" s="1"/>
      <c r="I15" s="1"/>
      <c r="J15" s="24" t="s">
        <v>69</v>
      </c>
      <c r="K15" s="29">
        <v>7.6287999999999995E-2</v>
      </c>
      <c r="L15" s="1"/>
      <c r="M15" s="1"/>
      <c r="N15" s="18"/>
    </row>
    <row r="16" spans="2:14" ht="15.75" customHeight="1" x14ac:dyDescent="0.25">
      <c r="B16" s="20"/>
      <c r="C16" s="7" t="s">
        <v>31</v>
      </c>
      <c r="D16" s="8"/>
      <c r="E16" s="12">
        <v>1.085E-2</v>
      </c>
      <c r="F16" s="1"/>
      <c r="G16" s="1"/>
      <c r="H16" s="1"/>
      <c r="I16" s="1"/>
      <c r="J16" s="24" t="s">
        <v>70</v>
      </c>
      <c r="K16" s="29">
        <v>2.2065000000000001E-2</v>
      </c>
      <c r="L16" s="1"/>
      <c r="M16" s="1"/>
      <c r="N16" s="18"/>
    </row>
    <row r="17" spans="2:14" ht="15" customHeight="1" x14ac:dyDescent="0.25">
      <c r="B17" s="20"/>
      <c r="C17" s="5" t="s">
        <v>32</v>
      </c>
      <c r="D17" s="6" t="s">
        <v>33</v>
      </c>
      <c r="E17" s="11">
        <v>0.10781</v>
      </c>
      <c r="F17" s="1"/>
      <c r="G17" s="1"/>
      <c r="H17" s="1"/>
      <c r="I17" s="1"/>
      <c r="J17" s="24" t="s">
        <v>71</v>
      </c>
      <c r="K17" s="29">
        <v>1.5200000000000001E-4</v>
      </c>
      <c r="L17" s="1"/>
      <c r="M17" s="1"/>
      <c r="N17" s="18"/>
    </row>
    <row r="18" spans="2:14" ht="15" customHeight="1" x14ac:dyDescent="0.25">
      <c r="B18" s="20"/>
      <c r="C18" s="5" t="s">
        <v>29</v>
      </c>
      <c r="D18" s="6" t="s">
        <v>33</v>
      </c>
      <c r="E18" s="11">
        <v>7.5595999999999997E-2</v>
      </c>
      <c r="F18" s="1"/>
      <c r="G18" s="1"/>
      <c r="H18" s="1"/>
      <c r="I18" s="1"/>
      <c r="J18" s="1"/>
      <c r="K18" s="1"/>
      <c r="L18" s="1"/>
      <c r="M18" s="1"/>
      <c r="N18" s="18"/>
    </row>
    <row r="19" spans="2:14" ht="15" customHeight="1" x14ac:dyDescent="0.25">
      <c r="B19" s="20"/>
      <c r="C19" s="5" t="s">
        <v>34</v>
      </c>
      <c r="D19" s="6" t="s">
        <v>33</v>
      </c>
      <c r="E19" s="11">
        <v>6.4513000000000001E-2</v>
      </c>
      <c r="F19" s="1"/>
      <c r="G19" s="1"/>
      <c r="H19" s="1"/>
      <c r="I19" s="1"/>
      <c r="J19" s="1"/>
      <c r="K19" s="1"/>
      <c r="L19" s="1"/>
      <c r="M19" s="1"/>
      <c r="N19" s="18"/>
    </row>
    <row r="20" spans="2:14" ht="15" customHeight="1" x14ac:dyDescent="0.25">
      <c r="B20" s="20"/>
      <c r="C20" s="5" t="s">
        <v>35</v>
      </c>
      <c r="D20" s="6" t="s">
        <v>33</v>
      </c>
      <c r="E20" s="11">
        <v>6.2806000000000001E-2</v>
      </c>
      <c r="F20" s="1"/>
      <c r="G20" s="1"/>
      <c r="H20" s="1"/>
      <c r="I20" s="1"/>
      <c r="J20" s="1"/>
      <c r="K20" s="1"/>
      <c r="L20" s="1"/>
      <c r="M20" s="1"/>
      <c r="N20" s="18"/>
    </row>
    <row r="21" spans="2:14" ht="15" customHeight="1" x14ac:dyDescent="0.25">
      <c r="B21" s="20"/>
      <c r="C21" s="5" t="s">
        <v>24</v>
      </c>
      <c r="D21" s="6" t="s">
        <v>33</v>
      </c>
      <c r="E21" s="11">
        <v>5.5943E-2</v>
      </c>
      <c r="F21" s="1"/>
      <c r="G21" s="1"/>
      <c r="H21" s="1"/>
      <c r="I21" s="1"/>
      <c r="J21" s="1"/>
      <c r="K21" s="1"/>
      <c r="L21" s="1"/>
      <c r="M21" s="1"/>
      <c r="N21" s="18"/>
    </row>
    <row r="22" spans="2:14" ht="15" customHeight="1" x14ac:dyDescent="0.25">
      <c r="B22" s="20"/>
      <c r="C22" s="5" t="s">
        <v>36</v>
      </c>
      <c r="D22" s="6" t="s">
        <v>33</v>
      </c>
      <c r="E22" s="11">
        <v>5.2664999999999997E-2</v>
      </c>
      <c r="F22" s="1"/>
      <c r="G22" s="1"/>
      <c r="H22" s="1"/>
      <c r="I22" s="1"/>
      <c r="J22" s="1"/>
      <c r="K22" s="1"/>
      <c r="L22" s="1"/>
      <c r="M22" s="1"/>
      <c r="N22" s="18"/>
    </row>
    <row r="23" spans="2:14" ht="15" customHeight="1" x14ac:dyDescent="0.25">
      <c r="B23" s="20"/>
      <c r="C23" s="5" t="s">
        <v>37</v>
      </c>
      <c r="D23" s="6" t="s">
        <v>33</v>
      </c>
      <c r="E23" s="11">
        <v>5.0157E-2</v>
      </c>
      <c r="F23" s="1"/>
      <c r="G23" s="1"/>
      <c r="H23" s="1"/>
      <c r="I23" s="1"/>
      <c r="J23" s="1"/>
      <c r="K23" s="1"/>
      <c r="L23" s="1"/>
      <c r="M23" s="1"/>
      <c r="N23" s="18"/>
    </row>
    <row r="24" spans="2:14" ht="15" customHeight="1" x14ac:dyDescent="0.25">
      <c r="B24" s="20"/>
      <c r="C24" s="5" t="s">
        <v>38</v>
      </c>
      <c r="D24" s="6" t="s">
        <v>33</v>
      </c>
      <c r="E24" s="11">
        <v>3.9452000000000001E-2</v>
      </c>
      <c r="F24" s="1"/>
      <c r="G24" s="44" t="s">
        <v>18</v>
      </c>
      <c r="H24" s="45"/>
      <c r="I24" s="45"/>
      <c r="J24" s="45"/>
      <c r="K24" s="45"/>
      <c r="L24" s="26">
        <v>1.0900000000000001</v>
      </c>
      <c r="M24" s="27"/>
      <c r="N24" s="28"/>
    </row>
    <row r="25" spans="2:14" ht="15" customHeight="1" x14ac:dyDescent="0.25">
      <c r="B25" s="20"/>
      <c r="C25" s="5" t="s">
        <v>30</v>
      </c>
      <c r="D25" s="6" t="s">
        <v>33</v>
      </c>
      <c r="E25" s="11">
        <v>3.2752000000000003E-2</v>
      </c>
      <c r="F25" s="1"/>
      <c r="G25" s="1"/>
      <c r="H25" s="1"/>
      <c r="I25" s="1"/>
      <c r="J25" s="1"/>
      <c r="K25" s="1"/>
      <c r="L25" s="1"/>
      <c r="M25" s="1"/>
      <c r="N25" s="18"/>
    </row>
    <row r="26" spans="2:14" ht="15" customHeight="1" x14ac:dyDescent="0.25">
      <c r="B26" s="20"/>
      <c r="C26" s="5" t="s">
        <v>39</v>
      </c>
      <c r="D26" s="6" t="s">
        <v>33</v>
      </c>
      <c r="E26" s="11">
        <v>2.8981E-2</v>
      </c>
      <c r="F26" s="1"/>
      <c r="G26" s="44" t="s">
        <v>19</v>
      </c>
      <c r="H26" s="45"/>
      <c r="I26" s="45"/>
      <c r="J26" s="45"/>
      <c r="K26" s="45"/>
      <c r="L26" s="45"/>
      <c r="M26" s="45"/>
      <c r="N26" s="46"/>
    </row>
    <row r="27" spans="2:14" ht="15" customHeight="1" x14ac:dyDescent="0.25">
      <c r="B27" s="20"/>
      <c r="C27" s="5" t="s">
        <v>25</v>
      </c>
      <c r="D27" s="6" t="s">
        <v>33</v>
      </c>
      <c r="E27" s="11">
        <v>2.7605000000000001E-2</v>
      </c>
      <c r="F27" s="1"/>
      <c r="G27" s="1"/>
      <c r="H27" s="1"/>
      <c r="I27" s="1"/>
      <c r="J27" s="1"/>
      <c r="K27" s="1"/>
      <c r="L27" s="1"/>
      <c r="M27" s="1"/>
      <c r="N27" s="18"/>
    </row>
    <row r="28" spans="2:14" ht="15" customHeight="1" x14ac:dyDescent="0.25">
      <c r="B28" s="20"/>
      <c r="C28" s="5" t="s">
        <v>40</v>
      </c>
      <c r="D28" s="6" t="s">
        <v>33</v>
      </c>
      <c r="E28" s="11">
        <v>2.0036999999999999E-2</v>
      </c>
      <c r="F28" s="1"/>
      <c r="G28" s="1"/>
      <c r="H28" s="1"/>
      <c r="I28" s="1"/>
      <c r="J28" s="1"/>
      <c r="K28" s="1"/>
      <c r="L28" s="1"/>
      <c r="M28" s="1"/>
      <c r="N28" s="18"/>
    </row>
    <row r="29" spans="2:14" ht="15" customHeight="1" x14ac:dyDescent="0.25">
      <c r="B29" s="20"/>
      <c r="C29" s="5" t="s">
        <v>41</v>
      </c>
      <c r="D29" s="6" t="s">
        <v>33</v>
      </c>
      <c r="E29" s="11">
        <v>1.9226E-2</v>
      </c>
      <c r="F29" s="1"/>
      <c r="G29" s="1"/>
      <c r="H29" s="1"/>
      <c r="I29" s="1"/>
      <c r="J29" s="1"/>
      <c r="K29" s="1"/>
      <c r="L29" s="1"/>
      <c r="M29" s="1"/>
      <c r="N29" s="18"/>
    </row>
    <row r="30" spans="2:14" ht="15" customHeight="1" x14ac:dyDescent="0.25">
      <c r="B30" s="20"/>
      <c r="C30" s="5" t="s">
        <v>42</v>
      </c>
      <c r="D30" s="6" t="s">
        <v>33</v>
      </c>
      <c r="E30" s="11">
        <v>1.6891E-2</v>
      </c>
      <c r="F30" s="1"/>
      <c r="G30" s="1"/>
      <c r="H30" s="1"/>
      <c r="I30" s="1"/>
      <c r="J30" s="1"/>
      <c r="K30" s="1"/>
      <c r="L30" s="1"/>
      <c r="M30" s="1"/>
      <c r="N30" s="18"/>
    </row>
    <row r="31" spans="2:14" ht="15" customHeight="1" x14ac:dyDescent="0.25">
      <c r="B31" s="20"/>
      <c r="C31" s="5" t="s">
        <v>43</v>
      </c>
      <c r="D31" s="6" t="s">
        <v>33</v>
      </c>
      <c r="E31" s="11">
        <v>1.6E-2</v>
      </c>
      <c r="F31" s="1"/>
      <c r="G31" s="1"/>
      <c r="H31" s="1"/>
      <c r="I31" s="1"/>
      <c r="J31" s="1"/>
      <c r="K31" s="1"/>
      <c r="L31" s="1"/>
      <c r="M31" s="1"/>
      <c r="N31" s="18"/>
    </row>
    <row r="32" spans="2:14" ht="15" customHeight="1" x14ac:dyDescent="0.25">
      <c r="B32" s="20"/>
      <c r="C32" s="5" t="s">
        <v>44</v>
      </c>
      <c r="D32" s="6" t="s">
        <v>33</v>
      </c>
      <c r="E32" s="11">
        <v>1.4383E-2</v>
      </c>
      <c r="F32" s="1"/>
      <c r="G32" s="1"/>
      <c r="H32" s="1"/>
      <c r="I32" s="1"/>
      <c r="J32" s="1"/>
      <c r="K32" s="1"/>
      <c r="L32" s="1"/>
      <c r="M32" s="1"/>
      <c r="N32" s="18"/>
    </row>
    <row r="33" spans="2:14" ht="15" customHeight="1" x14ac:dyDescent="0.25">
      <c r="B33" s="20"/>
      <c r="C33" s="5" t="s">
        <v>45</v>
      </c>
      <c r="D33" s="6" t="s">
        <v>33</v>
      </c>
      <c r="E33" s="11">
        <v>1.2617E-2</v>
      </c>
      <c r="F33" s="1"/>
      <c r="G33" s="1"/>
      <c r="H33" s="1"/>
      <c r="I33" s="1"/>
      <c r="J33" s="1"/>
      <c r="K33" s="1"/>
      <c r="L33" s="1"/>
      <c r="M33" s="1"/>
      <c r="N33" s="18"/>
    </row>
    <row r="34" spans="2:14" ht="15" customHeight="1" x14ac:dyDescent="0.25">
      <c r="B34" s="20"/>
      <c r="C34" s="5" t="s">
        <v>46</v>
      </c>
      <c r="D34" s="6" t="s">
        <v>33</v>
      </c>
      <c r="E34" s="11">
        <v>1.21E-2</v>
      </c>
      <c r="F34" s="1"/>
      <c r="G34" s="1"/>
      <c r="H34" s="1"/>
      <c r="I34" s="1"/>
      <c r="J34" s="1"/>
      <c r="K34" s="1"/>
      <c r="L34" s="1"/>
      <c r="M34" s="1"/>
      <c r="N34" s="18"/>
    </row>
    <row r="35" spans="2:14" ht="15" customHeight="1" x14ac:dyDescent="0.25">
      <c r="B35" s="20"/>
      <c r="C35" s="5" t="s">
        <v>47</v>
      </c>
      <c r="D35" s="6" t="s">
        <v>33</v>
      </c>
      <c r="E35" s="11">
        <v>9.2180000000000005E-3</v>
      </c>
      <c r="F35" s="1"/>
      <c r="G35" s="1"/>
      <c r="H35" s="1"/>
      <c r="I35" s="1"/>
      <c r="J35" s="1"/>
      <c r="K35" s="1"/>
      <c r="L35" s="1"/>
      <c r="M35" s="1"/>
      <c r="N35" s="18"/>
    </row>
    <row r="36" spans="2:14" ht="15" customHeight="1" x14ac:dyDescent="0.25">
      <c r="B36" s="20"/>
      <c r="C36" s="5" t="s">
        <v>48</v>
      </c>
      <c r="D36" s="6" t="s">
        <v>33</v>
      </c>
      <c r="E36" s="11">
        <v>8.574E-3</v>
      </c>
      <c r="F36" s="1"/>
      <c r="G36" s="1"/>
      <c r="H36" s="1"/>
      <c r="I36" s="1"/>
      <c r="J36" s="1"/>
      <c r="K36" s="1"/>
      <c r="L36" s="1"/>
      <c r="M36" s="1"/>
      <c r="N36" s="18"/>
    </row>
    <row r="37" spans="2:14" ht="15" customHeight="1" x14ac:dyDescent="0.25">
      <c r="B37" s="20"/>
      <c r="C37" s="5" t="s">
        <v>49</v>
      </c>
      <c r="D37" s="6" t="s">
        <v>33</v>
      </c>
      <c r="E37" s="11">
        <v>4.1269999999999996E-3</v>
      </c>
      <c r="F37" s="1"/>
      <c r="G37" s="1"/>
      <c r="H37" s="1"/>
      <c r="I37" s="1"/>
      <c r="J37" s="1"/>
      <c r="K37" s="1"/>
      <c r="L37" s="1"/>
      <c r="M37" s="1"/>
      <c r="N37" s="18"/>
    </row>
    <row r="38" spans="2:14" ht="15" customHeight="1" x14ac:dyDescent="0.25">
      <c r="B38" s="20"/>
      <c r="C38" s="5" t="s">
        <v>50</v>
      </c>
      <c r="D38" s="6" t="s">
        <v>33</v>
      </c>
      <c r="E38" s="11">
        <v>2.8400000000000001E-3</v>
      </c>
      <c r="F38" s="1"/>
      <c r="G38" s="1"/>
      <c r="H38" s="1"/>
      <c r="I38" s="1"/>
      <c r="J38" s="1"/>
      <c r="K38" s="1"/>
      <c r="L38" s="1"/>
      <c r="M38" s="1"/>
      <c r="N38" s="18"/>
    </row>
    <row r="39" spans="2:14" ht="15" customHeight="1" x14ac:dyDescent="0.25">
      <c r="B39" s="20"/>
      <c r="C39" s="5" t="s">
        <v>51</v>
      </c>
      <c r="D39" s="6" t="s">
        <v>33</v>
      </c>
      <c r="E39" s="11">
        <v>1.12E-4</v>
      </c>
      <c r="F39" s="1"/>
      <c r="G39" s="1"/>
      <c r="H39" s="1"/>
      <c r="I39" s="1"/>
      <c r="J39" s="1"/>
      <c r="K39" s="1"/>
      <c r="L39" s="1"/>
      <c r="M39" s="1"/>
      <c r="N39" s="18"/>
    </row>
    <row r="40" spans="2:14" ht="15.75" customHeight="1" x14ac:dyDescent="0.25">
      <c r="B40" s="20"/>
      <c r="C40" s="7" t="s">
        <v>52</v>
      </c>
      <c r="D40" s="8"/>
      <c r="E40" s="12">
        <v>0.73440499999999997</v>
      </c>
      <c r="F40" s="1"/>
      <c r="G40" s="1"/>
      <c r="H40" s="1"/>
      <c r="I40" s="1"/>
      <c r="J40" s="1"/>
      <c r="K40" s="1"/>
      <c r="L40" s="1"/>
      <c r="M40" s="1"/>
      <c r="N40" s="18"/>
    </row>
    <row r="41" spans="2:14" ht="15" customHeight="1" x14ac:dyDescent="0.25">
      <c r="B41" s="20"/>
      <c r="C41" s="5" t="s">
        <v>53</v>
      </c>
      <c r="D41" s="6" t="s">
        <v>23</v>
      </c>
      <c r="E41" s="11">
        <v>1.6739999999999999E-3</v>
      </c>
      <c r="F41" s="1"/>
      <c r="G41" s="1"/>
      <c r="H41" s="1"/>
      <c r="I41" s="1"/>
      <c r="J41" s="1"/>
      <c r="K41" s="1"/>
      <c r="L41" s="1"/>
      <c r="M41" s="1"/>
      <c r="N41" s="18"/>
    </row>
    <row r="42" spans="2:14" ht="15.75" customHeight="1" x14ac:dyDescent="0.25">
      <c r="B42" s="20"/>
      <c r="C42" s="7" t="s">
        <v>54</v>
      </c>
      <c r="D42" s="8"/>
      <c r="E42" s="12">
        <v>1.6739999999999999E-3</v>
      </c>
      <c r="F42" s="1"/>
      <c r="G42" s="1"/>
      <c r="H42" s="1"/>
      <c r="I42" s="1"/>
      <c r="J42" s="1"/>
      <c r="K42" s="1"/>
      <c r="L42" s="1"/>
      <c r="M42" s="1"/>
      <c r="N42" s="18"/>
    </row>
    <row r="43" spans="2:14" ht="15" customHeight="1" x14ac:dyDescent="0.25">
      <c r="B43" s="20"/>
      <c r="C43" s="5" t="s">
        <v>55</v>
      </c>
      <c r="D43" s="6" t="s">
        <v>56</v>
      </c>
      <c r="E43" s="11">
        <v>3.3909000000000002E-2</v>
      </c>
      <c r="F43" s="1"/>
      <c r="G43" s="1"/>
      <c r="H43" s="1"/>
      <c r="I43" s="1"/>
      <c r="J43" s="1"/>
      <c r="K43" s="1"/>
      <c r="L43" s="1"/>
      <c r="M43" s="1"/>
      <c r="N43" s="18"/>
    </row>
    <row r="44" spans="2:14" ht="15" customHeight="1" x14ac:dyDescent="0.25">
      <c r="B44" s="20"/>
      <c r="C44" s="5" t="s">
        <v>57</v>
      </c>
      <c r="D44" s="6" t="s">
        <v>56</v>
      </c>
      <c r="E44" s="11">
        <v>2.4485E-2</v>
      </c>
      <c r="F44" s="1"/>
      <c r="G44" s="1"/>
      <c r="H44" s="1"/>
      <c r="I44" s="1"/>
      <c r="J44" s="1"/>
      <c r="K44" s="1"/>
      <c r="L44" s="1"/>
      <c r="M44" s="1"/>
      <c r="N44" s="18"/>
    </row>
    <row r="45" spans="2:14" ht="15" customHeight="1" x14ac:dyDescent="0.25">
      <c r="B45" s="20"/>
      <c r="C45" s="5" t="s">
        <v>58</v>
      </c>
      <c r="D45" s="6" t="s">
        <v>56</v>
      </c>
      <c r="E45" s="11">
        <v>8.038E-3</v>
      </c>
      <c r="F45" s="1"/>
      <c r="G45" s="1"/>
      <c r="H45" s="1"/>
      <c r="I45" s="1"/>
      <c r="J45" s="1"/>
      <c r="K45" s="1"/>
      <c r="L45" s="1"/>
      <c r="M45" s="1"/>
      <c r="N45" s="18"/>
    </row>
    <row r="46" spans="2:14" ht="15" customHeight="1" x14ac:dyDescent="0.25">
      <c r="B46" s="20"/>
      <c r="C46" s="5" t="s">
        <v>59</v>
      </c>
      <c r="D46" s="6" t="s">
        <v>56</v>
      </c>
      <c r="E46" s="11">
        <v>6.6699999999999997E-3</v>
      </c>
      <c r="F46" s="1"/>
      <c r="G46" s="1"/>
      <c r="H46" s="1"/>
      <c r="I46" s="1"/>
      <c r="J46" s="1"/>
      <c r="K46" s="1"/>
      <c r="L46" s="1"/>
      <c r="M46" s="1"/>
      <c r="N46" s="18"/>
    </row>
    <row r="47" spans="2:14" ht="15" customHeight="1" x14ac:dyDescent="0.25">
      <c r="B47" s="20"/>
      <c r="C47" s="5" t="s">
        <v>60</v>
      </c>
      <c r="D47" s="6" t="s">
        <v>56</v>
      </c>
      <c r="E47" s="11">
        <v>2.0470000000000002E-3</v>
      </c>
      <c r="F47" s="1"/>
      <c r="G47" s="1"/>
      <c r="H47" s="1"/>
      <c r="I47" s="1"/>
      <c r="J47" s="1"/>
      <c r="K47" s="1"/>
      <c r="L47" s="1"/>
      <c r="M47" s="1"/>
      <c r="N47" s="18"/>
    </row>
    <row r="48" spans="2:14" ht="15" customHeight="1" x14ac:dyDescent="0.25">
      <c r="B48" s="20"/>
      <c r="C48" s="5" t="s">
        <v>61</v>
      </c>
      <c r="D48" s="6" t="s">
        <v>56</v>
      </c>
      <c r="E48" s="11">
        <v>1.139E-3</v>
      </c>
      <c r="F48" s="1"/>
      <c r="G48" s="1"/>
      <c r="H48" s="1"/>
      <c r="I48" s="1"/>
      <c r="J48" s="1"/>
      <c r="K48" s="1"/>
      <c r="L48" s="1"/>
      <c r="M48" s="1"/>
      <c r="N48" s="18"/>
    </row>
    <row r="49" spans="2:14" ht="15.75" customHeight="1" x14ac:dyDescent="0.25">
      <c r="B49" s="20"/>
      <c r="C49" s="7" t="s">
        <v>62</v>
      </c>
      <c r="D49" s="8"/>
      <c r="E49" s="12">
        <v>7.6287999999999995E-2</v>
      </c>
      <c r="F49" s="1"/>
      <c r="G49" s="1"/>
      <c r="H49" s="1"/>
      <c r="I49" s="1"/>
      <c r="J49" s="1"/>
      <c r="K49" s="1"/>
      <c r="L49" s="1"/>
      <c r="M49" s="1"/>
      <c r="N49" s="18"/>
    </row>
    <row r="50" spans="2:14" ht="15" customHeight="1" x14ac:dyDescent="0.25">
      <c r="B50" s="20"/>
      <c r="C50" s="5" t="s">
        <v>207</v>
      </c>
      <c r="D50" s="6" t="s">
        <v>56</v>
      </c>
      <c r="E50" s="11">
        <v>1.1328E-2</v>
      </c>
      <c r="F50" s="1"/>
      <c r="G50" s="1"/>
      <c r="H50" s="1"/>
      <c r="I50" s="1"/>
      <c r="J50" s="1"/>
      <c r="K50" s="1"/>
      <c r="L50" s="1"/>
      <c r="M50" s="1"/>
      <c r="N50" s="18"/>
    </row>
    <row r="51" spans="2:14" ht="15" customHeight="1" x14ac:dyDescent="0.25">
      <c r="B51" s="20"/>
      <c r="C51" s="5" t="s">
        <v>201</v>
      </c>
      <c r="D51" s="6" t="s">
        <v>56</v>
      </c>
      <c r="E51" s="11">
        <v>2.967E-3</v>
      </c>
      <c r="F51" s="1"/>
      <c r="G51" s="1"/>
      <c r="H51" s="1"/>
      <c r="I51" s="1"/>
      <c r="J51" s="1"/>
      <c r="K51" s="1"/>
      <c r="L51" s="1"/>
      <c r="M51" s="1"/>
      <c r="N51" s="18"/>
    </row>
    <row r="52" spans="2:14" ht="15" customHeight="1" x14ac:dyDescent="0.25">
      <c r="B52" s="20"/>
      <c r="C52" s="5" t="s">
        <v>195</v>
      </c>
      <c r="D52" s="6" t="s">
        <v>56</v>
      </c>
      <c r="E52" s="11">
        <v>2.9220000000000001E-3</v>
      </c>
      <c r="F52" s="1"/>
      <c r="G52" s="1"/>
      <c r="H52" s="1"/>
      <c r="I52" s="1"/>
      <c r="J52" s="1"/>
      <c r="K52" s="1"/>
      <c r="L52" s="1"/>
      <c r="M52" s="1"/>
      <c r="N52" s="18"/>
    </row>
    <row r="53" spans="2:14" ht="15" customHeight="1" x14ac:dyDescent="0.25">
      <c r="B53" s="20"/>
      <c r="C53" s="5" t="s">
        <v>205</v>
      </c>
      <c r="D53" s="6" t="s">
        <v>56</v>
      </c>
      <c r="E53" s="11">
        <v>1.3910000000000001E-3</v>
      </c>
      <c r="F53" s="1"/>
      <c r="G53" s="1"/>
      <c r="H53" s="1"/>
      <c r="I53" s="1"/>
      <c r="J53" s="1"/>
      <c r="K53" s="1"/>
      <c r="L53" s="1"/>
      <c r="M53" s="1"/>
      <c r="N53" s="18"/>
    </row>
    <row r="54" spans="2:14" ht="15" customHeight="1" x14ac:dyDescent="0.25">
      <c r="B54" s="20"/>
      <c r="C54" s="5" t="s">
        <v>206</v>
      </c>
      <c r="D54" s="6" t="s">
        <v>56</v>
      </c>
      <c r="E54" s="11">
        <v>8.4099999999999995E-4</v>
      </c>
      <c r="F54" s="1"/>
      <c r="G54" s="1"/>
      <c r="H54" s="1"/>
      <c r="I54" s="1"/>
      <c r="J54" s="1"/>
      <c r="K54" s="1"/>
      <c r="L54" s="1"/>
      <c r="M54" s="1"/>
      <c r="N54" s="18"/>
    </row>
    <row r="55" spans="2:14" ht="15" customHeight="1" x14ac:dyDescent="0.25">
      <c r="B55" s="20"/>
      <c r="C55" s="5" t="s">
        <v>203</v>
      </c>
      <c r="D55" s="6" t="s">
        <v>56</v>
      </c>
      <c r="E55" s="11">
        <v>5.8500000000000002E-4</v>
      </c>
      <c r="F55" s="1"/>
      <c r="G55" s="1"/>
      <c r="H55" s="1"/>
      <c r="I55" s="1"/>
      <c r="J55" s="1"/>
      <c r="K55" s="1"/>
      <c r="L55" s="1"/>
      <c r="M55" s="1"/>
      <c r="N55" s="18"/>
    </row>
    <row r="56" spans="2:14" ht="15" customHeight="1" x14ac:dyDescent="0.25">
      <c r="B56" s="20"/>
      <c r="C56" s="5" t="s">
        <v>197</v>
      </c>
      <c r="D56" s="6" t="s">
        <v>56</v>
      </c>
      <c r="E56" s="11">
        <v>5.7899999999999998E-4</v>
      </c>
      <c r="F56" s="1"/>
      <c r="G56" s="1"/>
      <c r="H56" s="1"/>
      <c r="I56" s="1"/>
      <c r="J56" s="1"/>
      <c r="K56" s="1"/>
      <c r="L56" s="1"/>
      <c r="M56" s="1"/>
      <c r="N56" s="18"/>
    </row>
    <row r="57" spans="2:14" ht="15" customHeight="1" x14ac:dyDescent="0.25">
      <c r="B57" s="20"/>
      <c r="C57" s="5" t="s">
        <v>200</v>
      </c>
      <c r="D57" s="6" t="s">
        <v>56</v>
      </c>
      <c r="E57" s="11">
        <v>2.9E-4</v>
      </c>
      <c r="F57" s="1"/>
      <c r="G57" s="1"/>
      <c r="H57" s="1"/>
      <c r="I57" s="1"/>
      <c r="J57" s="1"/>
      <c r="K57" s="1"/>
      <c r="L57" s="1"/>
      <c r="M57" s="1"/>
      <c r="N57" s="18"/>
    </row>
    <row r="58" spans="2:14" ht="15" customHeight="1" x14ac:dyDescent="0.25">
      <c r="B58" s="20"/>
      <c r="C58" s="5" t="s">
        <v>198</v>
      </c>
      <c r="D58" s="6" t="s">
        <v>56</v>
      </c>
      <c r="E58" s="11">
        <v>2.8899999999999998E-4</v>
      </c>
      <c r="F58" s="1"/>
      <c r="G58" s="1"/>
      <c r="H58" s="1"/>
      <c r="I58" s="1"/>
      <c r="J58" s="1"/>
      <c r="K58" s="1"/>
      <c r="L58" s="1"/>
      <c r="M58" s="1"/>
      <c r="N58" s="18"/>
    </row>
    <row r="59" spans="2:14" ht="15" customHeight="1" x14ac:dyDescent="0.25">
      <c r="B59" s="20"/>
      <c r="C59" s="5" t="s">
        <v>199</v>
      </c>
      <c r="D59" s="6" t="s">
        <v>56</v>
      </c>
      <c r="E59" s="11">
        <v>2.8899999999999998E-4</v>
      </c>
      <c r="F59" s="1"/>
      <c r="G59" s="1"/>
      <c r="H59" s="1"/>
      <c r="I59" s="1"/>
      <c r="J59" s="1"/>
      <c r="K59" s="1"/>
      <c r="L59" s="1"/>
      <c r="M59" s="1"/>
      <c r="N59" s="18"/>
    </row>
    <row r="60" spans="2:14" ht="15" customHeight="1" x14ac:dyDescent="0.25">
      <c r="B60" s="20"/>
      <c r="C60" s="5" t="s">
        <v>196</v>
      </c>
      <c r="D60" s="6" t="s">
        <v>56</v>
      </c>
      <c r="E60" s="11">
        <v>2.8800000000000001E-4</v>
      </c>
      <c r="F60" s="1"/>
      <c r="G60" s="1"/>
      <c r="H60" s="1"/>
      <c r="I60" s="1"/>
      <c r="J60" s="1"/>
      <c r="K60" s="1"/>
      <c r="L60" s="1"/>
      <c r="M60" s="1"/>
      <c r="N60" s="18"/>
    </row>
    <row r="61" spans="2:14" ht="15" customHeight="1" x14ac:dyDescent="0.25">
      <c r="B61" s="20"/>
      <c r="C61" s="5" t="s">
        <v>204</v>
      </c>
      <c r="D61" s="6" t="s">
        <v>56</v>
      </c>
      <c r="E61" s="11">
        <v>1.6799999999999999E-4</v>
      </c>
      <c r="F61" s="1"/>
      <c r="G61" s="1"/>
      <c r="H61" s="1"/>
      <c r="I61" s="1"/>
      <c r="J61" s="1"/>
      <c r="K61" s="1"/>
      <c r="L61" s="1"/>
      <c r="M61" s="1"/>
      <c r="N61" s="18"/>
    </row>
    <row r="62" spans="2:14" ht="15" customHeight="1" x14ac:dyDescent="0.25">
      <c r="B62" s="20"/>
      <c r="C62" s="5" t="s">
        <v>202</v>
      </c>
      <c r="D62" s="6" t="s">
        <v>56</v>
      </c>
      <c r="E62" s="11">
        <v>1.2799999999999999E-4</v>
      </c>
      <c r="F62" s="1"/>
      <c r="G62" s="1"/>
      <c r="H62" s="1"/>
      <c r="I62" s="1"/>
      <c r="J62" s="1"/>
      <c r="K62" s="1"/>
      <c r="L62" s="1"/>
      <c r="M62" s="1"/>
      <c r="N62" s="18"/>
    </row>
    <row r="63" spans="2:14" ht="15.75" customHeight="1" x14ac:dyDescent="0.25">
      <c r="B63" s="20"/>
      <c r="C63" s="7" t="s">
        <v>63</v>
      </c>
      <c r="D63" s="8"/>
      <c r="E63" s="12">
        <v>2.2065000000000001E-2</v>
      </c>
      <c r="F63" s="1"/>
      <c r="G63" s="1"/>
      <c r="H63" s="1"/>
      <c r="I63" s="1"/>
      <c r="J63" s="1"/>
      <c r="K63" s="1"/>
      <c r="L63" s="1"/>
      <c r="M63" s="1"/>
      <c r="N63" s="18"/>
    </row>
    <row r="64" spans="2:14" ht="15" customHeight="1" x14ac:dyDescent="0.25">
      <c r="B64" s="20"/>
      <c r="C64" s="5" t="s">
        <v>9</v>
      </c>
      <c r="D64" s="6"/>
      <c r="E64" s="11">
        <v>3.0894000000000001E-2</v>
      </c>
      <c r="F64" s="1"/>
      <c r="G64" s="1"/>
      <c r="H64" s="1"/>
      <c r="I64" s="1"/>
      <c r="J64" s="1"/>
      <c r="K64" s="1"/>
      <c r="L64" s="1"/>
      <c r="M64" s="1"/>
      <c r="N64" s="18"/>
    </row>
    <row r="65" spans="2:14" ht="15.75" customHeight="1" x14ac:dyDescent="0.25">
      <c r="B65" s="20"/>
      <c r="C65" s="7" t="s">
        <v>10</v>
      </c>
      <c r="D65" s="8"/>
      <c r="E65" s="12">
        <v>3.0894000000000001E-2</v>
      </c>
      <c r="F65" s="1"/>
      <c r="G65" s="1"/>
      <c r="H65" s="1"/>
      <c r="I65" s="1"/>
      <c r="J65" s="1"/>
      <c r="K65" s="1"/>
      <c r="L65" s="1"/>
      <c r="M65" s="1"/>
      <c r="N65" s="18"/>
    </row>
    <row r="66" spans="2:14" ht="15" customHeight="1" x14ac:dyDescent="0.25">
      <c r="B66" s="20"/>
      <c r="C66" s="5" t="s">
        <v>43</v>
      </c>
      <c r="D66" s="6" t="s">
        <v>33</v>
      </c>
      <c r="E66" s="11">
        <v>1.5200000000000001E-4</v>
      </c>
      <c r="F66" s="1"/>
      <c r="G66" s="1"/>
      <c r="H66" s="1"/>
      <c r="I66" s="1"/>
      <c r="J66" s="1"/>
      <c r="K66" s="1"/>
      <c r="L66" s="1"/>
      <c r="M66" s="1"/>
      <c r="N66" s="18"/>
    </row>
    <row r="67" spans="2:14" ht="15.75" customHeight="1" x14ac:dyDescent="0.25">
      <c r="B67" s="20"/>
      <c r="C67" s="7" t="s">
        <v>64</v>
      </c>
      <c r="D67" s="8"/>
      <c r="E67" s="12">
        <v>1.5200000000000001E-4</v>
      </c>
      <c r="F67" s="1"/>
      <c r="G67" s="1"/>
      <c r="H67" s="1"/>
      <c r="I67" s="1"/>
      <c r="J67" s="1"/>
      <c r="K67" s="1"/>
      <c r="L67" s="1"/>
      <c r="M67" s="1"/>
      <c r="N67" s="18"/>
    </row>
    <row r="68" spans="2:14" ht="15" customHeight="1" x14ac:dyDescent="0.25">
      <c r="B68" s="20"/>
      <c r="C68" s="5"/>
      <c r="D68" s="6"/>
      <c r="E68" s="11"/>
      <c r="F68" s="1"/>
      <c r="G68" s="1"/>
      <c r="H68" s="1"/>
      <c r="I68" s="1"/>
      <c r="J68" s="1"/>
      <c r="K68" s="1"/>
      <c r="L68" s="1"/>
      <c r="M68" s="1"/>
      <c r="N68" s="18"/>
    </row>
    <row r="69" spans="2:14" ht="15.75" customHeight="1" x14ac:dyDescent="0.25">
      <c r="B69" s="20"/>
      <c r="C69" s="7" t="s">
        <v>11</v>
      </c>
      <c r="D69" s="8"/>
      <c r="E69" s="12">
        <v>2.6067E-2</v>
      </c>
      <c r="F69" s="1"/>
      <c r="G69" s="1"/>
      <c r="H69" s="1"/>
      <c r="I69" s="1"/>
      <c r="J69" s="1"/>
      <c r="K69" s="1"/>
      <c r="L69" s="1"/>
      <c r="M69" s="1"/>
      <c r="N69" s="18"/>
    </row>
    <row r="70" spans="2:14" ht="15" customHeight="1" x14ac:dyDescent="0.25">
      <c r="B70" s="20"/>
      <c r="C70" s="5"/>
      <c r="D70" s="6"/>
      <c r="E70" s="11"/>
      <c r="F70" s="1"/>
      <c r="G70" s="1"/>
      <c r="H70" s="1"/>
      <c r="I70" s="1"/>
      <c r="J70" s="1"/>
      <c r="K70" s="1"/>
      <c r="L70" s="1"/>
      <c r="M70" s="1"/>
      <c r="N70" s="18"/>
    </row>
    <row r="71" spans="2:14" ht="15" customHeight="1" x14ac:dyDescent="0.25">
      <c r="B71" s="20"/>
      <c r="C71" s="9" t="s">
        <v>12</v>
      </c>
      <c r="D71" s="10"/>
      <c r="E71" s="13">
        <v>1</v>
      </c>
      <c r="F71" s="1"/>
      <c r="G71" s="1"/>
      <c r="H71" s="1"/>
      <c r="I71" s="1"/>
      <c r="J71" s="1"/>
      <c r="K71" s="1"/>
      <c r="L71" s="1"/>
      <c r="M71" s="1"/>
      <c r="N71" s="18"/>
    </row>
    <row r="72" spans="2:14" ht="15" customHeight="1" x14ac:dyDescent="0.25">
      <c r="B72" s="20"/>
      <c r="C72" s="1"/>
      <c r="D72" s="1"/>
      <c r="E72" s="1"/>
      <c r="F72" s="1"/>
      <c r="G72" s="1"/>
      <c r="H72" s="1"/>
      <c r="I72" s="1"/>
      <c r="J72" s="1"/>
      <c r="K72" s="1"/>
      <c r="L72" s="1"/>
      <c r="M72" s="1"/>
      <c r="N72" s="18"/>
    </row>
    <row r="73" spans="2:14" ht="15" customHeight="1" thickBot="1" x14ac:dyDescent="0.3">
      <c r="B73" s="21"/>
      <c r="C73" s="22"/>
      <c r="D73" s="22"/>
      <c r="E73" s="22"/>
      <c r="F73" s="22"/>
      <c r="G73" s="22"/>
      <c r="H73" s="22"/>
      <c r="I73" s="22"/>
      <c r="J73" s="22"/>
      <c r="K73" s="22"/>
      <c r="L73" s="22"/>
      <c r="M73" s="22"/>
      <c r="N73" s="23"/>
    </row>
    <row r="74" spans="2:14" ht="15" customHeight="1" thickBot="1" x14ac:dyDescent="0.3"/>
    <row r="75" spans="2:14" ht="129.75" customHeight="1" thickBot="1" x14ac:dyDescent="0.3">
      <c r="B75" s="36" t="s">
        <v>163</v>
      </c>
      <c r="C75" s="37"/>
      <c r="D75" s="37"/>
      <c r="E75" s="37"/>
      <c r="F75" s="37"/>
      <c r="G75" s="37"/>
      <c r="H75" s="37"/>
      <c r="I75" s="37"/>
      <c r="J75" s="37"/>
      <c r="K75" s="37"/>
      <c r="L75" s="37"/>
      <c r="M75" s="37"/>
      <c r="N75" s="38"/>
    </row>
    <row r="76" spans="2:14" ht="15" customHeight="1" thickBot="1" x14ac:dyDescent="0.3"/>
    <row r="77" spans="2:14" ht="61.5" customHeight="1" thickBot="1" x14ac:dyDescent="0.3">
      <c r="B77" s="36" t="s">
        <v>235</v>
      </c>
      <c r="C77" s="37"/>
      <c r="D77" s="37"/>
      <c r="E77" s="37"/>
      <c r="F77" s="37"/>
      <c r="G77" s="37"/>
      <c r="H77" s="37"/>
      <c r="I77" s="37"/>
      <c r="J77" s="37"/>
      <c r="K77" s="37"/>
      <c r="L77" s="37"/>
      <c r="M77" s="37"/>
      <c r="N77" s="38"/>
    </row>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sheetData>
  <mergeCells count="7">
    <mergeCell ref="B77:N77"/>
    <mergeCell ref="B75:N75"/>
    <mergeCell ref="C3:N3"/>
    <mergeCell ref="D5:E5"/>
    <mergeCell ref="G7:N7"/>
    <mergeCell ref="G24:K24"/>
    <mergeCell ref="G26:N26"/>
  </mergeCells>
  <pageMargins left="0.25" right="0.25" top="0.75" bottom="0.75" header="0.3" footer="0.3"/>
  <pageSetup scale="38" orientation="landscape" horizontalDpi="1200" verticalDpi="12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84D2C-FEB1-43E7-9940-1C6146CF9795}">
  <sheetPr>
    <pageSetUpPr fitToPage="1"/>
  </sheetPr>
  <dimension ref="B1:N92"/>
  <sheetViews>
    <sheetView showGridLines="0" view="pageBreakPreview" topLeftCell="A46" zoomScale="60"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9" t="s">
        <v>104</v>
      </c>
      <c r="D3" s="40"/>
      <c r="E3" s="40"/>
      <c r="F3" s="40"/>
      <c r="G3" s="40"/>
      <c r="H3" s="40"/>
      <c r="I3" s="40"/>
      <c r="J3" s="40"/>
      <c r="K3" s="40"/>
      <c r="L3" s="40"/>
      <c r="M3" s="40"/>
      <c r="N3" s="41"/>
    </row>
    <row r="4" spans="2:14" ht="15.75" customHeight="1" x14ac:dyDescent="0.25">
      <c r="B4" s="20"/>
      <c r="C4" s="14"/>
      <c r="D4" s="1"/>
      <c r="E4" s="1"/>
      <c r="F4" s="1"/>
      <c r="G4" s="1"/>
      <c r="H4" s="1"/>
      <c r="I4" s="1"/>
      <c r="J4" s="1"/>
      <c r="K4" s="1"/>
      <c r="L4" s="1"/>
      <c r="M4" s="1"/>
      <c r="N4" s="18"/>
    </row>
    <row r="5" spans="2:14" ht="18" customHeight="1" x14ac:dyDescent="0.25">
      <c r="B5" s="20"/>
      <c r="C5" s="15" t="s">
        <v>1</v>
      </c>
      <c r="D5" s="42" t="s">
        <v>105</v>
      </c>
      <c r="E5" s="4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4" t="s">
        <v>17</v>
      </c>
      <c r="H7" s="45"/>
      <c r="I7" s="45"/>
      <c r="J7" s="45"/>
      <c r="K7" s="45"/>
      <c r="L7" s="45"/>
      <c r="M7" s="45"/>
      <c r="N7" s="46"/>
    </row>
    <row r="8" spans="2:14" ht="15" customHeight="1" x14ac:dyDescent="0.25">
      <c r="B8" s="20"/>
      <c r="C8" s="5" t="s">
        <v>24</v>
      </c>
      <c r="D8" s="6" t="s">
        <v>23</v>
      </c>
      <c r="E8" s="11">
        <v>9.9330000000000009E-3</v>
      </c>
      <c r="F8" s="1"/>
      <c r="G8" s="24" t="s">
        <v>16</v>
      </c>
      <c r="H8" s="25">
        <v>1</v>
      </c>
      <c r="I8" s="1"/>
      <c r="J8" s="24" t="s">
        <v>13</v>
      </c>
      <c r="K8" s="24" t="s">
        <v>5</v>
      </c>
      <c r="L8" s="1"/>
      <c r="M8" s="1"/>
      <c r="N8" s="18"/>
    </row>
    <row r="9" spans="2:14" ht="15.75" customHeight="1" x14ac:dyDescent="0.25">
      <c r="B9" s="20"/>
      <c r="C9" s="7" t="s">
        <v>28</v>
      </c>
      <c r="D9" s="8"/>
      <c r="E9" s="12">
        <v>9.9330000000000009E-3</v>
      </c>
      <c r="F9" s="1"/>
      <c r="G9" s="1"/>
      <c r="H9" s="1"/>
      <c r="I9" s="1"/>
      <c r="J9" s="24" t="s">
        <v>11</v>
      </c>
      <c r="K9" s="29">
        <v>2.7060000000000001E-2</v>
      </c>
      <c r="L9" s="1"/>
      <c r="M9" s="1"/>
      <c r="N9" s="18"/>
    </row>
    <row r="10" spans="2:14" ht="15" customHeight="1" x14ac:dyDescent="0.25">
      <c r="B10" s="20"/>
      <c r="C10" s="5" t="s">
        <v>29</v>
      </c>
      <c r="D10" s="6" t="s">
        <v>23</v>
      </c>
      <c r="E10" s="11">
        <v>2.513E-3</v>
      </c>
      <c r="F10" s="1"/>
      <c r="G10" s="1"/>
      <c r="H10" s="1"/>
      <c r="I10" s="1"/>
      <c r="J10" s="24" t="s">
        <v>14</v>
      </c>
      <c r="K10" s="29">
        <v>1.1991999999999999E-2</v>
      </c>
      <c r="L10" s="1"/>
      <c r="M10" s="1"/>
      <c r="N10" s="18"/>
    </row>
    <row r="11" spans="2:14" ht="15.75" customHeight="1" x14ac:dyDescent="0.25">
      <c r="B11" s="20"/>
      <c r="C11" s="7" t="s">
        <v>31</v>
      </c>
      <c r="D11" s="8"/>
      <c r="E11" s="12">
        <v>2.513E-3</v>
      </c>
      <c r="F11" s="1"/>
      <c r="G11" s="1"/>
      <c r="H11" s="1"/>
      <c r="I11" s="1"/>
      <c r="J11" s="24" t="s">
        <v>65</v>
      </c>
      <c r="K11" s="29">
        <v>9.9330000000000009E-3</v>
      </c>
      <c r="L11" s="1"/>
      <c r="M11" s="1"/>
      <c r="N11" s="18"/>
    </row>
    <row r="12" spans="2:14" ht="15" customHeight="1" x14ac:dyDescent="0.25">
      <c r="B12" s="20"/>
      <c r="C12" s="5" t="s">
        <v>32</v>
      </c>
      <c r="D12" s="6" t="s">
        <v>33</v>
      </c>
      <c r="E12" s="11">
        <v>0.11147899999999999</v>
      </c>
      <c r="F12" s="1"/>
      <c r="G12" s="1"/>
      <c r="H12" s="1"/>
      <c r="I12" s="1"/>
      <c r="J12" s="24" t="s">
        <v>66</v>
      </c>
      <c r="K12" s="29">
        <v>0.70316299999999998</v>
      </c>
      <c r="L12" s="1"/>
      <c r="M12" s="1"/>
      <c r="N12" s="18"/>
    </row>
    <row r="13" spans="2:14" ht="15" customHeight="1" x14ac:dyDescent="0.25">
      <c r="B13" s="20"/>
      <c r="C13" s="5" t="s">
        <v>35</v>
      </c>
      <c r="D13" s="6" t="s">
        <v>33</v>
      </c>
      <c r="E13" s="11">
        <v>0.108567</v>
      </c>
      <c r="F13" s="1"/>
      <c r="G13" s="1"/>
      <c r="H13" s="1"/>
      <c r="I13" s="1"/>
      <c r="J13" s="24" t="s">
        <v>67</v>
      </c>
      <c r="K13" s="29">
        <v>2.513E-3</v>
      </c>
      <c r="L13" s="1"/>
      <c r="M13" s="1"/>
      <c r="N13" s="18"/>
    </row>
    <row r="14" spans="2:14" ht="15" customHeight="1" x14ac:dyDescent="0.25">
      <c r="B14" s="20"/>
      <c r="C14" s="5" t="s">
        <v>29</v>
      </c>
      <c r="D14" s="6" t="s">
        <v>33</v>
      </c>
      <c r="E14" s="11">
        <v>7.9347000000000001E-2</v>
      </c>
      <c r="F14" s="1"/>
      <c r="G14" s="1"/>
      <c r="H14" s="1"/>
      <c r="I14" s="1"/>
      <c r="J14" s="24" t="s">
        <v>69</v>
      </c>
      <c r="K14" s="29">
        <v>0.20691399999999999</v>
      </c>
      <c r="L14" s="1"/>
      <c r="M14" s="1"/>
      <c r="N14" s="18"/>
    </row>
    <row r="15" spans="2:14" ht="15" customHeight="1" x14ac:dyDescent="0.25">
      <c r="B15" s="20"/>
      <c r="C15" s="5" t="s">
        <v>44</v>
      </c>
      <c r="D15" s="6" t="s">
        <v>33</v>
      </c>
      <c r="E15" s="11">
        <v>7.3201000000000002E-2</v>
      </c>
      <c r="F15" s="1"/>
      <c r="G15" s="1"/>
      <c r="H15" s="1"/>
      <c r="I15" s="1"/>
      <c r="J15" s="24" t="s">
        <v>70</v>
      </c>
      <c r="K15" s="29">
        <v>3.8325999999999999E-2</v>
      </c>
      <c r="L15" s="1"/>
      <c r="M15" s="1"/>
      <c r="N15" s="18"/>
    </row>
    <row r="16" spans="2:14" ht="15" customHeight="1" x14ac:dyDescent="0.25">
      <c r="B16" s="20"/>
      <c r="C16" s="5" t="s">
        <v>38</v>
      </c>
      <c r="D16" s="6" t="s">
        <v>33</v>
      </c>
      <c r="E16" s="11">
        <v>6.1469000000000003E-2</v>
      </c>
      <c r="F16" s="1"/>
      <c r="G16" s="1"/>
      <c r="H16" s="1"/>
      <c r="I16" s="1"/>
      <c r="J16" s="24" t="s">
        <v>71</v>
      </c>
      <c r="K16" s="29">
        <v>9.8999999999999994E-5</v>
      </c>
      <c r="L16" s="1"/>
      <c r="M16" s="1"/>
      <c r="N16" s="18"/>
    </row>
    <row r="17" spans="2:14" ht="15" customHeight="1" x14ac:dyDescent="0.25">
      <c r="B17" s="20"/>
      <c r="C17" s="5" t="s">
        <v>48</v>
      </c>
      <c r="D17" s="6" t="s">
        <v>33</v>
      </c>
      <c r="E17" s="11">
        <v>5.8207000000000002E-2</v>
      </c>
      <c r="F17" s="1"/>
      <c r="G17" s="1"/>
      <c r="H17" s="1"/>
      <c r="I17" s="1"/>
      <c r="J17" s="1"/>
      <c r="K17" s="1"/>
      <c r="L17" s="1"/>
      <c r="M17" s="1"/>
      <c r="N17" s="18"/>
    </row>
    <row r="18" spans="2:14" ht="15" customHeight="1" x14ac:dyDescent="0.25">
      <c r="B18" s="20"/>
      <c r="C18" s="5" t="s">
        <v>37</v>
      </c>
      <c r="D18" s="6" t="s">
        <v>33</v>
      </c>
      <c r="E18" s="11">
        <v>4.7489000000000003E-2</v>
      </c>
      <c r="F18" s="1"/>
      <c r="G18" s="1"/>
      <c r="H18" s="1"/>
      <c r="I18" s="1"/>
      <c r="J18" s="1"/>
      <c r="K18" s="1"/>
      <c r="L18" s="1"/>
      <c r="M18" s="1"/>
      <c r="N18" s="18"/>
    </row>
    <row r="19" spans="2:14" ht="15" customHeight="1" x14ac:dyDescent="0.25">
      <c r="B19" s="20"/>
      <c r="C19" s="5" t="s">
        <v>34</v>
      </c>
      <c r="D19" s="6" t="s">
        <v>33</v>
      </c>
      <c r="E19" s="11">
        <v>3.4923999999999997E-2</v>
      </c>
      <c r="F19" s="1"/>
      <c r="G19" s="1"/>
      <c r="H19" s="1"/>
      <c r="I19" s="1"/>
      <c r="J19" s="1"/>
      <c r="K19" s="1"/>
      <c r="L19" s="1"/>
      <c r="M19" s="1"/>
      <c r="N19" s="18"/>
    </row>
    <row r="20" spans="2:14" ht="15" customHeight="1" x14ac:dyDescent="0.25">
      <c r="B20" s="20"/>
      <c r="C20" s="5" t="s">
        <v>36</v>
      </c>
      <c r="D20" s="6" t="s">
        <v>33</v>
      </c>
      <c r="E20" s="11">
        <v>2.6674E-2</v>
      </c>
      <c r="F20" s="1"/>
      <c r="G20" s="1"/>
      <c r="H20" s="1"/>
      <c r="I20" s="1"/>
      <c r="J20" s="1"/>
      <c r="K20" s="1"/>
      <c r="L20" s="1"/>
      <c r="M20" s="1"/>
      <c r="N20" s="18"/>
    </row>
    <row r="21" spans="2:14" ht="15" customHeight="1" x14ac:dyDescent="0.25">
      <c r="B21" s="20"/>
      <c r="C21" s="5" t="s">
        <v>24</v>
      </c>
      <c r="D21" s="6" t="s">
        <v>33</v>
      </c>
      <c r="E21" s="11">
        <v>1.6362000000000002E-2</v>
      </c>
      <c r="F21" s="1"/>
      <c r="G21" s="1"/>
      <c r="H21" s="1"/>
      <c r="I21" s="1"/>
      <c r="J21" s="1"/>
      <c r="K21" s="1"/>
      <c r="L21" s="1"/>
      <c r="M21" s="1"/>
      <c r="N21" s="18"/>
    </row>
    <row r="22" spans="2:14" ht="15" customHeight="1" x14ac:dyDescent="0.25">
      <c r="B22" s="20"/>
      <c r="C22" s="5" t="s">
        <v>106</v>
      </c>
      <c r="D22" s="6" t="s">
        <v>33</v>
      </c>
      <c r="E22" s="11">
        <v>1.3948E-2</v>
      </c>
      <c r="F22" s="1"/>
      <c r="G22" s="1"/>
      <c r="H22" s="1"/>
      <c r="I22" s="1"/>
      <c r="J22" s="1"/>
      <c r="K22" s="1"/>
      <c r="L22" s="1"/>
      <c r="M22" s="1"/>
      <c r="N22" s="18"/>
    </row>
    <row r="23" spans="2:14" ht="15" customHeight="1" x14ac:dyDescent="0.25">
      <c r="B23" s="20"/>
      <c r="C23" s="5" t="s">
        <v>39</v>
      </c>
      <c r="D23" s="6" t="s">
        <v>33</v>
      </c>
      <c r="E23" s="11">
        <v>1.2774000000000001E-2</v>
      </c>
      <c r="F23" s="1"/>
      <c r="G23" s="1"/>
      <c r="H23" s="1"/>
      <c r="I23" s="1"/>
      <c r="J23" s="1"/>
      <c r="K23" s="1"/>
      <c r="L23" s="1"/>
      <c r="M23" s="1"/>
      <c r="N23" s="18"/>
    </row>
    <row r="24" spans="2:14" ht="15" customHeight="1" x14ac:dyDescent="0.25">
      <c r="B24" s="20"/>
      <c r="C24" s="5" t="s">
        <v>45</v>
      </c>
      <c r="D24" s="6" t="s">
        <v>33</v>
      </c>
      <c r="E24" s="11">
        <v>1.2246999999999999E-2</v>
      </c>
      <c r="F24" s="1"/>
      <c r="G24" s="44" t="s">
        <v>18</v>
      </c>
      <c r="H24" s="45"/>
      <c r="I24" s="45"/>
      <c r="J24" s="45"/>
      <c r="K24" s="45"/>
      <c r="L24" s="26">
        <v>2.0699999999999998</v>
      </c>
      <c r="M24" s="27"/>
      <c r="N24" s="28"/>
    </row>
    <row r="25" spans="2:14" ht="15" customHeight="1" x14ac:dyDescent="0.25">
      <c r="B25" s="20"/>
      <c r="C25" s="5" t="s">
        <v>107</v>
      </c>
      <c r="D25" s="6" t="s">
        <v>33</v>
      </c>
      <c r="E25" s="11">
        <v>1.0442E-2</v>
      </c>
      <c r="F25" s="1"/>
      <c r="G25" s="1"/>
      <c r="H25" s="1"/>
      <c r="I25" s="1"/>
      <c r="J25" s="1"/>
      <c r="K25" s="1"/>
      <c r="L25" s="1"/>
      <c r="M25" s="1"/>
      <c r="N25" s="18"/>
    </row>
    <row r="26" spans="2:14" ht="15" customHeight="1" x14ac:dyDescent="0.25">
      <c r="B26" s="20"/>
      <c r="C26" s="5" t="s">
        <v>49</v>
      </c>
      <c r="D26" s="6" t="s">
        <v>33</v>
      </c>
      <c r="E26" s="11">
        <v>8.8679999999999991E-3</v>
      </c>
      <c r="F26" s="1"/>
      <c r="G26" s="44" t="s">
        <v>19</v>
      </c>
      <c r="H26" s="45"/>
      <c r="I26" s="45"/>
      <c r="J26" s="45"/>
      <c r="K26" s="45"/>
      <c r="L26" s="45"/>
      <c r="M26" s="45"/>
      <c r="N26" s="46"/>
    </row>
    <row r="27" spans="2:14" ht="15" customHeight="1" x14ac:dyDescent="0.25">
      <c r="B27" s="20"/>
      <c r="C27" s="5" t="s">
        <v>25</v>
      </c>
      <c r="D27" s="6" t="s">
        <v>33</v>
      </c>
      <c r="E27" s="11">
        <v>8.7419999999999998E-3</v>
      </c>
      <c r="F27" s="1"/>
      <c r="G27" s="1"/>
      <c r="H27" s="1"/>
      <c r="I27" s="1"/>
      <c r="J27" s="1"/>
      <c r="K27" s="1"/>
      <c r="L27" s="1"/>
      <c r="M27" s="1"/>
      <c r="N27" s="18"/>
    </row>
    <row r="28" spans="2:14" ht="15" customHeight="1" x14ac:dyDescent="0.25">
      <c r="B28" s="20"/>
      <c r="C28" s="5" t="s">
        <v>30</v>
      </c>
      <c r="D28" s="6" t="s">
        <v>33</v>
      </c>
      <c r="E28" s="11">
        <v>6.2030000000000002E-3</v>
      </c>
      <c r="F28" s="1"/>
      <c r="G28" s="1"/>
      <c r="H28" s="1"/>
      <c r="I28" s="1"/>
      <c r="J28" s="1"/>
      <c r="K28" s="1"/>
      <c r="L28" s="1"/>
      <c r="M28" s="1"/>
      <c r="N28" s="18"/>
    </row>
    <row r="29" spans="2:14" ht="15" customHeight="1" x14ac:dyDescent="0.25">
      <c r="B29" s="20"/>
      <c r="C29" s="5" t="s">
        <v>43</v>
      </c>
      <c r="D29" s="6" t="s">
        <v>33</v>
      </c>
      <c r="E29" s="11">
        <v>4.8999999999999998E-3</v>
      </c>
      <c r="F29" s="1"/>
      <c r="G29" s="1"/>
      <c r="H29" s="1"/>
      <c r="I29" s="1"/>
      <c r="J29" s="1"/>
      <c r="K29" s="1"/>
      <c r="L29" s="1"/>
      <c r="M29" s="1"/>
      <c r="N29" s="18"/>
    </row>
    <row r="30" spans="2:14" ht="15" customHeight="1" x14ac:dyDescent="0.25">
      <c r="B30" s="20"/>
      <c r="C30" s="5" t="s">
        <v>41</v>
      </c>
      <c r="D30" s="6" t="s">
        <v>33</v>
      </c>
      <c r="E30" s="11">
        <v>4.4710000000000001E-3</v>
      </c>
      <c r="F30" s="1"/>
      <c r="G30" s="1"/>
      <c r="H30" s="1"/>
      <c r="I30" s="1"/>
      <c r="J30" s="1"/>
      <c r="K30" s="1"/>
      <c r="L30" s="1"/>
      <c r="M30" s="1"/>
      <c r="N30" s="18"/>
    </row>
    <row r="31" spans="2:14" ht="15" customHeight="1" x14ac:dyDescent="0.25">
      <c r="B31" s="20"/>
      <c r="C31" s="5" t="s">
        <v>46</v>
      </c>
      <c r="D31" s="6" t="s">
        <v>33</v>
      </c>
      <c r="E31" s="11">
        <v>1.5659999999999999E-3</v>
      </c>
      <c r="F31" s="1"/>
      <c r="G31" s="1"/>
      <c r="H31" s="1"/>
      <c r="I31" s="1"/>
      <c r="J31" s="1"/>
      <c r="K31" s="1"/>
      <c r="L31" s="1"/>
      <c r="M31" s="1"/>
      <c r="N31" s="18"/>
    </row>
    <row r="32" spans="2:14" ht="15" customHeight="1" x14ac:dyDescent="0.25">
      <c r="B32" s="20"/>
      <c r="C32" s="5" t="s">
        <v>108</v>
      </c>
      <c r="D32" s="6" t="s">
        <v>33</v>
      </c>
      <c r="E32" s="11">
        <v>1.2830000000000001E-3</v>
      </c>
      <c r="F32" s="1"/>
      <c r="G32" s="1"/>
      <c r="H32" s="1"/>
      <c r="I32" s="1"/>
      <c r="J32" s="1"/>
      <c r="K32" s="1"/>
      <c r="L32" s="1"/>
      <c r="M32" s="1"/>
      <c r="N32" s="18"/>
    </row>
    <row r="33" spans="2:14" ht="15.75" customHeight="1" x14ac:dyDescent="0.25">
      <c r="B33" s="20"/>
      <c r="C33" s="7" t="s">
        <v>52</v>
      </c>
      <c r="D33" s="8"/>
      <c r="E33" s="12">
        <v>0.70316299999999998</v>
      </c>
      <c r="F33" s="1"/>
      <c r="G33" s="1"/>
      <c r="H33" s="1"/>
      <c r="I33" s="1"/>
      <c r="J33" s="1"/>
      <c r="K33" s="1"/>
      <c r="L33" s="1"/>
      <c r="M33" s="1"/>
      <c r="N33" s="18"/>
    </row>
    <row r="34" spans="2:14" ht="15" customHeight="1" x14ac:dyDescent="0.25">
      <c r="B34" s="20"/>
      <c r="C34" s="5" t="s">
        <v>109</v>
      </c>
      <c r="D34" s="6" t="s">
        <v>56</v>
      </c>
      <c r="E34" s="11">
        <v>0.17905799999999999</v>
      </c>
      <c r="F34" s="1"/>
      <c r="G34" s="1"/>
      <c r="H34" s="1"/>
      <c r="I34" s="1"/>
      <c r="J34" s="1"/>
      <c r="K34" s="1"/>
      <c r="L34" s="1"/>
      <c r="M34" s="1"/>
      <c r="N34" s="18"/>
    </row>
    <row r="35" spans="2:14" ht="15" customHeight="1" x14ac:dyDescent="0.25">
      <c r="B35" s="20"/>
      <c r="C35" s="5" t="s">
        <v>57</v>
      </c>
      <c r="D35" s="6" t="s">
        <v>56</v>
      </c>
      <c r="E35" s="11">
        <v>2.7587E-2</v>
      </c>
      <c r="F35" s="1"/>
      <c r="G35" s="1"/>
      <c r="H35" s="1"/>
      <c r="I35" s="1"/>
      <c r="J35" s="1"/>
      <c r="K35" s="1"/>
      <c r="L35" s="1"/>
      <c r="M35" s="1"/>
      <c r="N35" s="18"/>
    </row>
    <row r="36" spans="2:14" ht="15" customHeight="1" x14ac:dyDescent="0.25">
      <c r="B36" s="20"/>
      <c r="C36" s="5" t="s">
        <v>60</v>
      </c>
      <c r="D36" s="6" t="s">
        <v>56</v>
      </c>
      <c r="E36" s="11">
        <v>2.6899999999999998E-4</v>
      </c>
      <c r="F36" s="1"/>
      <c r="G36" s="1"/>
      <c r="H36" s="1"/>
      <c r="I36" s="1"/>
      <c r="J36" s="1"/>
      <c r="K36" s="1"/>
      <c r="L36" s="1"/>
      <c r="M36" s="1"/>
      <c r="N36" s="18"/>
    </row>
    <row r="37" spans="2:14" ht="15.75" customHeight="1" x14ac:dyDescent="0.25">
      <c r="B37" s="20"/>
      <c r="C37" s="7" t="s">
        <v>62</v>
      </c>
      <c r="D37" s="8"/>
      <c r="E37" s="12">
        <v>0.20691399999999999</v>
      </c>
      <c r="F37" s="1"/>
      <c r="G37" s="1"/>
      <c r="H37" s="1"/>
      <c r="I37" s="1"/>
      <c r="J37" s="1"/>
      <c r="K37" s="1"/>
      <c r="L37" s="1"/>
      <c r="M37" s="1"/>
      <c r="N37" s="18"/>
    </row>
    <row r="38" spans="2:14" ht="15" customHeight="1" x14ac:dyDescent="0.25">
      <c r="B38" s="20"/>
      <c r="C38" s="5" t="s">
        <v>195</v>
      </c>
      <c r="D38" s="6" t="s">
        <v>56</v>
      </c>
      <c r="E38" s="11">
        <v>3.457E-3</v>
      </c>
      <c r="F38" s="1"/>
      <c r="G38" s="1"/>
      <c r="H38" s="1"/>
      <c r="I38" s="1"/>
      <c r="J38" s="1"/>
      <c r="K38" s="1"/>
      <c r="L38" s="1"/>
      <c r="M38" s="1"/>
      <c r="N38" s="18"/>
    </row>
    <row r="39" spans="2:14" ht="15.75" customHeight="1" x14ac:dyDescent="0.25">
      <c r="B39" s="20"/>
      <c r="C39" s="5" t="s">
        <v>209</v>
      </c>
      <c r="D39" s="6" t="s">
        <v>56</v>
      </c>
      <c r="E39" s="11">
        <v>7.6309999999999998E-3</v>
      </c>
      <c r="F39" s="1"/>
      <c r="G39" s="1"/>
      <c r="H39" s="1"/>
      <c r="I39" s="1"/>
      <c r="J39" s="1"/>
      <c r="K39" s="1"/>
      <c r="L39" s="1"/>
      <c r="M39" s="1"/>
      <c r="N39" s="18"/>
    </row>
    <row r="40" spans="2:14" ht="15" customHeight="1" x14ac:dyDescent="0.25">
      <c r="B40" s="20"/>
      <c r="C40" s="5" t="s">
        <v>221</v>
      </c>
      <c r="D40" s="6" t="s">
        <v>56</v>
      </c>
      <c r="E40" s="11">
        <v>3.676E-3</v>
      </c>
      <c r="F40" s="1"/>
      <c r="G40" s="1"/>
      <c r="H40" s="1"/>
      <c r="I40" s="1"/>
      <c r="J40" s="1"/>
      <c r="K40" s="1"/>
      <c r="L40" s="1"/>
      <c r="M40" s="1"/>
      <c r="N40" s="18"/>
    </row>
    <row r="41" spans="2:14" ht="15.75" customHeight="1" x14ac:dyDescent="0.25">
      <c r="B41" s="20"/>
      <c r="C41" s="5" t="s">
        <v>219</v>
      </c>
      <c r="D41" s="6" t="s">
        <v>56</v>
      </c>
      <c r="E41" s="11">
        <v>2.7460000000000002E-3</v>
      </c>
      <c r="F41" s="1"/>
      <c r="G41" s="1"/>
      <c r="H41" s="1"/>
      <c r="I41" s="1"/>
      <c r="J41" s="1"/>
      <c r="K41" s="1"/>
      <c r="L41" s="1"/>
      <c r="M41" s="1"/>
      <c r="N41" s="18"/>
    </row>
    <row r="42" spans="2:14" ht="15" customHeight="1" x14ac:dyDescent="0.25">
      <c r="B42" s="20"/>
      <c r="C42" s="5" t="s">
        <v>201</v>
      </c>
      <c r="D42" s="6" t="s">
        <v>56</v>
      </c>
      <c r="E42" s="11">
        <v>2.7260000000000001E-3</v>
      </c>
      <c r="F42" s="1"/>
      <c r="G42" s="1"/>
      <c r="H42" s="1"/>
      <c r="I42" s="1"/>
      <c r="J42" s="1"/>
      <c r="K42" s="1"/>
      <c r="L42" s="1"/>
      <c r="M42" s="1"/>
      <c r="N42" s="18"/>
    </row>
    <row r="43" spans="2:14" ht="15.75" customHeight="1" x14ac:dyDescent="0.25">
      <c r="B43" s="20"/>
      <c r="C43" s="5" t="s">
        <v>225</v>
      </c>
      <c r="D43" s="6" t="s">
        <v>56</v>
      </c>
      <c r="E43" s="11">
        <v>2.5639999999999999E-3</v>
      </c>
      <c r="F43" s="1"/>
      <c r="G43" s="1"/>
      <c r="H43" s="1"/>
      <c r="I43" s="1"/>
      <c r="J43" s="1"/>
      <c r="K43" s="1"/>
      <c r="L43" s="1"/>
      <c r="M43" s="1"/>
      <c r="N43" s="18"/>
    </row>
    <row r="44" spans="2:14" ht="15" customHeight="1" x14ac:dyDescent="0.25">
      <c r="B44" s="20"/>
      <c r="C44" s="5" t="s">
        <v>222</v>
      </c>
      <c r="D44" s="6" t="s">
        <v>56</v>
      </c>
      <c r="E44" s="11">
        <v>2.1970000000000002E-3</v>
      </c>
      <c r="F44" s="1"/>
      <c r="G44" s="1"/>
      <c r="H44" s="1"/>
      <c r="I44" s="1"/>
      <c r="J44" s="1"/>
      <c r="K44" s="1"/>
      <c r="L44" s="1"/>
      <c r="M44" s="1"/>
      <c r="N44" s="18"/>
    </row>
    <row r="45" spans="2:14" ht="15.75" customHeight="1" x14ac:dyDescent="0.25">
      <c r="B45" s="20"/>
      <c r="C45" s="5" t="s">
        <v>215</v>
      </c>
      <c r="D45" s="6" t="s">
        <v>56</v>
      </c>
      <c r="E45" s="11">
        <v>1.9369999999999999E-3</v>
      </c>
      <c r="F45" s="1"/>
      <c r="G45" s="1"/>
      <c r="H45" s="1"/>
      <c r="I45" s="1"/>
      <c r="J45" s="1"/>
      <c r="K45" s="1"/>
      <c r="L45" s="1"/>
      <c r="M45" s="1"/>
      <c r="N45" s="18"/>
    </row>
    <row r="46" spans="2:14" ht="15" customHeight="1" x14ac:dyDescent="0.25">
      <c r="B46" s="20"/>
      <c r="C46" s="5" t="s">
        <v>211</v>
      </c>
      <c r="D46" s="6" t="s">
        <v>56</v>
      </c>
      <c r="E46" s="11">
        <v>1.933E-3</v>
      </c>
      <c r="F46" s="1"/>
      <c r="G46" s="1"/>
      <c r="H46" s="1"/>
      <c r="I46" s="1"/>
      <c r="J46" s="1"/>
      <c r="K46" s="1"/>
      <c r="L46" s="1"/>
      <c r="M46" s="1"/>
      <c r="N46" s="18"/>
    </row>
    <row r="47" spans="2:14" ht="15" customHeight="1" x14ac:dyDescent="0.25">
      <c r="B47" s="20"/>
      <c r="C47" s="5" t="s">
        <v>212</v>
      </c>
      <c r="D47" s="6" t="s">
        <v>56</v>
      </c>
      <c r="E47" s="11">
        <v>1.658E-3</v>
      </c>
      <c r="F47" s="1"/>
      <c r="G47" s="1"/>
      <c r="H47" s="1"/>
      <c r="I47" s="1"/>
      <c r="J47" s="1"/>
      <c r="K47" s="1"/>
      <c r="L47" s="1"/>
      <c r="M47" s="1"/>
      <c r="N47" s="18"/>
    </row>
    <row r="48" spans="2:14" ht="15" customHeight="1" x14ac:dyDescent="0.25">
      <c r="B48" s="20"/>
      <c r="C48" s="5" t="s">
        <v>213</v>
      </c>
      <c r="D48" s="6" t="s">
        <v>56</v>
      </c>
      <c r="E48" s="11">
        <v>1.387E-3</v>
      </c>
      <c r="F48" s="1"/>
      <c r="G48" s="1"/>
      <c r="H48" s="1"/>
      <c r="I48" s="1"/>
      <c r="J48" s="1"/>
      <c r="K48" s="1"/>
      <c r="L48" s="1"/>
      <c r="M48" s="1"/>
      <c r="N48" s="18"/>
    </row>
    <row r="49" spans="2:14" ht="15" customHeight="1" x14ac:dyDescent="0.25">
      <c r="B49" s="20"/>
      <c r="C49" s="5" t="s">
        <v>218</v>
      </c>
      <c r="D49" s="6" t="s">
        <v>56</v>
      </c>
      <c r="E49" s="11">
        <v>1.377E-3</v>
      </c>
      <c r="F49" s="1"/>
      <c r="G49" s="1"/>
      <c r="H49" s="1"/>
      <c r="I49" s="1"/>
      <c r="J49" s="1"/>
      <c r="K49" s="1"/>
      <c r="L49" s="1"/>
      <c r="M49" s="1"/>
      <c r="N49" s="18"/>
    </row>
    <row r="50" spans="2:14" ht="15" customHeight="1" x14ac:dyDescent="0.25">
      <c r="B50" s="20"/>
      <c r="C50" s="5" t="s">
        <v>224</v>
      </c>
      <c r="D50" s="6" t="s">
        <v>56</v>
      </c>
      <c r="E50" s="11">
        <v>1.2849999999999999E-3</v>
      </c>
      <c r="F50" s="1"/>
      <c r="G50" s="1"/>
      <c r="H50" s="1"/>
      <c r="I50" s="1"/>
      <c r="J50" s="1"/>
      <c r="K50" s="1"/>
      <c r="L50" s="1"/>
      <c r="M50" s="1"/>
      <c r="N50" s="18"/>
    </row>
    <row r="51" spans="2:14" ht="15" customHeight="1" x14ac:dyDescent="0.25">
      <c r="B51" s="20"/>
      <c r="C51" s="5" t="s">
        <v>220</v>
      </c>
      <c r="D51" s="6" t="s">
        <v>56</v>
      </c>
      <c r="E51" s="11">
        <v>1.1069999999999999E-3</v>
      </c>
      <c r="F51" s="1"/>
      <c r="G51" s="1"/>
      <c r="H51" s="1"/>
      <c r="I51" s="1"/>
      <c r="J51" s="1"/>
      <c r="K51" s="1"/>
      <c r="L51" s="1"/>
      <c r="M51" s="1"/>
      <c r="N51" s="18"/>
    </row>
    <row r="52" spans="2:14" ht="15" customHeight="1" x14ac:dyDescent="0.25">
      <c r="B52" s="20"/>
      <c r="C52" s="5" t="s">
        <v>208</v>
      </c>
      <c r="D52" s="6" t="s">
        <v>56</v>
      </c>
      <c r="E52" s="11">
        <v>8.1800000000000004E-4</v>
      </c>
      <c r="F52" s="1"/>
      <c r="G52" s="1"/>
      <c r="H52" s="1"/>
      <c r="I52" s="1"/>
      <c r="J52" s="1"/>
      <c r="K52" s="1"/>
      <c r="L52" s="1"/>
      <c r="M52" s="1"/>
      <c r="N52" s="18"/>
    </row>
    <row r="53" spans="2:14" ht="15" customHeight="1" x14ac:dyDescent="0.25">
      <c r="B53" s="20"/>
      <c r="C53" s="5" t="s">
        <v>214</v>
      </c>
      <c r="D53" s="6" t="s">
        <v>56</v>
      </c>
      <c r="E53" s="11">
        <v>5.5500000000000005E-4</v>
      </c>
      <c r="F53" s="1"/>
      <c r="G53" s="1"/>
      <c r="H53" s="1"/>
      <c r="I53" s="1"/>
      <c r="J53" s="1"/>
      <c r="K53" s="1"/>
      <c r="L53" s="1"/>
      <c r="M53" s="1"/>
      <c r="N53" s="18"/>
    </row>
    <row r="54" spans="2:14" ht="15" customHeight="1" x14ac:dyDescent="0.25">
      <c r="B54" s="20"/>
      <c r="C54" s="5" t="s">
        <v>217</v>
      </c>
      <c r="D54" s="6" t="s">
        <v>56</v>
      </c>
      <c r="E54" s="11">
        <v>5.4799999999999998E-4</v>
      </c>
      <c r="F54" s="1"/>
      <c r="G54" s="1"/>
      <c r="H54" s="1"/>
      <c r="I54" s="1"/>
      <c r="J54" s="1"/>
      <c r="K54" s="1"/>
      <c r="L54" s="1"/>
      <c r="M54" s="1"/>
      <c r="N54" s="18"/>
    </row>
    <row r="55" spans="2:14" ht="15" customHeight="1" x14ac:dyDescent="0.25">
      <c r="B55" s="20"/>
      <c r="C55" s="5" t="s">
        <v>216</v>
      </c>
      <c r="D55" s="6" t="s">
        <v>56</v>
      </c>
      <c r="E55" s="11">
        <v>2.7599999999999999E-4</v>
      </c>
      <c r="F55" s="1"/>
      <c r="G55" s="1"/>
      <c r="H55" s="1"/>
      <c r="I55" s="1"/>
      <c r="J55" s="1"/>
      <c r="K55" s="1"/>
      <c r="L55" s="1"/>
      <c r="M55" s="1"/>
      <c r="N55" s="18"/>
    </row>
    <row r="56" spans="2:14" ht="15" customHeight="1" x14ac:dyDescent="0.25">
      <c r="B56" s="20"/>
      <c r="C56" s="5" t="s">
        <v>210</v>
      </c>
      <c r="D56" s="6" t="s">
        <v>56</v>
      </c>
      <c r="E56" s="11">
        <v>2.7500000000000002E-4</v>
      </c>
      <c r="F56" s="1"/>
      <c r="G56" s="1"/>
      <c r="H56" s="1"/>
      <c r="I56" s="1"/>
      <c r="J56" s="1"/>
      <c r="K56" s="1"/>
      <c r="L56" s="1"/>
      <c r="M56" s="1"/>
      <c r="N56" s="18"/>
    </row>
    <row r="57" spans="2:14" ht="15" customHeight="1" x14ac:dyDescent="0.25">
      <c r="B57" s="20"/>
      <c r="C57" s="5" t="s">
        <v>223</v>
      </c>
      <c r="D57" s="6" t="s">
        <v>56</v>
      </c>
      <c r="E57" s="11">
        <v>1.2799999999999999E-4</v>
      </c>
      <c r="F57" s="1"/>
      <c r="G57" s="1"/>
      <c r="H57" s="1"/>
      <c r="I57" s="1"/>
      <c r="J57" s="1"/>
      <c r="K57" s="1"/>
      <c r="L57" s="1"/>
      <c r="M57" s="1"/>
      <c r="N57" s="18"/>
    </row>
    <row r="58" spans="2:14" ht="15" customHeight="1" x14ac:dyDescent="0.25">
      <c r="B58" s="20"/>
      <c r="C58" s="5" t="s">
        <v>226</v>
      </c>
      <c r="D58" s="6" t="s">
        <v>56</v>
      </c>
      <c r="E58" s="30">
        <v>4.5000000000000003E-5</v>
      </c>
      <c r="F58" s="1"/>
      <c r="G58" s="1"/>
      <c r="H58" s="1"/>
      <c r="I58" s="1"/>
      <c r="J58" s="1"/>
      <c r="K58" s="1"/>
      <c r="L58" s="1"/>
      <c r="M58" s="1"/>
      <c r="N58" s="18"/>
    </row>
    <row r="59" spans="2:14" ht="15" customHeight="1" x14ac:dyDescent="0.25">
      <c r="B59" s="20"/>
      <c r="C59" s="7" t="s">
        <v>63</v>
      </c>
      <c r="D59" s="8"/>
      <c r="E59" s="12">
        <v>3.8325999999999999E-2</v>
      </c>
      <c r="F59" s="1"/>
      <c r="G59" s="1"/>
      <c r="H59" s="1"/>
      <c r="I59" s="1"/>
      <c r="J59" s="1"/>
      <c r="K59" s="1"/>
      <c r="L59" s="1"/>
      <c r="M59" s="1"/>
      <c r="N59" s="18"/>
    </row>
    <row r="60" spans="2:14" ht="15" customHeight="1" x14ac:dyDescent="0.25">
      <c r="B60" s="20"/>
      <c r="C60" s="5" t="s">
        <v>9</v>
      </c>
      <c r="D60" s="6"/>
      <c r="E60" s="11">
        <v>1.1991999999999999E-2</v>
      </c>
      <c r="F60" s="1"/>
      <c r="G60" s="1"/>
      <c r="H60" s="1"/>
      <c r="I60" s="1"/>
      <c r="J60" s="1"/>
      <c r="K60" s="1"/>
      <c r="L60" s="1"/>
      <c r="M60" s="1"/>
      <c r="N60" s="18"/>
    </row>
    <row r="61" spans="2:14" ht="15" customHeight="1" x14ac:dyDescent="0.25">
      <c r="B61" s="20"/>
      <c r="C61" s="7" t="s">
        <v>10</v>
      </c>
      <c r="D61" s="8"/>
      <c r="E61" s="12">
        <v>1.1991999999999999E-2</v>
      </c>
      <c r="F61" s="1"/>
      <c r="G61" s="1"/>
      <c r="H61" s="1"/>
      <c r="I61" s="1"/>
      <c r="J61" s="1"/>
      <c r="K61" s="1"/>
      <c r="L61" s="1"/>
      <c r="M61" s="1"/>
      <c r="N61" s="18"/>
    </row>
    <row r="62" spans="2:14" ht="15" customHeight="1" x14ac:dyDescent="0.25">
      <c r="B62" s="20"/>
      <c r="C62" s="5" t="s">
        <v>37</v>
      </c>
      <c r="D62" s="6" t="s">
        <v>33</v>
      </c>
      <c r="E62" s="11">
        <v>9.8999999999999994E-5</v>
      </c>
      <c r="F62" s="1"/>
      <c r="G62" s="1"/>
      <c r="H62" s="1"/>
      <c r="I62" s="1"/>
      <c r="J62" s="1"/>
      <c r="K62" s="1"/>
      <c r="L62" s="1"/>
      <c r="M62" s="1"/>
      <c r="N62" s="18"/>
    </row>
    <row r="63" spans="2:14" ht="15" customHeight="1" x14ac:dyDescent="0.25">
      <c r="B63" s="20"/>
      <c r="C63" s="7" t="s">
        <v>64</v>
      </c>
      <c r="D63" s="8"/>
      <c r="E63" s="12">
        <v>9.8999999999999994E-5</v>
      </c>
      <c r="F63" s="1"/>
      <c r="G63" s="1"/>
      <c r="H63" s="1"/>
      <c r="I63" s="1"/>
      <c r="J63" s="1"/>
      <c r="K63" s="1"/>
      <c r="L63" s="1"/>
      <c r="M63" s="1"/>
      <c r="N63" s="18"/>
    </row>
    <row r="64" spans="2:14" ht="15" customHeight="1" x14ac:dyDescent="0.25">
      <c r="B64" s="20"/>
      <c r="C64" s="5"/>
      <c r="D64" s="6"/>
      <c r="E64" s="11"/>
      <c r="F64" s="1"/>
      <c r="G64" s="1"/>
      <c r="H64" s="1"/>
      <c r="I64" s="1"/>
      <c r="J64" s="1"/>
      <c r="K64" s="1"/>
      <c r="L64" s="1"/>
      <c r="M64" s="1"/>
      <c r="N64" s="18"/>
    </row>
    <row r="65" spans="2:14" ht="15" customHeight="1" x14ac:dyDescent="0.25">
      <c r="B65" s="20"/>
      <c r="C65" s="7" t="s">
        <v>11</v>
      </c>
      <c r="D65" s="8"/>
      <c r="E65" s="12">
        <v>2.7060000000000001E-2</v>
      </c>
      <c r="F65" s="1"/>
      <c r="G65" s="1"/>
      <c r="H65" s="1"/>
      <c r="I65" s="1"/>
      <c r="J65" s="1"/>
      <c r="K65" s="1"/>
      <c r="L65" s="1"/>
      <c r="M65" s="1"/>
      <c r="N65" s="18"/>
    </row>
    <row r="66" spans="2:14" ht="15" customHeight="1" x14ac:dyDescent="0.25">
      <c r="B66" s="20"/>
      <c r="C66" s="5"/>
      <c r="D66" s="6"/>
      <c r="E66" s="11"/>
      <c r="F66" s="1"/>
      <c r="G66" s="1"/>
      <c r="H66" s="1"/>
      <c r="I66" s="1"/>
      <c r="J66" s="1"/>
      <c r="K66" s="1"/>
      <c r="L66" s="1"/>
      <c r="M66" s="1"/>
      <c r="N66" s="18"/>
    </row>
    <row r="67" spans="2:14" ht="15" customHeight="1" x14ac:dyDescent="0.25">
      <c r="B67" s="20"/>
      <c r="C67" s="9" t="s">
        <v>12</v>
      </c>
      <c r="D67" s="10"/>
      <c r="E67" s="13">
        <v>1</v>
      </c>
      <c r="F67" s="1"/>
      <c r="G67" s="1"/>
      <c r="H67" s="1"/>
      <c r="I67" s="1"/>
      <c r="J67" s="1"/>
      <c r="K67" s="1"/>
      <c r="L67" s="1"/>
      <c r="M67" s="1"/>
      <c r="N67" s="18"/>
    </row>
    <row r="68" spans="2:14" ht="15" customHeight="1" x14ac:dyDescent="0.25">
      <c r="B68" s="20"/>
      <c r="C68" s="1"/>
      <c r="D68" s="1"/>
      <c r="E68" s="1"/>
      <c r="F68" s="1"/>
      <c r="G68" s="1"/>
      <c r="H68" s="1"/>
      <c r="I68" s="1"/>
      <c r="J68" s="1"/>
      <c r="K68" s="1"/>
      <c r="L68" s="1"/>
      <c r="M68" s="1"/>
      <c r="N68" s="18"/>
    </row>
    <row r="69" spans="2:14" ht="15" customHeight="1" x14ac:dyDescent="0.25">
      <c r="B69" s="20"/>
      <c r="C69" s="1"/>
      <c r="D69" s="1"/>
      <c r="E69" s="1"/>
      <c r="F69" s="1"/>
      <c r="G69" s="1"/>
      <c r="H69" s="1"/>
      <c r="I69" s="1"/>
      <c r="J69" s="1"/>
      <c r="K69" s="1"/>
      <c r="L69" s="1"/>
      <c r="M69" s="1"/>
      <c r="N69" s="18"/>
    </row>
    <row r="70" spans="2:14" ht="15" customHeight="1" thickBot="1" x14ac:dyDescent="0.3">
      <c r="B70" s="21"/>
      <c r="C70" s="22"/>
      <c r="D70" s="22"/>
      <c r="E70" s="22"/>
      <c r="F70" s="22"/>
      <c r="G70" s="22"/>
      <c r="H70" s="22"/>
      <c r="I70" s="22"/>
      <c r="J70" s="22"/>
      <c r="K70" s="22"/>
      <c r="L70" s="22"/>
      <c r="M70" s="22"/>
      <c r="N70" s="23"/>
    </row>
    <row r="71" spans="2:14" ht="15" customHeight="1" thickBot="1" x14ac:dyDescent="0.3"/>
    <row r="72" spans="2:14" ht="120" customHeight="1" thickBot="1" x14ac:dyDescent="0.3">
      <c r="B72" s="36" t="s">
        <v>163</v>
      </c>
      <c r="C72" s="37"/>
      <c r="D72" s="37"/>
      <c r="E72" s="37"/>
      <c r="F72" s="37"/>
      <c r="G72" s="37"/>
      <c r="H72" s="37"/>
      <c r="I72" s="37"/>
      <c r="J72" s="37"/>
      <c r="K72" s="37"/>
      <c r="L72" s="37"/>
      <c r="M72" s="37"/>
      <c r="N72" s="38"/>
    </row>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sheetData>
  <sortState ref="C39:E58">
    <sortCondition descending="1" ref="E38"/>
  </sortState>
  <mergeCells count="6">
    <mergeCell ref="B72:N72"/>
    <mergeCell ref="C3:N3"/>
    <mergeCell ref="D5:E5"/>
    <mergeCell ref="G7:N7"/>
    <mergeCell ref="G24:K24"/>
    <mergeCell ref="G26:N26"/>
  </mergeCells>
  <pageMargins left="0.25" right="0.25" top="0.75" bottom="0.75" header="0.3" footer="0.3"/>
  <pageSetup scale="43" orientation="landscape" horizontalDpi="1200" verticalDpi="12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4DC3F-E0E3-4D1A-B828-919162C031B4}">
  <sheetPr>
    <pageSetUpPr fitToPage="1"/>
  </sheetPr>
  <dimension ref="B1:N54"/>
  <sheetViews>
    <sheetView showGridLines="0" view="pageBreakPreview" zoomScale="60"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9" t="s">
        <v>128</v>
      </c>
      <c r="D3" s="40"/>
      <c r="E3" s="40"/>
      <c r="F3" s="40"/>
      <c r="G3" s="40"/>
      <c r="H3" s="40"/>
      <c r="I3" s="40"/>
      <c r="J3" s="40"/>
      <c r="K3" s="40"/>
      <c r="L3" s="40"/>
      <c r="M3" s="40"/>
      <c r="N3" s="41"/>
    </row>
    <row r="4" spans="2:14" ht="15.75" customHeight="1" x14ac:dyDescent="0.25">
      <c r="B4" s="20"/>
      <c r="C4" s="14"/>
      <c r="D4" s="1"/>
      <c r="E4" s="1"/>
      <c r="F4" s="1"/>
      <c r="G4" s="1"/>
      <c r="H4" s="1"/>
      <c r="I4" s="1"/>
      <c r="J4" s="1"/>
      <c r="K4" s="1"/>
      <c r="L4" s="1"/>
      <c r="M4" s="1"/>
      <c r="N4" s="18"/>
    </row>
    <row r="5" spans="2:14" ht="18" customHeight="1" x14ac:dyDescent="0.25">
      <c r="B5" s="20"/>
      <c r="C5" s="15" t="s">
        <v>1</v>
      </c>
      <c r="D5" s="42" t="s">
        <v>129</v>
      </c>
      <c r="E5" s="4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4" t="s">
        <v>17</v>
      </c>
      <c r="H7" s="45"/>
      <c r="I7" s="45"/>
      <c r="J7" s="45"/>
      <c r="K7" s="45"/>
      <c r="L7" s="45"/>
      <c r="M7" s="45"/>
      <c r="N7" s="46"/>
    </row>
    <row r="8" spans="2:14" ht="15" customHeight="1" x14ac:dyDescent="0.25">
      <c r="B8" s="20"/>
      <c r="C8" s="5" t="s">
        <v>24</v>
      </c>
      <c r="D8" s="6" t="s">
        <v>23</v>
      </c>
      <c r="E8" s="11">
        <v>1.6643000000000002E-2</v>
      </c>
      <c r="F8" s="1"/>
      <c r="G8" s="24" t="s">
        <v>16</v>
      </c>
      <c r="H8" s="29">
        <f>137.901%-E34</f>
        <v>0.915713</v>
      </c>
      <c r="I8" s="1"/>
      <c r="J8" s="24" t="s">
        <v>13</v>
      </c>
      <c r="K8" s="24" t="s">
        <v>5</v>
      </c>
      <c r="L8" s="1"/>
      <c r="M8" s="1"/>
      <c r="N8" s="18"/>
    </row>
    <row r="9" spans="2:14" ht="15.75" customHeight="1" x14ac:dyDescent="0.25">
      <c r="B9" s="20"/>
      <c r="C9" s="7" t="s">
        <v>28</v>
      </c>
      <c r="D9" s="8"/>
      <c r="E9" s="12">
        <v>1.6643000000000002E-2</v>
      </c>
      <c r="F9" s="1"/>
      <c r="G9" s="24" t="s">
        <v>122</v>
      </c>
      <c r="H9" s="29">
        <v>8.4281999999999996E-2</v>
      </c>
      <c r="I9" s="1"/>
      <c r="J9" s="24" t="s">
        <v>11</v>
      </c>
      <c r="K9" s="29">
        <v>2.2792E-2</v>
      </c>
      <c r="L9" s="1"/>
      <c r="M9" s="1"/>
      <c r="N9" s="18"/>
    </row>
    <row r="10" spans="2:14" ht="15" customHeight="1" x14ac:dyDescent="0.25">
      <c r="B10" s="20"/>
      <c r="C10" s="5" t="s">
        <v>80</v>
      </c>
      <c r="D10" s="6" t="s">
        <v>23</v>
      </c>
      <c r="E10" s="11">
        <v>0.111413</v>
      </c>
      <c r="F10" s="1"/>
      <c r="G10" s="1"/>
      <c r="H10" s="1"/>
      <c r="I10" s="1"/>
      <c r="J10" s="24" t="s">
        <v>14</v>
      </c>
      <c r="K10" s="29">
        <v>0.18117800000000001</v>
      </c>
      <c r="L10" s="1"/>
      <c r="M10" s="1"/>
      <c r="N10" s="18"/>
    </row>
    <row r="11" spans="2:14" ht="15" customHeight="1" x14ac:dyDescent="0.25">
      <c r="B11" s="20"/>
      <c r="C11" s="5" t="s">
        <v>88</v>
      </c>
      <c r="D11" s="6" t="s">
        <v>23</v>
      </c>
      <c r="E11" s="11">
        <v>8.3496000000000001E-2</v>
      </c>
      <c r="F11" s="1"/>
      <c r="G11" s="1"/>
      <c r="H11" s="1"/>
      <c r="I11" s="1"/>
      <c r="J11" s="24" t="s">
        <v>65</v>
      </c>
      <c r="K11" s="29">
        <v>1.6643000000000002E-2</v>
      </c>
      <c r="L11" s="1"/>
      <c r="M11" s="1"/>
      <c r="N11" s="18"/>
    </row>
    <row r="12" spans="2:14" ht="15.75" customHeight="1" x14ac:dyDescent="0.25">
      <c r="B12" s="20"/>
      <c r="C12" s="7" t="s">
        <v>31</v>
      </c>
      <c r="D12" s="8"/>
      <c r="E12" s="12">
        <v>0.194909</v>
      </c>
      <c r="F12" s="1"/>
      <c r="G12" s="1"/>
      <c r="H12" s="1"/>
      <c r="I12" s="1"/>
      <c r="J12" s="24" t="s">
        <v>66</v>
      </c>
      <c r="K12" s="29">
        <v>0.48961399999999999</v>
      </c>
      <c r="L12" s="1"/>
      <c r="M12" s="1"/>
      <c r="N12" s="18"/>
    </row>
    <row r="13" spans="2:14" ht="15" customHeight="1" x14ac:dyDescent="0.25">
      <c r="B13" s="20"/>
      <c r="C13" s="5" t="s">
        <v>29</v>
      </c>
      <c r="D13" s="6" t="s">
        <v>33</v>
      </c>
      <c r="E13" s="11">
        <v>9.5598000000000002E-2</v>
      </c>
      <c r="F13" s="1"/>
      <c r="G13" s="1"/>
      <c r="H13" s="1"/>
      <c r="I13" s="1"/>
      <c r="J13" s="24" t="s">
        <v>67</v>
      </c>
      <c r="K13" s="29">
        <v>0.194909</v>
      </c>
      <c r="L13" s="1"/>
      <c r="M13" s="1"/>
      <c r="N13" s="18"/>
    </row>
    <row r="14" spans="2:14" ht="15" customHeight="1" x14ac:dyDescent="0.25">
      <c r="B14" s="20"/>
      <c r="C14" s="5" t="s">
        <v>35</v>
      </c>
      <c r="D14" s="6" t="s">
        <v>33</v>
      </c>
      <c r="E14" s="11">
        <v>9.0543999999999999E-2</v>
      </c>
      <c r="F14" s="1"/>
      <c r="G14" s="1"/>
      <c r="H14" s="1"/>
      <c r="I14" s="1"/>
      <c r="J14" s="24" t="s">
        <v>68</v>
      </c>
      <c r="K14" s="29">
        <v>9.486E-2</v>
      </c>
      <c r="L14" s="1"/>
      <c r="M14" s="1"/>
      <c r="N14" s="18"/>
    </row>
    <row r="15" spans="2:14" ht="15" customHeight="1" x14ac:dyDescent="0.25">
      <c r="B15" s="20"/>
      <c r="C15" s="5" t="s">
        <v>32</v>
      </c>
      <c r="D15" s="6" t="s">
        <v>33</v>
      </c>
      <c r="E15" s="11">
        <v>8.9328000000000005E-2</v>
      </c>
      <c r="F15" s="1"/>
      <c r="G15" s="1"/>
      <c r="H15" s="1"/>
      <c r="I15" s="1"/>
      <c r="J15" s="24"/>
      <c r="K15" s="29"/>
      <c r="L15" s="1"/>
      <c r="M15" s="1"/>
      <c r="N15" s="18"/>
    </row>
    <row r="16" spans="2:14" ht="15" customHeight="1" x14ac:dyDescent="0.25">
      <c r="B16" s="20"/>
      <c r="C16" s="5" t="s">
        <v>117</v>
      </c>
      <c r="D16" s="6" t="s">
        <v>114</v>
      </c>
      <c r="E16" s="11">
        <v>5.6328000000000003E-2</v>
      </c>
      <c r="F16" s="1"/>
      <c r="G16" s="1"/>
      <c r="H16" s="1"/>
      <c r="I16" s="1"/>
      <c r="J16" s="1"/>
      <c r="K16" s="1"/>
      <c r="L16" s="1"/>
      <c r="M16" s="1"/>
      <c r="N16" s="18"/>
    </row>
    <row r="17" spans="2:14" ht="15" customHeight="1" x14ac:dyDescent="0.25">
      <c r="B17" s="20"/>
      <c r="C17" s="5" t="s">
        <v>115</v>
      </c>
      <c r="D17" s="6" t="s">
        <v>33</v>
      </c>
      <c r="E17" s="11">
        <v>5.5122999999999998E-2</v>
      </c>
      <c r="F17" s="1"/>
      <c r="G17" s="1"/>
      <c r="H17" s="1"/>
      <c r="I17" s="1"/>
      <c r="J17" s="1"/>
      <c r="K17" s="1"/>
      <c r="L17" s="1"/>
      <c r="M17" s="1"/>
      <c r="N17" s="18"/>
    </row>
    <row r="18" spans="2:14" ht="15" customHeight="1" x14ac:dyDescent="0.25">
      <c r="B18" s="20"/>
      <c r="C18" s="5" t="s">
        <v>130</v>
      </c>
      <c r="D18" s="6" t="s">
        <v>33</v>
      </c>
      <c r="E18" s="11">
        <v>3.4504E-2</v>
      </c>
      <c r="F18" s="1"/>
      <c r="G18" s="1"/>
      <c r="H18" s="1"/>
      <c r="I18" s="1"/>
      <c r="J18" s="1"/>
      <c r="K18" s="1"/>
      <c r="L18" s="1"/>
      <c r="M18" s="1"/>
      <c r="N18" s="18"/>
    </row>
    <row r="19" spans="2:14" ht="15" customHeight="1" x14ac:dyDescent="0.25">
      <c r="B19" s="20"/>
      <c r="C19" s="5" t="s">
        <v>113</v>
      </c>
      <c r="D19" s="6" t="s">
        <v>114</v>
      </c>
      <c r="E19" s="11">
        <v>2.7954E-2</v>
      </c>
      <c r="F19" s="1"/>
      <c r="G19" s="1"/>
      <c r="H19" s="1"/>
      <c r="I19" s="1"/>
      <c r="J19" s="1"/>
      <c r="K19" s="1"/>
      <c r="L19" s="1"/>
      <c r="M19" s="1"/>
      <c r="N19" s="18"/>
    </row>
    <row r="20" spans="2:14" ht="15" customHeight="1" x14ac:dyDescent="0.25">
      <c r="B20" s="20"/>
      <c r="C20" s="5" t="s">
        <v>131</v>
      </c>
      <c r="D20" s="6" t="s">
        <v>33</v>
      </c>
      <c r="E20" s="11">
        <v>2.3210999999999999E-2</v>
      </c>
      <c r="F20" s="1"/>
      <c r="G20" s="1"/>
      <c r="H20" s="1"/>
      <c r="I20" s="1"/>
      <c r="J20" s="1"/>
      <c r="K20" s="1"/>
      <c r="L20" s="1"/>
      <c r="M20" s="1"/>
      <c r="N20" s="18"/>
    </row>
    <row r="21" spans="2:14" ht="15" customHeight="1" x14ac:dyDescent="0.25">
      <c r="B21" s="20"/>
      <c r="C21" s="5" t="s">
        <v>48</v>
      </c>
      <c r="D21" s="6" t="s">
        <v>33</v>
      </c>
      <c r="E21" s="11">
        <v>1.1433E-2</v>
      </c>
      <c r="F21" s="1"/>
      <c r="G21" s="1"/>
      <c r="H21" s="1"/>
      <c r="I21" s="1"/>
      <c r="J21" s="1"/>
      <c r="K21" s="1"/>
      <c r="L21" s="1"/>
      <c r="M21" s="1"/>
      <c r="N21" s="18"/>
    </row>
    <row r="22" spans="2:14" ht="15" customHeight="1" x14ac:dyDescent="0.25">
      <c r="B22" s="20"/>
      <c r="C22" s="5" t="s">
        <v>38</v>
      </c>
      <c r="D22" s="6" t="s">
        <v>33</v>
      </c>
      <c r="E22" s="11">
        <v>5.5909999999999996E-3</v>
      </c>
      <c r="F22" s="1"/>
      <c r="G22" s="1"/>
      <c r="H22" s="1"/>
      <c r="I22" s="1"/>
      <c r="J22" s="1"/>
      <c r="K22" s="1"/>
      <c r="L22" s="1"/>
      <c r="M22" s="1"/>
      <c r="N22" s="18"/>
    </row>
    <row r="23" spans="2:14" ht="15.75" customHeight="1" x14ac:dyDescent="0.25">
      <c r="B23" s="20"/>
      <c r="C23" s="7" t="s">
        <v>52</v>
      </c>
      <c r="D23" s="8"/>
      <c r="E23" s="12">
        <v>0.48961399999999999</v>
      </c>
      <c r="F23" s="1"/>
      <c r="G23" s="1"/>
      <c r="H23" s="1"/>
      <c r="I23" s="1"/>
      <c r="J23" s="1"/>
      <c r="K23" s="1"/>
      <c r="L23" s="1"/>
      <c r="M23" s="1"/>
      <c r="N23" s="18"/>
    </row>
    <row r="24" spans="2:14" ht="15" customHeight="1" x14ac:dyDescent="0.25">
      <c r="B24" s="20"/>
      <c r="C24" s="5" t="s">
        <v>53</v>
      </c>
      <c r="D24" s="6" t="s">
        <v>23</v>
      </c>
      <c r="E24" s="11">
        <v>7.8114000000000003E-2</v>
      </c>
      <c r="F24" s="1"/>
      <c r="G24" s="44" t="s">
        <v>18</v>
      </c>
      <c r="H24" s="45"/>
      <c r="I24" s="45"/>
      <c r="J24" s="45"/>
      <c r="K24" s="45"/>
      <c r="L24" s="26">
        <v>0.68</v>
      </c>
      <c r="M24" s="27"/>
      <c r="N24" s="28"/>
    </row>
    <row r="25" spans="2:14" ht="15" customHeight="1" x14ac:dyDescent="0.25">
      <c r="B25" s="20"/>
      <c r="C25" s="5" t="s">
        <v>24</v>
      </c>
      <c r="D25" s="6" t="s">
        <v>23</v>
      </c>
      <c r="E25" s="11">
        <v>1.6746E-2</v>
      </c>
      <c r="F25" s="1"/>
      <c r="G25" s="1"/>
      <c r="H25" s="1"/>
      <c r="I25" s="1"/>
      <c r="J25" s="1"/>
      <c r="K25" s="1"/>
      <c r="L25" s="1"/>
      <c r="M25" s="1"/>
      <c r="N25" s="18"/>
    </row>
    <row r="26" spans="2:14" ht="15.75" customHeight="1" x14ac:dyDescent="0.25">
      <c r="B26" s="20"/>
      <c r="C26" s="7" t="s">
        <v>54</v>
      </c>
      <c r="D26" s="8"/>
      <c r="E26" s="12">
        <v>9.486E-2</v>
      </c>
      <c r="F26" s="1"/>
      <c r="G26" s="44" t="s">
        <v>19</v>
      </c>
      <c r="H26" s="45"/>
      <c r="I26" s="45"/>
      <c r="J26" s="45"/>
      <c r="K26" s="45"/>
      <c r="L26" s="45"/>
      <c r="M26" s="45"/>
      <c r="N26" s="46"/>
    </row>
    <row r="27" spans="2:14" ht="15" customHeight="1" x14ac:dyDescent="0.25">
      <c r="B27" s="20"/>
      <c r="C27" s="5" t="s">
        <v>9</v>
      </c>
      <c r="D27" s="6"/>
      <c r="E27" s="11">
        <v>0.18117800000000001</v>
      </c>
      <c r="F27" s="1"/>
      <c r="G27" s="1"/>
      <c r="H27" s="1"/>
      <c r="I27" s="1"/>
      <c r="J27" s="1"/>
      <c r="K27" s="1"/>
      <c r="L27" s="1"/>
      <c r="M27" s="1"/>
      <c r="N27" s="18"/>
    </row>
    <row r="28" spans="2:14" ht="15.75" customHeight="1" x14ac:dyDescent="0.25">
      <c r="B28" s="20"/>
      <c r="C28" s="7" t="s">
        <v>10</v>
      </c>
      <c r="D28" s="8"/>
      <c r="E28" s="12">
        <v>0.18117800000000001</v>
      </c>
      <c r="F28" s="1"/>
      <c r="G28" s="1"/>
      <c r="H28" s="1"/>
      <c r="I28" s="1"/>
      <c r="J28" s="1"/>
      <c r="K28" s="1"/>
      <c r="L28" s="1"/>
      <c r="M28" s="1"/>
      <c r="N28" s="18"/>
    </row>
    <row r="29" spans="2:14" ht="15" customHeight="1" x14ac:dyDescent="0.25">
      <c r="B29" s="20"/>
      <c r="C29" s="5"/>
      <c r="D29" s="6"/>
      <c r="E29" s="11"/>
      <c r="F29" s="1"/>
      <c r="G29" s="1"/>
      <c r="H29" s="1"/>
      <c r="I29" s="1"/>
      <c r="J29" s="1"/>
      <c r="K29" s="1"/>
      <c r="L29" s="1"/>
      <c r="M29" s="1"/>
      <c r="N29" s="18"/>
    </row>
    <row r="30" spans="2:14" ht="15.75" customHeight="1" x14ac:dyDescent="0.25">
      <c r="B30" s="20"/>
      <c r="C30" s="7" t="s">
        <v>11</v>
      </c>
      <c r="D30" s="8"/>
      <c r="E30" s="12">
        <v>2.2792E-2</v>
      </c>
      <c r="F30" s="1"/>
      <c r="G30" s="1"/>
      <c r="H30" s="1"/>
      <c r="I30" s="1"/>
      <c r="J30" s="1"/>
      <c r="K30" s="1"/>
      <c r="L30" s="1"/>
      <c r="M30" s="1"/>
      <c r="N30" s="18"/>
    </row>
    <row r="31" spans="2:14" ht="15" customHeight="1" x14ac:dyDescent="0.25">
      <c r="B31" s="20"/>
      <c r="C31" s="5"/>
      <c r="D31" s="6"/>
      <c r="E31" s="11"/>
      <c r="F31" s="1"/>
      <c r="G31" s="1"/>
      <c r="H31" s="1"/>
      <c r="I31" s="1"/>
      <c r="J31" s="1"/>
      <c r="K31" s="1"/>
      <c r="L31" s="1"/>
      <c r="M31" s="1"/>
      <c r="N31" s="18"/>
    </row>
    <row r="32" spans="2:14" ht="15.75" customHeight="1" x14ac:dyDescent="0.25">
      <c r="B32" s="20"/>
      <c r="C32" s="9" t="s">
        <v>12</v>
      </c>
      <c r="D32" s="10"/>
      <c r="E32" s="13">
        <f>E30+E28+E26+E23+E12+E9</f>
        <v>0.999996</v>
      </c>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32" t="s">
        <v>132</v>
      </c>
      <c r="D34" s="32"/>
      <c r="E34" s="33">
        <v>0.46329700000000001</v>
      </c>
      <c r="F34" s="1"/>
      <c r="G34" s="1"/>
      <c r="H34" s="1"/>
      <c r="I34" s="1"/>
      <c r="J34" s="1"/>
      <c r="K34" s="1"/>
      <c r="L34" s="1"/>
      <c r="M34" s="1"/>
      <c r="N34" s="18"/>
    </row>
    <row r="35" spans="2:14" ht="15" customHeight="1" x14ac:dyDescent="0.25">
      <c r="B35" s="20"/>
      <c r="F35" s="1"/>
      <c r="G35" s="1"/>
      <c r="H35" s="1"/>
      <c r="I35" s="1"/>
      <c r="J35" s="1"/>
      <c r="K35" s="1"/>
      <c r="L35" s="1"/>
      <c r="M35" s="1"/>
      <c r="N35" s="18"/>
    </row>
    <row r="36" spans="2:14" ht="15" customHeight="1" x14ac:dyDescent="0.25">
      <c r="B36" s="20"/>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09.5" customHeight="1" thickBot="1" x14ac:dyDescent="0.3">
      <c r="B45" s="36" t="s">
        <v>163</v>
      </c>
      <c r="C45" s="37"/>
      <c r="D45" s="37"/>
      <c r="E45" s="37"/>
      <c r="F45" s="37"/>
      <c r="G45" s="37"/>
      <c r="H45" s="37"/>
      <c r="I45" s="37"/>
      <c r="J45" s="37"/>
      <c r="K45" s="37"/>
      <c r="L45" s="37"/>
      <c r="M45" s="37"/>
      <c r="N45" s="38"/>
    </row>
    <row r="46" spans="2:14" ht="15" customHeight="1" thickBot="1" x14ac:dyDescent="0.3"/>
    <row r="47" spans="2:14" ht="68.25" customHeight="1" thickBot="1" x14ac:dyDescent="0.3">
      <c r="B47" s="36" t="s">
        <v>235</v>
      </c>
      <c r="C47" s="37"/>
      <c r="D47" s="37"/>
      <c r="E47" s="37"/>
      <c r="F47" s="37"/>
      <c r="G47" s="37"/>
      <c r="H47" s="37"/>
      <c r="I47" s="37"/>
      <c r="J47" s="37"/>
      <c r="K47" s="37"/>
      <c r="L47" s="37"/>
      <c r="M47" s="37"/>
      <c r="N47" s="38"/>
    </row>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sheetData>
  <mergeCells count="7">
    <mergeCell ref="B47:N47"/>
    <mergeCell ref="B45:N45"/>
    <mergeCell ref="C3:N3"/>
    <mergeCell ref="D5:E5"/>
    <mergeCell ref="G7:N7"/>
    <mergeCell ref="G24:K24"/>
    <mergeCell ref="G26:N26"/>
  </mergeCells>
  <pageMargins left="0.7" right="0.7" top="0.75" bottom="0.75" header="0.3" footer="0.3"/>
  <pageSetup scale="57" orientation="landscape" horizontalDpi="1200" verticalDpi="12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C89DA-7AE2-4B30-9779-C073B37AE98F}">
  <sheetPr>
    <pageSetUpPr fitToPage="1"/>
  </sheetPr>
  <dimension ref="B1:N52"/>
  <sheetViews>
    <sheetView showGridLines="0" view="pageBreakPreview" topLeftCell="A19" zoomScale="60" zoomScaleNormal="75" workbookViewId="0"/>
  </sheetViews>
  <sheetFormatPr defaultRowHeight="15" x14ac:dyDescent="0.25"/>
  <cols>
    <col min="1" max="1" width="2.85546875" customWidth="1"/>
    <col min="2" max="2" width="3.85546875" customWidth="1"/>
    <col min="3" max="3" width="56.71093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9" t="s">
        <v>110</v>
      </c>
      <c r="D3" s="40"/>
      <c r="E3" s="40"/>
      <c r="F3" s="40"/>
      <c r="G3" s="40"/>
      <c r="H3" s="40"/>
      <c r="I3" s="40"/>
      <c r="J3" s="40"/>
      <c r="K3" s="40"/>
      <c r="L3" s="40"/>
      <c r="M3" s="40"/>
      <c r="N3" s="41"/>
    </row>
    <row r="4" spans="2:14" ht="15.75" customHeight="1" x14ac:dyDescent="0.25">
      <c r="B4" s="20"/>
      <c r="C4" s="14"/>
      <c r="D4" s="1"/>
      <c r="E4" s="1"/>
      <c r="F4" s="1"/>
      <c r="G4" s="1"/>
      <c r="H4" s="1"/>
      <c r="I4" s="1"/>
      <c r="J4" s="1"/>
      <c r="K4" s="1"/>
      <c r="L4" s="1"/>
      <c r="M4" s="1"/>
      <c r="N4" s="18"/>
    </row>
    <row r="5" spans="2:14" ht="18" customHeight="1" x14ac:dyDescent="0.25">
      <c r="B5" s="20"/>
      <c r="C5" s="15" t="s">
        <v>1</v>
      </c>
      <c r="D5" s="42" t="s">
        <v>111</v>
      </c>
      <c r="E5" s="4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4" t="s">
        <v>17</v>
      </c>
      <c r="H7" s="45"/>
      <c r="I7" s="45"/>
      <c r="J7" s="45"/>
      <c r="K7" s="45"/>
      <c r="L7" s="45"/>
      <c r="M7" s="45"/>
      <c r="N7" s="46"/>
    </row>
    <row r="8" spans="2:14" ht="15" customHeight="1" x14ac:dyDescent="0.25">
      <c r="B8" s="20"/>
      <c r="C8" s="5" t="s">
        <v>234</v>
      </c>
      <c r="D8" s="6" t="s">
        <v>112</v>
      </c>
      <c r="E8" s="11">
        <v>6.5224000000000004E-2</v>
      </c>
      <c r="F8" s="1"/>
      <c r="G8" s="24" t="s">
        <v>16</v>
      </c>
      <c r="H8" s="29">
        <f>71.1938%-E8</f>
        <v>0.64671400000000001</v>
      </c>
      <c r="I8" s="1"/>
      <c r="J8" s="24" t="s">
        <v>13</v>
      </c>
      <c r="K8" s="24" t="s">
        <v>5</v>
      </c>
      <c r="L8" s="1"/>
      <c r="M8" s="1"/>
      <c r="N8" s="18"/>
    </row>
    <row r="9" spans="2:14" ht="15" customHeight="1" x14ac:dyDescent="0.25">
      <c r="B9" s="20"/>
      <c r="C9" s="5" t="s">
        <v>113</v>
      </c>
      <c r="D9" s="6" t="s">
        <v>114</v>
      </c>
      <c r="E9" s="11">
        <v>6.4835000000000004E-2</v>
      </c>
      <c r="F9" s="1"/>
      <c r="G9" s="24" t="s">
        <v>122</v>
      </c>
      <c r="H9" s="29">
        <v>0.20327300000000001</v>
      </c>
      <c r="I9" s="1"/>
      <c r="J9" s="24" t="s">
        <v>11</v>
      </c>
      <c r="K9" s="29">
        <v>2.0961E-2</v>
      </c>
      <c r="L9" s="1"/>
      <c r="M9" s="1"/>
      <c r="N9" s="18"/>
    </row>
    <row r="10" spans="2:14" ht="15" customHeight="1" x14ac:dyDescent="0.25">
      <c r="B10" s="20"/>
      <c r="C10" s="5" t="s">
        <v>44</v>
      </c>
      <c r="D10" s="6" t="s">
        <v>33</v>
      </c>
      <c r="E10" s="11">
        <v>6.4538999999999999E-2</v>
      </c>
      <c r="F10" s="1"/>
      <c r="G10" s="24" t="s">
        <v>123</v>
      </c>
      <c r="H10" s="29">
        <f>5.2129%+E8</f>
        <v>0.11735300000000001</v>
      </c>
      <c r="I10" s="1"/>
      <c r="J10" s="24" t="s">
        <v>14</v>
      </c>
      <c r="K10" s="29">
        <v>0.19246199999999999</v>
      </c>
      <c r="L10" s="1"/>
      <c r="M10" s="1"/>
      <c r="N10" s="18"/>
    </row>
    <row r="11" spans="2:14" ht="15" customHeight="1" x14ac:dyDescent="0.25">
      <c r="B11" s="20"/>
      <c r="C11" s="5" t="s">
        <v>115</v>
      </c>
      <c r="D11" s="6" t="s">
        <v>33</v>
      </c>
      <c r="E11" s="11">
        <v>6.3925999999999997E-2</v>
      </c>
      <c r="F11" s="1"/>
      <c r="G11" s="24" t="s">
        <v>124</v>
      </c>
      <c r="H11" s="29">
        <v>3.2660000000000002E-2</v>
      </c>
      <c r="I11" s="1"/>
      <c r="J11" s="24" t="s">
        <v>66</v>
      </c>
      <c r="K11" s="29">
        <v>0.56452899999999995</v>
      </c>
      <c r="L11" s="1"/>
      <c r="M11" s="1"/>
      <c r="N11" s="18"/>
    </row>
    <row r="12" spans="2:14" ht="15" customHeight="1" x14ac:dyDescent="0.25">
      <c r="B12" s="20"/>
      <c r="C12" s="5" t="s">
        <v>40</v>
      </c>
      <c r="D12" s="6" t="s">
        <v>33</v>
      </c>
      <c r="E12" s="11">
        <v>6.2016000000000002E-2</v>
      </c>
      <c r="F12" s="1"/>
      <c r="G12" s="1"/>
      <c r="H12" s="1"/>
      <c r="I12" s="1"/>
      <c r="J12" s="24" t="s">
        <v>69</v>
      </c>
      <c r="K12" s="29">
        <v>0.145208</v>
      </c>
      <c r="L12" s="1"/>
      <c r="M12" s="1"/>
      <c r="N12" s="18"/>
    </row>
    <row r="13" spans="2:14" ht="15" customHeight="1" x14ac:dyDescent="0.25">
      <c r="B13" s="20"/>
      <c r="C13" s="5" t="s">
        <v>116</v>
      </c>
      <c r="D13" s="6" t="s">
        <v>114</v>
      </c>
      <c r="E13" s="11">
        <v>5.9614E-2</v>
      </c>
      <c r="F13" s="1"/>
      <c r="G13" s="1"/>
      <c r="H13" s="1"/>
      <c r="I13" s="1"/>
      <c r="J13" s="24" t="s">
        <v>85</v>
      </c>
      <c r="K13" s="29">
        <v>7.6840000000000006E-2</v>
      </c>
      <c r="L13" s="1"/>
      <c r="M13" s="1"/>
      <c r="N13" s="18"/>
    </row>
    <row r="14" spans="2:14" ht="15" customHeight="1" x14ac:dyDescent="0.25">
      <c r="B14" s="20"/>
      <c r="C14" s="5" t="s">
        <v>117</v>
      </c>
      <c r="D14" s="6" t="s">
        <v>114</v>
      </c>
      <c r="E14" s="11">
        <v>5.2589999999999998E-2</v>
      </c>
      <c r="F14" s="1"/>
      <c r="G14" s="1"/>
      <c r="H14" s="1"/>
      <c r="I14" s="1"/>
      <c r="J14" s="1"/>
      <c r="K14" s="1"/>
      <c r="L14" s="1"/>
      <c r="M14" s="1"/>
      <c r="N14" s="18"/>
    </row>
    <row r="15" spans="2:14" ht="15" customHeight="1" x14ac:dyDescent="0.25">
      <c r="B15" s="20"/>
      <c r="C15" s="5" t="s">
        <v>232</v>
      </c>
      <c r="D15" s="6" t="s">
        <v>118</v>
      </c>
      <c r="E15" s="11">
        <v>4.5404E-2</v>
      </c>
      <c r="F15" s="1"/>
      <c r="G15" s="1"/>
      <c r="H15" s="1"/>
      <c r="I15" s="1"/>
      <c r="J15" s="1"/>
      <c r="K15" s="1"/>
      <c r="L15" s="1"/>
      <c r="M15" s="1"/>
      <c r="N15" s="18"/>
    </row>
    <row r="16" spans="2:14" ht="15" customHeight="1" x14ac:dyDescent="0.25">
      <c r="B16" s="20"/>
      <c r="C16" s="5" t="s">
        <v>119</v>
      </c>
      <c r="D16" s="6" t="s">
        <v>120</v>
      </c>
      <c r="E16" s="11">
        <v>3.2660000000000002E-2</v>
      </c>
      <c r="F16" s="1"/>
      <c r="G16" s="1"/>
      <c r="H16" s="1"/>
      <c r="I16" s="1"/>
      <c r="J16" s="1"/>
      <c r="K16" s="1"/>
      <c r="L16" s="1"/>
      <c r="M16" s="1"/>
      <c r="N16" s="18"/>
    </row>
    <row r="17" spans="2:14" ht="15" customHeight="1" x14ac:dyDescent="0.25">
      <c r="B17" s="20"/>
      <c r="C17" s="5" t="s">
        <v>233</v>
      </c>
      <c r="D17" s="6" t="s">
        <v>114</v>
      </c>
      <c r="E17" s="11">
        <v>2.6234E-2</v>
      </c>
      <c r="F17" s="1"/>
      <c r="G17" s="1"/>
      <c r="H17" s="1"/>
      <c r="I17" s="1"/>
      <c r="J17" s="1"/>
      <c r="K17" s="1"/>
      <c r="L17" s="1"/>
      <c r="M17" s="1"/>
      <c r="N17" s="18"/>
    </row>
    <row r="18" spans="2:14" ht="15" customHeight="1" x14ac:dyDescent="0.25">
      <c r="B18" s="20"/>
      <c r="C18" s="5" t="s">
        <v>34</v>
      </c>
      <c r="D18" s="6" t="s">
        <v>33</v>
      </c>
      <c r="E18" s="11">
        <v>1.392E-2</v>
      </c>
      <c r="F18" s="1"/>
      <c r="G18" s="1"/>
      <c r="H18" s="1"/>
      <c r="I18" s="1"/>
      <c r="J18" s="1"/>
      <c r="K18" s="1"/>
      <c r="L18" s="1"/>
      <c r="M18" s="1"/>
      <c r="N18" s="18"/>
    </row>
    <row r="19" spans="2:14" ht="15" customHeight="1" x14ac:dyDescent="0.25">
      <c r="B19" s="20"/>
      <c r="C19" s="5" t="s">
        <v>29</v>
      </c>
      <c r="D19" s="6" t="s">
        <v>33</v>
      </c>
      <c r="E19" s="11">
        <v>6.842E-3</v>
      </c>
      <c r="F19" s="1"/>
      <c r="G19" s="1"/>
      <c r="H19" s="1"/>
      <c r="I19" s="1"/>
      <c r="J19" s="1"/>
      <c r="K19" s="1"/>
      <c r="L19" s="1"/>
      <c r="M19" s="1"/>
      <c r="N19" s="18"/>
    </row>
    <row r="20" spans="2:14" ht="15" customHeight="1" x14ac:dyDescent="0.25">
      <c r="B20" s="20"/>
      <c r="C20" s="5" t="s">
        <v>121</v>
      </c>
      <c r="D20" s="6" t="s">
        <v>118</v>
      </c>
      <c r="E20" s="11">
        <v>6.7250000000000001E-3</v>
      </c>
      <c r="F20" s="1"/>
      <c r="G20" s="1"/>
      <c r="H20" s="1"/>
      <c r="I20" s="1"/>
      <c r="J20" s="1"/>
      <c r="K20" s="1"/>
      <c r="L20" s="1"/>
      <c r="M20" s="1"/>
      <c r="N20" s="18"/>
    </row>
    <row r="21" spans="2:14" ht="15.75" customHeight="1" x14ac:dyDescent="0.25">
      <c r="B21" s="20"/>
      <c r="C21" s="7" t="s">
        <v>52</v>
      </c>
      <c r="D21" s="8"/>
      <c r="E21" s="12">
        <v>0.56452899999999995</v>
      </c>
      <c r="F21" s="1"/>
      <c r="G21" s="1"/>
      <c r="H21" s="1"/>
      <c r="I21" s="1"/>
      <c r="J21" s="1"/>
      <c r="K21" s="1"/>
      <c r="L21" s="1"/>
      <c r="M21" s="1"/>
      <c r="N21" s="18"/>
    </row>
    <row r="22" spans="2:14" ht="15" customHeight="1" x14ac:dyDescent="0.25">
      <c r="B22" s="20"/>
      <c r="C22" s="5" t="s">
        <v>81</v>
      </c>
      <c r="D22" s="6" t="s">
        <v>56</v>
      </c>
      <c r="E22" s="11">
        <v>0.13240199999999999</v>
      </c>
      <c r="F22" s="1"/>
      <c r="G22" s="1"/>
      <c r="H22" s="1"/>
      <c r="I22" s="1"/>
      <c r="J22" s="1"/>
      <c r="K22" s="1"/>
      <c r="L22" s="1"/>
      <c r="M22" s="1"/>
      <c r="N22" s="18"/>
    </row>
    <row r="23" spans="2:14" ht="15" customHeight="1" x14ac:dyDescent="0.25">
      <c r="B23" s="20"/>
      <c r="C23" s="5" t="s">
        <v>109</v>
      </c>
      <c r="D23" s="6" t="s">
        <v>56</v>
      </c>
      <c r="E23" s="11">
        <v>1.2806E-2</v>
      </c>
      <c r="F23" s="1"/>
      <c r="G23" s="1"/>
      <c r="H23" s="1"/>
      <c r="I23" s="1"/>
      <c r="J23" s="1"/>
      <c r="K23" s="1"/>
      <c r="L23" s="1"/>
      <c r="M23" s="1"/>
      <c r="N23" s="18"/>
    </row>
    <row r="24" spans="2:14" ht="15.75" customHeight="1" x14ac:dyDescent="0.25">
      <c r="B24" s="20"/>
      <c r="C24" s="7" t="s">
        <v>62</v>
      </c>
      <c r="D24" s="8"/>
      <c r="E24" s="12">
        <v>0.145208</v>
      </c>
      <c r="F24" s="1"/>
      <c r="G24" s="44" t="s">
        <v>18</v>
      </c>
      <c r="H24" s="45"/>
      <c r="I24" s="45"/>
      <c r="J24" s="45"/>
      <c r="K24" s="45"/>
      <c r="L24" s="26">
        <v>3.2</v>
      </c>
      <c r="M24" s="27"/>
      <c r="N24" s="28"/>
    </row>
    <row r="25" spans="2:14" ht="15" customHeight="1" x14ac:dyDescent="0.25">
      <c r="B25" s="20"/>
      <c r="C25" s="5" t="s">
        <v>229</v>
      </c>
      <c r="D25" s="6" t="s">
        <v>83</v>
      </c>
      <c r="E25" s="11">
        <v>7.6840000000000006E-2</v>
      </c>
      <c r="F25" s="1"/>
      <c r="G25" s="1"/>
      <c r="H25" s="1"/>
      <c r="I25" s="1"/>
      <c r="J25" s="1"/>
      <c r="K25" s="1"/>
      <c r="L25" s="1"/>
      <c r="M25" s="1"/>
      <c r="N25" s="18"/>
    </row>
    <row r="26" spans="2:14" ht="15.75" customHeight="1" x14ac:dyDescent="0.25">
      <c r="B26" s="20"/>
      <c r="C26" s="7" t="s">
        <v>84</v>
      </c>
      <c r="D26" s="8"/>
      <c r="E26" s="12">
        <v>7.6840000000000006E-2</v>
      </c>
      <c r="F26" s="1"/>
      <c r="G26" s="44" t="s">
        <v>19</v>
      </c>
      <c r="H26" s="45"/>
      <c r="I26" s="45"/>
      <c r="J26" s="45"/>
      <c r="K26" s="45"/>
      <c r="L26" s="45"/>
      <c r="M26" s="45"/>
      <c r="N26" s="46"/>
    </row>
    <row r="27" spans="2:14" ht="15" customHeight="1" x14ac:dyDescent="0.25">
      <c r="B27" s="20"/>
      <c r="C27" s="5" t="s">
        <v>9</v>
      </c>
      <c r="D27" s="6"/>
      <c r="E27" s="11">
        <v>0.19246199999999999</v>
      </c>
      <c r="F27" s="1"/>
      <c r="G27" s="1"/>
      <c r="H27" s="1"/>
      <c r="I27" s="1"/>
      <c r="J27" s="1"/>
      <c r="K27" s="1"/>
      <c r="L27" s="1"/>
      <c r="M27" s="1"/>
      <c r="N27" s="18"/>
    </row>
    <row r="28" spans="2:14" ht="15.75" customHeight="1" x14ac:dyDescent="0.25">
      <c r="B28" s="20"/>
      <c r="C28" s="7" t="s">
        <v>10</v>
      </c>
      <c r="D28" s="8"/>
      <c r="E28" s="12">
        <v>0.19246199999999999</v>
      </c>
      <c r="F28" s="1"/>
      <c r="G28" s="1"/>
      <c r="H28" s="1"/>
      <c r="I28" s="1"/>
      <c r="J28" s="1"/>
      <c r="K28" s="1"/>
      <c r="L28" s="1"/>
      <c r="M28" s="1"/>
      <c r="N28" s="18"/>
    </row>
    <row r="29" spans="2:14" ht="15" customHeight="1" x14ac:dyDescent="0.25">
      <c r="B29" s="20"/>
      <c r="C29" s="5"/>
      <c r="D29" s="6"/>
      <c r="E29" s="11"/>
      <c r="F29" s="1"/>
      <c r="G29" s="1"/>
      <c r="H29" s="1"/>
      <c r="I29" s="1"/>
      <c r="J29" s="1"/>
      <c r="K29" s="1"/>
      <c r="L29" s="1"/>
      <c r="M29" s="1"/>
      <c r="N29" s="18"/>
    </row>
    <row r="30" spans="2:14" ht="15.75" customHeight="1" x14ac:dyDescent="0.25">
      <c r="B30" s="20"/>
      <c r="C30" s="7" t="s">
        <v>11</v>
      </c>
      <c r="D30" s="8"/>
      <c r="E30" s="12">
        <v>2.0961E-2</v>
      </c>
      <c r="F30" s="1"/>
      <c r="G30" s="1"/>
      <c r="H30" s="1"/>
      <c r="I30" s="1"/>
      <c r="J30" s="1"/>
      <c r="K30" s="1"/>
      <c r="L30" s="1"/>
      <c r="M30" s="1"/>
      <c r="N30" s="18"/>
    </row>
    <row r="31" spans="2:14" ht="15" customHeight="1" x14ac:dyDescent="0.25">
      <c r="B31" s="20"/>
      <c r="C31" s="5"/>
      <c r="D31" s="6"/>
      <c r="E31" s="11"/>
      <c r="F31" s="1"/>
      <c r="G31" s="1"/>
      <c r="H31" s="1"/>
      <c r="I31" s="1"/>
      <c r="J31" s="1"/>
      <c r="K31" s="1"/>
      <c r="L31" s="1"/>
      <c r="M31" s="1"/>
      <c r="N31" s="18"/>
    </row>
    <row r="32" spans="2:14" ht="15" customHeight="1" x14ac:dyDescent="0.25">
      <c r="B32" s="20"/>
      <c r="C32" s="9" t="s">
        <v>12</v>
      </c>
      <c r="D32" s="10"/>
      <c r="E32" s="13">
        <v>1</v>
      </c>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t="s">
        <v>230</v>
      </c>
      <c r="D34" s="1"/>
      <c r="E34" s="1"/>
      <c r="F34" s="1"/>
      <c r="G34" s="1"/>
      <c r="H34" s="1"/>
      <c r="I34" s="1"/>
      <c r="J34" s="1"/>
      <c r="K34" s="1"/>
      <c r="L34" s="1"/>
      <c r="M34" s="1"/>
      <c r="N34" s="18"/>
    </row>
    <row r="35" spans="2:14" ht="15" customHeight="1" x14ac:dyDescent="0.25">
      <c r="B35" s="20"/>
      <c r="C35" s="1" t="s">
        <v>228</v>
      </c>
      <c r="D35" s="1"/>
      <c r="E35" s="1"/>
      <c r="F35" s="1"/>
      <c r="G35" s="1"/>
      <c r="H35" s="1"/>
      <c r="I35" s="1"/>
      <c r="J35" s="1"/>
      <c r="K35" s="1"/>
      <c r="L35" s="1"/>
      <c r="M35" s="1"/>
      <c r="N35" s="18"/>
    </row>
    <row r="36" spans="2:14" ht="15" customHeight="1" x14ac:dyDescent="0.25">
      <c r="B36" s="20"/>
      <c r="C36" s="34" t="s">
        <v>231</v>
      </c>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19.25" customHeight="1" thickBot="1" x14ac:dyDescent="0.3">
      <c r="B45" s="36" t="s">
        <v>163</v>
      </c>
      <c r="C45" s="37"/>
      <c r="D45" s="37"/>
      <c r="E45" s="37"/>
      <c r="F45" s="37"/>
      <c r="G45" s="37"/>
      <c r="H45" s="37"/>
      <c r="I45" s="37"/>
      <c r="J45" s="37"/>
      <c r="K45" s="37"/>
      <c r="L45" s="37"/>
      <c r="M45" s="37"/>
      <c r="N45" s="38"/>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sheetData>
  <mergeCells count="6">
    <mergeCell ref="B45:N45"/>
    <mergeCell ref="C3:N3"/>
    <mergeCell ref="D5:E5"/>
    <mergeCell ref="G7:N7"/>
    <mergeCell ref="G24:K24"/>
    <mergeCell ref="G26:N26"/>
  </mergeCells>
  <pageMargins left="0.25" right="0.25" top="0.75" bottom="0.75" header="0.3" footer="0.3"/>
  <pageSetup scale="64" orientation="landscape" horizontalDpi="1200" verticalDpi="12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718CC-04C1-4D69-B638-3293454552FB}">
  <sheetPr>
    <pageSetUpPr fitToPage="1"/>
  </sheetPr>
  <dimension ref="B1:N45"/>
  <sheetViews>
    <sheetView showGridLines="0" view="pageBreakPreview" zoomScale="60" zoomScaleNormal="75" workbookViewId="0"/>
  </sheetViews>
  <sheetFormatPr defaultRowHeight="15" x14ac:dyDescent="0.25"/>
  <cols>
    <col min="1" max="1" width="2.85546875" customWidth="1"/>
    <col min="2" max="2" width="3.85546875" customWidth="1"/>
    <col min="3" max="3" width="54.28515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9" t="s">
        <v>140</v>
      </c>
      <c r="D3" s="40"/>
      <c r="E3" s="40"/>
      <c r="F3" s="40"/>
      <c r="G3" s="40"/>
      <c r="H3" s="40"/>
      <c r="I3" s="40"/>
      <c r="J3" s="40"/>
      <c r="K3" s="40"/>
      <c r="L3" s="40"/>
      <c r="M3" s="40"/>
      <c r="N3" s="41"/>
    </row>
    <row r="4" spans="2:14" ht="15.75" customHeight="1" x14ac:dyDescent="0.25">
      <c r="B4" s="20"/>
      <c r="C4" s="14"/>
      <c r="D4" s="1"/>
      <c r="E4" s="1"/>
      <c r="F4" s="1"/>
      <c r="G4" s="1"/>
      <c r="H4" s="1"/>
      <c r="I4" s="1"/>
      <c r="J4" s="1"/>
      <c r="K4" s="1"/>
      <c r="L4" s="1"/>
      <c r="M4" s="1"/>
      <c r="N4" s="18"/>
    </row>
    <row r="5" spans="2:14" ht="18" customHeight="1" x14ac:dyDescent="0.25">
      <c r="B5" s="20"/>
      <c r="C5" s="15" t="s">
        <v>1</v>
      </c>
      <c r="D5" s="42" t="s">
        <v>141</v>
      </c>
      <c r="E5" s="4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4" t="s">
        <v>17</v>
      </c>
      <c r="H7" s="45"/>
      <c r="I7" s="45"/>
      <c r="J7" s="45"/>
      <c r="K7" s="45"/>
      <c r="L7" s="45"/>
      <c r="M7" s="45"/>
      <c r="N7" s="46"/>
    </row>
    <row r="8" spans="2:14" ht="15" customHeight="1" x14ac:dyDescent="0.25">
      <c r="B8" s="20"/>
      <c r="C8" s="5" t="s">
        <v>74</v>
      </c>
      <c r="D8" s="6" t="s">
        <v>56</v>
      </c>
      <c r="E8" s="11">
        <v>0.28054000000000001</v>
      </c>
      <c r="F8" s="1"/>
      <c r="G8" s="24" t="s">
        <v>16</v>
      </c>
      <c r="H8" s="25">
        <v>1</v>
      </c>
      <c r="I8" s="1"/>
      <c r="J8" s="24" t="s">
        <v>13</v>
      </c>
      <c r="K8" s="24" t="s">
        <v>5</v>
      </c>
      <c r="L8" s="1"/>
      <c r="M8" s="1"/>
      <c r="N8" s="18"/>
    </row>
    <row r="9" spans="2:14" ht="15" customHeight="1" x14ac:dyDescent="0.25">
      <c r="B9" s="20"/>
      <c r="C9" s="5" t="s">
        <v>75</v>
      </c>
      <c r="D9" s="6" t="s">
        <v>56</v>
      </c>
      <c r="E9" s="11">
        <v>0.187551</v>
      </c>
      <c r="F9" s="1"/>
      <c r="G9" s="1"/>
      <c r="H9" s="1"/>
      <c r="I9" s="1"/>
      <c r="J9" s="24" t="s">
        <v>11</v>
      </c>
      <c r="K9" s="29">
        <v>9.4990000000000005E-3</v>
      </c>
      <c r="L9" s="1"/>
      <c r="M9" s="1"/>
      <c r="N9" s="18"/>
    </row>
    <row r="10" spans="2:14" ht="15" customHeight="1" x14ac:dyDescent="0.25">
      <c r="B10" s="20"/>
      <c r="C10" s="5" t="s">
        <v>81</v>
      </c>
      <c r="D10" s="6" t="s">
        <v>56</v>
      </c>
      <c r="E10" s="30">
        <v>4.5000000000000003E-5</v>
      </c>
      <c r="F10" s="1"/>
      <c r="G10" s="1"/>
      <c r="H10" s="1"/>
      <c r="I10" s="1"/>
      <c r="J10" s="24" t="s">
        <v>14</v>
      </c>
      <c r="K10" s="29">
        <v>0.52236499999999997</v>
      </c>
      <c r="L10" s="1"/>
      <c r="M10" s="1"/>
      <c r="N10" s="18"/>
    </row>
    <row r="11" spans="2:14" ht="15.75" customHeight="1" x14ac:dyDescent="0.25">
      <c r="B11" s="20"/>
      <c r="C11" s="7" t="s">
        <v>62</v>
      </c>
      <c r="D11" s="8"/>
      <c r="E11" s="12">
        <v>0.468136</v>
      </c>
      <c r="F11" s="1"/>
      <c r="G11" s="1"/>
      <c r="H11" s="1"/>
      <c r="I11" s="1"/>
      <c r="J11" s="24" t="s">
        <v>69</v>
      </c>
      <c r="K11" s="29">
        <v>0.468136</v>
      </c>
      <c r="L11" s="1"/>
      <c r="M11" s="1"/>
      <c r="N11" s="18"/>
    </row>
    <row r="12" spans="2:14" ht="15" customHeight="1" x14ac:dyDescent="0.25">
      <c r="B12" s="20"/>
      <c r="C12" s="5" t="s">
        <v>9</v>
      </c>
      <c r="D12" s="6"/>
      <c r="E12" s="11">
        <v>0.52236499999999997</v>
      </c>
      <c r="F12" s="1"/>
      <c r="G12" s="1"/>
      <c r="H12" s="1"/>
      <c r="I12" s="1"/>
      <c r="J12" s="1"/>
      <c r="K12" s="1"/>
      <c r="L12" s="1"/>
      <c r="M12" s="1"/>
      <c r="N12" s="18"/>
    </row>
    <row r="13" spans="2:14" ht="15.75" customHeight="1" x14ac:dyDescent="0.25">
      <c r="B13" s="20"/>
      <c r="C13" s="7" t="s">
        <v>10</v>
      </c>
      <c r="D13" s="8"/>
      <c r="E13" s="12">
        <v>0.52236499999999997</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11</v>
      </c>
      <c r="D15" s="8"/>
      <c r="E15" s="12">
        <v>9.4990000000000005E-3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12</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4" t="s">
        <v>18</v>
      </c>
      <c r="H24" s="45"/>
      <c r="I24" s="45"/>
      <c r="J24" s="45"/>
      <c r="K24" s="45"/>
      <c r="L24" s="26">
        <v>2.2799999999999998</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4" t="s">
        <v>19</v>
      </c>
      <c r="H26" s="45"/>
      <c r="I26" s="45"/>
      <c r="J26" s="45"/>
      <c r="K26" s="45"/>
      <c r="L26" s="45"/>
      <c r="M26" s="45"/>
      <c r="N26" s="46"/>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3.25" customHeight="1" thickBot="1" x14ac:dyDescent="0.3">
      <c r="B45" s="36" t="s">
        <v>163</v>
      </c>
      <c r="C45" s="37"/>
      <c r="D45" s="37"/>
      <c r="E45" s="37"/>
      <c r="F45" s="37"/>
      <c r="G45" s="37"/>
      <c r="H45" s="37"/>
      <c r="I45" s="37"/>
      <c r="J45" s="37"/>
      <c r="K45" s="37"/>
      <c r="L45" s="37"/>
      <c r="M45" s="37"/>
      <c r="N45" s="38"/>
    </row>
  </sheetData>
  <mergeCells count="6">
    <mergeCell ref="B45:N45"/>
    <mergeCell ref="C3:N3"/>
    <mergeCell ref="D5:E5"/>
    <mergeCell ref="G7:N7"/>
    <mergeCell ref="G24:K24"/>
    <mergeCell ref="G26:N26"/>
  </mergeCells>
  <pageMargins left="0.25" right="0.25" top="0.75" bottom="0.75" header="0.3" footer="0.3"/>
  <pageSetup scale="65" orientation="landscape" horizontalDpi="1200" verticalDpi="120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AA9AD-B013-4A29-AB3B-999A5593B742}">
  <sheetPr>
    <pageSetUpPr fitToPage="1"/>
  </sheetPr>
  <dimension ref="B1:N45"/>
  <sheetViews>
    <sheetView showGridLines="0" view="pageBreakPreview" topLeftCell="A13" zoomScale="60" zoomScaleNormal="75" workbookViewId="0">
      <selection activeCell="A13" sqref="A13"/>
    </sheetView>
  </sheetViews>
  <sheetFormatPr defaultRowHeight="15" x14ac:dyDescent="0.25"/>
  <cols>
    <col min="1" max="1" width="2.85546875" customWidth="1"/>
    <col min="2" max="2" width="3.85546875" customWidth="1"/>
    <col min="3" max="3" width="54.28515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9" t="s">
        <v>142</v>
      </c>
      <c r="D3" s="40"/>
      <c r="E3" s="40"/>
      <c r="F3" s="40"/>
      <c r="G3" s="40"/>
      <c r="H3" s="40"/>
      <c r="I3" s="40"/>
      <c r="J3" s="40"/>
      <c r="K3" s="40"/>
      <c r="L3" s="40"/>
      <c r="M3" s="40"/>
      <c r="N3" s="41"/>
    </row>
    <row r="4" spans="2:14" ht="15.75" customHeight="1" x14ac:dyDescent="0.25">
      <c r="B4" s="20"/>
      <c r="C4" s="14"/>
      <c r="D4" s="1"/>
      <c r="E4" s="1"/>
      <c r="F4" s="1"/>
      <c r="G4" s="1"/>
      <c r="H4" s="1"/>
      <c r="I4" s="1"/>
      <c r="J4" s="1"/>
      <c r="K4" s="1"/>
      <c r="L4" s="1"/>
      <c r="M4" s="1"/>
      <c r="N4" s="18"/>
    </row>
    <row r="5" spans="2:14" ht="18" customHeight="1" x14ac:dyDescent="0.25">
      <c r="B5" s="20"/>
      <c r="C5" s="15" t="s">
        <v>1</v>
      </c>
      <c r="D5" s="42" t="s">
        <v>143</v>
      </c>
      <c r="E5" s="4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4" t="s">
        <v>17</v>
      </c>
      <c r="H7" s="45"/>
      <c r="I7" s="45"/>
      <c r="J7" s="45"/>
      <c r="K7" s="45"/>
      <c r="L7" s="45"/>
      <c r="M7" s="45"/>
      <c r="N7" s="46"/>
    </row>
    <row r="8" spans="2:14" ht="15" customHeight="1" x14ac:dyDescent="0.25">
      <c r="B8" s="20"/>
      <c r="C8" s="5" t="s">
        <v>76</v>
      </c>
      <c r="D8" s="6" t="s">
        <v>56</v>
      </c>
      <c r="E8" s="11">
        <v>0.856881</v>
      </c>
      <c r="F8" s="1"/>
      <c r="G8" s="24" t="s">
        <v>16</v>
      </c>
      <c r="H8" s="25">
        <v>1</v>
      </c>
      <c r="I8" s="1"/>
      <c r="J8" s="24" t="s">
        <v>13</v>
      </c>
      <c r="K8" s="24" t="s">
        <v>5</v>
      </c>
      <c r="L8" s="1"/>
      <c r="M8" s="1"/>
      <c r="N8" s="18"/>
    </row>
    <row r="9" spans="2:14" ht="15" customHeight="1" x14ac:dyDescent="0.25">
      <c r="B9" s="20"/>
      <c r="C9" s="5" t="s">
        <v>81</v>
      </c>
      <c r="D9" s="6" t="s">
        <v>56</v>
      </c>
      <c r="E9" s="11">
        <v>6.3481999999999997E-2</v>
      </c>
      <c r="F9" s="1"/>
      <c r="G9" s="1"/>
      <c r="H9" s="1"/>
      <c r="I9" s="1"/>
      <c r="J9" s="24" t="s">
        <v>11</v>
      </c>
      <c r="K9" s="29">
        <v>2.6228000000000001E-2</v>
      </c>
      <c r="L9" s="1"/>
      <c r="M9" s="1"/>
      <c r="N9" s="18"/>
    </row>
    <row r="10" spans="2:14" ht="15" customHeight="1" x14ac:dyDescent="0.25">
      <c r="B10" s="20"/>
      <c r="C10" s="5" t="s">
        <v>82</v>
      </c>
      <c r="D10" s="6" t="s">
        <v>56</v>
      </c>
      <c r="E10" s="11">
        <v>2.8500000000000001E-2</v>
      </c>
      <c r="F10" s="1"/>
      <c r="G10" s="1"/>
      <c r="H10" s="1"/>
      <c r="I10" s="1"/>
      <c r="J10" s="24" t="s">
        <v>14</v>
      </c>
      <c r="K10" s="29">
        <v>4.9899999999999999E-4</v>
      </c>
      <c r="L10" s="1"/>
      <c r="M10" s="1"/>
      <c r="N10" s="18"/>
    </row>
    <row r="11" spans="2:14" ht="15" customHeight="1" x14ac:dyDescent="0.25">
      <c r="B11" s="20"/>
      <c r="C11" s="5" t="s">
        <v>74</v>
      </c>
      <c r="D11" s="6" t="s">
        <v>56</v>
      </c>
      <c r="E11" s="11">
        <v>2.4410000000000001E-2</v>
      </c>
      <c r="F11" s="1"/>
      <c r="G11" s="1"/>
      <c r="H11" s="1"/>
      <c r="I11" s="1"/>
      <c r="J11" s="24" t="s">
        <v>69</v>
      </c>
      <c r="K11" s="29">
        <v>0.97327300000000005</v>
      </c>
      <c r="L11" s="1"/>
      <c r="M11" s="1"/>
      <c r="N11" s="18"/>
    </row>
    <row r="12" spans="2:14" ht="15.75" customHeight="1" x14ac:dyDescent="0.25">
      <c r="B12" s="20"/>
      <c r="C12" s="7" t="s">
        <v>62</v>
      </c>
      <c r="D12" s="8"/>
      <c r="E12" s="12">
        <v>0.97327300000000005</v>
      </c>
      <c r="F12" s="1"/>
      <c r="G12" s="1"/>
      <c r="H12" s="1"/>
      <c r="I12" s="1"/>
      <c r="J12" s="1"/>
      <c r="K12" s="1"/>
      <c r="L12" s="1"/>
      <c r="M12" s="1"/>
      <c r="N12" s="18"/>
    </row>
    <row r="13" spans="2:14" ht="15" customHeight="1" x14ac:dyDescent="0.25">
      <c r="B13" s="20"/>
      <c r="C13" s="5" t="s">
        <v>9</v>
      </c>
      <c r="D13" s="6"/>
      <c r="E13" s="11">
        <v>4.9899999999999999E-4</v>
      </c>
      <c r="F13" s="1"/>
      <c r="G13" s="1"/>
      <c r="H13" s="1"/>
      <c r="I13" s="1"/>
      <c r="J13" s="1"/>
      <c r="K13" s="1"/>
      <c r="L13" s="1"/>
      <c r="M13" s="1"/>
      <c r="N13" s="18"/>
    </row>
    <row r="14" spans="2:14" ht="15.75" customHeight="1" x14ac:dyDescent="0.25">
      <c r="B14" s="20"/>
      <c r="C14" s="7" t="s">
        <v>10</v>
      </c>
      <c r="D14" s="8"/>
      <c r="E14" s="12">
        <v>4.9899999999999999E-4</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7" t="s">
        <v>11</v>
      </c>
      <c r="D16" s="8"/>
      <c r="E16" s="12">
        <v>2.6228000000000001E-2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9" t="s">
        <v>12</v>
      </c>
      <c r="D18" s="10"/>
      <c r="E18" s="13">
        <v>1</v>
      </c>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4" t="s">
        <v>18</v>
      </c>
      <c r="H24" s="45"/>
      <c r="I24" s="45"/>
      <c r="J24" s="45"/>
      <c r="K24" s="45"/>
      <c r="L24" s="26">
        <v>8.75</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4" t="s">
        <v>19</v>
      </c>
      <c r="H26" s="45"/>
      <c r="I26" s="45"/>
      <c r="J26" s="45"/>
      <c r="K26" s="45"/>
      <c r="L26" s="45"/>
      <c r="M26" s="45"/>
      <c r="N26" s="46"/>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0.25" customHeight="1" thickBot="1" x14ac:dyDescent="0.3">
      <c r="B45" s="36" t="s">
        <v>163</v>
      </c>
      <c r="C45" s="37"/>
      <c r="D45" s="37"/>
      <c r="E45" s="37"/>
      <c r="F45" s="37"/>
      <c r="G45" s="37"/>
      <c r="H45" s="37"/>
      <c r="I45" s="37"/>
      <c r="J45" s="37"/>
      <c r="K45" s="37"/>
      <c r="L45" s="37"/>
      <c r="M45" s="37"/>
      <c r="N45" s="38"/>
    </row>
  </sheetData>
  <mergeCells count="6">
    <mergeCell ref="B45:N45"/>
    <mergeCell ref="C3:N3"/>
    <mergeCell ref="D5:E5"/>
    <mergeCell ref="G7:N7"/>
    <mergeCell ref="G24:K24"/>
    <mergeCell ref="G26:N26"/>
  </mergeCells>
  <pageMargins left="0.25" right="0.25" top="0.75" bottom="0.75" header="0.3" footer="0.3"/>
  <pageSetup scale="65" orientation="landscape" horizontalDpi="1200" verticalDpi="120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74166-80AB-4D62-A665-3FF1758A4E3A}">
  <sheetPr>
    <pageSetUpPr fitToPage="1"/>
  </sheetPr>
  <dimension ref="B1:N45"/>
  <sheetViews>
    <sheetView showGridLines="0" view="pageBreakPreview" zoomScale="60" zoomScaleNormal="75" workbookViewId="0"/>
  </sheetViews>
  <sheetFormatPr defaultRowHeight="15" x14ac:dyDescent="0.25"/>
  <cols>
    <col min="1" max="1" width="2.85546875" customWidth="1"/>
    <col min="2" max="2" width="3.85546875" customWidth="1"/>
    <col min="3" max="3" width="54.28515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9" t="s">
        <v>133</v>
      </c>
      <c r="D3" s="40"/>
      <c r="E3" s="40"/>
      <c r="F3" s="40"/>
      <c r="G3" s="40"/>
      <c r="H3" s="40"/>
      <c r="I3" s="40"/>
      <c r="J3" s="40"/>
      <c r="K3" s="40"/>
      <c r="L3" s="40"/>
      <c r="M3" s="40"/>
      <c r="N3" s="41"/>
    </row>
    <row r="4" spans="2:14" ht="15.75" customHeight="1" x14ac:dyDescent="0.25">
      <c r="B4" s="20"/>
      <c r="C4" s="14"/>
      <c r="D4" s="1"/>
      <c r="E4" s="1"/>
      <c r="F4" s="1"/>
      <c r="G4" s="1"/>
      <c r="H4" s="1"/>
      <c r="I4" s="1"/>
      <c r="J4" s="1"/>
      <c r="K4" s="1"/>
      <c r="L4" s="1"/>
      <c r="M4" s="1"/>
      <c r="N4" s="18"/>
    </row>
    <row r="5" spans="2:14" ht="18" customHeight="1" x14ac:dyDescent="0.25">
      <c r="B5" s="20"/>
      <c r="C5" s="15" t="s">
        <v>1</v>
      </c>
      <c r="D5" s="42" t="s">
        <v>134</v>
      </c>
      <c r="E5" s="4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4" t="s">
        <v>17</v>
      </c>
      <c r="H7" s="45"/>
      <c r="I7" s="45"/>
      <c r="J7" s="45"/>
      <c r="K7" s="45"/>
      <c r="L7" s="45"/>
      <c r="M7" s="45"/>
      <c r="N7" s="46"/>
    </row>
    <row r="8" spans="2:14" ht="15" customHeight="1" x14ac:dyDescent="0.25">
      <c r="B8" s="20"/>
      <c r="C8" s="5" t="s">
        <v>74</v>
      </c>
      <c r="D8" s="6" t="s">
        <v>56</v>
      </c>
      <c r="E8" s="11">
        <v>0.56971099999999997</v>
      </c>
      <c r="F8" s="1"/>
      <c r="G8" s="24" t="s">
        <v>16</v>
      </c>
      <c r="H8" s="25">
        <v>1</v>
      </c>
      <c r="I8" s="1"/>
      <c r="J8" s="24" t="s">
        <v>13</v>
      </c>
      <c r="K8" s="24" t="s">
        <v>5</v>
      </c>
      <c r="L8" s="1"/>
      <c r="M8" s="1"/>
      <c r="N8" s="18"/>
    </row>
    <row r="9" spans="2:14" ht="15" customHeight="1" x14ac:dyDescent="0.25">
      <c r="B9" s="20"/>
      <c r="C9" s="5" t="s">
        <v>82</v>
      </c>
      <c r="D9" s="6" t="s">
        <v>56</v>
      </c>
      <c r="E9" s="11">
        <v>0.36228700000000003</v>
      </c>
      <c r="F9" s="1"/>
      <c r="G9" s="1"/>
      <c r="H9" s="1"/>
      <c r="I9" s="1"/>
      <c r="J9" s="24" t="s">
        <v>11</v>
      </c>
      <c r="K9" s="29">
        <v>1.2161999999999999E-2</v>
      </c>
      <c r="L9" s="1"/>
      <c r="M9" s="1"/>
      <c r="N9" s="18"/>
    </row>
    <row r="10" spans="2:14" ht="15.75" customHeight="1" x14ac:dyDescent="0.25">
      <c r="B10" s="20"/>
      <c r="C10" s="7" t="s">
        <v>62</v>
      </c>
      <c r="D10" s="8"/>
      <c r="E10" s="12">
        <v>0.93199799999999999</v>
      </c>
      <c r="F10" s="1"/>
      <c r="G10" s="1"/>
      <c r="H10" s="1"/>
      <c r="I10" s="1"/>
      <c r="J10" s="24" t="s">
        <v>14</v>
      </c>
      <c r="K10" s="29">
        <v>3.8488000000000001E-2</v>
      </c>
      <c r="L10" s="1"/>
      <c r="M10" s="1"/>
      <c r="N10" s="18"/>
    </row>
    <row r="11" spans="2:14" ht="15" customHeight="1" x14ac:dyDescent="0.25">
      <c r="B11" s="20"/>
      <c r="C11" s="5" t="s">
        <v>135</v>
      </c>
      <c r="D11" s="6" t="s">
        <v>56</v>
      </c>
      <c r="E11" s="11">
        <v>5.7879999999999997E-3</v>
      </c>
      <c r="F11" s="1"/>
      <c r="G11" s="1"/>
      <c r="H11" s="1"/>
      <c r="I11" s="1"/>
      <c r="J11" s="24" t="s">
        <v>69</v>
      </c>
      <c r="K11" s="29">
        <v>0.93199799999999999</v>
      </c>
      <c r="L11" s="1"/>
      <c r="M11" s="1"/>
      <c r="N11" s="18"/>
    </row>
    <row r="12" spans="2:14" ht="15" customHeight="1" x14ac:dyDescent="0.25">
      <c r="B12" s="20"/>
      <c r="C12" s="5" t="s">
        <v>136</v>
      </c>
      <c r="D12" s="6" t="s">
        <v>56</v>
      </c>
      <c r="E12" s="11">
        <v>5.7840000000000001E-3</v>
      </c>
      <c r="F12" s="1"/>
      <c r="G12" s="1"/>
      <c r="H12" s="1"/>
      <c r="I12" s="1"/>
      <c r="J12" s="24" t="s">
        <v>102</v>
      </c>
      <c r="K12" s="29">
        <v>1.7351999999999999E-2</v>
      </c>
      <c r="L12" s="1"/>
      <c r="M12" s="1"/>
      <c r="N12" s="18"/>
    </row>
    <row r="13" spans="2:14" ht="15" customHeight="1" x14ac:dyDescent="0.25">
      <c r="B13" s="20"/>
      <c r="C13" s="5" t="s">
        <v>137</v>
      </c>
      <c r="D13" s="6" t="s">
        <v>56</v>
      </c>
      <c r="E13" s="11">
        <v>5.7800000000000004E-3</v>
      </c>
      <c r="F13" s="1"/>
      <c r="G13" s="1"/>
      <c r="H13" s="1"/>
      <c r="I13" s="1"/>
      <c r="J13" s="1"/>
      <c r="K13" s="1"/>
      <c r="L13" s="1"/>
      <c r="M13" s="1"/>
      <c r="N13" s="18"/>
    </row>
    <row r="14" spans="2:14" ht="15.75" customHeight="1" x14ac:dyDescent="0.25">
      <c r="B14" s="20"/>
      <c r="C14" s="7" t="s">
        <v>101</v>
      </c>
      <c r="D14" s="8"/>
      <c r="E14" s="12">
        <v>1.7351999999999999E-2</v>
      </c>
      <c r="F14" s="1"/>
      <c r="G14" s="1"/>
      <c r="H14" s="1"/>
      <c r="I14" s="1"/>
      <c r="J14" s="1"/>
      <c r="K14" s="1"/>
      <c r="L14" s="1"/>
      <c r="M14" s="1"/>
      <c r="N14" s="18"/>
    </row>
    <row r="15" spans="2:14" ht="15" customHeight="1" x14ac:dyDescent="0.25">
      <c r="B15" s="20"/>
      <c r="C15" s="5" t="s">
        <v>9</v>
      </c>
      <c r="D15" s="6"/>
      <c r="E15" s="11">
        <v>3.8488000000000001E-2</v>
      </c>
      <c r="F15" s="1"/>
      <c r="G15" s="1"/>
      <c r="H15" s="1"/>
      <c r="I15" s="1"/>
      <c r="J15" s="1"/>
      <c r="K15" s="1"/>
      <c r="L15" s="1"/>
      <c r="M15" s="1"/>
      <c r="N15" s="18"/>
    </row>
    <row r="16" spans="2:14" ht="15.75" customHeight="1" x14ac:dyDescent="0.25">
      <c r="B16" s="20"/>
      <c r="C16" s="7" t="s">
        <v>10</v>
      </c>
      <c r="D16" s="8"/>
      <c r="E16" s="12">
        <v>3.8488000000000001E-2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11</v>
      </c>
      <c r="D18" s="8"/>
      <c r="E18" s="12">
        <v>1.2161999999999999E-2</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12</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4" t="s">
        <v>18</v>
      </c>
      <c r="H24" s="45"/>
      <c r="I24" s="45"/>
      <c r="J24" s="45"/>
      <c r="K24" s="45"/>
      <c r="L24" s="26">
        <v>4.83</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4" t="s">
        <v>19</v>
      </c>
      <c r="H26" s="45"/>
      <c r="I26" s="45"/>
      <c r="J26" s="45"/>
      <c r="K26" s="45"/>
      <c r="L26" s="45"/>
      <c r="M26" s="45"/>
      <c r="N26" s="46"/>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4.75" customHeight="1" thickBot="1" x14ac:dyDescent="0.3">
      <c r="B45" s="36" t="s">
        <v>163</v>
      </c>
      <c r="C45" s="37"/>
      <c r="D45" s="37"/>
      <c r="E45" s="37"/>
      <c r="F45" s="37"/>
      <c r="G45" s="37"/>
      <c r="H45" s="37"/>
      <c r="I45" s="37"/>
      <c r="J45" s="37"/>
      <c r="K45" s="37"/>
      <c r="L45" s="37"/>
      <c r="M45" s="37"/>
      <c r="N45" s="38"/>
    </row>
  </sheetData>
  <mergeCells count="6">
    <mergeCell ref="B45:N45"/>
    <mergeCell ref="C3:N3"/>
    <mergeCell ref="D5:E5"/>
    <mergeCell ref="G7:N7"/>
    <mergeCell ref="G24:K24"/>
    <mergeCell ref="G26:N26"/>
  </mergeCells>
  <pageMargins left="0.25" right="0.25" top="0.75" bottom="0.75" header="0.3" footer="0.3"/>
  <pageSetup scale="65" orientation="landscape" horizontalDpi="1200" verticalDpi="1200"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0B2A9-B59C-40D7-B506-79C8A2B1044B}">
  <sheetPr>
    <pageSetUpPr fitToPage="1"/>
  </sheetPr>
  <dimension ref="B1:N45"/>
  <sheetViews>
    <sheetView showGridLines="0" view="pageBreakPreview" zoomScale="60" zoomScaleNormal="75" workbookViewId="0"/>
  </sheetViews>
  <sheetFormatPr defaultRowHeight="15" x14ac:dyDescent="0.25"/>
  <cols>
    <col min="1" max="1" width="2.85546875" customWidth="1"/>
    <col min="2" max="2" width="3.85546875" customWidth="1"/>
    <col min="3" max="3" width="54.28515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9" t="s">
        <v>138</v>
      </c>
      <c r="D3" s="40"/>
      <c r="E3" s="40"/>
      <c r="F3" s="40"/>
      <c r="G3" s="40"/>
      <c r="H3" s="40"/>
      <c r="I3" s="40"/>
      <c r="J3" s="40"/>
      <c r="K3" s="40"/>
      <c r="L3" s="40"/>
      <c r="M3" s="40"/>
      <c r="N3" s="41"/>
    </row>
    <row r="4" spans="2:14" ht="15.75" customHeight="1" x14ac:dyDescent="0.25">
      <c r="B4" s="20"/>
      <c r="C4" s="14"/>
      <c r="D4" s="1"/>
      <c r="E4" s="1"/>
      <c r="F4" s="1"/>
      <c r="G4" s="1"/>
      <c r="H4" s="1"/>
      <c r="I4" s="1"/>
      <c r="J4" s="1"/>
      <c r="K4" s="1"/>
      <c r="L4" s="1"/>
      <c r="M4" s="1"/>
      <c r="N4" s="18"/>
    </row>
    <row r="5" spans="2:14" ht="18" customHeight="1" x14ac:dyDescent="0.25">
      <c r="B5" s="20"/>
      <c r="C5" s="15" t="s">
        <v>1</v>
      </c>
      <c r="D5" s="42" t="s">
        <v>139</v>
      </c>
      <c r="E5" s="4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4" t="s">
        <v>17</v>
      </c>
      <c r="H7" s="45"/>
      <c r="I7" s="45"/>
      <c r="J7" s="45"/>
      <c r="K7" s="45"/>
      <c r="L7" s="45"/>
      <c r="M7" s="45"/>
      <c r="N7" s="46"/>
    </row>
    <row r="8" spans="2:14" ht="15" customHeight="1" x14ac:dyDescent="0.25">
      <c r="B8" s="20"/>
      <c r="C8" s="5" t="s">
        <v>81</v>
      </c>
      <c r="D8" s="6" t="s">
        <v>56</v>
      </c>
      <c r="E8" s="11">
        <v>0.68533599999999995</v>
      </c>
      <c r="F8" s="1"/>
      <c r="G8" s="24" t="s">
        <v>16</v>
      </c>
      <c r="H8" s="25">
        <v>1</v>
      </c>
      <c r="I8" s="1"/>
      <c r="J8" s="24" t="s">
        <v>13</v>
      </c>
      <c r="K8" s="24" t="s">
        <v>5</v>
      </c>
      <c r="L8" s="1"/>
      <c r="M8" s="1"/>
      <c r="N8" s="18"/>
    </row>
    <row r="9" spans="2:14" ht="15" customHeight="1" x14ac:dyDescent="0.25">
      <c r="B9" s="20"/>
      <c r="C9" s="5" t="s">
        <v>90</v>
      </c>
      <c r="D9" s="6" t="s">
        <v>56</v>
      </c>
      <c r="E9" s="11">
        <v>0.25002600000000003</v>
      </c>
      <c r="F9" s="1"/>
      <c r="G9" s="1"/>
      <c r="H9" s="1"/>
      <c r="I9" s="1"/>
      <c r="J9" s="24" t="s">
        <v>11</v>
      </c>
      <c r="K9" s="29">
        <v>1.5062000000000001E-2</v>
      </c>
      <c r="L9" s="1"/>
      <c r="M9" s="1"/>
      <c r="N9" s="18"/>
    </row>
    <row r="10" spans="2:14" ht="15.75" customHeight="1" x14ac:dyDescent="0.25">
      <c r="B10" s="20"/>
      <c r="C10" s="7" t="s">
        <v>62</v>
      </c>
      <c r="D10" s="8"/>
      <c r="E10" s="12">
        <v>0.93536200000000003</v>
      </c>
      <c r="F10" s="1"/>
      <c r="G10" s="1"/>
      <c r="H10" s="1"/>
      <c r="I10" s="1"/>
      <c r="J10" s="24" t="s">
        <v>14</v>
      </c>
      <c r="K10" s="29">
        <v>3.2938000000000002E-2</v>
      </c>
      <c r="L10" s="1"/>
      <c r="M10" s="1"/>
      <c r="N10" s="18"/>
    </row>
    <row r="11" spans="2:14" ht="15" customHeight="1" x14ac:dyDescent="0.25">
      <c r="B11" s="20"/>
      <c r="C11" s="5" t="s">
        <v>135</v>
      </c>
      <c r="D11" s="6" t="s">
        <v>56</v>
      </c>
      <c r="E11" s="11">
        <v>5.5500000000000002E-3</v>
      </c>
      <c r="F11" s="1"/>
      <c r="G11" s="1"/>
      <c r="H11" s="1"/>
      <c r="I11" s="1"/>
      <c r="J11" s="24" t="s">
        <v>69</v>
      </c>
      <c r="K11" s="29">
        <v>0.93536200000000003</v>
      </c>
      <c r="L11" s="1"/>
      <c r="M11" s="1"/>
      <c r="N11" s="18"/>
    </row>
    <row r="12" spans="2:14" ht="15" customHeight="1" x14ac:dyDescent="0.25">
      <c r="B12" s="20"/>
      <c r="C12" s="5" t="s">
        <v>136</v>
      </c>
      <c r="D12" s="6" t="s">
        <v>56</v>
      </c>
      <c r="E12" s="11">
        <v>5.5459999999999997E-3</v>
      </c>
      <c r="F12" s="1"/>
      <c r="G12" s="1"/>
      <c r="H12" s="1"/>
      <c r="I12" s="1"/>
      <c r="J12" s="24" t="s">
        <v>102</v>
      </c>
      <c r="K12" s="29">
        <v>1.6638E-2</v>
      </c>
      <c r="L12" s="1"/>
      <c r="M12" s="1"/>
      <c r="N12" s="18"/>
    </row>
    <row r="13" spans="2:14" ht="15" customHeight="1" x14ac:dyDescent="0.25">
      <c r="B13" s="20"/>
      <c r="C13" s="5" t="s">
        <v>137</v>
      </c>
      <c r="D13" s="6" t="s">
        <v>56</v>
      </c>
      <c r="E13" s="11">
        <v>5.5420000000000001E-3</v>
      </c>
      <c r="F13" s="1"/>
      <c r="G13" s="1"/>
      <c r="H13" s="1"/>
      <c r="I13" s="1"/>
      <c r="J13" s="1"/>
      <c r="K13" s="1"/>
      <c r="L13" s="1"/>
      <c r="M13" s="1"/>
      <c r="N13" s="18"/>
    </row>
    <row r="14" spans="2:14" ht="15.75" customHeight="1" x14ac:dyDescent="0.25">
      <c r="B14" s="20"/>
      <c r="C14" s="7" t="s">
        <v>101</v>
      </c>
      <c r="D14" s="8"/>
      <c r="E14" s="12">
        <v>1.6638E-2</v>
      </c>
      <c r="F14" s="1"/>
      <c r="G14" s="1"/>
      <c r="H14" s="1"/>
      <c r="I14" s="1"/>
      <c r="J14" s="1"/>
      <c r="K14" s="1"/>
      <c r="L14" s="1"/>
      <c r="M14" s="1"/>
      <c r="N14" s="18"/>
    </row>
    <row r="15" spans="2:14" ht="15" customHeight="1" x14ac:dyDescent="0.25">
      <c r="B15" s="20"/>
      <c r="C15" s="5" t="s">
        <v>9</v>
      </c>
      <c r="D15" s="6"/>
      <c r="E15" s="11">
        <v>3.2938000000000002E-2</v>
      </c>
      <c r="F15" s="1"/>
      <c r="G15" s="1"/>
      <c r="H15" s="1"/>
      <c r="I15" s="1"/>
      <c r="J15" s="1"/>
      <c r="K15" s="1"/>
      <c r="L15" s="1"/>
      <c r="M15" s="1"/>
      <c r="N15" s="18"/>
    </row>
    <row r="16" spans="2:14" ht="15.75" customHeight="1" x14ac:dyDescent="0.25">
      <c r="B16" s="20"/>
      <c r="C16" s="7" t="s">
        <v>10</v>
      </c>
      <c r="D16" s="8"/>
      <c r="E16" s="12">
        <v>3.2938000000000002E-2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11</v>
      </c>
      <c r="D18" s="8"/>
      <c r="E18" s="12">
        <v>1.5062000000000001E-2</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12</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4" t="s">
        <v>18</v>
      </c>
      <c r="H24" s="45"/>
      <c r="I24" s="45"/>
      <c r="J24" s="45"/>
      <c r="K24" s="45"/>
      <c r="L24" s="26">
        <v>5.5</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4" t="s">
        <v>19</v>
      </c>
      <c r="H26" s="45"/>
      <c r="I26" s="45"/>
      <c r="J26" s="45"/>
      <c r="K26" s="45"/>
      <c r="L26" s="45"/>
      <c r="M26" s="45"/>
      <c r="N26" s="46"/>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09.5" customHeight="1" thickBot="1" x14ac:dyDescent="0.3">
      <c r="B45" s="36" t="s">
        <v>163</v>
      </c>
      <c r="C45" s="37"/>
      <c r="D45" s="37"/>
      <c r="E45" s="37"/>
      <c r="F45" s="37"/>
      <c r="G45" s="37"/>
      <c r="H45" s="37"/>
      <c r="I45" s="37"/>
      <c r="J45" s="37"/>
      <c r="K45" s="37"/>
      <c r="L45" s="37"/>
      <c r="M45" s="37"/>
      <c r="N45" s="38"/>
    </row>
  </sheetData>
  <mergeCells count="6">
    <mergeCell ref="B45:N45"/>
    <mergeCell ref="C3:N3"/>
    <mergeCell ref="D5:E5"/>
    <mergeCell ref="G7:N7"/>
    <mergeCell ref="G24:K24"/>
    <mergeCell ref="G26:N26"/>
  </mergeCells>
  <pageMargins left="0.25" right="0.25" top="0.75" bottom="0.75" header="0.3" footer="0.3"/>
  <pageSetup scale="65" orientation="landscape" horizontalDpi="1200" verticalDpi="120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530D4-65E0-402D-8627-7001770C7BF3}">
  <sheetPr>
    <pageSetUpPr fitToPage="1"/>
  </sheetPr>
  <dimension ref="B1:N45"/>
  <sheetViews>
    <sheetView showGridLines="0" view="pageBreakPreview" zoomScale="60" zoomScaleNormal="75" workbookViewId="0"/>
  </sheetViews>
  <sheetFormatPr defaultRowHeight="15" x14ac:dyDescent="0.25"/>
  <cols>
    <col min="1" max="1" width="2.85546875" customWidth="1"/>
    <col min="2" max="2" width="3.85546875" customWidth="1"/>
    <col min="3" max="3" width="59"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9" t="s">
        <v>0</v>
      </c>
      <c r="D3" s="40"/>
      <c r="E3" s="40"/>
      <c r="F3" s="40"/>
      <c r="G3" s="40"/>
      <c r="H3" s="40"/>
      <c r="I3" s="40"/>
      <c r="J3" s="40"/>
      <c r="K3" s="40"/>
      <c r="L3" s="40"/>
      <c r="M3" s="40"/>
      <c r="N3" s="41"/>
    </row>
    <row r="4" spans="2:14" ht="15.75" customHeight="1" x14ac:dyDescent="0.25">
      <c r="B4" s="20"/>
      <c r="C4" s="14"/>
      <c r="D4" s="1"/>
      <c r="E4" s="1"/>
      <c r="F4" s="1"/>
      <c r="G4" s="1"/>
      <c r="H4" s="1"/>
      <c r="I4" s="1"/>
      <c r="J4" s="1"/>
      <c r="K4" s="1"/>
      <c r="L4" s="1"/>
      <c r="M4" s="1"/>
      <c r="N4" s="18"/>
    </row>
    <row r="5" spans="2:14" ht="18" customHeight="1" x14ac:dyDescent="0.25">
      <c r="B5" s="20"/>
      <c r="C5" s="15" t="s">
        <v>1</v>
      </c>
      <c r="D5" s="42" t="s">
        <v>2</v>
      </c>
      <c r="E5" s="4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4" t="s">
        <v>17</v>
      </c>
      <c r="H7" s="45"/>
      <c r="I7" s="45"/>
      <c r="J7" s="45"/>
      <c r="K7" s="45"/>
      <c r="L7" s="45"/>
      <c r="M7" s="45"/>
      <c r="N7" s="46"/>
    </row>
    <row r="8" spans="2:14" ht="15" customHeight="1" x14ac:dyDescent="0.25">
      <c r="B8" s="20"/>
      <c r="C8" s="5" t="s">
        <v>227</v>
      </c>
      <c r="D8" s="6"/>
      <c r="E8" s="11">
        <v>0.61504700000000001</v>
      </c>
      <c r="F8" s="1"/>
      <c r="G8" s="24" t="s">
        <v>16</v>
      </c>
      <c r="H8" s="25">
        <v>1</v>
      </c>
      <c r="I8" s="1"/>
      <c r="J8" s="24" t="s">
        <v>13</v>
      </c>
      <c r="K8" s="24" t="s">
        <v>5</v>
      </c>
      <c r="L8" s="1"/>
      <c r="M8" s="1"/>
      <c r="N8" s="18"/>
    </row>
    <row r="9" spans="2:14" ht="15" customHeight="1" x14ac:dyDescent="0.25">
      <c r="B9" s="20"/>
      <c r="C9" s="5" t="s">
        <v>6</v>
      </c>
      <c r="D9" s="6"/>
      <c r="E9" s="11">
        <v>0.31337900000000002</v>
      </c>
      <c r="F9" s="1"/>
      <c r="G9" s="1"/>
      <c r="H9" s="1"/>
      <c r="I9" s="1"/>
      <c r="J9" s="24" t="s">
        <v>11</v>
      </c>
      <c r="K9" s="29">
        <v>-1.3190000000000001E-3</v>
      </c>
      <c r="L9" s="1"/>
      <c r="M9" s="1"/>
      <c r="N9" s="18"/>
    </row>
    <row r="10" spans="2:14" ht="15" customHeight="1" x14ac:dyDescent="0.25">
      <c r="B10" s="20"/>
      <c r="C10" s="5" t="s">
        <v>7</v>
      </c>
      <c r="D10" s="6"/>
      <c r="E10" s="11">
        <v>6.7424999999999999E-2</v>
      </c>
      <c r="F10" s="1"/>
      <c r="G10" s="1"/>
      <c r="H10" s="1"/>
      <c r="I10" s="1"/>
      <c r="J10" s="24" t="s">
        <v>14</v>
      </c>
      <c r="K10" s="29">
        <v>5.4679999999999998E-3</v>
      </c>
      <c r="L10" s="1"/>
      <c r="M10" s="1"/>
      <c r="N10" s="18"/>
    </row>
    <row r="11" spans="2:14" ht="15.75" customHeight="1" x14ac:dyDescent="0.25">
      <c r="B11" s="20"/>
      <c r="C11" s="7" t="s">
        <v>8</v>
      </c>
      <c r="D11" s="8"/>
      <c r="E11" s="12">
        <v>0.99585100000000004</v>
      </c>
      <c r="F11" s="1"/>
      <c r="G11" s="1"/>
      <c r="H11" s="1"/>
      <c r="I11" s="1"/>
      <c r="J11" s="24" t="s">
        <v>15</v>
      </c>
      <c r="K11" s="29">
        <v>0.99585100000000004</v>
      </c>
      <c r="L11" s="1"/>
      <c r="M11" s="1"/>
      <c r="N11" s="18"/>
    </row>
    <row r="12" spans="2:14" ht="15" customHeight="1" x14ac:dyDescent="0.25">
      <c r="B12" s="20"/>
      <c r="C12" s="5" t="s">
        <v>9</v>
      </c>
      <c r="D12" s="6"/>
      <c r="E12" s="11">
        <v>5.4679999999999998E-3</v>
      </c>
      <c r="F12" s="1"/>
      <c r="G12" s="1"/>
      <c r="H12" s="1"/>
      <c r="I12" s="1"/>
      <c r="J12" s="1"/>
      <c r="K12" s="1"/>
      <c r="L12" s="1"/>
      <c r="M12" s="1"/>
      <c r="N12" s="18"/>
    </row>
    <row r="13" spans="2:14" ht="15.75" customHeight="1" x14ac:dyDescent="0.25">
      <c r="B13" s="20"/>
      <c r="C13" s="7" t="s">
        <v>10</v>
      </c>
      <c r="D13" s="8"/>
      <c r="E13" s="12">
        <v>5.4679999999999998E-3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11</v>
      </c>
      <c r="D15" s="8"/>
      <c r="E15" s="12">
        <v>-1.3190000000000001E-3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12</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4" t="s">
        <v>18</v>
      </c>
      <c r="H24" s="45"/>
      <c r="I24" s="45"/>
      <c r="J24" s="45"/>
      <c r="K24" s="45"/>
      <c r="L24" s="26">
        <v>1.34</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4" t="s">
        <v>19</v>
      </c>
      <c r="H26" s="45"/>
      <c r="I26" s="45"/>
      <c r="J26" s="45"/>
      <c r="K26" s="45"/>
      <c r="L26" s="45"/>
      <c r="M26" s="45"/>
      <c r="N26" s="46"/>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1.75" customHeight="1" thickBot="1" x14ac:dyDescent="0.3">
      <c r="B45" s="36" t="s">
        <v>163</v>
      </c>
      <c r="C45" s="37"/>
      <c r="D45" s="37"/>
      <c r="E45" s="37"/>
      <c r="F45" s="37"/>
      <c r="G45" s="37"/>
      <c r="H45" s="37"/>
      <c r="I45" s="37"/>
      <c r="J45" s="37"/>
      <c r="K45" s="37"/>
      <c r="L45" s="37"/>
      <c r="M45" s="37"/>
      <c r="N45" s="38"/>
    </row>
  </sheetData>
  <mergeCells count="6">
    <mergeCell ref="B45:N45"/>
    <mergeCell ref="C3:N3"/>
    <mergeCell ref="D5:E5"/>
    <mergeCell ref="G7:N7"/>
    <mergeCell ref="G24:K24"/>
    <mergeCell ref="G26:N26"/>
  </mergeCells>
  <pageMargins left="0.25" right="0.25" top="0.75" bottom="0.75" header="0.3" footer="0.3"/>
  <pageSetup scale="62" orientation="landscape" horizontalDpi="90" verticalDpi="9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18</vt:i4>
      </vt:variant>
    </vt:vector>
  </HeadingPairs>
  <TitlesOfParts>
    <vt:vector size="36" baseType="lpstr">
      <vt:lpstr>IDFC OF</vt:lpstr>
      <vt:lpstr>IDFC CF</vt:lpstr>
      <vt:lpstr>IDFC LDF</vt:lpstr>
      <vt:lpstr>IDFC MMF</vt:lpstr>
      <vt:lpstr>IDFC USTF</vt:lpstr>
      <vt:lpstr>IDFC DBF</vt:lpstr>
      <vt:lpstr>IDFC BOND IP</vt:lpstr>
      <vt:lpstr>IDFC BOND MT</vt:lpstr>
      <vt:lpstr>IDFC BOND ST</vt:lpstr>
      <vt:lpstr>IDFC BPDF</vt:lpstr>
      <vt:lpstr>IDFC-CBF</vt:lpstr>
      <vt:lpstr>IDFC FRF</vt:lpstr>
      <vt:lpstr>IDFC CRF</vt:lpstr>
      <vt:lpstr>IDFC GSF-IP</vt:lpstr>
      <vt:lpstr>IDFC GSF - CMP</vt:lpstr>
      <vt:lpstr>IDFC-GIF2027</vt:lpstr>
      <vt:lpstr>IDFC-GIF2028</vt:lpstr>
      <vt:lpstr>IDFC ASBF</vt:lpstr>
      <vt:lpstr>'IDFC ASBF'!Print_Area</vt:lpstr>
      <vt:lpstr>'IDFC BOND IP'!Print_Area</vt:lpstr>
      <vt:lpstr>'IDFC BOND MT'!Print_Area</vt:lpstr>
      <vt:lpstr>'IDFC BOND ST'!Print_Area</vt:lpstr>
      <vt:lpstr>'IDFC BPDF'!Print_Area</vt:lpstr>
      <vt:lpstr>'IDFC CF'!Print_Area</vt:lpstr>
      <vt:lpstr>'IDFC CRF'!Print_Area</vt:lpstr>
      <vt:lpstr>'IDFC DBF'!Print_Area</vt:lpstr>
      <vt:lpstr>'IDFC FRF'!Print_Area</vt:lpstr>
      <vt:lpstr>'IDFC GSF - CMP'!Print_Area</vt:lpstr>
      <vt:lpstr>'IDFC GSF-IP'!Print_Area</vt:lpstr>
      <vt:lpstr>'IDFC LDF'!Print_Area</vt:lpstr>
      <vt:lpstr>'IDFC MMF'!Print_Area</vt:lpstr>
      <vt:lpstr>'IDFC OF'!Print_Area</vt:lpstr>
      <vt:lpstr>'IDFC USTF'!Print_Area</vt:lpstr>
      <vt:lpstr>'IDFC-CBF'!Print_Area</vt:lpstr>
      <vt:lpstr>'IDFC-GIF2027'!Print_Area</vt:lpstr>
      <vt:lpstr>'IDFC-GIF2028'!Print_Area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IDFCMF Products2</dc:creator>
  <cp:lastModifiedBy>Hema Suryakant Davda (Indigo Consulting)</cp:lastModifiedBy>
  <cp:lastPrinted>2022-03-03T12:05:30Z</cp:lastPrinted>
  <dcterms:created xsi:type="dcterms:W3CDTF">2022-03-01T17:46:41Z</dcterms:created>
  <dcterms:modified xsi:type="dcterms:W3CDTF">2022-03-03T12:05:40Z</dcterms:modified>
</cp:coreProperties>
</file>