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3\Mar 2023\"/>
    </mc:Choice>
  </mc:AlternateContent>
  <xr:revisionPtr revIDLastSave="0" documentId="13_ncr:1_{1DD49207-9412-45E2-A9F6-83E408E3C457}" xr6:coauthVersionLast="36" xr6:coauthVersionMax="36" xr10:uidLastSave="{00000000-0000-0000-0000-000000000000}"/>
  <bookViews>
    <workbookView xWindow="0" yWindow="0" windowWidth="20490" windowHeight="7245" tabRatio="937" xr2:uid="{3773914F-586C-414D-A378-F8D841A29EF4}"/>
  </bookViews>
  <sheets>
    <sheet name="BANDHAN OF" sheetId="22" r:id="rId1"/>
    <sheet name="BANDHAN LF" sheetId="7" r:id="rId2"/>
    <sheet name="BANDHAN LDF" sheetId="20" r:id="rId3"/>
    <sheet name="BANDHAN MMF" sheetId="21" r:id="rId4"/>
    <sheet name="BANDHAN USTF" sheetId="23" r:id="rId5"/>
    <sheet name="BANDHAN DBF" sheetId="16" r:id="rId6"/>
    <sheet name="BANDHAN BOND IP" sheetId="4" r:id="rId7"/>
    <sheet name="BANDHAN BOND MT" sheetId="5" r:id="rId8"/>
    <sheet name="BANDHAN BOND ST" sheetId="6" r:id="rId9"/>
    <sheet name="BANDHAN BPDF" sheetId="3" r:id="rId10"/>
    <sheet name="BANDHAN-CBF" sheetId="8" r:id="rId11"/>
    <sheet name="BANDHAN FRF" sheetId="17" r:id="rId12"/>
    <sheet name="BANDHAN CRF" sheetId="9" r:id="rId13"/>
    <sheet name="BANDHAN GSF-IP" sheetId="18" r:id="rId14"/>
    <sheet name="BANDHAN GSF - CMP" sheetId="19" r:id="rId15"/>
    <sheet name="BANDHAN GIF26" sheetId="13" r:id="rId16"/>
    <sheet name="BANDHAN-GIF2027" sheetId="15" r:id="rId17"/>
    <sheet name="BANDHAN-GIF2028" sheetId="14" r:id="rId18"/>
    <sheet name="BANDHAN GIF32" sheetId="24" r:id="rId19"/>
    <sheet name="BANDHAN SDLGIF26" sheetId="11" r:id="rId20"/>
    <sheet name="BANDHAN SDLGIF27" sheetId="12" r:id="rId21"/>
    <sheet name="BANDHAN SDLGIF32" sheetId="10" r:id="rId22"/>
    <sheet name="BANDHAN ASBF" sheetId="2" r:id="rId2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 i="24" l="1"/>
  <c r="K11" i="24" l="1"/>
  <c r="K10" i="24"/>
  <c r="K9" i="24"/>
</calcChain>
</file>

<file path=xl/sharedStrings.xml><?xml version="1.0" encoding="utf-8"?>
<sst xmlns="http://schemas.openxmlformats.org/spreadsheetml/2006/main" count="1243" uniqueCount="268">
  <si>
    <t>Net Assets as on 28 February, 2023</t>
  </si>
  <si>
    <t>127.56 crs</t>
  </si>
  <si>
    <t>Name</t>
  </si>
  <si>
    <t>Rating</t>
  </si>
  <si>
    <t>Total</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</si>
  <si>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</si>
  <si>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</si>
  <si>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</si>
  <si>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</si>
  <si>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</si>
  <si>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</si>
  <si>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</si>
  <si>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</si>
  <si>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</si>
  <si>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</si>
  <si>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</si>
  <si>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</si>
  <si>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14281.11 crs</t>
  </si>
  <si>
    <t>Canara Bank</t>
  </si>
  <si>
    <t xml:space="preserve"> A1+</t>
  </si>
  <si>
    <t>Export Import Bank of India</t>
  </si>
  <si>
    <t>Axis Bank Limited</t>
  </si>
  <si>
    <t>Kotak Mahindra Bank Limited</t>
  </si>
  <si>
    <t>State Bank of India</t>
  </si>
  <si>
    <t>Small Industries Dev Bank of India</t>
  </si>
  <si>
    <t>ICICI Bank Limited</t>
  </si>
  <si>
    <t>HDFC Bank Limited</t>
  </si>
  <si>
    <t>Indian Bank</t>
  </si>
  <si>
    <t>Certificate of Deposit Total</t>
  </si>
  <si>
    <t>NTPC Limited</t>
  </si>
  <si>
    <t>Commercial Paper Total</t>
  </si>
  <si>
    <t>National Bank For Agriculture and Rural Development</t>
  </si>
  <si>
    <t xml:space="preserve"> AAA</t>
  </si>
  <si>
    <t>REC Limited</t>
  </si>
  <si>
    <t>Indian Railway Finance Corporation Limited</t>
  </si>
  <si>
    <t>Housing Development Finance Corporation Limited</t>
  </si>
  <si>
    <t>Power Finance Corporation Limited</t>
  </si>
  <si>
    <t>Bajaj Finance Limited</t>
  </si>
  <si>
    <t>Bajaj Housing Finance Limited</t>
  </si>
  <si>
    <t>Power Grid Corporation of India Limited</t>
  </si>
  <si>
    <t>NHPC Limited</t>
  </si>
  <si>
    <t>National Housing Bank</t>
  </si>
  <si>
    <t>Oil &amp; Natural Gas Corporation Limited</t>
  </si>
  <si>
    <t>Hindustan Petroleum Corporation Limited</t>
  </si>
  <si>
    <t>Indian Oil Corporation Limited</t>
  </si>
  <si>
    <t>Reliance Industries Limited</t>
  </si>
  <si>
    <t>Corporate Bond Total</t>
  </si>
  <si>
    <t>7.38% GOI (MD 20/06/2027)</t>
  </si>
  <si>
    <t>SOV</t>
  </si>
  <si>
    <t>5.63% GOI (MD 12/04/2026)</t>
  </si>
  <si>
    <t>Government Bond Total</t>
  </si>
  <si>
    <t>State Government Bond Total</t>
  </si>
  <si>
    <t>364 Days Tbill (MD 16/03/2023)</t>
  </si>
  <si>
    <t>Treasury Bill Total</t>
  </si>
  <si>
    <t>Certificate of Deposit</t>
  </si>
  <si>
    <t>Corporate Bond</t>
  </si>
  <si>
    <t>Commercial Paper</t>
  </si>
  <si>
    <t>Government Bond</t>
  </si>
  <si>
    <t>State Government Bond</t>
  </si>
  <si>
    <t>Treasury Bill</t>
  </si>
  <si>
    <t>496.51 crs</t>
  </si>
  <si>
    <t>6.54% GOI (MD 17/01/2032)</t>
  </si>
  <si>
    <t>7.1% GOI (MD 18/04/2029)</t>
  </si>
  <si>
    <t>6.1% GOI (MD 12/07/2031)</t>
  </si>
  <si>
    <t>6.79% GOI (MD 15/05/2027)</t>
  </si>
  <si>
    <t>7.73% GOI (MD 19/12/2034)</t>
  </si>
  <si>
    <t>1980.43 crs</t>
  </si>
  <si>
    <t>8.24% GOI (MD 15/02/2027)</t>
  </si>
  <si>
    <t xml:space="preserve"> AAA(SO)</t>
  </si>
  <si>
    <t>PTC Total</t>
  </si>
  <si>
    <t>PTC</t>
  </si>
  <si>
    <t>9456.87 crs</t>
  </si>
  <si>
    <t>Bank of Baroda</t>
  </si>
  <si>
    <t>8.28% GOI (M/D 21/09/2027)</t>
  </si>
  <si>
    <t>11961.99 crs</t>
  </si>
  <si>
    <t>Reliance Jio Infocomm Limited</t>
  </si>
  <si>
    <t>Tata Capital Financial Services Limited</t>
  </si>
  <si>
    <t>Kotak Securities Limited</t>
  </si>
  <si>
    <t>HDFC Securities Limited</t>
  </si>
  <si>
    <t>ICICI Securities Limited</t>
  </si>
  <si>
    <t>Reliance Retail Ventures Limited</t>
  </si>
  <si>
    <t>Mahindra &amp; Mahindra Financial Services Limited</t>
  </si>
  <si>
    <t>Larsen &amp; Toubro Limited</t>
  </si>
  <si>
    <t>Kotak Mahindra Prime Limited</t>
  </si>
  <si>
    <t>91 Days Tbill (MD 11/05/2023)</t>
  </si>
  <si>
    <t>182 Days Tbill (MD 02/03/2023)</t>
  </si>
  <si>
    <t>Kotak Mahindra Investments Limited</t>
  </si>
  <si>
    <t>Zero Coupon Bond Total</t>
  </si>
  <si>
    <t>Zero Coupon Bond</t>
  </si>
  <si>
    <t>Average Maturity in Days</t>
  </si>
  <si>
    <t>13934.89 crs</t>
  </si>
  <si>
    <t>UltraTech Cement Limited</t>
  </si>
  <si>
    <t>Grasim Industries Limited</t>
  </si>
  <si>
    <t>7.32% GOI (MD 28/01/2024)</t>
  </si>
  <si>
    <t>6.69% GOI (MD 27/06/2024)</t>
  </si>
  <si>
    <t>5.22% GOI (MD 15/06/2025)</t>
  </si>
  <si>
    <t>7.35% GOI (MD 22/06/2024)</t>
  </si>
  <si>
    <t>7.68% GOI (MD 15/12/2023)</t>
  </si>
  <si>
    <t>549.64 crs</t>
  </si>
  <si>
    <t>Godrej Industries Limited</t>
  </si>
  <si>
    <t xml:space="preserve"> AA</t>
  </si>
  <si>
    <t>Tata Power Company Limited</t>
  </si>
  <si>
    <t>Tata Motors Limited</t>
  </si>
  <si>
    <t xml:space="preserve"> AA-</t>
  </si>
  <si>
    <t>Summit Digitel Infrastructure Limited</t>
  </si>
  <si>
    <t>Century Textiles &amp; Industries Limited</t>
  </si>
  <si>
    <t>Aditya Birla Fashion and Retail Limited</t>
  </si>
  <si>
    <t>AA</t>
  </si>
  <si>
    <t>AA-</t>
  </si>
  <si>
    <t>89.37 crs</t>
  </si>
  <si>
    <t>98.71 crs</t>
  </si>
  <si>
    <t>5.74% GOI (MD 15/11/2026)</t>
  </si>
  <si>
    <t>66.61 crs</t>
  </si>
  <si>
    <t>463.11 crs</t>
  </si>
  <si>
    <t>7.59% GOI(MD 11/01/2026)</t>
  </si>
  <si>
    <t>5.15% GOI (MD 09/11/2025)</t>
  </si>
  <si>
    <t>7.27% GOI (MD 08/04/2026)</t>
  </si>
  <si>
    <t>3553.90 crs</t>
  </si>
  <si>
    <t>7.17% GOI (MD 08/01/2028)</t>
  </si>
  <si>
    <t>182 Days Tbill (MD 09/03/2023)</t>
  </si>
  <si>
    <t>91 Days Tbill (MD 16/03/2023)</t>
  </si>
  <si>
    <t>7967.21 crs</t>
  </si>
  <si>
    <t>2214.31 crs</t>
  </si>
  <si>
    <t>8.20% GOI (MD 24/09/2025)</t>
  </si>
  <si>
    <t>306.98 crs</t>
  </si>
  <si>
    <t>Interest Rate Swaps</t>
  </si>
  <si>
    <t>1409.88 crs</t>
  </si>
  <si>
    <t>214.03 crs</t>
  </si>
  <si>
    <t>7.26% GOI (MD 22/08/2032)</t>
  </si>
  <si>
    <t>5732.82 crs</t>
  </si>
  <si>
    <t>HDB Financial Services Limited</t>
  </si>
  <si>
    <t>6.18% GOI (MD 04/11/2024)</t>
  </si>
  <si>
    <t>2937.99 crs</t>
  </si>
  <si>
    <t>7.16% GOI (MD 20/05/2023)</t>
  </si>
  <si>
    <t>2424.35 crs</t>
  </si>
  <si>
    <t>4150.53 crs</t>
  </si>
  <si>
    <t>182 Days Tbill (MD 03/08/2023)</t>
  </si>
  <si>
    <t>182 Days Tbill (MD 22/06/2023)</t>
  </si>
  <si>
    <t>8.24% Gujrat SDL (MD 25/04/2023)</t>
  </si>
  <si>
    <t>8.62% Maharashtra SDL (MD 06/03/2023)</t>
  </si>
  <si>
    <t>8.54% Maharashtra SDL (MD 20/03/2023)</t>
  </si>
  <si>
    <t>6.75% Odisha SDL (MD 24/03/2023)</t>
  </si>
  <si>
    <t>7.57% Chattisgarh SDL (MD 27/03/2023)</t>
  </si>
  <si>
    <t>8.64% Andhra Pradesh SDL (MD 06/03/2023)</t>
  </si>
  <si>
    <t>8.63% Madhya Pradesh SDL ( MD 20/03/2023)</t>
  </si>
  <si>
    <t>7.63% Rajasthan SDL (MD 05/06/2023)</t>
  </si>
  <si>
    <t>8.06% Karnataka SDL (MD 11/02/2025)</t>
  </si>
  <si>
    <t>8.05% Gujarat SDL (MD 25/02/2025)</t>
  </si>
  <si>
    <t>8.38% Haryana SDL (MD 27/01/2026)</t>
  </si>
  <si>
    <t>8.08% Haryana SDL (MD 28/01/2025)</t>
  </si>
  <si>
    <t>6.7% Rajasthan SDL (MD 29/01/2024)</t>
  </si>
  <si>
    <t>8.05% Haryana SDL (MD 25/02/2025)</t>
  </si>
  <si>
    <t>7.89% Maharashtra SDL (MD 31/01/2024)</t>
  </si>
  <si>
    <t>7.78% Uttar Pradesh SDL (MD 19/06/2023)</t>
  </si>
  <si>
    <t>7.41% Uttar Pradesh SDL (MD 09/11/2026)</t>
  </si>
  <si>
    <t>7.95% Tamil Nadu SDL (MD 03/07/2023)</t>
  </si>
  <si>
    <t>8.60% Tamil Nadu SDL (MD 06/03/2023)</t>
  </si>
  <si>
    <t>7.62% Tamil Nadu SDL (MD 05/06/2023)</t>
  </si>
  <si>
    <t>7.77% Gujarat SDL (MD 19/06/2023)</t>
  </si>
  <si>
    <t>7.77% Tamil Nadu SDL (MD 19/06/2023)</t>
  </si>
  <si>
    <t>9.25% Haryana SDL (MD 09-Oct-2023)</t>
  </si>
  <si>
    <t>7.96% Gujarat SDL (14/10/2025)</t>
  </si>
  <si>
    <t>8.12% Maharashtra SDL (MD 13/11/2025)</t>
  </si>
  <si>
    <t>8.27% Karnataka SDL(MD 23/12/2025)</t>
  </si>
  <si>
    <t>8.27% Tamilnadu SDL (MD 13/01/2026)</t>
  </si>
  <si>
    <t>8.27% Gujarat SDL (MD 13/01/2026)</t>
  </si>
  <si>
    <t>8.36% Maharashtra SDL (MD 27/01/2026)</t>
  </si>
  <si>
    <t>8.53% Tamil Nadu SDL (MD 09/03/2026)</t>
  </si>
  <si>
    <t>8.3% Madhya Pradesh SDL (MD  13/01/2026)</t>
  </si>
  <si>
    <t>8.20% GUJARAT SDL (MD 09/12/2025)</t>
  </si>
  <si>
    <t>7.99% Karnatak SDL (MD 28/10/2025)</t>
  </si>
  <si>
    <t>7.18% Tamilnadu SDL (MD 26/07/2027)</t>
  </si>
  <si>
    <t>8.48% Tamilnadu SDL (MD 04/07/2023)</t>
  </si>
  <si>
    <t>8.28% Karnataka SDL (MD 06/03/2026)</t>
  </si>
  <si>
    <t>6.9% Tamilnadu SDL (MD 16/10/2025)</t>
  </si>
  <si>
    <t>7.93% Chattisgarh SDL (MD 13/02/2024)</t>
  </si>
  <si>
    <t>6.18% Gujarat SDL (MD 25/01/2026)</t>
  </si>
  <si>
    <t>7.47% Gujarat SDL (MD 27/10/2025)</t>
  </si>
  <si>
    <t>8.25% Andhra PradeshSDL (MD 25/04/2023)</t>
  </si>
  <si>
    <t>8.25% Maharastra SDL  ( MD 13/05/2025)</t>
  </si>
  <si>
    <t>8.2% Gujarat SDL (MD 24/06/2025)</t>
  </si>
  <si>
    <t>8.37% Tamil Nadu SDL (MD 05/12/2028)</t>
  </si>
  <si>
    <t>9.5% Gujrat SDL (MD 11/09/2023)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</si>
  <si>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</si>
  <si>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</si>
  <si>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</si>
  <si>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</si>
  <si>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</si>
  <si>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</si>
  <si>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</si>
  <si>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</si>
  <si>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</si>
  <si>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</si>
  <si>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</si>
  <si>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</si>
  <si>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</si>
  <si>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</si>
  <si>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</si>
  <si>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</si>
  <si>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</si>
  <si>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7.22% Maharashtra SDL (MD 26/10/2026)</t>
  </si>
  <si>
    <t>6.82% Maharashtra SDL (MD 23/11/2026)</t>
  </si>
  <si>
    <t>6.24% Maharashtra SDL (MD 11/08/2026)</t>
  </si>
  <si>
    <t>7.38% Rajasthan SDL (MD 14/09/2026)</t>
  </si>
  <si>
    <t>7.4% Madhya Pradesh SDL (MD 09/11/2026)</t>
  </si>
  <si>
    <t>7.69% Gujarat SDL (MD 27/07/2026)</t>
  </si>
  <si>
    <t>7.17% Rajasthan SDL (MD 28/09/2026)</t>
  </si>
  <si>
    <t>7.69% Uttar Pradesh SDL (MD 27/07/2026)</t>
  </si>
  <si>
    <t>7.57% Gujarat SDL (MD 09/11/2026)</t>
  </si>
  <si>
    <t>7.61% Kerala SDL (MD 09/08/2026)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</si>
  <si>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</si>
  <si>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</si>
  <si>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</si>
  <si>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</si>
  <si>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</si>
  <si>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</si>
  <si>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</si>
  <si>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7.47% Chhattisgarh SDL (MD 27/09/2027)</t>
  </si>
  <si>
    <t>7.33% Maharashtra SDL (MD 13/09/2027)</t>
  </si>
  <si>
    <t>6.2% Rajasthan SDL (MD 29/07/2027)</t>
  </si>
  <si>
    <t>8.49% Andhra Pradesh SDL (MD 21/08/2027)</t>
  </si>
  <si>
    <t>7.93% Karnataka SDL (MD 08/04/2031)</t>
  </si>
  <si>
    <t>6.84% Gujarat SDL (MD 24/03/2031)</t>
  </si>
  <si>
    <t>7.12% Gujarat SDL (MD 02/03/2032)</t>
  </si>
  <si>
    <t>7.09% Rajasthan SDL (MD 16/02/2032)</t>
  </si>
  <si>
    <t>7.22% Rajasthan SDL (MD 16/03/2032)</t>
  </si>
  <si>
    <t>7.23% Tamilnadu SDL (MD 23/03/2032)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</si>
  <si>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</si>
  <si>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</si>
  <si>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</si>
  <si>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</si>
  <si>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</si>
  <si>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</si>
  <si>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</si>
  <si>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50.08 crs</t>
  </si>
  <si>
    <t>^PTC originated by Reliance Industries Limited</t>
  </si>
  <si>
    <t>First Business Receivables Trust^</t>
  </si>
  <si>
    <t>^^AT1 Bonds under Basel III</t>
  </si>
  <si>
    <t>Punjab National Bank^^</t>
  </si>
  <si>
    <t>Union Bank of India^^</t>
  </si>
  <si>
    <t>Average Maturity in Day</t>
  </si>
  <si>
    <t>BANDHAN OVERNIGHT FUND (28 February, 2023 )</t>
  </si>
  <si>
    <t>BANDHAN ALL SEASONS BOND FUND (28 February, 2023 )</t>
  </si>
  <si>
    <t>BANDHAN CRISIL IBX 90:10 SDL+ GILT APR2032 INDEX FUND (28 February, 2023 )</t>
  </si>
  <si>
    <t>BANDHAN CRISIL IBX 90:10 SDL+ GILT SEP2027 INDEX FUND (28 February, 2023 )</t>
  </si>
  <si>
    <t>BANDHAN CRISIL IBX 90:10 SDL+ GILT NOV2026 INDEX FUND (28 February, 2023 )</t>
  </si>
  <si>
    <t>BANDHAN CRISIL IBX Gilt April 2028 Index Fund (28 February, 2023 )</t>
  </si>
  <si>
    <t>BANDHAN CRISIL IBX Gilt June 2027 Index Fund (28 February, 2023 )</t>
  </si>
  <si>
    <t>BANDHAN CRISIL IBX GILT APRIL 2032 INDEX FUND (28 February, 2023 )</t>
  </si>
  <si>
    <t>BANDHAN CRISIL IBX GILT APRIL 2026 INDEX FUND (28 February, 2023 )</t>
  </si>
  <si>
    <t>BANDHAN GOVERNMENT SECURITIES FUND-CONSTANT MATURITY (28 February, 2023 )</t>
  </si>
  <si>
    <t>BANDHAN GOVERNMENT SECURITIES FUND - INVESTMENT PLAN (28 February, 2023 )</t>
  </si>
  <si>
    <t>BANDHAN CREDIT RISK FUND (28 February, 2023 )</t>
  </si>
  <si>
    <t>BANDHAN FLOATING RATE FUND (28 February, 2023 )</t>
  </si>
  <si>
    <t>BANDHAN CORPORATE BOND FUND (28 February, 2023 )</t>
  </si>
  <si>
    <t>BANDHAN BANKING &amp; PSU DEBT FUND (28 February, 2023 )</t>
  </si>
  <si>
    <t>BANDHAN BOND FUND - SHORT TERM PLAN (28 February, 2023 )</t>
  </si>
  <si>
    <t>BANDHAN BOND FUND - MEDIUM TERM PLAN (28 February, 2023 )</t>
  </si>
  <si>
    <t>BANDHAN BOND FUND - INCOME PLAN (28 February, 2023 )</t>
  </si>
  <si>
    <t>BANDHAN DYNAMIC BOND FUND (28 February, 2023 )</t>
  </si>
  <si>
    <t>BANDHAN ULTRA SHORT TERM FUND (28 February, 2023 )</t>
  </si>
  <si>
    <t>BANDHAN MONEY MANAGER FUND (28 February, 2023 )</t>
  </si>
  <si>
    <t>BANDHAN LOW DURATION FUND (28 February, 2023 )</t>
  </si>
  <si>
    <t>BANDHAN LIQUID FUND (28 February, 2023 )</t>
  </si>
  <si>
    <t>Bandhan Bond Fund -Short Term Plan Direct Plan-Growth</t>
  </si>
  <si>
    <t>Bandhan Corporate Bond Fund - Direct Growth</t>
  </si>
  <si>
    <t>Bandhan Banking &amp; PSU Debt Fund - Direct Growth</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</si>
  <si>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 Ltd (proposed to be changed to Bandhan AMC Limited, awaiting registration).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</si>
</sst>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Black]\(0.00%\)"/>
    <numFmt numFmtId="165" formatCode="0.000%;[Black]\(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0"/>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0" fontId="0" fillId="0" borderId="0" xfId="0"/>
    <xf numFmtId="0" fontId="0" fillId="0" borderId="0" xfId="0" applyBorder="1"/>
    <xf numFmtId="0" fontId="1" fillId="0" borderId="8" xfId="0" applyFont="1" applyBorder="1" applyAlignment="1">
      <alignment vertical="center"/>
    </xf>
    <xf numFmtId="0" fontId="1" fillId="0" borderId="4" xfId="0" applyFont="1" applyBorder="1" applyAlignment="1">
      <alignment vertical="center"/>
    </xf>
    <xf numFmtId="164" fontId="1" fillId="0" borderId="2" xfId="0" applyNumberFormat="1" applyFont="1" applyBorder="1" applyAlignment="1">
      <alignment vertical="center"/>
    </xf>
    <xf numFmtId="0" fontId="0" fillId="0" borderId="12" xfId="0" applyBorder="1"/>
    <xf numFmtId="0" fontId="0" fillId="0" borderId="14" xfId="0" applyBorder="1"/>
    <xf numFmtId="165" fontId="1" fillId="0" borderId="2" xfId="0" applyNumberFormat="1" applyFont="1" applyBorder="1" applyAlignment="1">
      <alignment vertical="center"/>
    </xf>
    <xf numFmtId="0" fontId="1" fillId="0" borderId="21" xfId="0" applyFont="1" applyBorder="1" applyAlignment="1">
      <alignment vertical="center"/>
    </xf>
    <xf numFmtId="164" fontId="1" fillId="0" borderId="21" xfId="0" applyNumberFormat="1" applyFont="1" applyBorder="1" applyAlignment="1">
      <alignment vertical="center"/>
    </xf>
    <xf numFmtId="0" fontId="7" fillId="0" borderId="0" xfId="0" applyFont="1" applyBorder="1"/>
    <xf numFmtId="10" fontId="7" fillId="0" borderId="0" xfId="0" applyNumberFormat="1" applyFont="1" applyBorder="1"/>
    <xf numFmtId="3" fontId="5" fillId="2" borderId="0" xfId="0" applyNumberFormat="1" applyFont="1" applyFill="1" applyBorder="1" applyAlignment="1">
      <alignment horizontal="center" vertical="center"/>
    </xf>
    <xf numFmtId="4" fontId="5" fillId="2" borderId="0" xfId="0" applyNumberFormat="1" applyFont="1" applyFill="1" applyBorder="1" applyAlignment="1">
      <alignment horizontal="center"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15-4541-9E12-869370FBB8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3015-4541-9E12-869370FBB88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E1-4AB6-B8FC-9E17C536A891}"/>
                </c:ext>
              </c:extLst>
            </c:dLbl>
            <c:dLbl>
              <c:idx val="1"/>
              <c:layout>
                <c:manualLayout>
                  <c:x val="-0.26988247989343944"/>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BE1-4AB6-B8FC-9E17C536A8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OF'!$J$9:$J$10</c:f>
              <c:strCache>
                <c:ptCount val="2"/>
                <c:pt idx="0">
                  <c:v>Net Current Asset</c:v>
                </c:pt>
                <c:pt idx="1">
                  <c:v>TRI Party Repo</c:v>
                </c:pt>
              </c:strCache>
            </c:strRef>
          </c:cat>
          <c:val>
            <c:numRef>
              <c:f>'BANDHAN OF'!$K$9:$K$10</c:f>
              <c:numCache>
                <c:formatCode>0.00%</c:formatCode>
                <c:ptCount val="2"/>
                <c:pt idx="0">
                  <c:v>4.6959999999999997E-3</c:v>
                </c:pt>
                <c:pt idx="1">
                  <c:v>0.99530399999999997</c:v>
                </c:pt>
              </c:numCache>
            </c:numRef>
          </c:val>
          <c:extLst>
            <c:ext xmlns:c16="http://schemas.microsoft.com/office/drawing/2014/chart" uri="{C3380CC4-5D6E-409C-BE32-E72D297353CC}">
              <c16:uniqueId val="{0000000C-CBE1-4AB6-B8FC-9E17C536A89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F15-4AC0-BCE7-FE8002C873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LF'!$G$8</c:f>
              <c:strCache>
                <c:ptCount val="1"/>
                <c:pt idx="0">
                  <c:v>AAA EQUIVALENT</c:v>
                </c:pt>
              </c:strCache>
            </c:strRef>
          </c:cat>
          <c:val>
            <c:numRef>
              <c:f>'BANDHAN LF'!$H$8</c:f>
              <c:numCache>
                <c:formatCode>0%</c:formatCode>
                <c:ptCount val="1"/>
                <c:pt idx="0">
                  <c:v>1</c:v>
                </c:pt>
              </c:numCache>
            </c:numRef>
          </c:val>
          <c:extLst>
            <c:ext xmlns:c16="http://schemas.microsoft.com/office/drawing/2014/chart" uri="{C3380CC4-5D6E-409C-BE32-E72D297353CC}">
              <c16:uniqueId val="{0000000C-AF15-4AC0-BCE7-FE8002C8739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LF'!$K$8</c:f>
              <c:strCache>
                <c:ptCount val="1"/>
                <c:pt idx="0">
                  <c:v>Total</c:v>
                </c:pt>
              </c:strCache>
            </c:strRef>
          </c:tx>
          <c:dLbls>
            <c:dLbl>
              <c:idx val="0"/>
              <c:layout>
                <c:manualLayout>
                  <c:x val="9.4037667133150038E-2"/>
                  <c:y val="-3.49962011327531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17D-4331-8B6D-2A8F3634B7A9}"/>
                </c:ext>
              </c:extLst>
            </c:dLbl>
            <c:dLbl>
              <c:idx val="1"/>
              <c:layout>
                <c:manualLayout>
                  <c:x val="5.9382892984201387E-2"/>
                  <c:y val="-7.77987291062301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17D-4331-8B6D-2A8F3634B7A9}"/>
                </c:ext>
              </c:extLst>
            </c:dLbl>
            <c:dLbl>
              <c:idx val="2"/>
              <c:layout>
                <c:manualLayout>
                  <c:x val="-4.2936316579271272E-2"/>
                  <c:y val="0.158499102085923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17D-4331-8B6D-2A8F3634B7A9}"/>
                </c:ext>
              </c:extLst>
            </c:dLbl>
            <c:dLbl>
              <c:idx val="3"/>
              <c:layout>
                <c:manualLayout>
                  <c:x val="-3.342258341904264E-2"/>
                  <c:y val="1.09331399364553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17D-4331-8B6D-2A8F3634B7A9}"/>
                </c:ext>
              </c:extLst>
            </c:dLbl>
            <c:dLbl>
              <c:idx val="4"/>
              <c:layout>
                <c:manualLayout>
                  <c:x val="5.3075502874774486E-2"/>
                  <c:y val="0.262579776212183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17D-4331-8B6D-2A8F3634B7A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17D-4331-8B6D-2A8F3634B7A9}"/>
                </c:ext>
              </c:extLst>
            </c:dLbl>
            <c:dLbl>
              <c:idx val="6"/>
              <c:layout>
                <c:manualLayout>
                  <c:x val="-0.19845015090458445"/>
                  <c:y val="-0.152036538195883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17D-4331-8B6D-2A8F3634B7A9}"/>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17D-4331-8B6D-2A8F3634B7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LF'!$J$9:$J$16</c:f>
              <c:strCache>
                <c:ptCount val="8"/>
                <c:pt idx="0">
                  <c:v>Net Current Asset</c:v>
                </c:pt>
                <c:pt idx="1">
                  <c:v>TRI Party Repo</c:v>
                </c:pt>
                <c:pt idx="2">
                  <c:v>Certificate of Deposit</c:v>
                </c:pt>
                <c:pt idx="3">
                  <c:v>Corporate Bond</c:v>
                </c:pt>
                <c:pt idx="4">
                  <c:v>Commercial Paper</c:v>
                </c:pt>
                <c:pt idx="5">
                  <c:v>State Government Bond</c:v>
                </c:pt>
                <c:pt idx="6">
                  <c:v>Treasury Bill</c:v>
                </c:pt>
                <c:pt idx="7">
                  <c:v>Zero Coupon Bond</c:v>
                </c:pt>
              </c:strCache>
            </c:strRef>
          </c:cat>
          <c:val>
            <c:numRef>
              <c:f>'BANDHAN LF'!$K$9:$K$16</c:f>
              <c:numCache>
                <c:formatCode>0.00%</c:formatCode>
                <c:ptCount val="8"/>
                <c:pt idx="0">
                  <c:v>3.9051000000000002E-2</c:v>
                </c:pt>
                <c:pt idx="1">
                  <c:v>0.203349</c:v>
                </c:pt>
                <c:pt idx="2">
                  <c:v>0.19153400000000001</c:v>
                </c:pt>
                <c:pt idx="3">
                  <c:v>0.106013</c:v>
                </c:pt>
                <c:pt idx="4">
                  <c:v>0.345636</c:v>
                </c:pt>
                <c:pt idx="5">
                  <c:v>5.4462999999999998E-2</c:v>
                </c:pt>
                <c:pt idx="6">
                  <c:v>4.3439999999999999E-2</c:v>
                </c:pt>
                <c:pt idx="7">
                  <c:v>1.6514000000000001E-2</c:v>
                </c:pt>
              </c:numCache>
            </c:numRef>
          </c:val>
          <c:extLst>
            <c:ext xmlns:c16="http://schemas.microsoft.com/office/drawing/2014/chart" uri="{C3380CC4-5D6E-409C-BE32-E72D297353CC}">
              <c16:uniqueId val="{0000000C-217D-4331-8B6D-2A8F3634B7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BF-42A2-87D1-0A67D3EC16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90BF-42A2-87D1-0A67D3EC16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48-4689-B717-6278C371D989}"/>
                </c:ext>
              </c:extLst>
            </c:dLbl>
            <c:dLbl>
              <c:idx val="1"/>
              <c:layout>
                <c:manualLayout>
                  <c:x val="9.449560774924548E-2"/>
                  <c:y val="3.7369374629698003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248-4689-B717-6278C371D989}"/>
                </c:ext>
              </c:extLst>
            </c:dLbl>
            <c:dLbl>
              <c:idx val="2"/>
              <c:layout>
                <c:manualLayout>
                  <c:x val="-5.5784282318029302E-2"/>
                  <c:y val="0.5104350887436780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248-4689-B717-6278C371D989}"/>
                </c:ext>
              </c:extLst>
            </c:dLbl>
            <c:dLbl>
              <c:idx val="3"/>
              <c:layout>
                <c:manualLayout>
                  <c:x val="-1.4775160599571735E-2"/>
                  <c:y val="1.29631887617101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248-4689-B717-6278C371D98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248-4689-B717-6278C371D989}"/>
                </c:ext>
              </c:extLst>
            </c:dLbl>
            <c:dLbl>
              <c:idx val="5"/>
              <c:layout>
                <c:manualLayout>
                  <c:x val="-5.6840277192331694E-2"/>
                  <c:y val="-0.145202345889969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248-4689-B717-6278C371D989}"/>
                </c:ext>
              </c:extLst>
            </c:dLbl>
            <c:dLbl>
              <c:idx val="6"/>
              <c:layout>
                <c:manualLayout>
                  <c:x val="-1.0973376721914044E-2"/>
                  <c:y val="-2.36175821533758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248-4689-B717-6278C371D9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'BANDHAN LDF'!$K$9:$K$15</c:f>
              <c:numCache>
                <c:formatCode>0.00%</c:formatCode>
                <c:ptCount val="7"/>
                <c:pt idx="0">
                  <c:v>1.5049999999999999E-2</c:v>
                </c:pt>
                <c:pt idx="1">
                  <c:v>2.4015000000000002E-2</c:v>
                </c:pt>
                <c:pt idx="2">
                  <c:v>0.40998499999999999</c:v>
                </c:pt>
                <c:pt idx="3">
                  <c:v>0.27648299999999998</c:v>
                </c:pt>
                <c:pt idx="4">
                  <c:v>6.6414000000000001E-2</c:v>
                </c:pt>
                <c:pt idx="5">
                  <c:v>0.15005399999999999</c:v>
                </c:pt>
                <c:pt idx="6">
                  <c:v>5.7999000000000002E-2</c:v>
                </c:pt>
              </c:numCache>
            </c:numRef>
          </c:val>
          <c:extLst>
            <c:ext xmlns:c16="http://schemas.microsoft.com/office/drawing/2014/chart" uri="{C3380CC4-5D6E-409C-BE32-E72D297353CC}">
              <c16:uniqueId val="{0000000C-3248-4689-B717-6278C371D98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7C8-499A-AE1E-416B5CA0F6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67C8-499A-AE1E-416B5CA0F6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4.0729821780842702E-2"/>
                  <c:y val="-1.33692134637016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E4-4CA1-BC5E-116C5F7F9BAE}"/>
                </c:ext>
              </c:extLst>
            </c:dLbl>
            <c:dLbl>
              <c:idx val="1"/>
              <c:layout>
                <c:manualLayout>
                  <c:x val="9.5398168911969519E-2"/>
                  <c:y val="-7.12243661849961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5E4-4CA1-BC5E-116C5F7F9BAE}"/>
                </c:ext>
              </c:extLst>
            </c:dLbl>
            <c:dLbl>
              <c:idx val="2"/>
              <c:layout>
                <c:manualLayout>
                  <c:x val="6.3266620580350375E-2"/>
                  <c:y val="4.06544951111880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5E4-4CA1-BC5E-116C5F7F9BA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5E4-4CA1-BC5E-116C5F7F9BA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5E4-4CA1-BC5E-116C5F7F9BA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5E4-4CA1-BC5E-116C5F7F9B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Government Bond</c:v>
                </c:pt>
                <c:pt idx="5">
                  <c:v>State Government Bond</c:v>
                </c:pt>
              </c:strCache>
            </c:strRef>
          </c:cat>
          <c:val>
            <c:numRef>
              <c:f>'BANDHAN MMF'!$K$9:$K$14</c:f>
              <c:numCache>
                <c:formatCode>0.00%</c:formatCode>
                <c:ptCount val="6"/>
                <c:pt idx="0">
                  <c:v>1.7453E-2</c:v>
                </c:pt>
                <c:pt idx="1">
                  <c:v>0.144257</c:v>
                </c:pt>
                <c:pt idx="2">
                  <c:v>0.561249</c:v>
                </c:pt>
                <c:pt idx="3">
                  <c:v>0.15446199999999999</c:v>
                </c:pt>
                <c:pt idx="4">
                  <c:v>5.1060000000000001E-2</c:v>
                </c:pt>
                <c:pt idx="5">
                  <c:v>7.1518999999999999E-2</c:v>
                </c:pt>
              </c:numCache>
            </c:numRef>
          </c:val>
          <c:extLst>
            <c:ext xmlns:c16="http://schemas.microsoft.com/office/drawing/2014/chart" uri="{C3380CC4-5D6E-409C-BE32-E72D297353CC}">
              <c16:uniqueId val="{0000000C-55E4-4CA1-BC5E-116C5F7F9B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E70-43FB-898D-AE2BA63BEE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2E70-43FB-898D-AE2BA63BEE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62066381156317"/>
                  <c:y val="-4.70062601398126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7DA-4251-8B20-345ACF45B560}"/>
                </c:ext>
              </c:extLst>
            </c:dLbl>
            <c:dLbl>
              <c:idx val="1"/>
              <c:layout>
                <c:manualLayout>
                  <c:x val="0.23615564248259119"/>
                  <c:y val="-6.61682338251407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7DA-4251-8B20-345ACF45B560}"/>
                </c:ext>
              </c:extLst>
            </c:dLbl>
            <c:dLbl>
              <c:idx val="2"/>
              <c:layout>
                <c:manualLayout>
                  <c:x val="-0.11520612385978519"/>
                  <c:y val="0.209260929762420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7DA-4251-8B20-345ACF45B560}"/>
                </c:ext>
              </c:extLst>
            </c:dLbl>
            <c:dLbl>
              <c:idx val="3"/>
              <c:layout>
                <c:manualLayout>
                  <c:x val="4.9949164545010034E-2"/>
                  <c:y val="0.27425799930348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7DA-4251-8B20-345ACF45B56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7DA-4251-8B20-345ACF45B56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7DA-4251-8B20-345ACF45B56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7DA-4251-8B20-345ACF45B56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7DA-4251-8B20-345ACF45B560}"/>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7DA-4251-8B20-345ACF45B5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 USTF'!$K$9:$K$17</c:f>
              <c:numCache>
                <c:formatCode>0.00%</c:formatCode>
                <c:ptCount val="9"/>
                <c:pt idx="0">
                  <c:v>1.3244000000000001E-2</c:v>
                </c:pt>
                <c:pt idx="1">
                  <c:v>7.6832999999999999E-2</c:v>
                </c:pt>
                <c:pt idx="2">
                  <c:v>0.50051800000000002</c:v>
                </c:pt>
                <c:pt idx="3">
                  <c:v>0.23580599999999999</c:v>
                </c:pt>
                <c:pt idx="4">
                  <c:v>7.5145000000000003E-2</c:v>
                </c:pt>
                <c:pt idx="5">
                  <c:v>1.0843E-2</c:v>
                </c:pt>
                <c:pt idx="6">
                  <c:v>7.2370000000000004E-3</c:v>
                </c:pt>
                <c:pt idx="7">
                  <c:v>6.9647000000000001E-2</c:v>
                </c:pt>
                <c:pt idx="8">
                  <c:v>1.0727E-2</c:v>
                </c:pt>
              </c:numCache>
            </c:numRef>
          </c:val>
          <c:extLst>
            <c:ext xmlns:c16="http://schemas.microsoft.com/office/drawing/2014/chart" uri="{C3380CC4-5D6E-409C-BE32-E72D297353CC}">
              <c16:uniqueId val="{0000000C-37DA-4251-8B20-345ACF45B5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B7-4998-9433-153480BCDF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CEB7-4998-9433-153480BCDF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F8A-4DF2-8C86-827A737F5D8D}"/>
                </c:ext>
              </c:extLst>
            </c:dLbl>
            <c:dLbl>
              <c:idx val="1"/>
              <c:layout>
                <c:manualLayout>
                  <c:x val="0.11891222242829917"/>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F8A-4DF2-8C86-827A737F5D8D}"/>
                </c:ext>
              </c:extLst>
            </c:dLbl>
            <c:dLbl>
              <c:idx val="2"/>
              <c:layout>
                <c:manualLayout>
                  <c:x val="-0.26575873813417861"/>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F8A-4DF2-8C86-827A737F5D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1.4697E-2</c:v>
                </c:pt>
                <c:pt idx="1">
                  <c:v>1.9559999999999998E-3</c:v>
                </c:pt>
                <c:pt idx="2">
                  <c:v>0.98334699999999997</c:v>
                </c:pt>
              </c:numCache>
            </c:numRef>
          </c:val>
          <c:extLst>
            <c:ext xmlns:c16="http://schemas.microsoft.com/office/drawing/2014/chart" uri="{C3380CC4-5D6E-409C-BE32-E72D297353CC}">
              <c16:uniqueId val="{0000000C-CF8A-4DF2-8C86-827A737F5D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EE-4A40-8E1F-4E8E1C66E0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2BEE-4A40-8E1F-4E8E1C66E00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542-4B4C-9CF7-B9E1A954188E}"/>
                </c:ext>
              </c:extLst>
            </c:dLbl>
            <c:dLbl>
              <c:idx val="1"/>
              <c:layout>
                <c:manualLayout>
                  <c:x val="8.6004147768466918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542-4B4C-9CF7-B9E1A954188E}"/>
                </c:ext>
              </c:extLst>
            </c:dLbl>
            <c:dLbl>
              <c:idx val="2"/>
              <c:layout>
                <c:manualLayout>
                  <c:x val="-0.23531816419093224"/>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542-4B4C-9CF7-B9E1A954188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1.272E-2</c:v>
                </c:pt>
                <c:pt idx="1">
                  <c:v>1.3699999999999999E-3</c:v>
                </c:pt>
                <c:pt idx="2">
                  <c:v>0.98590999999999995</c:v>
                </c:pt>
              </c:numCache>
            </c:numRef>
          </c:val>
          <c:extLst>
            <c:ext xmlns:c16="http://schemas.microsoft.com/office/drawing/2014/chart" uri="{C3380CC4-5D6E-409C-BE32-E72D297353CC}">
              <c16:uniqueId val="{0000000C-E542-4B4C-9CF7-B9E1A954188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2.82608695652173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8C-441E-BF48-36E44E8913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048C-441E-BF48-36E44E8913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404-4E97-95B8-362648600A2E}"/>
                </c:ext>
              </c:extLst>
            </c:dLbl>
            <c:dLbl>
              <c:idx val="1"/>
              <c:layout>
                <c:manualLayout>
                  <c:x val="0.11847097405115589"/>
                  <c:y val="-1.3811373578302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404-4E97-95B8-362648600A2E}"/>
                </c:ext>
              </c:extLst>
            </c:dLbl>
            <c:dLbl>
              <c:idx val="2"/>
              <c:layout>
                <c:manualLayout>
                  <c:x val="0.21763079802390875"/>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404-4E97-95B8-362648600A2E}"/>
                </c:ext>
              </c:extLst>
            </c:dLbl>
            <c:dLbl>
              <c:idx val="3"/>
              <c:layout>
                <c:manualLayout>
                  <c:x val="-0.25895833684600988"/>
                  <c:y val="3.7299737532808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404-4E97-95B8-362648600A2E}"/>
                </c:ext>
              </c:extLst>
            </c:dLbl>
            <c:dLbl>
              <c:idx val="4"/>
              <c:layout>
                <c:manualLayout>
                  <c:x val="-6.8628370061879315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404-4E97-95B8-362648600A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1.9699999999999999E-2</c:v>
                </c:pt>
                <c:pt idx="1">
                  <c:v>7.3200000000000001E-4</c:v>
                </c:pt>
                <c:pt idx="2">
                  <c:v>0.95152499999999995</c:v>
                </c:pt>
                <c:pt idx="3">
                  <c:v>1.1650000000000001E-2</c:v>
                </c:pt>
                <c:pt idx="4">
                  <c:v>1.6393000000000001E-2</c:v>
                </c:pt>
              </c:numCache>
            </c:numRef>
          </c:val>
          <c:extLst>
            <c:ext xmlns:c16="http://schemas.microsoft.com/office/drawing/2014/chart" uri="{C3380CC4-5D6E-409C-BE32-E72D297353CC}">
              <c16:uniqueId val="{0000000C-E404-4E97-95B8-362648600A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101721492525"/>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54-422C-B177-ADB88924BE9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2954-422C-B177-ADB88924BE9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2894695577399721"/>
                  <c:y val="2.81676580820410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C29-4FF9-B569-C42BF1DB73C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C29-4FF9-B569-C42BF1DB73C2}"/>
                </c:ext>
              </c:extLst>
            </c:dLbl>
            <c:dLbl>
              <c:idx val="2"/>
              <c:layout>
                <c:manualLayout>
                  <c:x val="-0.12324368982785067"/>
                  <c:y val="-0.170911872915448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C29-4FF9-B569-C42BF1DB73C2}"/>
                </c:ext>
              </c:extLst>
            </c:dLbl>
            <c:dLbl>
              <c:idx val="3"/>
              <c:layout>
                <c:manualLayout>
                  <c:x val="-4.242526429378341E-3"/>
                  <c:y val="-0.400505449919196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C29-4FF9-B569-C42BF1DB73C2}"/>
                </c:ext>
              </c:extLst>
            </c:dLbl>
            <c:dLbl>
              <c:idx val="4"/>
              <c:layout>
                <c:manualLayout>
                  <c:x val="-7.6426680604967212E-2"/>
                  <c:y val="0.17101708902107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C29-4FF9-B569-C42BF1DB73C2}"/>
                </c:ext>
              </c:extLst>
            </c:dLbl>
            <c:dLbl>
              <c:idx val="5"/>
              <c:layout>
                <c:manualLayout>
                  <c:x val="4.6469507157429729E-2"/>
                  <c:y val="0.214114774954440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C29-4FF9-B569-C42BF1DB73C2}"/>
                </c:ext>
              </c:extLst>
            </c:dLbl>
            <c:dLbl>
              <c:idx val="6"/>
              <c:layout>
                <c:manualLayout>
                  <c:x val="-0.31408942993474853"/>
                  <c:y val="-2.2292404497472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C29-4FF9-B569-C42BF1DB73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'BANDHAN BOND ST'!$K$9:$K$15</c:f>
              <c:numCache>
                <c:formatCode>0.00%</c:formatCode>
                <c:ptCount val="7"/>
                <c:pt idx="0">
                  <c:v>1.3103999999999999E-2</c:v>
                </c:pt>
                <c:pt idx="1">
                  <c:v>1.1180000000000001E-3</c:v>
                </c:pt>
                <c:pt idx="2">
                  <c:v>0.30896400000000002</c:v>
                </c:pt>
                <c:pt idx="3">
                  <c:v>6.8910000000000004E-3</c:v>
                </c:pt>
                <c:pt idx="4">
                  <c:v>5.9690000000000003E-3</c:v>
                </c:pt>
                <c:pt idx="5">
                  <c:v>0.65916600000000003</c:v>
                </c:pt>
                <c:pt idx="6">
                  <c:v>4.7879999999999997E-3</c:v>
                </c:pt>
              </c:numCache>
            </c:numRef>
          </c:val>
          <c:extLst>
            <c:ext xmlns:c16="http://schemas.microsoft.com/office/drawing/2014/chart" uri="{C3380CC4-5D6E-409C-BE32-E72D297353CC}">
              <c16:uniqueId val="{0000000C-1C29-4FF9-B569-C42BF1DB73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ACB-4E75-9034-7292D112061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BACB-4E75-9034-7292D112061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1.1389418132155322E-2"/>
                  <c:y val="-7.5499663540947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11F-4150-98A8-1DBAAA69E66C}"/>
                </c:ext>
              </c:extLst>
            </c:dLbl>
            <c:dLbl>
              <c:idx val="1"/>
              <c:layout>
                <c:manualLayout>
                  <c:x val="0.11683142524743294"/>
                  <c:y val="7.988324433918567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11F-4150-98A8-1DBAAA69E66C}"/>
                </c:ext>
              </c:extLst>
            </c:dLbl>
            <c:dLbl>
              <c:idx val="2"/>
              <c:layout>
                <c:manualLayout>
                  <c:x val="0.11876713483619687"/>
                  <c:y val="-5.20789673765807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11F-4150-98A8-1DBAAA69E66C}"/>
                </c:ext>
              </c:extLst>
            </c:dLbl>
            <c:dLbl>
              <c:idx val="3"/>
              <c:layout>
                <c:manualLayout>
                  <c:x val="0.11962096814985922"/>
                  <c:y val="-1.41155496517430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11F-4150-98A8-1DBAAA69E66C}"/>
                </c:ext>
              </c:extLst>
            </c:dLbl>
            <c:dLbl>
              <c:idx val="4"/>
              <c:layout>
                <c:manualLayout>
                  <c:x val="-1.9994435920349359E-3"/>
                  <c:y val="-1.84659215045400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11F-4150-98A8-1DBAAA69E66C}"/>
                </c:ext>
              </c:extLst>
            </c:dLbl>
            <c:dLbl>
              <c:idx val="5"/>
              <c:layout>
                <c:manualLayout>
                  <c:x val="-0.10639177865079499"/>
                  <c:y val="-0.102965558827899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11F-4150-98A8-1DBAAA69E66C}"/>
                </c:ext>
              </c:extLst>
            </c:dLbl>
            <c:dLbl>
              <c:idx val="6"/>
              <c:layout>
                <c:manualLayout>
                  <c:x val="-0.1165203426124197"/>
                  <c:y val="-0.113185174827619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11F-4150-98A8-1DBAAA69E66C}"/>
                </c:ext>
              </c:extLst>
            </c:dLbl>
            <c:dLbl>
              <c:idx val="7"/>
              <c:layout>
                <c:manualLayout>
                  <c:x val="-0.15685300713213846"/>
                  <c:y val="-1.64289896615309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11F-4150-98A8-1DBAAA69E6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'BANDHAN BPDF'!$K$9:$K$16</c:f>
              <c:numCache>
                <c:formatCode>0.00%</c:formatCode>
                <c:ptCount val="8"/>
                <c:pt idx="0">
                  <c:v>1.5462E-2</c:v>
                </c:pt>
                <c:pt idx="1">
                  <c:v>1.1133000000000001E-2</c:v>
                </c:pt>
                <c:pt idx="2">
                  <c:v>0.137545</c:v>
                </c:pt>
                <c:pt idx="3">
                  <c:v>0.62480599999999997</c:v>
                </c:pt>
                <c:pt idx="4">
                  <c:v>2.4421999999999999E-2</c:v>
                </c:pt>
                <c:pt idx="5">
                  <c:v>0.132773</c:v>
                </c:pt>
                <c:pt idx="6">
                  <c:v>5.2810999999999997E-2</c:v>
                </c:pt>
                <c:pt idx="7">
                  <c:v>1.0480000000000001E-3</c:v>
                </c:pt>
              </c:numCache>
            </c:numRef>
          </c:val>
          <c:extLst>
            <c:ext xmlns:c16="http://schemas.microsoft.com/office/drawing/2014/chart" uri="{C3380CC4-5D6E-409C-BE32-E72D297353CC}">
              <c16:uniqueId val="{0000000C-B11F-4150-98A8-1DBAAA69E6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FA-4844-8F76-A560C7E6155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'BANDHAN-CBF'!$G$8</c:f>
              <c:strCache>
                <c:ptCount val="1"/>
                <c:pt idx="0">
                  <c:v>AAA EQUIVALENT</c:v>
                </c:pt>
              </c:strCache>
            </c:strRef>
          </c:cat>
          <c:val>
            <c:numRef>
              <c:f>'BANDHAN-CBF'!$H$8</c:f>
              <c:numCache>
                <c:formatCode>0%</c:formatCode>
                <c:ptCount val="1"/>
                <c:pt idx="0">
                  <c:v>1</c:v>
                </c:pt>
              </c:numCache>
            </c:numRef>
          </c:val>
          <c:extLst>
            <c:ext xmlns:c16="http://schemas.microsoft.com/office/drawing/2014/chart" uri="{C3380CC4-5D6E-409C-BE32-E72D297353CC}">
              <c16:uniqueId val="{0000000C-6FFA-4844-8F76-A560C7E6155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A81-4E83-9B13-22F5481D9127}"/>
                </c:ext>
              </c:extLst>
            </c:dLbl>
            <c:dLbl>
              <c:idx val="1"/>
              <c:layout>
                <c:manualLayout>
                  <c:x val="6.1706823584953302E-2"/>
                  <c:y val="-3.31217336770956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A81-4E83-9B13-22F5481D9127}"/>
                </c:ext>
              </c:extLst>
            </c:dLbl>
            <c:dLbl>
              <c:idx val="2"/>
              <c:layout>
                <c:manualLayout>
                  <c:x val="0.11633849837292823"/>
                  <c:y val="-1.1561563654100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A81-4E83-9B13-22F5481D9127}"/>
                </c:ext>
              </c:extLst>
            </c:dLbl>
            <c:dLbl>
              <c:idx val="3"/>
              <c:layout>
                <c:manualLayout>
                  <c:x val="0.1967700517628016"/>
                  <c:y val="-3.5208347850324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A81-4E83-9B13-22F5481D912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A81-4E83-9B13-22F5481D912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A81-4E83-9B13-22F5481D9127}"/>
                </c:ext>
              </c:extLst>
            </c:dLbl>
            <c:dLbl>
              <c:idx val="6"/>
              <c:layout>
                <c:manualLayout>
                  <c:x val="-0.22772766359237215"/>
                  <c:y val="-0.121594662392864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A81-4E83-9B13-22F5481D912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'BANDHAN-CBF'!$J$9:$J$15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'BANDHAN-CBF'!$K$9:$K$15</c:f>
              <c:numCache>
                <c:formatCode>0.00%</c:formatCode>
                <c:ptCount val="7"/>
                <c:pt idx="0">
                  <c:v>8.208E-3</c:v>
                </c:pt>
                <c:pt idx="1">
                  <c:v>5.2278999999999999E-2</c:v>
                </c:pt>
                <c:pt idx="2">
                  <c:v>6.1317999999999998E-2</c:v>
                </c:pt>
                <c:pt idx="3">
                  <c:v>0.73370000000000002</c:v>
                </c:pt>
                <c:pt idx="4">
                  <c:v>5.6647999999999997E-2</c:v>
                </c:pt>
                <c:pt idx="5">
                  <c:v>4.829E-2</c:v>
                </c:pt>
                <c:pt idx="6">
                  <c:v>3.9557000000000002E-2</c:v>
                </c:pt>
              </c:numCache>
            </c:numRef>
          </c:val>
          <c:extLst>
            <c:ext xmlns:c16="http://schemas.microsoft.com/office/drawing/2014/chart" uri="{C3380CC4-5D6E-409C-BE32-E72D297353CC}">
              <c16:uniqueId val="{0000000C-1A81-4E83-9B13-22F5481D912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139110421689785"/>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3E5-47CE-94A3-EC987F3CE2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c:f>
              <c:strCache>
                <c:ptCount val="1"/>
                <c:pt idx="0">
                  <c:v>AAA EQUIVALENT</c:v>
                </c:pt>
              </c:strCache>
            </c:strRef>
          </c:cat>
          <c:val>
            <c:numRef>
              <c:f>'BANDHAN FRF'!$H$8</c:f>
              <c:numCache>
                <c:formatCode>0%</c:formatCode>
                <c:ptCount val="1"/>
                <c:pt idx="0">
                  <c:v>1</c:v>
                </c:pt>
              </c:numCache>
            </c:numRef>
          </c:val>
          <c:extLst>
            <c:ext xmlns:c16="http://schemas.microsoft.com/office/drawing/2014/chart" uri="{C3380CC4-5D6E-409C-BE32-E72D297353CC}">
              <c16:uniqueId val="{0000000C-53E5-47CE-94A3-EC987F3CE20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B60-4788-8857-B1FEBBD06BF2}"/>
                </c:ext>
              </c:extLst>
            </c:dLbl>
            <c:dLbl>
              <c:idx val="1"/>
              <c:layout>
                <c:manualLayout>
                  <c:x val="0.11666247955622241"/>
                  <c:y val="-6.082785206185121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B60-4788-8857-B1FEBBD06BF2}"/>
                </c:ext>
              </c:extLst>
            </c:dLbl>
            <c:dLbl>
              <c:idx val="2"/>
              <c:layout>
                <c:manualLayout>
                  <c:x val="-5.8996273752718813E-2"/>
                  <c:y val="0.244797704348427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B60-4788-8857-B1FEBBD06BF2}"/>
                </c:ext>
              </c:extLst>
            </c:dLbl>
            <c:dLbl>
              <c:idx val="3"/>
              <c:layout>
                <c:manualLayout>
                  <c:x val="2.398556711460318E-2"/>
                  <c:y val="0.101750952920127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B60-4788-8857-B1FEBBD06BF2}"/>
                </c:ext>
              </c:extLst>
            </c:dLbl>
            <c:dLbl>
              <c:idx val="4"/>
              <c:layout>
                <c:manualLayout>
                  <c:x val="2.0420256622097826E-2"/>
                  <c:y val="-0.308920023855415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B60-4788-8857-B1FEBBD06BF2}"/>
                </c:ext>
              </c:extLst>
            </c:dLbl>
            <c:dLbl>
              <c:idx val="5"/>
              <c:layout>
                <c:manualLayout>
                  <c:x val="8.262278912138124E-2"/>
                  <c:y val="-4.70134921389491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B60-4788-8857-B1FEBBD06BF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B60-4788-8857-B1FEBBD06B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Commercial Paper</c:v>
                </c:pt>
                <c:pt idx="5">
                  <c:v>Government Bond</c:v>
                </c:pt>
              </c:strCache>
            </c:strRef>
          </c:cat>
          <c:val>
            <c:numRef>
              <c:f>'BANDHAN FRF'!$K$9:$K$15</c:f>
              <c:numCache>
                <c:formatCode>0.00%</c:formatCode>
                <c:ptCount val="7"/>
                <c:pt idx="0">
                  <c:v>8.5640000000000004E-3</c:v>
                </c:pt>
                <c:pt idx="1">
                  <c:v>1.1338000000000001E-2</c:v>
                </c:pt>
                <c:pt idx="2">
                  <c:v>0.52511699999999994</c:v>
                </c:pt>
                <c:pt idx="3">
                  <c:v>0.14430899999999999</c:v>
                </c:pt>
                <c:pt idx="4">
                  <c:v>0.122326</c:v>
                </c:pt>
                <c:pt idx="5">
                  <c:v>0.188334</c:v>
                </c:pt>
              </c:numCache>
            </c:numRef>
          </c:val>
          <c:extLst>
            <c:ext xmlns:c16="http://schemas.microsoft.com/office/drawing/2014/chart" uri="{C3380CC4-5D6E-409C-BE32-E72D297353CC}">
              <c16:uniqueId val="{0000000C-5B60-4788-8857-B1FEBBD06B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637314741438905"/>
                  <c:y val="-0.401661795550665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048710988214269"/>
                      <c:h val="0.16375545851528386"/>
                    </c:manualLayout>
                  </c15:layout>
                </c:ext>
                <c:ext xmlns:c16="http://schemas.microsoft.com/office/drawing/2014/chart" uri="{C3380CC4-5D6E-409C-BE32-E72D297353CC}">
                  <c16:uniqueId val="{0000000D-AEDC-4C9F-99B9-4066901DBC37}"/>
                </c:ext>
              </c:extLst>
            </c:dLbl>
            <c:dLbl>
              <c:idx val="1"/>
              <c:layout>
                <c:manualLayout>
                  <c:x val="0.11446745013404373"/>
                  <c:y val="-0.427245126018636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EDC-4C9F-99B9-4066901DBC37}"/>
                </c:ext>
              </c:extLst>
            </c:dLbl>
            <c:dLbl>
              <c:idx val="2"/>
              <c:layout>
                <c:manualLayout>
                  <c:x val="7.0430204522079279E-2"/>
                  <c:y val="-4.374720627170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EDC-4C9F-99B9-4066901DBC3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AAA EQUIVALENT</c:v>
                </c:pt>
                <c:pt idx="1">
                  <c:v>AA</c:v>
                </c:pt>
                <c:pt idx="2">
                  <c:v>AA-</c:v>
                </c:pt>
              </c:strCache>
            </c:strRef>
          </c:cat>
          <c:val>
            <c:numRef>
              <c:f>'BANDHAN CRF'!$H$8:$H$10</c:f>
              <c:numCache>
                <c:formatCode>0.00%</c:formatCode>
                <c:ptCount val="3"/>
                <c:pt idx="0">
                  <c:v>0.49976300000000001</c:v>
                </c:pt>
                <c:pt idx="1">
                  <c:v>0.40890199999999999</c:v>
                </c:pt>
                <c:pt idx="2">
                  <c:v>9.1335E-2</c:v>
                </c:pt>
              </c:numCache>
            </c:numRef>
          </c:val>
          <c:extLst>
            <c:ext xmlns:c16="http://schemas.microsoft.com/office/drawing/2014/chart" uri="{C3380CC4-5D6E-409C-BE32-E72D297353CC}">
              <c16:uniqueId val="{0000000C-AEDC-4C9F-99B9-4066901DBC3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layout>
                <c:manualLayout>
                  <c:x val="-2.8782815424303224E-2"/>
                  <c:y val="-2.0540455698851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69-43E8-BD87-7C8D9F0CFB47}"/>
                </c:ext>
              </c:extLst>
            </c:dLbl>
            <c:dLbl>
              <c:idx val="1"/>
              <c:layout>
                <c:manualLayout>
                  <c:x val="0.13197271914886441"/>
                  <c:y val="-1.78223070953340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F69-43E8-BD87-7C8D9F0CFB47}"/>
                </c:ext>
              </c:extLst>
            </c:dLbl>
            <c:dLbl>
              <c:idx val="2"/>
              <c:layout>
                <c:manualLayout>
                  <c:x val="-5.8246809084624596E-2"/>
                  <c:y val="0.1393695555497423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F69-43E8-BD87-7C8D9F0CFB47}"/>
                </c:ext>
              </c:extLst>
            </c:dLbl>
            <c:dLbl>
              <c:idx val="3"/>
              <c:layout>
                <c:manualLayout>
                  <c:x val="9.5987708442226302E-2"/>
                  <c:y val="-0.146256136587577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F69-43E8-BD87-7C8D9F0CFB47}"/>
                </c:ext>
              </c:extLst>
            </c:dLbl>
            <c:dLbl>
              <c:idx val="4"/>
              <c:layout>
                <c:manualLayout>
                  <c:x val="2.3134431536529027E-2"/>
                  <c:y val="-6.79673180387335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F69-43E8-BD87-7C8D9F0CFB4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2.2682000000000001E-2</c:v>
                </c:pt>
                <c:pt idx="1">
                  <c:v>5.1207000000000003E-2</c:v>
                </c:pt>
                <c:pt idx="2">
                  <c:v>0.58741100000000002</c:v>
                </c:pt>
                <c:pt idx="3">
                  <c:v>0.26332</c:v>
                </c:pt>
                <c:pt idx="4">
                  <c:v>7.5380000000000003E-2</c:v>
                </c:pt>
              </c:numCache>
            </c:numRef>
          </c:val>
          <c:extLst>
            <c:ext xmlns:c16="http://schemas.microsoft.com/office/drawing/2014/chart" uri="{C3380CC4-5D6E-409C-BE32-E72D297353CC}">
              <c16:uniqueId val="{0000000C-DF69-43E8-BD87-7C8D9F0CFB4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70F-4644-B730-72A7EEDCEF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870F-4644-B730-72A7EEDCEF5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BD8-43A1-8033-AC83EBCAD161}"/>
                </c:ext>
              </c:extLst>
            </c:dLbl>
            <c:dLbl>
              <c:idx val="1"/>
              <c:layout>
                <c:manualLayout>
                  <c:x val="9.9962316006002541E-2"/>
                  <c:y val="-1.1589151356080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BD8-43A1-8033-AC83EBCAD161}"/>
                </c:ext>
              </c:extLst>
            </c:dLbl>
            <c:dLbl>
              <c:idx val="2"/>
              <c:layout>
                <c:manualLayout>
                  <c:x val="-0.25826409145323642"/>
                  <c:y val="-6.58190726159230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BD8-43A1-8033-AC83EBCAD1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1.5790999999999999E-2</c:v>
                </c:pt>
                <c:pt idx="1">
                  <c:v>2.49E-3</c:v>
                </c:pt>
                <c:pt idx="2">
                  <c:v>0.98171900000000001</c:v>
                </c:pt>
              </c:numCache>
            </c:numRef>
          </c:val>
          <c:extLst>
            <c:ext xmlns:c16="http://schemas.microsoft.com/office/drawing/2014/chart" uri="{C3380CC4-5D6E-409C-BE32-E72D297353CC}">
              <c16:uniqueId val="{0000000C-0BD8-43A1-8033-AC83EBCAD16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619-4515-90C7-01ABE1CFD2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D619-4515-90C7-01ABE1CFD2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D0-4DC0-868F-7F267F6AC3FA}"/>
                </c:ext>
              </c:extLst>
            </c:dLbl>
            <c:dLbl>
              <c:idx val="1"/>
              <c:layout>
                <c:manualLayout>
                  <c:x val="0.11083326307980239"/>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1D0-4DC0-868F-7F267F6AC3FA}"/>
                </c:ext>
              </c:extLst>
            </c:dLbl>
            <c:dLbl>
              <c:idx val="2"/>
              <c:layout>
                <c:manualLayout>
                  <c:x val="-0.28401431485946482"/>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1D0-4DC0-868F-7F267F6AC3F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1.6019999999999999E-3</c:v>
                </c:pt>
                <c:pt idx="1">
                  <c:v>7.3829999999999998E-3</c:v>
                </c:pt>
                <c:pt idx="2">
                  <c:v>0.99101499999999998</c:v>
                </c:pt>
              </c:numCache>
            </c:numRef>
          </c:val>
          <c:extLst>
            <c:ext xmlns:c16="http://schemas.microsoft.com/office/drawing/2014/chart" uri="{C3380CC4-5D6E-409C-BE32-E72D297353CC}">
              <c16:uniqueId val="{0000000C-91D0-4DC0-868F-7F267F6AC3F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589-4DC0-92A3-CB4E8BC3A3D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2589-4DC0-92A3-CB4E8BC3A3D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B9-4D25-A236-F6F700879593}"/>
                </c:ext>
              </c:extLst>
            </c:dLbl>
            <c:dLbl>
              <c:idx val="1"/>
              <c:layout>
                <c:manualLayout>
                  <c:x val="0.11298369556053896"/>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7B9-4D25-A236-F6F700879593}"/>
                </c:ext>
              </c:extLst>
            </c:dLbl>
            <c:dLbl>
              <c:idx val="2"/>
              <c:layout>
                <c:manualLayout>
                  <c:x val="-0.1609269250872549"/>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7B9-4D25-A236-F6F7008795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4.0429999999999997E-3</c:v>
                </c:pt>
                <c:pt idx="1">
                  <c:v>1.5615E-2</c:v>
                </c:pt>
                <c:pt idx="2">
                  <c:v>0.98034200000000005</c:v>
                </c:pt>
              </c:numCache>
            </c:numRef>
          </c:val>
          <c:extLst>
            <c:ext xmlns:c16="http://schemas.microsoft.com/office/drawing/2014/chart" uri="{C3380CC4-5D6E-409C-BE32-E72D297353CC}">
              <c16:uniqueId val="{0000000C-E7B9-4D25-A236-F6F7008795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9.82532751091703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F4-494F-9024-6C18FA09B4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'BANDHAN-GIF2027'!$G$8</c:f>
              <c:strCache>
                <c:ptCount val="1"/>
                <c:pt idx="0">
                  <c:v>AAA EQUIVALENT</c:v>
                </c:pt>
              </c:strCache>
            </c:strRef>
          </c:cat>
          <c:val>
            <c:numRef>
              <c:f>'BANDHAN-GIF2027'!$H$8</c:f>
              <c:numCache>
                <c:formatCode>0%</c:formatCode>
                <c:ptCount val="1"/>
                <c:pt idx="0">
                  <c:v>1</c:v>
                </c:pt>
              </c:numCache>
            </c:numRef>
          </c:val>
          <c:extLst>
            <c:ext xmlns:c16="http://schemas.microsoft.com/office/drawing/2014/chart" uri="{C3380CC4-5D6E-409C-BE32-E72D297353CC}">
              <c16:uniqueId val="{0000000C-2BF4-494F-9024-6C18FA09B4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4B-4EAC-936A-147406049378}"/>
                </c:ext>
              </c:extLst>
            </c:dLbl>
            <c:dLbl>
              <c:idx val="1"/>
              <c:layout>
                <c:manualLayout>
                  <c:x val="0.12158888195720717"/>
                  <c:y val="-3.2700262467191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34B-4EAC-936A-147406049378}"/>
                </c:ext>
              </c:extLst>
            </c:dLbl>
            <c:dLbl>
              <c:idx val="2"/>
              <c:layout>
                <c:manualLayout>
                  <c:x val="-0.24386442192584598"/>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34B-4EAC-936A-147406049378}"/>
                </c:ext>
              </c:extLst>
            </c:dLbl>
            <c:dLbl>
              <c:idx val="3"/>
              <c:layout>
                <c:manualLayout>
                  <c:x val="-0.17139506651604311"/>
                  <c:y val="-4.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34B-4EAC-936A-1474060493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'BANDHAN-GIF2027'!$J$9:$J$12</c:f>
              <c:strCache>
                <c:ptCount val="4"/>
                <c:pt idx="0">
                  <c:v>Net Current Asset</c:v>
                </c:pt>
                <c:pt idx="1">
                  <c:v>TRI Party Repo</c:v>
                </c:pt>
                <c:pt idx="2">
                  <c:v>Government Bond</c:v>
                </c:pt>
                <c:pt idx="3">
                  <c:v>Treasury Bill</c:v>
                </c:pt>
              </c:strCache>
            </c:strRef>
          </c:cat>
          <c:val>
            <c:numRef>
              <c:f>'BANDHAN-GIF2027'!$K$9:$K$12</c:f>
              <c:numCache>
                <c:formatCode>0.00%</c:formatCode>
                <c:ptCount val="4"/>
                <c:pt idx="0">
                  <c:v>1.0609E-2</c:v>
                </c:pt>
                <c:pt idx="1">
                  <c:v>9.8279999999999999E-3</c:v>
                </c:pt>
                <c:pt idx="2">
                  <c:v>0.96716199999999997</c:v>
                </c:pt>
                <c:pt idx="3">
                  <c:v>1.2401000000000001E-2</c:v>
                </c:pt>
              </c:numCache>
            </c:numRef>
          </c:val>
          <c:extLst>
            <c:ext xmlns:c16="http://schemas.microsoft.com/office/drawing/2014/chart" uri="{C3380CC4-5D6E-409C-BE32-E72D297353CC}">
              <c16:uniqueId val="{0000000C-B34B-4EAC-936A-14740604937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9.82532751091703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C1F-4974-BFCF-6242C54363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'BANDHAN-GIF2028'!$G$8</c:f>
              <c:strCache>
                <c:ptCount val="1"/>
                <c:pt idx="0">
                  <c:v>AAA EQUIVALENT</c:v>
                </c:pt>
              </c:strCache>
            </c:strRef>
          </c:cat>
          <c:val>
            <c:numRef>
              <c:f>'BANDHAN-GIF2028'!$H$8</c:f>
              <c:numCache>
                <c:formatCode>0%</c:formatCode>
                <c:ptCount val="1"/>
                <c:pt idx="0">
                  <c:v>1</c:v>
                </c:pt>
              </c:numCache>
            </c:numRef>
          </c:val>
          <c:extLst>
            <c:ext xmlns:c16="http://schemas.microsoft.com/office/drawing/2014/chart" uri="{C3380CC4-5D6E-409C-BE32-E72D297353CC}">
              <c16:uniqueId val="{0000000C-DC1F-4974-BFCF-6242C54363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8F-48B7-A666-4229CF4D2F48}"/>
                </c:ext>
              </c:extLst>
            </c:dLbl>
            <c:dLbl>
              <c:idx val="1"/>
              <c:layout>
                <c:manualLayout>
                  <c:x val="0.11222487312212312"/>
                  <c:y val="-4.14141732283464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8F-48B7-A666-4229CF4D2F48}"/>
                </c:ext>
              </c:extLst>
            </c:dLbl>
            <c:dLbl>
              <c:idx val="2"/>
              <c:layout>
                <c:manualLayout>
                  <c:x val="-0.21793977305299364"/>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8F-48B7-A666-4229CF4D2F48}"/>
                </c:ext>
              </c:extLst>
            </c:dLbl>
            <c:dLbl>
              <c:idx val="3"/>
              <c:layout>
                <c:manualLayout>
                  <c:x val="-0.11331155473874117"/>
                  <c:y val="-5.60335958005249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68F-48B7-A666-4229CF4D2F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'BANDHAN-GIF2028'!$J$9:$J$12</c:f>
              <c:strCache>
                <c:ptCount val="4"/>
                <c:pt idx="0">
                  <c:v>Net Current Asset</c:v>
                </c:pt>
                <c:pt idx="1">
                  <c:v>TRI Party Repo</c:v>
                </c:pt>
                <c:pt idx="2">
                  <c:v>Government Bond</c:v>
                </c:pt>
                <c:pt idx="3">
                  <c:v>Treasury Bill</c:v>
                </c:pt>
              </c:strCache>
            </c:strRef>
          </c:cat>
          <c:val>
            <c:numRef>
              <c:f>'BANDHAN-GIF2028'!$K$9:$K$12</c:f>
              <c:numCache>
                <c:formatCode>0.00%</c:formatCode>
                <c:ptCount val="4"/>
                <c:pt idx="0">
                  <c:v>1.7423000000000001E-2</c:v>
                </c:pt>
                <c:pt idx="1">
                  <c:v>1.4637000000000001E-2</c:v>
                </c:pt>
                <c:pt idx="2">
                  <c:v>0.95783099999999999</c:v>
                </c:pt>
                <c:pt idx="3">
                  <c:v>1.0109E-2</c:v>
                </c:pt>
              </c:numCache>
            </c:numRef>
          </c:val>
          <c:extLst>
            <c:ext xmlns:c16="http://schemas.microsoft.com/office/drawing/2014/chart" uri="{C3380CC4-5D6E-409C-BE32-E72D297353CC}">
              <c16:uniqueId val="{0000000C-968F-48B7-A666-4229CF4D2F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04D3-47F8-88AD-CC40504D9D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1-04D3-47F8-88AD-CC40504D9DE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1B07-49DD-8E12-5318B3A0B15F}"/>
                </c:ext>
              </c:extLst>
            </c:dLbl>
            <c:dLbl>
              <c:idx val="1"/>
              <c:layout>
                <c:manualLayout>
                  <c:x val="9.9183850680335195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1B07-49DD-8E12-5318B3A0B15F}"/>
                </c:ext>
              </c:extLst>
            </c:dLbl>
            <c:dLbl>
              <c:idx val="2"/>
              <c:layout>
                <c:manualLayout>
                  <c:x val="-0.20156173599285099"/>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1B07-49DD-8E12-5318B3A0B1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7.9120000000000006E-3</c:v>
                </c:pt>
                <c:pt idx="1">
                  <c:v>2.8962000000000002E-2</c:v>
                </c:pt>
                <c:pt idx="2">
                  <c:v>0.96312599999999993</c:v>
                </c:pt>
              </c:numCache>
            </c:numRef>
          </c:val>
          <c:extLst>
            <c:ext xmlns:c16="http://schemas.microsoft.com/office/drawing/2014/chart" uri="{C3380CC4-5D6E-409C-BE32-E72D297353CC}">
              <c16:uniqueId val="{00000003-1B07-49DD-8E12-5318B3A0B1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72-48D0-A9DE-86B36F0AA1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F572-48D0-A9DE-86B36F0AA11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11003043382960427"/>
                  <c:y val="-4.7804024496937882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560-475F-9B16-A76CB09271A4}"/>
                </c:ext>
              </c:extLst>
            </c:dLbl>
            <c:dLbl>
              <c:idx val="1"/>
              <c:layout>
                <c:manualLayout>
                  <c:x val="3.5875668111079264E-3"/>
                  <c:y val="-1.60335958005249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560-475F-9B16-A76CB09271A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560-475F-9B16-A76CB09271A4}"/>
                </c:ext>
              </c:extLst>
            </c:dLbl>
            <c:dLbl>
              <c:idx val="3"/>
              <c:layout>
                <c:manualLayout>
                  <c:x val="2.1458800519314102E-2"/>
                  <c:y val="0.106145231846019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560-475F-9B16-A76CB09271A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1.0946000000000001E-2</c:v>
                </c:pt>
                <c:pt idx="1">
                  <c:v>1.5096999999999999E-2</c:v>
                </c:pt>
                <c:pt idx="2">
                  <c:v>0.19176799999999999</c:v>
                </c:pt>
                <c:pt idx="3">
                  <c:v>0.78218900000000002</c:v>
                </c:pt>
              </c:numCache>
            </c:numRef>
          </c:val>
          <c:extLst>
            <c:ext xmlns:c16="http://schemas.microsoft.com/office/drawing/2014/chart" uri="{C3380CC4-5D6E-409C-BE32-E72D297353CC}">
              <c16:uniqueId val="{0000000C-1560-475F-9B16-A76CB09271A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120-4A27-A5B2-546B9F001F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E120-4A27-A5B2-546B9F001F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27907560403985904"/>
                  <c:y val="-4.7804024496937882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D59-47F5-86FB-03CF21524CB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D59-47F5-86FB-03CF21524CB6}"/>
                </c:ext>
              </c:extLst>
            </c:dLbl>
            <c:dLbl>
              <c:idx val="2"/>
              <c:layout>
                <c:manualLayout>
                  <c:x val="-8.3139742703468272E-2"/>
                  <c:y val="-0.3667037620297463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D59-47F5-86FB-03CF21524CB6}"/>
                </c:ext>
              </c:extLst>
            </c:dLbl>
            <c:dLbl>
              <c:idx val="3"/>
              <c:layout>
                <c:manualLayout>
                  <c:x val="5.759370415957106E-2"/>
                  <c:y val="0.267829221347331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D59-47F5-86FB-03CF21524CB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1.4357E-2</c:v>
                </c:pt>
                <c:pt idx="1">
                  <c:v>5.6605999999999997E-2</c:v>
                </c:pt>
                <c:pt idx="2">
                  <c:v>0.371836</c:v>
                </c:pt>
                <c:pt idx="3">
                  <c:v>0.55720099999999995</c:v>
                </c:pt>
              </c:numCache>
            </c:numRef>
          </c:val>
          <c:extLst>
            <c:ext xmlns:c16="http://schemas.microsoft.com/office/drawing/2014/chart" uri="{C3380CC4-5D6E-409C-BE32-E72D297353CC}">
              <c16:uniqueId val="{0000000C-7D59-47F5-86FB-03CF21524CB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AC-4C98-89E8-F4418C96C0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19AC-4C98-89E8-F4418C96C0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D94-4388-885C-B133D3F38BCD}"/>
                </c:ext>
              </c:extLst>
            </c:dLbl>
            <c:dLbl>
              <c:idx val="1"/>
              <c:layout>
                <c:manualLayout>
                  <c:x val="5.7047412702962451E-2"/>
                  <c:y val="-2.55013123359580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D94-4388-885C-B133D3F38BCD}"/>
                </c:ext>
              </c:extLst>
            </c:dLbl>
            <c:dLbl>
              <c:idx val="2"/>
              <c:layout>
                <c:manualLayout>
                  <c:x val="3.7276045794061609E-2"/>
                  <c:y val="-5.4686614173228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D94-4388-885C-B133D3F38BCD}"/>
                </c:ext>
              </c:extLst>
            </c:dLbl>
            <c:dLbl>
              <c:idx val="3"/>
              <c:layout>
                <c:manualLayout>
                  <c:x val="5.3043382960427592E-2"/>
                  <c:y val="0.106007699037620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D94-4388-885C-B133D3F38BC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1.3311999999999999E-2</c:v>
                </c:pt>
                <c:pt idx="1">
                  <c:v>4.4207000000000003E-2</c:v>
                </c:pt>
                <c:pt idx="2">
                  <c:v>0.17374700000000001</c:v>
                </c:pt>
                <c:pt idx="3">
                  <c:v>0.76873400000000003</c:v>
                </c:pt>
              </c:numCache>
            </c:numRef>
          </c:val>
          <c:extLst>
            <c:ext xmlns:c16="http://schemas.microsoft.com/office/drawing/2014/chart" uri="{C3380CC4-5D6E-409C-BE32-E72D297353CC}">
              <c16:uniqueId val="{0000000C-0D94-4388-885C-B133D3F38BC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80438044816134"/>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C17-4125-A35D-25FE20CF9F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4C17-4125-A35D-25FE20CF9F9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E70-486C-8527-EE8C318F931D}"/>
                </c:ext>
              </c:extLst>
            </c:dLbl>
            <c:dLbl>
              <c:idx val="1"/>
              <c:layout>
                <c:manualLayout>
                  <c:x val="0.17453775986781103"/>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E70-486C-8527-EE8C318F931D}"/>
                </c:ext>
              </c:extLst>
            </c:dLbl>
            <c:dLbl>
              <c:idx val="2"/>
              <c:layout>
                <c:manualLayout>
                  <c:x val="-0.21429926318096748"/>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E70-486C-8527-EE8C318F93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-1.6689999999999999E-3</c:v>
                </c:pt>
                <c:pt idx="1">
                  <c:v>7.3699999999999998E-3</c:v>
                </c:pt>
                <c:pt idx="2">
                  <c:v>0.99429900000000004</c:v>
                </c:pt>
              </c:numCache>
            </c:numRef>
          </c:val>
          <c:extLst>
            <c:ext xmlns:c16="http://schemas.microsoft.com/office/drawing/2014/chart" uri="{C3380CC4-5D6E-409C-BE32-E72D297353CC}">
              <c16:uniqueId val="{0000000C-2E70-486C-8527-EE8C318F931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64AF81A-AAC7-4F26-BD97-33DA404E5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1D6CFC7-B3F6-4D46-AED3-12DA78B97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BB1AF6F-1222-416A-8AC8-C5A432D29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28DDF852-1850-4234-A706-8D1C97939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6124C71-B7D7-42F0-8096-42851A381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6FED777A-951E-4582-A002-3F22F3325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B61C13A-45FC-464D-8539-DCDA1D29E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A8A0755A-02B9-463E-A2AE-CEB054188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CA90661-1434-4608-9CB2-B31E5E1E0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6465953E-038D-4ABF-8472-11FF23E9A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3154365-080B-4E10-9259-E4D27BAE6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0F1AACE-DC39-4173-B8B2-2D1BE3C0B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EDA5AD8-A568-41E7-A583-C51122280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89BA566-37CF-4010-89E7-93252F0EA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E87C473-26A6-4B4C-AB72-118A301F8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9170211-2AE7-4EFE-94D3-B6E49FB2D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070ADA3-A7B6-47C5-A9F3-86F06E5E6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7770E2C-81AF-4503-97A8-B8C8A4E3F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7B61816-1512-4E53-9861-6E69E7164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7CE68371-E546-49E2-8157-1760B7FCF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C86019C-AED2-4410-9B0C-EBDC5C931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99897EE8-A10A-4DBC-9348-7D8F2229D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25401</xdr:rowOff>
    </xdr:from>
    <xdr:to>
      <xdr:col>13</xdr:col>
      <xdr:colOff>533400</xdr:colOff>
      <xdr:row>22</xdr:row>
      <xdr:rowOff>25401</xdr:rowOff>
    </xdr:to>
    <xdr:graphicFrame macro="">
      <xdr:nvGraphicFramePr>
        <xdr:cNvPr id="2" name="Chart 1">
          <a:extLst>
            <a:ext uri="{FF2B5EF4-FFF2-40B4-BE49-F238E27FC236}">
              <a16:creationId xmlns:a16="http://schemas.microsoft.com/office/drawing/2014/main" id="{C13224A7-E1D8-49D9-B6C3-28309DECF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46C1AFB-7CFC-45A3-BE8C-BADE66C80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AE07DEA-A38C-4E04-A2F2-3CE537F84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ADE6E7A6-6B65-46D7-A815-7BE4C29F9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FA1E92C-B497-422E-B5A0-1E77DF0FE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DE27245-35BD-4FB0-8FF2-D41B88F5E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7190FB4-7209-4A47-8C71-E1D46B1F2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FAAAF52-E941-4E93-8780-5241489D6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B770DA7-3DAF-4AC0-8862-C359034B7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9F8F593-4BB1-4EC2-9298-D5FC1A0AA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8419718-7C9A-4971-BF20-6780C78EB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DB90D4E-36E2-4C5C-B721-668AC61A9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CC73BC0-B37C-470A-88E5-CA5B00277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6A81F74-4C3E-47E9-B095-EB7FD3EB9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25400</xdr:colOff>
      <xdr:row>7</xdr:row>
      <xdr:rowOff>12701</xdr:rowOff>
    </xdr:from>
    <xdr:to>
      <xdr:col>13</xdr:col>
      <xdr:colOff>571500</xdr:colOff>
      <xdr:row>22</xdr:row>
      <xdr:rowOff>12701</xdr:rowOff>
    </xdr:to>
    <xdr:graphicFrame macro="">
      <xdr:nvGraphicFramePr>
        <xdr:cNvPr id="2" name="Chart 1">
          <a:extLst>
            <a:ext uri="{FF2B5EF4-FFF2-40B4-BE49-F238E27FC236}">
              <a16:creationId xmlns:a16="http://schemas.microsoft.com/office/drawing/2014/main" id="{984C5750-1CA1-40FB-9F74-5972FACF5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AF31E28-EE07-47BA-A236-6839CE865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B9C42B0-AC18-443A-8CFF-9A0181FDF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8C64963-BF90-400E-B83F-94A34323E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CC663B5-8FD9-4E79-9776-F7047D0D2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CCF0627-879D-44EA-B1EA-10752263D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797D5F5-2BC4-4660-85DA-2069EEEB8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81CF992-EABC-4BAF-866F-C230450CA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B168E53-5874-4F57-8ED8-691D8F86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95B43A4-9569-4144-B0DD-0720E5F70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CF33-C7FF-46BA-B401-43AEEC0D561B}">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241</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134</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6</v>
      </c>
      <c r="D8" s="6"/>
      <c r="E8" s="11">
        <v>0.99530399999999997</v>
      </c>
      <c r="F8" s="1"/>
      <c r="G8" s="24" t="s">
        <v>13</v>
      </c>
      <c r="H8" s="25">
        <v>1</v>
      </c>
      <c r="I8" s="1"/>
      <c r="J8" s="24" t="s">
        <v>10</v>
      </c>
      <c r="K8" s="24" t="s">
        <v>4</v>
      </c>
      <c r="L8" s="1"/>
      <c r="M8" s="1"/>
      <c r="N8" s="18"/>
    </row>
    <row r="9" spans="2:14" ht="15.75" customHeight="1" x14ac:dyDescent="0.25">
      <c r="B9" s="20"/>
      <c r="C9" s="7" t="s">
        <v>7</v>
      </c>
      <c r="D9" s="8"/>
      <c r="E9" s="12">
        <v>0.99530399999999997</v>
      </c>
      <c r="F9" s="1"/>
      <c r="G9" s="1"/>
      <c r="H9" s="1"/>
      <c r="I9" s="1"/>
      <c r="J9" s="24" t="s">
        <v>8</v>
      </c>
      <c r="K9" s="28">
        <v>4.6959999999999997E-3</v>
      </c>
      <c r="L9" s="1"/>
      <c r="M9" s="1"/>
      <c r="N9" s="18"/>
    </row>
    <row r="10" spans="2:14" ht="15" customHeight="1" x14ac:dyDescent="0.25">
      <c r="B10" s="20"/>
      <c r="C10" s="5"/>
      <c r="D10" s="6"/>
      <c r="E10" s="11"/>
      <c r="F10" s="1"/>
      <c r="G10" s="1"/>
      <c r="H10" s="1"/>
      <c r="I10" s="1"/>
      <c r="J10" s="24" t="s">
        <v>11</v>
      </c>
      <c r="K10" s="28">
        <v>0.99530399999999997</v>
      </c>
      <c r="L10" s="1"/>
      <c r="M10" s="1"/>
      <c r="N10" s="18"/>
    </row>
    <row r="11" spans="2:14" ht="15.75" customHeight="1" x14ac:dyDescent="0.25">
      <c r="B11" s="20"/>
      <c r="C11" s="7" t="s">
        <v>8</v>
      </c>
      <c r="D11" s="8"/>
      <c r="E11" s="12">
        <v>4.6959999999999997E-3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9</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240</v>
      </c>
      <c r="H24" s="52"/>
      <c r="I24" s="52"/>
      <c r="J24" s="52"/>
      <c r="K24" s="52"/>
      <c r="L24" s="41">
        <v>0.99530385364553609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7E5AE-C809-4F0A-82E8-6A5A1EBFE664}">
  <dimension ref="B1:N7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263</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74</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18</v>
      </c>
      <c r="D8" s="6" t="s">
        <v>19</v>
      </c>
      <c r="E8" s="11">
        <v>7.6206999999999997E-2</v>
      </c>
      <c r="F8" s="1"/>
      <c r="G8" s="24" t="s">
        <v>13</v>
      </c>
      <c r="H8" s="25">
        <v>1</v>
      </c>
      <c r="I8" s="1"/>
      <c r="J8" s="24" t="s">
        <v>10</v>
      </c>
      <c r="K8" s="24" t="s">
        <v>4</v>
      </c>
      <c r="L8" s="1"/>
      <c r="M8" s="1"/>
      <c r="N8" s="18"/>
    </row>
    <row r="9" spans="2:14" ht="15" customHeight="1" x14ac:dyDescent="0.25">
      <c r="B9" s="20"/>
      <c r="C9" s="5" t="s">
        <v>26</v>
      </c>
      <c r="D9" s="6" t="s">
        <v>19</v>
      </c>
      <c r="E9" s="11">
        <v>4.9692E-2</v>
      </c>
      <c r="F9" s="1"/>
      <c r="G9" s="1"/>
      <c r="H9" s="1"/>
      <c r="I9" s="1"/>
      <c r="J9" s="24" t="s">
        <v>8</v>
      </c>
      <c r="K9" s="28">
        <v>3.9051000000000002E-2</v>
      </c>
      <c r="L9" s="1"/>
      <c r="M9" s="1"/>
      <c r="N9" s="18"/>
    </row>
    <row r="10" spans="2:14" ht="15" customHeight="1" x14ac:dyDescent="0.25">
      <c r="B10" s="20"/>
      <c r="C10" s="5" t="s">
        <v>24</v>
      </c>
      <c r="D10" s="6" t="s">
        <v>19</v>
      </c>
      <c r="E10" s="11">
        <v>2.2145000000000001E-2</v>
      </c>
      <c r="F10" s="1"/>
      <c r="G10" s="1"/>
      <c r="H10" s="1"/>
      <c r="I10" s="1"/>
      <c r="J10" s="24" t="s">
        <v>11</v>
      </c>
      <c r="K10" s="28">
        <v>0.203349</v>
      </c>
      <c r="L10" s="1"/>
      <c r="M10" s="1"/>
      <c r="N10" s="18"/>
    </row>
    <row r="11" spans="2:14" ht="15" customHeight="1" x14ac:dyDescent="0.25">
      <c r="B11" s="20"/>
      <c r="C11" s="5" t="s">
        <v>20</v>
      </c>
      <c r="D11" s="6" t="s">
        <v>19</v>
      </c>
      <c r="E11" s="11">
        <v>1.4586E-2</v>
      </c>
      <c r="F11" s="1"/>
      <c r="G11" s="1"/>
      <c r="H11" s="1"/>
      <c r="I11" s="1"/>
      <c r="J11" s="24" t="s">
        <v>54</v>
      </c>
      <c r="K11" s="28">
        <v>0.19153400000000001</v>
      </c>
      <c r="L11" s="1"/>
      <c r="M11" s="1"/>
      <c r="N11" s="18"/>
    </row>
    <row r="12" spans="2:14" ht="15" customHeight="1" x14ac:dyDescent="0.25">
      <c r="B12" s="20"/>
      <c r="C12" s="5" t="s">
        <v>72</v>
      </c>
      <c r="D12" s="6" t="s">
        <v>19</v>
      </c>
      <c r="E12" s="11">
        <v>1.4437E-2</v>
      </c>
      <c r="F12" s="1"/>
      <c r="G12" s="1"/>
      <c r="H12" s="1"/>
      <c r="I12" s="1"/>
      <c r="J12" s="24" t="s">
        <v>55</v>
      </c>
      <c r="K12" s="28">
        <v>0.106013</v>
      </c>
      <c r="L12" s="1"/>
      <c r="M12" s="1"/>
      <c r="N12" s="18"/>
    </row>
    <row r="13" spans="2:14" ht="15" customHeight="1" x14ac:dyDescent="0.25">
      <c r="B13" s="20"/>
      <c r="C13" s="5" t="s">
        <v>21</v>
      </c>
      <c r="D13" s="6" t="s">
        <v>19</v>
      </c>
      <c r="E13" s="11">
        <v>1.2390999999999999E-2</v>
      </c>
      <c r="F13" s="1"/>
      <c r="G13" s="1"/>
      <c r="H13" s="1"/>
      <c r="I13" s="1"/>
      <c r="J13" s="24" t="s">
        <v>56</v>
      </c>
      <c r="K13" s="28">
        <v>0.345636</v>
      </c>
      <c r="L13" s="1"/>
      <c r="M13" s="1"/>
      <c r="N13" s="18"/>
    </row>
    <row r="14" spans="2:14" ht="15" customHeight="1" x14ac:dyDescent="0.25">
      <c r="B14" s="20"/>
      <c r="C14" s="5" t="s">
        <v>23</v>
      </c>
      <c r="D14" s="6" t="s">
        <v>19</v>
      </c>
      <c r="E14" s="11">
        <v>2.0760000000000002E-3</v>
      </c>
      <c r="F14" s="1"/>
      <c r="G14" s="1"/>
      <c r="H14" s="1"/>
      <c r="I14" s="1"/>
      <c r="J14" s="24" t="s">
        <v>58</v>
      </c>
      <c r="K14" s="28">
        <v>5.4462999999999998E-2</v>
      </c>
      <c r="L14" s="1"/>
      <c r="M14" s="1"/>
      <c r="N14" s="18"/>
    </row>
    <row r="15" spans="2:14" ht="15.75" customHeight="1" x14ac:dyDescent="0.25">
      <c r="B15" s="20"/>
      <c r="C15" s="7" t="s">
        <v>28</v>
      </c>
      <c r="D15" s="8"/>
      <c r="E15" s="12">
        <v>0.19153400000000001</v>
      </c>
      <c r="F15" s="1"/>
      <c r="G15" s="1"/>
      <c r="H15" s="1"/>
      <c r="I15" s="1"/>
      <c r="J15" s="24" t="s">
        <v>59</v>
      </c>
      <c r="K15" s="28">
        <v>4.3439999999999999E-2</v>
      </c>
      <c r="L15" s="1"/>
      <c r="M15" s="1"/>
      <c r="N15" s="18"/>
    </row>
    <row r="16" spans="2:14" ht="15" customHeight="1" x14ac:dyDescent="0.25">
      <c r="B16" s="20"/>
      <c r="C16" s="5" t="s">
        <v>31</v>
      </c>
      <c r="D16" s="6" t="s">
        <v>19</v>
      </c>
      <c r="E16" s="11">
        <v>8.0813999999999997E-2</v>
      </c>
      <c r="F16" s="1"/>
      <c r="G16" s="1"/>
      <c r="H16" s="1"/>
      <c r="I16" s="1"/>
      <c r="J16" s="24" t="s">
        <v>88</v>
      </c>
      <c r="K16" s="28">
        <v>1.6514000000000001E-2</v>
      </c>
      <c r="L16" s="1"/>
      <c r="M16" s="1"/>
      <c r="N16" s="18"/>
    </row>
    <row r="17" spans="2:14" ht="15" customHeight="1" x14ac:dyDescent="0.25">
      <c r="B17" s="20"/>
      <c r="C17" s="5" t="s">
        <v>24</v>
      </c>
      <c r="D17" s="6" t="s">
        <v>19</v>
      </c>
      <c r="E17" s="11">
        <v>7.0012000000000005E-2</v>
      </c>
      <c r="F17" s="1"/>
      <c r="G17" s="1"/>
      <c r="H17" s="1"/>
      <c r="I17" s="1"/>
      <c r="J17" s="1"/>
      <c r="K17" s="1"/>
      <c r="L17" s="1"/>
      <c r="M17" s="1"/>
      <c r="N17" s="18"/>
    </row>
    <row r="18" spans="2:14" ht="15" customHeight="1" x14ac:dyDescent="0.25">
      <c r="B18" s="20"/>
      <c r="C18" s="5" t="s">
        <v>75</v>
      </c>
      <c r="D18" s="6" t="s">
        <v>19</v>
      </c>
      <c r="E18" s="11">
        <v>4.9727E-2</v>
      </c>
      <c r="F18" s="1"/>
      <c r="G18" s="1"/>
      <c r="H18" s="1"/>
      <c r="I18" s="1"/>
      <c r="J18" s="1"/>
      <c r="K18" s="1"/>
      <c r="L18" s="1"/>
      <c r="M18" s="1"/>
      <c r="N18" s="18"/>
    </row>
    <row r="19" spans="2:14" ht="15" customHeight="1" x14ac:dyDescent="0.25">
      <c r="B19" s="20"/>
      <c r="C19" s="5" t="s">
        <v>76</v>
      </c>
      <c r="D19" s="6" t="s">
        <v>19</v>
      </c>
      <c r="E19" s="11">
        <v>3.7136000000000002E-2</v>
      </c>
      <c r="F19" s="1"/>
      <c r="G19" s="1"/>
      <c r="H19" s="1"/>
      <c r="I19" s="1"/>
      <c r="J19" s="1"/>
      <c r="K19" s="1"/>
      <c r="L19" s="1"/>
      <c r="M19" s="1"/>
      <c r="N19" s="18"/>
    </row>
    <row r="20" spans="2:14" ht="15" customHeight="1" x14ac:dyDescent="0.25">
      <c r="B20" s="20"/>
      <c r="C20" s="5" t="s">
        <v>77</v>
      </c>
      <c r="D20" s="6" t="s">
        <v>19</v>
      </c>
      <c r="E20" s="11">
        <v>3.2872999999999999E-2</v>
      </c>
      <c r="F20" s="1"/>
      <c r="G20" s="1"/>
      <c r="H20" s="1"/>
      <c r="I20" s="1"/>
      <c r="J20" s="1"/>
      <c r="K20" s="1"/>
      <c r="L20" s="1"/>
      <c r="M20" s="1"/>
      <c r="N20" s="18"/>
    </row>
    <row r="21" spans="2:14" ht="15" customHeight="1" x14ac:dyDescent="0.25">
      <c r="B21" s="20"/>
      <c r="C21" s="5" t="s">
        <v>35</v>
      </c>
      <c r="D21" s="6" t="s">
        <v>19</v>
      </c>
      <c r="E21" s="11">
        <v>2.1527000000000001E-2</v>
      </c>
      <c r="F21" s="1"/>
      <c r="G21" s="1"/>
      <c r="H21" s="1"/>
      <c r="I21" s="1"/>
      <c r="J21" s="1"/>
      <c r="K21" s="1"/>
      <c r="L21" s="1"/>
      <c r="M21" s="1"/>
      <c r="N21" s="18"/>
    </row>
    <row r="22" spans="2:14" ht="15" customHeight="1" x14ac:dyDescent="0.25">
      <c r="B22" s="20"/>
      <c r="C22" s="5" t="s">
        <v>78</v>
      </c>
      <c r="D22" s="6" t="s">
        <v>19</v>
      </c>
      <c r="E22" s="11">
        <v>1.652E-2</v>
      </c>
      <c r="F22" s="1"/>
      <c r="G22" s="1"/>
      <c r="H22" s="1"/>
      <c r="I22" s="1"/>
      <c r="J22" s="1"/>
      <c r="K22" s="1"/>
      <c r="L22" s="1"/>
      <c r="M22" s="1"/>
      <c r="N22" s="18"/>
    </row>
    <row r="23" spans="2:14" ht="15" customHeight="1" x14ac:dyDescent="0.25">
      <c r="B23" s="20"/>
      <c r="C23" s="5" t="s">
        <v>79</v>
      </c>
      <c r="D23" s="6" t="s">
        <v>19</v>
      </c>
      <c r="E23" s="11">
        <v>1.2352999999999999E-2</v>
      </c>
      <c r="F23" s="1"/>
      <c r="G23" s="1"/>
      <c r="H23" s="1"/>
      <c r="I23" s="1"/>
      <c r="J23" s="1"/>
      <c r="K23" s="1"/>
      <c r="L23" s="1"/>
      <c r="M23" s="1"/>
      <c r="N23" s="18"/>
    </row>
    <row r="24" spans="2:14" ht="15" customHeight="1" x14ac:dyDescent="0.25">
      <c r="B24" s="20"/>
      <c r="C24" s="5" t="s">
        <v>80</v>
      </c>
      <c r="D24" s="6" t="s">
        <v>19</v>
      </c>
      <c r="E24" s="11">
        <v>1.2341E-2</v>
      </c>
      <c r="F24" s="1"/>
      <c r="G24" s="51" t="s">
        <v>89</v>
      </c>
      <c r="H24" s="52"/>
      <c r="I24" s="52"/>
      <c r="J24" s="52"/>
      <c r="K24" s="52"/>
      <c r="L24" s="41">
        <v>42.654237315415145</v>
      </c>
      <c r="M24" s="26"/>
      <c r="N24" s="27"/>
    </row>
    <row r="25" spans="2:14" ht="15" customHeight="1" x14ac:dyDescent="0.25">
      <c r="B25" s="20"/>
      <c r="C25" s="5" t="s">
        <v>81</v>
      </c>
      <c r="D25" s="6" t="s">
        <v>19</v>
      </c>
      <c r="E25" s="11">
        <v>1.2333E-2</v>
      </c>
      <c r="F25" s="1"/>
      <c r="G25" s="1"/>
      <c r="H25" s="1"/>
      <c r="I25" s="1"/>
      <c r="J25" s="1"/>
      <c r="K25" s="1"/>
      <c r="L25" s="1"/>
      <c r="M25" s="1"/>
      <c r="N25" s="18"/>
    </row>
    <row r="26" spans="2:14" ht="15.75" customHeight="1" x14ac:dyDescent="0.25">
      <c r="B26" s="20"/>
      <c r="C26" s="7" t="s">
        <v>30</v>
      </c>
      <c r="D26" s="8"/>
      <c r="E26" s="12">
        <v>0.345636</v>
      </c>
      <c r="F26" s="1"/>
      <c r="G26" s="51" t="s">
        <v>16</v>
      </c>
      <c r="H26" s="52"/>
      <c r="I26" s="52"/>
      <c r="J26" s="52"/>
      <c r="K26" s="52"/>
      <c r="L26" s="52"/>
      <c r="M26" s="52"/>
      <c r="N26" s="53"/>
    </row>
    <row r="27" spans="2:14" ht="15" customHeight="1" x14ac:dyDescent="0.25">
      <c r="B27" s="20"/>
      <c r="C27" s="5" t="s">
        <v>82</v>
      </c>
      <c r="D27" s="6" t="s">
        <v>32</v>
      </c>
      <c r="E27" s="11">
        <v>3.4638000000000002E-2</v>
      </c>
      <c r="F27" s="1"/>
      <c r="G27" s="1"/>
      <c r="H27" s="1"/>
      <c r="I27" s="1"/>
      <c r="J27" s="1"/>
      <c r="K27" s="1"/>
      <c r="L27" s="1"/>
      <c r="M27" s="1"/>
      <c r="N27" s="18"/>
    </row>
    <row r="28" spans="2:14" ht="15" customHeight="1" x14ac:dyDescent="0.25">
      <c r="B28" s="20"/>
      <c r="C28" s="5" t="s">
        <v>36</v>
      </c>
      <c r="D28" s="6" t="s">
        <v>32</v>
      </c>
      <c r="E28" s="11">
        <v>2.2935000000000001E-2</v>
      </c>
      <c r="F28" s="1"/>
      <c r="G28" s="1"/>
      <c r="H28" s="1"/>
      <c r="I28" s="1"/>
      <c r="J28" s="1"/>
      <c r="K28" s="1"/>
      <c r="L28" s="1"/>
      <c r="M28" s="1"/>
      <c r="N28" s="18"/>
    </row>
    <row r="29" spans="2:14" ht="15" customHeight="1" x14ac:dyDescent="0.25">
      <c r="B29" s="20"/>
      <c r="C29" s="5" t="s">
        <v>45</v>
      </c>
      <c r="D29" s="6" t="s">
        <v>32</v>
      </c>
      <c r="E29" s="11">
        <v>1.5879000000000001E-2</v>
      </c>
      <c r="F29" s="1"/>
      <c r="G29" s="1"/>
      <c r="H29" s="1"/>
      <c r="I29" s="1"/>
      <c r="J29" s="1"/>
      <c r="K29" s="1"/>
      <c r="L29" s="1"/>
      <c r="M29" s="1"/>
      <c r="N29" s="18"/>
    </row>
    <row r="30" spans="2:14" ht="15" customHeight="1" x14ac:dyDescent="0.25">
      <c r="B30" s="20"/>
      <c r="C30" s="5" t="s">
        <v>31</v>
      </c>
      <c r="D30" s="6" t="s">
        <v>32</v>
      </c>
      <c r="E30" s="11">
        <v>1.0843999999999999E-2</v>
      </c>
      <c r="F30" s="1"/>
      <c r="G30" s="1"/>
      <c r="H30" s="1"/>
      <c r="I30" s="1"/>
      <c r="J30" s="1"/>
      <c r="K30" s="1"/>
      <c r="L30" s="1"/>
      <c r="M30" s="1"/>
      <c r="N30" s="18"/>
    </row>
    <row r="31" spans="2:14" ht="15" customHeight="1" x14ac:dyDescent="0.25">
      <c r="B31" s="20"/>
      <c r="C31" s="5" t="s">
        <v>33</v>
      </c>
      <c r="D31" s="6" t="s">
        <v>32</v>
      </c>
      <c r="E31" s="11">
        <v>1.0454E-2</v>
      </c>
      <c r="F31" s="1"/>
      <c r="G31" s="1"/>
      <c r="H31" s="1"/>
      <c r="I31" s="1"/>
      <c r="J31" s="1"/>
      <c r="K31" s="1"/>
      <c r="L31" s="1"/>
      <c r="M31" s="1"/>
      <c r="N31" s="18"/>
    </row>
    <row r="32" spans="2:14" ht="15" customHeight="1" x14ac:dyDescent="0.25">
      <c r="B32" s="20"/>
      <c r="C32" s="5" t="s">
        <v>35</v>
      </c>
      <c r="D32" s="6" t="s">
        <v>32</v>
      </c>
      <c r="E32" s="11">
        <v>4.1780000000000003E-3</v>
      </c>
      <c r="F32" s="1"/>
      <c r="G32" s="1"/>
      <c r="H32" s="1"/>
      <c r="I32" s="1"/>
      <c r="J32" s="1"/>
      <c r="K32" s="1"/>
      <c r="L32" s="1"/>
      <c r="M32" s="1"/>
      <c r="N32" s="18"/>
    </row>
    <row r="33" spans="2:14" ht="15" customHeight="1" x14ac:dyDescent="0.25">
      <c r="B33" s="20"/>
      <c r="C33" s="5" t="s">
        <v>34</v>
      </c>
      <c r="D33" s="6" t="s">
        <v>32</v>
      </c>
      <c r="E33" s="11">
        <v>2.9220000000000001E-3</v>
      </c>
      <c r="F33" s="1"/>
      <c r="G33" s="1"/>
      <c r="H33" s="1"/>
      <c r="I33" s="1"/>
      <c r="J33" s="1"/>
      <c r="K33" s="1"/>
      <c r="L33" s="1"/>
      <c r="M33" s="1"/>
      <c r="N33" s="18"/>
    </row>
    <row r="34" spans="2:14" ht="15" customHeight="1" x14ac:dyDescent="0.25">
      <c r="B34" s="20"/>
      <c r="C34" s="5" t="s">
        <v>29</v>
      </c>
      <c r="D34" s="6" t="s">
        <v>32</v>
      </c>
      <c r="E34" s="11">
        <v>2.0860000000000002E-3</v>
      </c>
      <c r="F34" s="1"/>
      <c r="G34" s="1"/>
      <c r="H34" s="1"/>
      <c r="I34" s="1"/>
      <c r="J34" s="1"/>
      <c r="K34" s="1"/>
      <c r="L34" s="1"/>
      <c r="M34" s="1"/>
      <c r="N34" s="18"/>
    </row>
    <row r="35" spans="2:14" ht="15" customHeight="1" x14ac:dyDescent="0.25">
      <c r="B35" s="20"/>
      <c r="C35" s="5" t="s">
        <v>83</v>
      </c>
      <c r="D35" s="6" t="s">
        <v>32</v>
      </c>
      <c r="E35" s="11">
        <v>2.0769999999999999E-3</v>
      </c>
      <c r="F35" s="1"/>
      <c r="G35" s="1"/>
      <c r="H35" s="1"/>
      <c r="I35" s="1"/>
      <c r="J35" s="1"/>
      <c r="K35" s="1"/>
      <c r="L35" s="1"/>
      <c r="M35" s="1"/>
      <c r="N35" s="18"/>
    </row>
    <row r="36" spans="2:14" ht="15.75" customHeight="1" x14ac:dyDescent="0.25">
      <c r="B36" s="20"/>
      <c r="C36" s="7" t="s">
        <v>46</v>
      </c>
      <c r="D36" s="8"/>
      <c r="E36" s="12">
        <v>0.106013</v>
      </c>
      <c r="F36" s="1"/>
      <c r="G36" s="1"/>
      <c r="H36" s="1"/>
      <c r="I36" s="1"/>
      <c r="J36" s="1"/>
      <c r="K36" s="1"/>
      <c r="L36" s="1"/>
      <c r="M36" s="1"/>
      <c r="N36" s="18"/>
    </row>
    <row r="37" spans="2:14" ht="15" customHeight="1" x14ac:dyDescent="0.25">
      <c r="B37" s="20"/>
      <c r="C37" s="31" t="s">
        <v>141</v>
      </c>
      <c r="D37" s="6" t="s">
        <v>48</v>
      </c>
      <c r="E37" s="33">
        <v>2.5076000000000001E-2</v>
      </c>
      <c r="F37" s="1"/>
      <c r="G37" s="1"/>
      <c r="H37" s="1"/>
      <c r="I37" s="1"/>
      <c r="J37" s="1"/>
      <c r="K37" s="1"/>
      <c r="L37" s="1"/>
      <c r="M37" s="1"/>
      <c r="N37" s="18"/>
    </row>
    <row r="38" spans="2:14" ht="15.75" customHeight="1" x14ac:dyDescent="0.25">
      <c r="B38" s="20"/>
      <c r="C38" s="31" t="s">
        <v>139</v>
      </c>
      <c r="D38" s="32" t="s">
        <v>48</v>
      </c>
      <c r="E38" s="33">
        <v>9.1979999999999996E-3</v>
      </c>
      <c r="F38" s="1"/>
      <c r="G38" s="1"/>
      <c r="H38" s="1"/>
      <c r="I38" s="1"/>
      <c r="J38" s="1"/>
      <c r="K38" s="1"/>
      <c r="L38" s="1"/>
      <c r="M38" s="1"/>
      <c r="N38" s="18"/>
    </row>
    <row r="39" spans="2:14" ht="15" customHeight="1" x14ac:dyDescent="0.25">
      <c r="B39" s="20"/>
      <c r="C39" s="31" t="s">
        <v>142</v>
      </c>
      <c r="D39" s="32" t="s">
        <v>48</v>
      </c>
      <c r="E39" s="33">
        <v>8.3639999999999999E-3</v>
      </c>
      <c r="F39" s="1"/>
      <c r="G39" s="1"/>
      <c r="H39" s="1"/>
      <c r="I39" s="1"/>
      <c r="J39" s="1"/>
      <c r="K39" s="1"/>
      <c r="L39" s="1"/>
      <c r="M39" s="1"/>
      <c r="N39" s="18"/>
    </row>
    <row r="40" spans="2:14" ht="15" customHeight="1" x14ac:dyDescent="0.25">
      <c r="B40" s="20"/>
      <c r="C40" s="31" t="s">
        <v>140</v>
      </c>
      <c r="D40" s="32" t="s">
        <v>48</v>
      </c>
      <c r="E40" s="33">
        <v>4.1830000000000001E-3</v>
      </c>
      <c r="F40" s="1"/>
      <c r="G40" s="1"/>
      <c r="H40" s="1"/>
      <c r="I40" s="1"/>
      <c r="J40" s="1"/>
      <c r="K40" s="1"/>
      <c r="L40" s="1"/>
      <c r="M40" s="1"/>
      <c r="N40" s="18"/>
    </row>
    <row r="41" spans="2:14" ht="15.75" customHeight="1" x14ac:dyDescent="0.25">
      <c r="B41" s="20"/>
      <c r="C41" s="31" t="s">
        <v>144</v>
      </c>
      <c r="D41" s="32" t="s">
        <v>48</v>
      </c>
      <c r="E41" s="33">
        <v>3.3470000000000001E-3</v>
      </c>
      <c r="F41" s="1"/>
      <c r="G41" s="1"/>
      <c r="H41" s="1"/>
      <c r="I41" s="1"/>
      <c r="J41" s="1"/>
      <c r="K41" s="1"/>
      <c r="L41" s="1"/>
      <c r="M41" s="1"/>
      <c r="N41" s="18"/>
    </row>
    <row r="42" spans="2:14" ht="15" customHeight="1" x14ac:dyDescent="0.25">
      <c r="B42" s="20"/>
      <c r="C42" s="31" t="s">
        <v>143</v>
      </c>
      <c r="D42" s="32" t="s">
        <v>48</v>
      </c>
      <c r="E42" s="33">
        <v>3.039E-3</v>
      </c>
      <c r="F42" s="1"/>
      <c r="G42" s="1"/>
      <c r="H42" s="1"/>
      <c r="I42" s="1"/>
      <c r="J42" s="1"/>
      <c r="K42" s="1"/>
      <c r="L42" s="1"/>
      <c r="M42" s="1"/>
      <c r="N42" s="18"/>
    </row>
    <row r="43" spans="2:14" ht="15.75" customHeight="1" x14ac:dyDescent="0.25">
      <c r="B43" s="20"/>
      <c r="C43" s="31" t="s">
        <v>138</v>
      </c>
      <c r="D43" s="32" t="s">
        <v>48</v>
      </c>
      <c r="E43" s="33">
        <v>1.256E-3</v>
      </c>
      <c r="F43" s="1"/>
      <c r="G43" s="1"/>
      <c r="H43" s="1"/>
      <c r="I43" s="1"/>
      <c r="J43" s="1"/>
      <c r="K43" s="1"/>
      <c r="L43" s="1"/>
      <c r="M43" s="1"/>
      <c r="N43" s="18"/>
    </row>
    <row r="44" spans="2:14" s="29" customFormat="1" ht="15" customHeight="1" x14ac:dyDescent="0.25">
      <c r="B44" s="35"/>
      <c r="C44" s="7" t="s">
        <v>51</v>
      </c>
      <c r="D44" s="8"/>
      <c r="E44" s="12">
        <v>5.4462999999999998E-2</v>
      </c>
      <c r="F44" s="30"/>
      <c r="G44" s="30"/>
      <c r="H44" s="30"/>
      <c r="I44" s="30"/>
      <c r="J44" s="30"/>
      <c r="K44" s="30"/>
      <c r="L44" s="30"/>
      <c r="M44" s="30"/>
      <c r="N44" s="34"/>
    </row>
    <row r="45" spans="2:14" s="29" customFormat="1" ht="15" customHeight="1" x14ac:dyDescent="0.25">
      <c r="B45" s="35"/>
      <c r="C45" s="5" t="s">
        <v>85</v>
      </c>
      <c r="D45" s="6" t="s">
        <v>48</v>
      </c>
      <c r="E45" s="11">
        <v>1.0030000000000001E-2</v>
      </c>
      <c r="F45" s="30"/>
      <c r="G45" s="30"/>
      <c r="H45" s="30"/>
      <c r="I45" s="30"/>
      <c r="J45" s="30"/>
      <c r="K45" s="30"/>
      <c r="L45" s="30"/>
      <c r="M45" s="30"/>
      <c r="N45" s="34"/>
    </row>
    <row r="46" spans="2:14" s="29" customFormat="1" ht="15" customHeight="1" x14ac:dyDescent="0.25">
      <c r="B46" s="35"/>
      <c r="C46" s="31" t="s">
        <v>84</v>
      </c>
      <c r="D46" s="32" t="s">
        <v>48</v>
      </c>
      <c r="E46" s="33">
        <v>3.3410000000000002E-2</v>
      </c>
      <c r="F46" s="30"/>
      <c r="G46" s="30"/>
      <c r="H46" s="30"/>
      <c r="I46" s="30"/>
      <c r="J46" s="30"/>
      <c r="K46" s="30"/>
      <c r="L46" s="30"/>
      <c r="M46" s="30"/>
      <c r="N46" s="34"/>
    </row>
    <row r="47" spans="2:14" s="29" customFormat="1" ht="15" customHeight="1" x14ac:dyDescent="0.25">
      <c r="B47" s="35"/>
      <c r="C47" s="7" t="s">
        <v>53</v>
      </c>
      <c r="D47" s="8"/>
      <c r="E47" s="12">
        <v>4.3439999999999999E-2</v>
      </c>
      <c r="F47" s="30"/>
      <c r="G47" s="30"/>
      <c r="H47" s="30"/>
      <c r="I47" s="30"/>
      <c r="J47" s="30"/>
      <c r="K47" s="30"/>
      <c r="L47" s="30"/>
      <c r="M47" s="30"/>
      <c r="N47" s="34"/>
    </row>
    <row r="48" spans="2:14" s="29" customFormat="1" ht="15" customHeight="1" x14ac:dyDescent="0.25">
      <c r="B48" s="35"/>
      <c r="C48" s="5" t="s">
        <v>6</v>
      </c>
      <c r="D48" s="6"/>
      <c r="E48" s="11">
        <v>0.203349</v>
      </c>
      <c r="F48" s="30"/>
      <c r="G48" s="30"/>
      <c r="H48" s="30"/>
      <c r="I48" s="30"/>
      <c r="J48" s="30"/>
      <c r="K48" s="30"/>
      <c r="L48" s="30"/>
      <c r="M48" s="30"/>
      <c r="N48" s="34"/>
    </row>
    <row r="49" spans="2:14" s="29" customFormat="1" ht="15" customHeight="1" x14ac:dyDescent="0.25">
      <c r="B49" s="35"/>
      <c r="C49" s="7" t="s">
        <v>7</v>
      </c>
      <c r="D49" s="8"/>
      <c r="E49" s="12">
        <v>0.203349</v>
      </c>
      <c r="F49" s="30"/>
      <c r="G49" s="30"/>
      <c r="H49" s="30"/>
      <c r="I49" s="30"/>
      <c r="J49" s="30"/>
      <c r="K49" s="30"/>
      <c r="L49" s="30"/>
      <c r="M49" s="30"/>
      <c r="N49" s="34"/>
    </row>
    <row r="50" spans="2:14" s="29" customFormat="1" ht="15" customHeight="1" x14ac:dyDescent="0.25">
      <c r="B50" s="35"/>
      <c r="C50" s="5" t="s">
        <v>86</v>
      </c>
      <c r="D50" s="6" t="s">
        <v>32</v>
      </c>
      <c r="E50" s="11">
        <v>1.6514000000000001E-2</v>
      </c>
      <c r="F50" s="30"/>
      <c r="G50" s="30"/>
      <c r="H50" s="30"/>
      <c r="I50" s="30"/>
      <c r="J50" s="30"/>
      <c r="K50" s="30"/>
      <c r="L50" s="30"/>
      <c r="M50" s="30"/>
      <c r="N50" s="34"/>
    </row>
    <row r="51" spans="2:14" ht="15" customHeight="1" x14ac:dyDescent="0.25">
      <c r="B51" s="20"/>
      <c r="C51" s="7" t="s">
        <v>87</v>
      </c>
      <c r="D51" s="8"/>
      <c r="E51" s="12">
        <v>1.6514000000000001E-2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7" t="s">
        <v>8</v>
      </c>
      <c r="D53" s="8"/>
      <c r="E53" s="12">
        <v>3.9051000000000002E-2</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 customHeight="1" x14ac:dyDescent="0.25">
      <c r="B55" s="20"/>
      <c r="C55" s="9" t="s">
        <v>9</v>
      </c>
      <c r="D55" s="10"/>
      <c r="E55" s="13">
        <v>1</v>
      </c>
      <c r="F55" s="1"/>
      <c r="G55" s="1"/>
      <c r="H55" s="1"/>
      <c r="I55" s="1"/>
      <c r="J55" s="1"/>
      <c r="K55" s="1"/>
      <c r="L55" s="1"/>
      <c r="M55" s="1"/>
      <c r="N55" s="18"/>
    </row>
    <row r="56" spans="2:14" ht="15" customHeight="1" x14ac:dyDescent="0.25">
      <c r="B56" s="20"/>
      <c r="C56" s="1"/>
      <c r="D56" s="1"/>
      <c r="E56" s="1"/>
      <c r="F56" s="1"/>
      <c r="G56" s="1"/>
      <c r="H56" s="1"/>
      <c r="I56" s="1"/>
      <c r="J56" s="1"/>
      <c r="K56" s="1"/>
      <c r="L56" s="1"/>
      <c r="M56" s="1"/>
      <c r="N56" s="18"/>
    </row>
    <row r="57" spans="2:14" ht="15" customHeight="1" thickBot="1" x14ac:dyDescent="0.3">
      <c r="B57" s="21"/>
      <c r="C57" s="22"/>
      <c r="D57" s="22"/>
      <c r="E57" s="22"/>
      <c r="F57" s="22"/>
      <c r="G57" s="22"/>
      <c r="H57" s="22"/>
      <c r="I57" s="22"/>
      <c r="J57" s="22"/>
      <c r="K57" s="22"/>
      <c r="L57" s="22"/>
      <c r="M57" s="22"/>
      <c r="N57" s="23"/>
    </row>
    <row r="58" spans="2:14" ht="15" customHeight="1" thickBot="1" x14ac:dyDescent="0.3"/>
    <row r="59" spans="2:14" ht="117.75" customHeight="1" thickBot="1" x14ac:dyDescent="0.3">
      <c r="B59" s="43" t="s">
        <v>267</v>
      </c>
      <c r="C59" s="44"/>
      <c r="D59" s="44"/>
      <c r="E59" s="44"/>
      <c r="F59" s="44"/>
      <c r="G59" s="44"/>
      <c r="H59" s="44"/>
      <c r="I59" s="44"/>
      <c r="J59" s="44"/>
      <c r="K59" s="44"/>
      <c r="L59" s="44"/>
      <c r="M59" s="44"/>
      <c r="N59" s="45"/>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sortState ref="C37:E43">
    <sortCondition descending="1" ref="E37"/>
  </sortState>
  <mergeCells count="6">
    <mergeCell ref="B59:N59"/>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EFC7D-8BD2-4651-97E4-1EFB1556BF46}">
  <dimension ref="B1:N7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262</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129</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18</v>
      </c>
      <c r="D8" s="6" t="s">
        <v>19</v>
      </c>
      <c r="E8" s="11">
        <v>0.122464</v>
      </c>
      <c r="F8" s="1"/>
      <c r="G8" s="24" t="s">
        <v>13</v>
      </c>
      <c r="H8" s="25">
        <v>1</v>
      </c>
      <c r="I8" s="1"/>
      <c r="J8" s="24" t="s">
        <v>10</v>
      </c>
      <c r="K8" s="24" t="s">
        <v>4</v>
      </c>
      <c r="L8" s="1"/>
      <c r="M8" s="1"/>
      <c r="N8" s="18"/>
    </row>
    <row r="9" spans="2:14" ht="15" customHeight="1" x14ac:dyDescent="0.25">
      <c r="B9" s="20"/>
      <c r="C9" s="5" t="s">
        <v>22</v>
      </c>
      <c r="D9" s="6" t="s">
        <v>19</v>
      </c>
      <c r="E9" s="11">
        <v>9.5745999999999998E-2</v>
      </c>
      <c r="F9" s="1"/>
      <c r="G9" s="1"/>
      <c r="H9" s="1"/>
      <c r="I9" s="1"/>
      <c r="J9" s="24" t="s">
        <v>8</v>
      </c>
      <c r="K9" s="28">
        <v>1.5049999999999999E-2</v>
      </c>
      <c r="L9" s="1"/>
      <c r="M9" s="1"/>
      <c r="N9" s="18"/>
    </row>
    <row r="10" spans="2:14" ht="15" customHeight="1" x14ac:dyDescent="0.25">
      <c r="B10" s="20"/>
      <c r="C10" s="5" t="s">
        <v>24</v>
      </c>
      <c r="D10" s="6" t="s">
        <v>19</v>
      </c>
      <c r="E10" s="11">
        <v>8.8238999999999998E-2</v>
      </c>
      <c r="F10" s="1"/>
      <c r="G10" s="1"/>
      <c r="H10" s="1"/>
      <c r="I10" s="1"/>
      <c r="J10" s="24" t="s">
        <v>11</v>
      </c>
      <c r="K10" s="28">
        <v>2.4015000000000002E-2</v>
      </c>
      <c r="L10" s="1"/>
      <c r="M10" s="1"/>
      <c r="N10" s="18"/>
    </row>
    <row r="11" spans="2:14" ht="15" customHeight="1" x14ac:dyDescent="0.25">
      <c r="B11" s="20"/>
      <c r="C11" s="5" t="s">
        <v>26</v>
      </c>
      <c r="D11" s="6" t="s">
        <v>19</v>
      </c>
      <c r="E11" s="11">
        <v>7.0146E-2</v>
      </c>
      <c r="F11" s="1"/>
      <c r="G11" s="1"/>
      <c r="H11" s="1"/>
      <c r="I11" s="1"/>
      <c r="J11" s="24" t="s">
        <v>54</v>
      </c>
      <c r="K11" s="28">
        <v>0.40998499999999999</v>
      </c>
      <c r="L11" s="1"/>
      <c r="M11" s="1"/>
      <c r="N11" s="18"/>
    </row>
    <row r="12" spans="2:14" ht="15" customHeight="1" x14ac:dyDescent="0.25">
      <c r="B12" s="20"/>
      <c r="C12" s="5" t="s">
        <v>21</v>
      </c>
      <c r="D12" s="6" t="s">
        <v>19</v>
      </c>
      <c r="E12" s="11">
        <v>2.9179E-2</v>
      </c>
      <c r="F12" s="1"/>
      <c r="G12" s="1"/>
      <c r="H12" s="1"/>
      <c r="I12" s="1"/>
      <c r="J12" s="24" t="s">
        <v>55</v>
      </c>
      <c r="K12" s="28">
        <v>0.27648299999999998</v>
      </c>
      <c r="L12" s="1"/>
      <c r="M12" s="1"/>
      <c r="N12" s="18"/>
    </row>
    <row r="13" spans="2:14" ht="15" customHeight="1" x14ac:dyDescent="0.25">
      <c r="B13" s="20"/>
      <c r="C13" s="5" t="s">
        <v>20</v>
      </c>
      <c r="D13" s="6" t="s">
        <v>19</v>
      </c>
      <c r="E13" s="11">
        <v>4.2110000000000003E-3</v>
      </c>
      <c r="F13" s="1"/>
      <c r="G13" s="1"/>
      <c r="H13" s="1"/>
      <c r="I13" s="1"/>
      <c r="J13" s="24" t="s">
        <v>56</v>
      </c>
      <c r="K13" s="28">
        <v>6.6414000000000001E-2</v>
      </c>
      <c r="L13" s="1"/>
      <c r="M13" s="1"/>
      <c r="N13" s="18"/>
    </row>
    <row r="14" spans="2:14" ht="15.75" customHeight="1" x14ac:dyDescent="0.25">
      <c r="B14" s="20"/>
      <c r="C14" s="7" t="s">
        <v>28</v>
      </c>
      <c r="D14" s="8"/>
      <c r="E14" s="12">
        <v>0.40998499999999999</v>
      </c>
      <c r="F14" s="1"/>
      <c r="G14" s="1"/>
      <c r="H14" s="1"/>
      <c r="I14" s="1"/>
      <c r="J14" s="24" t="s">
        <v>57</v>
      </c>
      <c r="K14" s="28">
        <v>0.15005399999999999</v>
      </c>
      <c r="L14" s="1"/>
      <c r="M14" s="1"/>
      <c r="N14" s="18"/>
    </row>
    <row r="15" spans="2:14" ht="15" customHeight="1" x14ac:dyDescent="0.25">
      <c r="B15" s="20"/>
      <c r="C15" s="5" t="s">
        <v>35</v>
      </c>
      <c r="D15" s="6" t="s">
        <v>19</v>
      </c>
      <c r="E15" s="11">
        <v>6.2140000000000001E-2</v>
      </c>
      <c r="F15" s="1"/>
      <c r="G15" s="1"/>
      <c r="H15" s="1"/>
      <c r="I15" s="1"/>
      <c r="J15" s="24" t="s">
        <v>58</v>
      </c>
      <c r="K15" s="28">
        <v>5.7999000000000002E-2</v>
      </c>
      <c r="L15" s="1"/>
      <c r="M15" s="1"/>
      <c r="N15" s="18"/>
    </row>
    <row r="16" spans="2:14" ht="15" customHeight="1" x14ac:dyDescent="0.25">
      <c r="B16" s="20"/>
      <c r="C16" s="5" t="s">
        <v>31</v>
      </c>
      <c r="D16" s="6" t="s">
        <v>19</v>
      </c>
      <c r="E16" s="11">
        <v>4.274E-3</v>
      </c>
      <c r="F16" s="1"/>
      <c r="G16" s="1"/>
      <c r="H16" s="1"/>
      <c r="I16" s="1"/>
      <c r="J16" s="1"/>
      <c r="K16" s="1"/>
      <c r="L16" s="1"/>
      <c r="M16" s="1"/>
      <c r="N16" s="18"/>
    </row>
    <row r="17" spans="2:14" ht="15.75" customHeight="1" x14ac:dyDescent="0.25">
      <c r="B17" s="20"/>
      <c r="C17" s="7" t="s">
        <v>30</v>
      </c>
      <c r="D17" s="8"/>
      <c r="E17" s="12">
        <v>6.6414000000000001E-2</v>
      </c>
      <c r="F17" s="1"/>
      <c r="G17" s="1"/>
      <c r="H17" s="1"/>
      <c r="I17" s="1"/>
      <c r="J17" s="1"/>
      <c r="K17" s="1"/>
      <c r="L17" s="1"/>
      <c r="M17" s="1"/>
      <c r="N17" s="18"/>
    </row>
    <row r="18" spans="2:14" ht="15" customHeight="1" x14ac:dyDescent="0.25">
      <c r="B18" s="20"/>
      <c r="C18" s="5" t="s">
        <v>31</v>
      </c>
      <c r="D18" s="6" t="s">
        <v>32</v>
      </c>
      <c r="E18" s="11">
        <v>0.103182</v>
      </c>
      <c r="F18" s="1"/>
      <c r="G18" s="1"/>
      <c r="H18" s="1"/>
      <c r="I18" s="1"/>
      <c r="J18" s="1"/>
      <c r="K18" s="1"/>
      <c r="L18" s="1"/>
      <c r="M18" s="1"/>
      <c r="N18" s="18"/>
    </row>
    <row r="19" spans="2:14" ht="15" customHeight="1" x14ac:dyDescent="0.25">
      <c r="B19" s="20"/>
      <c r="C19" s="5" t="s">
        <v>83</v>
      </c>
      <c r="D19" s="6" t="s">
        <v>32</v>
      </c>
      <c r="E19" s="11">
        <v>4.1411999999999997E-2</v>
      </c>
      <c r="F19" s="1"/>
      <c r="G19" s="1"/>
      <c r="H19" s="1"/>
      <c r="I19" s="1"/>
      <c r="J19" s="1"/>
      <c r="K19" s="1"/>
      <c r="L19" s="1"/>
      <c r="M19" s="1"/>
      <c r="N19" s="18"/>
    </row>
    <row r="20" spans="2:14" ht="15" customHeight="1" x14ac:dyDescent="0.25">
      <c r="B20" s="20"/>
      <c r="C20" s="5" t="s">
        <v>34</v>
      </c>
      <c r="D20" s="6" t="s">
        <v>32</v>
      </c>
      <c r="E20" s="11">
        <v>3.2183999999999997E-2</v>
      </c>
      <c r="F20" s="1"/>
      <c r="G20" s="1"/>
      <c r="H20" s="1"/>
      <c r="I20" s="1"/>
      <c r="J20" s="1"/>
      <c r="K20" s="1"/>
      <c r="L20" s="1"/>
      <c r="M20" s="1"/>
      <c r="N20" s="18"/>
    </row>
    <row r="21" spans="2:14" ht="15" customHeight="1" x14ac:dyDescent="0.25">
      <c r="B21" s="20"/>
      <c r="C21" s="5" t="s">
        <v>41</v>
      </c>
      <c r="D21" s="6" t="s">
        <v>32</v>
      </c>
      <c r="E21" s="11">
        <v>2.9315000000000001E-2</v>
      </c>
      <c r="F21" s="1"/>
      <c r="G21" s="1"/>
      <c r="H21" s="1"/>
      <c r="I21" s="1"/>
      <c r="J21" s="1"/>
      <c r="K21" s="1"/>
      <c r="L21" s="1"/>
      <c r="M21" s="1"/>
      <c r="N21" s="18"/>
    </row>
    <row r="22" spans="2:14" ht="15" customHeight="1" x14ac:dyDescent="0.25">
      <c r="B22" s="20"/>
      <c r="C22" s="5" t="s">
        <v>35</v>
      </c>
      <c r="D22" s="6" t="s">
        <v>32</v>
      </c>
      <c r="E22" s="11">
        <v>2.8736999999999999E-2</v>
      </c>
      <c r="F22" s="1"/>
      <c r="G22" s="1"/>
      <c r="H22" s="1"/>
      <c r="I22" s="1"/>
      <c r="J22" s="1"/>
      <c r="K22" s="1"/>
      <c r="L22" s="1"/>
      <c r="M22" s="1"/>
      <c r="N22" s="18"/>
    </row>
    <row r="23" spans="2:14" ht="15" customHeight="1" x14ac:dyDescent="0.25">
      <c r="B23" s="20"/>
      <c r="C23" s="5" t="s">
        <v>33</v>
      </c>
      <c r="D23" s="6" t="s">
        <v>32</v>
      </c>
      <c r="E23" s="11">
        <v>2.1791999999999999E-2</v>
      </c>
      <c r="F23" s="1"/>
      <c r="G23" s="1"/>
      <c r="H23" s="1"/>
      <c r="I23" s="1"/>
      <c r="J23" s="1"/>
      <c r="K23" s="1"/>
      <c r="L23" s="1"/>
      <c r="M23" s="1"/>
      <c r="N23" s="18"/>
    </row>
    <row r="24" spans="2:14" ht="15" customHeight="1" x14ac:dyDescent="0.25">
      <c r="B24" s="20"/>
      <c r="C24" s="5" t="s">
        <v>36</v>
      </c>
      <c r="D24" s="6" t="s">
        <v>32</v>
      </c>
      <c r="E24" s="11">
        <v>1.2186000000000001E-2</v>
      </c>
      <c r="F24" s="1"/>
      <c r="G24" s="51" t="s">
        <v>89</v>
      </c>
      <c r="H24" s="52"/>
      <c r="I24" s="52"/>
      <c r="J24" s="52"/>
      <c r="K24" s="52"/>
      <c r="L24" s="41">
        <v>364.94284044711577</v>
      </c>
      <c r="M24" s="26"/>
      <c r="N24" s="27"/>
    </row>
    <row r="25" spans="2:14" ht="15" customHeight="1" x14ac:dyDescent="0.25">
      <c r="B25" s="20"/>
      <c r="C25" s="5" t="s">
        <v>24</v>
      </c>
      <c r="D25" s="6" t="s">
        <v>32</v>
      </c>
      <c r="E25" s="11">
        <v>4.1920000000000004E-3</v>
      </c>
      <c r="F25" s="1"/>
      <c r="G25" s="1"/>
      <c r="H25" s="1"/>
      <c r="I25" s="1"/>
      <c r="J25" s="1"/>
      <c r="K25" s="1"/>
      <c r="L25" s="1"/>
      <c r="M25" s="1"/>
      <c r="N25" s="18"/>
    </row>
    <row r="26" spans="2:14" ht="15" customHeight="1" x14ac:dyDescent="0.25">
      <c r="B26" s="20"/>
      <c r="C26" s="5" t="s">
        <v>130</v>
      </c>
      <c r="D26" s="6" t="s">
        <v>32</v>
      </c>
      <c r="E26" s="11">
        <v>1.7390000000000001E-3</v>
      </c>
      <c r="F26" s="1"/>
      <c r="G26" s="51" t="s">
        <v>16</v>
      </c>
      <c r="H26" s="52"/>
      <c r="I26" s="52"/>
      <c r="J26" s="52"/>
      <c r="K26" s="52"/>
      <c r="L26" s="52"/>
      <c r="M26" s="52"/>
      <c r="N26" s="53"/>
    </row>
    <row r="27" spans="2:14" ht="15" customHeight="1" x14ac:dyDescent="0.25">
      <c r="B27" s="20"/>
      <c r="C27" s="5" t="s">
        <v>20</v>
      </c>
      <c r="D27" s="6" t="s">
        <v>32</v>
      </c>
      <c r="E27" s="11">
        <v>8.7200000000000005E-4</v>
      </c>
      <c r="F27" s="1"/>
      <c r="G27" s="1"/>
      <c r="H27" s="1"/>
      <c r="I27" s="1"/>
      <c r="J27" s="1"/>
      <c r="K27" s="1"/>
      <c r="L27" s="1"/>
      <c r="M27" s="1"/>
      <c r="N27" s="18"/>
    </row>
    <row r="28" spans="2:14" ht="15" customHeight="1" x14ac:dyDescent="0.25">
      <c r="B28" s="20"/>
      <c r="C28" s="5" t="s">
        <v>45</v>
      </c>
      <c r="D28" s="6" t="s">
        <v>32</v>
      </c>
      <c r="E28" s="11">
        <v>8.7200000000000005E-4</v>
      </c>
      <c r="F28" s="1"/>
      <c r="G28" s="1"/>
      <c r="H28" s="1"/>
      <c r="I28" s="1"/>
      <c r="J28" s="1"/>
      <c r="K28" s="1"/>
      <c r="L28" s="1"/>
      <c r="M28" s="1"/>
      <c r="N28" s="18"/>
    </row>
    <row r="29" spans="2:14" ht="15.75" customHeight="1" x14ac:dyDescent="0.25">
      <c r="B29" s="20"/>
      <c r="C29" s="7" t="s">
        <v>46</v>
      </c>
      <c r="D29" s="8"/>
      <c r="E29" s="12">
        <v>0.27648299999999998</v>
      </c>
      <c r="F29" s="1"/>
      <c r="G29" s="1"/>
      <c r="H29" s="1"/>
      <c r="I29" s="1"/>
      <c r="J29" s="1"/>
      <c r="K29" s="1"/>
      <c r="L29" s="1"/>
      <c r="M29" s="1"/>
      <c r="N29" s="18"/>
    </row>
    <row r="30" spans="2:14" ht="15" customHeight="1" x14ac:dyDescent="0.25">
      <c r="B30" s="20"/>
      <c r="C30" s="5" t="s">
        <v>49</v>
      </c>
      <c r="D30" s="6" t="s">
        <v>48</v>
      </c>
      <c r="E30" s="11">
        <v>9.0507000000000004E-2</v>
      </c>
      <c r="F30" s="1"/>
      <c r="G30" s="1"/>
      <c r="H30" s="1"/>
      <c r="I30" s="1"/>
      <c r="J30" s="1"/>
      <c r="K30" s="1"/>
      <c r="L30" s="1"/>
      <c r="M30" s="1"/>
      <c r="N30" s="18"/>
    </row>
    <row r="31" spans="2:14" ht="15" customHeight="1" x14ac:dyDescent="0.25">
      <c r="B31" s="20"/>
      <c r="C31" s="5" t="s">
        <v>95</v>
      </c>
      <c r="D31" s="6" t="s">
        <v>48</v>
      </c>
      <c r="E31" s="11">
        <v>4.6702E-2</v>
      </c>
      <c r="F31" s="1"/>
      <c r="G31" s="1"/>
      <c r="H31" s="1"/>
      <c r="I31" s="1"/>
      <c r="J31" s="1"/>
      <c r="K31" s="1"/>
      <c r="L31" s="1"/>
      <c r="M31" s="1"/>
      <c r="N31" s="18"/>
    </row>
    <row r="32" spans="2:14" ht="15" customHeight="1" x14ac:dyDescent="0.25">
      <c r="B32" s="20"/>
      <c r="C32" s="5" t="s">
        <v>131</v>
      </c>
      <c r="D32" s="6" t="s">
        <v>48</v>
      </c>
      <c r="E32" s="11">
        <v>1.2845000000000001E-2</v>
      </c>
      <c r="F32" s="1"/>
      <c r="G32" s="1"/>
      <c r="H32" s="1"/>
      <c r="I32" s="1"/>
      <c r="J32" s="1"/>
      <c r="K32" s="1"/>
      <c r="L32" s="1"/>
      <c r="M32" s="1"/>
      <c r="N32" s="18"/>
    </row>
    <row r="33" spans="2:14" ht="15.75" customHeight="1" x14ac:dyDescent="0.25">
      <c r="B33" s="20"/>
      <c r="C33" s="7" t="s">
        <v>50</v>
      </c>
      <c r="D33" s="8"/>
      <c r="E33" s="12">
        <v>0.15005399999999999</v>
      </c>
      <c r="F33" s="1"/>
      <c r="G33" s="1"/>
      <c r="H33" s="1"/>
      <c r="I33" s="1"/>
      <c r="J33" s="1"/>
      <c r="K33" s="1"/>
      <c r="L33" s="1"/>
      <c r="M33" s="1"/>
      <c r="N33" s="18"/>
    </row>
    <row r="34" spans="2:14" ht="15" customHeight="1" x14ac:dyDescent="0.25">
      <c r="B34" s="20"/>
      <c r="C34" s="31" t="s">
        <v>150</v>
      </c>
      <c r="D34" s="6" t="s">
        <v>48</v>
      </c>
      <c r="E34" s="33">
        <v>1.3867000000000001E-2</v>
      </c>
      <c r="F34" s="1"/>
      <c r="G34" s="1"/>
      <c r="H34" s="1"/>
      <c r="I34" s="1"/>
      <c r="J34" s="1"/>
      <c r="K34" s="1"/>
      <c r="L34" s="1"/>
      <c r="M34" s="1"/>
      <c r="N34" s="18"/>
    </row>
    <row r="35" spans="2:14" ht="15.75" customHeight="1" x14ac:dyDescent="0.25">
      <c r="B35" s="20"/>
      <c r="C35" s="31" t="s">
        <v>152</v>
      </c>
      <c r="D35" s="32" t="s">
        <v>48</v>
      </c>
      <c r="E35" s="33">
        <v>8.7550000000000006E-3</v>
      </c>
      <c r="F35" s="1"/>
      <c r="G35" s="1"/>
      <c r="H35" s="1"/>
      <c r="I35" s="1"/>
      <c r="J35" s="1"/>
      <c r="K35" s="1"/>
      <c r="L35" s="1"/>
      <c r="M35" s="1"/>
      <c r="N35" s="18"/>
    </row>
    <row r="36" spans="2:14" ht="15" customHeight="1" x14ac:dyDescent="0.25">
      <c r="B36" s="20"/>
      <c r="C36" s="31" t="s">
        <v>153</v>
      </c>
      <c r="D36" s="32" t="s">
        <v>48</v>
      </c>
      <c r="E36" s="33">
        <v>8.7320000000000002E-3</v>
      </c>
      <c r="F36" s="1"/>
      <c r="G36" s="1"/>
      <c r="H36" s="1"/>
      <c r="I36" s="1"/>
      <c r="J36" s="1"/>
      <c r="K36" s="1"/>
      <c r="L36" s="1"/>
      <c r="M36" s="1"/>
      <c r="N36" s="18"/>
    </row>
    <row r="37" spans="2:14" ht="15.75" customHeight="1" x14ac:dyDescent="0.25">
      <c r="B37" s="20"/>
      <c r="C37" s="31" t="s">
        <v>149</v>
      </c>
      <c r="D37" s="32" t="s">
        <v>48</v>
      </c>
      <c r="E37" s="33">
        <v>6.1609999999999998E-3</v>
      </c>
      <c r="F37" s="1"/>
      <c r="G37" s="1"/>
      <c r="H37" s="1"/>
      <c r="I37" s="1"/>
      <c r="J37" s="1"/>
      <c r="K37" s="1"/>
      <c r="L37" s="1"/>
      <c r="M37" s="1"/>
      <c r="N37" s="18"/>
    </row>
    <row r="38" spans="2:14" ht="15" customHeight="1" x14ac:dyDescent="0.25">
      <c r="B38" s="20"/>
      <c r="C38" s="31" t="s">
        <v>151</v>
      </c>
      <c r="D38" s="32" t="s">
        <v>48</v>
      </c>
      <c r="E38" s="33">
        <v>6.1599999999999997E-3</v>
      </c>
      <c r="F38" s="1"/>
      <c r="G38" s="1"/>
      <c r="H38" s="1"/>
      <c r="I38" s="1"/>
      <c r="J38" s="1"/>
      <c r="K38" s="1"/>
      <c r="L38" s="1"/>
      <c r="M38" s="1"/>
      <c r="N38" s="18"/>
    </row>
    <row r="39" spans="2:14" ht="15.75" customHeight="1" x14ac:dyDescent="0.25">
      <c r="B39" s="20"/>
      <c r="C39" s="31" t="s">
        <v>145</v>
      </c>
      <c r="D39" s="32" t="s">
        <v>48</v>
      </c>
      <c r="E39" s="33">
        <v>6.11E-3</v>
      </c>
      <c r="F39" s="1"/>
      <c r="G39" s="1"/>
      <c r="H39" s="1"/>
      <c r="I39" s="1"/>
      <c r="J39" s="1"/>
      <c r="K39" s="1"/>
      <c r="L39" s="1"/>
      <c r="M39" s="1"/>
      <c r="N39" s="18"/>
    </row>
    <row r="40" spans="2:14" ht="15" customHeight="1" x14ac:dyDescent="0.25">
      <c r="B40" s="20"/>
      <c r="C40" s="31" t="s">
        <v>146</v>
      </c>
      <c r="D40" s="32" t="s">
        <v>48</v>
      </c>
      <c r="E40" s="33">
        <v>4.4029999999999998E-3</v>
      </c>
      <c r="F40" s="1"/>
      <c r="G40" s="1"/>
      <c r="H40" s="1"/>
      <c r="I40" s="1"/>
      <c r="J40" s="1"/>
      <c r="K40" s="1"/>
      <c r="L40" s="1"/>
      <c r="M40" s="1"/>
      <c r="N40" s="18"/>
    </row>
    <row r="41" spans="2:14" ht="15" customHeight="1" x14ac:dyDescent="0.25">
      <c r="B41" s="20"/>
      <c r="C41" s="31" t="s">
        <v>148</v>
      </c>
      <c r="D41" s="32" t="s">
        <v>48</v>
      </c>
      <c r="E41" s="33">
        <v>2.6700000000000001E-3</v>
      </c>
      <c r="F41" s="1"/>
      <c r="G41" s="1"/>
      <c r="H41" s="1"/>
      <c r="I41" s="1"/>
      <c r="J41" s="1"/>
      <c r="K41" s="1"/>
      <c r="L41" s="1"/>
      <c r="M41" s="1"/>
      <c r="N41" s="18"/>
    </row>
    <row r="42" spans="2:14" ht="15" customHeight="1" x14ac:dyDescent="0.25">
      <c r="B42" s="20"/>
      <c r="C42" s="31" t="s">
        <v>147</v>
      </c>
      <c r="D42" s="32" t="s">
        <v>48</v>
      </c>
      <c r="E42" s="33">
        <v>8.8099999999999995E-4</v>
      </c>
      <c r="F42" s="1"/>
      <c r="G42" s="1"/>
      <c r="H42" s="1"/>
      <c r="I42" s="1"/>
      <c r="J42" s="1"/>
      <c r="K42" s="1"/>
      <c r="L42" s="1"/>
      <c r="M42" s="1"/>
      <c r="N42" s="18"/>
    </row>
    <row r="43" spans="2:14" ht="15" customHeight="1" x14ac:dyDescent="0.25">
      <c r="B43" s="20"/>
      <c r="C43" s="31" t="s">
        <v>154</v>
      </c>
      <c r="D43" s="32" t="s">
        <v>48</v>
      </c>
      <c r="E43" s="33">
        <v>2.5999999999999998E-4</v>
      </c>
      <c r="F43" s="1"/>
      <c r="G43" s="1"/>
      <c r="H43" s="1"/>
      <c r="I43" s="1"/>
      <c r="J43" s="1"/>
      <c r="K43" s="1"/>
      <c r="L43" s="1"/>
      <c r="M43" s="1"/>
      <c r="N43" s="18"/>
    </row>
    <row r="44" spans="2:14" ht="15" customHeight="1" x14ac:dyDescent="0.25">
      <c r="B44" s="20"/>
      <c r="C44" s="7" t="s">
        <v>51</v>
      </c>
      <c r="D44" s="8"/>
      <c r="E44" s="12">
        <v>5.7999000000000002E-2</v>
      </c>
      <c r="F44" s="1"/>
      <c r="G44" s="1"/>
      <c r="H44" s="1"/>
      <c r="I44" s="1"/>
      <c r="J44" s="1"/>
      <c r="K44" s="1"/>
      <c r="L44" s="1"/>
      <c r="M44" s="1"/>
      <c r="N44" s="18"/>
    </row>
    <row r="45" spans="2:14" s="29" customFormat="1" ht="15" customHeight="1" x14ac:dyDescent="0.25">
      <c r="B45" s="35"/>
      <c r="C45" s="31" t="s">
        <v>6</v>
      </c>
      <c r="D45" s="32"/>
      <c r="E45" s="33">
        <v>2.4015000000000002E-2</v>
      </c>
      <c r="F45" s="30"/>
      <c r="G45" s="30"/>
      <c r="H45" s="30"/>
      <c r="I45" s="30"/>
      <c r="J45" s="30"/>
      <c r="K45" s="30"/>
      <c r="L45" s="30"/>
      <c r="M45" s="30"/>
      <c r="N45" s="34"/>
    </row>
    <row r="46" spans="2:14" ht="15" customHeight="1" x14ac:dyDescent="0.25">
      <c r="B46" s="20"/>
      <c r="C46" s="7" t="s">
        <v>7</v>
      </c>
      <c r="D46" s="8"/>
      <c r="E46" s="12">
        <v>2.4015000000000002E-2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7" t="s">
        <v>8</v>
      </c>
      <c r="D48" s="8"/>
      <c r="E48" s="12">
        <v>1.5049999999999999E-2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9</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11.75" customHeight="1" thickBot="1" x14ac:dyDescent="0.3">
      <c r="B54" s="43" t="s">
        <v>267</v>
      </c>
      <c r="C54" s="44"/>
      <c r="D54" s="44"/>
      <c r="E54" s="44"/>
      <c r="F54" s="44"/>
      <c r="G54" s="44"/>
      <c r="H54" s="44"/>
      <c r="I54" s="44"/>
      <c r="J54" s="44"/>
      <c r="K54" s="44"/>
      <c r="L54" s="44"/>
      <c r="M54" s="44"/>
      <c r="N54" s="45"/>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C34:E43">
    <sortCondition descending="1" ref="E34"/>
  </sortState>
  <mergeCells count="6">
    <mergeCell ref="B54:N54"/>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7C0D-4393-48FA-BFA0-1DD5DC01BBE5}">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261</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132</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26</v>
      </c>
      <c r="D8" s="6" t="s">
        <v>19</v>
      </c>
      <c r="E8" s="11">
        <v>0.115962</v>
      </c>
      <c r="F8" s="1"/>
      <c r="G8" s="24" t="s">
        <v>13</v>
      </c>
      <c r="H8" s="25">
        <v>1</v>
      </c>
      <c r="I8" s="1"/>
      <c r="J8" s="24" t="s">
        <v>10</v>
      </c>
      <c r="K8" s="24" t="s">
        <v>4</v>
      </c>
      <c r="L8" s="1"/>
      <c r="M8" s="1"/>
      <c r="N8" s="18"/>
    </row>
    <row r="9" spans="2:14" ht="15" customHeight="1" x14ac:dyDescent="0.25">
      <c r="B9" s="20"/>
      <c r="C9" s="5" t="s">
        <v>21</v>
      </c>
      <c r="D9" s="6" t="s">
        <v>19</v>
      </c>
      <c r="E9" s="11">
        <v>0.10915900000000001</v>
      </c>
      <c r="F9" s="1"/>
      <c r="G9" s="1"/>
      <c r="H9" s="1"/>
      <c r="I9" s="1"/>
      <c r="J9" s="24" t="s">
        <v>8</v>
      </c>
      <c r="K9" s="28">
        <v>1.7453E-2</v>
      </c>
      <c r="L9" s="1"/>
      <c r="M9" s="1"/>
      <c r="N9" s="18"/>
    </row>
    <row r="10" spans="2:14" ht="15" customHeight="1" x14ac:dyDescent="0.25">
      <c r="B10" s="20"/>
      <c r="C10" s="5" t="s">
        <v>22</v>
      </c>
      <c r="D10" s="6" t="s">
        <v>19</v>
      </c>
      <c r="E10" s="11">
        <v>0.101733</v>
      </c>
      <c r="F10" s="1"/>
      <c r="G10" s="1"/>
      <c r="H10" s="1"/>
      <c r="I10" s="1"/>
      <c r="J10" s="24" t="s">
        <v>11</v>
      </c>
      <c r="K10" s="28">
        <v>0.144257</v>
      </c>
      <c r="L10" s="1"/>
      <c r="M10" s="1"/>
      <c r="N10" s="18"/>
    </row>
    <row r="11" spans="2:14" ht="15" customHeight="1" x14ac:dyDescent="0.25">
      <c r="B11" s="20"/>
      <c r="C11" s="5" t="s">
        <v>25</v>
      </c>
      <c r="D11" s="6" t="s">
        <v>19</v>
      </c>
      <c r="E11" s="11">
        <v>8.2396999999999998E-2</v>
      </c>
      <c r="F11" s="1"/>
      <c r="G11" s="1"/>
      <c r="H11" s="1"/>
      <c r="I11" s="1"/>
      <c r="J11" s="24" t="s">
        <v>54</v>
      </c>
      <c r="K11" s="28">
        <v>0.561249</v>
      </c>
      <c r="L11" s="1"/>
      <c r="M11" s="1"/>
      <c r="N11" s="18"/>
    </row>
    <row r="12" spans="2:14" ht="15" customHeight="1" x14ac:dyDescent="0.25">
      <c r="B12" s="20"/>
      <c r="C12" s="5" t="s">
        <v>18</v>
      </c>
      <c r="D12" s="6" t="s">
        <v>19</v>
      </c>
      <c r="E12" s="11">
        <v>6.6062999999999997E-2</v>
      </c>
      <c r="F12" s="1"/>
      <c r="G12" s="1"/>
      <c r="H12" s="1"/>
      <c r="I12" s="1"/>
      <c r="J12" s="24" t="s">
        <v>56</v>
      </c>
      <c r="K12" s="28">
        <v>0.15446199999999999</v>
      </c>
      <c r="L12" s="1"/>
      <c r="M12" s="1"/>
      <c r="N12" s="18"/>
    </row>
    <row r="13" spans="2:14" ht="15" customHeight="1" x14ac:dyDescent="0.25">
      <c r="B13" s="20"/>
      <c r="C13" s="5" t="s">
        <v>72</v>
      </c>
      <c r="D13" s="6" t="s">
        <v>19</v>
      </c>
      <c r="E13" s="11">
        <v>3.6086E-2</v>
      </c>
      <c r="F13" s="1"/>
      <c r="G13" s="1"/>
      <c r="H13" s="1"/>
      <c r="I13" s="1"/>
      <c r="J13" s="24" t="s">
        <v>57</v>
      </c>
      <c r="K13" s="28">
        <v>5.1060000000000001E-2</v>
      </c>
      <c r="L13" s="1"/>
      <c r="M13" s="1"/>
      <c r="N13" s="18"/>
    </row>
    <row r="14" spans="2:14" ht="15" customHeight="1" x14ac:dyDescent="0.25">
      <c r="B14" s="20"/>
      <c r="C14" s="5" t="s">
        <v>24</v>
      </c>
      <c r="D14" s="6" t="s">
        <v>19</v>
      </c>
      <c r="E14" s="11">
        <v>3.3413999999999999E-2</v>
      </c>
      <c r="F14" s="1"/>
      <c r="G14" s="1"/>
      <c r="H14" s="1"/>
      <c r="I14" s="1"/>
      <c r="J14" s="24" t="s">
        <v>58</v>
      </c>
      <c r="K14" s="28">
        <v>7.1518999999999999E-2</v>
      </c>
      <c r="L14" s="1"/>
      <c r="M14" s="1"/>
      <c r="N14" s="18"/>
    </row>
    <row r="15" spans="2:14" ht="15" customHeight="1" x14ac:dyDescent="0.25">
      <c r="B15" s="20"/>
      <c r="C15" s="5" t="s">
        <v>20</v>
      </c>
      <c r="D15" s="6" t="s">
        <v>19</v>
      </c>
      <c r="E15" s="11">
        <v>1.6435000000000002E-2</v>
      </c>
      <c r="F15" s="1"/>
      <c r="G15" s="1"/>
      <c r="H15" s="1"/>
      <c r="I15" s="1"/>
      <c r="J15" s="1"/>
      <c r="K15" s="1"/>
      <c r="L15" s="1"/>
      <c r="M15" s="1"/>
      <c r="N15" s="18"/>
    </row>
    <row r="16" spans="2:14" ht="15.75" customHeight="1" x14ac:dyDescent="0.25">
      <c r="B16" s="20"/>
      <c r="C16" s="7" t="s">
        <v>28</v>
      </c>
      <c r="D16" s="8"/>
      <c r="E16" s="12">
        <v>0.561249</v>
      </c>
      <c r="F16" s="1"/>
      <c r="G16" s="1"/>
      <c r="H16" s="1"/>
      <c r="I16" s="1"/>
      <c r="J16" s="1"/>
      <c r="K16" s="1"/>
      <c r="L16" s="1"/>
      <c r="M16" s="1"/>
      <c r="N16" s="18"/>
    </row>
    <row r="17" spans="2:14" ht="15" customHeight="1" x14ac:dyDescent="0.25">
      <c r="B17" s="20"/>
      <c r="C17" s="5" t="s">
        <v>35</v>
      </c>
      <c r="D17" s="6" t="s">
        <v>19</v>
      </c>
      <c r="E17" s="11">
        <v>9.6132999999999996E-2</v>
      </c>
      <c r="F17" s="1"/>
      <c r="G17" s="1"/>
      <c r="H17" s="1"/>
      <c r="I17" s="1"/>
      <c r="J17" s="1"/>
      <c r="K17" s="1"/>
      <c r="L17" s="1"/>
      <c r="M17" s="1"/>
      <c r="N17" s="18"/>
    </row>
    <row r="18" spans="2:14" ht="15" customHeight="1" x14ac:dyDescent="0.25">
      <c r="B18" s="20"/>
      <c r="C18" s="5" t="s">
        <v>31</v>
      </c>
      <c r="D18" s="6" t="s">
        <v>19</v>
      </c>
      <c r="E18" s="11">
        <v>5.0033000000000001E-2</v>
      </c>
      <c r="F18" s="1"/>
      <c r="G18" s="1"/>
      <c r="H18" s="1"/>
      <c r="I18" s="1"/>
      <c r="J18" s="1"/>
      <c r="K18" s="1"/>
      <c r="L18" s="1"/>
      <c r="M18" s="1"/>
      <c r="N18" s="18"/>
    </row>
    <row r="19" spans="2:14" ht="15" customHeight="1" x14ac:dyDescent="0.25">
      <c r="B19" s="20"/>
      <c r="C19" s="5" t="s">
        <v>86</v>
      </c>
      <c r="D19" s="6" t="s">
        <v>19</v>
      </c>
      <c r="E19" s="11">
        <v>8.2959999999999996E-3</v>
      </c>
      <c r="F19" s="1"/>
      <c r="G19" s="1"/>
      <c r="H19" s="1"/>
      <c r="I19" s="1"/>
      <c r="J19" s="1"/>
      <c r="K19" s="1"/>
      <c r="L19" s="1"/>
      <c r="M19" s="1"/>
      <c r="N19" s="18"/>
    </row>
    <row r="20" spans="2:14" ht="15.75" customHeight="1" x14ac:dyDescent="0.25">
      <c r="B20" s="20"/>
      <c r="C20" s="7" t="s">
        <v>30</v>
      </c>
      <c r="D20" s="8"/>
      <c r="E20" s="12">
        <v>0.15446199999999999</v>
      </c>
      <c r="F20" s="1"/>
      <c r="G20" s="1"/>
      <c r="H20" s="1"/>
      <c r="I20" s="1"/>
      <c r="J20" s="1"/>
      <c r="K20" s="1"/>
      <c r="L20" s="1"/>
      <c r="M20" s="1"/>
      <c r="N20" s="18"/>
    </row>
    <row r="21" spans="2:14" ht="15" customHeight="1" x14ac:dyDescent="0.25">
      <c r="B21" s="20"/>
      <c r="C21" s="5" t="s">
        <v>133</v>
      </c>
      <c r="D21" s="6" t="s">
        <v>48</v>
      </c>
      <c r="E21" s="11">
        <v>5.1060000000000001E-2</v>
      </c>
      <c r="F21" s="1"/>
      <c r="G21" s="1"/>
      <c r="H21" s="1"/>
      <c r="I21" s="1"/>
      <c r="J21" s="1"/>
      <c r="K21" s="1"/>
      <c r="L21" s="1"/>
      <c r="M21" s="1"/>
      <c r="N21" s="18"/>
    </row>
    <row r="22" spans="2:14" ht="15.75" customHeight="1" x14ac:dyDescent="0.25">
      <c r="B22" s="20"/>
      <c r="C22" s="7" t="s">
        <v>50</v>
      </c>
      <c r="D22" s="8"/>
      <c r="E22" s="12">
        <v>5.1060000000000001E-2</v>
      </c>
      <c r="F22" s="1"/>
      <c r="G22" s="1"/>
      <c r="H22" s="1"/>
      <c r="I22" s="1"/>
      <c r="J22" s="1"/>
      <c r="K22" s="1"/>
      <c r="L22" s="1"/>
      <c r="M22" s="1"/>
      <c r="N22" s="18"/>
    </row>
    <row r="23" spans="2:14" ht="15" customHeight="1" x14ac:dyDescent="0.25">
      <c r="B23" s="20"/>
      <c r="C23" s="31" t="s">
        <v>156</v>
      </c>
      <c r="D23" s="6" t="s">
        <v>48</v>
      </c>
      <c r="E23" s="33">
        <v>3.2342000000000003E-2</v>
      </c>
      <c r="F23" s="1"/>
      <c r="G23" s="1"/>
      <c r="H23" s="1"/>
      <c r="I23" s="1"/>
      <c r="J23" s="1"/>
      <c r="K23" s="1"/>
      <c r="L23" s="1"/>
      <c r="M23" s="1"/>
      <c r="N23" s="18"/>
    </row>
    <row r="24" spans="2:14" ht="15.75" customHeight="1" x14ac:dyDescent="0.25">
      <c r="B24" s="20"/>
      <c r="C24" s="31" t="s">
        <v>155</v>
      </c>
      <c r="D24" s="32" t="s">
        <v>48</v>
      </c>
      <c r="E24" s="33">
        <v>2.2161E-2</v>
      </c>
      <c r="F24" s="1"/>
      <c r="G24" s="51" t="s">
        <v>89</v>
      </c>
      <c r="H24" s="52"/>
      <c r="I24" s="52"/>
      <c r="J24" s="52"/>
      <c r="K24" s="52"/>
      <c r="L24" s="41">
        <v>147.92221642570809</v>
      </c>
      <c r="M24" s="26"/>
      <c r="N24" s="27"/>
    </row>
    <row r="25" spans="2:14" ht="15" customHeight="1" x14ac:dyDescent="0.25">
      <c r="B25" s="20"/>
      <c r="C25" s="31" t="s">
        <v>141</v>
      </c>
      <c r="D25" s="32" t="s">
        <v>48</v>
      </c>
      <c r="E25" s="33">
        <v>1.7016E-2</v>
      </c>
      <c r="F25" s="1"/>
      <c r="G25" s="1"/>
      <c r="H25" s="1"/>
      <c r="I25" s="1"/>
      <c r="J25" s="1"/>
      <c r="K25" s="1"/>
      <c r="L25" s="1"/>
      <c r="M25" s="1"/>
      <c r="N25" s="18"/>
    </row>
    <row r="26" spans="2:14" ht="15.75" customHeight="1" x14ac:dyDescent="0.25">
      <c r="B26" s="20"/>
      <c r="C26" s="7" t="s">
        <v>51</v>
      </c>
      <c r="D26" s="8"/>
      <c r="E26" s="12">
        <v>7.1518999999999999E-2</v>
      </c>
      <c r="F26" s="1"/>
      <c r="G26" s="51" t="s">
        <v>16</v>
      </c>
      <c r="H26" s="52"/>
      <c r="I26" s="52"/>
      <c r="J26" s="52"/>
      <c r="K26" s="52"/>
      <c r="L26" s="52"/>
      <c r="M26" s="52"/>
      <c r="N26" s="53"/>
    </row>
    <row r="27" spans="2:14" ht="15" customHeight="1" x14ac:dyDescent="0.25">
      <c r="B27" s="20"/>
      <c r="C27" s="5" t="s">
        <v>6</v>
      </c>
      <c r="D27" s="6"/>
      <c r="E27" s="11">
        <v>0.144257</v>
      </c>
      <c r="F27" s="1"/>
      <c r="G27" s="1"/>
      <c r="H27" s="1"/>
      <c r="I27" s="1"/>
      <c r="J27" s="1"/>
      <c r="K27" s="1"/>
      <c r="L27" s="1"/>
      <c r="M27" s="1"/>
      <c r="N27" s="18"/>
    </row>
    <row r="28" spans="2:14" ht="15.75" customHeight="1" x14ac:dyDescent="0.25">
      <c r="B28" s="20"/>
      <c r="C28" s="7" t="s">
        <v>7</v>
      </c>
      <c r="D28" s="8"/>
      <c r="E28" s="12">
        <v>0.144257</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7" t="s">
        <v>8</v>
      </c>
      <c r="D30" s="8"/>
      <c r="E30" s="12">
        <v>1.7453E-2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9</v>
      </c>
      <c r="D32" s="10"/>
      <c r="E32" s="13">
        <v>1</v>
      </c>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3.25" customHeight="1" thickBot="1" x14ac:dyDescent="0.3">
      <c r="B45" s="43" t="s">
        <v>267</v>
      </c>
      <c r="C45" s="44"/>
      <c r="D45" s="44"/>
      <c r="E45" s="44"/>
      <c r="F45" s="44"/>
      <c r="G45" s="44"/>
      <c r="H45" s="44"/>
      <c r="I45" s="44"/>
      <c r="J45" s="44"/>
      <c r="K45" s="44"/>
      <c r="L45" s="44"/>
      <c r="M45" s="44"/>
      <c r="N45" s="45"/>
    </row>
    <row r="46" spans="2:14" ht="15" customHeight="1" x14ac:dyDescent="0.25"/>
    <row r="47" spans="2:14" ht="15" customHeight="1" x14ac:dyDescent="0.25"/>
    <row r="48" spans="2:14" ht="15" customHeight="1" x14ac:dyDescent="0.25"/>
    <row r="49" ht="15" customHeight="1" x14ac:dyDescent="0.25"/>
    <row r="50" ht="15" customHeight="1" x14ac:dyDescent="0.25"/>
  </sheetData>
  <sortState ref="C23:E25">
    <sortCondition descending="1" ref="E23"/>
  </sortState>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3F1C-626B-4EE8-A64D-13F90ADCA096}">
  <dimension ref="B1:N6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260</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135</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22</v>
      </c>
      <c r="D8" s="6" t="s">
        <v>19</v>
      </c>
      <c r="E8" s="11">
        <v>0.11382200000000001</v>
      </c>
      <c r="F8" s="1"/>
      <c r="G8" s="24" t="s">
        <v>13</v>
      </c>
      <c r="H8" s="25">
        <v>1</v>
      </c>
      <c r="I8" s="1"/>
      <c r="J8" s="24" t="s">
        <v>10</v>
      </c>
      <c r="K8" s="24" t="s">
        <v>4</v>
      </c>
      <c r="L8" s="1"/>
      <c r="M8" s="1"/>
      <c r="N8" s="18"/>
    </row>
    <row r="9" spans="2:14" ht="15" customHeight="1" x14ac:dyDescent="0.25">
      <c r="B9" s="20"/>
      <c r="C9" s="5" t="s">
        <v>18</v>
      </c>
      <c r="D9" s="6" t="s">
        <v>19</v>
      </c>
      <c r="E9" s="11">
        <v>0.111111</v>
      </c>
      <c r="F9" s="1"/>
      <c r="G9" s="1"/>
      <c r="H9" s="1"/>
      <c r="I9" s="1"/>
      <c r="J9" s="24" t="s">
        <v>8</v>
      </c>
      <c r="K9" s="28">
        <v>1.3244000000000001E-2</v>
      </c>
      <c r="L9" s="1"/>
      <c r="M9" s="1"/>
      <c r="N9" s="18"/>
    </row>
    <row r="10" spans="2:14" ht="15" customHeight="1" x14ac:dyDescent="0.25">
      <c r="B10" s="20"/>
      <c r="C10" s="5" t="s">
        <v>26</v>
      </c>
      <c r="D10" s="6" t="s">
        <v>19</v>
      </c>
      <c r="E10" s="11">
        <v>0.10867400000000001</v>
      </c>
      <c r="F10" s="1"/>
      <c r="G10" s="1"/>
      <c r="H10" s="1"/>
      <c r="I10" s="1"/>
      <c r="J10" s="24" t="s">
        <v>11</v>
      </c>
      <c r="K10" s="28">
        <v>7.6832999999999999E-2</v>
      </c>
      <c r="L10" s="1"/>
      <c r="M10" s="1"/>
      <c r="N10" s="18"/>
    </row>
    <row r="11" spans="2:14" ht="15" customHeight="1" x14ac:dyDescent="0.25">
      <c r="B11" s="20"/>
      <c r="C11" s="5" t="s">
        <v>24</v>
      </c>
      <c r="D11" s="6" t="s">
        <v>19</v>
      </c>
      <c r="E11" s="11">
        <v>9.8399E-2</v>
      </c>
      <c r="F11" s="1"/>
      <c r="G11" s="1"/>
      <c r="H11" s="1"/>
      <c r="I11" s="1"/>
      <c r="J11" s="24" t="s">
        <v>54</v>
      </c>
      <c r="K11" s="28">
        <v>0.50051800000000002</v>
      </c>
      <c r="L11" s="1"/>
      <c r="M11" s="1"/>
      <c r="N11" s="18"/>
    </row>
    <row r="12" spans="2:14" ht="15" customHeight="1" x14ac:dyDescent="0.25">
      <c r="B12" s="20"/>
      <c r="C12" s="5" t="s">
        <v>21</v>
      </c>
      <c r="D12" s="6" t="s">
        <v>19</v>
      </c>
      <c r="E12" s="11">
        <v>5.6923000000000001E-2</v>
      </c>
      <c r="F12" s="1"/>
      <c r="G12" s="1"/>
      <c r="H12" s="1"/>
      <c r="I12" s="1"/>
      <c r="J12" s="24" t="s">
        <v>55</v>
      </c>
      <c r="K12" s="28">
        <v>0.23580599999999999</v>
      </c>
      <c r="L12" s="1"/>
      <c r="M12" s="1"/>
      <c r="N12" s="18"/>
    </row>
    <row r="13" spans="2:14" ht="15" customHeight="1" x14ac:dyDescent="0.25">
      <c r="B13" s="20"/>
      <c r="C13" s="5" t="s">
        <v>20</v>
      </c>
      <c r="D13" s="6" t="s">
        <v>19</v>
      </c>
      <c r="E13" s="11">
        <v>5.803E-3</v>
      </c>
      <c r="F13" s="1"/>
      <c r="G13" s="1"/>
      <c r="H13" s="1"/>
      <c r="I13" s="1"/>
      <c r="J13" s="24" t="s">
        <v>56</v>
      </c>
      <c r="K13" s="28">
        <v>7.5145000000000003E-2</v>
      </c>
      <c r="L13" s="1"/>
      <c r="M13" s="1"/>
      <c r="N13" s="18"/>
    </row>
    <row r="14" spans="2:14" ht="15" customHeight="1" x14ac:dyDescent="0.25">
      <c r="B14" s="20"/>
      <c r="C14" s="5" t="s">
        <v>23</v>
      </c>
      <c r="D14" s="6" t="s">
        <v>19</v>
      </c>
      <c r="E14" s="11">
        <v>5.7860000000000003E-3</v>
      </c>
      <c r="F14" s="1"/>
      <c r="G14" s="1"/>
      <c r="H14" s="1"/>
      <c r="I14" s="1"/>
      <c r="J14" s="24" t="s">
        <v>57</v>
      </c>
      <c r="K14" s="28">
        <v>1.0843E-2</v>
      </c>
      <c r="L14" s="1"/>
      <c r="M14" s="1"/>
      <c r="N14" s="18"/>
    </row>
    <row r="15" spans="2:14" ht="15.75" customHeight="1" x14ac:dyDescent="0.25">
      <c r="B15" s="20"/>
      <c r="C15" s="7" t="s">
        <v>28</v>
      </c>
      <c r="D15" s="8"/>
      <c r="E15" s="12">
        <v>0.50051800000000002</v>
      </c>
      <c r="F15" s="1"/>
      <c r="G15" s="1"/>
      <c r="H15" s="1"/>
      <c r="I15" s="1"/>
      <c r="J15" s="24" t="s">
        <v>58</v>
      </c>
      <c r="K15" s="28">
        <v>7.2370000000000004E-3</v>
      </c>
      <c r="L15" s="1"/>
      <c r="M15" s="1"/>
      <c r="N15" s="18"/>
    </row>
    <row r="16" spans="2:14" ht="15" customHeight="1" x14ac:dyDescent="0.25">
      <c r="B16" s="20"/>
      <c r="C16" s="5" t="s">
        <v>35</v>
      </c>
      <c r="D16" s="6" t="s">
        <v>19</v>
      </c>
      <c r="E16" s="11">
        <v>6.3261999999999999E-2</v>
      </c>
      <c r="F16" s="1"/>
      <c r="G16" s="1"/>
      <c r="H16" s="1"/>
      <c r="I16" s="1"/>
      <c r="J16" s="24" t="s">
        <v>59</v>
      </c>
      <c r="K16" s="28">
        <v>6.9647000000000001E-2</v>
      </c>
      <c r="L16" s="1"/>
      <c r="M16" s="1"/>
      <c r="N16" s="18"/>
    </row>
    <row r="17" spans="2:14" ht="15" customHeight="1" x14ac:dyDescent="0.25">
      <c r="B17" s="20"/>
      <c r="C17" s="5" t="s">
        <v>86</v>
      </c>
      <c r="D17" s="6" t="s">
        <v>19</v>
      </c>
      <c r="E17" s="11">
        <v>1.1882999999999999E-2</v>
      </c>
      <c r="F17" s="1"/>
      <c r="G17" s="1"/>
      <c r="H17" s="1"/>
      <c r="I17" s="1"/>
      <c r="J17" s="24" t="s">
        <v>88</v>
      </c>
      <c r="K17" s="28">
        <v>1.0727E-2</v>
      </c>
      <c r="L17" s="1"/>
      <c r="M17" s="1"/>
      <c r="N17" s="18"/>
    </row>
    <row r="18" spans="2:14" ht="15.75" customHeight="1" x14ac:dyDescent="0.25">
      <c r="B18" s="20"/>
      <c r="C18" s="7" t="s">
        <v>30</v>
      </c>
      <c r="D18" s="8"/>
      <c r="E18" s="12">
        <v>7.5145000000000003E-2</v>
      </c>
      <c r="F18" s="1"/>
      <c r="G18" s="1"/>
      <c r="H18" s="1"/>
      <c r="I18" s="1"/>
      <c r="J18" s="1"/>
      <c r="K18" s="1"/>
      <c r="L18" s="1"/>
      <c r="M18" s="1"/>
      <c r="N18" s="18"/>
    </row>
    <row r="19" spans="2:14" ht="15" customHeight="1" x14ac:dyDescent="0.25">
      <c r="B19" s="20"/>
      <c r="C19" s="5" t="s">
        <v>31</v>
      </c>
      <c r="D19" s="6" t="s">
        <v>32</v>
      </c>
      <c r="E19" s="11">
        <v>0.106153</v>
      </c>
      <c r="F19" s="1"/>
      <c r="G19" s="1"/>
      <c r="H19" s="1"/>
      <c r="I19" s="1"/>
      <c r="J19" s="1"/>
      <c r="K19" s="1"/>
      <c r="L19" s="1"/>
      <c r="M19" s="1"/>
      <c r="N19" s="18"/>
    </row>
    <row r="20" spans="2:14" ht="15" customHeight="1" x14ac:dyDescent="0.25">
      <c r="B20" s="20"/>
      <c r="C20" s="5" t="s">
        <v>41</v>
      </c>
      <c r="D20" s="6" t="s">
        <v>32</v>
      </c>
      <c r="E20" s="11">
        <v>5.7514999999999997E-2</v>
      </c>
      <c r="F20" s="1"/>
      <c r="G20" s="1"/>
      <c r="H20" s="1"/>
      <c r="I20" s="1"/>
      <c r="J20" s="1"/>
      <c r="K20" s="1"/>
      <c r="L20" s="1"/>
      <c r="M20" s="1"/>
      <c r="N20" s="18"/>
    </row>
    <row r="21" spans="2:14" ht="15" customHeight="1" x14ac:dyDescent="0.25">
      <c r="B21" s="20"/>
      <c r="C21" s="5" t="s">
        <v>33</v>
      </c>
      <c r="D21" s="6" t="s">
        <v>32</v>
      </c>
      <c r="E21" s="11">
        <v>3.4974999999999999E-2</v>
      </c>
      <c r="F21" s="1"/>
      <c r="G21" s="1"/>
      <c r="H21" s="1"/>
      <c r="I21" s="1"/>
      <c r="J21" s="1"/>
      <c r="K21" s="1"/>
      <c r="L21" s="1"/>
      <c r="M21" s="1"/>
      <c r="N21" s="18"/>
    </row>
    <row r="22" spans="2:14" ht="15" customHeight="1" x14ac:dyDescent="0.25">
      <c r="B22" s="20"/>
      <c r="C22" s="5" t="s">
        <v>35</v>
      </c>
      <c r="D22" s="6" t="s">
        <v>32</v>
      </c>
      <c r="E22" s="11">
        <v>2.4055E-2</v>
      </c>
      <c r="F22" s="1"/>
      <c r="G22" s="1"/>
      <c r="H22" s="1"/>
      <c r="I22" s="1"/>
      <c r="J22" s="1"/>
      <c r="K22" s="1"/>
      <c r="L22" s="1"/>
      <c r="M22" s="1"/>
      <c r="N22" s="18"/>
    </row>
    <row r="23" spans="2:14" ht="15" customHeight="1" x14ac:dyDescent="0.25">
      <c r="B23" s="20"/>
      <c r="C23" s="5" t="s">
        <v>36</v>
      </c>
      <c r="D23" s="6" t="s">
        <v>32</v>
      </c>
      <c r="E23" s="11">
        <v>1.1905000000000001E-2</v>
      </c>
      <c r="F23" s="1"/>
      <c r="G23" s="1"/>
      <c r="H23" s="1"/>
      <c r="I23" s="1"/>
      <c r="J23" s="1"/>
      <c r="K23" s="1"/>
      <c r="L23" s="1"/>
      <c r="M23" s="1"/>
      <c r="N23" s="18"/>
    </row>
    <row r="24" spans="2:14" ht="15" customHeight="1" x14ac:dyDescent="0.25">
      <c r="B24" s="20"/>
      <c r="C24" s="5" t="s">
        <v>82</v>
      </c>
      <c r="D24" s="6" t="s">
        <v>32</v>
      </c>
      <c r="E24" s="11">
        <v>1.2030000000000001E-3</v>
      </c>
      <c r="F24" s="1"/>
      <c r="G24" s="51" t="s">
        <v>89</v>
      </c>
      <c r="H24" s="52"/>
      <c r="I24" s="52"/>
      <c r="J24" s="52"/>
      <c r="K24" s="52"/>
      <c r="L24" s="41">
        <v>160.85548968971102</v>
      </c>
      <c r="M24" s="26"/>
      <c r="N24" s="27"/>
    </row>
    <row r="25" spans="2:14" ht="15.75" customHeight="1" x14ac:dyDescent="0.25">
      <c r="B25" s="20"/>
      <c r="C25" s="7" t="s">
        <v>46</v>
      </c>
      <c r="D25" s="8"/>
      <c r="E25" s="12">
        <v>0.23580599999999999</v>
      </c>
      <c r="F25" s="1"/>
      <c r="G25" s="1"/>
      <c r="H25" s="1"/>
      <c r="I25" s="1"/>
      <c r="J25" s="1"/>
      <c r="K25" s="1"/>
      <c r="L25" s="1"/>
      <c r="M25" s="1"/>
      <c r="N25" s="18"/>
    </row>
    <row r="26" spans="2:14" ht="15" customHeight="1" x14ac:dyDescent="0.25">
      <c r="B26" s="20"/>
      <c r="C26" s="5" t="s">
        <v>133</v>
      </c>
      <c r="D26" s="6" t="s">
        <v>48</v>
      </c>
      <c r="E26" s="11">
        <v>1.0843E-2</v>
      </c>
      <c r="F26" s="1"/>
      <c r="G26" s="51" t="s">
        <v>16</v>
      </c>
      <c r="H26" s="52"/>
      <c r="I26" s="52"/>
      <c r="J26" s="52"/>
      <c r="K26" s="52"/>
      <c r="L26" s="52"/>
      <c r="M26" s="52"/>
      <c r="N26" s="53"/>
    </row>
    <row r="27" spans="2:14" ht="15.75" customHeight="1" x14ac:dyDescent="0.25">
      <c r="B27" s="20"/>
      <c r="C27" s="7" t="s">
        <v>50</v>
      </c>
      <c r="D27" s="8"/>
      <c r="E27" s="12">
        <v>1.0843E-2</v>
      </c>
      <c r="F27" s="1"/>
      <c r="G27" s="1"/>
      <c r="H27" s="1"/>
      <c r="I27" s="1"/>
      <c r="J27" s="1"/>
      <c r="K27" s="1"/>
      <c r="L27" s="1"/>
      <c r="M27" s="1"/>
      <c r="N27" s="18"/>
    </row>
    <row r="28" spans="2:14" ht="15" customHeight="1" x14ac:dyDescent="0.25">
      <c r="B28" s="20"/>
      <c r="C28" s="5" t="s">
        <v>153</v>
      </c>
      <c r="D28" s="6" t="s">
        <v>48</v>
      </c>
      <c r="E28" s="11">
        <v>7.2370000000000004E-3</v>
      </c>
      <c r="F28" s="1"/>
      <c r="G28" s="1"/>
      <c r="H28" s="1"/>
      <c r="I28" s="1"/>
      <c r="J28" s="1"/>
      <c r="K28" s="1"/>
      <c r="L28" s="1"/>
      <c r="M28" s="1"/>
      <c r="N28" s="18"/>
    </row>
    <row r="29" spans="2:14" ht="15.75" customHeight="1" x14ac:dyDescent="0.25">
      <c r="B29" s="20"/>
      <c r="C29" s="7" t="s">
        <v>51</v>
      </c>
      <c r="D29" s="8"/>
      <c r="E29" s="12">
        <v>7.2370000000000004E-3</v>
      </c>
      <c r="F29" s="1"/>
      <c r="G29" s="1"/>
      <c r="H29" s="1"/>
      <c r="I29" s="1"/>
      <c r="J29" s="1"/>
      <c r="K29" s="1"/>
      <c r="L29" s="1"/>
      <c r="M29" s="1"/>
      <c r="N29" s="18"/>
    </row>
    <row r="30" spans="2:14" ht="15" customHeight="1" x14ac:dyDescent="0.25">
      <c r="B30" s="20"/>
      <c r="C30" s="5" t="s">
        <v>136</v>
      </c>
      <c r="D30" s="6" t="s">
        <v>48</v>
      </c>
      <c r="E30" s="11">
        <v>4.6752000000000002E-2</v>
      </c>
      <c r="F30" s="1"/>
      <c r="G30" s="1"/>
      <c r="H30" s="1"/>
      <c r="I30" s="1"/>
      <c r="J30" s="1"/>
      <c r="K30" s="1"/>
      <c r="L30" s="1"/>
      <c r="M30" s="1"/>
      <c r="N30" s="18"/>
    </row>
    <row r="31" spans="2:14" ht="15" customHeight="1" x14ac:dyDescent="0.25">
      <c r="B31" s="20"/>
      <c r="C31" s="5" t="s">
        <v>137</v>
      </c>
      <c r="D31" s="6" t="s">
        <v>48</v>
      </c>
      <c r="E31" s="11">
        <v>2.2894999999999999E-2</v>
      </c>
      <c r="F31" s="1"/>
      <c r="G31" s="1"/>
      <c r="H31" s="1"/>
      <c r="I31" s="1"/>
      <c r="J31" s="1"/>
      <c r="K31" s="1"/>
      <c r="L31" s="1"/>
      <c r="M31" s="1"/>
      <c r="N31" s="18"/>
    </row>
    <row r="32" spans="2:14" ht="15.75" customHeight="1" x14ac:dyDescent="0.25">
      <c r="B32" s="20"/>
      <c r="C32" s="7" t="s">
        <v>53</v>
      </c>
      <c r="D32" s="8"/>
      <c r="E32" s="12">
        <v>6.9647000000000001E-2</v>
      </c>
      <c r="F32" s="1"/>
      <c r="G32" s="1"/>
      <c r="H32" s="1"/>
      <c r="I32" s="1"/>
      <c r="J32" s="1"/>
      <c r="K32" s="1"/>
      <c r="L32" s="1"/>
      <c r="M32" s="1"/>
      <c r="N32" s="18"/>
    </row>
    <row r="33" spans="2:14" ht="15" customHeight="1" x14ac:dyDescent="0.25">
      <c r="B33" s="20"/>
      <c r="C33" s="5" t="s">
        <v>6</v>
      </c>
      <c r="D33" s="6"/>
      <c r="E33" s="11">
        <v>7.6832999999999999E-2</v>
      </c>
      <c r="F33" s="1"/>
      <c r="G33" s="1"/>
      <c r="H33" s="1"/>
      <c r="I33" s="1"/>
      <c r="J33" s="1"/>
      <c r="K33" s="1"/>
      <c r="L33" s="1"/>
      <c r="M33" s="1"/>
      <c r="N33" s="18"/>
    </row>
    <row r="34" spans="2:14" ht="15.75" customHeight="1" x14ac:dyDescent="0.25">
      <c r="B34" s="20"/>
      <c r="C34" s="7" t="s">
        <v>7</v>
      </c>
      <c r="D34" s="8"/>
      <c r="E34" s="12">
        <v>7.6832999999999999E-2</v>
      </c>
      <c r="F34" s="1"/>
      <c r="G34" s="1"/>
      <c r="H34" s="1"/>
      <c r="I34" s="1"/>
      <c r="J34" s="1"/>
      <c r="K34" s="1"/>
      <c r="L34" s="1"/>
      <c r="M34" s="1"/>
      <c r="N34" s="18"/>
    </row>
    <row r="35" spans="2:14" ht="15" customHeight="1" x14ac:dyDescent="0.25">
      <c r="B35" s="20"/>
      <c r="C35" s="5" t="s">
        <v>83</v>
      </c>
      <c r="D35" s="6" t="s">
        <v>32</v>
      </c>
      <c r="E35" s="11">
        <v>1.0727E-2</v>
      </c>
      <c r="F35" s="1"/>
      <c r="G35" s="1"/>
      <c r="H35" s="1"/>
      <c r="I35" s="1"/>
      <c r="J35" s="1"/>
      <c r="K35" s="1"/>
      <c r="L35" s="1"/>
      <c r="M35" s="1"/>
      <c r="N35" s="18"/>
    </row>
    <row r="36" spans="2:14" ht="15.75" customHeight="1" x14ac:dyDescent="0.25">
      <c r="B36" s="20"/>
      <c r="C36" s="7" t="s">
        <v>87</v>
      </c>
      <c r="D36" s="8"/>
      <c r="E36" s="12">
        <v>1.0727E-2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75" customHeight="1" x14ac:dyDescent="0.25">
      <c r="B38" s="20"/>
      <c r="C38" s="7" t="s">
        <v>8</v>
      </c>
      <c r="D38" s="8"/>
      <c r="E38" s="12">
        <v>1.3244000000000001E-2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9</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 customHeight="1" thickBot="1" x14ac:dyDescent="0.3">
      <c r="B45" s="43" t="s">
        <v>267</v>
      </c>
      <c r="C45" s="44"/>
      <c r="D45" s="44"/>
      <c r="E45" s="44"/>
      <c r="F45" s="44"/>
      <c r="G45" s="44"/>
      <c r="H45" s="44"/>
      <c r="I45" s="44"/>
      <c r="J45" s="44"/>
      <c r="K45" s="44"/>
      <c r="L45" s="44"/>
      <c r="M45" s="44"/>
      <c r="N45" s="4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86F5-F3EE-45B7-9F94-6D2053A59258}">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259</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122</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47</v>
      </c>
      <c r="D8" s="6" t="s">
        <v>48</v>
      </c>
      <c r="E8" s="11">
        <v>0.902891</v>
      </c>
      <c r="F8" s="1"/>
      <c r="G8" s="24" t="s">
        <v>13</v>
      </c>
      <c r="H8" s="25">
        <v>1</v>
      </c>
      <c r="I8" s="1"/>
      <c r="J8" s="24" t="s">
        <v>10</v>
      </c>
      <c r="K8" s="24" t="s">
        <v>4</v>
      </c>
      <c r="L8" s="1"/>
      <c r="M8" s="1"/>
      <c r="N8" s="18"/>
    </row>
    <row r="9" spans="2:14" ht="15" customHeight="1" x14ac:dyDescent="0.25">
      <c r="B9" s="20"/>
      <c r="C9" s="5" t="s">
        <v>62</v>
      </c>
      <c r="D9" s="6" t="s">
        <v>48</v>
      </c>
      <c r="E9" s="11">
        <v>8.0365000000000006E-2</v>
      </c>
      <c r="F9" s="1"/>
      <c r="G9" s="1"/>
      <c r="H9" s="1"/>
      <c r="I9" s="1"/>
      <c r="J9" s="24" t="s">
        <v>8</v>
      </c>
      <c r="K9" s="28">
        <v>1.4697E-2</v>
      </c>
      <c r="L9" s="1"/>
      <c r="M9" s="1"/>
      <c r="N9" s="18"/>
    </row>
    <row r="10" spans="2:14" ht="15" customHeight="1" x14ac:dyDescent="0.25">
      <c r="B10" s="20"/>
      <c r="C10" s="5" t="s">
        <v>123</v>
      </c>
      <c r="D10" s="6" t="s">
        <v>48</v>
      </c>
      <c r="E10" s="36">
        <v>4.6E-5</v>
      </c>
      <c r="F10" s="1"/>
      <c r="G10" s="1"/>
      <c r="H10" s="1"/>
      <c r="I10" s="1"/>
      <c r="J10" s="24" t="s">
        <v>11</v>
      </c>
      <c r="K10" s="28">
        <v>1.9559999999999998E-3</v>
      </c>
      <c r="L10" s="1"/>
      <c r="M10" s="1"/>
      <c r="N10" s="18"/>
    </row>
    <row r="11" spans="2:14" ht="15" customHeight="1" x14ac:dyDescent="0.25">
      <c r="B11" s="20"/>
      <c r="C11" s="5" t="s">
        <v>118</v>
      </c>
      <c r="D11" s="6" t="s">
        <v>48</v>
      </c>
      <c r="E11" s="36">
        <v>4.5000000000000003E-5</v>
      </c>
      <c r="F11" s="1"/>
      <c r="G11" s="1"/>
      <c r="H11" s="1"/>
      <c r="I11" s="1"/>
      <c r="J11" s="24" t="s">
        <v>57</v>
      </c>
      <c r="K11" s="28">
        <v>0.98334699999999997</v>
      </c>
      <c r="L11" s="1"/>
      <c r="M11" s="1"/>
      <c r="N11" s="18"/>
    </row>
    <row r="12" spans="2:14" ht="15.75" customHeight="1" x14ac:dyDescent="0.25">
      <c r="B12" s="20"/>
      <c r="C12" s="7" t="s">
        <v>50</v>
      </c>
      <c r="D12" s="8"/>
      <c r="E12" s="12">
        <v>0.98334699999999997</v>
      </c>
      <c r="F12" s="1"/>
      <c r="G12" s="1"/>
      <c r="H12" s="1"/>
      <c r="I12" s="1"/>
      <c r="J12" s="1"/>
      <c r="K12" s="1"/>
      <c r="L12" s="1"/>
      <c r="M12" s="1"/>
      <c r="N12" s="18"/>
    </row>
    <row r="13" spans="2:14" ht="15" customHeight="1" x14ac:dyDescent="0.25">
      <c r="B13" s="20"/>
      <c r="C13" s="5" t="s">
        <v>6</v>
      </c>
      <c r="D13" s="6"/>
      <c r="E13" s="11">
        <v>1.9559999999999998E-3</v>
      </c>
      <c r="F13" s="1"/>
      <c r="G13" s="1"/>
      <c r="H13" s="1"/>
      <c r="I13" s="1"/>
      <c r="J13" s="1"/>
      <c r="K13" s="1"/>
      <c r="L13" s="1"/>
      <c r="M13" s="1"/>
      <c r="N13" s="18"/>
    </row>
    <row r="14" spans="2:14" ht="15.75" customHeight="1" x14ac:dyDescent="0.25">
      <c r="B14" s="20"/>
      <c r="C14" s="7" t="s">
        <v>7</v>
      </c>
      <c r="D14" s="8"/>
      <c r="E14" s="12">
        <v>1.9559999999999998E-3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8</v>
      </c>
      <c r="D16" s="8"/>
      <c r="E16" s="12">
        <v>1.4697E-2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9</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4.4547630803461633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BAE7F-286E-4244-AF42-F6C7758D2BF2}">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258</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60</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47</v>
      </c>
      <c r="D8" s="6" t="s">
        <v>48</v>
      </c>
      <c r="E8" s="11">
        <v>0.64329499999999995</v>
      </c>
      <c r="F8" s="1"/>
      <c r="G8" s="24" t="s">
        <v>13</v>
      </c>
      <c r="H8" s="25">
        <v>1</v>
      </c>
      <c r="I8" s="1"/>
      <c r="J8" s="24" t="s">
        <v>10</v>
      </c>
      <c r="K8" s="24" t="s">
        <v>4</v>
      </c>
      <c r="L8" s="1"/>
      <c r="M8" s="1"/>
      <c r="N8" s="18"/>
    </row>
    <row r="9" spans="2:14" ht="15" customHeight="1" x14ac:dyDescent="0.25">
      <c r="B9" s="20"/>
      <c r="C9" s="5" t="s">
        <v>61</v>
      </c>
      <c r="D9" s="6" t="s">
        <v>48</v>
      </c>
      <c r="E9" s="11">
        <v>0.23691499999999999</v>
      </c>
      <c r="F9" s="1"/>
      <c r="G9" s="1"/>
      <c r="H9" s="1"/>
      <c r="I9" s="1"/>
      <c r="J9" s="24" t="s">
        <v>8</v>
      </c>
      <c r="K9" s="28">
        <v>1.272E-2</v>
      </c>
      <c r="L9" s="1"/>
      <c r="M9" s="1"/>
      <c r="N9" s="18"/>
    </row>
    <row r="10" spans="2:14" ht="15" customHeight="1" x14ac:dyDescent="0.25">
      <c r="B10" s="20"/>
      <c r="C10" s="5" t="s">
        <v>62</v>
      </c>
      <c r="D10" s="6" t="s">
        <v>48</v>
      </c>
      <c r="E10" s="11">
        <v>7.5245999999999993E-2</v>
      </c>
      <c r="F10" s="1"/>
      <c r="G10" s="1"/>
      <c r="H10" s="1"/>
      <c r="I10" s="1"/>
      <c r="J10" s="24" t="s">
        <v>11</v>
      </c>
      <c r="K10" s="28">
        <v>1.3699999999999999E-3</v>
      </c>
      <c r="L10" s="1"/>
      <c r="M10" s="1"/>
      <c r="N10" s="18"/>
    </row>
    <row r="11" spans="2:14" ht="15" customHeight="1" x14ac:dyDescent="0.25">
      <c r="B11" s="20"/>
      <c r="C11" s="5" t="s">
        <v>63</v>
      </c>
      <c r="D11" s="6" t="s">
        <v>48</v>
      </c>
      <c r="E11" s="11">
        <v>2.7716999999999999E-2</v>
      </c>
      <c r="F11" s="1"/>
      <c r="G11" s="1"/>
      <c r="H11" s="1"/>
      <c r="I11" s="1"/>
      <c r="J11" s="24" t="s">
        <v>57</v>
      </c>
      <c r="K11" s="28">
        <v>0.98590999999999995</v>
      </c>
      <c r="L11" s="1"/>
      <c r="M11" s="1"/>
      <c r="N11" s="18"/>
    </row>
    <row r="12" spans="2:14" ht="15" customHeight="1" x14ac:dyDescent="0.25">
      <c r="B12" s="20"/>
      <c r="C12" s="5" t="s">
        <v>64</v>
      </c>
      <c r="D12" s="6" t="s">
        <v>48</v>
      </c>
      <c r="E12" s="11">
        <v>1.967E-3</v>
      </c>
      <c r="F12" s="1"/>
      <c r="G12" s="1"/>
      <c r="H12" s="1"/>
      <c r="I12" s="1"/>
      <c r="J12" s="1"/>
      <c r="K12" s="1"/>
      <c r="L12" s="1"/>
      <c r="M12" s="1"/>
      <c r="N12" s="18"/>
    </row>
    <row r="13" spans="2:14" ht="15" customHeight="1" x14ac:dyDescent="0.25">
      <c r="B13" s="20"/>
      <c r="C13" s="5" t="s">
        <v>65</v>
      </c>
      <c r="D13" s="6" t="s">
        <v>48</v>
      </c>
      <c r="E13" s="11">
        <v>7.6999999999999996E-4</v>
      </c>
      <c r="F13" s="1"/>
      <c r="G13" s="1"/>
      <c r="H13" s="1"/>
      <c r="I13" s="1"/>
      <c r="J13" s="1"/>
      <c r="K13" s="1"/>
      <c r="L13" s="1"/>
      <c r="M13" s="1"/>
      <c r="N13" s="18"/>
    </row>
    <row r="14" spans="2:14" ht="15.75" customHeight="1" x14ac:dyDescent="0.25">
      <c r="B14" s="20"/>
      <c r="C14" s="7" t="s">
        <v>50</v>
      </c>
      <c r="D14" s="8"/>
      <c r="E14" s="12">
        <v>0.98590999999999995</v>
      </c>
      <c r="F14" s="1"/>
      <c r="G14" s="1"/>
      <c r="H14" s="1"/>
      <c r="I14" s="1"/>
      <c r="J14" s="1"/>
      <c r="K14" s="1"/>
      <c r="L14" s="1"/>
      <c r="M14" s="1"/>
      <c r="N14" s="18"/>
    </row>
    <row r="15" spans="2:14" ht="15" customHeight="1" x14ac:dyDescent="0.25">
      <c r="B15" s="20"/>
      <c r="C15" s="5" t="s">
        <v>6</v>
      </c>
      <c r="D15" s="6"/>
      <c r="E15" s="11">
        <v>1.3699999999999999E-3</v>
      </c>
      <c r="F15" s="1"/>
      <c r="G15" s="1"/>
      <c r="H15" s="1"/>
      <c r="I15" s="1"/>
      <c r="J15" s="1"/>
      <c r="K15" s="1"/>
      <c r="L15" s="1"/>
      <c r="M15" s="1"/>
      <c r="N15" s="18"/>
    </row>
    <row r="16" spans="2:14" ht="15.75" customHeight="1" x14ac:dyDescent="0.25">
      <c r="B16" s="20"/>
      <c r="C16" s="7" t="s">
        <v>7</v>
      </c>
      <c r="D16" s="8"/>
      <c r="E16" s="12">
        <v>1.3699999999999999E-3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8</v>
      </c>
      <c r="D18" s="8"/>
      <c r="E18" s="12">
        <v>1.272E-2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9</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5.663105550301351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3FC9D-B212-43BD-9750-67687FCD72C0}">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257</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66</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47</v>
      </c>
      <c r="D8" s="6" t="s">
        <v>48</v>
      </c>
      <c r="E8" s="11">
        <v>0.83160299999999998</v>
      </c>
      <c r="F8" s="1"/>
      <c r="G8" s="24" t="s">
        <v>13</v>
      </c>
      <c r="H8" s="25">
        <v>1</v>
      </c>
      <c r="I8" s="1"/>
      <c r="J8" s="24" t="s">
        <v>10</v>
      </c>
      <c r="K8" s="24" t="s">
        <v>4</v>
      </c>
      <c r="L8" s="1"/>
      <c r="M8" s="1"/>
      <c r="N8" s="18"/>
    </row>
    <row r="9" spans="2:14" ht="15" customHeight="1" x14ac:dyDescent="0.25">
      <c r="B9" s="20"/>
      <c r="C9" s="5" t="s">
        <v>49</v>
      </c>
      <c r="D9" s="6" t="s">
        <v>48</v>
      </c>
      <c r="E9" s="11">
        <v>7.2108000000000005E-2</v>
      </c>
      <c r="F9" s="1"/>
      <c r="G9" s="1"/>
      <c r="H9" s="1"/>
      <c r="I9" s="1"/>
      <c r="J9" s="24" t="s">
        <v>8</v>
      </c>
      <c r="K9" s="28">
        <v>1.9699999999999999E-2</v>
      </c>
      <c r="L9" s="1"/>
      <c r="M9" s="1"/>
      <c r="N9" s="18"/>
    </row>
    <row r="10" spans="2:14" ht="15" customHeight="1" x14ac:dyDescent="0.25">
      <c r="B10" s="20"/>
      <c r="C10" s="5" t="s">
        <v>62</v>
      </c>
      <c r="D10" s="6" t="s">
        <v>48</v>
      </c>
      <c r="E10" s="11">
        <v>4.7657999999999999E-2</v>
      </c>
      <c r="F10" s="1"/>
      <c r="G10" s="1"/>
      <c r="H10" s="1"/>
      <c r="I10" s="1"/>
      <c r="J10" s="24" t="s">
        <v>11</v>
      </c>
      <c r="K10" s="28">
        <v>7.3200000000000001E-4</v>
      </c>
      <c r="L10" s="1"/>
      <c r="M10" s="1"/>
      <c r="N10" s="18"/>
    </row>
    <row r="11" spans="2:14" ht="15" customHeight="1" x14ac:dyDescent="0.25">
      <c r="B11" s="20"/>
      <c r="C11" s="5" t="s">
        <v>64</v>
      </c>
      <c r="D11" s="6" t="s">
        <v>48</v>
      </c>
      <c r="E11" s="11">
        <v>9.8999999999999994E-5</v>
      </c>
      <c r="F11" s="1"/>
      <c r="G11" s="1"/>
      <c r="H11" s="1"/>
      <c r="I11" s="1"/>
      <c r="J11" s="24" t="s">
        <v>57</v>
      </c>
      <c r="K11" s="28">
        <v>0.95152499999999995</v>
      </c>
      <c r="L11" s="1"/>
      <c r="M11" s="1"/>
      <c r="N11" s="18"/>
    </row>
    <row r="12" spans="2:14" ht="15" customHeight="1" x14ac:dyDescent="0.25">
      <c r="B12" s="20"/>
      <c r="C12" s="5" t="s">
        <v>67</v>
      </c>
      <c r="D12" s="6" t="s">
        <v>48</v>
      </c>
      <c r="E12" s="11">
        <v>5.7000000000000003E-5</v>
      </c>
      <c r="F12" s="1"/>
      <c r="G12" s="1"/>
      <c r="H12" s="1"/>
      <c r="I12" s="1"/>
      <c r="J12" s="24" t="s">
        <v>70</v>
      </c>
      <c r="K12" s="28">
        <v>1.1650000000000001E-2</v>
      </c>
      <c r="L12" s="1"/>
      <c r="M12" s="1"/>
      <c r="N12" s="18"/>
    </row>
    <row r="13" spans="2:14" ht="15.75" customHeight="1" x14ac:dyDescent="0.25">
      <c r="B13" s="20"/>
      <c r="C13" s="7" t="s">
        <v>50</v>
      </c>
      <c r="D13" s="8"/>
      <c r="E13" s="12">
        <v>0.95152499999999995</v>
      </c>
      <c r="F13" s="1"/>
      <c r="G13" s="1"/>
      <c r="H13" s="1"/>
      <c r="I13" s="1"/>
      <c r="J13" s="24" t="s">
        <v>58</v>
      </c>
      <c r="K13" s="28">
        <v>1.6393000000000001E-2</v>
      </c>
      <c r="L13" s="1"/>
      <c r="M13" s="1"/>
      <c r="N13" s="18"/>
    </row>
    <row r="14" spans="2:14" ht="15" customHeight="1" x14ac:dyDescent="0.25">
      <c r="B14" s="20"/>
      <c r="C14" s="31" t="s">
        <v>236</v>
      </c>
      <c r="D14" s="6" t="s">
        <v>68</v>
      </c>
      <c r="E14" s="11">
        <v>1.1650000000000001E-2</v>
      </c>
      <c r="F14" s="1"/>
      <c r="G14" s="1"/>
      <c r="H14" s="1"/>
      <c r="I14" s="1"/>
      <c r="J14" s="1"/>
      <c r="K14" s="1"/>
      <c r="L14" s="1"/>
      <c r="M14" s="1"/>
      <c r="N14" s="18"/>
    </row>
    <row r="15" spans="2:14" ht="15.75" customHeight="1" x14ac:dyDescent="0.25">
      <c r="B15" s="20"/>
      <c r="C15" s="7" t="s">
        <v>69</v>
      </c>
      <c r="D15" s="8"/>
      <c r="E15" s="12">
        <v>1.1650000000000001E-2</v>
      </c>
      <c r="F15" s="1"/>
      <c r="G15" s="1"/>
      <c r="H15" s="1"/>
      <c r="I15" s="1"/>
      <c r="J15" s="1"/>
      <c r="K15" s="1"/>
      <c r="L15" s="1"/>
      <c r="M15" s="1"/>
      <c r="N15" s="18"/>
    </row>
    <row r="16" spans="2:14" ht="15" customHeight="1" x14ac:dyDescent="0.25">
      <c r="B16" s="20"/>
      <c r="C16" s="5" t="s">
        <v>179</v>
      </c>
      <c r="D16" s="6" t="s">
        <v>48</v>
      </c>
      <c r="E16" s="11">
        <v>7.685E-3</v>
      </c>
      <c r="F16" s="1"/>
      <c r="G16" s="1"/>
      <c r="H16" s="1"/>
      <c r="I16" s="1"/>
      <c r="J16" s="1"/>
      <c r="K16" s="1"/>
      <c r="L16" s="1"/>
      <c r="M16" s="1"/>
      <c r="N16" s="18"/>
    </row>
    <row r="17" spans="2:14" ht="15.75" customHeight="1" x14ac:dyDescent="0.25">
      <c r="B17" s="20"/>
      <c r="C17" s="31" t="s">
        <v>180</v>
      </c>
      <c r="D17" s="32" t="s">
        <v>48</v>
      </c>
      <c r="E17" s="33">
        <v>7.6819999999999996E-3</v>
      </c>
      <c r="F17" s="1"/>
      <c r="G17" s="1"/>
      <c r="H17" s="1"/>
      <c r="I17" s="1"/>
      <c r="J17" s="1"/>
      <c r="K17" s="1"/>
      <c r="L17" s="1"/>
      <c r="M17" s="1"/>
      <c r="N17" s="18"/>
    </row>
    <row r="18" spans="2:14" ht="15" customHeight="1" x14ac:dyDescent="0.25">
      <c r="B18" s="20"/>
      <c r="C18" s="31" t="s">
        <v>181</v>
      </c>
      <c r="D18" s="32" t="s">
        <v>48</v>
      </c>
      <c r="E18" s="33">
        <v>1.0150000000000001E-3</v>
      </c>
      <c r="F18" s="1"/>
      <c r="G18" s="1"/>
      <c r="H18" s="1"/>
      <c r="I18" s="1"/>
      <c r="J18" s="1"/>
      <c r="K18" s="1"/>
      <c r="L18" s="1"/>
      <c r="M18" s="1"/>
      <c r="N18" s="18"/>
    </row>
    <row r="19" spans="2:14" ht="15.75" customHeight="1" x14ac:dyDescent="0.25">
      <c r="B19" s="20"/>
      <c r="C19" s="31" t="s">
        <v>178</v>
      </c>
      <c r="D19" s="32" t="s">
        <v>48</v>
      </c>
      <c r="E19" s="36">
        <v>1.1E-5</v>
      </c>
      <c r="F19" s="1"/>
      <c r="G19" s="1"/>
      <c r="H19" s="1"/>
      <c r="I19" s="1"/>
      <c r="J19" s="1"/>
      <c r="K19" s="1"/>
      <c r="L19" s="1"/>
      <c r="M19" s="1"/>
      <c r="N19" s="18"/>
    </row>
    <row r="20" spans="2:14" ht="15" customHeight="1" x14ac:dyDescent="0.25">
      <c r="B20" s="20"/>
      <c r="C20" s="7" t="s">
        <v>51</v>
      </c>
      <c r="D20" s="8"/>
      <c r="E20" s="12">
        <v>1.6393000000000001E-2</v>
      </c>
      <c r="F20" s="1"/>
      <c r="G20" s="1"/>
      <c r="H20" s="1"/>
      <c r="I20" s="1"/>
      <c r="J20" s="1"/>
      <c r="K20" s="1"/>
      <c r="L20" s="1"/>
      <c r="M20" s="1"/>
      <c r="N20" s="18"/>
    </row>
    <row r="21" spans="2:14" ht="15.75" customHeight="1" x14ac:dyDescent="0.25">
      <c r="B21" s="20"/>
      <c r="C21" s="5" t="s">
        <v>6</v>
      </c>
      <c r="D21" s="6"/>
      <c r="E21" s="11">
        <v>7.3200000000000001E-4</v>
      </c>
      <c r="F21" s="1"/>
      <c r="G21" s="1"/>
      <c r="H21" s="1"/>
      <c r="I21" s="1"/>
      <c r="J21" s="1"/>
      <c r="K21" s="1"/>
      <c r="L21" s="1"/>
      <c r="M21" s="1"/>
      <c r="N21" s="18"/>
    </row>
    <row r="22" spans="2:14" ht="15" customHeight="1" x14ac:dyDescent="0.25">
      <c r="B22" s="20"/>
      <c r="C22" s="7" t="s">
        <v>7</v>
      </c>
      <c r="D22" s="8"/>
      <c r="E22" s="12">
        <v>7.3200000000000001E-4</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8</v>
      </c>
      <c r="D24" s="8"/>
      <c r="E24" s="12">
        <v>1.9699999999999999E-2</v>
      </c>
      <c r="F24" s="1"/>
      <c r="G24" s="51" t="s">
        <v>15</v>
      </c>
      <c r="H24" s="52"/>
      <c r="I24" s="52"/>
      <c r="J24" s="52"/>
      <c r="K24" s="52"/>
      <c r="L24" s="42">
        <v>4.2201048793238858</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9</v>
      </c>
      <c r="D26" s="10"/>
      <c r="E26" s="13">
        <v>1</v>
      </c>
      <c r="F26" s="1"/>
      <c r="G26" s="51" t="s">
        <v>16</v>
      </c>
      <c r="H26" s="52"/>
      <c r="I26" s="52"/>
      <c r="J26" s="52"/>
      <c r="K26" s="52"/>
      <c r="L26" s="52"/>
      <c r="M26" s="52"/>
      <c r="N26" s="53"/>
    </row>
    <row r="27" spans="2:14" ht="15" customHeight="1" x14ac:dyDescent="0.25">
      <c r="B27" s="20"/>
      <c r="F27" s="1"/>
      <c r="G27" s="1"/>
      <c r="H27" s="1"/>
      <c r="I27" s="1"/>
      <c r="J27" s="1"/>
      <c r="K27" s="1"/>
      <c r="L27" s="1"/>
      <c r="M27" s="1"/>
      <c r="N27" s="18"/>
    </row>
    <row r="28" spans="2:14" ht="15" customHeight="1" x14ac:dyDescent="0.25">
      <c r="B28" s="20"/>
      <c r="C28" s="30" t="s">
        <v>235</v>
      </c>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43" t="s">
        <v>267</v>
      </c>
      <c r="C45" s="44"/>
      <c r="D45" s="44"/>
      <c r="E45" s="44"/>
      <c r="F45" s="44"/>
      <c r="G45" s="44"/>
      <c r="H45" s="44"/>
      <c r="I45" s="44"/>
      <c r="J45" s="44"/>
      <c r="K45" s="44"/>
      <c r="L45" s="44"/>
      <c r="M45" s="44"/>
      <c r="N45" s="45"/>
    </row>
  </sheetData>
  <sortState ref="C16:E19">
    <sortCondition descending="1" ref="E16"/>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7E00-59CB-4265-B369-C6C5D1CA2426}">
  <dimension ref="B1:N55"/>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256</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71</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25</v>
      </c>
      <c r="D8" s="6" t="s">
        <v>19</v>
      </c>
      <c r="E8" s="11">
        <v>7.3636999999999994E-2</v>
      </c>
      <c r="F8" s="1"/>
      <c r="G8" s="24" t="s">
        <v>13</v>
      </c>
      <c r="H8" s="25">
        <v>1</v>
      </c>
      <c r="I8" s="1"/>
      <c r="J8" s="24" t="s">
        <v>10</v>
      </c>
      <c r="K8" s="24" t="s">
        <v>4</v>
      </c>
      <c r="L8" s="1"/>
      <c r="M8" s="1"/>
      <c r="N8" s="18"/>
    </row>
    <row r="9" spans="2:14" ht="15" customHeight="1" x14ac:dyDescent="0.25">
      <c r="B9" s="20"/>
      <c r="C9" s="5" t="s">
        <v>20</v>
      </c>
      <c r="D9" s="6" t="s">
        <v>19</v>
      </c>
      <c r="E9" s="11">
        <v>6.8829000000000001E-2</v>
      </c>
      <c r="F9" s="1"/>
      <c r="G9" s="1"/>
      <c r="H9" s="1"/>
      <c r="I9" s="1"/>
      <c r="J9" s="24" t="s">
        <v>8</v>
      </c>
      <c r="K9" s="28">
        <v>1.3103999999999999E-2</v>
      </c>
      <c r="L9" s="1"/>
      <c r="M9" s="1"/>
      <c r="N9" s="18"/>
    </row>
    <row r="10" spans="2:14" ht="15" customHeight="1" x14ac:dyDescent="0.25">
      <c r="B10" s="20"/>
      <c r="C10" s="5" t="s">
        <v>26</v>
      </c>
      <c r="D10" s="6" t="s">
        <v>19</v>
      </c>
      <c r="E10" s="11">
        <v>5.6526E-2</v>
      </c>
      <c r="F10" s="1"/>
      <c r="G10" s="1"/>
      <c r="H10" s="1"/>
      <c r="I10" s="1"/>
      <c r="J10" s="24" t="s">
        <v>11</v>
      </c>
      <c r="K10" s="28">
        <v>1.1180000000000001E-3</v>
      </c>
      <c r="L10" s="1"/>
      <c r="M10" s="1"/>
      <c r="N10" s="18"/>
    </row>
    <row r="11" spans="2:14" ht="15" customHeight="1" x14ac:dyDescent="0.25">
      <c r="B11" s="20"/>
      <c r="C11" s="5" t="s">
        <v>22</v>
      </c>
      <c r="D11" s="6" t="s">
        <v>19</v>
      </c>
      <c r="E11" s="11">
        <v>5.0592999999999999E-2</v>
      </c>
      <c r="F11" s="1"/>
      <c r="G11" s="1"/>
      <c r="H11" s="1"/>
      <c r="I11" s="1"/>
      <c r="J11" s="24" t="s">
        <v>54</v>
      </c>
      <c r="K11" s="28">
        <v>0.30896400000000002</v>
      </c>
      <c r="L11" s="1"/>
      <c r="M11" s="1"/>
      <c r="N11" s="18"/>
    </row>
    <row r="12" spans="2:14" ht="15" customHeight="1" x14ac:dyDescent="0.25">
      <c r="B12" s="20"/>
      <c r="C12" s="5" t="s">
        <v>21</v>
      </c>
      <c r="D12" s="6" t="s">
        <v>19</v>
      </c>
      <c r="E12" s="11">
        <v>3.6405E-2</v>
      </c>
      <c r="F12" s="1"/>
      <c r="G12" s="1"/>
      <c r="H12" s="1"/>
      <c r="I12" s="1"/>
      <c r="J12" s="24" t="s">
        <v>55</v>
      </c>
      <c r="K12" s="28">
        <v>6.8910000000000004E-3</v>
      </c>
      <c r="L12" s="1"/>
      <c r="M12" s="1"/>
      <c r="N12" s="18"/>
    </row>
    <row r="13" spans="2:14" ht="15" customHeight="1" x14ac:dyDescent="0.25">
      <c r="B13" s="20"/>
      <c r="C13" s="5" t="s">
        <v>72</v>
      </c>
      <c r="D13" s="6" t="s">
        <v>19</v>
      </c>
      <c r="E13" s="11">
        <v>1.787E-2</v>
      </c>
      <c r="F13" s="1"/>
      <c r="G13" s="1"/>
      <c r="H13" s="1"/>
      <c r="I13" s="1"/>
      <c r="J13" s="24" t="s">
        <v>56</v>
      </c>
      <c r="K13" s="28">
        <v>5.9690000000000003E-3</v>
      </c>
      <c r="L13" s="1"/>
      <c r="M13" s="1"/>
      <c r="N13" s="18"/>
    </row>
    <row r="14" spans="2:14" ht="15" customHeight="1" x14ac:dyDescent="0.25">
      <c r="B14" s="20"/>
      <c r="C14" s="5" t="s">
        <v>18</v>
      </c>
      <c r="D14" s="6" t="s">
        <v>19</v>
      </c>
      <c r="E14" s="11">
        <v>5.104E-3</v>
      </c>
      <c r="F14" s="1"/>
      <c r="G14" s="1"/>
      <c r="H14" s="1"/>
      <c r="I14" s="1"/>
      <c r="J14" s="24" t="s">
        <v>57</v>
      </c>
      <c r="K14" s="28">
        <v>0.65916600000000003</v>
      </c>
      <c r="L14" s="1"/>
      <c r="M14" s="1"/>
      <c r="N14" s="18"/>
    </row>
    <row r="15" spans="2:14" ht="15.75" customHeight="1" x14ac:dyDescent="0.25">
      <c r="B15" s="20"/>
      <c r="C15" s="7" t="s">
        <v>28</v>
      </c>
      <c r="D15" s="8"/>
      <c r="E15" s="12">
        <v>0.30896400000000002</v>
      </c>
      <c r="F15" s="1"/>
      <c r="G15" s="1"/>
      <c r="H15" s="1"/>
      <c r="I15" s="1"/>
      <c r="J15" s="24" t="s">
        <v>70</v>
      </c>
      <c r="K15" s="28">
        <v>4.7879999999999997E-3</v>
      </c>
      <c r="L15" s="1"/>
      <c r="M15" s="1"/>
      <c r="N15" s="18"/>
    </row>
    <row r="16" spans="2:14" ht="15" customHeight="1" x14ac:dyDescent="0.25">
      <c r="B16" s="20"/>
      <c r="C16" s="5" t="s">
        <v>35</v>
      </c>
      <c r="D16" s="6" t="s">
        <v>19</v>
      </c>
      <c r="E16" s="11">
        <v>5.9690000000000003E-3</v>
      </c>
      <c r="F16" s="1"/>
      <c r="G16" s="1"/>
      <c r="H16" s="1"/>
      <c r="I16" s="1"/>
      <c r="J16" s="1"/>
      <c r="K16" s="1"/>
      <c r="L16" s="1"/>
      <c r="M16" s="1"/>
      <c r="N16" s="18"/>
    </row>
    <row r="17" spans="2:14" ht="15.75" customHeight="1" x14ac:dyDescent="0.25">
      <c r="B17" s="20"/>
      <c r="C17" s="7" t="s">
        <v>30</v>
      </c>
      <c r="D17" s="8"/>
      <c r="E17" s="12">
        <v>5.9690000000000003E-3</v>
      </c>
      <c r="F17" s="1"/>
      <c r="G17" s="1"/>
      <c r="H17" s="1"/>
      <c r="I17" s="1"/>
      <c r="J17" s="1"/>
      <c r="K17" s="1"/>
      <c r="L17" s="1"/>
      <c r="M17" s="1"/>
      <c r="N17" s="18"/>
    </row>
    <row r="18" spans="2:14" ht="15" customHeight="1" x14ac:dyDescent="0.25">
      <c r="B18" s="20"/>
      <c r="C18" s="5" t="s">
        <v>36</v>
      </c>
      <c r="D18" s="6" t="s">
        <v>32</v>
      </c>
      <c r="E18" s="11">
        <v>4.7460000000000002E-3</v>
      </c>
      <c r="F18" s="1"/>
      <c r="G18" s="1"/>
      <c r="H18" s="1"/>
      <c r="I18" s="1"/>
      <c r="J18" s="1"/>
      <c r="K18" s="1"/>
      <c r="L18" s="1"/>
      <c r="M18" s="1"/>
      <c r="N18" s="18"/>
    </row>
    <row r="19" spans="2:14" ht="15" customHeight="1" x14ac:dyDescent="0.25">
      <c r="B19" s="20"/>
      <c r="C19" s="5" t="s">
        <v>29</v>
      </c>
      <c r="D19" s="6" t="s">
        <v>32</v>
      </c>
      <c r="E19" s="11">
        <v>1.616E-3</v>
      </c>
      <c r="F19" s="1"/>
      <c r="G19" s="1"/>
      <c r="H19" s="1"/>
      <c r="I19" s="1"/>
      <c r="J19" s="1"/>
      <c r="K19" s="1"/>
      <c r="L19" s="1"/>
      <c r="M19" s="1"/>
      <c r="N19" s="18"/>
    </row>
    <row r="20" spans="2:14" ht="15" customHeight="1" x14ac:dyDescent="0.25">
      <c r="B20" s="20"/>
      <c r="C20" s="5" t="s">
        <v>39</v>
      </c>
      <c r="D20" s="6" t="s">
        <v>32</v>
      </c>
      <c r="E20" s="11">
        <v>5.2899999999999996E-4</v>
      </c>
      <c r="F20" s="1"/>
      <c r="G20" s="1"/>
      <c r="H20" s="1"/>
      <c r="I20" s="1"/>
      <c r="J20" s="1"/>
      <c r="K20" s="1"/>
      <c r="L20" s="1"/>
      <c r="M20" s="1"/>
      <c r="N20" s="18"/>
    </row>
    <row r="21" spans="2:14" ht="15.75" customHeight="1" x14ac:dyDescent="0.25">
      <c r="B21" s="20"/>
      <c r="C21" s="7" t="s">
        <v>46</v>
      </c>
      <c r="D21" s="8"/>
      <c r="E21" s="12">
        <v>6.8910000000000004E-3</v>
      </c>
      <c r="F21" s="1"/>
      <c r="G21" s="1"/>
      <c r="H21" s="1"/>
      <c r="I21" s="1"/>
      <c r="J21" s="1"/>
      <c r="K21" s="1"/>
      <c r="L21" s="1"/>
      <c r="M21" s="1"/>
      <c r="N21" s="18"/>
    </row>
    <row r="22" spans="2:14" ht="15" customHeight="1" x14ac:dyDescent="0.25">
      <c r="B22" s="20"/>
      <c r="C22" s="5" t="s">
        <v>49</v>
      </c>
      <c r="D22" s="6" t="s">
        <v>48</v>
      </c>
      <c r="E22" s="11">
        <v>0.46218199999999998</v>
      </c>
      <c r="F22" s="1"/>
      <c r="G22" s="1"/>
      <c r="H22" s="1"/>
      <c r="I22" s="1"/>
      <c r="J22" s="1"/>
      <c r="K22" s="1"/>
      <c r="L22" s="1"/>
      <c r="M22" s="1"/>
      <c r="N22" s="18"/>
    </row>
    <row r="23" spans="2:14" ht="15" customHeight="1" x14ac:dyDescent="0.25">
      <c r="B23" s="20"/>
      <c r="C23" s="5" t="s">
        <v>47</v>
      </c>
      <c r="D23" s="6" t="s">
        <v>48</v>
      </c>
      <c r="E23" s="11">
        <v>0.19652800000000001</v>
      </c>
      <c r="F23" s="1"/>
      <c r="G23" s="1"/>
      <c r="H23" s="1"/>
      <c r="I23" s="1"/>
      <c r="J23" s="1"/>
      <c r="K23" s="1"/>
      <c r="L23" s="1"/>
      <c r="M23" s="1"/>
      <c r="N23" s="18"/>
    </row>
    <row r="24" spans="2:14" ht="15" customHeight="1" x14ac:dyDescent="0.25">
      <c r="B24" s="20"/>
      <c r="C24" s="5" t="s">
        <v>73</v>
      </c>
      <c r="D24" s="6" t="s">
        <v>48</v>
      </c>
      <c r="E24" s="11">
        <v>2.5900000000000001E-4</v>
      </c>
      <c r="F24" s="1"/>
      <c r="G24" s="51" t="s">
        <v>15</v>
      </c>
      <c r="H24" s="52"/>
      <c r="I24" s="52"/>
      <c r="J24" s="52"/>
      <c r="K24" s="52"/>
      <c r="L24" s="42">
        <v>2.5242944337585009</v>
      </c>
      <c r="M24" s="26"/>
      <c r="N24" s="27"/>
    </row>
    <row r="25" spans="2:14" ht="15" customHeight="1" x14ac:dyDescent="0.25">
      <c r="B25" s="20"/>
      <c r="C25" s="5" t="s">
        <v>67</v>
      </c>
      <c r="D25" s="6" t="s">
        <v>48</v>
      </c>
      <c r="E25" s="11">
        <v>1.0900000000000001E-4</v>
      </c>
      <c r="F25" s="1"/>
      <c r="G25" s="1"/>
      <c r="H25" s="1"/>
      <c r="I25" s="1"/>
      <c r="J25" s="1"/>
      <c r="K25" s="1"/>
      <c r="L25" s="1"/>
      <c r="M25" s="1"/>
      <c r="N25" s="18"/>
    </row>
    <row r="26" spans="2:14" ht="15" customHeight="1" x14ac:dyDescent="0.25">
      <c r="B26" s="20"/>
      <c r="C26" s="5" t="s">
        <v>64</v>
      </c>
      <c r="D26" s="6" t="s">
        <v>48</v>
      </c>
      <c r="E26" s="11">
        <v>8.7999999999999998E-5</v>
      </c>
      <c r="F26" s="1"/>
      <c r="G26" s="51" t="s">
        <v>16</v>
      </c>
      <c r="H26" s="52"/>
      <c r="I26" s="52"/>
      <c r="J26" s="52"/>
      <c r="K26" s="52"/>
      <c r="L26" s="52"/>
      <c r="M26" s="52"/>
      <c r="N26" s="53"/>
    </row>
    <row r="27" spans="2:14" ht="15.75" customHeight="1" x14ac:dyDescent="0.25">
      <c r="B27" s="20"/>
      <c r="C27" s="7" t="s">
        <v>50</v>
      </c>
      <c r="D27" s="8"/>
      <c r="E27" s="12">
        <v>0.65916600000000003</v>
      </c>
      <c r="F27" s="1"/>
      <c r="G27" s="1"/>
      <c r="H27" s="1"/>
      <c r="I27" s="1"/>
      <c r="J27" s="1"/>
      <c r="K27" s="1"/>
      <c r="L27" s="1"/>
      <c r="M27" s="1"/>
      <c r="N27" s="18"/>
    </row>
    <row r="28" spans="2:14" ht="15" customHeight="1" x14ac:dyDescent="0.25">
      <c r="B28" s="20"/>
      <c r="C28" s="31" t="s">
        <v>236</v>
      </c>
      <c r="D28" s="6" t="s">
        <v>68</v>
      </c>
      <c r="E28" s="11">
        <v>4.7879999999999997E-3</v>
      </c>
      <c r="F28" s="1"/>
      <c r="G28" s="1"/>
      <c r="H28" s="1"/>
      <c r="I28" s="1"/>
      <c r="J28" s="1"/>
      <c r="K28" s="1"/>
      <c r="L28" s="1"/>
      <c r="M28" s="1"/>
      <c r="N28" s="18"/>
    </row>
    <row r="29" spans="2:14" ht="15.75" customHeight="1" x14ac:dyDescent="0.25">
      <c r="B29" s="20"/>
      <c r="C29" s="7" t="s">
        <v>69</v>
      </c>
      <c r="D29" s="8"/>
      <c r="E29" s="12">
        <v>4.7879999999999997E-3</v>
      </c>
      <c r="F29" s="1"/>
      <c r="G29" s="1"/>
      <c r="H29" s="1"/>
      <c r="I29" s="1"/>
      <c r="J29" s="1"/>
      <c r="K29" s="1"/>
      <c r="L29" s="1"/>
      <c r="M29" s="1"/>
      <c r="N29" s="18"/>
    </row>
    <row r="30" spans="2:14" ht="15" customHeight="1" x14ac:dyDescent="0.25">
      <c r="B30" s="20"/>
      <c r="C30" s="5" t="s">
        <v>6</v>
      </c>
      <c r="D30" s="6"/>
      <c r="E30" s="11">
        <v>1.1180000000000001E-3</v>
      </c>
      <c r="F30" s="1"/>
      <c r="G30" s="1"/>
      <c r="H30" s="1"/>
      <c r="I30" s="1"/>
      <c r="J30" s="1"/>
      <c r="K30" s="1"/>
      <c r="L30" s="1"/>
      <c r="M30" s="1"/>
      <c r="N30" s="18"/>
    </row>
    <row r="31" spans="2:14" ht="15.75" customHeight="1" x14ac:dyDescent="0.25">
      <c r="B31" s="20"/>
      <c r="C31" s="7" t="s">
        <v>7</v>
      </c>
      <c r="D31" s="8"/>
      <c r="E31" s="12">
        <v>1.1180000000000001E-3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7" t="s">
        <v>8</v>
      </c>
      <c r="D33" s="8"/>
      <c r="E33" s="12">
        <v>1.3103999999999999E-2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9</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30" t="s">
        <v>235</v>
      </c>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 customHeight="1" thickBot="1" x14ac:dyDescent="0.3">
      <c r="B45" s="43" t="s">
        <v>267</v>
      </c>
      <c r="C45" s="44"/>
      <c r="D45" s="44"/>
      <c r="E45" s="44"/>
      <c r="F45" s="44"/>
      <c r="G45" s="44"/>
      <c r="H45" s="44"/>
      <c r="I45" s="44"/>
      <c r="J45" s="44"/>
      <c r="K45" s="44"/>
      <c r="L45" s="44"/>
      <c r="M45" s="44"/>
      <c r="N45" s="4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5AED-30DD-4D8A-9110-3BE8B8DB8AC1}">
  <dimension ref="B1:N9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255</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17</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18</v>
      </c>
      <c r="D8" s="6" t="s">
        <v>19</v>
      </c>
      <c r="E8" s="11">
        <v>4.1930000000000002E-2</v>
      </c>
      <c r="F8" s="1"/>
      <c r="G8" s="24" t="s">
        <v>13</v>
      </c>
      <c r="H8" s="25">
        <v>1</v>
      </c>
      <c r="I8" s="1"/>
      <c r="J8" s="24" t="s">
        <v>10</v>
      </c>
      <c r="K8" s="24" t="s">
        <v>4</v>
      </c>
      <c r="L8" s="1"/>
      <c r="M8" s="1"/>
      <c r="N8" s="18"/>
    </row>
    <row r="9" spans="2:14" ht="15" customHeight="1" x14ac:dyDescent="0.25">
      <c r="B9" s="20"/>
      <c r="C9" s="5" t="s">
        <v>20</v>
      </c>
      <c r="D9" s="6" t="s">
        <v>19</v>
      </c>
      <c r="E9" s="11">
        <v>2.3859000000000002E-2</v>
      </c>
      <c r="F9" s="1"/>
      <c r="G9" s="1"/>
      <c r="H9" s="1"/>
      <c r="I9" s="1"/>
      <c r="J9" s="24" t="s">
        <v>8</v>
      </c>
      <c r="K9" s="28">
        <v>1.5462E-2</v>
      </c>
      <c r="L9" s="1"/>
      <c r="M9" s="1"/>
      <c r="N9" s="18"/>
    </row>
    <row r="10" spans="2:14" ht="15" customHeight="1" x14ac:dyDescent="0.25">
      <c r="B10" s="20"/>
      <c r="C10" s="5" t="s">
        <v>21</v>
      </c>
      <c r="D10" s="6" t="s">
        <v>19</v>
      </c>
      <c r="E10" s="11">
        <v>2.2034000000000002E-2</v>
      </c>
      <c r="F10" s="1"/>
      <c r="G10" s="1"/>
      <c r="H10" s="1"/>
      <c r="I10" s="1"/>
      <c r="J10" s="24" t="s">
        <v>11</v>
      </c>
      <c r="K10" s="28">
        <v>1.1133000000000001E-2</v>
      </c>
      <c r="L10" s="1"/>
      <c r="M10" s="1"/>
      <c r="N10" s="18"/>
    </row>
    <row r="11" spans="2:14" ht="15" customHeight="1" x14ac:dyDescent="0.25">
      <c r="B11" s="20"/>
      <c r="C11" s="5" t="s">
        <v>22</v>
      </c>
      <c r="D11" s="6" t="s">
        <v>19</v>
      </c>
      <c r="E11" s="11">
        <v>1.3644E-2</v>
      </c>
      <c r="F11" s="1"/>
      <c r="G11" s="1"/>
      <c r="H11" s="1"/>
      <c r="I11" s="1"/>
      <c r="J11" s="24" t="s">
        <v>54</v>
      </c>
      <c r="K11" s="28">
        <v>0.137545</v>
      </c>
      <c r="L11" s="1"/>
      <c r="M11" s="1"/>
      <c r="N11" s="18"/>
    </row>
    <row r="12" spans="2:14" ht="15" customHeight="1" x14ac:dyDescent="0.25">
      <c r="B12" s="20"/>
      <c r="C12" s="5" t="s">
        <v>23</v>
      </c>
      <c r="D12" s="6" t="s">
        <v>19</v>
      </c>
      <c r="E12" s="11">
        <v>1.009E-2</v>
      </c>
      <c r="F12" s="1"/>
      <c r="G12" s="1"/>
      <c r="H12" s="1"/>
      <c r="I12" s="1"/>
      <c r="J12" s="24" t="s">
        <v>55</v>
      </c>
      <c r="K12" s="28">
        <v>0.62480599999999997</v>
      </c>
      <c r="L12" s="1"/>
      <c r="M12" s="1"/>
      <c r="N12" s="18"/>
    </row>
    <row r="13" spans="2:14" ht="15" customHeight="1" x14ac:dyDescent="0.25">
      <c r="B13" s="20"/>
      <c r="C13" s="5" t="s">
        <v>24</v>
      </c>
      <c r="D13" s="6" t="s">
        <v>19</v>
      </c>
      <c r="E13" s="11">
        <v>8.7170000000000008E-3</v>
      </c>
      <c r="F13" s="1"/>
      <c r="G13" s="1"/>
      <c r="H13" s="1"/>
      <c r="I13" s="1"/>
      <c r="J13" s="24" t="s">
        <v>56</v>
      </c>
      <c r="K13" s="28">
        <v>2.4421999999999999E-2</v>
      </c>
      <c r="L13" s="1"/>
      <c r="M13" s="1"/>
      <c r="N13" s="18"/>
    </row>
    <row r="14" spans="2:14" ht="15" customHeight="1" x14ac:dyDescent="0.25">
      <c r="B14" s="20"/>
      <c r="C14" s="5" t="s">
        <v>25</v>
      </c>
      <c r="D14" s="6" t="s">
        <v>19</v>
      </c>
      <c r="E14" s="11">
        <v>6.777E-3</v>
      </c>
      <c r="F14" s="1"/>
      <c r="G14" s="1"/>
      <c r="H14" s="1"/>
      <c r="I14" s="1"/>
      <c r="J14" s="24" t="s">
        <v>57</v>
      </c>
      <c r="K14" s="28">
        <v>0.132773</v>
      </c>
      <c r="L14" s="1"/>
      <c r="M14" s="1"/>
      <c r="N14" s="18"/>
    </row>
    <row r="15" spans="2:14" ht="15" customHeight="1" x14ac:dyDescent="0.25">
      <c r="B15" s="20"/>
      <c r="C15" s="5" t="s">
        <v>26</v>
      </c>
      <c r="D15" s="6" t="s">
        <v>19</v>
      </c>
      <c r="E15" s="11">
        <v>5.2469999999999999E-3</v>
      </c>
      <c r="F15" s="1"/>
      <c r="G15" s="1"/>
      <c r="H15" s="1"/>
      <c r="I15" s="1"/>
      <c r="J15" s="24" t="s">
        <v>58</v>
      </c>
      <c r="K15" s="28">
        <v>5.2810999999999997E-2</v>
      </c>
      <c r="L15" s="1"/>
      <c r="M15" s="1"/>
      <c r="N15" s="18"/>
    </row>
    <row r="16" spans="2:14" ht="15" customHeight="1" x14ac:dyDescent="0.25">
      <c r="B16" s="20"/>
      <c r="C16" s="5" t="s">
        <v>27</v>
      </c>
      <c r="D16" s="6" t="s">
        <v>19</v>
      </c>
      <c r="E16" s="11">
        <v>5.2469999999999999E-3</v>
      </c>
      <c r="F16" s="1"/>
      <c r="G16" s="1"/>
      <c r="H16" s="1"/>
      <c r="I16" s="1"/>
      <c r="J16" s="24" t="s">
        <v>59</v>
      </c>
      <c r="K16" s="28">
        <v>1.0480000000000001E-3</v>
      </c>
      <c r="L16" s="1"/>
      <c r="M16" s="1"/>
      <c r="N16" s="18"/>
    </row>
    <row r="17" spans="2:14" ht="15.75" customHeight="1" x14ac:dyDescent="0.25">
      <c r="B17" s="20"/>
      <c r="C17" s="7" t="s">
        <v>28</v>
      </c>
      <c r="D17" s="8"/>
      <c r="E17" s="12">
        <v>0.137545</v>
      </c>
      <c r="F17" s="1"/>
      <c r="G17" s="1"/>
      <c r="H17" s="1"/>
      <c r="I17" s="1"/>
      <c r="J17" s="1"/>
      <c r="K17" s="1"/>
      <c r="L17" s="1"/>
      <c r="M17" s="1"/>
      <c r="N17" s="18"/>
    </row>
    <row r="18" spans="2:14" ht="15" customHeight="1" x14ac:dyDescent="0.25">
      <c r="B18" s="20"/>
      <c r="C18" s="5" t="s">
        <v>20</v>
      </c>
      <c r="D18" s="6" t="s">
        <v>19</v>
      </c>
      <c r="E18" s="11">
        <v>1.3944E-2</v>
      </c>
      <c r="F18" s="1"/>
      <c r="G18" s="1"/>
      <c r="H18" s="1"/>
      <c r="I18" s="1"/>
      <c r="J18" s="1"/>
      <c r="K18" s="1"/>
      <c r="L18" s="1"/>
      <c r="M18" s="1"/>
      <c r="N18" s="18"/>
    </row>
    <row r="19" spans="2:14" ht="15" customHeight="1" x14ac:dyDescent="0.25">
      <c r="B19" s="20"/>
      <c r="C19" s="5" t="s">
        <v>29</v>
      </c>
      <c r="D19" s="6" t="s">
        <v>19</v>
      </c>
      <c r="E19" s="11">
        <v>1.0477999999999999E-2</v>
      </c>
      <c r="F19" s="1"/>
      <c r="G19" s="1"/>
      <c r="H19" s="1"/>
      <c r="I19" s="1"/>
      <c r="J19" s="1"/>
      <c r="K19" s="1"/>
      <c r="L19" s="1"/>
      <c r="M19" s="1"/>
      <c r="N19" s="18"/>
    </row>
    <row r="20" spans="2:14" ht="15.75" customHeight="1" x14ac:dyDescent="0.25">
      <c r="B20" s="20"/>
      <c r="C20" s="7" t="s">
        <v>30</v>
      </c>
      <c r="D20" s="8"/>
      <c r="E20" s="12">
        <v>2.4421999999999999E-2</v>
      </c>
      <c r="F20" s="1"/>
      <c r="G20" s="1"/>
      <c r="H20" s="1"/>
      <c r="I20" s="1"/>
      <c r="J20" s="1"/>
      <c r="K20" s="1"/>
      <c r="L20" s="1"/>
      <c r="M20" s="1"/>
      <c r="N20" s="18"/>
    </row>
    <row r="21" spans="2:14" ht="15" customHeight="1" x14ac:dyDescent="0.25">
      <c r="B21" s="20"/>
      <c r="C21" s="5" t="s">
        <v>31</v>
      </c>
      <c r="D21" s="6" t="s">
        <v>32</v>
      </c>
      <c r="E21" s="11">
        <v>0.112356</v>
      </c>
      <c r="F21" s="1"/>
      <c r="G21" s="1"/>
      <c r="H21" s="1"/>
      <c r="I21" s="1"/>
      <c r="J21" s="1"/>
      <c r="K21" s="1"/>
      <c r="L21" s="1"/>
      <c r="M21" s="1"/>
      <c r="N21" s="18"/>
    </row>
    <row r="22" spans="2:14" ht="15" customHeight="1" x14ac:dyDescent="0.25">
      <c r="B22" s="20"/>
      <c r="C22" s="5" t="s">
        <v>33</v>
      </c>
      <c r="D22" s="6" t="s">
        <v>32</v>
      </c>
      <c r="E22" s="11">
        <v>9.7785999999999998E-2</v>
      </c>
      <c r="F22" s="1"/>
      <c r="G22" s="1"/>
      <c r="H22" s="1"/>
      <c r="I22" s="1"/>
      <c r="J22" s="1"/>
      <c r="K22" s="1"/>
      <c r="L22" s="1"/>
      <c r="M22" s="1"/>
      <c r="N22" s="18"/>
    </row>
    <row r="23" spans="2:14" ht="15" customHeight="1" x14ac:dyDescent="0.25">
      <c r="B23" s="20"/>
      <c r="C23" s="5" t="s">
        <v>24</v>
      </c>
      <c r="D23" s="6" t="s">
        <v>32</v>
      </c>
      <c r="E23" s="11">
        <v>9.7012000000000001E-2</v>
      </c>
      <c r="F23" s="1"/>
      <c r="G23" s="1"/>
      <c r="H23" s="1"/>
      <c r="I23" s="1"/>
      <c r="J23" s="1"/>
      <c r="K23" s="1"/>
      <c r="L23" s="1"/>
      <c r="M23" s="1"/>
      <c r="N23" s="18"/>
    </row>
    <row r="24" spans="2:14" ht="15" customHeight="1" x14ac:dyDescent="0.25">
      <c r="B24" s="20"/>
      <c r="C24" s="5" t="s">
        <v>34</v>
      </c>
      <c r="D24" s="6" t="s">
        <v>32</v>
      </c>
      <c r="E24" s="11">
        <v>6.7915000000000003E-2</v>
      </c>
      <c r="F24" s="1"/>
      <c r="G24" s="51" t="s">
        <v>15</v>
      </c>
      <c r="H24" s="52"/>
      <c r="I24" s="52"/>
      <c r="J24" s="52"/>
      <c r="K24" s="52"/>
      <c r="L24" s="42">
        <v>2.3544693507524386</v>
      </c>
      <c r="M24" s="26"/>
      <c r="N24" s="27"/>
    </row>
    <row r="25" spans="2:14" ht="15" customHeight="1" x14ac:dyDescent="0.25">
      <c r="B25" s="20"/>
      <c r="C25" s="5" t="s">
        <v>35</v>
      </c>
      <c r="D25" s="6" t="s">
        <v>32</v>
      </c>
      <c r="E25" s="11">
        <v>6.6188999999999998E-2</v>
      </c>
      <c r="F25" s="1"/>
      <c r="G25" s="1"/>
      <c r="H25" s="1"/>
      <c r="I25" s="1"/>
      <c r="J25" s="1"/>
      <c r="K25" s="1"/>
      <c r="L25" s="1"/>
      <c r="M25" s="1"/>
      <c r="N25" s="18"/>
    </row>
    <row r="26" spans="2:14" ht="15" customHeight="1" x14ac:dyDescent="0.25">
      <c r="B26" s="20"/>
      <c r="C26" s="5" t="s">
        <v>36</v>
      </c>
      <c r="D26" s="6" t="s">
        <v>32</v>
      </c>
      <c r="E26" s="11">
        <v>6.3814999999999997E-2</v>
      </c>
      <c r="F26" s="1"/>
      <c r="G26" s="51" t="s">
        <v>16</v>
      </c>
      <c r="H26" s="52"/>
      <c r="I26" s="52"/>
      <c r="J26" s="52"/>
      <c r="K26" s="52"/>
      <c r="L26" s="52"/>
      <c r="M26" s="52"/>
      <c r="N26" s="53"/>
    </row>
    <row r="27" spans="2:14" ht="15" customHeight="1" x14ac:dyDescent="0.25">
      <c r="B27" s="20"/>
      <c r="C27" s="5" t="s">
        <v>37</v>
      </c>
      <c r="D27" s="6" t="s">
        <v>32</v>
      </c>
      <c r="E27" s="11">
        <v>2.5544000000000001E-2</v>
      </c>
      <c r="F27" s="1"/>
      <c r="G27" s="1"/>
      <c r="H27" s="1"/>
      <c r="I27" s="1"/>
      <c r="J27" s="1"/>
      <c r="K27" s="1"/>
      <c r="L27" s="1"/>
      <c r="M27" s="1"/>
      <c r="N27" s="18"/>
    </row>
    <row r="28" spans="2:14" ht="15" customHeight="1" x14ac:dyDescent="0.25">
      <c r="B28" s="20"/>
      <c r="C28" s="5" t="s">
        <v>21</v>
      </c>
      <c r="D28" s="6" t="s">
        <v>32</v>
      </c>
      <c r="E28" s="11">
        <v>2.4433E-2</v>
      </c>
      <c r="F28" s="1"/>
      <c r="G28" s="1"/>
      <c r="H28" s="1"/>
      <c r="I28" s="1"/>
      <c r="J28" s="1"/>
      <c r="K28" s="1"/>
      <c r="L28" s="1"/>
      <c r="M28" s="1"/>
      <c r="N28" s="18"/>
    </row>
    <row r="29" spans="2:14" ht="15" customHeight="1" x14ac:dyDescent="0.25">
      <c r="B29" s="20"/>
      <c r="C29" s="5" t="s">
        <v>38</v>
      </c>
      <c r="D29" s="6" t="s">
        <v>32</v>
      </c>
      <c r="E29" s="11">
        <v>1.3893000000000001E-2</v>
      </c>
      <c r="F29" s="1"/>
      <c r="G29" s="1"/>
      <c r="H29" s="1"/>
      <c r="I29" s="1"/>
      <c r="J29" s="1"/>
      <c r="K29" s="1"/>
      <c r="L29" s="1"/>
      <c r="M29" s="1"/>
      <c r="N29" s="18"/>
    </row>
    <row r="30" spans="2:14" ht="15" customHeight="1" x14ac:dyDescent="0.25">
      <c r="B30" s="20"/>
      <c r="C30" s="5" t="s">
        <v>39</v>
      </c>
      <c r="D30" s="6" t="s">
        <v>32</v>
      </c>
      <c r="E30" s="11">
        <v>9.2899999999999996E-3</v>
      </c>
      <c r="F30" s="1"/>
      <c r="G30" s="1"/>
      <c r="H30" s="1"/>
      <c r="I30" s="1"/>
      <c r="J30" s="1"/>
      <c r="K30" s="1"/>
      <c r="L30" s="1"/>
      <c r="M30" s="1"/>
      <c r="N30" s="18"/>
    </row>
    <row r="31" spans="2:14" ht="15" customHeight="1" x14ac:dyDescent="0.25">
      <c r="B31" s="20"/>
      <c r="C31" s="5" t="s">
        <v>20</v>
      </c>
      <c r="D31" s="6" t="s">
        <v>32</v>
      </c>
      <c r="E31" s="11">
        <v>9.1889999999999993E-3</v>
      </c>
      <c r="F31" s="1"/>
      <c r="G31" s="1"/>
      <c r="H31" s="1"/>
      <c r="I31" s="1"/>
      <c r="J31" s="1"/>
      <c r="K31" s="1"/>
      <c r="L31" s="1"/>
      <c r="M31" s="1"/>
      <c r="N31" s="18"/>
    </row>
    <row r="32" spans="2:14" ht="15" customHeight="1" x14ac:dyDescent="0.25">
      <c r="B32" s="20"/>
      <c r="C32" s="5" t="s">
        <v>40</v>
      </c>
      <c r="D32" s="6" t="s">
        <v>32</v>
      </c>
      <c r="E32" s="11">
        <v>9.1079999999999998E-3</v>
      </c>
      <c r="F32" s="1"/>
      <c r="G32" s="1"/>
      <c r="H32" s="1"/>
      <c r="I32" s="1"/>
      <c r="J32" s="1"/>
      <c r="K32" s="1"/>
      <c r="L32" s="1"/>
      <c r="M32" s="1"/>
      <c r="N32" s="18"/>
    </row>
    <row r="33" spans="2:14" ht="15" customHeight="1" x14ac:dyDescent="0.25">
      <c r="B33" s="20"/>
      <c r="C33" s="5" t="s">
        <v>25</v>
      </c>
      <c r="D33" s="6" t="s">
        <v>32</v>
      </c>
      <c r="E33" s="11">
        <v>7.8770000000000003E-3</v>
      </c>
      <c r="F33" s="1"/>
      <c r="G33" s="1"/>
      <c r="H33" s="1"/>
      <c r="I33" s="1"/>
      <c r="J33" s="1"/>
      <c r="K33" s="1"/>
      <c r="L33" s="1"/>
      <c r="M33" s="1"/>
      <c r="N33" s="18"/>
    </row>
    <row r="34" spans="2:14" ht="15" customHeight="1" x14ac:dyDescent="0.25">
      <c r="B34" s="20"/>
      <c r="C34" s="5" t="s">
        <v>41</v>
      </c>
      <c r="D34" s="6" t="s">
        <v>32</v>
      </c>
      <c r="E34" s="11">
        <v>7.3229999999999996E-3</v>
      </c>
      <c r="F34" s="1"/>
      <c r="G34" s="1"/>
      <c r="H34" s="1"/>
      <c r="I34" s="1"/>
      <c r="J34" s="1"/>
      <c r="K34" s="1"/>
      <c r="L34" s="1"/>
      <c r="M34" s="1"/>
      <c r="N34" s="18"/>
    </row>
    <row r="35" spans="2:14" ht="15" customHeight="1" x14ac:dyDescent="0.25">
      <c r="B35" s="20"/>
      <c r="C35" s="5" t="s">
        <v>29</v>
      </c>
      <c r="D35" s="6" t="s">
        <v>32</v>
      </c>
      <c r="E35" s="11">
        <v>4.2129999999999997E-3</v>
      </c>
      <c r="F35" s="1"/>
      <c r="G35" s="1"/>
      <c r="H35" s="1"/>
      <c r="I35" s="1"/>
      <c r="J35" s="1"/>
      <c r="K35" s="1"/>
      <c r="L35" s="1"/>
      <c r="M35" s="1"/>
      <c r="N35" s="18"/>
    </row>
    <row r="36" spans="2:14" ht="15" customHeight="1" x14ac:dyDescent="0.25">
      <c r="B36" s="20"/>
      <c r="C36" s="5" t="s">
        <v>42</v>
      </c>
      <c r="D36" s="6" t="s">
        <v>32</v>
      </c>
      <c r="E36" s="11">
        <v>3.4009999999999999E-3</v>
      </c>
      <c r="F36" s="1"/>
      <c r="G36" s="1"/>
      <c r="H36" s="1"/>
      <c r="I36" s="1"/>
      <c r="J36" s="1"/>
      <c r="K36" s="1"/>
      <c r="L36" s="1"/>
      <c r="M36" s="1"/>
      <c r="N36" s="18"/>
    </row>
    <row r="37" spans="2:14" ht="15" customHeight="1" x14ac:dyDescent="0.25">
      <c r="B37" s="20"/>
      <c r="C37" s="5" t="s">
        <v>43</v>
      </c>
      <c r="D37" s="6" t="s">
        <v>32</v>
      </c>
      <c r="E37" s="11">
        <v>2.4199999999999998E-3</v>
      </c>
      <c r="F37" s="1"/>
      <c r="G37" s="1"/>
      <c r="H37" s="1"/>
      <c r="I37" s="1"/>
      <c r="J37" s="1"/>
      <c r="K37" s="1"/>
      <c r="L37" s="1"/>
      <c r="M37" s="1"/>
      <c r="N37" s="18"/>
    </row>
    <row r="38" spans="2:14" ht="15" customHeight="1" x14ac:dyDescent="0.25">
      <c r="B38" s="20"/>
      <c r="C38" s="5" t="s">
        <v>44</v>
      </c>
      <c r="D38" s="6" t="s">
        <v>32</v>
      </c>
      <c r="E38" s="11">
        <v>1.9919999999999998E-3</v>
      </c>
      <c r="F38" s="1"/>
      <c r="G38" s="1"/>
      <c r="H38" s="1"/>
      <c r="I38" s="1"/>
      <c r="J38" s="1"/>
      <c r="K38" s="1"/>
      <c r="L38" s="1"/>
      <c r="M38" s="1"/>
      <c r="N38" s="18"/>
    </row>
    <row r="39" spans="2:14" ht="15" customHeight="1" x14ac:dyDescent="0.25">
      <c r="B39" s="20"/>
      <c r="C39" s="5" t="s">
        <v>45</v>
      </c>
      <c r="D39" s="6" t="s">
        <v>32</v>
      </c>
      <c r="E39" s="11">
        <v>1.0499999999999999E-3</v>
      </c>
      <c r="F39" s="1"/>
      <c r="G39" s="1"/>
      <c r="H39" s="1"/>
      <c r="I39" s="1"/>
      <c r="J39" s="1"/>
      <c r="K39" s="1"/>
      <c r="L39" s="1"/>
      <c r="M39" s="1"/>
      <c r="N39" s="18"/>
    </row>
    <row r="40" spans="2:14" ht="15.75" customHeight="1" x14ac:dyDescent="0.25">
      <c r="B40" s="20"/>
      <c r="C40" s="7" t="s">
        <v>46</v>
      </c>
      <c r="D40" s="8"/>
      <c r="E40" s="12">
        <v>0.62480599999999997</v>
      </c>
      <c r="F40" s="1"/>
      <c r="G40" s="1"/>
      <c r="H40" s="1"/>
      <c r="I40" s="1"/>
      <c r="J40" s="1"/>
      <c r="K40" s="1"/>
      <c r="L40" s="1"/>
      <c r="M40" s="1"/>
      <c r="N40" s="18"/>
    </row>
    <row r="41" spans="2:14" ht="15" customHeight="1" x14ac:dyDescent="0.25">
      <c r="B41" s="20"/>
      <c r="C41" s="5" t="s">
        <v>47</v>
      </c>
      <c r="D41" s="6" t="s">
        <v>48</v>
      </c>
      <c r="E41" s="11">
        <v>0.125107</v>
      </c>
      <c r="F41" s="1"/>
      <c r="G41" s="1"/>
      <c r="H41" s="1"/>
      <c r="I41" s="1"/>
      <c r="J41" s="1"/>
      <c r="K41" s="1"/>
      <c r="L41" s="1"/>
      <c r="M41" s="1"/>
      <c r="N41" s="18"/>
    </row>
    <row r="42" spans="2:14" ht="15" customHeight="1" x14ac:dyDescent="0.25">
      <c r="B42" s="20"/>
      <c r="C42" s="5" t="s">
        <v>49</v>
      </c>
      <c r="D42" s="6" t="s">
        <v>48</v>
      </c>
      <c r="E42" s="11">
        <v>7.6660000000000001E-3</v>
      </c>
      <c r="F42" s="1"/>
      <c r="G42" s="1"/>
      <c r="H42" s="1"/>
      <c r="I42" s="1"/>
      <c r="J42" s="1"/>
      <c r="K42" s="1"/>
      <c r="L42" s="1"/>
      <c r="M42" s="1"/>
      <c r="N42" s="18"/>
    </row>
    <row r="43" spans="2:14" ht="15.75" customHeight="1" x14ac:dyDescent="0.25">
      <c r="B43" s="20"/>
      <c r="C43" s="7" t="s">
        <v>50</v>
      </c>
      <c r="D43" s="8"/>
      <c r="E43" s="12">
        <v>0.132773</v>
      </c>
      <c r="F43" s="1"/>
      <c r="G43" s="1"/>
      <c r="H43" s="1"/>
      <c r="I43" s="1"/>
      <c r="J43" s="1"/>
      <c r="K43" s="1"/>
      <c r="L43" s="1"/>
      <c r="M43" s="1"/>
      <c r="N43" s="18"/>
    </row>
    <row r="44" spans="2:14" s="29" customFormat="1" ht="15" customHeight="1" x14ac:dyDescent="0.25">
      <c r="B44" s="35"/>
      <c r="C44" s="31" t="s">
        <v>176</v>
      </c>
      <c r="D44" s="32" t="s">
        <v>48</v>
      </c>
      <c r="E44" s="33">
        <v>5.0660000000000002E-3</v>
      </c>
      <c r="F44" s="30"/>
      <c r="G44" s="30"/>
      <c r="H44" s="30"/>
      <c r="I44" s="30"/>
      <c r="J44" s="30"/>
      <c r="K44" s="30"/>
      <c r="L44" s="30"/>
      <c r="M44" s="30"/>
      <c r="N44" s="34"/>
    </row>
    <row r="45" spans="2:14" s="29" customFormat="1" ht="15" customHeight="1" x14ac:dyDescent="0.25">
      <c r="B45" s="35"/>
      <c r="C45" s="31" t="s">
        <v>168</v>
      </c>
      <c r="D45" s="32" t="s">
        <v>48</v>
      </c>
      <c r="E45" s="33">
        <v>4.9890000000000004E-3</v>
      </c>
      <c r="F45" s="30"/>
      <c r="G45" s="30"/>
      <c r="H45" s="30"/>
      <c r="I45" s="30"/>
      <c r="J45" s="30"/>
      <c r="K45" s="30"/>
      <c r="L45" s="30"/>
      <c r="M45" s="30"/>
      <c r="N45" s="34"/>
    </row>
    <row r="46" spans="2:14" s="29" customFormat="1" ht="15" customHeight="1" x14ac:dyDescent="0.25">
      <c r="B46" s="35"/>
      <c r="C46" s="31" t="s">
        <v>164</v>
      </c>
      <c r="D46" s="32" t="s">
        <v>48</v>
      </c>
      <c r="E46" s="33">
        <v>4.9870000000000001E-3</v>
      </c>
      <c r="F46" s="30"/>
      <c r="G46" s="30"/>
      <c r="H46" s="30"/>
      <c r="I46" s="30"/>
      <c r="J46" s="30"/>
      <c r="K46" s="30"/>
      <c r="L46" s="30"/>
      <c r="M46" s="30"/>
      <c r="N46" s="34"/>
    </row>
    <row r="47" spans="2:14" s="29" customFormat="1" ht="15" customHeight="1" x14ac:dyDescent="0.25">
      <c r="B47" s="35"/>
      <c r="C47" s="31" t="s">
        <v>173</v>
      </c>
      <c r="D47" s="32" t="s">
        <v>48</v>
      </c>
      <c r="E47" s="33">
        <v>4.9899999999999996E-3</v>
      </c>
      <c r="F47" s="30"/>
      <c r="G47" s="30"/>
      <c r="H47" s="30"/>
      <c r="I47" s="30"/>
      <c r="J47" s="30"/>
      <c r="K47" s="30"/>
      <c r="L47" s="30"/>
      <c r="M47" s="30"/>
      <c r="N47" s="34"/>
    </row>
    <row r="48" spans="2:14" s="29" customFormat="1" ht="15" customHeight="1" x14ac:dyDescent="0.25">
      <c r="B48" s="35"/>
      <c r="C48" s="31" t="s">
        <v>170</v>
      </c>
      <c r="D48" s="32" t="s">
        <v>48</v>
      </c>
      <c r="E48" s="33">
        <v>3.8920000000000001E-3</v>
      </c>
      <c r="F48" s="30"/>
      <c r="G48" s="30"/>
      <c r="H48" s="30"/>
      <c r="I48" s="30"/>
      <c r="J48" s="30"/>
      <c r="K48" s="30"/>
      <c r="L48" s="30"/>
      <c r="M48" s="30"/>
      <c r="N48" s="34"/>
    </row>
    <row r="49" spans="2:14" s="29" customFormat="1" ht="15" customHeight="1" x14ac:dyDescent="0.25">
      <c r="B49" s="35"/>
      <c r="C49" s="31" t="s">
        <v>165</v>
      </c>
      <c r="D49" s="32" t="s">
        <v>48</v>
      </c>
      <c r="E49" s="33">
        <v>3.5609999999999999E-3</v>
      </c>
      <c r="F49" s="30"/>
      <c r="G49" s="30"/>
      <c r="H49" s="30"/>
      <c r="I49" s="30"/>
      <c r="J49" s="30"/>
      <c r="K49" s="30"/>
      <c r="L49" s="30"/>
      <c r="M49" s="30"/>
      <c r="N49" s="34"/>
    </row>
    <row r="50" spans="2:14" s="29" customFormat="1" ht="15" customHeight="1" x14ac:dyDescent="0.25">
      <c r="B50" s="35"/>
      <c r="C50" s="31" t="s">
        <v>169</v>
      </c>
      <c r="D50" s="32" t="s">
        <v>48</v>
      </c>
      <c r="E50" s="33">
        <v>3.558E-3</v>
      </c>
      <c r="F50" s="30"/>
      <c r="G50" s="30"/>
      <c r="H50" s="30"/>
      <c r="I50" s="30"/>
      <c r="J50" s="30"/>
      <c r="K50" s="30"/>
      <c r="L50" s="30"/>
      <c r="M50" s="30"/>
      <c r="N50" s="34"/>
    </row>
    <row r="51" spans="2:14" s="29" customFormat="1" ht="15" customHeight="1" x14ac:dyDescent="0.25">
      <c r="B51" s="35"/>
      <c r="C51" s="31" t="s">
        <v>160</v>
      </c>
      <c r="D51" s="32" t="s">
        <v>48</v>
      </c>
      <c r="E51" s="33">
        <v>3.5379999999999999E-3</v>
      </c>
      <c r="F51" s="30"/>
      <c r="G51" s="30"/>
      <c r="H51" s="30"/>
      <c r="I51" s="30"/>
      <c r="J51" s="30"/>
      <c r="K51" s="30"/>
      <c r="L51" s="30"/>
      <c r="M51" s="30"/>
      <c r="N51" s="34"/>
    </row>
    <row r="52" spans="2:14" s="29" customFormat="1" ht="15" customHeight="1" x14ac:dyDescent="0.25">
      <c r="B52" s="35"/>
      <c r="C52" s="31" t="s">
        <v>177</v>
      </c>
      <c r="D52" s="32" t="s">
        <v>48</v>
      </c>
      <c r="E52" s="33">
        <v>3.4970000000000001E-3</v>
      </c>
      <c r="F52" s="30"/>
      <c r="G52" s="30"/>
      <c r="H52" s="30"/>
      <c r="I52" s="30"/>
      <c r="J52" s="30"/>
      <c r="K52" s="30"/>
      <c r="L52" s="30"/>
      <c r="M52" s="30"/>
      <c r="N52" s="34"/>
    </row>
    <row r="53" spans="2:14" s="29" customFormat="1" ht="15" customHeight="1" x14ac:dyDescent="0.25">
      <c r="B53" s="35"/>
      <c r="C53" s="31" t="s">
        <v>166</v>
      </c>
      <c r="D53" s="32" t="s">
        <v>48</v>
      </c>
      <c r="E53" s="33">
        <v>2.8570000000000002E-3</v>
      </c>
      <c r="F53" s="30"/>
      <c r="G53" s="30"/>
      <c r="H53" s="30"/>
      <c r="I53" s="30"/>
      <c r="J53" s="30"/>
      <c r="K53" s="30"/>
      <c r="L53" s="30"/>
      <c r="M53" s="30"/>
      <c r="N53" s="34"/>
    </row>
    <row r="54" spans="2:14" s="29" customFormat="1" ht="15" customHeight="1" x14ac:dyDescent="0.25">
      <c r="B54" s="35"/>
      <c r="C54" s="31" t="s">
        <v>174</v>
      </c>
      <c r="D54" s="32" t="s">
        <v>48</v>
      </c>
      <c r="E54" s="33">
        <v>2.0709999999999999E-3</v>
      </c>
      <c r="F54" s="30"/>
      <c r="G54" s="30"/>
      <c r="H54" s="30"/>
      <c r="I54" s="30"/>
      <c r="J54" s="30"/>
      <c r="K54" s="30"/>
      <c r="L54" s="30"/>
      <c r="M54" s="30"/>
      <c r="N54" s="34"/>
    </row>
    <row r="55" spans="2:14" s="29" customFormat="1" ht="15" customHeight="1" x14ac:dyDescent="0.25">
      <c r="B55" s="35"/>
      <c r="C55" s="31" t="s">
        <v>167</v>
      </c>
      <c r="D55" s="32" t="s">
        <v>48</v>
      </c>
      <c r="E55" s="33">
        <v>1.7949999999999999E-3</v>
      </c>
      <c r="F55" s="30"/>
      <c r="G55" s="30"/>
      <c r="H55" s="30"/>
      <c r="I55" s="30"/>
      <c r="J55" s="30"/>
      <c r="K55" s="30"/>
      <c r="L55" s="30"/>
      <c r="M55" s="30"/>
      <c r="N55" s="34"/>
    </row>
    <row r="56" spans="2:14" s="29" customFormat="1" ht="15" customHeight="1" x14ac:dyDescent="0.25">
      <c r="B56" s="35"/>
      <c r="C56" s="31" t="s">
        <v>162</v>
      </c>
      <c r="D56" s="32" t="s">
        <v>48</v>
      </c>
      <c r="E56" s="33">
        <v>1.774E-3</v>
      </c>
      <c r="F56" s="30"/>
      <c r="G56" s="30"/>
      <c r="H56" s="30"/>
      <c r="I56" s="30"/>
      <c r="J56" s="30"/>
      <c r="K56" s="30"/>
      <c r="L56" s="30"/>
      <c r="M56" s="30"/>
      <c r="N56" s="34"/>
    </row>
    <row r="57" spans="2:14" s="29" customFormat="1" ht="15" customHeight="1" x14ac:dyDescent="0.25">
      <c r="B57" s="35"/>
      <c r="C57" s="31" t="s">
        <v>161</v>
      </c>
      <c r="D57" s="32" t="s">
        <v>48</v>
      </c>
      <c r="E57" s="33">
        <v>1.768E-3</v>
      </c>
      <c r="F57" s="30"/>
      <c r="G57" s="30"/>
      <c r="H57" s="30"/>
      <c r="I57" s="30"/>
      <c r="J57" s="30"/>
      <c r="K57" s="30"/>
      <c r="L57" s="30"/>
      <c r="M57" s="30"/>
      <c r="N57" s="34"/>
    </row>
    <row r="58" spans="2:14" s="29" customFormat="1" ht="15" customHeight="1" x14ac:dyDescent="0.25">
      <c r="B58" s="35"/>
      <c r="C58" s="31" t="s">
        <v>163</v>
      </c>
      <c r="D58" s="32" t="s">
        <v>48</v>
      </c>
      <c r="E58" s="33">
        <v>1.4250000000000001E-3</v>
      </c>
      <c r="F58" s="30"/>
      <c r="G58" s="30"/>
      <c r="H58" s="30"/>
      <c r="I58" s="30"/>
      <c r="J58" s="30"/>
      <c r="K58" s="30"/>
      <c r="L58" s="30"/>
      <c r="M58" s="30"/>
      <c r="N58" s="34"/>
    </row>
    <row r="59" spans="2:14" s="29" customFormat="1" ht="15" customHeight="1" x14ac:dyDescent="0.25">
      <c r="B59" s="35"/>
      <c r="C59" s="31" t="s">
        <v>175</v>
      </c>
      <c r="D59" s="32" t="s">
        <v>48</v>
      </c>
      <c r="E59" s="33">
        <v>7.0299999999999996E-4</v>
      </c>
      <c r="F59" s="30"/>
      <c r="G59" s="30"/>
      <c r="H59" s="30"/>
      <c r="I59" s="30"/>
      <c r="J59" s="30"/>
      <c r="K59" s="30"/>
      <c r="L59" s="30"/>
      <c r="M59" s="30"/>
      <c r="N59" s="34"/>
    </row>
    <row r="60" spans="2:14" s="29" customFormat="1" ht="15" customHeight="1" x14ac:dyDescent="0.25">
      <c r="B60" s="35"/>
      <c r="C60" s="31" t="s">
        <v>139</v>
      </c>
      <c r="D60" s="32" t="s">
        <v>48</v>
      </c>
      <c r="E60" s="33">
        <v>6.9999999999999999E-4</v>
      </c>
      <c r="F60" s="30"/>
      <c r="G60" s="30"/>
      <c r="H60" s="30"/>
      <c r="I60" s="30"/>
      <c r="J60" s="30"/>
      <c r="K60" s="30"/>
      <c r="L60" s="30"/>
      <c r="M60" s="30"/>
      <c r="N60" s="34"/>
    </row>
    <row r="61" spans="2:14" s="29" customFormat="1" ht="15" customHeight="1" x14ac:dyDescent="0.25">
      <c r="B61" s="35"/>
      <c r="C61" s="31" t="s">
        <v>158</v>
      </c>
      <c r="D61" s="32" t="s">
        <v>48</v>
      </c>
      <c r="E61" s="33">
        <v>3.5100000000000002E-4</v>
      </c>
      <c r="F61" s="30"/>
      <c r="G61" s="30"/>
      <c r="H61" s="30"/>
      <c r="I61" s="30"/>
      <c r="J61" s="30"/>
      <c r="K61" s="30"/>
      <c r="L61" s="30"/>
      <c r="M61" s="30"/>
      <c r="N61" s="34"/>
    </row>
    <row r="62" spans="2:14" s="29" customFormat="1" ht="15" customHeight="1" x14ac:dyDescent="0.25">
      <c r="B62" s="35"/>
      <c r="C62" s="31" t="s">
        <v>159</v>
      </c>
      <c r="D62" s="32" t="s">
        <v>48</v>
      </c>
      <c r="E62" s="33">
        <v>3.5100000000000002E-4</v>
      </c>
      <c r="F62" s="30"/>
      <c r="G62" s="30"/>
      <c r="H62" s="30"/>
      <c r="I62" s="30"/>
      <c r="J62" s="30"/>
      <c r="K62" s="30"/>
      <c r="L62" s="30"/>
      <c r="M62" s="30"/>
      <c r="N62" s="34"/>
    </row>
    <row r="63" spans="2:14" s="29" customFormat="1" ht="15" customHeight="1" x14ac:dyDescent="0.25">
      <c r="B63" s="35"/>
      <c r="C63" s="31" t="s">
        <v>155</v>
      </c>
      <c r="D63" s="32" t="s">
        <v>48</v>
      </c>
      <c r="E63" s="33">
        <v>3.5100000000000002E-4</v>
      </c>
      <c r="F63" s="30"/>
      <c r="G63" s="30"/>
      <c r="H63" s="30"/>
      <c r="I63" s="30"/>
      <c r="J63" s="30"/>
      <c r="K63" s="30"/>
      <c r="L63" s="30"/>
      <c r="M63" s="30"/>
      <c r="N63" s="34"/>
    </row>
    <row r="64" spans="2:14" s="29" customFormat="1" ht="15" customHeight="1" x14ac:dyDescent="0.25">
      <c r="B64" s="35"/>
      <c r="C64" s="31" t="s">
        <v>157</v>
      </c>
      <c r="D64" s="32" t="s">
        <v>48</v>
      </c>
      <c r="E64" s="33">
        <v>3.5E-4</v>
      </c>
      <c r="F64" s="30"/>
      <c r="G64" s="30"/>
      <c r="H64" s="30"/>
      <c r="I64" s="30"/>
      <c r="J64" s="30"/>
      <c r="K64" s="30"/>
      <c r="L64" s="30"/>
      <c r="M64" s="30"/>
      <c r="N64" s="34"/>
    </row>
    <row r="65" spans="2:14" s="29" customFormat="1" ht="15" customHeight="1" x14ac:dyDescent="0.25">
      <c r="B65" s="35"/>
      <c r="C65" s="31" t="s">
        <v>172</v>
      </c>
      <c r="D65" s="32" t="s">
        <v>48</v>
      </c>
      <c r="E65" s="33">
        <v>1.54E-4</v>
      </c>
      <c r="F65" s="30"/>
      <c r="G65" s="30"/>
      <c r="H65" s="30"/>
      <c r="I65" s="30"/>
      <c r="J65" s="30"/>
      <c r="K65" s="30"/>
      <c r="L65" s="30"/>
      <c r="M65" s="30"/>
      <c r="N65" s="34"/>
    </row>
    <row r="66" spans="2:14" s="29" customFormat="1" ht="15" customHeight="1" x14ac:dyDescent="0.25">
      <c r="B66" s="35"/>
      <c r="C66" s="31" t="s">
        <v>171</v>
      </c>
      <c r="D66" s="32" t="s">
        <v>48</v>
      </c>
      <c r="E66" s="33">
        <v>8.2999999999999998E-5</v>
      </c>
      <c r="F66" s="30"/>
      <c r="G66" s="30"/>
      <c r="H66" s="30"/>
      <c r="I66" s="30"/>
      <c r="J66" s="30"/>
      <c r="K66" s="30"/>
      <c r="L66" s="30"/>
      <c r="M66" s="30"/>
      <c r="N66" s="34"/>
    </row>
    <row r="67" spans="2:14" ht="15.75" customHeight="1" x14ac:dyDescent="0.25">
      <c r="B67" s="20"/>
      <c r="C67" s="7" t="s">
        <v>51</v>
      </c>
      <c r="D67" s="8"/>
      <c r="E67" s="12">
        <v>5.2810999999999997E-2</v>
      </c>
      <c r="F67" s="1"/>
      <c r="G67" s="1"/>
      <c r="H67" s="1"/>
      <c r="I67" s="1"/>
      <c r="J67" s="1"/>
      <c r="K67" s="1"/>
      <c r="L67" s="1"/>
      <c r="M67" s="1"/>
      <c r="N67" s="18"/>
    </row>
    <row r="68" spans="2:14" ht="15" customHeight="1" x14ac:dyDescent="0.25">
      <c r="B68" s="20"/>
      <c r="C68" s="5" t="s">
        <v>52</v>
      </c>
      <c r="D68" s="6" t="s">
        <v>48</v>
      </c>
      <c r="E68" s="11">
        <v>1.0480000000000001E-3</v>
      </c>
      <c r="F68" s="1"/>
      <c r="G68" s="1"/>
      <c r="H68" s="1"/>
      <c r="I68" s="1"/>
      <c r="J68" s="1"/>
      <c r="K68" s="1"/>
      <c r="L68" s="1"/>
      <c r="M68" s="1"/>
      <c r="N68" s="18"/>
    </row>
    <row r="69" spans="2:14" ht="15.75" customHeight="1" x14ac:dyDescent="0.25">
      <c r="B69" s="20"/>
      <c r="C69" s="7" t="s">
        <v>53</v>
      </c>
      <c r="D69" s="8"/>
      <c r="E69" s="12">
        <v>1.0480000000000001E-3</v>
      </c>
      <c r="F69" s="1"/>
      <c r="G69" s="1"/>
      <c r="H69" s="1"/>
      <c r="I69" s="1"/>
      <c r="J69" s="1"/>
      <c r="K69" s="1"/>
      <c r="L69" s="1"/>
      <c r="M69" s="1"/>
      <c r="N69" s="18"/>
    </row>
    <row r="70" spans="2:14" ht="15" customHeight="1" x14ac:dyDescent="0.25">
      <c r="B70" s="20"/>
      <c r="C70" s="5" t="s">
        <v>6</v>
      </c>
      <c r="D70" s="6"/>
      <c r="E70" s="11">
        <v>1.1133000000000001E-2</v>
      </c>
      <c r="F70" s="1"/>
      <c r="G70" s="1"/>
      <c r="H70" s="1"/>
      <c r="I70" s="1"/>
      <c r="J70" s="1"/>
      <c r="K70" s="1"/>
      <c r="L70" s="1"/>
      <c r="M70" s="1"/>
      <c r="N70" s="18"/>
    </row>
    <row r="71" spans="2:14" ht="15.75" customHeight="1" x14ac:dyDescent="0.25">
      <c r="B71" s="20"/>
      <c r="C71" s="7" t="s">
        <v>7</v>
      </c>
      <c r="D71" s="8"/>
      <c r="E71" s="12">
        <v>1.1133000000000001E-2</v>
      </c>
      <c r="F71" s="1"/>
      <c r="G71" s="1"/>
      <c r="H71" s="1"/>
      <c r="I71" s="1"/>
      <c r="J71" s="1"/>
      <c r="K71" s="1"/>
      <c r="L71" s="1"/>
      <c r="M71" s="1"/>
      <c r="N71" s="18"/>
    </row>
    <row r="72" spans="2:14" ht="15" customHeight="1" x14ac:dyDescent="0.25">
      <c r="B72" s="20"/>
      <c r="C72" s="5"/>
      <c r="D72" s="6"/>
      <c r="E72" s="11"/>
      <c r="F72" s="1"/>
      <c r="G72" s="1"/>
      <c r="H72" s="1"/>
      <c r="I72" s="1"/>
      <c r="J72" s="1"/>
      <c r="K72" s="1"/>
      <c r="L72" s="1"/>
      <c r="M72" s="1"/>
      <c r="N72" s="18"/>
    </row>
    <row r="73" spans="2:14" ht="15.75" customHeight="1" x14ac:dyDescent="0.25">
      <c r="B73" s="20"/>
      <c r="C73" s="7" t="s">
        <v>8</v>
      </c>
      <c r="D73" s="8"/>
      <c r="E73" s="12">
        <v>1.5462E-2</v>
      </c>
      <c r="F73" s="1"/>
      <c r="G73" s="1"/>
      <c r="H73" s="1"/>
      <c r="I73" s="1"/>
      <c r="J73" s="1"/>
      <c r="K73" s="1"/>
      <c r="L73" s="1"/>
      <c r="M73" s="1"/>
      <c r="N73" s="18"/>
    </row>
    <row r="74" spans="2:14" ht="15" customHeight="1" x14ac:dyDescent="0.25">
      <c r="B74" s="20"/>
      <c r="C74" s="5"/>
      <c r="D74" s="6"/>
      <c r="E74" s="11"/>
      <c r="F74" s="1"/>
      <c r="G74" s="1"/>
      <c r="H74" s="1"/>
      <c r="I74" s="1"/>
      <c r="J74" s="1"/>
      <c r="K74" s="1"/>
      <c r="L74" s="1"/>
      <c r="M74" s="1"/>
      <c r="N74" s="18"/>
    </row>
    <row r="75" spans="2:14" ht="15" customHeight="1" x14ac:dyDescent="0.25">
      <c r="B75" s="20"/>
      <c r="C75" s="9" t="s">
        <v>9</v>
      </c>
      <c r="D75" s="10"/>
      <c r="E75" s="13">
        <v>1</v>
      </c>
      <c r="F75" s="1"/>
      <c r="G75" s="1"/>
      <c r="H75" s="1"/>
      <c r="I75" s="1"/>
      <c r="J75" s="1"/>
      <c r="K75" s="1"/>
      <c r="L75" s="1"/>
      <c r="M75" s="1"/>
      <c r="N75" s="18"/>
    </row>
    <row r="76" spans="2:14" ht="15" customHeight="1" x14ac:dyDescent="0.25">
      <c r="B76" s="20"/>
      <c r="C76" s="1"/>
      <c r="D76" s="1"/>
      <c r="E76" s="1"/>
      <c r="F76" s="1"/>
      <c r="G76" s="1"/>
      <c r="H76" s="1"/>
      <c r="I76" s="1"/>
      <c r="J76" s="1"/>
      <c r="K76" s="1"/>
      <c r="L76" s="1"/>
      <c r="M76" s="1"/>
      <c r="N76" s="18"/>
    </row>
    <row r="77" spans="2:14" ht="15" customHeight="1" thickBot="1" x14ac:dyDescent="0.3">
      <c r="B77" s="21"/>
      <c r="C77" s="22"/>
      <c r="D77" s="22"/>
      <c r="E77" s="22"/>
      <c r="F77" s="22"/>
      <c r="G77" s="22"/>
      <c r="H77" s="22"/>
      <c r="I77" s="22"/>
      <c r="J77" s="22"/>
      <c r="K77" s="22"/>
      <c r="L77" s="22"/>
      <c r="M77" s="22"/>
      <c r="N77" s="23"/>
    </row>
    <row r="78" spans="2:14" ht="15" customHeight="1" thickBot="1" x14ac:dyDescent="0.3"/>
    <row r="79" spans="2:14" ht="114.75" customHeight="1" thickBot="1" x14ac:dyDescent="0.3">
      <c r="B79" s="43" t="s">
        <v>267</v>
      </c>
      <c r="C79" s="44"/>
      <c r="D79" s="44"/>
      <c r="E79" s="44"/>
      <c r="F79" s="44"/>
      <c r="G79" s="44"/>
      <c r="H79" s="44"/>
      <c r="I79" s="44"/>
      <c r="J79" s="44"/>
      <c r="K79" s="44"/>
      <c r="L79" s="44"/>
      <c r="M79" s="44"/>
      <c r="N79" s="45"/>
    </row>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sheetData>
  <sortState ref="C44:E66">
    <sortCondition descending="1" ref="E44"/>
  </sortState>
  <mergeCells count="6">
    <mergeCell ref="B79:N79"/>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C8B3-3603-477B-971D-E8F29B57477D}">
  <dimension ref="B1:N9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254</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90</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24</v>
      </c>
      <c r="D8" s="6" t="s">
        <v>19</v>
      </c>
      <c r="E8" s="11">
        <v>2.3806000000000001E-2</v>
      </c>
      <c r="F8" s="1"/>
      <c r="G8" s="24" t="s">
        <v>13</v>
      </c>
      <c r="H8" s="25">
        <v>1</v>
      </c>
      <c r="I8" s="1"/>
      <c r="J8" s="24" t="s">
        <v>10</v>
      </c>
      <c r="K8" s="24" t="s">
        <v>4</v>
      </c>
      <c r="L8" s="1"/>
      <c r="M8" s="1"/>
      <c r="N8" s="18"/>
    </row>
    <row r="9" spans="2:14" ht="15" customHeight="1" x14ac:dyDescent="0.25">
      <c r="B9" s="20"/>
      <c r="C9" s="5" t="s">
        <v>21</v>
      </c>
      <c r="D9" s="6" t="s">
        <v>19</v>
      </c>
      <c r="E9" s="11">
        <v>1.6799999999999999E-2</v>
      </c>
      <c r="F9" s="1"/>
      <c r="G9" s="1"/>
      <c r="H9" s="1"/>
      <c r="I9" s="1"/>
      <c r="J9" s="24" t="s">
        <v>8</v>
      </c>
      <c r="K9" s="28">
        <v>8.208E-3</v>
      </c>
      <c r="L9" s="1"/>
      <c r="M9" s="1"/>
      <c r="N9" s="18"/>
    </row>
    <row r="10" spans="2:14" ht="15" customHeight="1" x14ac:dyDescent="0.25">
      <c r="B10" s="20"/>
      <c r="C10" s="5" t="s">
        <v>20</v>
      </c>
      <c r="D10" s="6" t="s">
        <v>19</v>
      </c>
      <c r="E10" s="11">
        <v>9.9559999999999996E-3</v>
      </c>
      <c r="F10" s="1"/>
      <c r="G10" s="1"/>
      <c r="H10" s="1"/>
      <c r="I10" s="1"/>
      <c r="J10" s="24" t="s">
        <v>11</v>
      </c>
      <c r="K10" s="28">
        <v>5.2278999999999999E-2</v>
      </c>
      <c r="L10" s="1"/>
      <c r="M10" s="1"/>
      <c r="N10" s="18"/>
    </row>
    <row r="11" spans="2:14" ht="15" customHeight="1" x14ac:dyDescent="0.25">
      <c r="B11" s="20"/>
      <c r="C11" s="5" t="s">
        <v>27</v>
      </c>
      <c r="D11" s="6" t="s">
        <v>19</v>
      </c>
      <c r="E11" s="11">
        <v>7.169E-3</v>
      </c>
      <c r="F11" s="1"/>
      <c r="G11" s="1"/>
      <c r="H11" s="1"/>
      <c r="I11" s="1"/>
      <c r="J11" s="24" t="s">
        <v>54</v>
      </c>
      <c r="K11" s="28">
        <v>6.1317999999999998E-2</v>
      </c>
      <c r="L11" s="1"/>
      <c r="M11" s="1"/>
      <c r="N11" s="18"/>
    </row>
    <row r="12" spans="2:14" ht="15" customHeight="1" x14ac:dyDescent="0.25">
      <c r="B12" s="20"/>
      <c r="C12" s="5" t="s">
        <v>18</v>
      </c>
      <c r="D12" s="6" t="s">
        <v>19</v>
      </c>
      <c r="E12" s="11">
        <v>3.5869999999999999E-3</v>
      </c>
      <c r="F12" s="1"/>
      <c r="G12" s="1"/>
      <c r="H12" s="1"/>
      <c r="I12" s="1"/>
      <c r="J12" s="24" t="s">
        <v>55</v>
      </c>
      <c r="K12" s="28">
        <v>0.73370000000000002</v>
      </c>
      <c r="L12" s="1"/>
      <c r="M12" s="1"/>
      <c r="N12" s="18"/>
    </row>
    <row r="13" spans="2:14" ht="15.75" customHeight="1" x14ac:dyDescent="0.25">
      <c r="B13" s="20"/>
      <c r="C13" s="7" t="s">
        <v>28</v>
      </c>
      <c r="D13" s="8"/>
      <c r="E13" s="12">
        <v>6.1317999999999998E-2</v>
      </c>
      <c r="F13" s="1"/>
      <c r="G13" s="1"/>
      <c r="H13" s="1"/>
      <c r="I13" s="1"/>
      <c r="J13" s="24" t="s">
        <v>56</v>
      </c>
      <c r="K13" s="28">
        <v>5.6647999999999997E-2</v>
      </c>
      <c r="L13" s="1"/>
      <c r="M13" s="1"/>
      <c r="N13" s="18"/>
    </row>
    <row r="14" spans="2:14" ht="15" customHeight="1" x14ac:dyDescent="0.25">
      <c r="B14" s="20"/>
      <c r="C14" s="5" t="s">
        <v>35</v>
      </c>
      <c r="D14" s="6" t="s">
        <v>19</v>
      </c>
      <c r="E14" s="11">
        <v>2.0027E-2</v>
      </c>
      <c r="F14" s="1"/>
      <c r="G14" s="1"/>
      <c r="H14" s="1"/>
      <c r="I14" s="1"/>
      <c r="J14" s="24" t="s">
        <v>57</v>
      </c>
      <c r="K14" s="28">
        <v>4.829E-2</v>
      </c>
      <c r="L14" s="1"/>
      <c r="M14" s="1"/>
      <c r="N14" s="18"/>
    </row>
    <row r="15" spans="2:14" ht="15" customHeight="1" x14ac:dyDescent="0.25">
      <c r="B15" s="20"/>
      <c r="C15" s="5" t="s">
        <v>37</v>
      </c>
      <c r="D15" s="6" t="s">
        <v>19</v>
      </c>
      <c r="E15" s="11">
        <v>1.9935999999999999E-2</v>
      </c>
      <c r="F15" s="1"/>
      <c r="G15" s="1"/>
      <c r="H15" s="1"/>
      <c r="I15" s="1"/>
      <c r="J15" s="24" t="s">
        <v>58</v>
      </c>
      <c r="K15" s="28">
        <v>3.9557000000000002E-2</v>
      </c>
      <c r="L15" s="1"/>
      <c r="M15" s="1"/>
      <c r="N15" s="18"/>
    </row>
    <row r="16" spans="2:14" ht="15" customHeight="1" x14ac:dyDescent="0.25">
      <c r="B16" s="20"/>
      <c r="C16" s="5" t="s">
        <v>83</v>
      </c>
      <c r="D16" s="6" t="s">
        <v>19</v>
      </c>
      <c r="E16" s="11">
        <v>1.6684999999999998E-2</v>
      </c>
      <c r="F16" s="1"/>
      <c r="G16" s="1"/>
      <c r="H16" s="1"/>
      <c r="I16" s="1"/>
      <c r="J16" s="1"/>
      <c r="K16" s="1"/>
      <c r="L16" s="1"/>
      <c r="M16" s="1"/>
      <c r="N16" s="18"/>
    </row>
    <row r="17" spans="2:14" ht="15.75" customHeight="1" x14ac:dyDescent="0.25">
      <c r="B17" s="20"/>
      <c r="C17" s="7" t="s">
        <v>30</v>
      </c>
      <c r="D17" s="8"/>
      <c r="E17" s="12">
        <v>5.6647999999999997E-2</v>
      </c>
      <c r="F17" s="1"/>
      <c r="G17" s="1"/>
      <c r="H17" s="1"/>
      <c r="I17" s="1"/>
      <c r="J17" s="1"/>
      <c r="K17" s="1"/>
      <c r="L17" s="1"/>
      <c r="M17" s="1"/>
      <c r="N17" s="18"/>
    </row>
    <row r="18" spans="2:14" ht="15" customHeight="1" x14ac:dyDescent="0.25">
      <c r="B18" s="20"/>
      <c r="C18" s="5" t="s">
        <v>33</v>
      </c>
      <c r="D18" s="6" t="s">
        <v>32</v>
      </c>
      <c r="E18" s="11">
        <v>0.11160100000000001</v>
      </c>
      <c r="F18" s="1"/>
      <c r="G18" s="1"/>
      <c r="H18" s="1"/>
      <c r="I18" s="1"/>
      <c r="J18" s="1"/>
      <c r="K18" s="1"/>
      <c r="L18" s="1"/>
      <c r="M18" s="1"/>
      <c r="N18" s="18"/>
    </row>
    <row r="19" spans="2:14" ht="15" customHeight="1" x14ac:dyDescent="0.25">
      <c r="B19" s="20"/>
      <c r="C19" s="5" t="s">
        <v>31</v>
      </c>
      <c r="D19" s="6" t="s">
        <v>32</v>
      </c>
      <c r="E19" s="11">
        <v>0.108005</v>
      </c>
      <c r="F19" s="1"/>
      <c r="G19" s="1"/>
      <c r="H19" s="1"/>
      <c r="I19" s="1"/>
      <c r="J19" s="1"/>
      <c r="K19" s="1"/>
      <c r="L19" s="1"/>
      <c r="M19" s="1"/>
      <c r="N19" s="18"/>
    </row>
    <row r="20" spans="2:14" ht="15" customHeight="1" x14ac:dyDescent="0.25">
      <c r="B20" s="20"/>
      <c r="C20" s="5" t="s">
        <v>41</v>
      </c>
      <c r="D20" s="6" t="s">
        <v>32</v>
      </c>
      <c r="E20" s="11">
        <v>8.1098000000000003E-2</v>
      </c>
      <c r="F20" s="1"/>
      <c r="G20" s="1"/>
      <c r="H20" s="1"/>
      <c r="I20" s="1"/>
      <c r="J20" s="1"/>
      <c r="K20" s="1"/>
      <c r="L20" s="1"/>
      <c r="M20" s="1"/>
      <c r="N20" s="18"/>
    </row>
    <row r="21" spans="2:14" ht="15" customHeight="1" x14ac:dyDescent="0.25">
      <c r="B21" s="20"/>
      <c r="C21" s="5" t="s">
        <v>91</v>
      </c>
      <c r="D21" s="6" t="s">
        <v>32</v>
      </c>
      <c r="E21" s="11">
        <v>6.8309999999999996E-2</v>
      </c>
      <c r="F21" s="1"/>
      <c r="G21" s="1"/>
      <c r="H21" s="1"/>
      <c r="I21" s="1"/>
      <c r="J21" s="1"/>
      <c r="K21" s="1"/>
      <c r="L21" s="1"/>
      <c r="M21" s="1"/>
      <c r="N21" s="18"/>
    </row>
    <row r="22" spans="2:14" ht="15" customHeight="1" x14ac:dyDescent="0.25">
      <c r="B22" s="20"/>
      <c r="C22" s="5" t="s">
        <v>36</v>
      </c>
      <c r="D22" s="6" t="s">
        <v>32</v>
      </c>
      <c r="E22" s="11">
        <v>5.6057000000000003E-2</v>
      </c>
      <c r="F22" s="1"/>
      <c r="G22" s="1"/>
      <c r="H22" s="1"/>
      <c r="I22" s="1"/>
      <c r="J22" s="1"/>
      <c r="K22" s="1"/>
      <c r="L22" s="1"/>
      <c r="M22" s="1"/>
      <c r="N22" s="18"/>
    </row>
    <row r="23" spans="2:14" ht="15" customHeight="1" x14ac:dyDescent="0.25">
      <c r="B23" s="20"/>
      <c r="C23" s="5" t="s">
        <v>20</v>
      </c>
      <c r="D23" s="6" t="s">
        <v>32</v>
      </c>
      <c r="E23" s="11">
        <v>5.2101000000000001E-2</v>
      </c>
      <c r="F23" s="1"/>
      <c r="G23" s="1"/>
      <c r="H23" s="1"/>
      <c r="I23" s="1"/>
      <c r="J23" s="1"/>
      <c r="K23" s="1"/>
      <c r="L23" s="1"/>
      <c r="M23" s="1"/>
      <c r="N23" s="18"/>
    </row>
    <row r="24" spans="2:14" ht="15" customHeight="1" x14ac:dyDescent="0.25">
      <c r="B24" s="20"/>
      <c r="C24" s="5" t="s">
        <v>35</v>
      </c>
      <c r="D24" s="6" t="s">
        <v>32</v>
      </c>
      <c r="E24" s="11">
        <v>5.1660999999999999E-2</v>
      </c>
      <c r="F24" s="1"/>
      <c r="G24" s="51" t="s">
        <v>15</v>
      </c>
      <c r="H24" s="52"/>
      <c r="I24" s="52"/>
      <c r="J24" s="52"/>
      <c r="K24" s="52"/>
      <c r="L24" s="42">
        <v>1.0595098129015406</v>
      </c>
      <c r="M24" s="26"/>
      <c r="N24" s="27"/>
    </row>
    <row r="25" spans="2:14" ht="15" customHeight="1" x14ac:dyDescent="0.25">
      <c r="B25" s="20"/>
      <c r="C25" s="5" t="s">
        <v>42</v>
      </c>
      <c r="D25" s="6" t="s">
        <v>32</v>
      </c>
      <c r="E25" s="11">
        <v>4.5194999999999999E-2</v>
      </c>
      <c r="F25" s="1"/>
      <c r="G25" s="1"/>
      <c r="H25" s="1"/>
      <c r="I25" s="1"/>
      <c r="J25" s="1"/>
      <c r="K25" s="1"/>
      <c r="L25" s="1"/>
      <c r="M25" s="1"/>
      <c r="N25" s="18"/>
    </row>
    <row r="26" spans="2:14" ht="15" customHeight="1" x14ac:dyDescent="0.25">
      <c r="B26" s="20"/>
      <c r="C26" s="5" t="s">
        <v>34</v>
      </c>
      <c r="D26" s="6" t="s">
        <v>32</v>
      </c>
      <c r="E26" s="11">
        <v>2.9697999999999999E-2</v>
      </c>
      <c r="F26" s="1"/>
      <c r="G26" s="51" t="s">
        <v>16</v>
      </c>
      <c r="H26" s="52"/>
      <c r="I26" s="52"/>
      <c r="J26" s="52"/>
      <c r="K26" s="52"/>
      <c r="L26" s="52"/>
      <c r="M26" s="52"/>
      <c r="N26" s="53"/>
    </row>
    <row r="27" spans="2:14" ht="15" customHeight="1" x14ac:dyDescent="0.25">
      <c r="B27" s="20"/>
      <c r="C27" s="5" t="s">
        <v>25</v>
      </c>
      <c r="D27" s="6" t="s">
        <v>32</v>
      </c>
      <c r="E27" s="11">
        <v>2.6121999999999999E-2</v>
      </c>
      <c r="F27" s="1"/>
      <c r="G27" s="1"/>
      <c r="H27" s="1"/>
      <c r="I27" s="1"/>
      <c r="J27" s="1"/>
      <c r="K27" s="1"/>
      <c r="L27" s="1"/>
      <c r="M27" s="1"/>
      <c r="N27" s="18"/>
    </row>
    <row r="28" spans="2:14" ht="15" customHeight="1" x14ac:dyDescent="0.25">
      <c r="B28" s="20"/>
      <c r="C28" s="5" t="s">
        <v>21</v>
      </c>
      <c r="D28" s="6" t="s">
        <v>32</v>
      </c>
      <c r="E28" s="11">
        <v>1.9002000000000002E-2</v>
      </c>
      <c r="F28" s="1"/>
      <c r="G28" s="1"/>
      <c r="H28" s="1"/>
      <c r="I28" s="1"/>
      <c r="J28" s="1"/>
      <c r="K28" s="1"/>
      <c r="L28" s="1"/>
      <c r="M28" s="1"/>
      <c r="N28" s="18"/>
    </row>
    <row r="29" spans="2:14" ht="15" customHeight="1" x14ac:dyDescent="0.25">
      <c r="B29" s="20"/>
      <c r="C29" s="5" t="s">
        <v>29</v>
      </c>
      <c r="D29" s="6" t="s">
        <v>32</v>
      </c>
      <c r="E29" s="11">
        <v>1.8603999999999999E-2</v>
      </c>
      <c r="F29" s="1"/>
      <c r="G29" s="1"/>
      <c r="H29" s="1"/>
      <c r="I29" s="1"/>
      <c r="J29" s="1"/>
      <c r="K29" s="1"/>
      <c r="L29" s="1"/>
      <c r="M29" s="1"/>
      <c r="N29" s="18"/>
    </row>
    <row r="30" spans="2:14" ht="15" customHeight="1" x14ac:dyDescent="0.25">
      <c r="B30" s="20"/>
      <c r="C30" s="5" t="s">
        <v>82</v>
      </c>
      <c r="D30" s="6" t="s">
        <v>32</v>
      </c>
      <c r="E30" s="11">
        <v>1.6410000000000001E-2</v>
      </c>
      <c r="F30" s="1"/>
      <c r="G30" s="1"/>
      <c r="H30" s="1"/>
      <c r="I30" s="1"/>
      <c r="J30" s="1"/>
      <c r="K30" s="1"/>
      <c r="L30" s="1"/>
      <c r="M30" s="1"/>
      <c r="N30" s="18"/>
    </row>
    <row r="31" spans="2:14" ht="15" customHeight="1" x14ac:dyDescent="0.25">
      <c r="B31" s="20"/>
      <c r="C31" s="5" t="s">
        <v>38</v>
      </c>
      <c r="D31" s="6" t="s">
        <v>32</v>
      </c>
      <c r="E31" s="11">
        <v>1.4786000000000001E-2</v>
      </c>
      <c r="F31" s="1"/>
      <c r="G31" s="1"/>
      <c r="H31" s="1"/>
      <c r="I31" s="1"/>
      <c r="J31" s="1"/>
      <c r="K31" s="1"/>
      <c r="L31" s="1"/>
      <c r="M31" s="1"/>
      <c r="N31" s="18"/>
    </row>
    <row r="32" spans="2:14" ht="15" customHeight="1" x14ac:dyDescent="0.25">
      <c r="B32" s="20"/>
      <c r="C32" s="5" t="s">
        <v>24</v>
      </c>
      <c r="D32" s="6" t="s">
        <v>32</v>
      </c>
      <c r="E32" s="11">
        <v>1.3625E-2</v>
      </c>
      <c r="F32" s="1"/>
      <c r="G32" s="1"/>
      <c r="H32" s="1"/>
      <c r="I32" s="1"/>
      <c r="J32" s="1"/>
      <c r="K32" s="1"/>
      <c r="L32" s="1"/>
      <c r="M32" s="1"/>
      <c r="N32" s="18"/>
    </row>
    <row r="33" spans="2:14" ht="15" customHeight="1" x14ac:dyDescent="0.25">
      <c r="B33" s="20"/>
      <c r="C33" s="5" t="s">
        <v>39</v>
      </c>
      <c r="D33" s="6" t="s">
        <v>32</v>
      </c>
      <c r="E33" s="11">
        <v>7.8849999999999996E-3</v>
      </c>
      <c r="F33" s="1"/>
      <c r="G33" s="1"/>
      <c r="H33" s="1"/>
      <c r="I33" s="1"/>
      <c r="J33" s="1"/>
      <c r="K33" s="1"/>
      <c r="L33" s="1"/>
      <c r="M33" s="1"/>
      <c r="N33" s="18"/>
    </row>
    <row r="34" spans="2:14" ht="15" customHeight="1" x14ac:dyDescent="0.25">
      <c r="B34" s="20"/>
      <c r="C34" s="5" t="s">
        <v>92</v>
      </c>
      <c r="D34" s="6" t="s">
        <v>32</v>
      </c>
      <c r="E34" s="11">
        <v>5.3629999999999997E-3</v>
      </c>
      <c r="F34" s="1"/>
      <c r="G34" s="1"/>
      <c r="H34" s="1"/>
      <c r="I34" s="1"/>
      <c r="J34" s="1"/>
      <c r="K34" s="1"/>
      <c r="L34" s="1"/>
      <c r="M34" s="1"/>
      <c r="N34" s="18"/>
    </row>
    <row r="35" spans="2:14" ht="15" customHeight="1" x14ac:dyDescent="0.25">
      <c r="B35" s="20"/>
      <c r="C35" s="5" t="s">
        <v>44</v>
      </c>
      <c r="D35" s="6" t="s">
        <v>32</v>
      </c>
      <c r="E35" s="11">
        <v>4.9249999999999997E-3</v>
      </c>
      <c r="F35" s="1"/>
      <c r="G35" s="1"/>
      <c r="H35" s="1"/>
      <c r="I35" s="1"/>
      <c r="J35" s="1"/>
      <c r="K35" s="1"/>
      <c r="L35" s="1"/>
      <c r="M35" s="1"/>
      <c r="N35" s="18"/>
    </row>
    <row r="36" spans="2:14" ht="15" customHeight="1" x14ac:dyDescent="0.25">
      <c r="B36" s="20"/>
      <c r="C36" s="5" t="s">
        <v>45</v>
      </c>
      <c r="D36" s="6" t="s">
        <v>32</v>
      </c>
      <c r="E36" s="11">
        <v>2.1740000000000002E-3</v>
      </c>
      <c r="F36" s="1"/>
      <c r="G36" s="1"/>
      <c r="H36" s="1"/>
      <c r="I36" s="1"/>
      <c r="J36" s="1"/>
      <c r="K36" s="1"/>
      <c r="L36" s="1"/>
      <c r="M36" s="1"/>
      <c r="N36" s="18"/>
    </row>
    <row r="37" spans="2:14" ht="15" customHeight="1" x14ac:dyDescent="0.25">
      <c r="B37" s="20"/>
      <c r="C37" s="5" t="s">
        <v>43</v>
      </c>
      <c r="D37" s="6" t="s">
        <v>32</v>
      </c>
      <c r="E37" s="11">
        <v>1.078E-3</v>
      </c>
      <c r="F37" s="1"/>
      <c r="G37" s="1"/>
      <c r="H37" s="1"/>
      <c r="I37" s="1"/>
      <c r="J37" s="1"/>
      <c r="K37" s="1"/>
      <c r="L37" s="1"/>
      <c r="M37" s="1"/>
      <c r="N37" s="18"/>
    </row>
    <row r="38" spans="2:14" ht="15.75" customHeight="1" x14ac:dyDescent="0.25">
      <c r="B38" s="20"/>
      <c r="C38" s="7" t="s">
        <v>46</v>
      </c>
      <c r="D38" s="8"/>
      <c r="E38" s="12">
        <v>0.73370000000000002</v>
      </c>
      <c r="F38" s="1"/>
      <c r="G38" s="1"/>
      <c r="H38" s="1"/>
      <c r="I38" s="1"/>
      <c r="J38" s="1"/>
      <c r="K38" s="1"/>
      <c r="L38" s="1"/>
      <c r="M38" s="1"/>
      <c r="N38" s="18"/>
    </row>
    <row r="39" spans="2:14" ht="15" customHeight="1" x14ac:dyDescent="0.25">
      <c r="B39" s="20"/>
      <c r="C39" s="5" t="s">
        <v>93</v>
      </c>
      <c r="D39" s="6" t="s">
        <v>48</v>
      </c>
      <c r="E39" s="11">
        <v>1.9748999999999999E-2</v>
      </c>
      <c r="F39" s="1"/>
      <c r="G39" s="1"/>
      <c r="H39" s="1"/>
      <c r="I39" s="1"/>
      <c r="J39" s="1"/>
      <c r="K39" s="1"/>
      <c r="L39" s="1"/>
      <c r="M39" s="1"/>
      <c r="N39" s="18"/>
    </row>
    <row r="40" spans="2:14" ht="15" customHeight="1" x14ac:dyDescent="0.25">
      <c r="B40" s="20"/>
      <c r="C40" s="5" t="s">
        <v>94</v>
      </c>
      <c r="D40" s="6" t="s">
        <v>48</v>
      </c>
      <c r="E40" s="11">
        <v>1.4954E-2</v>
      </c>
      <c r="F40" s="1"/>
      <c r="G40" s="1"/>
      <c r="H40" s="1"/>
      <c r="I40" s="1"/>
      <c r="J40" s="1"/>
      <c r="K40" s="1"/>
      <c r="L40" s="1"/>
      <c r="M40" s="1"/>
      <c r="N40" s="18"/>
    </row>
    <row r="41" spans="2:14" ht="15" customHeight="1" x14ac:dyDescent="0.25">
      <c r="B41" s="20"/>
      <c r="C41" s="5" t="s">
        <v>95</v>
      </c>
      <c r="D41" s="6" t="s">
        <v>48</v>
      </c>
      <c r="E41" s="11">
        <v>8.9200000000000008E-3</v>
      </c>
      <c r="F41" s="1"/>
      <c r="G41" s="1"/>
      <c r="H41" s="1"/>
      <c r="I41" s="1"/>
      <c r="J41" s="1"/>
      <c r="K41" s="1"/>
      <c r="L41" s="1"/>
      <c r="M41" s="1"/>
      <c r="N41" s="18"/>
    </row>
    <row r="42" spans="2:14" ht="15" customHeight="1" x14ac:dyDescent="0.25">
      <c r="B42" s="20"/>
      <c r="C42" s="5" t="s">
        <v>96</v>
      </c>
      <c r="D42" s="6" t="s">
        <v>48</v>
      </c>
      <c r="E42" s="11">
        <v>4.3070000000000001E-3</v>
      </c>
      <c r="F42" s="1"/>
      <c r="G42" s="1"/>
      <c r="H42" s="1"/>
      <c r="I42" s="1"/>
      <c r="J42" s="1"/>
      <c r="K42" s="1"/>
      <c r="L42" s="1"/>
      <c r="M42" s="1"/>
      <c r="N42" s="18"/>
    </row>
    <row r="43" spans="2:14" ht="15" customHeight="1" x14ac:dyDescent="0.25">
      <c r="B43" s="20"/>
      <c r="C43" s="5" t="s">
        <v>97</v>
      </c>
      <c r="D43" s="6" t="s">
        <v>48</v>
      </c>
      <c r="E43" s="11">
        <v>3.6000000000000002E-4</v>
      </c>
      <c r="F43" s="1"/>
      <c r="G43" s="1"/>
      <c r="H43" s="1"/>
      <c r="I43" s="1"/>
      <c r="J43" s="1"/>
      <c r="K43" s="1"/>
      <c r="L43" s="1"/>
      <c r="M43" s="1"/>
      <c r="N43" s="18"/>
    </row>
    <row r="44" spans="2:14" ht="15.75" customHeight="1" x14ac:dyDescent="0.25">
      <c r="B44" s="20"/>
      <c r="C44" s="7" t="s">
        <v>50</v>
      </c>
      <c r="D44" s="8"/>
      <c r="E44" s="12">
        <v>4.829E-2</v>
      </c>
      <c r="F44" s="1"/>
      <c r="G44" s="1"/>
      <c r="H44" s="1"/>
      <c r="I44" s="1"/>
      <c r="J44" s="1"/>
      <c r="K44" s="1"/>
      <c r="L44" s="1"/>
      <c r="M44" s="1"/>
      <c r="N44" s="18"/>
    </row>
    <row r="45" spans="2:14" s="29" customFormat="1" ht="15.75" customHeight="1" x14ac:dyDescent="0.25">
      <c r="B45" s="35"/>
      <c r="C45" s="31" t="s">
        <v>197</v>
      </c>
      <c r="D45" s="32" t="s">
        <v>48</v>
      </c>
      <c r="E45" s="33">
        <v>4.9890000000000004E-3</v>
      </c>
      <c r="F45" s="30"/>
      <c r="G45" s="30"/>
      <c r="H45" s="30"/>
      <c r="I45" s="30"/>
      <c r="J45" s="30"/>
      <c r="K45" s="30"/>
      <c r="L45" s="30"/>
      <c r="M45" s="30"/>
      <c r="N45" s="34"/>
    </row>
    <row r="46" spans="2:14" s="29" customFormat="1" ht="15" customHeight="1" x14ac:dyDescent="0.25">
      <c r="B46" s="35"/>
      <c r="C46" s="31" t="s">
        <v>191</v>
      </c>
      <c r="D46" s="32" t="s">
        <v>48</v>
      </c>
      <c r="E46" s="33">
        <v>4.3870000000000003E-3</v>
      </c>
      <c r="F46" s="30"/>
      <c r="G46" s="30"/>
      <c r="H46" s="30"/>
      <c r="I46" s="30"/>
      <c r="J46" s="30"/>
      <c r="K46" s="30"/>
      <c r="L46" s="30"/>
      <c r="M46" s="30"/>
      <c r="N46" s="34"/>
    </row>
    <row r="47" spans="2:14" s="29" customFormat="1" ht="15" customHeight="1" x14ac:dyDescent="0.25">
      <c r="B47" s="35"/>
      <c r="C47" s="31" t="s">
        <v>195</v>
      </c>
      <c r="D47" s="32" t="s">
        <v>48</v>
      </c>
      <c r="E47" s="33">
        <v>3.6459999999999999E-3</v>
      </c>
      <c r="F47" s="30"/>
      <c r="G47" s="30"/>
      <c r="H47" s="30"/>
      <c r="I47" s="30"/>
      <c r="J47" s="30"/>
      <c r="K47" s="30"/>
      <c r="L47" s="30"/>
      <c r="M47" s="30"/>
      <c r="N47" s="34"/>
    </row>
    <row r="48" spans="2:14" s="29" customFormat="1" ht="15" customHeight="1" x14ac:dyDescent="0.25">
      <c r="B48" s="35"/>
      <c r="C48" s="31" t="s">
        <v>160</v>
      </c>
      <c r="D48" s="32" t="s">
        <v>48</v>
      </c>
      <c r="E48" s="33">
        <v>3.6259999999999999E-3</v>
      </c>
      <c r="F48" s="30"/>
      <c r="G48" s="30"/>
      <c r="H48" s="30"/>
      <c r="I48" s="30"/>
      <c r="J48" s="30"/>
      <c r="K48" s="30"/>
      <c r="L48" s="30"/>
      <c r="M48" s="30"/>
      <c r="N48" s="34"/>
    </row>
    <row r="49" spans="2:14" s="29" customFormat="1" ht="15" customHeight="1" x14ac:dyDescent="0.25">
      <c r="B49" s="35"/>
      <c r="C49" s="31" t="s">
        <v>198</v>
      </c>
      <c r="D49" s="32" t="s">
        <v>48</v>
      </c>
      <c r="E49" s="33">
        <v>3.0010000000000002E-3</v>
      </c>
      <c r="F49" s="30"/>
      <c r="G49" s="30"/>
      <c r="H49" s="30"/>
      <c r="I49" s="30"/>
      <c r="J49" s="30"/>
      <c r="K49" s="30"/>
      <c r="L49" s="30"/>
      <c r="M49" s="30"/>
      <c r="N49" s="34"/>
    </row>
    <row r="50" spans="2:14" s="29" customFormat="1" ht="15" customHeight="1" x14ac:dyDescent="0.25">
      <c r="B50" s="35"/>
      <c r="C50" s="31" t="s">
        <v>190</v>
      </c>
      <c r="D50" s="32" t="s">
        <v>48</v>
      </c>
      <c r="E50" s="33">
        <v>2.562E-3</v>
      </c>
      <c r="F50" s="30"/>
      <c r="G50" s="30"/>
      <c r="H50" s="30"/>
      <c r="I50" s="30"/>
      <c r="J50" s="30"/>
      <c r="K50" s="30"/>
      <c r="L50" s="30"/>
      <c r="M50" s="30"/>
      <c r="N50" s="34"/>
    </row>
    <row r="51" spans="2:14" s="29" customFormat="1" ht="15" customHeight="1" x14ac:dyDescent="0.25">
      <c r="B51" s="35"/>
      <c r="C51" s="31" t="s">
        <v>184</v>
      </c>
      <c r="D51" s="32" t="s">
        <v>48</v>
      </c>
      <c r="E51" s="33">
        <v>2.5579999999999999E-3</v>
      </c>
      <c r="F51" s="30"/>
      <c r="G51" s="30"/>
      <c r="H51" s="30"/>
      <c r="I51" s="30"/>
      <c r="J51" s="30"/>
      <c r="K51" s="30"/>
      <c r="L51" s="30"/>
      <c r="M51" s="30"/>
      <c r="N51" s="34"/>
    </row>
    <row r="52" spans="2:14" s="29" customFormat="1" ht="15" customHeight="1" x14ac:dyDescent="0.25">
      <c r="B52" s="35"/>
      <c r="C52" s="31" t="s">
        <v>185</v>
      </c>
      <c r="D52" s="32" t="s">
        <v>48</v>
      </c>
      <c r="E52" s="33">
        <v>2.1940000000000002E-3</v>
      </c>
      <c r="F52" s="30"/>
      <c r="G52" s="30"/>
      <c r="H52" s="30"/>
      <c r="I52" s="30"/>
      <c r="J52" s="30"/>
      <c r="K52" s="30"/>
      <c r="L52" s="30"/>
      <c r="M52" s="30"/>
      <c r="N52" s="34"/>
    </row>
    <row r="53" spans="2:14" s="29" customFormat="1" ht="15" customHeight="1" x14ac:dyDescent="0.25">
      <c r="B53" s="35"/>
      <c r="C53" s="31" t="s">
        <v>186</v>
      </c>
      <c r="D53" s="32" t="s">
        <v>48</v>
      </c>
      <c r="E53" s="33">
        <v>1.833E-3</v>
      </c>
      <c r="F53" s="30"/>
      <c r="G53" s="30"/>
      <c r="H53" s="30"/>
      <c r="I53" s="30"/>
      <c r="J53" s="30"/>
      <c r="K53" s="30"/>
      <c r="L53" s="30"/>
      <c r="M53" s="30"/>
      <c r="N53" s="34"/>
    </row>
    <row r="54" spans="2:14" s="29" customFormat="1" ht="15" customHeight="1" x14ac:dyDescent="0.25">
      <c r="B54" s="35"/>
      <c r="C54" s="31" t="s">
        <v>193</v>
      </c>
      <c r="D54" s="32" t="s">
        <v>48</v>
      </c>
      <c r="E54" s="33">
        <v>1.8270000000000001E-3</v>
      </c>
      <c r="F54" s="30"/>
      <c r="G54" s="30"/>
      <c r="H54" s="30"/>
      <c r="I54" s="30"/>
      <c r="J54" s="30"/>
      <c r="K54" s="30"/>
      <c r="L54" s="30"/>
      <c r="M54" s="30"/>
      <c r="N54" s="34"/>
    </row>
    <row r="55" spans="2:14" s="29" customFormat="1" ht="15" customHeight="1" x14ac:dyDescent="0.25">
      <c r="B55" s="35"/>
      <c r="C55" s="31" t="s">
        <v>196</v>
      </c>
      <c r="D55" s="32" t="s">
        <v>48</v>
      </c>
      <c r="E55" s="33">
        <v>1.464E-3</v>
      </c>
      <c r="F55" s="30"/>
      <c r="G55" s="30"/>
      <c r="H55" s="30"/>
      <c r="I55" s="30"/>
      <c r="J55" s="30"/>
      <c r="K55" s="30"/>
      <c r="L55" s="30"/>
      <c r="M55" s="30"/>
      <c r="N55" s="34"/>
    </row>
    <row r="56" spans="2:14" s="29" customFormat="1" ht="15" customHeight="1" x14ac:dyDescent="0.25">
      <c r="B56" s="35"/>
      <c r="C56" s="31" t="s">
        <v>183</v>
      </c>
      <c r="D56" s="32" t="s">
        <v>48</v>
      </c>
      <c r="E56" s="33">
        <v>1.459E-3</v>
      </c>
      <c r="F56" s="30"/>
      <c r="G56" s="30"/>
      <c r="H56" s="30"/>
      <c r="I56" s="30"/>
      <c r="J56" s="30"/>
      <c r="K56" s="30"/>
      <c r="L56" s="30"/>
      <c r="M56" s="30"/>
      <c r="N56" s="34"/>
    </row>
    <row r="57" spans="2:14" s="29" customFormat="1" ht="15" customHeight="1" x14ac:dyDescent="0.25">
      <c r="B57" s="35"/>
      <c r="C57" s="31" t="s">
        <v>194</v>
      </c>
      <c r="D57" s="32" t="s">
        <v>48</v>
      </c>
      <c r="E57" s="33">
        <v>1.459E-3</v>
      </c>
      <c r="F57" s="30"/>
      <c r="G57" s="30"/>
      <c r="H57" s="30"/>
      <c r="I57" s="30"/>
      <c r="J57" s="30"/>
      <c r="K57" s="30"/>
      <c r="L57" s="30"/>
      <c r="M57" s="30"/>
      <c r="N57" s="34"/>
    </row>
    <row r="58" spans="2:14" s="29" customFormat="1" ht="15" customHeight="1" x14ac:dyDescent="0.25">
      <c r="B58" s="35"/>
      <c r="C58" s="31" t="s">
        <v>189</v>
      </c>
      <c r="D58" s="32" t="s">
        <v>48</v>
      </c>
      <c r="E58" s="33">
        <v>1.098E-3</v>
      </c>
      <c r="F58" s="30"/>
      <c r="G58" s="30"/>
      <c r="H58" s="30"/>
      <c r="I58" s="30"/>
      <c r="J58" s="30"/>
      <c r="K58" s="30"/>
      <c r="L58" s="30"/>
      <c r="M58" s="30"/>
      <c r="N58" s="34"/>
    </row>
    <row r="59" spans="2:14" s="29" customFormat="1" ht="15" customHeight="1" x14ac:dyDescent="0.25">
      <c r="B59" s="35"/>
      <c r="C59" s="31" t="s">
        <v>182</v>
      </c>
      <c r="D59" s="32" t="s">
        <v>48</v>
      </c>
      <c r="E59" s="33">
        <v>1.088E-3</v>
      </c>
      <c r="F59" s="30"/>
      <c r="G59" s="30"/>
      <c r="H59" s="30"/>
      <c r="I59" s="30"/>
      <c r="J59" s="30"/>
      <c r="K59" s="30"/>
      <c r="L59" s="30"/>
      <c r="M59" s="30"/>
      <c r="N59" s="34"/>
    </row>
    <row r="60" spans="2:14" s="29" customFormat="1" ht="15" customHeight="1" x14ac:dyDescent="0.25">
      <c r="B60" s="35"/>
      <c r="C60" s="31" t="s">
        <v>187</v>
      </c>
      <c r="D60" s="32" t="s">
        <v>48</v>
      </c>
      <c r="E60" s="33">
        <v>7.3300000000000004E-4</v>
      </c>
      <c r="F60" s="30"/>
      <c r="G60" s="30"/>
      <c r="H60" s="30"/>
      <c r="I60" s="30"/>
      <c r="J60" s="30"/>
      <c r="K60" s="30"/>
      <c r="L60" s="30"/>
      <c r="M60" s="30"/>
      <c r="N60" s="34"/>
    </row>
    <row r="61" spans="2:14" s="29" customFormat="1" ht="15" customHeight="1" x14ac:dyDescent="0.25">
      <c r="B61" s="35"/>
      <c r="C61" s="31" t="s">
        <v>188</v>
      </c>
      <c r="D61" s="32" t="s">
        <v>48</v>
      </c>
      <c r="E61" s="33">
        <v>7.3200000000000001E-4</v>
      </c>
      <c r="F61" s="30"/>
      <c r="G61" s="30"/>
      <c r="H61" s="30"/>
      <c r="I61" s="30"/>
      <c r="J61" s="30"/>
      <c r="K61" s="30"/>
      <c r="L61" s="30"/>
      <c r="M61" s="30"/>
      <c r="N61" s="34"/>
    </row>
    <row r="62" spans="2:14" s="29" customFormat="1" ht="15" customHeight="1" x14ac:dyDescent="0.25">
      <c r="B62" s="35"/>
      <c r="C62" s="31" t="s">
        <v>192</v>
      </c>
      <c r="D62" s="32" t="s">
        <v>48</v>
      </c>
      <c r="E62" s="33">
        <v>7.2800000000000002E-4</v>
      </c>
      <c r="F62" s="30"/>
      <c r="G62" s="30"/>
      <c r="H62" s="30"/>
      <c r="I62" s="30"/>
      <c r="J62" s="30"/>
      <c r="K62" s="30"/>
      <c r="L62" s="30"/>
      <c r="M62" s="30"/>
      <c r="N62" s="34"/>
    </row>
    <row r="63" spans="2:14" s="29" customFormat="1" ht="15" customHeight="1" x14ac:dyDescent="0.25">
      <c r="B63" s="35"/>
      <c r="C63" s="31" t="s">
        <v>199</v>
      </c>
      <c r="D63" s="32" t="s">
        <v>48</v>
      </c>
      <c r="E63" s="33">
        <v>1.73E-4</v>
      </c>
      <c r="F63" s="30"/>
      <c r="G63" s="30"/>
      <c r="H63" s="30"/>
      <c r="I63" s="30"/>
      <c r="J63" s="30"/>
      <c r="K63" s="30"/>
      <c r="L63" s="30"/>
      <c r="M63" s="30"/>
      <c r="N63" s="34"/>
    </row>
    <row r="64" spans="2:14" ht="15.75" customHeight="1" x14ac:dyDescent="0.25">
      <c r="B64" s="20"/>
      <c r="C64" s="7" t="s">
        <v>51</v>
      </c>
      <c r="D64" s="8"/>
      <c r="E64" s="12">
        <v>3.9557000000000002E-2</v>
      </c>
      <c r="F64" s="1"/>
      <c r="G64" s="1"/>
      <c r="H64" s="1"/>
      <c r="I64" s="1"/>
      <c r="J64" s="1"/>
      <c r="K64" s="1"/>
      <c r="L64" s="1"/>
      <c r="M64" s="1"/>
      <c r="N64" s="18"/>
    </row>
    <row r="65" spans="2:14" ht="15" customHeight="1" x14ac:dyDescent="0.25">
      <c r="B65" s="20"/>
      <c r="C65" s="5" t="s">
        <v>6</v>
      </c>
      <c r="D65" s="6"/>
      <c r="E65" s="11">
        <v>5.2278999999999999E-2</v>
      </c>
      <c r="F65" s="1"/>
      <c r="G65" s="1"/>
      <c r="H65" s="1"/>
      <c r="I65" s="1"/>
      <c r="J65" s="1"/>
      <c r="K65" s="1"/>
      <c r="L65" s="1"/>
      <c r="M65" s="1"/>
      <c r="N65" s="18"/>
    </row>
    <row r="66" spans="2:14" ht="15.75" customHeight="1" x14ac:dyDescent="0.25">
      <c r="B66" s="20"/>
      <c r="C66" s="7" t="s">
        <v>7</v>
      </c>
      <c r="D66" s="8"/>
      <c r="E66" s="12">
        <v>5.2278999999999999E-2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75" customHeight="1" x14ac:dyDescent="0.25">
      <c r="B68" s="20"/>
      <c r="C68" s="7" t="s">
        <v>8</v>
      </c>
      <c r="D68" s="8"/>
      <c r="E68" s="12">
        <v>8.208E-3</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 customHeight="1" x14ac:dyDescent="0.25">
      <c r="B70" s="20"/>
      <c r="C70" s="9" t="s">
        <v>9</v>
      </c>
      <c r="D70" s="10"/>
      <c r="E70" s="13">
        <v>1</v>
      </c>
      <c r="F70" s="1"/>
      <c r="G70" s="1"/>
      <c r="H70" s="1"/>
      <c r="I70" s="1"/>
      <c r="J70" s="1"/>
      <c r="K70" s="1"/>
      <c r="L70" s="1"/>
      <c r="M70" s="1"/>
      <c r="N70" s="18"/>
    </row>
    <row r="71" spans="2:14" ht="15" customHeight="1" x14ac:dyDescent="0.25">
      <c r="B71" s="20"/>
      <c r="C71" s="1"/>
      <c r="D71" s="1"/>
      <c r="E71" s="1"/>
      <c r="F71" s="1"/>
      <c r="G71" s="1"/>
      <c r="H71" s="1"/>
      <c r="I71" s="1"/>
      <c r="J71" s="1"/>
      <c r="K71" s="1"/>
      <c r="L71" s="1"/>
      <c r="M71" s="1"/>
      <c r="N71" s="18"/>
    </row>
    <row r="72" spans="2:14" ht="15" customHeight="1" thickBot="1" x14ac:dyDescent="0.3">
      <c r="B72" s="21"/>
      <c r="C72" s="22"/>
      <c r="D72" s="22"/>
      <c r="E72" s="22"/>
      <c r="F72" s="22"/>
      <c r="G72" s="22"/>
      <c r="H72" s="22"/>
      <c r="I72" s="22"/>
      <c r="J72" s="22"/>
      <c r="K72" s="22"/>
      <c r="L72" s="22"/>
      <c r="M72" s="22"/>
      <c r="N72" s="23"/>
    </row>
    <row r="73" spans="2:14" ht="15" customHeight="1" thickBot="1" x14ac:dyDescent="0.3"/>
    <row r="74" spans="2:14" ht="120" customHeight="1" thickBot="1" x14ac:dyDescent="0.3">
      <c r="B74" s="43" t="s">
        <v>267</v>
      </c>
      <c r="C74" s="44"/>
      <c r="D74" s="44"/>
      <c r="E74" s="44"/>
      <c r="F74" s="44"/>
      <c r="G74" s="44"/>
      <c r="H74" s="44"/>
      <c r="I74" s="44"/>
      <c r="J74" s="44"/>
      <c r="K74" s="44"/>
      <c r="L74" s="44"/>
      <c r="M74" s="44"/>
      <c r="N74" s="45"/>
    </row>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sheetData>
  <mergeCells count="6">
    <mergeCell ref="B74:N74"/>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E56A-8A1D-453E-A7A6-B778EF52E6BF}">
  <dimension ref="B1:N51"/>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253</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124</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21</v>
      </c>
      <c r="D8" s="6" t="s">
        <v>19</v>
      </c>
      <c r="E8" s="11">
        <v>0.10269300000000001</v>
      </c>
      <c r="F8" s="1"/>
      <c r="G8" s="24" t="s">
        <v>13</v>
      </c>
      <c r="H8" s="25">
        <v>1</v>
      </c>
      <c r="I8" s="1"/>
      <c r="J8" s="24" t="s">
        <v>10</v>
      </c>
      <c r="K8" s="24" t="s">
        <v>4</v>
      </c>
      <c r="L8" s="1"/>
      <c r="M8" s="1"/>
      <c r="N8" s="18"/>
    </row>
    <row r="9" spans="2:14" ht="15" customHeight="1" x14ac:dyDescent="0.25">
      <c r="B9" s="20"/>
      <c r="C9" s="5" t="s">
        <v>22</v>
      </c>
      <c r="D9" s="6" t="s">
        <v>19</v>
      </c>
      <c r="E9" s="11">
        <v>9.4382999999999995E-2</v>
      </c>
      <c r="F9" s="1"/>
      <c r="G9" s="1"/>
      <c r="H9" s="1"/>
      <c r="I9" s="1"/>
      <c r="J9" s="24" t="s">
        <v>8</v>
      </c>
      <c r="K9" s="28">
        <v>8.5640000000000004E-3</v>
      </c>
      <c r="L9" s="1"/>
      <c r="M9" s="1"/>
      <c r="N9" s="18"/>
    </row>
    <row r="10" spans="2:14" ht="15" customHeight="1" x14ac:dyDescent="0.25">
      <c r="B10" s="20"/>
      <c r="C10" s="5" t="s">
        <v>25</v>
      </c>
      <c r="D10" s="6" t="s">
        <v>19</v>
      </c>
      <c r="E10" s="11">
        <v>9.2808000000000002E-2</v>
      </c>
      <c r="F10" s="1"/>
      <c r="G10" s="1"/>
      <c r="H10" s="1"/>
      <c r="I10" s="1"/>
      <c r="J10" s="24" t="s">
        <v>11</v>
      </c>
      <c r="K10" s="28">
        <v>1.1338000000000001E-2</v>
      </c>
      <c r="L10" s="1"/>
      <c r="M10" s="1"/>
      <c r="N10" s="18"/>
    </row>
    <row r="11" spans="2:14" ht="15" customHeight="1" x14ac:dyDescent="0.25">
      <c r="B11" s="20"/>
      <c r="C11" s="5" t="s">
        <v>18</v>
      </c>
      <c r="D11" s="6" t="s">
        <v>19</v>
      </c>
      <c r="E11" s="11">
        <v>7.8539999999999999E-2</v>
      </c>
      <c r="F11" s="1"/>
      <c r="G11" s="1"/>
      <c r="H11" s="1"/>
      <c r="I11" s="1"/>
      <c r="J11" s="24" t="s">
        <v>54</v>
      </c>
      <c r="K11" s="28">
        <v>0.52511699999999994</v>
      </c>
      <c r="L11" s="1"/>
      <c r="M11" s="1"/>
      <c r="N11" s="18"/>
    </row>
    <row r="12" spans="2:14" ht="15" customHeight="1" x14ac:dyDescent="0.25">
      <c r="B12" s="20"/>
      <c r="C12" s="5" t="s">
        <v>20</v>
      </c>
      <c r="D12" s="6" t="s">
        <v>19</v>
      </c>
      <c r="E12" s="11">
        <v>7.8455999999999998E-2</v>
      </c>
      <c r="F12" s="1"/>
      <c r="G12" s="1"/>
      <c r="H12" s="1"/>
      <c r="I12" s="1"/>
      <c r="J12" s="24" t="s">
        <v>55</v>
      </c>
      <c r="K12" s="28">
        <v>0.14430899999999999</v>
      </c>
      <c r="L12" s="1"/>
      <c r="M12" s="1"/>
      <c r="N12" s="18"/>
    </row>
    <row r="13" spans="2:14" ht="15" customHeight="1" x14ac:dyDescent="0.25">
      <c r="B13" s="20"/>
      <c r="C13" s="5" t="s">
        <v>23</v>
      </c>
      <c r="D13" s="6" t="s">
        <v>19</v>
      </c>
      <c r="E13" s="11">
        <v>7.8237000000000001E-2</v>
      </c>
      <c r="F13" s="1"/>
      <c r="G13" s="1"/>
      <c r="H13" s="1"/>
      <c r="I13" s="1"/>
      <c r="J13" s="24" t="s">
        <v>56</v>
      </c>
      <c r="K13" s="28">
        <v>0.122326</v>
      </c>
      <c r="L13" s="1"/>
      <c r="M13" s="1"/>
      <c r="N13" s="18"/>
    </row>
    <row r="14" spans="2:14" ht="15.75" customHeight="1" x14ac:dyDescent="0.25">
      <c r="B14" s="20"/>
      <c r="C14" s="7" t="s">
        <v>28</v>
      </c>
      <c r="D14" s="8"/>
      <c r="E14" s="12">
        <v>0.52511699999999994</v>
      </c>
      <c r="F14" s="1"/>
      <c r="G14" s="1"/>
      <c r="H14" s="1"/>
      <c r="I14" s="1"/>
      <c r="J14" s="24" t="s">
        <v>57</v>
      </c>
      <c r="K14" s="28">
        <v>0.188334</v>
      </c>
      <c r="L14" s="1"/>
      <c r="M14" s="1"/>
      <c r="N14" s="18"/>
    </row>
    <row r="15" spans="2:14" ht="15" customHeight="1" x14ac:dyDescent="0.25">
      <c r="B15" s="20"/>
      <c r="C15" s="5" t="s">
        <v>35</v>
      </c>
      <c r="D15" s="6" t="s">
        <v>19</v>
      </c>
      <c r="E15" s="11">
        <v>0.122326</v>
      </c>
      <c r="F15" s="1"/>
      <c r="G15" s="1"/>
      <c r="H15" s="1"/>
      <c r="I15" s="1"/>
      <c r="J15" s="24"/>
      <c r="K15" s="28"/>
      <c r="L15" s="1"/>
      <c r="M15" s="1"/>
      <c r="N15" s="18"/>
    </row>
    <row r="16" spans="2:14" ht="15.75" customHeight="1" x14ac:dyDescent="0.25">
      <c r="B16" s="20"/>
      <c r="C16" s="7" t="s">
        <v>30</v>
      </c>
      <c r="D16" s="8"/>
      <c r="E16" s="12">
        <v>0.122326</v>
      </c>
      <c r="F16" s="1"/>
      <c r="G16" s="1"/>
      <c r="H16" s="1"/>
      <c r="I16" s="1"/>
      <c r="J16" s="1"/>
      <c r="K16" s="1"/>
      <c r="L16" s="1"/>
      <c r="M16" s="1"/>
      <c r="N16" s="18"/>
    </row>
    <row r="17" spans="2:14" ht="15" customHeight="1" x14ac:dyDescent="0.25">
      <c r="B17" s="20"/>
      <c r="C17" s="5" t="s">
        <v>33</v>
      </c>
      <c r="D17" s="6" t="s">
        <v>32</v>
      </c>
      <c r="E17" s="11">
        <v>9.5860000000000001E-2</v>
      </c>
      <c r="F17" s="1"/>
      <c r="G17" s="1"/>
      <c r="H17" s="1"/>
      <c r="I17" s="1"/>
      <c r="J17" s="1"/>
      <c r="K17" s="1"/>
      <c r="L17" s="1"/>
      <c r="M17" s="1"/>
      <c r="N17" s="18"/>
    </row>
    <row r="18" spans="2:14" ht="15" customHeight="1" x14ac:dyDescent="0.25">
      <c r="B18" s="20"/>
      <c r="C18" s="5" t="s">
        <v>82</v>
      </c>
      <c r="D18" s="6" t="s">
        <v>32</v>
      </c>
      <c r="E18" s="11">
        <v>3.2523999999999997E-2</v>
      </c>
      <c r="F18" s="1"/>
      <c r="G18" s="1"/>
      <c r="H18" s="1"/>
      <c r="I18" s="1"/>
      <c r="J18" s="1"/>
      <c r="K18" s="1"/>
      <c r="L18" s="1"/>
      <c r="M18" s="1"/>
      <c r="N18" s="18"/>
    </row>
    <row r="19" spans="2:14" ht="15" customHeight="1" x14ac:dyDescent="0.25">
      <c r="B19" s="20"/>
      <c r="C19" s="5" t="s">
        <v>41</v>
      </c>
      <c r="D19" s="6" t="s">
        <v>32</v>
      </c>
      <c r="E19" s="11">
        <v>1.5925000000000002E-2</v>
      </c>
      <c r="F19" s="1"/>
      <c r="G19" s="1"/>
      <c r="H19" s="1"/>
      <c r="I19" s="1"/>
      <c r="J19" s="1"/>
      <c r="K19" s="1"/>
      <c r="L19" s="1"/>
      <c r="M19" s="1"/>
      <c r="N19" s="18"/>
    </row>
    <row r="20" spans="2:14" ht="15.75" customHeight="1" x14ac:dyDescent="0.25">
      <c r="B20" s="20"/>
      <c r="C20" s="7" t="s">
        <v>46</v>
      </c>
      <c r="D20" s="8"/>
      <c r="E20" s="12">
        <v>0.14430899999999999</v>
      </c>
      <c r="F20" s="1"/>
      <c r="G20" s="1"/>
      <c r="H20" s="1"/>
      <c r="I20" s="1"/>
      <c r="J20" s="1"/>
      <c r="K20" s="1"/>
      <c r="L20" s="1"/>
      <c r="M20" s="1"/>
      <c r="N20" s="18"/>
    </row>
    <row r="21" spans="2:14" ht="15" customHeight="1" x14ac:dyDescent="0.25">
      <c r="B21" s="20"/>
      <c r="C21" s="5" t="s">
        <v>49</v>
      </c>
      <c r="D21" s="6" t="s">
        <v>48</v>
      </c>
      <c r="E21" s="11">
        <v>0.13956099999999999</v>
      </c>
      <c r="F21" s="1"/>
      <c r="G21" s="1"/>
      <c r="H21" s="1"/>
      <c r="I21" s="1"/>
      <c r="J21" s="1"/>
      <c r="K21" s="1"/>
      <c r="L21" s="1"/>
      <c r="M21" s="1"/>
      <c r="N21" s="18"/>
    </row>
    <row r="22" spans="2:14" ht="15" customHeight="1" x14ac:dyDescent="0.25">
      <c r="B22" s="20"/>
      <c r="C22" s="5" t="s">
        <v>47</v>
      </c>
      <c r="D22" s="6" t="s">
        <v>48</v>
      </c>
      <c r="E22" s="11">
        <v>4.8772999999999997E-2</v>
      </c>
      <c r="F22" s="1"/>
      <c r="G22" s="1"/>
      <c r="H22" s="1"/>
      <c r="I22" s="1"/>
      <c r="J22" s="1"/>
      <c r="K22" s="1"/>
      <c r="L22" s="1"/>
      <c r="M22" s="1"/>
      <c r="N22" s="18"/>
    </row>
    <row r="23" spans="2:14" ht="15.75" customHeight="1" x14ac:dyDescent="0.25">
      <c r="B23" s="20"/>
      <c r="C23" s="7" t="s">
        <v>50</v>
      </c>
      <c r="D23" s="8"/>
      <c r="E23" s="12">
        <v>0.188334</v>
      </c>
      <c r="F23" s="1"/>
      <c r="G23" s="1"/>
      <c r="H23" s="1"/>
      <c r="I23" s="1"/>
      <c r="J23" s="1"/>
      <c r="K23" s="1"/>
      <c r="L23" s="1"/>
      <c r="M23" s="1"/>
      <c r="N23" s="18"/>
    </row>
    <row r="24" spans="2:14" ht="15" customHeight="1" x14ac:dyDescent="0.25">
      <c r="B24" s="20"/>
      <c r="C24" s="5" t="s">
        <v>6</v>
      </c>
      <c r="D24" s="6"/>
      <c r="E24" s="11">
        <v>1.1338000000000001E-2</v>
      </c>
      <c r="F24" s="1"/>
      <c r="G24" s="51" t="s">
        <v>15</v>
      </c>
      <c r="H24" s="52"/>
      <c r="I24" s="52"/>
      <c r="J24" s="52"/>
      <c r="K24" s="52"/>
      <c r="L24" s="42">
        <v>1.1621143199229935</v>
      </c>
      <c r="M24" s="26"/>
      <c r="N24" s="27"/>
    </row>
    <row r="25" spans="2:14" ht="15.75" customHeight="1" x14ac:dyDescent="0.25">
      <c r="B25" s="20"/>
      <c r="C25" s="7" t="s">
        <v>7</v>
      </c>
      <c r="D25" s="8"/>
      <c r="E25" s="12">
        <v>1.1338000000000001E-2</v>
      </c>
      <c r="F25" s="1"/>
      <c r="G25" s="1"/>
      <c r="H25" s="1"/>
      <c r="I25" s="1"/>
      <c r="J25" s="1"/>
      <c r="K25" s="1"/>
      <c r="L25" s="1"/>
      <c r="M25" s="1"/>
      <c r="N25" s="18"/>
    </row>
    <row r="26" spans="2:14" ht="15" customHeight="1" x14ac:dyDescent="0.25">
      <c r="B26" s="20"/>
      <c r="C26" s="5"/>
      <c r="D26" s="6"/>
      <c r="E26" s="11"/>
      <c r="F26" s="1"/>
      <c r="G26" s="51" t="s">
        <v>16</v>
      </c>
      <c r="H26" s="52"/>
      <c r="I26" s="52"/>
      <c r="J26" s="52"/>
      <c r="K26" s="52"/>
      <c r="L26" s="52"/>
      <c r="M26" s="52"/>
      <c r="N26" s="53"/>
    </row>
    <row r="27" spans="2:14" ht="15.75" customHeight="1" x14ac:dyDescent="0.25">
      <c r="B27" s="20"/>
      <c r="C27" s="7" t="s">
        <v>8</v>
      </c>
      <c r="D27" s="8"/>
      <c r="E27" s="12">
        <v>8.5640000000000004E-3</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9" t="s">
        <v>9</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37" t="s">
        <v>125</v>
      </c>
      <c r="D31" s="37"/>
      <c r="E31" s="38">
        <v>0.64500599999999997</v>
      </c>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9.5" customHeight="1" thickBot="1" x14ac:dyDescent="0.3">
      <c r="B45" s="43" t="s">
        <v>267</v>
      </c>
      <c r="C45" s="44"/>
      <c r="D45" s="44"/>
      <c r="E45" s="44"/>
      <c r="F45" s="44"/>
      <c r="G45" s="44"/>
      <c r="H45" s="44"/>
      <c r="I45" s="44"/>
      <c r="J45" s="44"/>
      <c r="K45" s="44"/>
      <c r="L45" s="44"/>
      <c r="M45" s="44"/>
      <c r="N45" s="45"/>
    </row>
    <row r="46" spans="2:14" ht="15" customHeight="1" x14ac:dyDescent="0.25"/>
    <row r="47" spans="2:14" ht="120.75" customHeight="1" x14ac:dyDescent="0.25">
      <c r="B47" s="54"/>
      <c r="C47" s="54"/>
      <c r="D47" s="54"/>
      <c r="E47" s="54"/>
      <c r="F47" s="54"/>
      <c r="G47" s="54"/>
      <c r="H47" s="54"/>
      <c r="I47" s="54"/>
      <c r="J47" s="54"/>
      <c r="K47" s="54"/>
      <c r="L47" s="54"/>
      <c r="M47" s="54"/>
      <c r="N47" s="54"/>
    </row>
    <row r="48" spans="2:14" ht="15" customHeight="1" x14ac:dyDescent="0.25"/>
    <row r="49" ht="15" customHeight="1" x14ac:dyDescent="0.25"/>
    <row r="50" ht="15" customHeight="1" x14ac:dyDescent="0.25"/>
    <row r="51" ht="15" customHeight="1" x14ac:dyDescent="0.25"/>
  </sheetData>
  <mergeCells count="7">
    <mergeCell ref="B45:N45"/>
    <mergeCell ref="B47:N47"/>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FBD8-E33F-41E4-B439-E620305DF4BC}">
  <dimension ref="B1:N46"/>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252</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98</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99</v>
      </c>
      <c r="D8" s="6" t="s">
        <v>100</v>
      </c>
      <c r="E8" s="11">
        <v>0.117397</v>
      </c>
      <c r="F8" s="1"/>
      <c r="G8" s="24" t="s">
        <v>13</v>
      </c>
      <c r="H8" s="28">
        <v>0.49976300000000001</v>
      </c>
      <c r="I8" s="1"/>
      <c r="J8" s="24" t="s">
        <v>10</v>
      </c>
      <c r="K8" s="24" t="s">
        <v>4</v>
      </c>
      <c r="L8" s="1"/>
      <c r="M8" s="1"/>
      <c r="N8" s="18"/>
    </row>
    <row r="9" spans="2:14" ht="15" customHeight="1" x14ac:dyDescent="0.25">
      <c r="B9" s="20"/>
      <c r="C9" s="5" t="s">
        <v>101</v>
      </c>
      <c r="D9" s="6" t="s">
        <v>100</v>
      </c>
      <c r="E9" s="11">
        <v>0.109682</v>
      </c>
      <c r="F9" s="1"/>
      <c r="G9" s="24" t="s">
        <v>107</v>
      </c>
      <c r="H9" s="28">
        <v>0.40890199999999999</v>
      </c>
      <c r="I9" s="1"/>
      <c r="J9" s="24" t="s">
        <v>8</v>
      </c>
      <c r="K9" s="28">
        <v>2.2682000000000001E-2</v>
      </c>
      <c r="L9" s="1"/>
      <c r="M9" s="1"/>
      <c r="N9" s="18"/>
    </row>
    <row r="10" spans="2:14" ht="15" customHeight="1" x14ac:dyDescent="0.25">
      <c r="B10" s="20"/>
      <c r="C10" s="5" t="s">
        <v>102</v>
      </c>
      <c r="D10" s="6" t="s">
        <v>103</v>
      </c>
      <c r="E10" s="11">
        <v>9.1335E-2</v>
      </c>
      <c r="F10" s="1"/>
      <c r="G10" s="24" t="s">
        <v>108</v>
      </c>
      <c r="H10" s="28">
        <v>9.1335E-2</v>
      </c>
      <c r="I10" s="1"/>
      <c r="J10" s="24" t="s">
        <v>11</v>
      </c>
      <c r="K10" s="28">
        <v>5.1207000000000003E-2</v>
      </c>
      <c r="L10" s="1"/>
      <c r="M10" s="1"/>
      <c r="N10" s="18"/>
    </row>
    <row r="11" spans="2:14" ht="15" customHeight="1" x14ac:dyDescent="0.25">
      <c r="B11" s="20"/>
      <c r="C11" s="5" t="s">
        <v>104</v>
      </c>
      <c r="D11" s="6" t="s">
        <v>32</v>
      </c>
      <c r="E11" s="11">
        <v>8.7174000000000001E-2</v>
      </c>
      <c r="F11" s="1"/>
      <c r="G11" s="1"/>
      <c r="H11" s="1"/>
      <c r="I11" s="1"/>
      <c r="J11" s="24" t="s">
        <v>55</v>
      </c>
      <c r="K11" s="28">
        <v>0.58741100000000002</v>
      </c>
      <c r="L11" s="1"/>
      <c r="M11" s="1"/>
      <c r="N11" s="18"/>
    </row>
    <row r="12" spans="2:14" ht="15" customHeight="1" x14ac:dyDescent="0.25">
      <c r="B12" s="20"/>
      <c r="C12" s="31" t="s">
        <v>238</v>
      </c>
      <c r="D12" s="6" t="s">
        <v>100</v>
      </c>
      <c r="E12" s="11">
        <v>5.57E-2</v>
      </c>
      <c r="F12" s="1"/>
      <c r="G12" s="1"/>
      <c r="H12" s="1"/>
      <c r="I12" s="1"/>
      <c r="J12" s="24" t="s">
        <v>57</v>
      </c>
      <c r="K12" s="28">
        <v>0.26332</v>
      </c>
      <c r="L12" s="1"/>
      <c r="M12" s="1"/>
      <c r="N12" s="18"/>
    </row>
    <row r="13" spans="2:14" ht="15" customHeight="1" x14ac:dyDescent="0.25">
      <c r="B13" s="20"/>
      <c r="C13" s="31" t="s">
        <v>239</v>
      </c>
      <c r="D13" s="6" t="s">
        <v>100</v>
      </c>
      <c r="E13" s="11">
        <v>5.4845999999999999E-2</v>
      </c>
      <c r="F13" s="1"/>
      <c r="G13" s="1"/>
      <c r="H13" s="1"/>
      <c r="I13" s="1"/>
      <c r="J13" s="24" t="s">
        <v>70</v>
      </c>
      <c r="K13" s="28">
        <v>7.5380000000000003E-2</v>
      </c>
      <c r="L13" s="1"/>
      <c r="M13" s="1"/>
      <c r="N13" s="18"/>
    </row>
    <row r="14" spans="2:14" ht="15" customHeight="1" x14ac:dyDescent="0.25">
      <c r="B14" s="20"/>
      <c r="C14" s="5" t="s">
        <v>105</v>
      </c>
      <c r="D14" s="6" t="s">
        <v>100</v>
      </c>
      <c r="E14" s="11">
        <v>4.4783000000000003E-2</v>
      </c>
      <c r="F14" s="1"/>
      <c r="G14" s="1"/>
      <c r="H14" s="1"/>
      <c r="I14" s="1"/>
      <c r="J14" s="1"/>
      <c r="K14" s="1"/>
      <c r="L14" s="1"/>
      <c r="M14" s="1"/>
      <c r="N14" s="18"/>
    </row>
    <row r="15" spans="2:14" ht="15" customHeight="1" x14ac:dyDescent="0.25">
      <c r="B15" s="20"/>
      <c r="C15" s="5" t="s">
        <v>106</v>
      </c>
      <c r="D15" s="6" t="s">
        <v>100</v>
      </c>
      <c r="E15" s="11">
        <v>2.6494E-2</v>
      </c>
      <c r="F15" s="1"/>
      <c r="G15" s="1"/>
      <c r="H15" s="1"/>
      <c r="I15" s="1"/>
      <c r="J15" s="1"/>
      <c r="K15" s="1"/>
      <c r="L15" s="1"/>
      <c r="M15" s="1"/>
      <c r="N15" s="18"/>
    </row>
    <row r="16" spans="2:14" ht="15.75" customHeight="1" x14ac:dyDescent="0.25">
      <c r="B16" s="20"/>
      <c r="C16" s="7" t="s">
        <v>46</v>
      </c>
      <c r="D16" s="8"/>
      <c r="E16" s="12">
        <v>0.58741100000000002</v>
      </c>
      <c r="F16" s="1"/>
      <c r="G16" s="1"/>
      <c r="H16" s="1"/>
      <c r="I16" s="1"/>
      <c r="J16" s="1"/>
      <c r="K16" s="1"/>
      <c r="L16" s="1"/>
      <c r="M16" s="1"/>
      <c r="N16" s="18"/>
    </row>
    <row r="17" spans="2:14" ht="15" customHeight="1" x14ac:dyDescent="0.25">
      <c r="B17" s="20"/>
      <c r="C17" s="5" t="s">
        <v>47</v>
      </c>
      <c r="D17" s="6" t="s">
        <v>48</v>
      </c>
      <c r="E17" s="11">
        <v>0.26332</v>
      </c>
      <c r="F17" s="1"/>
      <c r="G17" s="1"/>
      <c r="H17" s="1"/>
      <c r="I17" s="1"/>
      <c r="J17" s="1"/>
      <c r="K17" s="1"/>
      <c r="L17" s="1"/>
      <c r="M17" s="1"/>
      <c r="N17" s="18"/>
    </row>
    <row r="18" spans="2:14" ht="15.75" customHeight="1" x14ac:dyDescent="0.25">
      <c r="B18" s="20"/>
      <c r="C18" s="7" t="s">
        <v>50</v>
      </c>
      <c r="D18" s="8"/>
      <c r="E18" s="12">
        <v>0.26332</v>
      </c>
      <c r="F18" s="1"/>
      <c r="G18" s="1"/>
      <c r="H18" s="1"/>
      <c r="I18" s="1"/>
      <c r="J18" s="1"/>
      <c r="K18" s="1"/>
      <c r="L18" s="1"/>
      <c r="M18" s="1"/>
      <c r="N18" s="18"/>
    </row>
    <row r="19" spans="2:14" ht="15" customHeight="1" x14ac:dyDescent="0.25">
      <c r="B19" s="20"/>
      <c r="C19" s="31" t="s">
        <v>236</v>
      </c>
      <c r="D19" s="6" t="s">
        <v>68</v>
      </c>
      <c r="E19" s="11">
        <v>7.5380000000000003E-2</v>
      </c>
      <c r="F19" s="1"/>
      <c r="G19" s="1"/>
      <c r="H19" s="1"/>
      <c r="I19" s="1"/>
      <c r="J19" s="1"/>
      <c r="K19" s="1"/>
      <c r="L19" s="1"/>
      <c r="M19" s="1"/>
      <c r="N19" s="18"/>
    </row>
    <row r="20" spans="2:14" ht="15.75" customHeight="1" x14ac:dyDescent="0.25">
      <c r="B20" s="20"/>
      <c r="C20" s="7" t="s">
        <v>69</v>
      </c>
      <c r="D20" s="8"/>
      <c r="E20" s="12">
        <v>7.5380000000000003E-2</v>
      </c>
      <c r="F20" s="1"/>
      <c r="G20" s="1"/>
      <c r="H20" s="1"/>
      <c r="I20" s="1"/>
      <c r="J20" s="1"/>
      <c r="K20" s="1"/>
      <c r="L20" s="1"/>
      <c r="M20" s="1"/>
      <c r="N20" s="18"/>
    </row>
    <row r="21" spans="2:14" ht="15" customHeight="1" x14ac:dyDescent="0.25">
      <c r="B21" s="20"/>
      <c r="C21" s="5" t="s">
        <v>6</v>
      </c>
      <c r="D21" s="6"/>
      <c r="E21" s="11">
        <v>5.1207000000000003E-2</v>
      </c>
      <c r="F21" s="1"/>
      <c r="G21" s="1"/>
      <c r="H21" s="1"/>
      <c r="I21" s="1"/>
      <c r="J21" s="1"/>
      <c r="K21" s="1"/>
      <c r="L21" s="1"/>
      <c r="M21" s="1"/>
      <c r="N21" s="18"/>
    </row>
    <row r="22" spans="2:14" ht="15.75" customHeight="1" x14ac:dyDescent="0.25">
      <c r="B22" s="20"/>
      <c r="C22" s="7" t="s">
        <v>7</v>
      </c>
      <c r="D22" s="8"/>
      <c r="E22" s="12">
        <v>5.1207000000000003E-2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8</v>
      </c>
      <c r="D24" s="8"/>
      <c r="E24" s="12">
        <v>2.2682000000000001E-2</v>
      </c>
      <c r="F24" s="1"/>
      <c r="G24" s="51" t="s">
        <v>15</v>
      </c>
      <c r="H24" s="52"/>
      <c r="I24" s="52"/>
      <c r="J24" s="52"/>
      <c r="K24" s="52"/>
      <c r="L24" s="42">
        <v>5.2455929116725102</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9</v>
      </c>
      <c r="D26" s="10"/>
      <c r="E26" s="13">
        <v>1</v>
      </c>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30" t="s">
        <v>235</v>
      </c>
      <c r="D28" s="1"/>
      <c r="E28" s="1"/>
      <c r="F28" s="1"/>
      <c r="G28" s="1"/>
      <c r="H28" s="1"/>
      <c r="I28" s="1"/>
      <c r="J28" s="1"/>
      <c r="K28" s="1"/>
      <c r="L28" s="1"/>
      <c r="M28" s="1"/>
      <c r="N28" s="18"/>
    </row>
    <row r="29" spans="2:14" ht="15" customHeight="1" x14ac:dyDescent="0.25">
      <c r="B29" s="20"/>
      <c r="C29" s="30" t="s">
        <v>237</v>
      </c>
      <c r="D29" s="1"/>
      <c r="E29" s="1"/>
      <c r="F29" s="1"/>
      <c r="G29" s="1"/>
      <c r="H29" s="1"/>
      <c r="I29" s="1"/>
      <c r="J29" s="1"/>
      <c r="K29" s="1"/>
      <c r="L29" s="1"/>
      <c r="M29" s="1"/>
      <c r="N29" s="18"/>
    </row>
    <row r="30" spans="2:14" ht="15" customHeight="1" x14ac:dyDescent="0.25">
      <c r="B30" s="20"/>
      <c r="C30" s="30"/>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9.5" customHeight="1" thickBot="1" x14ac:dyDescent="0.3">
      <c r="B45" s="43" t="s">
        <v>267</v>
      </c>
      <c r="C45" s="44"/>
      <c r="D45" s="44"/>
      <c r="E45" s="44"/>
      <c r="F45" s="44"/>
      <c r="G45" s="44"/>
      <c r="H45" s="44"/>
      <c r="I45" s="44"/>
      <c r="J45" s="44"/>
      <c r="K45" s="44"/>
      <c r="L45" s="44"/>
      <c r="M45" s="44"/>
      <c r="N45" s="45"/>
    </row>
    <row r="46"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9F15-FFFB-406D-963A-8CCD9EF546A5}">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251</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126</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47</v>
      </c>
      <c r="D8" s="6" t="s">
        <v>48</v>
      </c>
      <c r="E8" s="11">
        <v>0.82477299999999998</v>
      </c>
      <c r="F8" s="1"/>
      <c r="G8" s="24" t="s">
        <v>13</v>
      </c>
      <c r="H8" s="25">
        <v>1</v>
      </c>
      <c r="I8" s="1"/>
      <c r="J8" s="24" t="s">
        <v>10</v>
      </c>
      <c r="K8" s="24" t="s">
        <v>4</v>
      </c>
      <c r="L8" s="1"/>
      <c r="M8" s="1"/>
      <c r="N8" s="18"/>
    </row>
    <row r="9" spans="2:14" ht="15" customHeight="1" x14ac:dyDescent="0.25">
      <c r="B9" s="20"/>
      <c r="C9" s="5" t="s">
        <v>62</v>
      </c>
      <c r="D9" s="6" t="s">
        <v>48</v>
      </c>
      <c r="E9" s="11">
        <v>0.15690200000000001</v>
      </c>
      <c r="F9" s="1"/>
      <c r="G9" s="1"/>
      <c r="H9" s="1"/>
      <c r="I9" s="1"/>
      <c r="J9" s="24" t="s">
        <v>8</v>
      </c>
      <c r="K9" s="28">
        <v>1.5790999999999999E-2</v>
      </c>
      <c r="L9" s="1"/>
      <c r="M9" s="1"/>
      <c r="N9" s="18"/>
    </row>
    <row r="10" spans="2:14" ht="15" customHeight="1" x14ac:dyDescent="0.25">
      <c r="B10" s="20"/>
      <c r="C10" s="5" t="s">
        <v>118</v>
      </c>
      <c r="D10" s="6" t="s">
        <v>48</v>
      </c>
      <c r="E10" s="36">
        <v>4.3999999999999999E-5</v>
      </c>
      <c r="F10" s="1"/>
      <c r="G10" s="1"/>
      <c r="H10" s="1"/>
      <c r="I10" s="1"/>
      <c r="J10" s="24" t="s">
        <v>11</v>
      </c>
      <c r="K10" s="28">
        <v>2.49E-3</v>
      </c>
      <c r="L10" s="1"/>
      <c r="M10" s="1"/>
      <c r="N10" s="18"/>
    </row>
    <row r="11" spans="2:14" ht="15.75" customHeight="1" x14ac:dyDescent="0.25">
      <c r="B11" s="20"/>
      <c r="C11" s="7" t="s">
        <v>50</v>
      </c>
      <c r="D11" s="8"/>
      <c r="E11" s="12">
        <v>0.98171900000000001</v>
      </c>
      <c r="F11" s="1"/>
      <c r="G11" s="1"/>
      <c r="H11" s="1"/>
      <c r="I11" s="1"/>
      <c r="J11" s="24" t="s">
        <v>57</v>
      </c>
      <c r="K11" s="28">
        <v>0.98171900000000001</v>
      </c>
      <c r="L11" s="1"/>
      <c r="M11" s="1"/>
      <c r="N11" s="18"/>
    </row>
    <row r="12" spans="2:14" ht="15" customHeight="1" x14ac:dyDescent="0.25">
      <c r="B12" s="20"/>
      <c r="C12" s="5" t="s">
        <v>6</v>
      </c>
      <c r="D12" s="6"/>
      <c r="E12" s="11">
        <v>2.49E-3</v>
      </c>
      <c r="F12" s="1"/>
      <c r="G12" s="1"/>
      <c r="H12" s="1"/>
      <c r="I12" s="1"/>
      <c r="J12" s="1"/>
      <c r="K12" s="1"/>
      <c r="L12" s="1"/>
      <c r="M12" s="1"/>
      <c r="N12" s="18"/>
    </row>
    <row r="13" spans="2:14" ht="15.75" customHeight="1" x14ac:dyDescent="0.25">
      <c r="B13" s="20"/>
      <c r="C13" s="7" t="s">
        <v>7</v>
      </c>
      <c r="D13" s="8"/>
      <c r="E13" s="12">
        <v>2.49E-3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8</v>
      </c>
      <c r="D15" s="8"/>
      <c r="E15" s="12">
        <v>1.5790999999999999E-2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9</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4.5955250948510553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1.5"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4C01-8674-49CC-879E-EFF81DC60EE5}">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250</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127</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128</v>
      </c>
      <c r="D8" s="6" t="s">
        <v>48</v>
      </c>
      <c r="E8" s="11">
        <v>0.96818400000000004</v>
      </c>
      <c r="F8" s="1"/>
      <c r="G8" s="24" t="s">
        <v>13</v>
      </c>
      <c r="H8" s="25">
        <v>1</v>
      </c>
      <c r="I8" s="1"/>
      <c r="J8" s="24" t="s">
        <v>10</v>
      </c>
      <c r="K8" s="24" t="s">
        <v>4</v>
      </c>
      <c r="L8" s="1"/>
      <c r="M8" s="1"/>
      <c r="N8" s="18"/>
    </row>
    <row r="9" spans="2:14" ht="15" customHeight="1" x14ac:dyDescent="0.25">
      <c r="B9" s="20"/>
      <c r="C9" s="5" t="s">
        <v>67</v>
      </c>
      <c r="D9" s="6" t="s">
        <v>48</v>
      </c>
      <c r="E9" s="11">
        <v>1.0415000000000001E-2</v>
      </c>
      <c r="F9" s="1"/>
      <c r="G9" s="1"/>
      <c r="H9" s="1"/>
      <c r="I9" s="1"/>
      <c r="J9" s="24" t="s">
        <v>8</v>
      </c>
      <c r="K9" s="28">
        <v>1.6019999999999999E-3</v>
      </c>
      <c r="L9" s="1"/>
      <c r="M9" s="1"/>
      <c r="N9" s="18"/>
    </row>
    <row r="10" spans="2:14" ht="15" customHeight="1" x14ac:dyDescent="0.25">
      <c r="B10" s="20"/>
      <c r="C10" s="5" t="s">
        <v>64</v>
      </c>
      <c r="D10" s="6" t="s">
        <v>48</v>
      </c>
      <c r="E10" s="11">
        <v>6.9369999999999996E-3</v>
      </c>
      <c r="F10" s="1"/>
      <c r="G10" s="1"/>
      <c r="H10" s="1"/>
      <c r="I10" s="1"/>
      <c r="J10" s="24" t="s">
        <v>11</v>
      </c>
      <c r="K10" s="28">
        <v>7.3829999999999998E-3</v>
      </c>
      <c r="L10" s="1"/>
      <c r="M10" s="1"/>
      <c r="N10" s="18"/>
    </row>
    <row r="11" spans="2:14" ht="15" customHeight="1" x14ac:dyDescent="0.25">
      <c r="B11" s="20"/>
      <c r="C11" s="5" t="s">
        <v>118</v>
      </c>
      <c r="D11" s="6" t="s">
        <v>48</v>
      </c>
      <c r="E11" s="11">
        <v>3.2810000000000001E-3</v>
      </c>
      <c r="F11" s="1"/>
      <c r="G11" s="1"/>
      <c r="H11" s="1"/>
      <c r="I11" s="1"/>
      <c r="J11" s="24" t="s">
        <v>57</v>
      </c>
      <c r="K11" s="28">
        <v>0.99101499999999998</v>
      </c>
      <c r="L11" s="1"/>
      <c r="M11" s="1"/>
      <c r="N11" s="18"/>
    </row>
    <row r="12" spans="2:14" ht="15" customHeight="1" x14ac:dyDescent="0.25">
      <c r="B12" s="20"/>
      <c r="C12" s="5" t="s">
        <v>61</v>
      </c>
      <c r="D12" s="6" t="s">
        <v>48</v>
      </c>
      <c r="E12" s="11">
        <v>2.1979999999999999E-3</v>
      </c>
      <c r="F12" s="1"/>
      <c r="G12" s="1"/>
      <c r="H12" s="1"/>
      <c r="I12" s="1"/>
      <c r="J12" s="1"/>
      <c r="K12" s="1"/>
      <c r="L12" s="1"/>
      <c r="M12" s="1"/>
      <c r="N12" s="18"/>
    </row>
    <row r="13" spans="2:14" ht="15.75" customHeight="1" x14ac:dyDescent="0.25">
      <c r="B13" s="20"/>
      <c r="C13" s="7" t="s">
        <v>50</v>
      </c>
      <c r="D13" s="8"/>
      <c r="E13" s="12">
        <v>0.99101499999999998</v>
      </c>
      <c r="F13" s="1"/>
      <c r="G13" s="1"/>
      <c r="H13" s="1"/>
      <c r="I13" s="1"/>
      <c r="J13" s="1"/>
      <c r="K13" s="1"/>
      <c r="L13" s="1"/>
      <c r="M13" s="1"/>
      <c r="N13" s="18"/>
    </row>
    <row r="14" spans="2:14" ht="15" customHeight="1" x14ac:dyDescent="0.25">
      <c r="B14" s="20"/>
      <c r="C14" s="5" t="s">
        <v>6</v>
      </c>
      <c r="D14" s="6"/>
      <c r="E14" s="11">
        <v>7.3829999999999998E-3</v>
      </c>
      <c r="F14" s="1"/>
      <c r="G14" s="1"/>
      <c r="H14" s="1"/>
      <c r="I14" s="1"/>
      <c r="J14" s="1"/>
      <c r="K14" s="1"/>
      <c r="L14" s="1"/>
      <c r="M14" s="1"/>
      <c r="N14" s="18"/>
    </row>
    <row r="15" spans="2:14" ht="15.75" customHeight="1" x14ac:dyDescent="0.25">
      <c r="B15" s="20"/>
      <c r="C15" s="7" t="s">
        <v>7</v>
      </c>
      <c r="D15" s="8"/>
      <c r="E15" s="12">
        <v>7.3829999999999998E-3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8</v>
      </c>
      <c r="D17" s="8"/>
      <c r="E17" s="12">
        <v>1.6019999999999999E-3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9</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9.3098453933406162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FA3B-D69D-43E8-96A3-A6B3AF346B94}">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249</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113</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49</v>
      </c>
      <c r="D8" s="6" t="s">
        <v>48</v>
      </c>
      <c r="E8" s="11">
        <v>0.51187800000000006</v>
      </c>
      <c r="F8" s="1"/>
      <c r="G8" s="24" t="s">
        <v>13</v>
      </c>
      <c r="H8" s="25">
        <v>1</v>
      </c>
      <c r="I8" s="1"/>
      <c r="J8" s="24" t="s">
        <v>10</v>
      </c>
      <c r="K8" s="24" t="s">
        <v>4</v>
      </c>
      <c r="L8" s="1"/>
      <c r="M8" s="1"/>
      <c r="N8" s="18"/>
    </row>
    <row r="9" spans="2:14" ht="15" customHeight="1" x14ac:dyDescent="0.25">
      <c r="B9" s="20"/>
      <c r="C9" s="5" t="s">
        <v>114</v>
      </c>
      <c r="D9" s="6" t="s">
        <v>48</v>
      </c>
      <c r="E9" s="11">
        <v>0.29302499999999998</v>
      </c>
      <c r="F9" s="1"/>
      <c r="G9" s="1"/>
      <c r="H9" s="1"/>
      <c r="I9" s="1"/>
      <c r="J9" s="24" t="s">
        <v>8</v>
      </c>
      <c r="K9" s="28">
        <v>4.0429999999999997E-3</v>
      </c>
      <c r="L9" s="1"/>
      <c r="M9" s="1"/>
      <c r="N9" s="18"/>
    </row>
    <row r="10" spans="2:14" ht="15" customHeight="1" x14ac:dyDescent="0.25">
      <c r="B10" s="20"/>
      <c r="C10" s="5" t="s">
        <v>115</v>
      </c>
      <c r="D10" s="6" t="s">
        <v>48</v>
      </c>
      <c r="E10" s="11">
        <v>0.14313999999999999</v>
      </c>
      <c r="F10" s="1"/>
      <c r="G10" s="1"/>
      <c r="H10" s="1"/>
      <c r="I10" s="1"/>
      <c r="J10" s="24" t="s">
        <v>11</v>
      </c>
      <c r="K10" s="28">
        <v>1.5615E-2</v>
      </c>
      <c r="L10" s="1"/>
      <c r="M10" s="1"/>
      <c r="N10" s="18"/>
    </row>
    <row r="11" spans="2:14" ht="15" customHeight="1" x14ac:dyDescent="0.25">
      <c r="B11" s="20"/>
      <c r="C11" s="5" t="s">
        <v>116</v>
      </c>
      <c r="D11" s="6" t="s">
        <v>48</v>
      </c>
      <c r="E11" s="11">
        <v>3.2299000000000001E-2</v>
      </c>
      <c r="F11" s="1"/>
      <c r="G11" s="1"/>
      <c r="H11" s="1"/>
      <c r="I11" s="1"/>
      <c r="J11" s="24" t="s">
        <v>57</v>
      </c>
      <c r="K11" s="28">
        <v>0.98034200000000005</v>
      </c>
      <c r="L11" s="1"/>
      <c r="M11" s="1"/>
      <c r="N11" s="18"/>
    </row>
    <row r="12" spans="2:14" ht="15.75" customHeight="1" x14ac:dyDescent="0.25">
      <c r="B12" s="20"/>
      <c r="C12" s="7" t="s">
        <v>50</v>
      </c>
      <c r="D12" s="8"/>
      <c r="E12" s="12">
        <v>0.98034200000000005</v>
      </c>
      <c r="F12" s="1"/>
      <c r="G12" s="1"/>
      <c r="H12" s="1"/>
      <c r="I12" s="1"/>
      <c r="J12" s="1"/>
      <c r="K12" s="1"/>
      <c r="L12" s="1"/>
      <c r="M12" s="1"/>
      <c r="N12" s="18"/>
    </row>
    <row r="13" spans="2:14" ht="15" customHeight="1" x14ac:dyDescent="0.25">
      <c r="B13" s="20"/>
      <c r="C13" s="5" t="s">
        <v>6</v>
      </c>
      <c r="D13" s="6"/>
      <c r="E13" s="11">
        <v>1.5615E-2</v>
      </c>
      <c r="F13" s="1"/>
      <c r="G13" s="1"/>
      <c r="H13" s="1"/>
      <c r="I13" s="1"/>
      <c r="J13" s="1"/>
      <c r="K13" s="1"/>
      <c r="L13" s="1"/>
      <c r="M13" s="1"/>
      <c r="N13" s="18"/>
    </row>
    <row r="14" spans="2:14" ht="15.75" customHeight="1" x14ac:dyDescent="0.25">
      <c r="B14" s="20"/>
      <c r="C14" s="7" t="s">
        <v>7</v>
      </c>
      <c r="D14" s="8"/>
      <c r="E14" s="12">
        <v>1.5615E-2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8</v>
      </c>
      <c r="D16" s="8"/>
      <c r="E16" s="12">
        <v>4.0429999999999997E-3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9</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2.9801852124809098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3.25"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2A67-6C97-414D-B1A2-2636518E022F}">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247</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121</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47</v>
      </c>
      <c r="D8" s="6" t="s">
        <v>48</v>
      </c>
      <c r="E8" s="11">
        <v>0.62014199999999997</v>
      </c>
      <c r="F8" s="1"/>
      <c r="G8" s="24" t="s">
        <v>13</v>
      </c>
      <c r="H8" s="25">
        <v>1</v>
      </c>
      <c r="I8" s="1"/>
      <c r="J8" s="24" t="s">
        <v>10</v>
      </c>
      <c r="K8" s="24" t="s">
        <v>4</v>
      </c>
      <c r="L8" s="1"/>
      <c r="M8" s="1"/>
      <c r="N8" s="18"/>
    </row>
    <row r="9" spans="2:14" ht="15" customHeight="1" x14ac:dyDescent="0.25">
      <c r="B9" s="20"/>
      <c r="C9" s="5" t="s">
        <v>64</v>
      </c>
      <c r="D9" s="6" t="s">
        <v>48</v>
      </c>
      <c r="E9" s="11">
        <v>0.18737000000000001</v>
      </c>
      <c r="F9" s="1"/>
      <c r="G9" s="1"/>
      <c r="H9" s="1"/>
      <c r="I9" s="1"/>
      <c r="J9" s="24" t="s">
        <v>8</v>
      </c>
      <c r="K9" s="28">
        <v>1.0609E-2</v>
      </c>
      <c r="L9" s="1"/>
      <c r="M9" s="1"/>
      <c r="N9" s="18"/>
    </row>
    <row r="10" spans="2:14" ht="15" customHeight="1" x14ac:dyDescent="0.25">
      <c r="B10" s="20"/>
      <c r="C10" s="5" t="s">
        <v>67</v>
      </c>
      <c r="D10" s="6" t="s">
        <v>48</v>
      </c>
      <c r="E10" s="11">
        <v>0.15964999999999999</v>
      </c>
      <c r="F10" s="1"/>
      <c r="G10" s="1"/>
      <c r="H10" s="1"/>
      <c r="I10" s="1"/>
      <c r="J10" s="24" t="s">
        <v>11</v>
      </c>
      <c r="K10" s="28">
        <v>9.8279999999999999E-3</v>
      </c>
      <c r="L10" s="1"/>
      <c r="M10" s="1"/>
      <c r="N10" s="18"/>
    </row>
    <row r="11" spans="2:14" ht="15.75" customHeight="1" x14ac:dyDescent="0.25">
      <c r="B11" s="20"/>
      <c r="C11" s="7" t="s">
        <v>50</v>
      </c>
      <c r="D11" s="8"/>
      <c r="E11" s="12">
        <v>0.96716199999999997</v>
      </c>
      <c r="F11" s="1"/>
      <c r="G11" s="1"/>
      <c r="H11" s="1"/>
      <c r="I11" s="1"/>
      <c r="J11" s="24" t="s">
        <v>57</v>
      </c>
      <c r="K11" s="28">
        <v>0.96716199999999997</v>
      </c>
      <c r="L11" s="1"/>
      <c r="M11" s="1"/>
      <c r="N11" s="18"/>
    </row>
    <row r="12" spans="2:14" ht="15" customHeight="1" x14ac:dyDescent="0.25">
      <c r="B12" s="20"/>
      <c r="C12" s="5" t="s">
        <v>119</v>
      </c>
      <c r="D12" s="6" t="s">
        <v>48</v>
      </c>
      <c r="E12" s="11">
        <v>6.8929999999999998E-3</v>
      </c>
      <c r="F12" s="1"/>
      <c r="G12" s="1"/>
      <c r="H12" s="1"/>
      <c r="I12" s="1"/>
      <c r="J12" s="24" t="s">
        <v>59</v>
      </c>
      <c r="K12" s="28">
        <v>1.2401000000000001E-2</v>
      </c>
      <c r="L12" s="1"/>
      <c r="M12" s="1"/>
      <c r="N12" s="18"/>
    </row>
    <row r="13" spans="2:14" ht="15" customHeight="1" x14ac:dyDescent="0.25">
      <c r="B13" s="20"/>
      <c r="C13" s="5" t="s">
        <v>120</v>
      </c>
      <c r="D13" s="6" t="s">
        <v>48</v>
      </c>
      <c r="E13" s="11">
        <v>5.5079999999999999E-3</v>
      </c>
      <c r="F13" s="1"/>
      <c r="G13" s="1"/>
      <c r="H13" s="1"/>
      <c r="I13" s="1"/>
      <c r="J13" s="1"/>
      <c r="K13" s="1"/>
      <c r="L13" s="1"/>
      <c r="M13" s="1"/>
      <c r="N13" s="18"/>
    </row>
    <row r="14" spans="2:14" ht="15.75" customHeight="1" x14ac:dyDescent="0.25">
      <c r="B14" s="20"/>
      <c r="C14" s="7" t="s">
        <v>53</v>
      </c>
      <c r="D14" s="8"/>
      <c r="E14" s="12">
        <v>1.2401000000000001E-2</v>
      </c>
      <c r="F14" s="1"/>
      <c r="G14" s="1"/>
      <c r="H14" s="1"/>
      <c r="I14" s="1"/>
      <c r="J14" s="1"/>
      <c r="K14" s="1"/>
      <c r="L14" s="1"/>
      <c r="M14" s="1"/>
      <c r="N14" s="18"/>
    </row>
    <row r="15" spans="2:14" ht="15" customHeight="1" x14ac:dyDescent="0.25">
      <c r="B15" s="20"/>
      <c r="C15" s="5" t="s">
        <v>6</v>
      </c>
      <c r="D15" s="6"/>
      <c r="E15" s="11">
        <v>9.8279999999999999E-3</v>
      </c>
      <c r="F15" s="1"/>
      <c r="G15" s="1"/>
      <c r="H15" s="1"/>
      <c r="I15" s="1"/>
      <c r="J15" s="1"/>
      <c r="K15" s="1"/>
      <c r="L15" s="1"/>
      <c r="M15" s="1"/>
      <c r="N15" s="18"/>
    </row>
    <row r="16" spans="2:14" ht="15.75" customHeight="1" x14ac:dyDescent="0.25">
      <c r="B16" s="20"/>
      <c r="C16" s="7" t="s">
        <v>7</v>
      </c>
      <c r="D16" s="8"/>
      <c r="E16" s="12">
        <v>9.8279999999999999E-3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8</v>
      </c>
      <c r="D18" s="8"/>
      <c r="E18" s="12">
        <v>1.0609E-2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9</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4.1527338910193041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7"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DE59-32B9-4BC9-9D22-B0CF65D9393B}">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246</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117</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118</v>
      </c>
      <c r="D8" s="6" t="s">
        <v>48</v>
      </c>
      <c r="E8" s="11">
        <v>0.49381599999999998</v>
      </c>
      <c r="F8" s="1"/>
      <c r="G8" s="24" t="s">
        <v>13</v>
      </c>
      <c r="H8" s="25">
        <v>1</v>
      </c>
      <c r="I8" s="1"/>
      <c r="J8" s="24" t="s">
        <v>10</v>
      </c>
      <c r="K8" s="24" t="s">
        <v>4</v>
      </c>
      <c r="L8" s="1"/>
      <c r="M8" s="1"/>
      <c r="N8" s="18"/>
    </row>
    <row r="9" spans="2:14" ht="15" customHeight="1" x14ac:dyDescent="0.25">
      <c r="B9" s="20"/>
      <c r="C9" s="5" t="s">
        <v>73</v>
      </c>
      <c r="D9" s="6" t="s">
        <v>48</v>
      </c>
      <c r="E9" s="11">
        <v>0.34605399999999997</v>
      </c>
      <c r="F9" s="1"/>
      <c r="G9" s="1"/>
      <c r="H9" s="1"/>
      <c r="I9" s="1"/>
      <c r="J9" s="24" t="s">
        <v>8</v>
      </c>
      <c r="K9" s="28">
        <v>1.7423000000000001E-2</v>
      </c>
      <c r="L9" s="1"/>
      <c r="M9" s="1"/>
      <c r="N9" s="18"/>
    </row>
    <row r="10" spans="2:14" ht="15" customHeight="1" x14ac:dyDescent="0.25">
      <c r="B10" s="20"/>
      <c r="C10" s="5" t="s">
        <v>47</v>
      </c>
      <c r="D10" s="6" t="s">
        <v>48</v>
      </c>
      <c r="E10" s="11">
        <v>0.117961</v>
      </c>
      <c r="F10" s="1"/>
      <c r="G10" s="1"/>
      <c r="H10" s="1"/>
      <c r="I10" s="1"/>
      <c r="J10" s="24" t="s">
        <v>11</v>
      </c>
      <c r="K10" s="28">
        <v>1.4637000000000001E-2</v>
      </c>
      <c r="L10" s="1"/>
      <c r="M10" s="1"/>
      <c r="N10" s="18"/>
    </row>
    <row r="11" spans="2:14" ht="15.75" customHeight="1" x14ac:dyDescent="0.25">
      <c r="B11" s="20"/>
      <c r="C11" s="7" t="s">
        <v>50</v>
      </c>
      <c r="D11" s="8"/>
      <c r="E11" s="12">
        <v>0.95783099999999999</v>
      </c>
      <c r="F11" s="1"/>
      <c r="G11" s="1"/>
      <c r="H11" s="1"/>
      <c r="I11" s="1"/>
      <c r="J11" s="24" t="s">
        <v>57</v>
      </c>
      <c r="K11" s="28">
        <v>0.95783099999999999</v>
      </c>
      <c r="L11" s="1"/>
      <c r="M11" s="1"/>
      <c r="N11" s="18"/>
    </row>
    <row r="12" spans="2:14" ht="15" customHeight="1" x14ac:dyDescent="0.25">
      <c r="B12" s="20"/>
      <c r="C12" s="5" t="s">
        <v>119</v>
      </c>
      <c r="D12" s="6" t="s">
        <v>48</v>
      </c>
      <c r="E12" s="11">
        <v>5.6189999999999999E-3</v>
      </c>
      <c r="F12" s="1"/>
      <c r="G12" s="1"/>
      <c r="H12" s="1"/>
      <c r="I12" s="1"/>
      <c r="J12" s="24" t="s">
        <v>59</v>
      </c>
      <c r="K12" s="28">
        <v>1.0109E-2</v>
      </c>
      <c r="L12" s="1"/>
      <c r="M12" s="1"/>
      <c r="N12" s="18"/>
    </row>
    <row r="13" spans="2:14" ht="15" customHeight="1" x14ac:dyDescent="0.25">
      <c r="B13" s="20"/>
      <c r="C13" s="5" t="s">
        <v>120</v>
      </c>
      <c r="D13" s="6" t="s">
        <v>48</v>
      </c>
      <c r="E13" s="11">
        <v>4.4900000000000001E-3</v>
      </c>
      <c r="F13" s="1"/>
      <c r="G13" s="1"/>
      <c r="H13" s="1"/>
      <c r="I13" s="1"/>
      <c r="J13" s="1"/>
      <c r="K13" s="1"/>
      <c r="L13" s="1"/>
      <c r="M13" s="1"/>
      <c r="N13" s="18"/>
    </row>
    <row r="14" spans="2:14" ht="15.75" customHeight="1" x14ac:dyDescent="0.25">
      <c r="B14" s="20"/>
      <c r="C14" s="7" t="s">
        <v>53</v>
      </c>
      <c r="D14" s="8"/>
      <c r="E14" s="12">
        <v>1.0109E-2</v>
      </c>
      <c r="F14" s="1"/>
      <c r="G14" s="1"/>
      <c r="H14" s="1"/>
      <c r="I14" s="1"/>
      <c r="J14" s="1"/>
      <c r="K14" s="1"/>
      <c r="L14" s="1"/>
      <c r="M14" s="1"/>
      <c r="N14" s="18"/>
    </row>
    <row r="15" spans="2:14" ht="15" customHeight="1" x14ac:dyDescent="0.25">
      <c r="B15" s="20"/>
      <c r="C15" s="5" t="s">
        <v>6</v>
      </c>
      <c r="D15" s="6"/>
      <c r="E15" s="11">
        <v>1.4637000000000001E-2</v>
      </c>
      <c r="F15" s="1"/>
      <c r="G15" s="1"/>
      <c r="H15" s="1"/>
      <c r="I15" s="1"/>
      <c r="J15" s="1"/>
      <c r="K15" s="1"/>
      <c r="L15" s="1"/>
      <c r="M15" s="1"/>
      <c r="N15" s="18"/>
    </row>
    <row r="16" spans="2:14" ht="15.75" customHeight="1" x14ac:dyDescent="0.25">
      <c r="B16" s="20"/>
      <c r="C16" s="7" t="s">
        <v>7</v>
      </c>
      <c r="D16" s="8"/>
      <c r="E16" s="12">
        <v>1.4637000000000001E-2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8</v>
      </c>
      <c r="D18" s="8"/>
      <c r="E18" s="12">
        <v>1.7423000000000001E-2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9</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4.57911539285206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29006-EE5F-4EB6-AF15-94CF60FBBA94}">
  <dimension ref="B1:N45"/>
  <sheetViews>
    <sheetView showGridLines="0" zoomScale="75" zoomScaleNormal="75" workbookViewId="0"/>
  </sheetViews>
  <sheetFormatPr defaultRowHeight="15" x14ac:dyDescent="0.25"/>
  <cols>
    <col min="1" max="1" width="2.85546875" style="29" customWidth="1"/>
    <col min="2" max="2" width="3.85546875" style="29" customWidth="1"/>
    <col min="3" max="3" width="54.28515625" style="29" bestFit="1" customWidth="1"/>
    <col min="4" max="4" width="13.7109375" style="29" customWidth="1"/>
    <col min="5" max="5" width="16.7109375" style="29" customWidth="1"/>
    <col min="6" max="6" width="9.140625" style="29"/>
    <col min="7" max="7" width="10.7109375" style="29" customWidth="1"/>
    <col min="8" max="8" width="9.5703125" style="29" customWidth="1"/>
    <col min="9" max="10" width="9.28515625" style="29" customWidth="1"/>
    <col min="11" max="12" width="16.42578125" style="29" customWidth="1"/>
    <col min="13" max="16384" width="9.140625" style="29"/>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35"/>
      <c r="C3" s="46" t="s">
        <v>248</v>
      </c>
      <c r="D3" s="47"/>
      <c r="E3" s="47"/>
      <c r="F3" s="47"/>
      <c r="G3" s="47"/>
      <c r="H3" s="47"/>
      <c r="I3" s="47"/>
      <c r="J3" s="47"/>
      <c r="K3" s="47"/>
      <c r="L3" s="47"/>
      <c r="M3" s="47"/>
      <c r="N3" s="48"/>
    </row>
    <row r="4" spans="2:14" ht="15.75" customHeight="1" x14ac:dyDescent="0.25">
      <c r="B4" s="35"/>
      <c r="C4" s="14"/>
      <c r="D4" s="30"/>
      <c r="E4" s="30"/>
      <c r="F4" s="30"/>
      <c r="G4" s="30"/>
      <c r="H4" s="30"/>
      <c r="I4" s="30"/>
      <c r="J4" s="30"/>
      <c r="K4" s="30"/>
      <c r="L4" s="30"/>
      <c r="M4" s="30"/>
      <c r="N4" s="34"/>
    </row>
    <row r="5" spans="2:14" ht="18" customHeight="1" x14ac:dyDescent="0.25">
      <c r="B5" s="35"/>
      <c r="C5" s="15" t="s">
        <v>0</v>
      </c>
      <c r="D5" s="49" t="s">
        <v>234</v>
      </c>
      <c r="E5" s="50"/>
      <c r="F5" s="30"/>
      <c r="G5" s="30"/>
      <c r="H5" s="30"/>
      <c r="I5" s="30"/>
      <c r="J5" s="30"/>
      <c r="K5" s="30"/>
      <c r="L5" s="30"/>
      <c r="M5" s="30"/>
      <c r="N5" s="34"/>
    </row>
    <row r="6" spans="2:14" ht="15" customHeight="1" x14ac:dyDescent="0.25">
      <c r="B6" s="35"/>
      <c r="C6" s="30"/>
      <c r="D6" s="30"/>
      <c r="E6" s="30"/>
      <c r="F6" s="30"/>
      <c r="G6" s="30"/>
      <c r="H6" s="30"/>
      <c r="I6" s="30"/>
      <c r="J6" s="30"/>
      <c r="K6" s="30"/>
      <c r="L6" s="30"/>
      <c r="M6" s="30"/>
      <c r="N6" s="34"/>
    </row>
    <row r="7" spans="2:14" ht="32.25" customHeight="1" x14ac:dyDescent="0.25">
      <c r="B7" s="35"/>
      <c r="C7" s="4" t="s">
        <v>2</v>
      </c>
      <c r="D7" s="3" t="s">
        <v>3</v>
      </c>
      <c r="E7" s="2" t="s">
        <v>4</v>
      </c>
      <c r="F7" s="30"/>
      <c r="G7" s="51" t="s">
        <v>14</v>
      </c>
      <c r="H7" s="52"/>
      <c r="I7" s="52"/>
      <c r="J7" s="52"/>
      <c r="K7" s="52"/>
      <c r="L7" s="52"/>
      <c r="M7" s="52"/>
      <c r="N7" s="53"/>
    </row>
    <row r="8" spans="2:14" ht="15" customHeight="1" x14ac:dyDescent="0.25">
      <c r="B8" s="35"/>
      <c r="C8" s="31" t="s">
        <v>63</v>
      </c>
      <c r="D8" s="32" t="s">
        <v>48</v>
      </c>
      <c r="E8" s="33">
        <v>0.18321999999999999</v>
      </c>
      <c r="F8" s="30"/>
      <c r="G8" s="24" t="s">
        <v>13</v>
      </c>
      <c r="H8" s="25">
        <v>1</v>
      </c>
      <c r="I8" s="39"/>
      <c r="J8" s="39" t="s">
        <v>10</v>
      </c>
      <c r="K8" s="39" t="s">
        <v>4</v>
      </c>
      <c r="L8" s="39"/>
      <c r="M8" s="30"/>
      <c r="N8" s="34"/>
    </row>
    <row r="9" spans="2:14" ht="15" customHeight="1" x14ac:dyDescent="0.25">
      <c r="B9" s="35"/>
      <c r="C9" s="31" t="s">
        <v>61</v>
      </c>
      <c r="D9" s="32" t="s">
        <v>48</v>
      </c>
      <c r="E9" s="33">
        <v>0.77990599999999999</v>
      </c>
      <c r="F9" s="30"/>
      <c r="G9" s="30"/>
      <c r="H9" s="30"/>
      <c r="I9" s="39"/>
      <c r="J9" s="39" t="s">
        <v>8</v>
      </c>
      <c r="K9" s="40">
        <f>E14</f>
        <v>7.9120000000000006E-3</v>
      </c>
      <c r="L9" s="39"/>
      <c r="M9" s="30"/>
      <c r="N9" s="34"/>
    </row>
    <row r="10" spans="2:14" ht="15" customHeight="1" x14ac:dyDescent="0.25">
      <c r="B10" s="35"/>
      <c r="C10" s="7" t="s">
        <v>50</v>
      </c>
      <c r="D10" s="8"/>
      <c r="E10" s="12">
        <f>E8+E9</f>
        <v>0.96312599999999993</v>
      </c>
      <c r="F10" s="30"/>
      <c r="G10" s="30"/>
      <c r="H10" s="30"/>
      <c r="I10" s="39"/>
      <c r="J10" s="39" t="s">
        <v>11</v>
      </c>
      <c r="K10" s="40">
        <f>E12</f>
        <v>2.8962000000000002E-2</v>
      </c>
      <c r="L10" s="39"/>
      <c r="M10" s="30"/>
      <c r="N10" s="34"/>
    </row>
    <row r="11" spans="2:14" ht="15" customHeight="1" x14ac:dyDescent="0.25">
      <c r="B11" s="35"/>
      <c r="C11" s="31" t="s">
        <v>6</v>
      </c>
      <c r="D11" s="32"/>
      <c r="E11" s="33">
        <v>2.8962000000000002E-2</v>
      </c>
      <c r="F11" s="30"/>
      <c r="G11" s="30"/>
      <c r="H11" s="30"/>
      <c r="I11" s="39"/>
      <c r="J11" s="39" t="s">
        <v>57</v>
      </c>
      <c r="K11" s="40">
        <f>E10</f>
        <v>0.96312599999999993</v>
      </c>
      <c r="L11" s="39"/>
      <c r="M11" s="30"/>
      <c r="N11" s="34"/>
    </row>
    <row r="12" spans="2:14" ht="15.75" customHeight="1" x14ac:dyDescent="0.25">
      <c r="B12" s="35"/>
      <c r="C12" s="7" t="s">
        <v>7</v>
      </c>
      <c r="D12" s="8"/>
      <c r="E12" s="12">
        <v>2.8962000000000002E-2</v>
      </c>
      <c r="F12" s="30"/>
      <c r="G12" s="30"/>
      <c r="H12" s="30"/>
      <c r="I12" s="39"/>
      <c r="J12" s="39"/>
      <c r="K12" s="39"/>
      <c r="L12" s="39"/>
      <c r="M12" s="30"/>
      <c r="N12" s="34"/>
    </row>
    <row r="13" spans="2:14" ht="15" customHeight="1" x14ac:dyDescent="0.25">
      <c r="B13" s="35"/>
      <c r="C13" s="31"/>
      <c r="D13" s="32"/>
      <c r="E13" s="33"/>
      <c r="F13" s="30"/>
      <c r="G13" s="30"/>
      <c r="H13" s="30"/>
      <c r="I13" s="39"/>
      <c r="J13" s="39"/>
      <c r="K13" s="39"/>
      <c r="L13" s="39"/>
      <c r="M13" s="30"/>
      <c r="N13" s="34"/>
    </row>
    <row r="14" spans="2:14" ht="15.75" customHeight="1" x14ac:dyDescent="0.25">
      <c r="B14" s="35"/>
      <c r="C14" s="7" t="s">
        <v>8</v>
      </c>
      <c r="D14" s="8"/>
      <c r="E14" s="12">
        <v>7.9120000000000006E-3</v>
      </c>
      <c r="F14" s="30"/>
      <c r="G14" s="30"/>
      <c r="H14" s="30"/>
      <c r="I14" s="39"/>
      <c r="J14" s="39"/>
      <c r="K14" s="39"/>
      <c r="L14" s="39"/>
      <c r="M14" s="30"/>
      <c r="N14" s="34"/>
    </row>
    <row r="15" spans="2:14" ht="15" customHeight="1" x14ac:dyDescent="0.25">
      <c r="B15" s="35"/>
      <c r="C15" s="31"/>
      <c r="D15" s="32"/>
      <c r="E15" s="33"/>
      <c r="F15" s="30"/>
      <c r="G15" s="30"/>
      <c r="H15" s="30"/>
      <c r="I15" s="39"/>
      <c r="J15" s="39"/>
      <c r="K15" s="39"/>
      <c r="L15" s="39"/>
      <c r="M15" s="30"/>
      <c r="N15" s="34"/>
    </row>
    <row r="16" spans="2:14" ht="15.75" customHeight="1" x14ac:dyDescent="0.25">
      <c r="B16" s="35"/>
      <c r="C16" s="9" t="s">
        <v>9</v>
      </c>
      <c r="D16" s="10"/>
      <c r="E16" s="13">
        <v>1</v>
      </c>
      <c r="F16" s="30"/>
      <c r="G16" s="30"/>
      <c r="H16" s="30"/>
      <c r="I16" s="39"/>
      <c r="J16" s="39"/>
      <c r="K16" s="39"/>
      <c r="L16" s="39"/>
      <c r="M16" s="30"/>
      <c r="N16" s="34"/>
    </row>
    <row r="17" spans="2:14" ht="15" customHeight="1" x14ac:dyDescent="0.25">
      <c r="B17" s="35"/>
      <c r="F17" s="30"/>
      <c r="G17" s="30"/>
      <c r="H17" s="30"/>
      <c r="I17" s="39"/>
      <c r="J17" s="39"/>
      <c r="K17" s="39"/>
      <c r="L17" s="39"/>
      <c r="M17" s="30"/>
      <c r="N17" s="34"/>
    </row>
    <row r="18" spans="2:14" ht="15" customHeight="1" x14ac:dyDescent="0.25">
      <c r="B18" s="35"/>
      <c r="F18" s="30"/>
      <c r="G18" s="30"/>
      <c r="H18" s="30"/>
      <c r="I18" s="30"/>
      <c r="J18" s="30"/>
      <c r="K18" s="30"/>
      <c r="L18" s="30"/>
      <c r="M18" s="30"/>
      <c r="N18" s="34"/>
    </row>
    <row r="19" spans="2:14" ht="15" customHeight="1" x14ac:dyDescent="0.25">
      <c r="B19" s="35"/>
      <c r="C19" s="30"/>
      <c r="D19" s="30"/>
      <c r="E19" s="30"/>
      <c r="F19" s="30"/>
      <c r="G19" s="30"/>
      <c r="H19" s="30"/>
      <c r="I19" s="30"/>
      <c r="J19" s="30"/>
      <c r="K19" s="30"/>
      <c r="L19" s="30"/>
      <c r="M19" s="30"/>
      <c r="N19" s="34"/>
    </row>
    <row r="20" spans="2:14" ht="15" customHeight="1" x14ac:dyDescent="0.25">
      <c r="B20" s="35"/>
      <c r="C20" s="30"/>
      <c r="D20" s="30"/>
      <c r="E20" s="30"/>
      <c r="F20" s="30"/>
      <c r="G20" s="30"/>
      <c r="H20" s="30"/>
      <c r="I20" s="30"/>
      <c r="J20" s="30"/>
      <c r="K20" s="30"/>
      <c r="L20" s="30"/>
      <c r="M20" s="30"/>
      <c r="N20" s="34"/>
    </row>
    <row r="21" spans="2:14" ht="15" customHeight="1" x14ac:dyDescent="0.25">
      <c r="B21" s="35"/>
      <c r="C21" s="30"/>
      <c r="D21" s="30"/>
      <c r="E21" s="30"/>
      <c r="F21" s="30"/>
      <c r="G21" s="30"/>
      <c r="H21" s="30"/>
      <c r="I21" s="30"/>
      <c r="J21" s="30"/>
      <c r="K21" s="30"/>
      <c r="L21" s="30"/>
      <c r="M21" s="30"/>
      <c r="N21" s="34"/>
    </row>
    <row r="22" spans="2:14" ht="15" customHeight="1" x14ac:dyDescent="0.25">
      <c r="B22" s="35"/>
      <c r="C22" s="30"/>
      <c r="D22" s="30"/>
      <c r="E22" s="30"/>
      <c r="F22" s="30"/>
      <c r="G22" s="30"/>
      <c r="H22" s="30"/>
      <c r="I22" s="30"/>
      <c r="J22" s="30"/>
      <c r="K22" s="30"/>
      <c r="L22" s="30"/>
      <c r="M22" s="30"/>
      <c r="N22" s="34"/>
    </row>
    <row r="23" spans="2:14" ht="15" customHeight="1" x14ac:dyDescent="0.25">
      <c r="B23" s="35"/>
      <c r="C23" s="30"/>
      <c r="D23" s="30"/>
      <c r="E23" s="30"/>
      <c r="F23" s="30"/>
      <c r="G23" s="30"/>
      <c r="H23" s="30"/>
      <c r="I23" s="30"/>
      <c r="J23" s="30"/>
      <c r="K23" s="30"/>
      <c r="L23" s="30"/>
      <c r="M23" s="30"/>
      <c r="N23" s="34"/>
    </row>
    <row r="24" spans="2:14" ht="15" customHeight="1" x14ac:dyDescent="0.25">
      <c r="B24" s="35"/>
      <c r="C24" s="30"/>
      <c r="D24" s="30"/>
      <c r="E24" s="30"/>
      <c r="F24" s="30"/>
      <c r="G24" s="51" t="s">
        <v>15</v>
      </c>
      <c r="H24" s="52"/>
      <c r="I24" s="52"/>
      <c r="J24" s="52"/>
      <c r="K24" s="52"/>
      <c r="L24" s="42">
        <v>8.5405638696465953</v>
      </c>
      <c r="M24" s="26"/>
      <c r="N24" s="27"/>
    </row>
    <row r="25" spans="2:14" ht="15" customHeight="1" x14ac:dyDescent="0.25">
      <c r="B25" s="35"/>
      <c r="C25" s="30"/>
      <c r="D25" s="30"/>
      <c r="E25" s="30"/>
      <c r="F25" s="30"/>
      <c r="G25" s="30"/>
      <c r="H25" s="30"/>
      <c r="I25" s="30"/>
      <c r="J25" s="30"/>
      <c r="K25" s="30"/>
      <c r="L25" s="30"/>
      <c r="M25" s="30"/>
      <c r="N25" s="34"/>
    </row>
    <row r="26" spans="2:14" ht="15" customHeight="1" x14ac:dyDescent="0.25">
      <c r="B26" s="35"/>
      <c r="C26" s="30"/>
      <c r="D26" s="30"/>
      <c r="E26" s="30"/>
      <c r="F26" s="30"/>
      <c r="G26" s="51" t="s">
        <v>16</v>
      </c>
      <c r="H26" s="52"/>
      <c r="I26" s="52"/>
      <c r="J26" s="52"/>
      <c r="K26" s="52"/>
      <c r="L26" s="52"/>
      <c r="M26" s="52"/>
      <c r="N26" s="53"/>
    </row>
    <row r="27" spans="2:14" ht="15" customHeight="1" x14ac:dyDescent="0.25">
      <c r="B27" s="35"/>
      <c r="C27" s="30"/>
      <c r="D27" s="30"/>
      <c r="E27" s="30"/>
      <c r="F27" s="30"/>
      <c r="G27" s="30"/>
      <c r="H27" s="30"/>
      <c r="I27" s="30"/>
      <c r="J27" s="30"/>
      <c r="K27" s="30"/>
      <c r="L27" s="30"/>
      <c r="M27" s="30"/>
      <c r="N27" s="34"/>
    </row>
    <row r="28" spans="2:14" ht="15" customHeight="1" x14ac:dyDescent="0.25">
      <c r="B28" s="35"/>
      <c r="C28" s="30"/>
      <c r="D28" s="30"/>
      <c r="E28" s="30"/>
      <c r="F28" s="30"/>
      <c r="G28" s="30"/>
      <c r="H28" s="30"/>
      <c r="I28" s="30"/>
      <c r="J28" s="30"/>
      <c r="K28" s="30"/>
      <c r="L28" s="30"/>
      <c r="M28" s="30"/>
      <c r="N28" s="34"/>
    </row>
    <row r="29" spans="2:14" ht="15" customHeight="1" x14ac:dyDescent="0.25">
      <c r="B29" s="35"/>
      <c r="C29" s="30"/>
      <c r="D29" s="30"/>
      <c r="E29" s="30"/>
      <c r="F29" s="30"/>
      <c r="G29" s="30"/>
      <c r="H29" s="30"/>
      <c r="I29" s="30"/>
      <c r="J29" s="30"/>
      <c r="K29" s="30"/>
      <c r="L29" s="30"/>
      <c r="M29" s="30"/>
      <c r="N29" s="34"/>
    </row>
    <row r="30" spans="2:14" ht="15" customHeight="1" x14ac:dyDescent="0.25">
      <c r="B30" s="35"/>
      <c r="C30" s="30"/>
      <c r="D30" s="30"/>
      <c r="E30" s="30"/>
      <c r="F30" s="30"/>
      <c r="G30" s="30"/>
      <c r="H30" s="30"/>
      <c r="I30" s="30"/>
      <c r="J30" s="30"/>
      <c r="K30" s="30"/>
      <c r="L30" s="30"/>
      <c r="M30" s="30"/>
      <c r="N30" s="34"/>
    </row>
    <row r="31" spans="2:14" ht="15" customHeight="1" x14ac:dyDescent="0.25">
      <c r="B31" s="35"/>
      <c r="C31" s="30"/>
      <c r="D31" s="30"/>
      <c r="E31" s="30"/>
      <c r="F31" s="30"/>
      <c r="G31" s="30"/>
      <c r="H31" s="30"/>
      <c r="I31" s="30"/>
      <c r="J31" s="30"/>
      <c r="K31" s="30"/>
      <c r="L31" s="30"/>
      <c r="M31" s="30"/>
      <c r="N31" s="34"/>
    </row>
    <row r="32" spans="2:14" ht="15" customHeight="1" x14ac:dyDescent="0.25">
      <c r="B32" s="35"/>
      <c r="C32" s="30"/>
      <c r="D32" s="30"/>
      <c r="E32" s="30"/>
      <c r="F32" s="30"/>
      <c r="G32" s="30"/>
      <c r="H32" s="30"/>
      <c r="I32" s="30"/>
      <c r="J32" s="30"/>
      <c r="K32" s="30"/>
      <c r="L32" s="30"/>
      <c r="M32" s="30"/>
      <c r="N32" s="34"/>
    </row>
    <row r="33" spans="2:14" ht="15" customHeight="1" x14ac:dyDescent="0.25">
      <c r="B33" s="35"/>
      <c r="C33" s="30"/>
      <c r="D33" s="30"/>
      <c r="E33" s="30"/>
      <c r="F33" s="30"/>
      <c r="G33" s="30"/>
      <c r="H33" s="30"/>
      <c r="I33" s="30"/>
      <c r="J33" s="30"/>
      <c r="K33" s="30"/>
      <c r="L33" s="30"/>
      <c r="M33" s="30"/>
      <c r="N33" s="34"/>
    </row>
    <row r="34" spans="2:14" ht="15" customHeight="1" x14ac:dyDescent="0.25">
      <c r="B34" s="35"/>
      <c r="C34" s="30"/>
      <c r="D34" s="30"/>
      <c r="E34" s="30"/>
      <c r="F34" s="30"/>
      <c r="G34" s="30"/>
      <c r="H34" s="30"/>
      <c r="I34" s="30"/>
      <c r="J34" s="30"/>
      <c r="K34" s="30"/>
      <c r="L34" s="30"/>
      <c r="M34" s="30"/>
      <c r="N34" s="34"/>
    </row>
    <row r="35" spans="2:14" ht="15" customHeight="1" x14ac:dyDescent="0.25">
      <c r="B35" s="35"/>
      <c r="C35" s="30"/>
      <c r="D35" s="30"/>
      <c r="E35" s="30"/>
      <c r="F35" s="30"/>
      <c r="G35" s="30"/>
      <c r="H35" s="30"/>
      <c r="I35" s="30"/>
      <c r="J35" s="30"/>
      <c r="K35" s="30"/>
      <c r="L35" s="30"/>
      <c r="M35" s="30"/>
      <c r="N35" s="34"/>
    </row>
    <row r="36" spans="2:14" ht="15" customHeight="1" x14ac:dyDescent="0.25">
      <c r="B36" s="35"/>
      <c r="C36" s="30"/>
      <c r="D36" s="30"/>
      <c r="E36" s="30"/>
      <c r="F36" s="30"/>
      <c r="G36" s="30"/>
      <c r="H36" s="30"/>
      <c r="I36" s="30"/>
      <c r="J36" s="30"/>
      <c r="K36" s="30"/>
      <c r="L36" s="30"/>
      <c r="M36" s="30"/>
      <c r="N36" s="34"/>
    </row>
    <row r="37" spans="2:14" ht="15" customHeight="1" x14ac:dyDescent="0.25">
      <c r="B37" s="35"/>
      <c r="C37" s="30"/>
      <c r="D37" s="30"/>
      <c r="E37" s="30"/>
      <c r="F37" s="30"/>
      <c r="G37" s="30"/>
      <c r="H37" s="30"/>
      <c r="I37" s="30"/>
      <c r="J37" s="30"/>
      <c r="K37" s="30"/>
      <c r="L37" s="30"/>
      <c r="M37" s="30"/>
      <c r="N37" s="34"/>
    </row>
    <row r="38" spans="2:14" ht="15" customHeight="1" x14ac:dyDescent="0.25">
      <c r="B38" s="35"/>
      <c r="C38" s="30"/>
      <c r="D38" s="30"/>
      <c r="E38" s="30"/>
      <c r="F38" s="30"/>
      <c r="G38" s="30"/>
      <c r="H38" s="30"/>
      <c r="I38" s="30"/>
      <c r="J38" s="30"/>
      <c r="K38" s="30"/>
      <c r="L38" s="30"/>
      <c r="M38" s="30"/>
      <c r="N38" s="34"/>
    </row>
    <row r="39" spans="2:14" ht="15" customHeight="1" x14ac:dyDescent="0.25">
      <c r="B39" s="35"/>
      <c r="C39" s="30"/>
      <c r="D39" s="30"/>
      <c r="E39" s="30"/>
      <c r="F39" s="30"/>
      <c r="G39" s="30"/>
      <c r="H39" s="30"/>
      <c r="I39" s="30"/>
      <c r="J39" s="30"/>
      <c r="K39" s="30"/>
      <c r="L39" s="30"/>
      <c r="M39" s="30"/>
      <c r="N39" s="34"/>
    </row>
    <row r="40" spans="2:14" ht="15" customHeight="1" x14ac:dyDescent="0.25">
      <c r="B40" s="35"/>
      <c r="C40" s="30"/>
      <c r="D40" s="30"/>
      <c r="E40" s="30"/>
      <c r="F40" s="30"/>
      <c r="G40" s="30"/>
      <c r="H40" s="30"/>
      <c r="I40" s="30"/>
      <c r="J40" s="30"/>
      <c r="K40" s="30"/>
      <c r="L40" s="30"/>
      <c r="M40" s="30"/>
      <c r="N40" s="34"/>
    </row>
    <row r="41" spans="2:14" ht="15" customHeight="1" x14ac:dyDescent="0.25">
      <c r="B41" s="35"/>
      <c r="C41" s="30"/>
      <c r="D41" s="30"/>
      <c r="E41" s="30"/>
      <c r="F41" s="30"/>
      <c r="G41" s="30"/>
      <c r="H41" s="30"/>
      <c r="I41" s="30"/>
      <c r="J41" s="30"/>
      <c r="K41" s="30"/>
      <c r="L41" s="30"/>
      <c r="M41" s="30"/>
      <c r="N41" s="34"/>
    </row>
    <row r="42" spans="2:14" ht="15" customHeight="1" x14ac:dyDescent="0.25">
      <c r="B42" s="35"/>
      <c r="C42" s="30"/>
      <c r="D42" s="30"/>
      <c r="E42" s="30"/>
      <c r="F42" s="30"/>
      <c r="G42" s="30"/>
      <c r="H42" s="30"/>
      <c r="I42" s="30"/>
      <c r="J42" s="30"/>
      <c r="K42" s="30"/>
      <c r="L42" s="30"/>
      <c r="M42" s="30"/>
      <c r="N42" s="34"/>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43" t="s">
        <v>267</v>
      </c>
      <c r="C45" s="44"/>
      <c r="D45" s="44"/>
      <c r="E45" s="44"/>
      <c r="F45" s="44"/>
      <c r="G45" s="44"/>
      <c r="H45" s="44"/>
      <c r="I45" s="44"/>
      <c r="J45" s="44"/>
      <c r="K45" s="44"/>
      <c r="L45" s="44"/>
      <c r="M45" s="44"/>
      <c r="N45" s="45"/>
    </row>
  </sheetData>
  <mergeCells count="6">
    <mergeCell ref="B45:N45"/>
    <mergeCell ref="C3:N3"/>
    <mergeCell ref="G7:N7"/>
    <mergeCell ref="G26:N26"/>
    <mergeCell ref="D5:E5"/>
    <mergeCell ref="G24:K24"/>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A635-6C0D-4F63-90DC-06F6A975EDB8}">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245</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110</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111</v>
      </c>
      <c r="D8" s="6" t="s">
        <v>48</v>
      </c>
      <c r="E8" s="11">
        <v>0.19176799999999999</v>
      </c>
      <c r="F8" s="1"/>
      <c r="G8" s="24" t="s">
        <v>13</v>
      </c>
      <c r="H8" s="25">
        <v>1</v>
      </c>
      <c r="I8" s="1"/>
      <c r="J8" s="24" t="s">
        <v>10</v>
      </c>
      <c r="K8" s="24" t="s">
        <v>4</v>
      </c>
      <c r="L8" s="1"/>
      <c r="M8" s="1"/>
      <c r="N8" s="18"/>
    </row>
    <row r="9" spans="2:14" ht="15.75" customHeight="1" x14ac:dyDescent="0.25">
      <c r="B9" s="20"/>
      <c r="C9" s="7" t="s">
        <v>50</v>
      </c>
      <c r="D9" s="8"/>
      <c r="E9" s="12">
        <v>0.19176799999999999</v>
      </c>
      <c r="F9" s="1"/>
      <c r="G9" s="1"/>
      <c r="H9" s="1"/>
      <c r="I9" s="1"/>
      <c r="J9" s="24" t="s">
        <v>8</v>
      </c>
      <c r="K9" s="28">
        <v>1.0946000000000001E-2</v>
      </c>
      <c r="L9" s="1"/>
      <c r="M9" s="1"/>
      <c r="N9" s="18"/>
    </row>
    <row r="10" spans="2:14" ht="15" customHeight="1" x14ac:dyDescent="0.25">
      <c r="B10" s="20"/>
      <c r="C10" s="5" t="s">
        <v>200</v>
      </c>
      <c r="D10" s="6" t="s">
        <v>48</v>
      </c>
      <c r="E10" s="11">
        <v>5.0075000000000001E-2</v>
      </c>
      <c r="F10" s="1"/>
      <c r="G10" s="1"/>
      <c r="H10" s="1"/>
      <c r="I10" s="1"/>
      <c r="J10" s="24" t="s">
        <v>11</v>
      </c>
      <c r="K10" s="28">
        <v>1.5096999999999999E-2</v>
      </c>
      <c r="L10" s="1"/>
      <c r="M10" s="1"/>
      <c r="N10" s="18"/>
    </row>
    <row r="11" spans="2:14" ht="15.75" customHeight="1" x14ac:dyDescent="0.25">
      <c r="B11" s="20"/>
      <c r="C11" s="31" t="s">
        <v>201</v>
      </c>
      <c r="D11" s="32" t="s">
        <v>48</v>
      </c>
      <c r="E11" s="33">
        <v>4.9420000000000002E-3</v>
      </c>
      <c r="F11" s="1"/>
      <c r="G11" s="1"/>
      <c r="H11" s="1"/>
      <c r="I11" s="1"/>
      <c r="J11" s="24" t="s">
        <v>57</v>
      </c>
      <c r="K11" s="28">
        <v>0.19176799999999999</v>
      </c>
      <c r="L11" s="1"/>
      <c r="M11" s="1"/>
      <c r="N11" s="18"/>
    </row>
    <row r="12" spans="2:14" ht="15" customHeight="1" x14ac:dyDescent="0.25">
      <c r="B12" s="20"/>
      <c r="C12" s="31" t="s">
        <v>202</v>
      </c>
      <c r="D12" s="32" t="s">
        <v>48</v>
      </c>
      <c r="E12" s="33">
        <v>9.7279000000000004E-2</v>
      </c>
      <c r="F12" s="1"/>
      <c r="G12" s="1"/>
      <c r="H12" s="1"/>
      <c r="I12" s="1"/>
      <c r="J12" s="24" t="s">
        <v>58</v>
      </c>
      <c r="K12" s="28">
        <v>0.78218900000000002</v>
      </c>
      <c r="L12" s="1"/>
      <c r="M12" s="1"/>
      <c r="N12" s="18"/>
    </row>
    <row r="13" spans="2:14" ht="15.75" customHeight="1" x14ac:dyDescent="0.25">
      <c r="B13" s="20"/>
      <c r="C13" s="31" t="s">
        <v>203</v>
      </c>
      <c r="D13" s="32" t="s">
        <v>48</v>
      </c>
      <c r="E13" s="33">
        <v>5.8300000000000001E-3</v>
      </c>
      <c r="F13" s="1"/>
      <c r="G13" s="1"/>
      <c r="H13" s="1"/>
      <c r="I13" s="1"/>
      <c r="J13" s="1"/>
      <c r="K13" s="1"/>
      <c r="L13" s="1"/>
      <c r="M13" s="1"/>
      <c r="N13" s="18"/>
    </row>
    <row r="14" spans="2:14" ht="15" customHeight="1" x14ac:dyDescent="0.25">
      <c r="B14" s="20"/>
      <c r="C14" s="31" t="s">
        <v>204</v>
      </c>
      <c r="D14" s="32" t="s">
        <v>48</v>
      </c>
      <c r="E14" s="33">
        <v>0.10070900000000001</v>
      </c>
      <c r="F14" s="1"/>
      <c r="G14" s="1"/>
      <c r="H14" s="1"/>
      <c r="I14" s="1"/>
      <c r="J14" s="1"/>
      <c r="K14" s="1"/>
      <c r="L14" s="1"/>
      <c r="M14" s="1"/>
      <c r="N14" s="18"/>
    </row>
    <row r="15" spans="2:14" ht="15.75" customHeight="1" x14ac:dyDescent="0.25">
      <c r="B15" s="20"/>
      <c r="C15" s="31" t="s">
        <v>205</v>
      </c>
      <c r="D15" s="32" t="s">
        <v>48</v>
      </c>
      <c r="E15" s="33">
        <v>3.2811E-2</v>
      </c>
      <c r="F15" s="1"/>
      <c r="G15" s="1"/>
      <c r="H15" s="1"/>
      <c r="I15" s="1"/>
      <c r="J15" s="1"/>
      <c r="K15" s="1"/>
      <c r="L15" s="1"/>
      <c r="M15" s="1"/>
      <c r="N15" s="18"/>
    </row>
    <row r="16" spans="2:14" ht="15" customHeight="1" x14ac:dyDescent="0.25">
      <c r="B16" s="20"/>
      <c r="C16" s="31" t="s">
        <v>206</v>
      </c>
      <c r="D16" s="32" t="s">
        <v>48</v>
      </c>
      <c r="E16" s="33">
        <v>5.0016999999999999E-2</v>
      </c>
      <c r="F16" s="1"/>
      <c r="G16" s="1"/>
      <c r="H16" s="1"/>
      <c r="I16" s="1"/>
      <c r="J16" s="1"/>
      <c r="K16" s="1"/>
      <c r="L16" s="1"/>
      <c r="M16" s="1"/>
      <c r="N16" s="18"/>
    </row>
    <row r="17" spans="2:14" ht="15" customHeight="1" x14ac:dyDescent="0.25">
      <c r="B17" s="20"/>
      <c r="C17" s="31" t="s">
        <v>207</v>
      </c>
      <c r="D17" s="32" t="s">
        <v>48</v>
      </c>
      <c r="E17" s="33">
        <v>4.1064999999999997E-2</v>
      </c>
      <c r="F17" s="1"/>
      <c r="G17" s="1"/>
      <c r="H17" s="1"/>
      <c r="I17" s="1"/>
      <c r="J17" s="1"/>
      <c r="K17" s="1"/>
      <c r="L17" s="1"/>
      <c r="M17" s="1"/>
      <c r="N17" s="18"/>
    </row>
    <row r="18" spans="2:14" ht="15" customHeight="1" x14ac:dyDescent="0.25">
      <c r="B18" s="20"/>
      <c r="C18" s="31" t="s">
        <v>208</v>
      </c>
      <c r="D18" s="32" t="s">
        <v>48</v>
      </c>
      <c r="E18" s="33">
        <v>0.177062</v>
      </c>
      <c r="F18" s="1"/>
      <c r="G18" s="1"/>
      <c r="H18" s="1"/>
      <c r="I18" s="1"/>
      <c r="J18" s="1"/>
      <c r="K18" s="1"/>
      <c r="L18" s="1"/>
      <c r="M18" s="1"/>
      <c r="N18" s="18"/>
    </row>
    <row r="19" spans="2:14" ht="15" customHeight="1" x14ac:dyDescent="0.25">
      <c r="B19" s="20"/>
      <c r="C19" s="31" t="s">
        <v>209</v>
      </c>
      <c r="D19" s="32" t="s">
        <v>48</v>
      </c>
      <c r="E19" s="33">
        <v>2.0253E-2</v>
      </c>
      <c r="F19" s="1"/>
      <c r="G19" s="1"/>
      <c r="H19" s="1"/>
      <c r="I19" s="1"/>
      <c r="J19" s="1"/>
      <c r="K19" s="1"/>
      <c r="L19" s="1"/>
      <c r="M19" s="1"/>
      <c r="N19" s="18"/>
    </row>
    <row r="20" spans="2:14" ht="15" customHeight="1" x14ac:dyDescent="0.25">
      <c r="B20" s="20"/>
      <c r="C20" s="31" t="s">
        <v>210</v>
      </c>
      <c r="D20" s="32" t="s">
        <v>48</v>
      </c>
      <c r="E20" s="33">
        <v>4.0483999999999999E-2</v>
      </c>
      <c r="F20" s="1"/>
      <c r="G20" s="1"/>
      <c r="H20" s="1"/>
      <c r="I20" s="1"/>
      <c r="J20" s="1"/>
      <c r="K20" s="1"/>
      <c r="L20" s="1"/>
      <c r="M20" s="1"/>
      <c r="N20" s="18"/>
    </row>
    <row r="21" spans="2:14" ht="15" customHeight="1" x14ac:dyDescent="0.25">
      <c r="B21" s="20"/>
      <c r="C21" s="31" t="s">
        <v>211</v>
      </c>
      <c r="D21" s="32" t="s">
        <v>48</v>
      </c>
      <c r="E21" s="33">
        <v>3.4354000000000003E-2</v>
      </c>
      <c r="F21" s="1"/>
      <c r="G21" s="1"/>
      <c r="H21" s="1"/>
      <c r="I21" s="1"/>
      <c r="J21" s="1"/>
      <c r="K21" s="1"/>
      <c r="L21" s="1"/>
      <c r="M21" s="1"/>
      <c r="N21" s="18"/>
    </row>
    <row r="22" spans="2:14" ht="15" customHeight="1" x14ac:dyDescent="0.25">
      <c r="B22" s="20"/>
      <c r="C22" s="31" t="s">
        <v>154</v>
      </c>
      <c r="D22" s="32" t="s">
        <v>48</v>
      </c>
      <c r="E22" s="33">
        <v>3.5191E-2</v>
      </c>
      <c r="F22" s="1"/>
      <c r="G22" s="1"/>
      <c r="H22" s="1"/>
      <c r="I22" s="1"/>
      <c r="J22" s="1"/>
      <c r="K22" s="1"/>
      <c r="L22" s="1"/>
      <c r="M22" s="1"/>
      <c r="N22" s="18"/>
    </row>
    <row r="23" spans="2:14" ht="15" customHeight="1" x14ac:dyDescent="0.25">
      <c r="B23" s="20"/>
      <c r="C23" s="31" t="s">
        <v>212</v>
      </c>
      <c r="D23" s="32" t="s">
        <v>48</v>
      </c>
      <c r="E23" s="33">
        <v>1.1320999999999999E-2</v>
      </c>
      <c r="F23" s="1"/>
      <c r="G23" s="1"/>
      <c r="H23" s="1"/>
      <c r="I23" s="1"/>
      <c r="J23" s="1"/>
      <c r="K23" s="1"/>
      <c r="L23" s="1"/>
      <c r="M23" s="1"/>
      <c r="N23" s="18"/>
    </row>
    <row r="24" spans="2:14" ht="15" customHeight="1" x14ac:dyDescent="0.25">
      <c r="B24" s="20"/>
      <c r="C24" s="31" t="s">
        <v>213</v>
      </c>
      <c r="D24" s="32" t="s">
        <v>48</v>
      </c>
      <c r="E24" s="33">
        <v>4.0805000000000001E-2</v>
      </c>
      <c r="F24" s="1"/>
      <c r="G24" s="51" t="s">
        <v>15</v>
      </c>
      <c r="H24" s="52"/>
      <c r="I24" s="52"/>
      <c r="J24" s="52"/>
      <c r="K24" s="52"/>
      <c r="L24" s="42">
        <v>3.5821103343478744</v>
      </c>
      <c r="M24" s="26"/>
      <c r="N24" s="27"/>
    </row>
    <row r="25" spans="2:14" ht="15" customHeight="1" x14ac:dyDescent="0.25">
      <c r="B25" s="20"/>
      <c r="C25" s="31" t="s">
        <v>214</v>
      </c>
      <c r="D25" s="32" t="s">
        <v>48</v>
      </c>
      <c r="E25" s="33">
        <v>1.0000999999999999E-2</v>
      </c>
      <c r="F25" s="1"/>
      <c r="G25" s="1"/>
      <c r="H25" s="1"/>
      <c r="I25" s="1"/>
      <c r="J25" s="1"/>
      <c r="K25" s="1"/>
      <c r="L25" s="1"/>
      <c r="M25" s="1"/>
      <c r="N25" s="18"/>
    </row>
    <row r="26" spans="2:14" ht="15" customHeight="1" x14ac:dyDescent="0.25">
      <c r="B26" s="20"/>
      <c r="C26" s="31" t="s">
        <v>215</v>
      </c>
      <c r="D26" s="32" t="s">
        <v>48</v>
      </c>
      <c r="E26" s="33">
        <v>1.9997000000000001E-2</v>
      </c>
      <c r="F26" s="1"/>
      <c r="G26" s="51" t="s">
        <v>16</v>
      </c>
      <c r="H26" s="52"/>
      <c r="I26" s="52"/>
      <c r="J26" s="52"/>
      <c r="K26" s="52"/>
      <c r="L26" s="52"/>
      <c r="M26" s="52"/>
      <c r="N26" s="53"/>
    </row>
    <row r="27" spans="2:14" ht="15" customHeight="1" x14ac:dyDescent="0.25">
      <c r="B27" s="20"/>
      <c r="C27" s="31" t="s">
        <v>216</v>
      </c>
      <c r="D27" s="32" t="s">
        <v>48</v>
      </c>
      <c r="E27" s="33">
        <v>9.9930000000000001E-3</v>
      </c>
      <c r="F27" s="1"/>
      <c r="G27" s="1"/>
      <c r="H27" s="1"/>
      <c r="I27" s="1"/>
      <c r="J27" s="1"/>
      <c r="K27" s="1"/>
      <c r="L27" s="1"/>
      <c r="M27" s="1"/>
      <c r="N27" s="18"/>
    </row>
    <row r="28" spans="2:14" ht="15" customHeight="1" x14ac:dyDescent="0.25">
      <c r="B28" s="20"/>
      <c r="C28" s="7" t="s">
        <v>51</v>
      </c>
      <c r="D28" s="8"/>
      <c r="E28" s="12">
        <v>0.78218900000000002</v>
      </c>
      <c r="F28" s="1"/>
      <c r="G28" s="1"/>
      <c r="H28" s="1"/>
      <c r="I28" s="1"/>
      <c r="J28" s="1"/>
      <c r="K28" s="1"/>
      <c r="L28" s="1"/>
      <c r="M28" s="1"/>
      <c r="N28" s="18"/>
    </row>
    <row r="29" spans="2:14" ht="15" customHeight="1" x14ac:dyDescent="0.25">
      <c r="B29" s="20"/>
      <c r="C29" s="5" t="s">
        <v>6</v>
      </c>
      <c r="D29" s="6"/>
      <c r="E29" s="11">
        <v>1.5096999999999999E-2</v>
      </c>
      <c r="F29" s="1"/>
      <c r="G29" s="1"/>
      <c r="H29" s="1"/>
      <c r="I29" s="1"/>
      <c r="J29" s="1"/>
      <c r="K29" s="1"/>
      <c r="L29" s="1"/>
      <c r="M29" s="1"/>
      <c r="N29" s="18"/>
    </row>
    <row r="30" spans="2:14" ht="15" customHeight="1" x14ac:dyDescent="0.25">
      <c r="B30" s="20"/>
      <c r="C30" s="7" t="s">
        <v>7</v>
      </c>
      <c r="D30" s="8"/>
      <c r="E30" s="12">
        <v>1.5096999999999999E-2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8</v>
      </c>
      <c r="D32" s="8"/>
      <c r="E32" s="12">
        <v>1.0946000000000001E-2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9</v>
      </c>
      <c r="D34" s="10"/>
      <c r="E34" s="13">
        <v>1</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99EE8-BDB6-4CC5-9113-C602C8185E42}">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244</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112</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47</v>
      </c>
      <c r="D8" s="6" t="s">
        <v>48</v>
      </c>
      <c r="E8" s="11">
        <v>0.371836</v>
      </c>
      <c r="F8" s="1"/>
      <c r="G8" s="24" t="s">
        <v>13</v>
      </c>
      <c r="H8" s="25">
        <v>1</v>
      </c>
      <c r="I8" s="1"/>
      <c r="J8" s="24" t="s">
        <v>10</v>
      </c>
      <c r="K8" s="24" t="s">
        <v>4</v>
      </c>
      <c r="L8" s="1"/>
      <c r="M8" s="1"/>
      <c r="N8" s="18"/>
    </row>
    <row r="9" spans="2:14" ht="15.75" customHeight="1" x14ac:dyDescent="0.25">
      <c r="B9" s="20"/>
      <c r="C9" s="7" t="s">
        <v>50</v>
      </c>
      <c r="D9" s="8"/>
      <c r="E9" s="12">
        <v>0.371836</v>
      </c>
      <c r="F9" s="1"/>
      <c r="G9" s="1"/>
      <c r="H9" s="1"/>
      <c r="I9" s="1"/>
      <c r="J9" s="24" t="s">
        <v>8</v>
      </c>
      <c r="K9" s="28">
        <v>1.4357E-2</v>
      </c>
      <c r="L9" s="1"/>
      <c r="M9" s="1"/>
      <c r="N9" s="18"/>
    </row>
    <row r="10" spans="2:14" ht="15" customHeight="1" x14ac:dyDescent="0.25">
      <c r="B10" s="20"/>
      <c r="C10" s="5" t="s">
        <v>218</v>
      </c>
      <c r="D10" s="6" t="s">
        <v>48</v>
      </c>
      <c r="E10" s="11">
        <v>0.208094</v>
      </c>
      <c r="F10" s="1"/>
      <c r="G10" s="1"/>
      <c r="H10" s="1"/>
      <c r="I10" s="1"/>
      <c r="J10" s="24" t="s">
        <v>11</v>
      </c>
      <c r="K10" s="28">
        <v>5.6605999999999997E-2</v>
      </c>
      <c r="L10" s="1"/>
      <c r="M10" s="1"/>
      <c r="N10" s="18"/>
    </row>
    <row r="11" spans="2:14" ht="15.75" customHeight="1" x14ac:dyDescent="0.25">
      <c r="B11" s="20"/>
      <c r="C11" s="31" t="s">
        <v>219</v>
      </c>
      <c r="D11" s="32" t="s">
        <v>48</v>
      </c>
      <c r="E11" s="33">
        <v>0.14236199999999999</v>
      </c>
      <c r="F11" s="1"/>
      <c r="G11" s="1"/>
      <c r="H11" s="1"/>
      <c r="I11" s="1"/>
      <c r="J11" s="24" t="s">
        <v>57</v>
      </c>
      <c r="K11" s="28">
        <v>0.371836</v>
      </c>
      <c r="L11" s="1"/>
      <c r="M11" s="1"/>
      <c r="N11" s="18"/>
    </row>
    <row r="12" spans="2:14" ht="15" customHeight="1" x14ac:dyDescent="0.25">
      <c r="B12" s="20"/>
      <c r="C12" s="31" t="s">
        <v>171</v>
      </c>
      <c r="D12" s="32" t="s">
        <v>48</v>
      </c>
      <c r="E12" s="33">
        <v>0.13017500000000001</v>
      </c>
      <c r="F12" s="1"/>
      <c r="G12" s="1"/>
      <c r="H12" s="1"/>
      <c r="I12" s="1"/>
      <c r="J12" s="24" t="s">
        <v>58</v>
      </c>
      <c r="K12" s="28">
        <v>0.55720099999999995</v>
      </c>
      <c r="L12" s="1"/>
      <c r="M12" s="1"/>
      <c r="N12" s="18"/>
    </row>
    <row r="13" spans="2:14" ht="15.75" customHeight="1" x14ac:dyDescent="0.25">
      <c r="B13" s="20"/>
      <c r="C13" s="31" t="s">
        <v>220</v>
      </c>
      <c r="D13" s="32" t="s">
        <v>48</v>
      </c>
      <c r="E13" s="33">
        <v>6.7548999999999998E-2</v>
      </c>
      <c r="F13" s="1"/>
      <c r="G13" s="1"/>
      <c r="H13" s="1"/>
      <c r="I13" s="1"/>
      <c r="J13" s="1"/>
      <c r="K13" s="1"/>
      <c r="L13" s="1"/>
      <c r="M13" s="1"/>
      <c r="N13" s="18"/>
    </row>
    <row r="14" spans="2:14" ht="15" customHeight="1" x14ac:dyDescent="0.25">
      <c r="B14" s="20"/>
      <c r="C14" s="31" t="s">
        <v>217</v>
      </c>
      <c r="D14" s="32" t="s">
        <v>48</v>
      </c>
      <c r="E14" s="33">
        <v>9.0209999999999995E-3</v>
      </c>
      <c r="F14" s="1"/>
      <c r="G14" s="1"/>
      <c r="H14" s="1"/>
      <c r="I14" s="1"/>
      <c r="J14" s="1"/>
      <c r="K14" s="1"/>
      <c r="L14" s="1"/>
      <c r="M14" s="1"/>
      <c r="N14" s="18"/>
    </row>
    <row r="15" spans="2:14" ht="15.75" customHeight="1" x14ac:dyDescent="0.25">
      <c r="B15" s="20"/>
      <c r="C15" s="7" t="s">
        <v>51</v>
      </c>
      <c r="D15" s="8"/>
      <c r="E15" s="12">
        <v>0.55720099999999995</v>
      </c>
      <c r="F15" s="1"/>
      <c r="G15" s="1"/>
      <c r="H15" s="1"/>
      <c r="I15" s="1"/>
      <c r="J15" s="1"/>
      <c r="K15" s="1"/>
      <c r="L15" s="1"/>
      <c r="M15" s="1"/>
      <c r="N15" s="18"/>
    </row>
    <row r="16" spans="2:14" ht="15" customHeight="1" x14ac:dyDescent="0.25">
      <c r="B16" s="20"/>
      <c r="C16" s="5" t="s">
        <v>6</v>
      </c>
      <c r="D16" s="6"/>
      <c r="E16" s="11">
        <v>5.6605999999999997E-2</v>
      </c>
      <c r="F16" s="1"/>
      <c r="G16" s="1"/>
      <c r="H16" s="1"/>
      <c r="I16" s="1"/>
      <c r="J16" s="1"/>
      <c r="K16" s="1"/>
      <c r="L16" s="1"/>
      <c r="M16" s="1"/>
      <c r="N16" s="18"/>
    </row>
    <row r="17" spans="2:14" ht="15" customHeight="1" x14ac:dyDescent="0.25">
      <c r="B17" s="20"/>
      <c r="C17" s="7" t="s">
        <v>7</v>
      </c>
      <c r="D17" s="8"/>
      <c r="E17" s="12">
        <v>5.6605999999999997E-2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7" t="s">
        <v>8</v>
      </c>
      <c r="D19" s="8"/>
      <c r="E19" s="12">
        <v>1.4357E-2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9</v>
      </c>
      <c r="D21" s="10"/>
      <c r="E21" s="13">
        <v>1</v>
      </c>
      <c r="F21" s="1"/>
      <c r="G21" s="1"/>
      <c r="H21" s="1"/>
      <c r="I21" s="1"/>
      <c r="J21" s="1"/>
      <c r="K21" s="1"/>
      <c r="L21" s="1"/>
      <c r="M21" s="1"/>
      <c r="N21" s="18"/>
    </row>
    <row r="22" spans="2:14" ht="15" customHeight="1" x14ac:dyDescent="0.25">
      <c r="B22" s="20"/>
      <c r="F22" s="1"/>
      <c r="G22" s="1"/>
      <c r="H22" s="1"/>
      <c r="I22" s="1"/>
      <c r="J22" s="1"/>
      <c r="K22" s="1"/>
      <c r="L22" s="1"/>
      <c r="M22" s="1"/>
      <c r="N22" s="18"/>
    </row>
    <row r="23" spans="2:14" ht="15" customHeight="1" x14ac:dyDescent="0.25">
      <c r="B23" s="20"/>
      <c r="F23" s="1"/>
      <c r="G23" s="1"/>
      <c r="H23" s="1"/>
      <c r="I23" s="1"/>
      <c r="J23" s="1"/>
      <c r="K23" s="1"/>
      <c r="L23" s="1"/>
      <c r="M23" s="1"/>
      <c r="N23" s="18"/>
    </row>
    <row r="24" spans="2:14" ht="15" customHeight="1" x14ac:dyDescent="0.25">
      <c r="B24" s="20"/>
      <c r="F24" s="1"/>
      <c r="G24" s="51" t="s">
        <v>15</v>
      </c>
      <c r="H24" s="52"/>
      <c r="I24" s="52"/>
      <c r="J24" s="52"/>
      <c r="K24" s="52"/>
      <c r="L24" s="42">
        <v>4.160117562387069</v>
      </c>
      <c r="M24" s="26"/>
      <c r="N24" s="27"/>
    </row>
    <row r="25" spans="2:14" ht="15" customHeight="1" x14ac:dyDescent="0.25">
      <c r="B25" s="20"/>
      <c r="F25" s="1"/>
      <c r="G25" s="1"/>
      <c r="H25" s="1"/>
      <c r="I25" s="1"/>
      <c r="J25" s="1"/>
      <c r="K25" s="1"/>
      <c r="L25" s="1"/>
      <c r="M25" s="1"/>
      <c r="N25" s="18"/>
    </row>
    <row r="26" spans="2:14" ht="15" customHeight="1" x14ac:dyDescent="0.25">
      <c r="B26" s="20"/>
      <c r="F26" s="1"/>
      <c r="G26" s="51" t="s">
        <v>16</v>
      </c>
      <c r="H26" s="52"/>
      <c r="I26" s="52"/>
      <c r="J26" s="52"/>
      <c r="K26" s="52"/>
      <c r="L26" s="52"/>
      <c r="M26" s="52"/>
      <c r="N26" s="53"/>
    </row>
    <row r="27" spans="2:14" ht="15" customHeight="1" x14ac:dyDescent="0.25">
      <c r="B27" s="20"/>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43" t="s">
        <v>267</v>
      </c>
      <c r="C45" s="44"/>
      <c r="D45" s="44"/>
      <c r="E45" s="44"/>
      <c r="F45" s="44"/>
      <c r="G45" s="44"/>
      <c r="H45" s="44"/>
      <c r="I45" s="44"/>
      <c r="J45" s="44"/>
      <c r="K45" s="44"/>
      <c r="L45" s="44"/>
      <c r="M45" s="44"/>
      <c r="N45" s="45"/>
    </row>
  </sheetData>
  <sortState ref="C10:E14">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BA2A0-B534-4610-85CB-A03CB8FD4F2F}">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243</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109</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61</v>
      </c>
      <c r="D8" s="6" t="s">
        <v>48</v>
      </c>
      <c r="E8" s="11">
        <v>0.17374700000000001</v>
      </c>
      <c r="F8" s="1"/>
      <c r="G8" s="24" t="s">
        <v>13</v>
      </c>
      <c r="H8" s="25">
        <v>1</v>
      </c>
      <c r="I8" s="1"/>
      <c r="J8" s="24" t="s">
        <v>10</v>
      </c>
      <c r="K8" s="24" t="s">
        <v>4</v>
      </c>
      <c r="L8" s="1"/>
      <c r="M8" s="1"/>
      <c r="N8" s="18"/>
    </row>
    <row r="9" spans="2:14" ht="15.75" customHeight="1" x14ac:dyDescent="0.25">
      <c r="B9" s="20"/>
      <c r="C9" s="7" t="s">
        <v>50</v>
      </c>
      <c r="D9" s="8"/>
      <c r="E9" s="12">
        <v>0.17374700000000001</v>
      </c>
      <c r="F9" s="1"/>
      <c r="G9" s="1"/>
      <c r="H9" s="1"/>
      <c r="I9" s="1"/>
      <c r="J9" s="24" t="s">
        <v>8</v>
      </c>
      <c r="K9" s="28">
        <v>1.3311999999999999E-2</v>
      </c>
      <c r="L9" s="1"/>
      <c r="M9" s="1"/>
      <c r="N9" s="18"/>
    </row>
    <row r="10" spans="2:14" ht="15" customHeight="1" x14ac:dyDescent="0.25">
      <c r="B10" s="20"/>
      <c r="C10" s="5" t="s">
        <v>228</v>
      </c>
      <c r="D10" s="6" t="s">
        <v>48</v>
      </c>
      <c r="E10" s="11">
        <v>0.126716</v>
      </c>
      <c r="F10" s="1"/>
      <c r="G10" s="1"/>
      <c r="H10" s="1"/>
      <c r="I10" s="1"/>
      <c r="J10" s="24" t="s">
        <v>11</v>
      </c>
      <c r="K10" s="28">
        <v>4.4207000000000003E-2</v>
      </c>
      <c r="L10" s="1"/>
      <c r="M10" s="1"/>
      <c r="N10" s="18"/>
    </row>
    <row r="11" spans="2:14" ht="15.75" customHeight="1" x14ac:dyDescent="0.25">
      <c r="B11" s="20"/>
      <c r="C11" s="31" t="s">
        <v>229</v>
      </c>
      <c r="D11" s="32" t="s">
        <v>48</v>
      </c>
      <c r="E11" s="33">
        <v>0.111585</v>
      </c>
      <c r="F11" s="1"/>
      <c r="G11" s="1"/>
      <c r="H11" s="1"/>
      <c r="I11" s="1"/>
      <c r="J11" s="24" t="s">
        <v>57</v>
      </c>
      <c r="K11" s="28">
        <v>0.17374700000000001</v>
      </c>
      <c r="L11" s="1"/>
      <c r="M11" s="1"/>
      <c r="N11" s="18"/>
    </row>
    <row r="12" spans="2:14" ht="15" customHeight="1" x14ac:dyDescent="0.25">
      <c r="B12" s="20"/>
      <c r="C12" s="31" t="s">
        <v>224</v>
      </c>
      <c r="D12" s="32" t="s">
        <v>48</v>
      </c>
      <c r="E12" s="33">
        <v>0.107697</v>
      </c>
      <c r="F12" s="1"/>
      <c r="G12" s="1"/>
      <c r="H12" s="1"/>
      <c r="I12" s="1"/>
      <c r="J12" s="24" t="s">
        <v>58</v>
      </c>
      <c r="K12" s="28">
        <v>0.76873400000000003</v>
      </c>
      <c r="L12" s="1"/>
      <c r="M12" s="1"/>
      <c r="N12" s="18"/>
    </row>
    <row r="13" spans="2:14" ht="15.75" customHeight="1" x14ac:dyDescent="0.25">
      <c r="B13" s="20"/>
      <c r="C13" s="31" t="s">
        <v>233</v>
      </c>
      <c r="D13" s="32" t="s">
        <v>48</v>
      </c>
      <c r="E13" s="33">
        <v>8.9250999999999997E-2</v>
      </c>
      <c r="F13" s="1"/>
      <c r="G13" s="1"/>
      <c r="H13" s="1"/>
      <c r="I13" s="1"/>
      <c r="J13" s="1"/>
      <c r="K13" s="1"/>
      <c r="L13" s="1"/>
      <c r="M13" s="1"/>
      <c r="N13" s="18"/>
    </row>
    <row r="14" spans="2:14" ht="15" customHeight="1" x14ac:dyDescent="0.25">
      <c r="B14" s="20"/>
      <c r="C14" s="31" t="s">
        <v>226</v>
      </c>
      <c r="D14" s="32" t="s">
        <v>48</v>
      </c>
      <c r="E14" s="33">
        <v>5.9819999999999998E-2</v>
      </c>
      <c r="F14" s="1"/>
      <c r="G14" s="1"/>
      <c r="H14" s="1"/>
      <c r="I14" s="1"/>
      <c r="J14" s="1"/>
      <c r="K14" s="1"/>
      <c r="L14" s="1"/>
      <c r="M14" s="1"/>
      <c r="N14" s="18"/>
    </row>
    <row r="15" spans="2:14" ht="15.75" customHeight="1" x14ac:dyDescent="0.25">
      <c r="B15" s="20"/>
      <c r="C15" s="31" t="s">
        <v>221</v>
      </c>
      <c r="D15" s="32" t="s">
        <v>48</v>
      </c>
      <c r="E15" s="33">
        <v>5.6771000000000002E-2</v>
      </c>
      <c r="F15" s="1"/>
      <c r="G15" s="1"/>
      <c r="H15" s="1"/>
      <c r="I15" s="1"/>
      <c r="J15" s="1"/>
      <c r="K15" s="1"/>
      <c r="L15" s="1"/>
      <c r="M15" s="1"/>
      <c r="N15" s="18"/>
    </row>
    <row r="16" spans="2:14" ht="15" customHeight="1" x14ac:dyDescent="0.25">
      <c r="B16" s="20"/>
      <c r="C16" s="31" t="s">
        <v>227</v>
      </c>
      <c r="D16" s="32" t="s">
        <v>48</v>
      </c>
      <c r="E16" s="33">
        <v>5.6356000000000003E-2</v>
      </c>
      <c r="F16" s="1"/>
      <c r="G16" s="1"/>
      <c r="H16" s="1"/>
      <c r="I16" s="1"/>
      <c r="J16" s="1"/>
      <c r="K16" s="1"/>
      <c r="L16" s="1"/>
      <c r="M16" s="1"/>
      <c r="N16" s="18"/>
    </row>
    <row r="17" spans="2:14" ht="15" customHeight="1" x14ac:dyDescent="0.25">
      <c r="B17" s="20"/>
      <c r="C17" s="31" t="s">
        <v>223</v>
      </c>
      <c r="D17" s="32" t="s">
        <v>48</v>
      </c>
      <c r="E17" s="33">
        <v>5.4009000000000001E-2</v>
      </c>
      <c r="F17" s="1"/>
      <c r="G17" s="1"/>
      <c r="H17" s="1"/>
      <c r="I17" s="1"/>
      <c r="J17" s="1"/>
      <c r="K17" s="1"/>
      <c r="L17" s="1"/>
      <c r="M17" s="1"/>
      <c r="N17" s="18"/>
    </row>
    <row r="18" spans="2:14" ht="15" customHeight="1" x14ac:dyDescent="0.25">
      <c r="B18" s="20"/>
      <c r="C18" s="31" t="s">
        <v>232</v>
      </c>
      <c r="D18" s="32" t="s">
        <v>48</v>
      </c>
      <c r="E18" s="33">
        <v>3.3341000000000003E-2</v>
      </c>
      <c r="F18" s="1"/>
      <c r="G18" s="1"/>
      <c r="H18" s="1"/>
      <c r="I18" s="1"/>
      <c r="J18" s="1"/>
      <c r="K18" s="1"/>
      <c r="L18" s="1"/>
      <c r="M18" s="1"/>
      <c r="N18" s="18"/>
    </row>
    <row r="19" spans="2:14" ht="15" customHeight="1" x14ac:dyDescent="0.25">
      <c r="B19" s="20"/>
      <c r="C19" s="31" t="s">
        <v>231</v>
      </c>
      <c r="D19" s="32" t="s">
        <v>48</v>
      </c>
      <c r="E19" s="33">
        <v>2.717E-2</v>
      </c>
      <c r="F19" s="1"/>
      <c r="G19" s="1"/>
      <c r="H19" s="1"/>
      <c r="I19" s="1"/>
      <c r="J19" s="1"/>
      <c r="K19" s="1"/>
      <c r="L19" s="1"/>
      <c r="M19" s="1"/>
      <c r="N19" s="18"/>
    </row>
    <row r="20" spans="2:14" ht="15" customHeight="1" x14ac:dyDescent="0.25">
      <c r="B20" s="20"/>
      <c r="C20" s="31" t="s">
        <v>230</v>
      </c>
      <c r="D20" s="32" t="s">
        <v>48</v>
      </c>
      <c r="E20" s="33">
        <v>2.1239000000000001E-2</v>
      </c>
      <c r="F20" s="1"/>
      <c r="G20" s="1"/>
      <c r="H20" s="1"/>
      <c r="I20" s="1"/>
      <c r="J20" s="1"/>
      <c r="K20" s="1"/>
      <c r="L20" s="1"/>
      <c r="M20" s="1"/>
      <c r="N20" s="18"/>
    </row>
    <row r="21" spans="2:14" ht="15" customHeight="1" x14ac:dyDescent="0.25">
      <c r="B21" s="20"/>
      <c r="C21" s="31" t="s">
        <v>225</v>
      </c>
      <c r="D21" s="32" t="s">
        <v>48</v>
      </c>
      <c r="E21" s="33">
        <v>1.5205E-2</v>
      </c>
      <c r="F21" s="1"/>
      <c r="G21" s="1"/>
      <c r="H21" s="1"/>
      <c r="I21" s="1"/>
      <c r="J21" s="1"/>
      <c r="K21" s="1"/>
      <c r="L21" s="1"/>
      <c r="M21" s="1"/>
      <c r="N21" s="18"/>
    </row>
    <row r="22" spans="2:14" ht="15" customHeight="1" x14ac:dyDescent="0.25">
      <c r="B22" s="20"/>
      <c r="C22" s="31" t="s">
        <v>222</v>
      </c>
      <c r="D22" s="32" t="s">
        <v>48</v>
      </c>
      <c r="E22" s="33">
        <v>9.5739999999999992E-3</v>
      </c>
      <c r="F22" s="1"/>
      <c r="G22" s="1"/>
      <c r="H22" s="1"/>
      <c r="I22" s="1"/>
      <c r="J22" s="1"/>
      <c r="K22" s="1"/>
      <c r="L22" s="1"/>
      <c r="M22" s="1"/>
      <c r="N22" s="18"/>
    </row>
    <row r="23" spans="2:14" ht="15" customHeight="1" x14ac:dyDescent="0.25">
      <c r="B23" s="20"/>
      <c r="C23" s="7" t="s">
        <v>51</v>
      </c>
      <c r="D23" s="8"/>
      <c r="E23" s="12">
        <v>0.76873400000000003</v>
      </c>
      <c r="F23" s="1"/>
      <c r="G23" s="1"/>
      <c r="H23" s="1"/>
      <c r="I23" s="1"/>
      <c r="J23" s="1"/>
      <c r="K23" s="1"/>
      <c r="L23" s="1"/>
      <c r="M23" s="1"/>
      <c r="N23" s="18"/>
    </row>
    <row r="24" spans="2:14" ht="15" customHeight="1" x14ac:dyDescent="0.25">
      <c r="B24" s="20"/>
      <c r="C24" s="5" t="s">
        <v>6</v>
      </c>
      <c r="D24" s="6"/>
      <c r="E24" s="11">
        <v>4.4207000000000003E-2</v>
      </c>
      <c r="F24" s="1"/>
      <c r="G24" s="51" t="s">
        <v>15</v>
      </c>
      <c r="H24" s="52"/>
      <c r="I24" s="52"/>
      <c r="J24" s="52"/>
      <c r="K24" s="52"/>
      <c r="L24" s="42">
        <v>8.4251632666727687</v>
      </c>
      <c r="M24" s="26"/>
      <c r="N24" s="27"/>
    </row>
    <row r="25" spans="2:14" ht="15" customHeight="1" x14ac:dyDescent="0.25">
      <c r="B25" s="20"/>
      <c r="C25" s="7" t="s">
        <v>7</v>
      </c>
      <c r="D25" s="8"/>
      <c r="E25" s="12">
        <v>4.4207000000000003E-2</v>
      </c>
      <c r="F25" s="1"/>
      <c r="G25" s="1"/>
      <c r="H25" s="1"/>
      <c r="I25" s="1"/>
      <c r="J25" s="1"/>
      <c r="K25" s="1"/>
      <c r="L25" s="1"/>
      <c r="M25" s="1"/>
      <c r="N25" s="18"/>
    </row>
    <row r="26" spans="2:14" ht="15" customHeight="1" x14ac:dyDescent="0.25">
      <c r="B26" s="20"/>
      <c r="C26" s="5"/>
      <c r="D26" s="6"/>
      <c r="E26" s="11"/>
      <c r="F26" s="1"/>
      <c r="G26" s="51" t="s">
        <v>16</v>
      </c>
      <c r="H26" s="52"/>
      <c r="I26" s="52"/>
      <c r="J26" s="52"/>
      <c r="K26" s="52"/>
      <c r="L26" s="52"/>
      <c r="M26" s="52"/>
      <c r="N26" s="53"/>
    </row>
    <row r="27" spans="2:14" ht="15" customHeight="1" x14ac:dyDescent="0.25">
      <c r="B27" s="20"/>
      <c r="C27" s="7" t="s">
        <v>8</v>
      </c>
      <c r="D27" s="8"/>
      <c r="E27" s="12">
        <v>1.3311999999999999E-2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9</v>
      </c>
      <c r="D29" s="10"/>
      <c r="E29" s="13">
        <v>1</v>
      </c>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43" t="s">
        <v>267</v>
      </c>
      <c r="C45" s="44"/>
      <c r="D45" s="44"/>
      <c r="E45" s="44"/>
      <c r="F45" s="44"/>
      <c r="G45" s="44"/>
      <c r="H45" s="44"/>
      <c r="I45" s="44"/>
      <c r="J45" s="44"/>
      <c r="K45" s="44"/>
      <c r="L45" s="44"/>
      <c r="M45" s="44"/>
      <c r="N45" s="45"/>
    </row>
  </sheetData>
  <sortState ref="C10:E22">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C45A-C32F-4DAE-9A23-34319AE6CC5F}">
  <dimension ref="B1:N45"/>
  <sheetViews>
    <sheetView showGridLines="0" zoomScale="75" zoomScaleNormal="75" workbookViewId="0"/>
  </sheetViews>
  <sheetFormatPr defaultRowHeight="15" x14ac:dyDescent="0.25"/>
  <cols>
    <col min="1" max="1" width="2.85546875" customWidth="1"/>
    <col min="2" max="2" width="3.85546875" customWidth="1"/>
    <col min="3" max="3" width="61.1406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242</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0</v>
      </c>
      <c r="D5" s="49" t="s">
        <v>1</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2</v>
      </c>
      <c r="D7" s="3" t="s">
        <v>3</v>
      </c>
      <c r="E7" s="2" t="s">
        <v>4</v>
      </c>
      <c r="F7" s="1"/>
      <c r="G7" s="51" t="s">
        <v>14</v>
      </c>
      <c r="H7" s="52"/>
      <c r="I7" s="52"/>
      <c r="J7" s="52"/>
      <c r="K7" s="52"/>
      <c r="L7" s="52"/>
      <c r="M7" s="52"/>
      <c r="N7" s="53"/>
    </row>
    <row r="8" spans="2:14" ht="15" customHeight="1" x14ac:dyDescent="0.25">
      <c r="B8" s="20"/>
      <c r="C8" s="5" t="s">
        <v>264</v>
      </c>
      <c r="D8" s="6"/>
      <c r="E8" s="11">
        <v>0.56201199999999996</v>
      </c>
      <c r="F8" s="1"/>
      <c r="G8" s="24" t="s">
        <v>13</v>
      </c>
      <c r="H8" s="25">
        <v>1</v>
      </c>
      <c r="I8" s="1"/>
      <c r="J8" s="24" t="s">
        <v>10</v>
      </c>
      <c r="K8" s="24" t="s">
        <v>4</v>
      </c>
      <c r="L8" s="1"/>
      <c r="M8" s="1"/>
      <c r="N8" s="18"/>
    </row>
    <row r="9" spans="2:14" ht="15" customHeight="1" x14ac:dyDescent="0.25">
      <c r="B9" s="20"/>
      <c r="C9" s="5" t="s">
        <v>266</v>
      </c>
      <c r="D9" s="6"/>
      <c r="E9" s="11">
        <v>0.34619299999999997</v>
      </c>
      <c r="F9" s="1"/>
      <c r="G9" s="1"/>
      <c r="H9" s="1"/>
      <c r="I9" s="1"/>
      <c r="J9" s="24" t="s">
        <v>8</v>
      </c>
      <c r="K9" s="28">
        <v>-1.6689999999999999E-3</v>
      </c>
      <c r="L9" s="1"/>
      <c r="M9" s="1"/>
      <c r="N9" s="18"/>
    </row>
    <row r="10" spans="2:14" ht="15" customHeight="1" x14ac:dyDescent="0.25">
      <c r="B10" s="20"/>
      <c r="C10" s="5" t="s">
        <v>265</v>
      </c>
      <c r="D10" s="6"/>
      <c r="E10" s="11">
        <v>8.6094000000000004E-2</v>
      </c>
      <c r="F10" s="1"/>
      <c r="G10" s="1"/>
      <c r="H10" s="1"/>
      <c r="I10" s="1"/>
      <c r="J10" s="24" t="s">
        <v>11</v>
      </c>
      <c r="K10" s="28">
        <v>7.3699999999999998E-3</v>
      </c>
      <c r="L10" s="1"/>
      <c r="M10" s="1"/>
      <c r="N10" s="18"/>
    </row>
    <row r="11" spans="2:14" ht="15.75" customHeight="1" x14ac:dyDescent="0.25">
      <c r="B11" s="20"/>
      <c r="C11" s="7" t="s">
        <v>5</v>
      </c>
      <c r="D11" s="8"/>
      <c r="E11" s="12">
        <v>0.99429900000000004</v>
      </c>
      <c r="F11" s="1"/>
      <c r="G11" s="1"/>
      <c r="H11" s="1"/>
      <c r="I11" s="1"/>
      <c r="J11" s="24" t="s">
        <v>12</v>
      </c>
      <c r="K11" s="28">
        <v>0.99429900000000004</v>
      </c>
      <c r="L11" s="1"/>
      <c r="M11" s="1"/>
      <c r="N11" s="18"/>
    </row>
    <row r="12" spans="2:14" ht="15" customHeight="1" x14ac:dyDescent="0.25">
      <c r="B12" s="20"/>
      <c r="C12" s="5" t="s">
        <v>6</v>
      </c>
      <c r="D12" s="6"/>
      <c r="E12" s="11">
        <v>7.3699999999999998E-3</v>
      </c>
      <c r="F12" s="1"/>
      <c r="G12" s="1"/>
      <c r="H12" s="1"/>
      <c r="I12" s="1"/>
      <c r="J12" s="1"/>
      <c r="K12" s="1"/>
      <c r="L12" s="1"/>
      <c r="M12" s="1"/>
      <c r="N12" s="18"/>
    </row>
    <row r="13" spans="2:14" ht="15.75" customHeight="1" x14ac:dyDescent="0.25">
      <c r="B13" s="20"/>
      <c r="C13" s="7" t="s">
        <v>7</v>
      </c>
      <c r="D13" s="8"/>
      <c r="E13" s="12">
        <v>7.3699999999999998E-3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8</v>
      </c>
      <c r="D15" s="8"/>
      <c r="E15" s="12">
        <v>-1.6689999999999999E-3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9</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15</v>
      </c>
      <c r="H24" s="52"/>
      <c r="I24" s="52"/>
      <c r="J24" s="52"/>
      <c r="K24" s="52"/>
      <c r="L24" s="42">
        <v>2.3249941013456663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16</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43" t="s">
        <v>267</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BANDHAN OF</vt:lpstr>
      <vt:lpstr>BANDHAN LF</vt:lpstr>
      <vt:lpstr>BANDHAN LDF</vt:lpstr>
      <vt:lpstr>BANDHAN MMF</vt:lpstr>
      <vt:lpstr>BANDHAN USTF</vt:lpstr>
      <vt:lpstr>BANDHAN DBF</vt:lpstr>
      <vt:lpstr>BANDHAN BOND IP</vt:lpstr>
      <vt:lpstr>BANDHAN BOND MT</vt:lpstr>
      <vt:lpstr>BANDHAN BOND ST</vt:lpstr>
      <vt:lpstr>BANDHAN BPDF</vt:lpstr>
      <vt:lpstr>BANDHAN-CBF</vt:lpstr>
      <vt:lpstr>BANDHAN FRF</vt:lpstr>
      <vt:lpstr>BANDHAN CRF</vt:lpstr>
      <vt:lpstr>BANDHAN GSF-IP</vt:lpstr>
      <vt:lpstr>BANDHAN GSF - CMP</vt:lpstr>
      <vt:lpstr>BANDHAN GIF26</vt:lpstr>
      <vt:lpstr>BANDHAN-GIF2027</vt:lpstr>
      <vt:lpstr>BANDHAN-GIF2028</vt:lpstr>
      <vt:lpstr>BANDHAN GIF32</vt:lpstr>
      <vt:lpstr>BANDHAN SDLGIF26</vt:lpstr>
      <vt:lpstr>BANDHAN SDLGIF27</vt:lpstr>
      <vt:lpstr>BANDHAN SDLGIF32</vt:lpstr>
      <vt:lpstr>BANDHAN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2023-03-01T03:47:42Z</dcterms:created>
  <dcterms:modified xsi:type="dcterms:W3CDTF">2023-03-15T07:20:00Z</dcterms:modified>
</cp:coreProperties>
</file>