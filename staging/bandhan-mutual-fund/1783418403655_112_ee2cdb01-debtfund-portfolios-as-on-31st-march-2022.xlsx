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D:\old desktop d drive\Documents\2022\April\04-April\Latest Portfolio\"/>
    </mc:Choice>
  </mc:AlternateContent>
  <xr:revisionPtr revIDLastSave="0" documentId="13_ncr:1_{2CA79C98-8E8C-4DBE-9825-9C5457B9602D}" xr6:coauthVersionLast="36" xr6:coauthVersionMax="36" xr10:uidLastSave="{00000000-0000-0000-0000-000000000000}"/>
  <bookViews>
    <workbookView xWindow="0" yWindow="0" windowWidth="15345" windowHeight="3870" xr2:uid="{267C8483-B188-4DEF-B654-3BE4D2EBA948}"/>
  </bookViews>
  <sheets>
    <sheet name="IDFC OF" sheetId="18" r:id="rId1"/>
    <sheet name="IDFC CF" sheetId="7" r:id="rId2"/>
    <sheet name="IDFC LDF" sheetId="16" r:id="rId3"/>
    <sheet name="IDFC MMF" sheetId="17" r:id="rId4"/>
    <sheet name="IDFC USTF" sheetId="19"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4" r:id="rId14"/>
    <sheet name="IDFC GSF - CMP" sheetId="15" r:id="rId15"/>
    <sheet name="IDFC-GIF2027" sheetId="12" r:id="rId16"/>
    <sheet name="IDFC-GIF2028" sheetId="13" r:id="rId17"/>
    <sheet name="IDFC ASBF" sheetId="2" r:id="rId18"/>
  </sheets>
  <definedNames>
    <definedName name="_xlnm.Print_Area" localSheetId="17">'IDFC ASBF'!$A$1:$P$48</definedName>
    <definedName name="_xlnm.Print_Area" localSheetId="6">'IDFC BOND IP'!$A$1:$P$45</definedName>
    <definedName name="_xlnm.Print_Area" localSheetId="7">'IDFC BOND MT'!$A$1:$P$45</definedName>
    <definedName name="_xlnm.Print_Area" localSheetId="8">'IDFC BOND ST'!$A$1:$P$47</definedName>
    <definedName name="_xlnm.Print_Area" localSheetId="9">'IDFC BPDF'!$A$1:$P$87</definedName>
    <definedName name="_xlnm.Print_Area" localSheetId="1">'IDFC CF'!$A$1:$P$53</definedName>
    <definedName name="_xlnm.Print_Area" localSheetId="12">'IDFC CRF'!$A$1:$P$49</definedName>
    <definedName name="_xlnm.Print_Area" localSheetId="5">'IDFC DBF'!$A$1:$P$45</definedName>
    <definedName name="_xlnm.Print_Area" localSheetId="11">'IDFC FRF'!$A$1:$P$50</definedName>
    <definedName name="_xlnm.Print_Area" localSheetId="14">'IDFC GSF - CMP'!$A$1:$P$48</definedName>
    <definedName name="_xlnm.Print_Area" localSheetId="13">'IDFC GSF-IP'!$A$1:$P$46</definedName>
    <definedName name="_xlnm.Print_Area" localSheetId="2">'IDFC LDF'!$A$1:$P$61</definedName>
    <definedName name="_xlnm.Print_Area" localSheetId="3">'IDFC MMF'!$A$1:$P$51</definedName>
    <definedName name="_xlnm.Print_Area" localSheetId="0">'IDFC OF'!$A$1:$P$45</definedName>
    <definedName name="_xlnm.Print_Area" localSheetId="4">'IDFC USTF'!$A$1:$P$45</definedName>
    <definedName name="_xlnm.Print_Area" localSheetId="10">'IDFC-CBF'!$A$1:$P$74</definedName>
    <definedName name="_xlnm.Print_Area" localSheetId="15">'IDFC-GIF2027'!$A$1:$P$48</definedName>
    <definedName name="_xlnm.Print_Area" localSheetId="16">'IDFC-GIF2028'!$A$1:$P$45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9" l="1"/>
  <c r="H8" i="9"/>
  <c r="E34" i="11"/>
  <c r="H8" i="11"/>
</calcChain>
</file>

<file path=xl/sharedStrings.xml><?xml version="1.0" encoding="utf-8"?>
<sst xmlns="http://schemas.openxmlformats.org/spreadsheetml/2006/main" count="1115" uniqueCount="238">
  <si>
    <t>IDFC ALL SEASONS BOND FUND (31 March, 2022 )</t>
  </si>
  <si>
    <t>Net Assets as on 31 March, 2022</t>
  </si>
  <si>
    <t>141.89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</si>
  <si>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</si>
  <si>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</si>
  <si>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</si>
  <si>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</si>
  <si>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</si>
  <si>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</si>
  <si>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</si>
  <si>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</si>
  <si>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</si>
  <si>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</si>
  <si>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</si>
  <si>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</si>
  <si>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</si>
  <si>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</si>
  <si>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</si>
  <si>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</si>
  <si>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</si>
  <si>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(31 March, 2022 )</t>
  </si>
  <si>
    <t>17534.98 crs</t>
  </si>
  <si>
    <t>Axis Bank Limited</t>
  </si>
  <si>
    <t xml:space="preserve"> A1+</t>
  </si>
  <si>
    <t>Bank of Baroda</t>
  </si>
  <si>
    <t>HDFC Bank Limited</t>
  </si>
  <si>
    <t>Canara Bank</t>
  </si>
  <si>
    <t>Export Import Bank of India</t>
  </si>
  <si>
    <t>Small Industries Dev Bank of India</t>
  </si>
  <si>
    <t>Indian Bank</t>
  </si>
  <si>
    <t>Certificate of Deposit Total</t>
  </si>
  <si>
    <t>Housing Development Finance Corporation Limited</t>
  </si>
  <si>
    <t>Commercial Paper Total</t>
  </si>
  <si>
    <t>National Bank For Agriculture and Rural Development</t>
  </si>
  <si>
    <t xml:space="preserve"> AAA</t>
  </si>
  <si>
    <t>Indian Railway Finance Corporation Limited</t>
  </si>
  <si>
    <t>REC Limited</t>
  </si>
  <si>
    <t>Power Finance Corporation Limited</t>
  </si>
  <si>
    <t>National Housing Bank</t>
  </si>
  <si>
    <t>Hindustan Petroleum Corporation Limited</t>
  </si>
  <si>
    <t>ICICI Bank Limited</t>
  </si>
  <si>
    <t>National Highways Auth Of Ind</t>
  </si>
  <si>
    <t>Power Grid Corporation of India Limited</t>
  </si>
  <si>
    <t>LIC Housing Finance Limited</t>
  </si>
  <si>
    <t>Reliance Industries Limited</t>
  </si>
  <si>
    <t>Indian Oil Corporation Limited</t>
  </si>
  <si>
    <t>NHPC Limited</t>
  </si>
  <si>
    <t>Larsen &amp; Toubro Limited</t>
  </si>
  <si>
    <t>Housing &amp; Urban Development Corporation Limited</t>
  </si>
  <si>
    <t>NTPC Limited</t>
  </si>
  <si>
    <t>Oil &amp; Natural Gas Corporation Limited</t>
  </si>
  <si>
    <t>Bajaj Finance Limited</t>
  </si>
  <si>
    <t>Tata Sons Private Ltd</t>
  </si>
  <si>
    <t>Corporate Bond Total</t>
  </si>
  <si>
    <t>Kotak Mahindra Bank Limited</t>
  </si>
  <si>
    <t>Floating Rate Note Total</t>
  </si>
  <si>
    <t>7.37% GOI (MD 16/04/2023)</t>
  </si>
  <si>
    <t>SOV</t>
  </si>
  <si>
    <t>7.32% GOI (MD 28/01/2024)</t>
  </si>
  <si>
    <t>7.16% GOI (MD 20/05/2023)</t>
  </si>
  <si>
    <t>4.26% GOI (MD 17/05/2023)</t>
  </si>
  <si>
    <t>7.68% GOI (MD 15/12/2023)</t>
  </si>
  <si>
    <t>8.13% GOI (MD 21/09/2022)</t>
  </si>
  <si>
    <t>Government Bond Total</t>
  </si>
  <si>
    <t>State Government Bond Total</t>
  </si>
  <si>
    <t>182 Days Tbill (MD 21/07/2022)</t>
  </si>
  <si>
    <t>182 Days Tbill (MD 04/08/2022)</t>
  </si>
  <si>
    <t>Treasury Bill Total</t>
  </si>
  <si>
    <t>Zero Coupon Bond Total</t>
  </si>
  <si>
    <t>Certificate of Deposit</t>
  </si>
  <si>
    <t>Corporate Bond</t>
  </si>
  <si>
    <t>Commercial Paper</t>
  </si>
  <si>
    <t>Floating Rate Note</t>
  </si>
  <si>
    <t>Government Bond</t>
  </si>
  <si>
    <t>State Government Bond</t>
  </si>
  <si>
    <t>Treasury Bill</t>
  </si>
  <si>
    <t>Zero Coupon Bond</t>
  </si>
  <si>
    <t>IDFC BOND FUND - INCOME PLAN (31 March, 2022 )</t>
  </si>
  <si>
    <t>601.92 crs</t>
  </si>
  <si>
    <t>5.63% GOI (MD 12/04/2026)</t>
  </si>
  <si>
    <t>6.79% GOI (MD 15/05/2027)</t>
  </si>
  <si>
    <t>6.1% GOI (MD 12/07/2031)</t>
  </si>
  <si>
    <t>7.73% GOI (MD 19/12/2034)</t>
  </si>
  <si>
    <t>IDFC BOND FUND - MEDIUM TERM PLAN (31 March, 2022 )</t>
  </si>
  <si>
    <t>2539.71 crs</t>
  </si>
  <si>
    <t>7.17% GOI (MD 08/01/2028)</t>
  </si>
  <si>
    <t>8.24% GOI (MD 15/02/2027)</t>
  </si>
  <si>
    <t xml:space="preserve"> AAA(SO)</t>
  </si>
  <si>
    <t>PTC Total</t>
  </si>
  <si>
    <t>PTC</t>
  </si>
  <si>
    <t>IDFC BOND FUND - SHORT TERM PLAN (31 March, 2022 )</t>
  </si>
  <si>
    <t>12074.85 crs</t>
  </si>
  <si>
    <t>Kotak Mahindra Investments Limited</t>
  </si>
  <si>
    <t>5.15% GOI (MD 09/11/2025)</t>
  </si>
  <si>
    <t>8.28% GOI (M/D 21/09/2027)</t>
  </si>
  <si>
    <t>IDFC CASH FUND (31 March, 2022 )</t>
  </si>
  <si>
    <t>9143.80 crs</t>
  </si>
  <si>
    <t>Reliance Retail Ventures Limited</t>
  </si>
  <si>
    <t>Reliance Jio Infocomm Limited</t>
  </si>
  <si>
    <t>Kotak Mahindra Prime Limited</t>
  </si>
  <si>
    <t>HDFC Securities Limited</t>
  </si>
  <si>
    <t>Bajaj Housing Finance Limited</t>
  </si>
  <si>
    <t>ICICI Securities Limited</t>
  </si>
  <si>
    <t>Kotak Securities Limited</t>
  </si>
  <si>
    <t>HDB Financial Services Limited</t>
  </si>
  <si>
    <t>8.15% GOI (MD 11/06/2022)</t>
  </si>
  <si>
    <t>91 Days Tbill (MD 09/06/2022)</t>
  </si>
  <si>
    <t>91 Days Tbill (MD 16/06/2022)</t>
  </si>
  <si>
    <t>91 Days Tbill (MD 30/06/2022)</t>
  </si>
  <si>
    <t>182 Days Tbill (MD 16/06/2022)</t>
  </si>
  <si>
    <t>91 Days Tbill (MD 02/06/2022)</t>
  </si>
  <si>
    <t>182 Days Tbill (MD 02/06/2022)</t>
  </si>
  <si>
    <t>182 Days Tbill (MD 30/06/2022)</t>
  </si>
  <si>
    <t>Average Maturity in Days</t>
  </si>
  <si>
    <t>IDFC CORPORATE BOND FUND (31 March, 2022 )</t>
  </si>
  <si>
    <t>17740.28 crs</t>
  </si>
  <si>
    <t>UltraTech Cement Limited</t>
  </si>
  <si>
    <t>Mahindra &amp; Mahindra Limited</t>
  </si>
  <si>
    <t>5.22% GOI (MD 15/06/2025)</t>
  </si>
  <si>
    <t>IDFC CREDIT RISK FUND (31 March, 2022 )</t>
  </si>
  <si>
    <t>764.39 crs</t>
  </si>
  <si>
    <t xml:space="preserve"> AA(CE)</t>
  </si>
  <si>
    <t>Bharti Hexacom Limited</t>
  </si>
  <si>
    <t xml:space="preserve"> AA+</t>
  </si>
  <si>
    <t>Summit Digitel Infrastructure Private Limited</t>
  </si>
  <si>
    <t>Tata Steel Limited</t>
  </si>
  <si>
    <t>Hindalco Industries Limited</t>
  </si>
  <si>
    <t>Tata Motors Limited</t>
  </si>
  <si>
    <t xml:space="preserve"> AA-</t>
  </si>
  <si>
    <t>Tata Power Company Limited</t>
  </si>
  <si>
    <t xml:space="preserve"> AA</t>
  </si>
  <si>
    <t>AA+</t>
  </si>
  <si>
    <t>AA-</t>
  </si>
  <si>
    <t>AA</t>
  </si>
  <si>
    <t>IDFC DYNAMIC BOND FUND (31 March, 2022 )</t>
  </si>
  <si>
    <t>2677.45 crs</t>
  </si>
  <si>
    <t>8.20% GOI (MD 24/09/2025)</t>
  </si>
  <si>
    <t>IDFC FLOATING RATE FUND (31 March, 2022 )</t>
  </si>
  <si>
    <t>829.77 crs</t>
  </si>
  <si>
    <t>Sikka Ports and Terminals Limited</t>
  </si>
  <si>
    <t>Jamnagar Utilities &amp; Power Private Limited</t>
  </si>
  <si>
    <t>Interest Rate Swaps</t>
  </si>
  <si>
    <t>IDFC GILT 2027 INDEX FUND (31 March, 2022 )</t>
  </si>
  <si>
    <t>2344.61 crs</t>
  </si>
  <si>
    <t>91 Days Tbill (MD 05/05/2022)</t>
  </si>
  <si>
    <t>91 Days Tbill (MD 19/05/2022)</t>
  </si>
  <si>
    <t>91 Days Tbill (MD 12/05/2022)</t>
  </si>
  <si>
    <t>IDFC GILT 2028 INDEX FUND (31 March, 2022 )</t>
  </si>
  <si>
    <t>654.61 crs</t>
  </si>
  <si>
    <t>IDFC GOVERNMENT SECURITIES FUND - INVESTMENT PLAN (31 March, 2022 )</t>
  </si>
  <si>
    <t>1443.71 crs</t>
  </si>
  <si>
    <t>IDFC GOVERNMENT SECURITIES FUND-CONSTANT MATURITY (31 March, 2022 )</t>
  </si>
  <si>
    <t>222.81 crs</t>
  </si>
  <si>
    <t>6.54% GOI (MD 17/01/2032)</t>
  </si>
  <si>
    <t>IDFC LOW DURATION FUND (31 March, 2022 )</t>
  </si>
  <si>
    <t>5777.80 crs</t>
  </si>
  <si>
    <t>Grasim Industries Limited</t>
  </si>
  <si>
    <t>8.33% GOI 2026 (M/D 09/07/2026)</t>
  </si>
  <si>
    <t>6.84% GOI (MD 19/12/2022)</t>
  </si>
  <si>
    <t>182 Days Tbill (MD 01/09/2022)</t>
  </si>
  <si>
    <t>IDFC MONEY MANAGER FUND (31 March, 2022 )</t>
  </si>
  <si>
    <t>2478.34 crs</t>
  </si>
  <si>
    <t>182 Days Tbill (MD 08/09/2022)</t>
  </si>
  <si>
    <t>IDFC OVERNIGHT FUND (31 March, 2022 )</t>
  </si>
  <si>
    <t>1467.24 crs</t>
  </si>
  <si>
    <t>IDFC ULTRA SHORT TERM FUND (31 March, 2022 )</t>
  </si>
  <si>
    <t>3923.97 crs</t>
  </si>
  <si>
    <t>182  Days Tbill (MD 15/09/2022)</t>
  </si>
  <si>
    <t>8.05% Gujarat SDL (MD 25/02/2025)</t>
  </si>
  <si>
    <t>8.38% Haryana SDL (MD 27/01/2026)</t>
  </si>
  <si>
    <t>8.48% Karnataka SDL (MD 17/10/2022)</t>
  </si>
  <si>
    <t>4.75% Haryana SDL (MD 06/05/2022)</t>
  </si>
  <si>
    <t>9.20% Andhra Pradesh SDL (MD 11/04/2022)</t>
  </si>
  <si>
    <t>8.84% Tamil Nadu SDL (MD 18/07/2022)</t>
  </si>
  <si>
    <t>8.85% Maharashtra SDL (MD 18/07/2022)</t>
  </si>
  <si>
    <t>8.92% Tamilnadu SDL (MD 08/08/2022)</t>
  </si>
  <si>
    <t>8.92%  Tamilnadu SDL (MD 05/09/2022)</t>
  </si>
  <si>
    <t>8.90% TAMILNADU SDL(MD/20/09/2022)</t>
  </si>
  <si>
    <t>8.86% Tamil Nadu SDL (MD 03/10/2022)</t>
  </si>
  <si>
    <t>8.79% Gujrat SDL (MD 25/10/2022)</t>
  </si>
  <si>
    <t>8.85% Maharashtra SDL (MD 03/10/2022)</t>
  </si>
  <si>
    <t>6.93% Maharastra SDL (MD 09/08/2022)</t>
  </si>
  <si>
    <t>4.68% Haryana SDL (MD 20/05/2022)</t>
  </si>
  <si>
    <t>8.37% Odisha SDL(MD 29/08/2022)</t>
  </si>
  <si>
    <t>6.64% Rajasthan SDL (MD 25/09/2022)</t>
  </si>
  <si>
    <t>8.91% Andhra Pradesh SDL (MD 05/09/2022)</t>
  </si>
  <si>
    <t>8.6% Madhya Pradesh SDL (MD 23/01/2023)</t>
  </si>
  <si>
    <t>8.64% Madhya Pradesh SDL (MD 20/02/2023)</t>
  </si>
  <si>
    <t>8.64% Andhra Pradesh SDL (MD 06/03/2023)</t>
  </si>
  <si>
    <t>8.90% Andhra pradesh SDL (MD 04/07/2022)</t>
  </si>
  <si>
    <t>8.90% MAHARASHTRA SDL(MD 20/09/2022)</t>
  </si>
  <si>
    <t>8.84% Gujrat SDL (MD 17/10/2022)</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</si>
  <si>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</si>
  <si>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</si>
  <si>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</si>
  <si>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</si>
  <si>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</si>
  <si>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</si>
  <si>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</si>
  <si>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</si>
  <si>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</si>
  <si>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5.93% ODISHA SDL (MD 08/04/2022)</t>
  </si>
  <si>
    <t>5.41% Andhra Pradesh SDL (MD 12/08/2024)</t>
  </si>
  <si>
    <t>5.68% Maharashtra SDL (MD 23/09/2024)</t>
  </si>
  <si>
    <t>6.20% Madhya Pradesh SDL (MD 15/04/2023)</t>
  </si>
  <si>
    <t>8.25% Andhra PradeshSDL (MD 25/04/2023)</t>
  </si>
  <si>
    <t>8.25% Maharastra SDL  ( MD 13/05/2025)</t>
  </si>
  <si>
    <t>8.2% Gujarat SDL (MD 24/06/2025)</t>
  </si>
  <si>
    <t>8.37% Tamil Nadu SDL (MD 05/12/2028)</t>
  </si>
  <si>
    <t>8.68% Gujarat SDL (MD 06/02/2023)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</si>
  <si>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</si>
  <si>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</si>
  <si>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</si>
  <si>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</si>
  <si>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</si>
  <si>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</si>
  <si>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</si>
  <si>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</si>
  <si>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</si>
  <si>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</si>
  <si>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</si>
  <si>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</si>
  <si>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</si>
  <si>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</si>
  <si>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</si>
  <si>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</si>
  <si>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</si>
  <si>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</si>
  <si>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</si>
  <si>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IDFC Banking &amp; PSU Debt Fund - Direct Growth</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</si>
  <si>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</si>
  <si>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First Business Receivables Trust^</t>
  </si>
  <si>
    <t>^PTC originated by Reliance Industries Limited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</si>
  <si>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</si>
  <si>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Corporate Guarantee from Tata Power</t>
  </si>
  <si>
    <t>^^AT1 Bonds under Basel III</t>
  </si>
  <si>
    <t>Tata Power Renewable Energy Limited*</t>
  </si>
  <si>
    <t>Indian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</si>
</sst>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0" xfId="0" applyFill="1" applyBorder="1"/>
    <xf numFmtId="166" fontId="1" fillId="0" borderId="2" xfId="0" applyNumberFormat="1" applyFont="1" applyBorder="1" applyAlignment="1">
      <alignment vertical="center"/>
    </xf>
    <xf numFmtId="1" fontId="5" fillId="2" borderId="0" xfId="0" applyNumberFormat="1" applyFont="1" applyFill="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B8F-4287-BDE4-A0CECA70FA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5B8F-4287-BDE4-A0CECA70FA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25-41F5-900A-F6781CC55F49}"/>
                </c:ext>
              </c:extLst>
            </c:dLbl>
            <c:dLbl>
              <c:idx val="1"/>
              <c:layout>
                <c:manualLayout>
                  <c:x val="-0.10078976209344281"/>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025-41F5-900A-F6781CC55F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7.6559999999999996E-3</c:v>
                </c:pt>
                <c:pt idx="1">
                  <c:v>0.992344</c:v>
                </c:pt>
              </c:numCache>
            </c:numRef>
          </c:val>
          <c:extLst>
            <c:ext xmlns:c16="http://schemas.microsoft.com/office/drawing/2014/chart" uri="{C3380CC4-5D6E-409C-BE32-E72D297353CC}">
              <c16:uniqueId val="{0000000C-F025-41F5-900A-F6781CC55F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32770743044"/>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98D-49C6-A1F0-A8EA6C5D87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B98D-49C6-A1F0-A8EA6C5D87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12-4666-9375-273C8589B2F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412-4666-9375-273C8589B2F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412-4666-9375-273C8589B2F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412-4666-9375-273C8589B2FA}"/>
                </c:ext>
              </c:extLst>
            </c:dLbl>
            <c:dLbl>
              <c:idx val="4"/>
              <c:layout>
                <c:manualLayout>
                  <c:x val="1.8691092414304718E-3"/>
                  <c:y val="1.34889079459127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412-4666-9375-273C8589B2F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412-4666-9375-273C8589B2F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412-4666-9375-273C8589B2F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412-4666-9375-273C8589B2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CF'!$J$9:$J$16</c:f>
              <c:strCache>
                <c:ptCount val="8"/>
                <c:pt idx="0">
                  <c:v>Net Current Asset</c:v>
                </c:pt>
                <c:pt idx="1">
                  <c:v>TRI Party Repo</c:v>
                </c:pt>
                <c:pt idx="2">
                  <c:v>Certificate of Deposit</c:v>
                </c:pt>
                <c:pt idx="3">
                  <c:v>Corporate Bond</c:v>
                </c:pt>
                <c:pt idx="4">
                  <c:v>Commercial Paper</c:v>
                </c:pt>
                <c:pt idx="5">
                  <c:v>Government Bond</c:v>
                </c:pt>
                <c:pt idx="6">
                  <c:v>Treasury Bill</c:v>
                </c:pt>
                <c:pt idx="7">
                  <c:v>Zero Coupon Bond</c:v>
                </c:pt>
              </c:strCache>
            </c:strRef>
          </c:cat>
          <c:val>
            <c:numRef>
              <c:f>'IDFC CF'!$K$9:$K$16</c:f>
              <c:numCache>
                <c:formatCode>0.00%</c:formatCode>
                <c:ptCount val="8"/>
                <c:pt idx="0">
                  <c:v>-2.1488E-2</c:v>
                </c:pt>
                <c:pt idx="1">
                  <c:v>0.144124</c:v>
                </c:pt>
                <c:pt idx="2">
                  <c:v>0.158386</c:v>
                </c:pt>
                <c:pt idx="3">
                  <c:v>0.10806</c:v>
                </c:pt>
                <c:pt idx="4">
                  <c:v>0.38899</c:v>
                </c:pt>
                <c:pt idx="5">
                  <c:v>2.7567000000000001E-2</c:v>
                </c:pt>
                <c:pt idx="6">
                  <c:v>0.180197</c:v>
                </c:pt>
                <c:pt idx="7">
                  <c:v>1.4164E-2</c:v>
                </c:pt>
              </c:numCache>
            </c:numRef>
          </c:val>
          <c:extLst>
            <c:ext xmlns:c16="http://schemas.microsoft.com/office/drawing/2014/chart" uri="{C3380CC4-5D6E-409C-BE32-E72D297353CC}">
              <c16:uniqueId val="{0000000C-1412-4666-9375-273C8589B2F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6AE-49A8-8CB3-8048A7C383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26AE-49A8-8CB3-8048A7C383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7906776374580585"/>
                  <c:y val="6.347245809960029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EEB-49D1-AA7D-E7B5B5390B9F}"/>
                </c:ext>
              </c:extLst>
            </c:dLbl>
            <c:dLbl>
              <c:idx val="1"/>
              <c:layout>
                <c:manualLayout>
                  <c:x val="0.25308452342814752"/>
                  <c:y val="-0.134175630007033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EEB-49D1-AA7D-E7B5B5390B9F}"/>
                </c:ext>
              </c:extLst>
            </c:dLbl>
            <c:dLbl>
              <c:idx val="2"/>
              <c:layout>
                <c:manualLayout>
                  <c:x val="1.7789374293952016E-2"/>
                  <c:y val="-5.16950577256274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EEB-49D1-AA7D-E7B5B5390B9F}"/>
                </c:ext>
              </c:extLst>
            </c:dLbl>
            <c:dLbl>
              <c:idx val="3"/>
              <c:layout>
                <c:manualLayout>
                  <c:x val="-0.15029540204690689"/>
                  <c:y val="4.807095191532431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EEB-49D1-AA7D-E7B5B5390B9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EEB-49D1-AA7D-E7B5B5390B9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EEB-49D1-AA7D-E7B5B5390B9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EEB-49D1-AA7D-E7B5B5390B9F}"/>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EEB-49D1-AA7D-E7B5B5390B9F}"/>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FEEB-49D1-AA7D-E7B5B5390B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'IDFC LDF'!$K$9:$K$17</c:f>
              <c:numCache>
                <c:formatCode>0.00%</c:formatCode>
                <c:ptCount val="9"/>
                <c:pt idx="0">
                  <c:v>-2.5929999999999998E-3</c:v>
                </c:pt>
                <c:pt idx="1">
                  <c:v>2.8975000000000001E-2</c:v>
                </c:pt>
                <c:pt idx="2">
                  <c:v>0.24498</c:v>
                </c:pt>
                <c:pt idx="3">
                  <c:v>0.51344500000000004</c:v>
                </c:pt>
                <c:pt idx="4">
                  <c:v>4.1371999999999999E-2</c:v>
                </c:pt>
                <c:pt idx="5">
                  <c:v>0.10355499999999999</c:v>
                </c:pt>
                <c:pt idx="6">
                  <c:v>1.8884999999999999E-2</c:v>
                </c:pt>
                <c:pt idx="7">
                  <c:v>4.2530999999999999E-2</c:v>
                </c:pt>
                <c:pt idx="8">
                  <c:v>8.8500000000000002E-3</c:v>
                </c:pt>
              </c:numCache>
            </c:numRef>
          </c:val>
          <c:extLst>
            <c:ext xmlns:c16="http://schemas.microsoft.com/office/drawing/2014/chart" uri="{C3380CC4-5D6E-409C-BE32-E72D297353CC}">
              <c16:uniqueId val="{0000000C-FEEB-49D1-AA7D-E7B5B5390B9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458168237535618"/>
                  <c:y val="-1.10619469026548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168625335109342"/>
                      <c:h val="0.16592920353982302"/>
                    </c:manualLayout>
                  </c15:layout>
                </c:ext>
                <c:ext xmlns:c16="http://schemas.microsoft.com/office/drawing/2014/chart" uri="{C3380CC4-5D6E-409C-BE32-E72D297353CC}">
                  <c16:uniqueId val="{0000000D-5530-45D8-8EA9-5C8D8455E5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5530-45D8-8EA9-5C8D8455E5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7.9843362727410674E-2"/>
                  <c:y val="-6.85226153042077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FAE-470F-A0D9-D69167F39CC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FAE-470F-A0D9-D69167F39CC3}"/>
                </c:ext>
              </c:extLst>
            </c:dLbl>
            <c:dLbl>
              <c:idx val="2"/>
              <c:layout>
                <c:manualLayout>
                  <c:x val="-9.5369589775582117E-2"/>
                  <c:y val="0.125019492258788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FAE-470F-A0D9-D69167F39CC3}"/>
                </c:ext>
              </c:extLst>
            </c:dLbl>
            <c:dLbl>
              <c:idx val="3"/>
              <c:layout>
                <c:manualLayout>
                  <c:x val="4.6279654015410811E-3"/>
                  <c:y val="0.313303916444611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FAE-470F-A0D9-D69167F39CC3}"/>
                </c:ext>
              </c:extLst>
            </c:dLbl>
            <c:dLbl>
              <c:idx val="4"/>
              <c:layout>
                <c:manualLayout>
                  <c:x val="-0.10903437926790201"/>
                  <c:y val="-0.125130191152656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FAE-470F-A0D9-D69167F39CC3}"/>
                </c:ext>
              </c:extLst>
            </c:dLbl>
            <c:dLbl>
              <c:idx val="5"/>
              <c:layout>
                <c:manualLayout>
                  <c:x val="6.9247500379369064E-4"/>
                  <c:y val="-6.98455184940837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FAE-470F-A0D9-D69167F39C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'IDFC MMF'!$K$9:$K$14</c:f>
              <c:numCache>
                <c:formatCode>0.00%</c:formatCode>
                <c:ptCount val="6"/>
                <c:pt idx="0">
                  <c:v>-0.20567299999999999</c:v>
                </c:pt>
                <c:pt idx="1">
                  <c:v>0.12915499999999999</c:v>
                </c:pt>
                <c:pt idx="2">
                  <c:v>0.49791000000000002</c:v>
                </c:pt>
                <c:pt idx="3">
                  <c:v>0.405912</c:v>
                </c:pt>
                <c:pt idx="4">
                  <c:v>8.5286000000000001E-2</c:v>
                </c:pt>
                <c:pt idx="5">
                  <c:v>8.7410000000000002E-2</c:v>
                </c:pt>
              </c:numCache>
            </c:numRef>
          </c:val>
          <c:extLst>
            <c:ext xmlns:c16="http://schemas.microsoft.com/office/drawing/2014/chart" uri="{C3380CC4-5D6E-409C-BE32-E72D297353CC}">
              <c16:uniqueId val="{0000000C-5FAE-470F-A0D9-D69167F39C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11-4542-96BB-862F0EC305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2411-4542-96BB-862F0EC305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B3-4744-AE7F-38DF05ADB03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1B3-4744-AE7F-38DF05ADB03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1B3-4744-AE7F-38DF05ADB038}"/>
                </c:ext>
              </c:extLst>
            </c:dLbl>
            <c:dLbl>
              <c:idx val="3"/>
              <c:layout>
                <c:manualLayout>
                  <c:x val="-4.5335868080729737E-2"/>
                  <c:y val="1.1498121558334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1B3-4744-AE7F-38DF05ADB03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1B3-4744-AE7F-38DF05ADB038}"/>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1B3-4744-AE7F-38DF05ADB038}"/>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1B3-4744-AE7F-38DF05ADB0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'IDFC USTF'!$K$9:$K$15</c:f>
              <c:numCache>
                <c:formatCode>0.00%</c:formatCode>
                <c:ptCount val="7"/>
                <c:pt idx="0">
                  <c:v>-1.7134E-2</c:v>
                </c:pt>
                <c:pt idx="1">
                  <c:v>9.0220999999999996E-2</c:v>
                </c:pt>
                <c:pt idx="2">
                  <c:v>0.17788999999999999</c:v>
                </c:pt>
                <c:pt idx="3">
                  <c:v>0.45887800000000001</c:v>
                </c:pt>
                <c:pt idx="4">
                  <c:v>0.17341000000000001</c:v>
                </c:pt>
                <c:pt idx="5">
                  <c:v>4.1627999999999998E-2</c:v>
                </c:pt>
                <c:pt idx="6">
                  <c:v>7.5106999999999993E-2</c:v>
                </c:pt>
              </c:numCache>
            </c:numRef>
          </c:val>
          <c:extLst>
            <c:ext xmlns:c16="http://schemas.microsoft.com/office/drawing/2014/chart" uri="{C3380CC4-5D6E-409C-BE32-E72D297353CC}">
              <c16:uniqueId val="{0000000C-C1B3-4744-AE7F-38DF05ADB0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20977423325296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204-411F-898E-642BE2E6C6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2204-411F-898E-642BE2E6C6C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E14-40D6-AC65-59B121BEC32C}"/>
                </c:ext>
              </c:extLst>
            </c:dLbl>
            <c:dLbl>
              <c:idx val="1"/>
              <c:layout>
                <c:manualLayout>
                  <c:x val="0.11923131396584"/>
                  <c:y val="-1.25252843394575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E14-40D6-AC65-59B121BEC32C}"/>
                </c:ext>
              </c:extLst>
            </c:dLbl>
            <c:dLbl>
              <c:idx val="2"/>
              <c:layout>
                <c:manualLayout>
                  <c:x val="-0.17058144632349223"/>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E14-40D6-AC65-59B121BEC3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2.0601999999999999E-2</c:v>
                </c:pt>
                <c:pt idx="1">
                  <c:v>1.1011999999999999E-2</c:v>
                </c:pt>
                <c:pt idx="2">
                  <c:v>0.96838599999999997</c:v>
                </c:pt>
              </c:numCache>
            </c:numRef>
          </c:val>
          <c:extLst>
            <c:ext xmlns:c16="http://schemas.microsoft.com/office/drawing/2014/chart" uri="{C3380CC4-5D6E-409C-BE32-E72D297353CC}">
              <c16:uniqueId val="{0000000C-6E14-40D6-AC65-59B121BEC3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18-4114-82CE-F43461BBBE1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4D18-4114-82CE-F43461BBBE1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36-4A96-8D6D-262BB055FAC1}"/>
                </c:ext>
              </c:extLst>
            </c:dLbl>
            <c:dLbl>
              <c:idx val="1"/>
              <c:layout>
                <c:manualLayout>
                  <c:x val="0.12908782815424302"/>
                  <c:y val="-1.5858617672790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36-4A96-8D6D-262BB055FAC1}"/>
                </c:ext>
              </c:extLst>
            </c:dLbl>
            <c:dLbl>
              <c:idx val="2"/>
              <c:layout>
                <c:manualLayout>
                  <c:x val="-0.14274486165674688"/>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36-4A96-8D6D-262BB055FA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2.3890000000000002E-2</c:v>
                </c:pt>
                <c:pt idx="1">
                  <c:v>2.9840000000000001E-3</c:v>
                </c:pt>
                <c:pt idx="2">
                  <c:v>0.97312600000000005</c:v>
                </c:pt>
              </c:numCache>
            </c:numRef>
          </c:val>
          <c:extLst>
            <c:ext xmlns:c16="http://schemas.microsoft.com/office/drawing/2014/chart" uri="{C3380CC4-5D6E-409C-BE32-E72D297353CC}">
              <c16:uniqueId val="{0000000C-A636-4A96-8D6D-262BB055FA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2A0-414B-AF28-1D3D29AC35F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92A0-414B-AF28-1D3D29AC35F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31052184322784065"/>
                  <c:y val="-1.81574284553618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9AE-4FFA-815E-F39B07AE071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9AE-4FFA-815E-F39B07AE071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9AE-4FFA-815E-F39B07AE071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9AE-4FFA-815E-F39B07AE071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9AE-4FFA-815E-F39B07AE071E}"/>
                </c:ext>
              </c:extLst>
            </c:dLbl>
            <c:dLbl>
              <c:idx val="5"/>
              <c:layout>
                <c:manualLayout>
                  <c:x val="6.6129086647894924E-3"/>
                  <c:y val="0.1143538726155388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9AE-4FFA-815E-F39B07AE071E}"/>
                </c:ext>
              </c:extLst>
            </c:dLbl>
            <c:dLbl>
              <c:idx val="6"/>
              <c:layout>
                <c:manualLayout>
                  <c:x val="-0.26383415670471599"/>
                  <c:y val="1.14803322471628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9AE-4FFA-815E-F39B07AE071E}"/>
                </c:ext>
              </c:extLst>
            </c:dLbl>
            <c:dLbl>
              <c:idx val="7"/>
              <c:layout>
                <c:manualLayout>
                  <c:x val="-0.36996577247972484"/>
                  <c:y val="-7.96283395420797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9AE-4FFA-815E-F39B07AE07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MT'!$J$9:$J$16</c:f>
              <c:strCache>
                <c:ptCount val="8"/>
                <c:pt idx="0">
                  <c:v>Net Current Asset</c:v>
                </c:pt>
                <c:pt idx="1">
                  <c:v>TRI Party Repo</c:v>
                </c:pt>
                <c:pt idx="2">
                  <c:v>Certificate of Deposit</c:v>
                </c:pt>
                <c:pt idx="3">
                  <c:v>Corporate Bond</c:v>
                </c:pt>
                <c:pt idx="4">
                  <c:v>Commercial Paper</c:v>
                </c:pt>
                <c:pt idx="5">
                  <c:v>Government Bond</c:v>
                </c:pt>
                <c:pt idx="6">
                  <c:v>PTC</c:v>
                </c:pt>
                <c:pt idx="7">
                  <c:v>State Government Bond</c:v>
                </c:pt>
              </c:strCache>
            </c:strRef>
          </c:cat>
          <c:val>
            <c:numRef>
              <c:f>'IDFC BOND MT'!$K$9:$K$16</c:f>
              <c:numCache>
                <c:formatCode>0.00%</c:formatCode>
                <c:ptCount val="8"/>
                <c:pt idx="0">
                  <c:v>1.9193999999999999E-2</c:v>
                </c:pt>
                <c:pt idx="1">
                  <c:v>7.123E-3</c:v>
                </c:pt>
                <c:pt idx="2">
                  <c:v>2.9153999999999999E-2</c:v>
                </c:pt>
                <c:pt idx="3">
                  <c:v>7.7438000000000007E-2</c:v>
                </c:pt>
                <c:pt idx="4">
                  <c:v>5.8020000000000002E-2</c:v>
                </c:pt>
                <c:pt idx="5">
                  <c:v>0.78458000000000006</c:v>
                </c:pt>
                <c:pt idx="6">
                  <c:v>1.107E-2</c:v>
                </c:pt>
                <c:pt idx="7">
                  <c:v>1.3421000000000001E-2</c:v>
                </c:pt>
              </c:numCache>
            </c:numRef>
          </c:val>
          <c:extLst>
            <c:ext xmlns:c16="http://schemas.microsoft.com/office/drawing/2014/chart" uri="{C3380CC4-5D6E-409C-BE32-E72D297353CC}">
              <c16:uniqueId val="{0000000C-B9AE-4FFA-815E-F39B07AE07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49-40CB-B0CE-F133E16AE9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7E49-40CB-B0CE-F133E16AE9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9.3882884553777666E-3"/>
                  <c:y val="-4.01267398827055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64-4731-8204-E965709630C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E64-4731-8204-E965709630C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E64-4731-8204-E965709630CA}"/>
                </c:ext>
              </c:extLst>
            </c:dLbl>
            <c:dLbl>
              <c:idx val="3"/>
              <c:layout>
                <c:manualLayout>
                  <c:x val="-0.12810762278912138"/>
                  <c:y val="0.174548982903854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E64-4731-8204-E965709630C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E64-4731-8204-E965709630C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E64-4731-8204-E965709630C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E64-4731-8204-E965709630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2.639E-2</c:v>
                </c:pt>
                <c:pt idx="1">
                  <c:v>4.1700000000000001E-3</c:v>
                </c:pt>
                <c:pt idx="2">
                  <c:v>0.17594299999999999</c:v>
                </c:pt>
                <c:pt idx="3">
                  <c:v>0.30396200000000001</c:v>
                </c:pt>
                <c:pt idx="4">
                  <c:v>4.6814000000000001E-2</c:v>
                </c:pt>
                <c:pt idx="5">
                  <c:v>0.437892</c:v>
                </c:pt>
                <c:pt idx="6">
                  <c:v>4.829E-3</c:v>
                </c:pt>
              </c:numCache>
            </c:numRef>
          </c:val>
          <c:extLst>
            <c:ext xmlns:c16="http://schemas.microsoft.com/office/drawing/2014/chart" uri="{C3380CC4-5D6E-409C-BE32-E72D297353CC}">
              <c16:uniqueId val="{0000000C-CE64-4731-8204-E965709630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C96-4572-AA61-6674EE10D4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9C96-4572-AA61-6674EE10D4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2.9558751622856566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DF-47E8-A75F-C52087DFBDDF}"/>
                </c:ext>
              </c:extLst>
            </c:dLbl>
            <c:dLbl>
              <c:idx val="1"/>
              <c:layout>
                <c:manualLayout>
                  <c:x val="0.2672506702186852"/>
                  <c:y val="-0.116969728783902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DDF-47E8-A75F-C52087DFBDDF}"/>
                </c:ext>
              </c:extLst>
            </c:dLbl>
            <c:dLbl>
              <c:idx val="2"/>
              <c:layout>
                <c:manualLayout>
                  <c:x val="8.0811681195096866E-2"/>
                  <c:y val="-3.36738407699037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DDF-47E8-A75F-C52087DFBDDF}"/>
                </c:ext>
              </c:extLst>
            </c:dLbl>
            <c:dLbl>
              <c:idx val="3"/>
              <c:layout>
                <c:manualLayout>
                  <c:x val="-0.14859110758906743"/>
                  <c:y val="-3.51188101487314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DDF-47E8-A75F-C52087DFBDDF}"/>
                </c:ext>
              </c:extLst>
            </c:dLbl>
            <c:dLbl>
              <c:idx val="4"/>
              <c:layout>
                <c:manualLayout>
                  <c:x val="-0.12771855873476201"/>
                  <c:y val="-0.123900612423447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DDF-47E8-A75F-C52087DFBDDF}"/>
                </c:ext>
              </c:extLst>
            </c:dLbl>
            <c:dLbl>
              <c:idx val="5"/>
              <c:layout>
                <c:manualLayout>
                  <c:x val="-0.10992572796708762"/>
                  <c:y val="1.2424846894138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DDF-47E8-A75F-C52087DFBDD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DDF-47E8-A75F-C52087DFBDDF}"/>
                </c:ext>
              </c:extLst>
            </c:dLbl>
            <c:dLbl>
              <c:idx val="7"/>
              <c:layout>
                <c:manualLayout>
                  <c:x val="-0.11737299566676221"/>
                  <c:y val="-0.142700262467191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DDF-47E8-A75F-C52087DFBDDF}"/>
                </c:ext>
              </c:extLst>
            </c:dLbl>
            <c:dLbl>
              <c:idx val="8"/>
              <c:layout>
                <c:manualLayout>
                  <c:x val="-5.715152843581958E-3"/>
                  <c:y val="-4.9366929133858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ADDF-47E8-A75F-C52087DFBDDF}"/>
                </c:ext>
              </c:extLst>
            </c:dLbl>
            <c:dLbl>
              <c:idx val="9"/>
              <c:layout>
                <c:manualLayout>
                  <c:x val="0.25347889864944612"/>
                  <c:y val="-0.104922484689413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ADDF-47E8-A75F-C52087DFBD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BPDF'!$J$9:$J$18</c:f>
              <c:strCache>
                <c:ptCount val="10"/>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Treasury Bill</c:v>
                </c:pt>
                <c:pt idx="9">
                  <c:v>Zero Coupon Bond</c:v>
                </c:pt>
              </c:strCache>
            </c:strRef>
          </c:cat>
          <c:val>
            <c:numRef>
              <c:f>'IDFC BPDF'!$K$9:$K$18</c:f>
              <c:numCache>
                <c:formatCode>0.00%</c:formatCode>
                <c:ptCount val="10"/>
                <c:pt idx="0">
                  <c:v>1.6750999999999999E-2</c:v>
                </c:pt>
                <c:pt idx="1">
                  <c:v>1.8297000000000001E-2</c:v>
                </c:pt>
                <c:pt idx="2">
                  <c:v>0.16394900000000001</c:v>
                </c:pt>
                <c:pt idx="3">
                  <c:v>0.68439799999999995</c:v>
                </c:pt>
                <c:pt idx="4">
                  <c:v>1.1134E-2</c:v>
                </c:pt>
                <c:pt idx="5">
                  <c:v>1.7099999999999999E-3</c:v>
                </c:pt>
                <c:pt idx="6">
                  <c:v>7.6317999999999997E-2</c:v>
                </c:pt>
                <c:pt idx="7">
                  <c:v>2.2498000000000001E-2</c:v>
                </c:pt>
                <c:pt idx="8">
                  <c:v>4.7889999999999999E-3</c:v>
                </c:pt>
                <c:pt idx="9">
                  <c:v>1.56E-4</c:v>
                </c:pt>
              </c:numCache>
            </c:numRef>
          </c:val>
          <c:extLst>
            <c:ext xmlns:c16="http://schemas.microsoft.com/office/drawing/2014/chart" uri="{C3380CC4-5D6E-409C-BE32-E72D297353CC}">
              <c16:uniqueId val="{0000000C-ADDF-47E8-A75F-C52087DFBDD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1A-41C0-BC2B-68090FE380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E31A-41C0-BC2B-68090FE380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2.4454804498474016E-2"/>
                  <c:y val="1.08066107121225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C0-45B6-8718-CDF8C5F28FF1}"/>
                </c:ext>
              </c:extLst>
            </c:dLbl>
            <c:dLbl>
              <c:idx val="1"/>
              <c:layout>
                <c:manualLayout>
                  <c:x val="0.22897722099512721"/>
                  <c:y val="-0.135402959245478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FC0-45B6-8718-CDF8C5F28FF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FC0-45B6-8718-CDF8C5F28FF1}"/>
                </c:ext>
              </c:extLst>
            </c:dLbl>
            <c:dLbl>
              <c:idx val="3"/>
              <c:layout>
                <c:manualLayout>
                  <c:x val="-3.2864067848050044E-2"/>
                  <c:y val="0.117448126676473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FC0-45B6-8718-CDF8C5F28FF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FC0-45B6-8718-CDF8C5F28FF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FC0-45B6-8718-CDF8C5F28FF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FC0-45B6-8718-CDF8C5F28FF1}"/>
                </c:ext>
              </c:extLst>
            </c:dLbl>
            <c:dLbl>
              <c:idx val="7"/>
              <c:layout>
                <c:manualLayout>
                  <c:x val="-7.334131413444836E-2"/>
                  <c:y val="-1.6665916760404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FC0-45B6-8718-CDF8C5F28F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2.7092000000000001E-2</c:v>
                </c:pt>
                <c:pt idx="1">
                  <c:v>6.8519999999999996E-3</c:v>
                </c:pt>
                <c:pt idx="2">
                  <c:v>1.0965000000000001E-2</c:v>
                </c:pt>
                <c:pt idx="3">
                  <c:v>0.73965700000000001</c:v>
                </c:pt>
                <c:pt idx="4">
                  <c:v>2.7729999999999999E-3</c:v>
                </c:pt>
                <c:pt idx="5">
                  <c:v>0.170603</c:v>
                </c:pt>
                <c:pt idx="6">
                  <c:v>4.1949E-2</c:v>
                </c:pt>
                <c:pt idx="7">
                  <c:v>1.0900000000000001E-4</c:v>
                </c:pt>
              </c:numCache>
            </c:numRef>
          </c:val>
          <c:extLst>
            <c:ext xmlns:c16="http://schemas.microsoft.com/office/drawing/2014/chart" uri="{C3380CC4-5D6E-409C-BE32-E72D297353CC}">
              <c16:uniqueId val="{0000000C-9FC0-45B6-8718-CDF8C5F28F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1.8311891955689615E-2"/>
                  <c:y val="4.40528634361217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519823788546256"/>
                    </c:manualLayout>
                  </c15:layout>
                </c:ext>
                <c:ext xmlns:c16="http://schemas.microsoft.com/office/drawing/2014/chart" uri="{C3380CC4-5D6E-409C-BE32-E72D297353CC}">
                  <c16:uniqueId val="{0000000D-6ABF-4414-B5E6-6B4C4DC4FCA9}"/>
                </c:ext>
              </c:extLst>
            </c:dLbl>
            <c:dLbl>
              <c:idx val="1"/>
              <c:layout>
                <c:manualLayout>
                  <c:x val="3.4380363857087461E-2"/>
                  <c:y val="-5.08623261299386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ABF-4414-B5E6-6B4C4DC4FC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0.90929399999999994</c:v>
                </c:pt>
                <c:pt idx="1">
                  <c:v>9.0702000000000005E-2</c:v>
                </c:pt>
              </c:numCache>
            </c:numRef>
          </c:val>
          <c:extLst>
            <c:ext xmlns:c16="http://schemas.microsoft.com/office/drawing/2014/chart" uri="{C3380CC4-5D6E-409C-BE32-E72D297353CC}">
              <c16:uniqueId val="{0000000C-6ABF-4414-B5E6-6B4C4DC4FC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316-488F-A3FD-F9DC20A48EB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316-488F-A3FD-F9DC20A48EB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316-488F-A3FD-F9DC20A48EBF}"/>
                </c:ext>
              </c:extLst>
            </c:dLbl>
            <c:dLbl>
              <c:idx val="3"/>
              <c:layout>
                <c:manualLayout>
                  <c:x val="4.9213441467568161E-3"/>
                  <c:y val="2.39691188276085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316-488F-A3FD-F9DC20A48EB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316-488F-A3FD-F9DC20A48EB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316-488F-A3FD-F9DC20A48EB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316-488F-A3FD-F9DC20A48EBF}"/>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316-488F-A3FD-F9DC20A48E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7"/>
                <c:pt idx="0">
                  <c:v>Net Current Asset</c:v>
                </c:pt>
                <c:pt idx="1">
                  <c:v>TRI Party Repo</c:v>
                </c:pt>
                <c:pt idx="2">
                  <c:v>Certificate of Deposit</c:v>
                </c:pt>
                <c:pt idx="3">
                  <c:v>Corporate Bond</c:v>
                </c:pt>
                <c:pt idx="4">
                  <c:v>Commercial Paper</c:v>
                </c:pt>
                <c:pt idx="5">
                  <c:v>Floating Rate Note</c:v>
                </c:pt>
                <c:pt idx="6">
                  <c:v>Government Bond</c:v>
                </c:pt>
              </c:strCache>
            </c:strRef>
          </c:cat>
          <c:val>
            <c:numRef>
              <c:f>'IDFC FRF'!$K$9:$K$16</c:f>
              <c:numCache>
                <c:formatCode>0.00%</c:formatCode>
                <c:ptCount val="8"/>
                <c:pt idx="0">
                  <c:v>4.6299999999999996E-3</c:v>
                </c:pt>
                <c:pt idx="1">
                  <c:v>0.132988</c:v>
                </c:pt>
                <c:pt idx="2">
                  <c:v>0.106808</c:v>
                </c:pt>
                <c:pt idx="3">
                  <c:v>0.52779399999999999</c:v>
                </c:pt>
                <c:pt idx="4">
                  <c:v>6.0208999999999999E-2</c:v>
                </c:pt>
                <c:pt idx="5">
                  <c:v>8.4339999999999998E-2</c:v>
                </c:pt>
                <c:pt idx="6">
                  <c:v>8.3224999999999993E-2</c:v>
                </c:pt>
              </c:numCache>
            </c:numRef>
          </c:val>
          <c:extLst>
            <c:ext xmlns:c16="http://schemas.microsoft.com/office/drawing/2014/chart" uri="{C3380CC4-5D6E-409C-BE32-E72D297353CC}">
              <c16:uniqueId val="{0000000C-8316-488F-A3FD-F9DC20A48E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618042792830766"/>
                  <c:y val="0.196742735697860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333507562090065"/>
                      <c:h val="0.16592920353982302"/>
                    </c:manualLayout>
                  </c15:layout>
                </c:ext>
                <c:ext xmlns:c16="http://schemas.microsoft.com/office/drawing/2014/chart" uri="{C3380CC4-5D6E-409C-BE32-E72D297353CC}">
                  <c16:uniqueId val="{0000000D-A399-4CBC-8F04-0759F2DA9748}"/>
                </c:ext>
              </c:extLst>
            </c:dLbl>
            <c:dLbl>
              <c:idx val="1"/>
              <c:layout>
                <c:manualLayout>
                  <c:x val="1.4109831560134213E-2"/>
                  <c:y val="-5.46003762803985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399-4CBC-8F04-0759F2DA974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399-4CBC-8F04-0759F2DA9748}"/>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399-4CBC-8F04-0759F2DA97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0.68934000000000006</c:v>
                </c:pt>
                <c:pt idx="1">
                  <c:v>0.20521800000000001</c:v>
                </c:pt>
                <c:pt idx="2">
                  <c:v>3.2932999999999997E-2</c:v>
                </c:pt>
                <c:pt idx="3">
                  <c:v>7.250899999999999E-2</c:v>
                </c:pt>
              </c:numCache>
            </c:numRef>
          </c:val>
          <c:extLst>
            <c:ext xmlns:c16="http://schemas.microsoft.com/office/drawing/2014/chart" uri="{C3380CC4-5D6E-409C-BE32-E72D297353CC}">
              <c16:uniqueId val="{0000000C-A399-4CBC-8F04-0759F2DA97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B0-435F-9ACB-914667C3C6F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9B0-435F-9ACB-914667C3C6F0}"/>
                </c:ext>
              </c:extLst>
            </c:dLbl>
            <c:dLbl>
              <c:idx val="2"/>
              <c:layout>
                <c:manualLayout>
                  <c:x val="-0.10273794870930211"/>
                  <c:y val="-3.03268019049759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9B0-435F-9ACB-914667C3C6F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9B0-435F-9ACB-914667C3C6F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9B0-435F-9ACB-914667C3C6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1.9560000000000001E-2</c:v>
                </c:pt>
                <c:pt idx="1">
                  <c:v>0.23915600000000001</c:v>
                </c:pt>
                <c:pt idx="2">
                  <c:v>0.52350300000000005</c:v>
                </c:pt>
                <c:pt idx="3">
                  <c:v>0.146318</c:v>
                </c:pt>
                <c:pt idx="4">
                  <c:v>7.1462999999999999E-2</c:v>
                </c:pt>
              </c:numCache>
            </c:numRef>
          </c:val>
          <c:extLst>
            <c:ext xmlns:c16="http://schemas.microsoft.com/office/drawing/2014/chart" uri="{C3380CC4-5D6E-409C-BE32-E72D297353CC}">
              <c16:uniqueId val="{0000000C-29B0-435F-9ACB-914667C3C6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AF8-490E-A3C0-632426CC8A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BAF8-490E-A3C0-632426CC8A8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AC-45A6-A047-FF788184B7F9}"/>
                </c:ext>
              </c:extLst>
            </c:dLbl>
            <c:dLbl>
              <c:idx val="1"/>
              <c:layout>
                <c:manualLayout>
                  <c:x val="0.13069382387158779"/>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AAC-45A6-A047-FF788184B7F9}"/>
                </c:ext>
              </c:extLst>
            </c:dLbl>
            <c:dLbl>
              <c:idx val="2"/>
              <c:layout>
                <c:manualLayout>
                  <c:x val="-0.1122302685932995"/>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AAC-45A6-A047-FF788184B7F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1.9741999999999999E-2</c:v>
                </c:pt>
                <c:pt idx="1">
                  <c:v>1.0075000000000001E-2</c:v>
                </c:pt>
                <c:pt idx="2">
                  <c:v>0.97018300000000002</c:v>
                </c:pt>
              </c:numCache>
            </c:numRef>
          </c:val>
          <c:extLst>
            <c:ext xmlns:c16="http://schemas.microsoft.com/office/drawing/2014/chart" uri="{C3380CC4-5D6E-409C-BE32-E72D297353CC}">
              <c16:uniqueId val="{0000000C-CAAC-45A6-A047-FF788184B7F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8EB-4D48-A6E5-A0E49F8ACD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88EB-4D48-A6E5-A0E49F8ACD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C8-4239-A3AD-05757D305A3F}"/>
                </c:ext>
              </c:extLst>
            </c:dLbl>
            <c:dLbl>
              <c:idx val="1"/>
              <c:layout>
                <c:manualLayout>
                  <c:x val="0.1226989158475105"/>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0C8-4239-A3AD-05757D305A3F}"/>
                </c:ext>
              </c:extLst>
            </c:dLbl>
            <c:dLbl>
              <c:idx val="2"/>
              <c:layout>
                <c:manualLayout>
                  <c:x val="-0.26149581007941458"/>
                  <c:y val="-6.58190726159230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0C8-4239-A3AD-05757D305A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1.3872000000000001E-2</c:v>
                </c:pt>
                <c:pt idx="1">
                  <c:v>9.0399999999999994E-3</c:v>
                </c:pt>
                <c:pt idx="2">
                  <c:v>0.97708799999999996</c:v>
                </c:pt>
              </c:numCache>
            </c:numRef>
          </c:val>
          <c:extLst>
            <c:ext xmlns:c16="http://schemas.microsoft.com/office/drawing/2014/chart" uri="{C3380CC4-5D6E-409C-BE32-E72D297353CC}">
              <c16:uniqueId val="{0000000C-D0C8-4239-A3AD-05757D305A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1B-4574-A4B6-8FC648A3BC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241B-4574-A4B6-8FC648A3BC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21-44D8-80ED-CF7E27E15B42}"/>
                </c:ext>
              </c:extLst>
            </c:dLbl>
            <c:dLbl>
              <c:idx val="1"/>
              <c:layout>
                <c:manualLayout>
                  <c:x val="0.17280716248798664"/>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E21-44D8-80ED-CF7E27E15B42}"/>
                </c:ext>
              </c:extLst>
            </c:dLbl>
            <c:dLbl>
              <c:idx val="2"/>
              <c:layout>
                <c:manualLayout>
                  <c:x val="-0.17821207573892664"/>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E21-44D8-80ED-CF7E27E15B42}"/>
                </c:ext>
              </c:extLst>
            </c:dLbl>
            <c:dLbl>
              <c:idx val="3"/>
              <c:layout>
                <c:manualLayout>
                  <c:x val="-0.13998162167630548"/>
                  <c:y val="-3.8113735783027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E21-44D8-80ED-CF7E27E15B4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1.4564000000000001E-2</c:v>
                </c:pt>
                <c:pt idx="1">
                  <c:v>1.2307E-2</c:v>
                </c:pt>
                <c:pt idx="2">
                  <c:v>0.95814999999999995</c:v>
                </c:pt>
                <c:pt idx="3">
                  <c:v>1.4978999999999999E-2</c:v>
                </c:pt>
              </c:numCache>
            </c:numRef>
          </c:val>
          <c:extLst>
            <c:ext xmlns:c16="http://schemas.microsoft.com/office/drawing/2014/chart" uri="{C3380CC4-5D6E-409C-BE32-E72D297353CC}">
              <c16:uniqueId val="{0000000C-DE21-44D8-80ED-CF7E27E15B4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9.82532751091701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375545851528386"/>
                    </c:manualLayout>
                  </c15:layout>
                </c:ext>
                <c:ext xmlns:c16="http://schemas.microsoft.com/office/drawing/2014/chart" uri="{C3380CC4-5D6E-409C-BE32-E72D297353CC}">
                  <c16:uniqueId val="{0000000D-0AF1-49DA-B147-29A58637BD9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0AF1-49DA-B147-29A58637BD9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B8-432C-9058-F1A813191C5F}"/>
                </c:ext>
              </c:extLst>
            </c:dLbl>
            <c:dLbl>
              <c:idx val="1"/>
              <c:layout>
                <c:manualLayout>
                  <c:x val="-6.2208265187408317E-2"/>
                  <c:y val="-9.8393000874890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B8-432C-9058-F1A813191C5F}"/>
                </c:ext>
              </c:extLst>
            </c:dLbl>
            <c:dLbl>
              <c:idx val="2"/>
              <c:layout>
                <c:manualLayout>
                  <c:x val="5.7914987607277132E-2"/>
                  <c:y val="0.129289938757655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B8-432C-9058-F1A813191C5F}"/>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AB8-432C-9058-F1A813191C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-0.24130799999999999</c:v>
                </c:pt>
                <c:pt idx="1">
                  <c:v>0.160773</c:v>
                </c:pt>
                <c:pt idx="2">
                  <c:v>1.0657099999999999</c:v>
                </c:pt>
                <c:pt idx="3">
                  <c:v>1.4821000000000001E-2</c:v>
                </c:pt>
              </c:numCache>
            </c:numRef>
          </c:val>
          <c:extLst>
            <c:ext xmlns:c16="http://schemas.microsoft.com/office/drawing/2014/chart" uri="{C3380CC4-5D6E-409C-BE32-E72D297353CC}">
              <c16:uniqueId val="{0000000C-4AB8-432C-9058-F1A813191C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06844661012663"/>
                  <c:y val="-2.5361928443155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F03-430C-871A-81AAA39731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8F03-430C-871A-81AAA39731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E5-48EC-8061-65EDA2BB686E}"/>
                </c:ext>
              </c:extLst>
            </c:dLbl>
            <c:dLbl>
              <c:idx val="1"/>
              <c:layout>
                <c:manualLayout>
                  <c:x val="0.2260822134920501"/>
                  <c:y val="8.410848643919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EE5-48EC-8061-65EDA2BB686E}"/>
                </c:ext>
              </c:extLst>
            </c:dLbl>
            <c:dLbl>
              <c:idx val="2"/>
              <c:layout>
                <c:manualLayout>
                  <c:x val="-0.2860337385556998"/>
                  <c:y val="-4.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EE5-48EC-8061-65EDA2BB686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-4.5800000000000002E-4</c:v>
                </c:pt>
                <c:pt idx="1">
                  <c:v>7.4570000000000001E-3</c:v>
                </c:pt>
                <c:pt idx="2">
                  <c:v>0.99300100000000002</c:v>
                </c:pt>
              </c:numCache>
            </c:numRef>
          </c:val>
          <c:extLst>
            <c:ext xmlns:c16="http://schemas.microsoft.com/office/drawing/2014/chart" uri="{C3380CC4-5D6E-409C-BE32-E72D297353CC}">
              <c16:uniqueId val="{0000000C-8EE5-48EC-8061-65EDA2BB686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C9BC3C9-8E9A-4A8E-A0E9-29657AC50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0F5B954-21E4-4A1A-9DC7-88933C856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25B978E-4C0A-4705-8D61-50E0D7A50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720084E3-BAC1-4FF2-8F74-33638801E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DDF53A7-7F0D-4876-A6A1-66985C8C5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D4D44DC2-0877-4B36-94B1-447938009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762950F-92CF-4B8D-8D0C-325B6540E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2447E465-BB97-4B12-8FD1-045A24481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9DACDB1-5393-4EDC-867A-6C02BEFEA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E117CCCE-B199-4913-AE91-8DC0E96C5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2958468-E967-47EB-B214-ED2FA4E59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67D56CE-7CD6-411E-A784-E72BD53CC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E440742-69D5-4EE4-A53B-B45BEF7C0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E5D264C-1039-4245-A216-79989C330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0FCDE51-AB5A-4B58-B9BE-ECF6DA2D6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4EAC0C3-CAFB-4609-8C33-B2FA690F7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F942B84-EE4D-454A-AB95-B11D40E4C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414123F8-7906-426B-BA56-F2E6394F1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2026E07-9D81-4B66-AF2B-F96C5A5C7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EBC2B3E-E66F-4F23-925B-DA9380EB1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24D242C-3D5B-46B8-92B7-1E1655AF5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71295170-92E7-442B-ACE0-6435FFDF5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558800</xdr:colOff>
      <xdr:row>7</xdr:row>
      <xdr:rowOff>25400</xdr:rowOff>
    </xdr:from>
    <xdr:to>
      <xdr:col>13</xdr:col>
      <xdr:colOff>495300</xdr:colOff>
      <xdr:row>22</xdr:row>
      <xdr:rowOff>25400</xdr:rowOff>
    </xdr:to>
    <xdr:graphicFrame macro="">
      <xdr:nvGraphicFramePr>
        <xdr:cNvPr id="2" name="Chart 1">
          <a:extLst>
            <a:ext uri="{FF2B5EF4-FFF2-40B4-BE49-F238E27FC236}">
              <a16:creationId xmlns:a16="http://schemas.microsoft.com/office/drawing/2014/main" id="{7D486611-9B8D-4A4C-A494-D417CECD3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945C8D29-6979-43CB-BE19-B1E933B64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571500</xdr:colOff>
      <xdr:row>7</xdr:row>
      <xdr:rowOff>50801</xdr:rowOff>
    </xdr:from>
    <xdr:to>
      <xdr:col>13</xdr:col>
      <xdr:colOff>508000</xdr:colOff>
      <xdr:row>22</xdr:row>
      <xdr:rowOff>50801</xdr:rowOff>
    </xdr:to>
    <xdr:graphicFrame macro="">
      <xdr:nvGraphicFramePr>
        <xdr:cNvPr id="2" name="Chart 1">
          <a:extLst>
            <a:ext uri="{FF2B5EF4-FFF2-40B4-BE49-F238E27FC236}">
              <a16:creationId xmlns:a16="http://schemas.microsoft.com/office/drawing/2014/main" id="{C76A55DF-8F96-441F-A27B-44B241ABC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7A5082C2-FFBD-4BB2-BAD6-49BF3927D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B16730C-028C-4797-9C9F-13B502310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75F4C15-1D11-4C3C-B6B7-8742D554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7F15B19-FDA3-46BC-BF02-1172992FD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442C9BF-2B34-429C-8909-195D75DF2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F485614-D04A-4635-AC81-EEB37DD6A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AC39DDB-F195-4C29-86FD-05A32F824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F36E596-8FE2-4AC5-B99F-5F75988F8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FBE36C5-8942-4944-89D7-4A3E565D9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24E189A-B69B-46DC-9154-CCDE937DA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FAAE70A-6F2C-4871-8C1E-4C93A38FC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E8C6-3323-4830-ACC8-BB626B425AA2}">
  <sheetPr>
    <pageSetUpPr fitToPage="1"/>
  </sheetPr>
  <dimension ref="B1:N45"/>
  <sheetViews>
    <sheetView showGridLines="0" tabSelected="1" view="pageBreakPreview" zoomScale="60"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163</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164</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9</v>
      </c>
      <c r="D8" s="6"/>
      <c r="E8" s="11">
        <v>0.992344</v>
      </c>
      <c r="F8" s="1"/>
      <c r="G8" s="24" t="s">
        <v>16</v>
      </c>
      <c r="H8" s="25">
        <v>1</v>
      </c>
      <c r="I8" s="1"/>
      <c r="J8" s="24" t="s">
        <v>13</v>
      </c>
      <c r="K8" s="24" t="s">
        <v>5</v>
      </c>
      <c r="L8" s="1"/>
      <c r="M8" s="1"/>
      <c r="N8" s="18"/>
    </row>
    <row r="9" spans="2:14" ht="15.75" customHeight="1" x14ac:dyDescent="0.25">
      <c r="B9" s="20"/>
      <c r="C9" s="7" t="s">
        <v>10</v>
      </c>
      <c r="D9" s="8"/>
      <c r="E9" s="12">
        <v>0.992344</v>
      </c>
      <c r="F9" s="1"/>
      <c r="G9" s="1"/>
      <c r="H9" s="1"/>
      <c r="I9" s="1"/>
      <c r="J9" s="24" t="s">
        <v>11</v>
      </c>
      <c r="K9" s="29">
        <v>7.6559999999999996E-3</v>
      </c>
      <c r="L9" s="1"/>
      <c r="M9" s="1"/>
      <c r="N9" s="18"/>
    </row>
    <row r="10" spans="2:14" ht="15" customHeight="1" x14ac:dyDescent="0.25">
      <c r="B10" s="20"/>
      <c r="C10" s="5"/>
      <c r="D10" s="6"/>
      <c r="E10" s="11"/>
      <c r="F10" s="1"/>
      <c r="G10" s="1"/>
      <c r="H10" s="1"/>
      <c r="I10" s="1"/>
      <c r="J10" s="24" t="s">
        <v>14</v>
      </c>
      <c r="K10" s="29">
        <v>0.992344</v>
      </c>
      <c r="L10" s="1"/>
      <c r="M10" s="1"/>
      <c r="N10" s="18"/>
    </row>
    <row r="11" spans="2:14" ht="15.75" customHeight="1" x14ac:dyDescent="0.25">
      <c r="B11" s="20"/>
      <c r="C11" s="7" t="s">
        <v>11</v>
      </c>
      <c r="D11" s="8"/>
      <c r="E11" s="12">
        <v>7.6559999999999996E-3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113</v>
      </c>
      <c r="H24" s="45"/>
      <c r="I24" s="45"/>
      <c r="J24" s="45"/>
      <c r="K24" s="45"/>
      <c r="L24" s="35">
        <v>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7" right="0.7" top="0.75" bottom="0.75" header="0.3" footer="0.3"/>
  <pageSetup scale="61"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115F-0B1C-49A4-9F96-9274E4E9F1D3}">
  <sheetPr>
    <pageSetUpPr fitToPage="1"/>
  </sheetPr>
  <dimension ref="B1:N73"/>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95</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96</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7.9025999999999999E-2</v>
      </c>
      <c r="F8" s="1"/>
      <c r="G8" s="24" t="s">
        <v>16</v>
      </c>
      <c r="H8" s="25">
        <v>1</v>
      </c>
      <c r="I8" s="1"/>
      <c r="J8" s="24" t="s">
        <v>13</v>
      </c>
      <c r="K8" s="24" t="s">
        <v>5</v>
      </c>
      <c r="L8" s="1"/>
      <c r="M8" s="1"/>
      <c r="N8" s="18"/>
    </row>
    <row r="9" spans="2:14" ht="15" customHeight="1" x14ac:dyDescent="0.25">
      <c r="B9" s="20"/>
      <c r="C9" s="5" t="s">
        <v>24</v>
      </c>
      <c r="D9" s="6" t="s">
        <v>23</v>
      </c>
      <c r="E9" s="11">
        <v>4.9411999999999998E-2</v>
      </c>
      <c r="F9" s="1"/>
      <c r="G9" s="1"/>
      <c r="H9" s="1"/>
      <c r="I9" s="1"/>
      <c r="J9" s="24" t="s">
        <v>11</v>
      </c>
      <c r="K9" s="29">
        <v>-2.1488E-2</v>
      </c>
      <c r="L9" s="1"/>
      <c r="M9" s="1"/>
      <c r="N9" s="18"/>
    </row>
    <row r="10" spans="2:14" ht="15" customHeight="1" x14ac:dyDescent="0.25">
      <c r="B10" s="20"/>
      <c r="C10" s="5" t="s">
        <v>26</v>
      </c>
      <c r="D10" s="6" t="s">
        <v>23</v>
      </c>
      <c r="E10" s="11">
        <v>2.7231999999999999E-2</v>
      </c>
      <c r="F10" s="1"/>
      <c r="G10" s="1"/>
      <c r="H10" s="1"/>
      <c r="I10" s="1"/>
      <c r="J10" s="24" t="s">
        <v>14</v>
      </c>
      <c r="K10" s="29">
        <v>0.144124</v>
      </c>
      <c r="L10" s="1"/>
      <c r="M10" s="1"/>
      <c r="N10" s="18"/>
    </row>
    <row r="11" spans="2:14" ht="15" customHeight="1" x14ac:dyDescent="0.25">
      <c r="B11" s="20"/>
      <c r="C11" s="5" t="s">
        <v>54</v>
      </c>
      <c r="D11" s="6" t="s">
        <v>23</v>
      </c>
      <c r="E11" s="11">
        <v>2.7160000000000001E-3</v>
      </c>
      <c r="F11" s="1"/>
      <c r="G11" s="1"/>
      <c r="H11" s="1"/>
      <c r="I11" s="1"/>
      <c r="J11" s="24" t="s">
        <v>69</v>
      </c>
      <c r="K11" s="29">
        <v>0.158386</v>
      </c>
      <c r="L11" s="1"/>
      <c r="M11" s="1"/>
      <c r="N11" s="18"/>
    </row>
    <row r="12" spans="2:14" ht="15.75" customHeight="1" x14ac:dyDescent="0.25">
      <c r="B12" s="20"/>
      <c r="C12" s="7" t="s">
        <v>30</v>
      </c>
      <c r="D12" s="8"/>
      <c r="E12" s="12">
        <v>0.158386</v>
      </c>
      <c r="F12" s="1"/>
      <c r="G12" s="1"/>
      <c r="H12" s="1"/>
      <c r="I12" s="1"/>
      <c r="J12" s="24" t="s">
        <v>70</v>
      </c>
      <c r="K12" s="29">
        <v>0.10806</v>
      </c>
      <c r="L12" s="1"/>
      <c r="M12" s="1"/>
      <c r="N12" s="18"/>
    </row>
    <row r="13" spans="2:14" ht="15" customHeight="1" x14ac:dyDescent="0.25">
      <c r="B13" s="20"/>
      <c r="C13" s="5" t="s">
        <v>97</v>
      </c>
      <c r="D13" s="6" t="s">
        <v>23</v>
      </c>
      <c r="E13" s="11">
        <v>0.10334400000000001</v>
      </c>
      <c r="F13" s="1"/>
      <c r="G13" s="1"/>
      <c r="H13" s="1"/>
      <c r="I13" s="1"/>
      <c r="J13" s="24" t="s">
        <v>71</v>
      </c>
      <c r="K13" s="29">
        <v>0.38899</v>
      </c>
      <c r="L13" s="1"/>
      <c r="M13" s="1"/>
      <c r="N13" s="18"/>
    </row>
    <row r="14" spans="2:14" ht="15" customHeight="1" x14ac:dyDescent="0.25">
      <c r="B14" s="20"/>
      <c r="C14" s="5" t="s">
        <v>98</v>
      </c>
      <c r="D14" s="6" t="s">
        <v>23</v>
      </c>
      <c r="E14" s="11">
        <v>7.6196E-2</v>
      </c>
      <c r="F14" s="1"/>
      <c r="G14" s="1"/>
      <c r="H14" s="1"/>
      <c r="I14" s="1"/>
      <c r="J14" s="24" t="s">
        <v>73</v>
      </c>
      <c r="K14" s="29">
        <v>2.7567000000000001E-2</v>
      </c>
      <c r="L14" s="1"/>
      <c r="M14" s="1"/>
      <c r="N14" s="18"/>
    </row>
    <row r="15" spans="2:14" ht="15" customHeight="1" x14ac:dyDescent="0.25">
      <c r="B15" s="20"/>
      <c r="C15" s="5" t="s">
        <v>99</v>
      </c>
      <c r="D15" s="6" t="s">
        <v>23</v>
      </c>
      <c r="E15" s="11">
        <v>4.6249999999999999E-2</v>
      </c>
      <c r="F15" s="1"/>
      <c r="G15" s="1"/>
      <c r="H15" s="1"/>
      <c r="I15" s="1"/>
      <c r="J15" s="24" t="s">
        <v>75</v>
      </c>
      <c r="K15" s="29">
        <v>0.180197</v>
      </c>
      <c r="L15" s="1"/>
      <c r="M15" s="1"/>
      <c r="N15" s="18"/>
    </row>
    <row r="16" spans="2:14" ht="15" customHeight="1" x14ac:dyDescent="0.25">
      <c r="B16" s="20"/>
      <c r="C16" s="5" t="s">
        <v>33</v>
      </c>
      <c r="D16" s="6" t="s">
        <v>23</v>
      </c>
      <c r="E16" s="11">
        <v>4.3515999999999999E-2</v>
      </c>
      <c r="F16" s="1"/>
      <c r="G16" s="1"/>
      <c r="H16" s="1"/>
      <c r="I16" s="1"/>
      <c r="J16" s="24" t="s">
        <v>76</v>
      </c>
      <c r="K16" s="29">
        <v>1.4164E-2</v>
      </c>
      <c r="L16" s="1"/>
      <c r="M16" s="1"/>
      <c r="N16" s="18"/>
    </row>
    <row r="17" spans="2:14" ht="15" customHeight="1" x14ac:dyDescent="0.25">
      <c r="B17" s="20"/>
      <c r="C17" s="5" t="s">
        <v>92</v>
      </c>
      <c r="D17" s="6" t="s">
        <v>23</v>
      </c>
      <c r="E17" s="11">
        <v>4.3475E-2</v>
      </c>
      <c r="F17" s="1"/>
      <c r="G17" s="1"/>
      <c r="H17" s="1"/>
      <c r="I17" s="1"/>
      <c r="J17" s="1"/>
      <c r="K17" s="1"/>
      <c r="L17" s="1"/>
      <c r="M17" s="1"/>
      <c r="N17" s="18"/>
    </row>
    <row r="18" spans="2:14" ht="15" customHeight="1" x14ac:dyDescent="0.25">
      <c r="B18" s="20"/>
      <c r="C18" s="5" t="s">
        <v>100</v>
      </c>
      <c r="D18" s="6" t="s">
        <v>23</v>
      </c>
      <c r="E18" s="11">
        <v>3.2635999999999998E-2</v>
      </c>
      <c r="F18" s="1"/>
      <c r="G18" s="1"/>
      <c r="H18" s="1"/>
      <c r="I18" s="1"/>
      <c r="J18" s="1"/>
      <c r="K18" s="1"/>
      <c r="L18" s="1"/>
      <c r="M18" s="1"/>
      <c r="N18" s="18"/>
    </row>
    <row r="19" spans="2:14" ht="15" customHeight="1" x14ac:dyDescent="0.25">
      <c r="B19" s="20"/>
      <c r="C19" s="5" t="s">
        <v>101</v>
      </c>
      <c r="D19" s="6" t="s">
        <v>23</v>
      </c>
      <c r="E19" s="11">
        <v>2.1781999999999999E-2</v>
      </c>
      <c r="F19" s="1"/>
      <c r="G19" s="1"/>
      <c r="H19" s="1"/>
      <c r="I19" s="1"/>
      <c r="J19" s="1"/>
      <c r="K19" s="1"/>
      <c r="L19" s="1"/>
      <c r="M19" s="1"/>
      <c r="N19" s="18"/>
    </row>
    <row r="20" spans="2:14" ht="15" customHeight="1" x14ac:dyDescent="0.25">
      <c r="B20" s="20"/>
      <c r="C20" s="5" t="s">
        <v>102</v>
      </c>
      <c r="D20" s="6" t="s">
        <v>23</v>
      </c>
      <c r="E20" s="11">
        <v>1.9078000000000001E-2</v>
      </c>
      <c r="F20" s="1"/>
      <c r="G20" s="1"/>
      <c r="H20" s="1"/>
      <c r="I20" s="1"/>
      <c r="J20" s="1"/>
      <c r="K20" s="1"/>
      <c r="L20" s="1"/>
      <c r="M20" s="1"/>
      <c r="N20" s="18"/>
    </row>
    <row r="21" spans="2:14" ht="15" customHeight="1" x14ac:dyDescent="0.25">
      <c r="B21" s="20"/>
      <c r="C21" s="5" t="s">
        <v>103</v>
      </c>
      <c r="D21" s="6" t="s">
        <v>23</v>
      </c>
      <c r="E21" s="11">
        <v>2.7130000000000001E-3</v>
      </c>
      <c r="F21" s="1"/>
      <c r="G21" s="1"/>
      <c r="H21" s="1"/>
      <c r="I21" s="1"/>
      <c r="J21" s="1"/>
      <c r="K21" s="1"/>
      <c r="L21" s="1"/>
      <c r="M21" s="1"/>
      <c r="N21" s="18"/>
    </row>
    <row r="22" spans="2:14" ht="15.75" customHeight="1" x14ac:dyDescent="0.25">
      <c r="B22" s="20"/>
      <c r="C22" s="7" t="s">
        <v>32</v>
      </c>
      <c r="D22" s="8"/>
      <c r="E22" s="12">
        <v>0.38899</v>
      </c>
      <c r="F22" s="1"/>
      <c r="G22" s="1"/>
      <c r="H22" s="1"/>
      <c r="I22" s="1"/>
      <c r="J22" s="1"/>
      <c r="K22" s="1"/>
      <c r="L22" s="1"/>
      <c r="M22" s="1"/>
      <c r="N22" s="18"/>
    </row>
    <row r="23" spans="2:14" ht="15" customHeight="1" x14ac:dyDescent="0.25">
      <c r="B23" s="20"/>
      <c r="C23" s="5" t="s">
        <v>51</v>
      </c>
      <c r="D23" s="6" t="s">
        <v>34</v>
      </c>
      <c r="E23" s="11">
        <v>2.7518000000000001E-2</v>
      </c>
      <c r="F23" s="1"/>
      <c r="G23" s="1"/>
      <c r="H23" s="1"/>
      <c r="I23" s="1"/>
      <c r="J23" s="1"/>
      <c r="K23" s="1"/>
      <c r="L23" s="1"/>
      <c r="M23" s="1"/>
      <c r="N23" s="18"/>
    </row>
    <row r="24" spans="2:14" ht="15" customHeight="1" x14ac:dyDescent="0.25">
      <c r="B24" s="20"/>
      <c r="C24" s="5" t="s">
        <v>47</v>
      </c>
      <c r="D24" s="6" t="s">
        <v>34</v>
      </c>
      <c r="E24" s="11">
        <v>2.5163999999999999E-2</v>
      </c>
      <c r="F24" s="1"/>
      <c r="G24" s="44" t="s">
        <v>113</v>
      </c>
      <c r="H24" s="45"/>
      <c r="I24" s="45"/>
      <c r="J24" s="45"/>
      <c r="K24" s="45"/>
      <c r="L24" s="35">
        <v>46</v>
      </c>
      <c r="M24" s="27"/>
      <c r="N24" s="28"/>
    </row>
    <row r="25" spans="2:14" ht="15" customHeight="1" x14ac:dyDescent="0.25">
      <c r="B25" s="20"/>
      <c r="C25" s="5" t="s">
        <v>33</v>
      </c>
      <c r="D25" s="6" t="s">
        <v>34</v>
      </c>
      <c r="E25" s="11">
        <v>2.198E-2</v>
      </c>
      <c r="F25" s="1"/>
      <c r="G25" s="1"/>
      <c r="H25" s="1"/>
      <c r="I25" s="1"/>
      <c r="J25" s="1"/>
      <c r="K25" s="1"/>
      <c r="L25" s="1"/>
      <c r="M25" s="1"/>
      <c r="N25" s="18"/>
    </row>
    <row r="26" spans="2:14" ht="15" customHeight="1" x14ac:dyDescent="0.25">
      <c r="B26" s="20"/>
      <c r="C26" s="5" t="s">
        <v>104</v>
      </c>
      <c r="D26" s="6" t="s">
        <v>34</v>
      </c>
      <c r="E26" s="11">
        <v>1.2682000000000001E-2</v>
      </c>
      <c r="F26" s="1"/>
      <c r="G26" s="44" t="s">
        <v>19</v>
      </c>
      <c r="H26" s="45"/>
      <c r="I26" s="45"/>
      <c r="J26" s="45"/>
      <c r="K26" s="45"/>
      <c r="L26" s="45"/>
      <c r="M26" s="45"/>
      <c r="N26" s="46"/>
    </row>
    <row r="27" spans="2:14" ht="15" customHeight="1" x14ac:dyDescent="0.25">
      <c r="B27" s="20"/>
      <c r="C27" s="5" t="s">
        <v>27</v>
      </c>
      <c r="D27" s="6" t="s">
        <v>34</v>
      </c>
      <c r="E27" s="11">
        <v>1.1911E-2</v>
      </c>
      <c r="F27" s="1"/>
      <c r="G27" s="1"/>
      <c r="H27" s="1"/>
      <c r="I27" s="1"/>
      <c r="J27" s="1"/>
      <c r="K27" s="1"/>
      <c r="L27" s="1"/>
      <c r="M27" s="1"/>
      <c r="N27" s="18"/>
    </row>
    <row r="28" spans="2:14" ht="15" customHeight="1" x14ac:dyDescent="0.25">
      <c r="B28" s="20"/>
      <c r="C28" s="5" t="s">
        <v>101</v>
      </c>
      <c r="D28" s="6" t="s">
        <v>34</v>
      </c>
      <c r="E28" s="11">
        <v>4.9579999999999997E-3</v>
      </c>
      <c r="F28" s="1"/>
      <c r="G28" s="1"/>
      <c r="H28" s="1"/>
      <c r="I28" s="1"/>
      <c r="J28" s="1"/>
      <c r="K28" s="1"/>
      <c r="L28" s="1"/>
      <c r="M28" s="1"/>
      <c r="N28" s="18"/>
    </row>
    <row r="29" spans="2:14" ht="15" customHeight="1" x14ac:dyDescent="0.25">
      <c r="B29" s="20"/>
      <c r="C29" s="5" t="s">
        <v>37</v>
      </c>
      <c r="D29" s="6" t="s">
        <v>34</v>
      </c>
      <c r="E29" s="11">
        <v>2.7499999999999998E-3</v>
      </c>
      <c r="F29" s="1"/>
      <c r="G29" s="1"/>
      <c r="H29" s="1"/>
      <c r="I29" s="1"/>
      <c r="J29" s="1"/>
      <c r="K29" s="1"/>
      <c r="L29" s="1"/>
      <c r="M29" s="1"/>
      <c r="N29" s="18"/>
    </row>
    <row r="30" spans="2:14" ht="15" customHeight="1" x14ac:dyDescent="0.25">
      <c r="B30" s="20"/>
      <c r="C30" s="5" t="s">
        <v>42</v>
      </c>
      <c r="D30" s="6" t="s">
        <v>34</v>
      </c>
      <c r="E30" s="11">
        <v>1.0970000000000001E-3</v>
      </c>
      <c r="F30" s="1"/>
      <c r="G30" s="1"/>
      <c r="H30" s="1"/>
      <c r="I30" s="1"/>
      <c r="J30" s="1"/>
      <c r="K30" s="1"/>
      <c r="L30" s="1"/>
      <c r="M30" s="1"/>
      <c r="N30" s="18"/>
    </row>
    <row r="31" spans="2:14" ht="15.75" customHeight="1" x14ac:dyDescent="0.25">
      <c r="B31" s="20"/>
      <c r="C31" s="7" t="s">
        <v>53</v>
      </c>
      <c r="D31" s="8"/>
      <c r="E31" s="12">
        <v>0.10806</v>
      </c>
      <c r="F31" s="1"/>
      <c r="G31" s="1"/>
      <c r="H31" s="1"/>
      <c r="I31" s="1"/>
      <c r="J31" s="1"/>
      <c r="K31" s="1"/>
      <c r="L31" s="1"/>
      <c r="M31" s="1"/>
      <c r="N31" s="18"/>
    </row>
    <row r="32" spans="2:14" ht="15" customHeight="1" x14ac:dyDescent="0.25">
      <c r="B32" s="20"/>
      <c r="C32" s="5" t="s">
        <v>105</v>
      </c>
      <c r="D32" s="6" t="s">
        <v>57</v>
      </c>
      <c r="E32" s="11">
        <v>2.7567000000000001E-2</v>
      </c>
      <c r="F32" s="1"/>
      <c r="G32" s="1"/>
      <c r="H32" s="1"/>
      <c r="I32" s="1"/>
      <c r="J32" s="1"/>
      <c r="K32" s="1"/>
      <c r="L32" s="1"/>
      <c r="M32" s="1"/>
      <c r="N32" s="18"/>
    </row>
    <row r="33" spans="2:14" ht="15.75" customHeight="1" x14ac:dyDescent="0.25">
      <c r="B33" s="20"/>
      <c r="C33" s="7" t="s">
        <v>63</v>
      </c>
      <c r="D33" s="8"/>
      <c r="E33" s="12">
        <v>2.7567000000000001E-2</v>
      </c>
      <c r="F33" s="1"/>
      <c r="G33" s="1"/>
      <c r="H33" s="1"/>
      <c r="I33" s="1"/>
      <c r="J33" s="1"/>
      <c r="K33" s="1"/>
      <c r="L33" s="1"/>
      <c r="M33" s="1"/>
      <c r="N33" s="18"/>
    </row>
    <row r="34" spans="2:14" ht="15" customHeight="1" x14ac:dyDescent="0.25">
      <c r="B34" s="20"/>
      <c r="C34" s="5" t="s">
        <v>106</v>
      </c>
      <c r="D34" s="6" t="s">
        <v>57</v>
      </c>
      <c r="E34" s="11">
        <v>9.0135000000000007E-2</v>
      </c>
      <c r="F34" s="1"/>
      <c r="G34" s="1"/>
      <c r="H34" s="1"/>
      <c r="I34" s="1"/>
      <c r="J34" s="1"/>
      <c r="K34" s="1"/>
      <c r="L34" s="1"/>
      <c r="M34" s="1"/>
      <c r="N34" s="18"/>
    </row>
    <row r="35" spans="2:14" ht="15" customHeight="1" x14ac:dyDescent="0.25">
      <c r="B35" s="20"/>
      <c r="C35" s="5" t="s">
        <v>107</v>
      </c>
      <c r="D35" s="6" t="s">
        <v>57</v>
      </c>
      <c r="E35" s="11">
        <v>4.8833000000000001E-2</v>
      </c>
      <c r="F35" s="1"/>
      <c r="G35" s="1"/>
      <c r="H35" s="1"/>
      <c r="I35" s="1"/>
      <c r="J35" s="1"/>
      <c r="K35" s="1"/>
      <c r="L35" s="1"/>
      <c r="M35" s="1"/>
      <c r="N35" s="18"/>
    </row>
    <row r="36" spans="2:14" ht="15" customHeight="1" x14ac:dyDescent="0.25">
      <c r="B36" s="20"/>
      <c r="C36" s="5" t="s">
        <v>108</v>
      </c>
      <c r="D36" s="6" t="s">
        <v>57</v>
      </c>
      <c r="E36" s="11">
        <v>1.6256E-2</v>
      </c>
      <c r="F36" s="1"/>
      <c r="G36" s="1"/>
      <c r="H36" s="1"/>
      <c r="I36" s="1"/>
      <c r="J36" s="1"/>
      <c r="K36" s="1"/>
      <c r="L36" s="1"/>
      <c r="M36" s="1"/>
      <c r="N36" s="18"/>
    </row>
    <row r="37" spans="2:14" ht="15" customHeight="1" x14ac:dyDescent="0.25">
      <c r="B37" s="20"/>
      <c r="C37" s="5" t="s">
        <v>109</v>
      </c>
      <c r="D37" s="6" t="s">
        <v>57</v>
      </c>
      <c r="E37" s="11">
        <v>9.7669999999999996E-3</v>
      </c>
      <c r="F37" s="1"/>
      <c r="G37" s="1"/>
      <c r="H37" s="1"/>
      <c r="I37" s="1"/>
      <c r="J37" s="1"/>
      <c r="K37" s="1"/>
      <c r="L37" s="1"/>
      <c r="M37" s="1"/>
      <c r="N37" s="18"/>
    </row>
    <row r="38" spans="2:14" ht="15" customHeight="1" x14ac:dyDescent="0.25">
      <c r="B38" s="20"/>
      <c r="C38" s="5" t="s">
        <v>110</v>
      </c>
      <c r="D38" s="6" t="s">
        <v>57</v>
      </c>
      <c r="E38" s="11">
        <v>7.607E-3</v>
      </c>
      <c r="F38" s="1"/>
      <c r="G38" s="1"/>
      <c r="H38" s="1"/>
      <c r="I38" s="1"/>
      <c r="J38" s="1"/>
      <c r="K38" s="1"/>
      <c r="L38" s="1"/>
      <c r="M38" s="1"/>
      <c r="N38" s="18"/>
    </row>
    <row r="39" spans="2:14" ht="15" customHeight="1" x14ac:dyDescent="0.25">
      <c r="B39" s="20"/>
      <c r="C39" s="5" t="s">
        <v>111</v>
      </c>
      <c r="D39" s="6" t="s">
        <v>57</v>
      </c>
      <c r="E39" s="11">
        <v>4.8900000000000002E-3</v>
      </c>
      <c r="F39" s="1"/>
      <c r="G39" s="1"/>
      <c r="H39" s="1"/>
      <c r="I39" s="1"/>
      <c r="J39" s="1"/>
      <c r="K39" s="1"/>
      <c r="L39" s="1"/>
      <c r="M39" s="1"/>
      <c r="N39" s="18"/>
    </row>
    <row r="40" spans="2:14" ht="15" customHeight="1" x14ac:dyDescent="0.25">
      <c r="B40" s="20"/>
      <c r="C40" s="5" t="s">
        <v>112</v>
      </c>
      <c r="D40" s="6" t="s">
        <v>57</v>
      </c>
      <c r="E40" s="11">
        <v>2.709E-3</v>
      </c>
      <c r="F40" s="1"/>
      <c r="G40" s="1"/>
      <c r="H40" s="1"/>
      <c r="I40" s="1"/>
      <c r="J40" s="1"/>
      <c r="K40" s="1"/>
      <c r="L40" s="1"/>
      <c r="M40" s="1"/>
      <c r="N40" s="18"/>
    </row>
    <row r="41" spans="2:14" ht="15.75" customHeight="1" x14ac:dyDescent="0.25">
      <c r="B41" s="20"/>
      <c r="C41" s="7" t="s">
        <v>67</v>
      </c>
      <c r="D41" s="8"/>
      <c r="E41" s="12">
        <v>0.180197</v>
      </c>
      <c r="F41" s="1"/>
      <c r="G41" s="1"/>
      <c r="H41" s="1"/>
      <c r="I41" s="1"/>
      <c r="J41" s="1"/>
      <c r="K41" s="1"/>
      <c r="L41" s="1"/>
      <c r="M41" s="1"/>
      <c r="N41" s="18"/>
    </row>
    <row r="42" spans="2:14" ht="15" customHeight="1" x14ac:dyDescent="0.25">
      <c r="B42" s="20"/>
      <c r="C42" s="5" t="s">
        <v>9</v>
      </c>
      <c r="D42" s="6"/>
      <c r="E42" s="11">
        <v>0.144124</v>
      </c>
      <c r="F42" s="1"/>
      <c r="G42" s="1"/>
      <c r="H42" s="1"/>
      <c r="I42" s="1"/>
      <c r="J42" s="1"/>
      <c r="K42" s="1"/>
      <c r="L42" s="1"/>
      <c r="M42" s="1"/>
      <c r="N42" s="18"/>
    </row>
    <row r="43" spans="2:14" ht="15.75" customHeight="1" x14ac:dyDescent="0.25">
      <c r="B43" s="20"/>
      <c r="C43" s="7" t="s">
        <v>10</v>
      </c>
      <c r="D43" s="8"/>
      <c r="E43" s="12">
        <v>0.144124</v>
      </c>
      <c r="F43" s="1"/>
      <c r="G43" s="1"/>
      <c r="H43" s="1"/>
      <c r="I43" s="1"/>
      <c r="J43" s="1"/>
      <c r="K43" s="1"/>
      <c r="L43" s="1"/>
      <c r="M43" s="1"/>
      <c r="N43" s="18"/>
    </row>
    <row r="44" spans="2:14" ht="15" customHeight="1" x14ac:dyDescent="0.25">
      <c r="B44" s="20"/>
      <c r="C44" s="5" t="s">
        <v>101</v>
      </c>
      <c r="D44" s="6" t="s">
        <v>34</v>
      </c>
      <c r="E44" s="11">
        <v>1.4164E-2</v>
      </c>
      <c r="F44" s="1"/>
      <c r="G44" s="1"/>
      <c r="H44" s="1"/>
      <c r="I44" s="1"/>
      <c r="J44" s="1"/>
      <c r="K44" s="1"/>
      <c r="L44" s="1"/>
      <c r="M44" s="1"/>
      <c r="N44" s="18"/>
    </row>
    <row r="45" spans="2:14" ht="15.75" customHeight="1" x14ac:dyDescent="0.25">
      <c r="B45" s="20"/>
      <c r="C45" s="7" t="s">
        <v>68</v>
      </c>
      <c r="D45" s="8"/>
      <c r="E45" s="12">
        <v>1.4164E-2</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75" customHeight="1" x14ac:dyDescent="0.25">
      <c r="B47" s="20"/>
      <c r="C47" s="7" t="s">
        <v>11</v>
      </c>
      <c r="D47" s="8"/>
      <c r="E47" s="12">
        <v>-2.1488E-2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9" t="s">
        <v>12</v>
      </c>
      <c r="D49" s="10"/>
      <c r="E49" s="13">
        <v>1</v>
      </c>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thickBot="1" x14ac:dyDescent="0.3">
      <c r="B51" s="21"/>
      <c r="C51" s="22"/>
      <c r="D51" s="22"/>
      <c r="E51" s="22"/>
      <c r="F51" s="22"/>
      <c r="G51" s="22"/>
      <c r="H51" s="22"/>
      <c r="I51" s="22"/>
      <c r="J51" s="22"/>
      <c r="K51" s="22"/>
      <c r="L51" s="22"/>
      <c r="M51" s="22"/>
      <c r="N51" s="23"/>
    </row>
    <row r="52" spans="2:14" ht="15" customHeight="1" thickBot="1" x14ac:dyDescent="0.3"/>
    <row r="53" spans="2:14" ht="109.5" customHeight="1" thickBot="1" x14ac:dyDescent="0.3">
      <c r="B53" s="36" t="s">
        <v>230</v>
      </c>
      <c r="C53" s="37"/>
      <c r="D53" s="37"/>
      <c r="E53" s="37"/>
      <c r="F53" s="37"/>
      <c r="G53" s="37"/>
      <c r="H53" s="37"/>
      <c r="I53" s="37"/>
      <c r="J53" s="37"/>
      <c r="K53" s="37"/>
      <c r="L53" s="37"/>
      <c r="M53" s="37"/>
      <c r="N53" s="38"/>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mergeCells count="6">
    <mergeCell ref="B53:N53"/>
    <mergeCell ref="C3:N3"/>
    <mergeCell ref="D5:E5"/>
    <mergeCell ref="G7:N7"/>
    <mergeCell ref="G24:K24"/>
    <mergeCell ref="G26:N26"/>
  </mergeCells>
  <pageMargins left="0.7" right="0.7" top="0.75" bottom="0.75" header="0.3" footer="0.3"/>
  <pageSetup scale="56"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719EF-4C1A-451F-999E-E08F80AD6E1C}">
  <sheetPr>
    <pageSetUpPr fitToPage="1"/>
  </sheetPr>
  <dimension ref="B1:N81"/>
  <sheetViews>
    <sheetView showGridLines="0" view="pageBreakPreview" zoomScale="60" zoomScaleNormal="75" workbookViewId="0">
      <selection sqref="A1:A2"/>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154</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155</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0.103793</v>
      </c>
      <c r="F8" s="1"/>
      <c r="G8" s="24" t="s">
        <v>16</v>
      </c>
      <c r="H8" s="25">
        <v>1</v>
      </c>
      <c r="I8" s="1"/>
      <c r="J8" s="24" t="s">
        <v>13</v>
      </c>
      <c r="K8" s="24" t="s">
        <v>5</v>
      </c>
      <c r="L8" s="1"/>
      <c r="M8" s="1"/>
      <c r="N8" s="18"/>
    </row>
    <row r="9" spans="2:14" ht="15" customHeight="1" x14ac:dyDescent="0.25">
      <c r="B9" s="20"/>
      <c r="C9" s="5" t="s">
        <v>25</v>
      </c>
      <c r="D9" s="6" t="s">
        <v>23</v>
      </c>
      <c r="E9" s="11">
        <v>8.5433999999999996E-2</v>
      </c>
      <c r="F9" s="1"/>
      <c r="G9" s="1"/>
      <c r="H9" s="1"/>
      <c r="I9" s="1"/>
      <c r="J9" s="24" t="s">
        <v>11</v>
      </c>
      <c r="K9" s="29">
        <v>-2.5929999999999998E-3</v>
      </c>
      <c r="L9" s="1"/>
      <c r="M9" s="1"/>
      <c r="N9" s="18"/>
    </row>
    <row r="10" spans="2:14" ht="15" customHeight="1" x14ac:dyDescent="0.25">
      <c r="B10" s="20"/>
      <c r="C10" s="5" t="s">
        <v>29</v>
      </c>
      <c r="D10" s="6" t="s">
        <v>23</v>
      </c>
      <c r="E10" s="11">
        <v>5.1593E-2</v>
      </c>
      <c r="F10" s="1"/>
      <c r="G10" s="1"/>
      <c r="H10" s="1"/>
      <c r="I10" s="1"/>
      <c r="J10" s="24" t="s">
        <v>14</v>
      </c>
      <c r="K10" s="29">
        <v>2.8975000000000001E-2</v>
      </c>
      <c r="L10" s="1"/>
      <c r="M10" s="1"/>
      <c r="N10" s="18"/>
    </row>
    <row r="11" spans="2:14" ht="15" customHeight="1" x14ac:dyDescent="0.25">
      <c r="B11" s="20"/>
      <c r="C11" s="5" t="s">
        <v>33</v>
      </c>
      <c r="D11" s="6" t="s">
        <v>23</v>
      </c>
      <c r="E11" s="11">
        <v>4.1599999999999996E-3</v>
      </c>
      <c r="F11" s="1"/>
      <c r="G11" s="1"/>
      <c r="H11" s="1"/>
      <c r="I11" s="1"/>
      <c r="J11" s="24" t="s">
        <v>69</v>
      </c>
      <c r="K11" s="29">
        <v>0.24498</v>
      </c>
      <c r="L11" s="1"/>
      <c r="M11" s="1"/>
      <c r="N11" s="18"/>
    </row>
    <row r="12" spans="2:14" ht="15.75" customHeight="1" x14ac:dyDescent="0.25">
      <c r="B12" s="20"/>
      <c r="C12" s="7" t="s">
        <v>30</v>
      </c>
      <c r="D12" s="8"/>
      <c r="E12" s="12">
        <v>0.24498</v>
      </c>
      <c r="F12" s="1"/>
      <c r="G12" s="1"/>
      <c r="H12" s="1"/>
      <c r="I12" s="1"/>
      <c r="J12" s="24" t="s">
        <v>70</v>
      </c>
      <c r="K12" s="29">
        <v>0.51344500000000004</v>
      </c>
      <c r="L12" s="1"/>
      <c r="M12" s="1"/>
      <c r="N12" s="18"/>
    </row>
    <row r="13" spans="2:14" ht="15" customHeight="1" x14ac:dyDescent="0.25">
      <c r="B13" s="20"/>
      <c r="C13" s="5" t="s">
        <v>92</v>
      </c>
      <c r="D13" s="6" t="s">
        <v>23</v>
      </c>
      <c r="E13" s="11">
        <v>1.9807000000000002E-2</v>
      </c>
      <c r="F13" s="1"/>
      <c r="G13" s="1"/>
      <c r="H13" s="1"/>
      <c r="I13" s="1"/>
      <c r="J13" s="24" t="s">
        <v>71</v>
      </c>
      <c r="K13" s="29">
        <v>4.1371999999999999E-2</v>
      </c>
      <c r="L13" s="1"/>
      <c r="M13" s="1"/>
      <c r="N13" s="18"/>
    </row>
    <row r="14" spans="2:14" ht="15" customHeight="1" x14ac:dyDescent="0.25">
      <c r="B14" s="20"/>
      <c r="C14" s="5" t="s">
        <v>99</v>
      </c>
      <c r="D14" s="6" t="s">
        <v>23</v>
      </c>
      <c r="E14" s="11">
        <v>1.7299999999999999E-2</v>
      </c>
      <c r="F14" s="1"/>
      <c r="G14" s="1"/>
      <c r="H14" s="1"/>
      <c r="I14" s="1"/>
      <c r="J14" s="24" t="s">
        <v>73</v>
      </c>
      <c r="K14" s="29">
        <v>0.10355499999999999</v>
      </c>
      <c r="L14" s="1"/>
      <c r="M14" s="1"/>
      <c r="N14" s="18"/>
    </row>
    <row r="15" spans="2:14" ht="15" customHeight="1" x14ac:dyDescent="0.25">
      <c r="B15" s="20"/>
      <c r="C15" s="5" t="s">
        <v>31</v>
      </c>
      <c r="D15" s="6" t="s">
        <v>23</v>
      </c>
      <c r="E15" s="11">
        <v>2.5539999999999998E-3</v>
      </c>
      <c r="F15" s="1"/>
      <c r="G15" s="1"/>
      <c r="H15" s="1"/>
      <c r="I15" s="1"/>
      <c r="J15" s="24" t="s">
        <v>74</v>
      </c>
      <c r="K15" s="29">
        <v>1.8884999999999999E-2</v>
      </c>
      <c r="L15" s="1"/>
      <c r="M15" s="1"/>
      <c r="N15" s="18"/>
    </row>
    <row r="16" spans="2:14" ht="15" customHeight="1" x14ac:dyDescent="0.25">
      <c r="B16" s="20"/>
      <c r="C16" s="5" t="s">
        <v>43</v>
      </c>
      <c r="D16" s="6" t="s">
        <v>23</v>
      </c>
      <c r="E16" s="11">
        <v>1.7110000000000001E-3</v>
      </c>
      <c r="F16" s="1"/>
      <c r="G16" s="1"/>
      <c r="H16" s="1"/>
      <c r="I16" s="1"/>
      <c r="J16" s="24" t="s">
        <v>75</v>
      </c>
      <c r="K16" s="29">
        <v>4.2530999999999999E-2</v>
      </c>
      <c r="L16" s="1"/>
      <c r="M16" s="1"/>
      <c r="N16" s="18"/>
    </row>
    <row r="17" spans="2:14" ht="15.75" customHeight="1" x14ac:dyDescent="0.25">
      <c r="B17" s="20"/>
      <c r="C17" s="7" t="s">
        <v>32</v>
      </c>
      <c r="D17" s="8"/>
      <c r="E17" s="12">
        <v>4.1371999999999999E-2</v>
      </c>
      <c r="F17" s="1"/>
      <c r="G17" s="1"/>
      <c r="H17" s="1"/>
      <c r="I17" s="1"/>
      <c r="J17" s="24" t="s">
        <v>76</v>
      </c>
      <c r="K17" s="29">
        <v>8.8500000000000002E-3</v>
      </c>
      <c r="L17" s="1"/>
      <c r="M17" s="1"/>
      <c r="N17" s="18"/>
    </row>
    <row r="18" spans="2:14" ht="15" customHeight="1" x14ac:dyDescent="0.25">
      <c r="B18" s="20"/>
      <c r="C18" s="5" t="s">
        <v>33</v>
      </c>
      <c r="D18" s="6" t="s">
        <v>34</v>
      </c>
      <c r="E18" s="11">
        <v>0.113166</v>
      </c>
      <c r="F18" s="1"/>
      <c r="G18" s="1"/>
      <c r="H18" s="1"/>
      <c r="I18" s="1"/>
      <c r="J18" s="1"/>
      <c r="K18" s="1"/>
      <c r="L18" s="1"/>
      <c r="M18" s="1"/>
      <c r="N18" s="18"/>
    </row>
    <row r="19" spans="2:14" ht="15" customHeight="1" x14ac:dyDescent="0.25">
      <c r="B19" s="20"/>
      <c r="C19" s="5" t="s">
        <v>31</v>
      </c>
      <c r="D19" s="6" t="s">
        <v>34</v>
      </c>
      <c r="E19" s="11">
        <v>0.106184</v>
      </c>
      <c r="F19" s="1"/>
      <c r="G19" s="1"/>
      <c r="H19" s="1"/>
      <c r="I19" s="1"/>
      <c r="J19" s="1"/>
      <c r="K19" s="1"/>
      <c r="L19" s="1"/>
      <c r="M19" s="1"/>
      <c r="N19" s="18"/>
    </row>
    <row r="20" spans="2:14" ht="15" customHeight="1" x14ac:dyDescent="0.25">
      <c r="B20" s="20"/>
      <c r="C20" s="5" t="s">
        <v>43</v>
      </c>
      <c r="D20" s="6" t="s">
        <v>34</v>
      </c>
      <c r="E20" s="11">
        <v>7.7532000000000004E-2</v>
      </c>
      <c r="F20" s="1"/>
      <c r="G20" s="1"/>
      <c r="H20" s="1"/>
      <c r="I20" s="1"/>
      <c r="J20" s="1"/>
      <c r="K20" s="1"/>
      <c r="L20" s="1"/>
      <c r="M20" s="1"/>
      <c r="N20" s="18"/>
    </row>
    <row r="21" spans="2:14" ht="15" customHeight="1" x14ac:dyDescent="0.25">
      <c r="B21" s="20"/>
      <c r="C21" s="5" t="s">
        <v>44</v>
      </c>
      <c r="D21" s="6" t="s">
        <v>34</v>
      </c>
      <c r="E21" s="11">
        <v>7.2758000000000003E-2</v>
      </c>
      <c r="F21" s="1"/>
      <c r="G21" s="1"/>
      <c r="H21" s="1"/>
      <c r="I21" s="1"/>
      <c r="J21" s="1"/>
      <c r="K21" s="1"/>
      <c r="L21" s="1"/>
      <c r="M21" s="1"/>
      <c r="N21" s="18"/>
    </row>
    <row r="22" spans="2:14" ht="15" customHeight="1" x14ac:dyDescent="0.25">
      <c r="B22" s="20"/>
      <c r="C22" s="5" t="s">
        <v>36</v>
      </c>
      <c r="D22" s="6" t="s">
        <v>34</v>
      </c>
      <c r="E22" s="11">
        <v>5.5223000000000001E-2</v>
      </c>
      <c r="F22" s="1"/>
      <c r="G22" s="1"/>
      <c r="H22" s="1"/>
      <c r="I22" s="1"/>
      <c r="J22" s="1"/>
      <c r="K22" s="1"/>
      <c r="L22" s="1"/>
      <c r="M22" s="1"/>
      <c r="N22" s="18"/>
    </row>
    <row r="23" spans="2:14" ht="15" customHeight="1" x14ac:dyDescent="0.25">
      <c r="B23" s="20"/>
      <c r="C23" s="5" t="s">
        <v>51</v>
      </c>
      <c r="D23" s="6" t="s">
        <v>34</v>
      </c>
      <c r="E23" s="11">
        <v>3.3301999999999998E-2</v>
      </c>
      <c r="F23" s="1"/>
      <c r="G23" s="1"/>
      <c r="H23" s="1"/>
      <c r="I23" s="1"/>
      <c r="J23" s="1"/>
      <c r="K23" s="1"/>
      <c r="L23" s="1"/>
      <c r="M23" s="1"/>
      <c r="N23" s="18"/>
    </row>
    <row r="24" spans="2:14" ht="15" customHeight="1" x14ac:dyDescent="0.25">
      <c r="B24" s="20"/>
      <c r="C24" s="5" t="s">
        <v>37</v>
      </c>
      <c r="D24" s="6" t="s">
        <v>34</v>
      </c>
      <c r="E24" s="11">
        <v>3.0657E-2</v>
      </c>
      <c r="F24" s="1"/>
      <c r="G24" s="44" t="s">
        <v>113</v>
      </c>
      <c r="H24" s="45"/>
      <c r="I24" s="45"/>
      <c r="J24" s="45"/>
      <c r="K24" s="45"/>
      <c r="L24" s="35">
        <v>329</v>
      </c>
      <c r="M24" s="27"/>
      <c r="N24" s="28"/>
    </row>
    <row r="25" spans="2:14" ht="15" customHeight="1" x14ac:dyDescent="0.25">
      <c r="B25" s="20"/>
      <c r="C25" s="5" t="s">
        <v>104</v>
      </c>
      <c r="D25" s="6" t="s">
        <v>34</v>
      </c>
      <c r="E25" s="11">
        <v>1.3389E-2</v>
      </c>
      <c r="F25" s="1"/>
      <c r="G25" s="1"/>
      <c r="H25" s="1"/>
      <c r="I25" s="1"/>
      <c r="J25" s="1"/>
      <c r="K25" s="1"/>
      <c r="L25" s="1"/>
      <c r="M25" s="1"/>
      <c r="N25" s="18"/>
    </row>
    <row r="26" spans="2:14" ht="15" customHeight="1" x14ac:dyDescent="0.25">
      <c r="B26" s="20"/>
      <c r="C26" s="5" t="s">
        <v>156</v>
      </c>
      <c r="D26" s="6" t="s">
        <v>34</v>
      </c>
      <c r="E26" s="11">
        <v>8.6859999999999993E-3</v>
      </c>
      <c r="F26" s="1"/>
      <c r="G26" s="44" t="s">
        <v>19</v>
      </c>
      <c r="H26" s="45"/>
      <c r="I26" s="45"/>
      <c r="J26" s="45"/>
      <c r="K26" s="45"/>
      <c r="L26" s="45"/>
      <c r="M26" s="45"/>
      <c r="N26" s="46"/>
    </row>
    <row r="27" spans="2:14" ht="15" customHeight="1" x14ac:dyDescent="0.25">
      <c r="B27" s="20"/>
      <c r="C27" s="5" t="s">
        <v>47</v>
      </c>
      <c r="D27" s="6" t="s">
        <v>34</v>
      </c>
      <c r="E27" s="11">
        <v>2.392E-3</v>
      </c>
      <c r="F27" s="1"/>
      <c r="G27" s="1"/>
      <c r="H27" s="1"/>
      <c r="I27" s="1"/>
      <c r="J27" s="1"/>
      <c r="K27" s="1"/>
      <c r="L27" s="1"/>
      <c r="M27" s="1"/>
      <c r="N27" s="18"/>
    </row>
    <row r="28" spans="2:14" ht="15" customHeight="1" x14ac:dyDescent="0.25">
      <c r="B28" s="20"/>
      <c r="C28" s="5" t="s">
        <v>28</v>
      </c>
      <c r="D28" s="6" t="s">
        <v>34</v>
      </c>
      <c r="E28" s="11">
        <v>1.56E-4</v>
      </c>
      <c r="F28" s="1"/>
      <c r="G28" s="1"/>
      <c r="H28" s="1"/>
      <c r="I28" s="1"/>
      <c r="J28" s="1"/>
      <c r="K28" s="1"/>
      <c r="L28" s="1"/>
      <c r="M28" s="1"/>
      <c r="N28" s="18"/>
    </row>
    <row r="29" spans="2:14" ht="15.75" customHeight="1" x14ac:dyDescent="0.25">
      <c r="B29" s="20"/>
      <c r="C29" s="7" t="s">
        <v>53</v>
      </c>
      <c r="D29" s="8"/>
      <c r="E29" s="12">
        <v>0.51344500000000004</v>
      </c>
      <c r="F29" s="1"/>
      <c r="G29" s="1"/>
      <c r="H29" s="1"/>
      <c r="I29" s="1"/>
      <c r="J29" s="1"/>
      <c r="K29" s="1"/>
      <c r="L29" s="1"/>
      <c r="M29" s="1"/>
      <c r="N29" s="18"/>
    </row>
    <row r="30" spans="2:14" ht="15" customHeight="1" x14ac:dyDescent="0.25">
      <c r="B30" s="20"/>
      <c r="C30" s="5" t="s">
        <v>79</v>
      </c>
      <c r="D30" s="6" t="s">
        <v>57</v>
      </c>
      <c r="E30" s="11">
        <v>0.102447</v>
      </c>
      <c r="F30" s="1"/>
      <c r="G30" s="1"/>
      <c r="H30" s="1"/>
      <c r="I30" s="1"/>
      <c r="J30" s="1"/>
      <c r="K30" s="1"/>
      <c r="L30" s="1"/>
      <c r="M30" s="1"/>
      <c r="N30" s="18"/>
    </row>
    <row r="31" spans="2:14" ht="15" customHeight="1" x14ac:dyDescent="0.25">
      <c r="B31" s="20"/>
      <c r="C31" s="5" t="s">
        <v>157</v>
      </c>
      <c r="D31" s="6" t="s">
        <v>57</v>
      </c>
      <c r="E31" s="11">
        <v>9.3199999999999999E-4</v>
      </c>
      <c r="F31" s="1"/>
      <c r="G31" s="1"/>
      <c r="H31" s="1"/>
      <c r="I31" s="1"/>
      <c r="J31" s="1"/>
      <c r="K31" s="1"/>
      <c r="L31" s="1"/>
      <c r="M31" s="1"/>
      <c r="N31" s="18"/>
    </row>
    <row r="32" spans="2:14" ht="15" customHeight="1" x14ac:dyDescent="0.25">
      <c r="B32" s="20"/>
      <c r="C32" s="5" t="s">
        <v>158</v>
      </c>
      <c r="D32" s="6" t="s">
        <v>57</v>
      </c>
      <c r="E32" s="11">
        <v>1.76E-4</v>
      </c>
      <c r="F32" s="1"/>
      <c r="G32" s="1"/>
      <c r="H32" s="1"/>
      <c r="I32" s="1"/>
      <c r="J32" s="1"/>
      <c r="K32" s="1"/>
      <c r="L32" s="1"/>
      <c r="M32" s="1"/>
      <c r="N32" s="18"/>
    </row>
    <row r="33" spans="2:14" ht="15.75" customHeight="1" x14ac:dyDescent="0.25">
      <c r="B33" s="20"/>
      <c r="C33" s="7" t="s">
        <v>63</v>
      </c>
      <c r="D33" s="8"/>
      <c r="E33" s="12">
        <v>0.10355499999999999</v>
      </c>
      <c r="F33" s="1"/>
      <c r="G33" s="1"/>
      <c r="H33" s="1"/>
      <c r="I33" s="1"/>
      <c r="J33" s="1"/>
      <c r="K33" s="1"/>
      <c r="L33" s="1"/>
      <c r="M33" s="1"/>
      <c r="N33" s="18"/>
    </row>
    <row r="34" spans="2:14" ht="15" customHeight="1" x14ac:dyDescent="0.25">
      <c r="B34" s="20"/>
      <c r="C34" s="5" t="s">
        <v>170</v>
      </c>
      <c r="D34" s="6" t="s">
        <v>57</v>
      </c>
      <c r="E34" s="11">
        <v>5.3030000000000004E-3</v>
      </c>
      <c r="F34" s="1"/>
      <c r="G34" s="1"/>
      <c r="H34" s="1"/>
      <c r="I34" s="1"/>
      <c r="J34" s="1"/>
      <c r="K34" s="1"/>
      <c r="L34" s="1"/>
      <c r="M34" s="1"/>
      <c r="N34" s="18"/>
    </row>
    <row r="35" spans="2:14" ht="15.75" customHeight="1" x14ac:dyDescent="0.25">
      <c r="B35" s="20"/>
      <c r="C35" s="5" t="s">
        <v>177</v>
      </c>
      <c r="D35" s="6" t="s">
        <v>57</v>
      </c>
      <c r="E35" s="11">
        <v>5.3020000000000003E-3</v>
      </c>
      <c r="F35" s="1"/>
      <c r="G35" s="1"/>
      <c r="H35" s="1"/>
      <c r="I35" s="1"/>
      <c r="J35" s="1"/>
      <c r="K35" s="1"/>
      <c r="L35" s="1"/>
      <c r="M35" s="1"/>
      <c r="N35" s="18"/>
    </row>
    <row r="36" spans="2:14" ht="15" customHeight="1" x14ac:dyDescent="0.25">
      <c r="B36" s="20"/>
      <c r="C36" s="5" t="s">
        <v>169</v>
      </c>
      <c r="D36" s="6" t="s">
        <v>57</v>
      </c>
      <c r="E36" s="11">
        <v>2.7850000000000001E-3</v>
      </c>
      <c r="F36" s="1"/>
      <c r="G36" s="1"/>
      <c r="H36" s="1"/>
      <c r="I36" s="1"/>
      <c r="J36" s="1"/>
      <c r="K36" s="1"/>
      <c r="L36" s="1"/>
      <c r="M36" s="1"/>
      <c r="N36" s="18"/>
    </row>
    <row r="37" spans="2:14" ht="15.75" customHeight="1" x14ac:dyDescent="0.25">
      <c r="B37" s="20"/>
      <c r="C37" s="5" t="s">
        <v>179</v>
      </c>
      <c r="D37" s="6" t="s">
        <v>57</v>
      </c>
      <c r="E37" s="11">
        <v>2.6580000000000002E-3</v>
      </c>
      <c r="F37" s="1"/>
      <c r="G37" s="1"/>
      <c r="H37" s="1"/>
      <c r="I37" s="1"/>
      <c r="J37" s="1"/>
      <c r="K37" s="1"/>
      <c r="L37" s="1"/>
      <c r="M37" s="1"/>
      <c r="N37" s="18"/>
    </row>
    <row r="38" spans="2:14" ht="15" customHeight="1" x14ac:dyDescent="0.25">
      <c r="B38" s="20"/>
      <c r="C38" s="5" t="s">
        <v>168</v>
      </c>
      <c r="D38" s="6" t="s">
        <v>57</v>
      </c>
      <c r="E38" s="11">
        <v>9.1600000000000004E-4</v>
      </c>
      <c r="F38" s="1"/>
      <c r="G38" s="1"/>
      <c r="H38" s="1"/>
      <c r="I38" s="1"/>
      <c r="J38" s="1"/>
      <c r="K38" s="1"/>
      <c r="L38" s="1"/>
      <c r="M38" s="1"/>
      <c r="N38" s="18"/>
    </row>
    <row r="39" spans="2:14" ht="15.75" customHeight="1" x14ac:dyDescent="0.25">
      <c r="B39" s="20"/>
      <c r="C39" s="5" t="s">
        <v>172</v>
      </c>
      <c r="D39" s="6" t="s">
        <v>57</v>
      </c>
      <c r="E39" s="11">
        <v>4.6999999999999999E-4</v>
      </c>
      <c r="F39" s="1"/>
      <c r="G39" s="1"/>
      <c r="H39" s="1"/>
      <c r="I39" s="1"/>
      <c r="J39" s="1"/>
      <c r="K39" s="1"/>
      <c r="L39" s="1"/>
      <c r="M39" s="1"/>
      <c r="N39" s="18"/>
    </row>
    <row r="40" spans="2:14" ht="15" customHeight="1" x14ac:dyDescent="0.25">
      <c r="B40" s="20"/>
      <c r="C40" s="5" t="s">
        <v>171</v>
      </c>
      <c r="D40" s="6" t="s">
        <v>57</v>
      </c>
      <c r="E40" s="11">
        <v>4.1199999999999999E-4</v>
      </c>
      <c r="F40" s="1"/>
      <c r="G40" s="1"/>
      <c r="H40" s="1"/>
      <c r="I40" s="1"/>
      <c r="J40" s="1"/>
      <c r="K40" s="1"/>
      <c r="L40" s="1"/>
      <c r="M40" s="1"/>
      <c r="N40" s="18"/>
    </row>
    <row r="41" spans="2:14" ht="15.75" customHeight="1" x14ac:dyDescent="0.25">
      <c r="B41" s="20"/>
      <c r="C41" s="5" t="s">
        <v>178</v>
      </c>
      <c r="D41" s="6" t="s">
        <v>57</v>
      </c>
      <c r="E41" s="11">
        <v>2.9799999999999998E-4</v>
      </c>
      <c r="F41" s="1"/>
      <c r="G41" s="1"/>
      <c r="H41" s="1"/>
      <c r="I41" s="1"/>
      <c r="J41" s="1"/>
      <c r="K41" s="1"/>
      <c r="L41" s="1"/>
      <c r="M41" s="1"/>
      <c r="N41" s="18"/>
    </row>
    <row r="42" spans="2:14" ht="15" customHeight="1" x14ac:dyDescent="0.25">
      <c r="B42" s="20"/>
      <c r="C42" s="5" t="s">
        <v>180</v>
      </c>
      <c r="D42" s="6" t="s">
        <v>57</v>
      </c>
      <c r="E42" s="11">
        <v>2.7099999999999997E-4</v>
      </c>
      <c r="F42" s="1"/>
      <c r="G42" s="1"/>
      <c r="H42" s="1"/>
      <c r="I42" s="1"/>
      <c r="J42" s="1"/>
      <c r="K42" s="1"/>
      <c r="L42" s="1"/>
      <c r="M42" s="1"/>
      <c r="N42" s="18"/>
    </row>
    <row r="43" spans="2:14" ht="15.75" customHeight="1" x14ac:dyDescent="0.25">
      <c r="B43" s="20"/>
      <c r="C43" s="5" t="s">
        <v>175</v>
      </c>
      <c r="D43" s="6" t="s">
        <v>57</v>
      </c>
      <c r="E43" s="11">
        <v>2.5000000000000001E-4</v>
      </c>
      <c r="F43" s="1"/>
      <c r="G43" s="1"/>
      <c r="H43" s="1"/>
      <c r="I43" s="1"/>
      <c r="J43" s="1"/>
      <c r="K43" s="1"/>
      <c r="L43" s="1"/>
      <c r="M43" s="1"/>
      <c r="N43" s="18"/>
    </row>
    <row r="44" spans="2:14" ht="15" customHeight="1" x14ac:dyDescent="0.25">
      <c r="B44" s="20"/>
      <c r="C44" s="5" t="s">
        <v>176</v>
      </c>
      <c r="D44" s="6" t="s">
        <v>57</v>
      </c>
      <c r="E44" s="11">
        <v>1.06E-4</v>
      </c>
      <c r="F44" s="1"/>
      <c r="G44" s="1"/>
      <c r="H44" s="1"/>
      <c r="I44" s="1"/>
      <c r="J44" s="1"/>
      <c r="K44" s="1"/>
      <c r="L44" s="1"/>
      <c r="M44" s="1"/>
      <c r="N44" s="18"/>
    </row>
    <row r="45" spans="2:14" ht="15" customHeight="1" x14ac:dyDescent="0.25">
      <c r="B45" s="20"/>
      <c r="C45" s="5" t="s">
        <v>174</v>
      </c>
      <c r="D45" s="6" t="s">
        <v>57</v>
      </c>
      <c r="E45" s="11">
        <v>6.9999999999999994E-5</v>
      </c>
      <c r="F45" s="1"/>
      <c r="G45" s="1"/>
      <c r="H45" s="1"/>
      <c r="I45" s="1"/>
      <c r="J45" s="1"/>
      <c r="K45" s="1"/>
      <c r="L45" s="1"/>
      <c r="M45" s="1"/>
      <c r="N45" s="18"/>
    </row>
    <row r="46" spans="2:14" ht="15" customHeight="1" x14ac:dyDescent="0.25">
      <c r="B46" s="20"/>
      <c r="C46" s="5" t="s">
        <v>173</v>
      </c>
      <c r="D46" s="6" t="s">
        <v>57</v>
      </c>
      <c r="E46" s="30">
        <v>4.3999999999999999E-5</v>
      </c>
      <c r="F46" s="1"/>
      <c r="G46" s="1"/>
      <c r="H46" s="1"/>
      <c r="I46" s="1"/>
      <c r="J46" s="1"/>
      <c r="K46" s="1"/>
      <c r="L46" s="1"/>
      <c r="M46" s="1"/>
      <c r="N46" s="18"/>
    </row>
    <row r="47" spans="2:14" ht="15" customHeight="1" x14ac:dyDescent="0.25">
      <c r="B47" s="20"/>
      <c r="C47" s="7" t="s">
        <v>64</v>
      </c>
      <c r="D47" s="8"/>
      <c r="E47" s="12">
        <v>1.8884999999999999E-2</v>
      </c>
      <c r="F47" s="1"/>
      <c r="G47" s="1"/>
      <c r="H47" s="1"/>
      <c r="I47" s="1"/>
      <c r="J47" s="1"/>
      <c r="K47" s="1"/>
      <c r="L47" s="1"/>
      <c r="M47" s="1"/>
      <c r="N47" s="18"/>
    </row>
    <row r="48" spans="2:14" ht="15" customHeight="1" x14ac:dyDescent="0.25">
      <c r="B48" s="20"/>
      <c r="C48" s="5" t="s">
        <v>159</v>
      </c>
      <c r="D48" s="6" t="s">
        <v>57</v>
      </c>
      <c r="E48" s="11">
        <v>4.2530999999999999E-2</v>
      </c>
      <c r="F48" s="1"/>
      <c r="G48" s="1"/>
      <c r="H48" s="1"/>
      <c r="I48" s="1"/>
      <c r="J48" s="1"/>
      <c r="K48" s="1"/>
      <c r="L48" s="1"/>
      <c r="M48" s="1"/>
      <c r="N48" s="18"/>
    </row>
    <row r="49" spans="2:14" ht="15" customHeight="1" x14ac:dyDescent="0.25">
      <c r="B49" s="20"/>
      <c r="C49" s="7" t="s">
        <v>67</v>
      </c>
      <c r="D49" s="8"/>
      <c r="E49" s="12">
        <v>4.2530999999999999E-2</v>
      </c>
      <c r="F49" s="1"/>
      <c r="G49" s="1"/>
      <c r="H49" s="1"/>
      <c r="I49" s="1"/>
      <c r="J49" s="1"/>
      <c r="K49" s="1"/>
      <c r="L49" s="1"/>
      <c r="M49" s="1"/>
      <c r="N49" s="18"/>
    </row>
    <row r="50" spans="2:14" ht="15" customHeight="1" x14ac:dyDescent="0.25">
      <c r="B50" s="20"/>
      <c r="C50" s="5" t="s">
        <v>9</v>
      </c>
      <c r="D50" s="6"/>
      <c r="E50" s="11">
        <v>2.8975000000000001E-2</v>
      </c>
      <c r="F50" s="1"/>
      <c r="G50" s="1"/>
      <c r="H50" s="1"/>
      <c r="I50" s="1"/>
      <c r="J50" s="1"/>
      <c r="K50" s="1"/>
      <c r="L50" s="1"/>
      <c r="M50" s="1"/>
      <c r="N50" s="18"/>
    </row>
    <row r="51" spans="2:14" ht="15" customHeight="1" x14ac:dyDescent="0.25">
      <c r="B51" s="20"/>
      <c r="C51" s="7" t="s">
        <v>10</v>
      </c>
      <c r="D51" s="8"/>
      <c r="E51" s="12">
        <v>2.8975000000000001E-2</v>
      </c>
      <c r="F51" s="1"/>
      <c r="G51" s="1"/>
      <c r="H51" s="1"/>
      <c r="I51" s="1"/>
      <c r="J51" s="1"/>
      <c r="K51" s="1"/>
      <c r="L51" s="1"/>
      <c r="M51" s="1"/>
      <c r="N51" s="18"/>
    </row>
    <row r="52" spans="2:14" ht="15" customHeight="1" x14ac:dyDescent="0.25">
      <c r="B52" s="20"/>
      <c r="C52" s="5" t="s">
        <v>43</v>
      </c>
      <c r="D52" s="6" t="s">
        <v>34</v>
      </c>
      <c r="E52" s="11">
        <v>8.8500000000000002E-3</v>
      </c>
      <c r="F52" s="1"/>
      <c r="G52" s="1"/>
      <c r="H52" s="1"/>
      <c r="I52" s="1"/>
      <c r="J52" s="1"/>
      <c r="K52" s="1"/>
      <c r="L52" s="1"/>
      <c r="M52" s="1"/>
      <c r="N52" s="18"/>
    </row>
    <row r="53" spans="2:14" ht="15" customHeight="1" x14ac:dyDescent="0.25">
      <c r="B53" s="20"/>
      <c r="C53" s="7" t="s">
        <v>68</v>
      </c>
      <c r="D53" s="8"/>
      <c r="E53" s="12">
        <v>8.8500000000000002E-3</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7" t="s">
        <v>11</v>
      </c>
      <c r="D55" s="8"/>
      <c r="E55" s="12">
        <v>-2.5929999999999998E-3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9" t="s">
        <v>12</v>
      </c>
      <c r="D57" s="10"/>
      <c r="E57" s="13">
        <v>1</v>
      </c>
      <c r="F57" s="1"/>
      <c r="G57" s="1"/>
      <c r="H57" s="1"/>
      <c r="I57" s="1"/>
      <c r="J57" s="1"/>
      <c r="K57" s="1"/>
      <c r="L57" s="1"/>
      <c r="M57" s="1"/>
      <c r="N57" s="18"/>
    </row>
    <row r="58" spans="2:14" ht="15" customHeight="1" x14ac:dyDescent="0.25">
      <c r="B58" s="20"/>
      <c r="C58" s="1"/>
      <c r="D58" s="1"/>
      <c r="E58" s="1"/>
      <c r="F58" s="1"/>
      <c r="G58" s="1"/>
      <c r="H58" s="1"/>
      <c r="I58" s="1"/>
      <c r="J58" s="1"/>
      <c r="K58" s="1"/>
      <c r="L58" s="1"/>
      <c r="M58" s="1"/>
      <c r="N58" s="18"/>
    </row>
    <row r="59" spans="2:14" ht="15" customHeight="1" thickBot="1" x14ac:dyDescent="0.3">
      <c r="B59" s="21"/>
      <c r="C59" s="22"/>
      <c r="D59" s="22"/>
      <c r="E59" s="22"/>
      <c r="F59" s="22"/>
      <c r="G59" s="22"/>
      <c r="H59" s="22"/>
      <c r="I59" s="22"/>
      <c r="J59" s="22"/>
      <c r="K59" s="22"/>
      <c r="L59" s="22"/>
      <c r="M59" s="22"/>
      <c r="N59" s="23"/>
    </row>
    <row r="60" spans="2:14" ht="15" customHeight="1" thickBot="1" x14ac:dyDescent="0.3"/>
    <row r="61" spans="2:14" ht="108" customHeight="1" thickBot="1" x14ac:dyDescent="0.3">
      <c r="B61" s="36" t="s">
        <v>230</v>
      </c>
      <c r="C61" s="37"/>
      <c r="D61" s="37"/>
      <c r="E61" s="37"/>
      <c r="F61" s="37"/>
      <c r="G61" s="37"/>
      <c r="H61" s="37"/>
      <c r="I61" s="37"/>
      <c r="J61" s="37"/>
      <c r="K61" s="37"/>
      <c r="L61" s="37"/>
      <c r="M61" s="37"/>
      <c r="N61" s="38"/>
    </row>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sheetData>
  <sortState ref="C34:E46">
    <sortCondition descending="1" ref="E34"/>
  </sortState>
  <mergeCells count="6">
    <mergeCell ref="B61:N61"/>
    <mergeCell ref="C3:N3"/>
    <mergeCell ref="D5:E5"/>
    <mergeCell ref="G7:N7"/>
    <mergeCell ref="G24:K24"/>
    <mergeCell ref="G26:N26"/>
  </mergeCells>
  <pageMargins left="0.7" right="0.7" top="0.75" bottom="0.75" header="0.3" footer="0.3"/>
  <pageSetup scale="5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09E67-271F-41C3-B7B5-32C5BC57B733}">
  <sheetPr>
    <pageSetUpPr fitToPage="1"/>
  </sheetPr>
  <dimension ref="B1:N64"/>
  <sheetViews>
    <sheetView showGridLines="0" view="pageBreakPreview" topLeftCell="A7"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160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161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8.4648000000000001E-2</v>
      </c>
      <c r="F8" s="1"/>
      <c r="G8" s="24" t="s">
        <v>16</v>
      </c>
      <c r="H8" s="25">
        <v>1</v>
      </c>
      <c r="I8" s="1"/>
      <c r="J8" s="24" t="s">
        <v>13</v>
      </c>
      <c r="K8" s="24" t="s">
        <v>5</v>
      </c>
      <c r="L8" s="1"/>
      <c r="M8" s="1"/>
      <c r="N8" s="18"/>
    </row>
    <row r="9" spans="2:14" ht="15" customHeight="1" x14ac:dyDescent="0.25">
      <c r="B9" s="20"/>
      <c r="C9" s="5" t="s">
        <v>29</v>
      </c>
      <c r="D9" s="6" t="s">
        <v>23</v>
      </c>
      <c r="E9" s="11">
        <v>7.9944000000000001E-2</v>
      </c>
      <c r="F9" s="1"/>
      <c r="G9" s="1"/>
      <c r="H9" s="1"/>
      <c r="I9" s="1"/>
      <c r="J9" s="24" t="s">
        <v>11</v>
      </c>
      <c r="K9" s="29">
        <v>-0.20567299999999999</v>
      </c>
      <c r="L9" s="1"/>
      <c r="M9" s="1"/>
      <c r="N9" s="18"/>
    </row>
    <row r="10" spans="2:14" ht="15" customHeight="1" x14ac:dyDescent="0.25">
      <c r="B10" s="20"/>
      <c r="C10" s="5" t="s">
        <v>33</v>
      </c>
      <c r="D10" s="6" t="s">
        <v>23</v>
      </c>
      <c r="E10" s="11">
        <v>7.757E-2</v>
      </c>
      <c r="F10" s="1"/>
      <c r="G10" s="1"/>
      <c r="H10" s="1"/>
      <c r="I10" s="1"/>
      <c r="J10" s="24" t="s">
        <v>14</v>
      </c>
      <c r="K10" s="29">
        <v>0.12915499999999999</v>
      </c>
      <c r="L10" s="1"/>
      <c r="M10" s="1"/>
      <c r="N10" s="18"/>
    </row>
    <row r="11" spans="2:14" ht="15" customHeight="1" x14ac:dyDescent="0.25">
      <c r="B11" s="20"/>
      <c r="C11" s="5" t="s">
        <v>25</v>
      </c>
      <c r="D11" s="6" t="s">
        <v>23</v>
      </c>
      <c r="E11" s="11">
        <v>6.9511000000000003E-2</v>
      </c>
      <c r="F11" s="1"/>
      <c r="G11" s="1"/>
      <c r="H11" s="1"/>
      <c r="I11" s="1"/>
      <c r="J11" s="24" t="s">
        <v>69</v>
      </c>
      <c r="K11" s="29">
        <v>0.49791000000000002</v>
      </c>
      <c r="L11" s="1"/>
      <c r="M11" s="1"/>
      <c r="N11" s="18"/>
    </row>
    <row r="12" spans="2:14" ht="15" customHeight="1" x14ac:dyDescent="0.25">
      <c r="B12" s="20"/>
      <c r="C12" s="5" t="s">
        <v>26</v>
      </c>
      <c r="D12" s="6" t="s">
        <v>23</v>
      </c>
      <c r="E12" s="11">
        <v>6.9489999999999996E-2</v>
      </c>
      <c r="F12" s="1"/>
      <c r="G12" s="1"/>
      <c r="H12" s="1"/>
      <c r="I12" s="1"/>
      <c r="J12" s="24" t="s">
        <v>71</v>
      </c>
      <c r="K12" s="29">
        <v>0.405912</v>
      </c>
      <c r="L12" s="1"/>
      <c r="M12" s="1"/>
      <c r="N12" s="18"/>
    </row>
    <row r="13" spans="2:14" ht="15" customHeight="1" x14ac:dyDescent="0.25">
      <c r="B13" s="20"/>
      <c r="C13" s="5" t="s">
        <v>28</v>
      </c>
      <c r="D13" s="6" t="s">
        <v>23</v>
      </c>
      <c r="E13" s="11">
        <v>6.7787E-2</v>
      </c>
      <c r="F13" s="1"/>
      <c r="G13" s="1"/>
      <c r="H13" s="1"/>
      <c r="I13" s="1"/>
      <c r="J13" s="24" t="s">
        <v>74</v>
      </c>
      <c r="K13" s="29">
        <v>8.5286000000000001E-2</v>
      </c>
      <c r="L13" s="1"/>
      <c r="M13" s="1"/>
      <c r="N13" s="18"/>
    </row>
    <row r="14" spans="2:14" ht="15" customHeight="1" x14ac:dyDescent="0.25">
      <c r="B14" s="20"/>
      <c r="C14" s="5" t="s">
        <v>40</v>
      </c>
      <c r="D14" s="6" t="s">
        <v>23</v>
      </c>
      <c r="E14" s="11">
        <v>3.9232999999999997E-2</v>
      </c>
      <c r="F14" s="1"/>
      <c r="G14" s="1"/>
      <c r="H14" s="1"/>
      <c r="I14" s="1"/>
      <c r="J14" s="24" t="s">
        <v>75</v>
      </c>
      <c r="K14" s="29">
        <v>8.7410000000000002E-2</v>
      </c>
      <c r="L14" s="1"/>
      <c r="M14" s="1"/>
      <c r="N14" s="18"/>
    </row>
    <row r="15" spans="2:14" ht="15" customHeight="1" x14ac:dyDescent="0.25">
      <c r="B15" s="20"/>
      <c r="C15" s="5" t="s">
        <v>54</v>
      </c>
      <c r="D15" s="6" t="s">
        <v>23</v>
      </c>
      <c r="E15" s="11">
        <v>9.7269999999999995E-3</v>
      </c>
      <c r="F15" s="1"/>
      <c r="G15" s="1"/>
      <c r="H15" s="1"/>
      <c r="I15" s="1"/>
      <c r="J15" s="1"/>
      <c r="K15" s="1"/>
      <c r="L15" s="1"/>
      <c r="M15" s="1"/>
      <c r="N15" s="18"/>
    </row>
    <row r="16" spans="2:14" ht="15.75" customHeight="1" x14ac:dyDescent="0.25">
      <c r="B16" s="20"/>
      <c r="C16" s="7" t="s">
        <v>30</v>
      </c>
      <c r="D16" s="8"/>
      <c r="E16" s="12">
        <v>0.49791000000000002</v>
      </c>
      <c r="F16" s="1"/>
      <c r="G16" s="1"/>
      <c r="H16" s="1"/>
      <c r="I16" s="1"/>
      <c r="J16" s="1"/>
      <c r="K16" s="1"/>
      <c r="L16" s="1"/>
      <c r="M16" s="1"/>
      <c r="N16" s="18"/>
    </row>
    <row r="17" spans="2:14" ht="15" customHeight="1" x14ac:dyDescent="0.25">
      <c r="B17" s="20"/>
      <c r="C17" s="5" t="s">
        <v>97</v>
      </c>
      <c r="D17" s="6" t="s">
        <v>23</v>
      </c>
      <c r="E17" s="11">
        <v>8.9056999999999997E-2</v>
      </c>
      <c r="F17" s="1"/>
      <c r="G17" s="1"/>
      <c r="H17" s="1"/>
      <c r="I17" s="1"/>
      <c r="J17" s="1"/>
      <c r="K17" s="1"/>
      <c r="L17" s="1"/>
      <c r="M17" s="1"/>
      <c r="N17" s="18"/>
    </row>
    <row r="18" spans="2:14" ht="15" customHeight="1" x14ac:dyDescent="0.25">
      <c r="B18" s="20"/>
      <c r="C18" s="5" t="s">
        <v>98</v>
      </c>
      <c r="D18" s="6" t="s">
        <v>23</v>
      </c>
      <c r="E18" s="11">
        <v>8.8849999999999998E-2</v>
      </c>
      <c r="F18" s="1"/>
      <c r="G18" s="1"/>
      <c r="H18" s="1"/>
      <c r="I18" s="1"/>
      <c r="J18" s="1"/>
      <c r="K18" s="1"/>
      <c r="L18" s="1"/>
      <c r="M18" s="1"/>
      <c r="N18" s="18"/>
    </row>
    <row r="19" spans="2:14" ht="15" customHeight="1" x14ac:dyDescent="0.25">
      <c r="B19" s="20"/>
      <c r="C19" s="5" t="s">
        <v>101</v>
      </c>
      <c r="D19" s="6" t="s">
        <v>23</v>
      </c>
      <c r="E19" s="11">
        <v>5.8980999999999999E-2</v>
      </c>
      <c r="F19" s="1"/>
      <c r="G19" s="1"/>
      <c r="H19" s="1"/>
      <c r="I19" s="1"/>
      <c r="J19" s="1"/>
      <c r="K19" s="1"/>
      <c r="L19" s="1"/>
      <c r="M19" s="1"/>
      <c r="N19" s="18"/>
    </row>
    <row r="20" spans="2:14" ht="15" customHeight="1" x14ac:dyDescent="0.25">
      <c r="B20" s="20"/>
      <c r="C20" s="5" t="s">
        <v>31</v>
      </c>
      <c r="D20" s="6" t="s">
        <v>23</v>
      </c>
      <c r="E20" s="11">
        <v>4.9570999999999997E-2</v>
      </c>
      <c r="F20" s="1"/>
      <c r="G20" s="1"/>
      <c r="H20" s="1"/>
      <c r="I20" s="1"/>
      <c r="J20" s="1"/>
      <c r="K20" s="1"/>
      <c r="L20" s="1"/>
      <c r="M20" s="1"/>
      <c r="N20" s="18"/>
    </row>
    <row r="21" spans="2:14" ht="15" customHeight="1" x14ac:dyDescent="0.25">
      <c r="B21" s="20"/>
      <c r="C21" s="5" t="s">
        <v>92</v>
      </c>
      <c r="D21" s="6" t="s">
        <v>23</v>
      </c>
      <c r="E21" s="11">
        <v>4.9335999999999998E-2</v>
      </c>
      <c r="F21" s="1"/>
      <c r="G21" s="1"/>
      <c r="H21" s="1"/>
      <c r="I21" s="1"/>
      <c r="J21" s="1"/>
      <c r="K21" s="1"/>
      <c r="L21" s="1"/>
      <c r="M21" s="1"/>
      <c r="N21" s="18"/>
    </row>
    <row r="22" spans="2:14" ht="15" customHeight="1" x14ac:dyDescent="0.25">
      <c r="B22" s="20"/>
      <c r="C22" s="5" t="s">
        <v>102</v>
      </c>
      <c r="D22" s="6" t="s">
        <v>23</v>
      </c>
      <c r="E22" s="11">
        <v>4.0087999999999999E-2</v>
      </c>
      <c r="F22" s="1"/>
      <c r="G22" s="1"/>
      <c r="H22" s="1"/>
      <c r="I22" s="1"/>
      <c r="J22" s="1"/>
      <c r="K22" s="1"/>
      <c r="L22" s="1"/>
      <c r="M22" s="1"/>
      <c r="N22" s="18"/>
    </row>
    <row r="23" spans="2:14" ht="15" customHeight="1" x14ac:dyDescent="0.25">
      <c r="B23" s="20"/>
      <c r="C23" s="5" t="s">
        <v>99</v>
      </c>
      <c r="D23" s="6" t="s">
        <v>23</v>
      </c>
      <c r="E23" s="11">
        <v>1.0049000000000001E-2</v>
      </c>
      <c r="F23" s="1"/>
      <c r="G23" s="1"/>
      <c r="H23" s="1"/>
      <c r="I23" s="1"/>
      <c r="J23" s="1"/>
      <c r="K23" s="1"/>
      <c r="L23" s="1"/>
      <c r="M23" s="1"/>
      <c r="N23" s="18"/>
    </row>
    <row r="24" spans="2:14" ht="15" customHeight="1" x14ac:dyDescent="0.25">
      <c r="B24" s="20"/>
      <c r="C24" s="5" t="s">
        <v>103</v>
      </c>
      <c r="D24" s="6" t="s">
        <v>23</v>
      </c>
      <c r="E24" s="11">
        <v>1.0008E-2</v>
      </c>
      <c r="F24" s="1"/>
      <c r="G24" s="44" t="s">
        <v>113</v>
      </c>
      <c r="H24" s="45"/>
      <c r="I24" s="45"/>
      <c r="J24" s="45"/>
      <c r="K24" s="45"/>
      <c r="L24" s="35">
        <v>193</v>
      </c>
      <c r="M24" s="27"/>
      <c r="N24" s="28"/>
    </row>
    <row r="25" spans="2:14" ht="15" customHeight="1" x14ac:dyDescent="0.25">
      <c r="B25" s="20"/>
      <c r="C25" s="5" t="s">
        <v>43</v>
      </c>
      <c r="D25" s="6" t="s">
        <v>23</v>
      </c>
      <c r="E25" s="11">
        <v>9.972E-3</v>
      </c>
      <c r="F25" s="1"/>
      <c r="G25" s="1"/>
      <c r="H25" s="1"/>
      <c r="I25" s="1"/>
      <c r="J25" s="1"/>
      <c r="K25" s="1"/>
      <c r="L25" s="1"/>
      <c r="M25" s="1"/>
      <c r="N25" s="18"/>
    </row>
    <row r="26" spans="2:14" ht="15.75" customHeight="1" x14ac:dyDescent="0.25">
      <c r="B26" s="20"/>
      <c r="C26" s="7" t="s">
        <v>32</v>
      </c>
      <c r="D26" s="8"/>
      <c r="E26" s="12">
        <v>0.405912</v>
      </c>
      <c r="F26" s="1"/>
      <c r="G26" s="44" t="s">
        <v>19</v>
      </c>
      <c r="H26" s="45"/>
      <c r="I26" s="45"/>
      <c r="J26" s="45"/>
      <c r="K26" s="45"/>
      <c r="L26" s="45"/>
      <c r="M26" s="45"/>
      <c r="N26" s="46"/>
    </row>
    <row r="27" spans="2:14" ht="15" customHeight="1" x14ac:dyDescent="0.25">
      <c r="B27" s="20"/>
      <c r="C27" s="5" t="s">
        <v>181</v>
      </c>
      <c r="D27" s="6" t="s">
        <v>57</v>
      </c>
      <c r="E27" s="11">
        <v>2.0361000000000001E-2</v>
      </c>
      <c r="F27" s="1"/>
      <c r="G27" s="1"/>
      <c r="H27" s="1"/>
      <c r="I27" s="1"/>
      <c r="J27" s="1"/>
      <c r="K27" s="1"/>
      <c r="L27" s="1"/>
      <c r="M27" s="1"/>
      <c r="N27" s="18"/>
    </row>
    <row r="28" spans="2:14" ht="15.75" customHeight="1" x14ac:dyDescent="0.25">
      <c r="B28" s="20"/>
      <c r="C28" s="5" t="s">
        <v>182</v>
      </c>
      <c r="D28" s="6" t="s">
        <v>57</v>
      </c>
      <c r="E28" s="11">
        <v>1.6466999999999999E-2</v>
      </c>
      <c r="F28" s="1"/>
      <c r="G28" s="1"/>
      <c r="H28" s="1"/>
      <c r="I28" s="1"/>
      <c r="J28" s="1"/>
      <c r="K28" s="1"/>
      <c r="L28" s="1"/>
      <c r="M28" s="1"/>
      <c r="N28" s="18"/>
    </row>
    <row r="29" spans="2:14" ht="15" customHeight="1" x14ac:dyDescent="0.25">
      <c r="B29" s="20"/>
      <c r="C29" s="5" t="s">
        <v>171</v>
      </c>
      <c r="D29" s="6" t="s">
        <v>57</v>
      </c>
      <c r="E29" s="11">
        <v>4.0390000000000001E-3</v>
      </c>
      <c r="F29" s="1"/>
      <c r="G29" s="1"/>
      <c r="H29" s="1"/>
      <c r="I29" s="1"/>
      <c r="J29" s="1"/>
      <c r="K29" s="1"/>
      <c r="L29" s="1"/>
      <c r="M29" s="1"/>
      <c r="N29" s="18"/>
    </row>
    <row r="30" spans="2:14" ht="15" customHeight="1" x14ac:dyDescent="0.25">
      <c r="B30" s="20"/>
      <c r="C30" s="5" t="s">
        <v>183</v>
      </c>
      <c r="D30" s="6" t="s">
        <v>57</v>
      </c>
      <c r="E30" s="11">
        <v>6.3599999999999996E-4</v>
      </c>
      <c r="F30" s="1"/>
      <c r="G30" s="1"/>
      <c r="H30" s="1"/>
      <c r="I30" s="1"/>
      <c r="J30" s="1"/>
      <c r="K30" s="1"/>
      <c r="L30" s="1"/>
      <c r="M30" s="1"/>
      <c r="N30" s="18"/>
    </row>
    <row r="31" spans="2:14" ht="15" customHeight="1" x14ac:dyDescent="0.25">
      <c r="B31" s="20"/>
      <c r="C31" s="5" t="s">
        <v>184</v>
      </c>
      <c r="D31" s="6" t="s">
        <v>57</v>
      </c>
      <c r="E31" s="11">
        <v>2.0400000000000001E-3</v>
      </c>
      <c r="F31" s="1"/>
      <c r="G31" s="1"/>
      <c r="H31" s="1"/>
      <c r="I31" s="1"/>
      <c r="J31" s="1"/>
      <c r="K31" s="1"/>
      <c r="L31" s="1"/>
      <c r="M31" s="1"/>
      <c r="N31" s="18"/>
    </row>
    <row r="32" spans="2:14" ht="15.75" customHeight="1" x14ac:dyDescent="0.25">
      <c r="B32" s="20"/>
      <c r="C32" s="5" t="s">
        <v>174</v>
      </c>
      <c r="D32" s="6" t="s">
        <v>57</v>
      </c>
      <c r="E32" s="11">
        <v>4.0899999999999999E-3</v>
      </c>
      <c r="F32" s="1"/>
      <c r="G32" s="1"/>
      <c r="H32" s="1"/>
      <c r="I32" s="1"/>
      <c r="J32" s="1"/>
      <c r="K32" s="1"/>
      <c r="L32" s="1"/>
      <c r="M32" s="1"/>
      <c r="N32" s="18"/>
    </row>
    <row r="33" spans="2:14" ht="15" customHeight="1" x14ac:dyDescent="0.25">
      <c r="B33" s="20"/>
      <c r="C33" s="5" t="s">
        <v>185</v>
      </c>
      <c r="D33" s="6" t="s">
        <v>57</v>
      </c>
      <c r="E33" s="11">
        <v>1.1900000000000001E-4</v>
      </c>
      <c r="F33" s="1"/>
      <c r="G33" s="1"/>
      <c r="H33" s="1"/>
      <c r="I33" s="1"/>
      <c r="J33" s="1"/>
      <c r="K33" s="1"/>
      <c r="L33" s="1"/>
      <c r="M33" s="1"/>
      <c r="N33" s="18"/>
    </row>
    <row r="34" spans="2:14" ht="15.75" customHeight="1" x14ac:dyDescent="0.25">
      <c r="B34" s="20"/>
      <c r="C34" s="5" t="s">
        <v>186</v>
      </c>
      <c r="D34" s="6" t="s">
        <v>57</v>
      </c>
      <c r="E34" s="11">
        <v>4.1570000000000001E-3</v>
      </c>
      <c r="F34" s="1"/>
      <c r="G34" s="1"/>
      <c r="H34" s="1"/>
      <c r="I34" s="1"/>
      <c r="J34" s="1"/>
      <c r="K34" s="1"/>
      <c r="L34" s="1"/>
      <c r="M34" s="1"/>
      <c r="N34" s="18"/>
    </row>
    <row r="35" spans="2:14" ht="15" customHeight="1" x14ac:dyDescent="0.25">
      <c r="B35" s="20"/>
      <c r="C35" s="5" t="s">
        <v>187</v>
      </c>
      <c r="D35" s="6" t="s">
        <v>57</v>
      </c>
      <c r="E35" s="11">
        <v>2.2935000000000001E-2</v>
      </c>
      <c r="F35" s="1"/>
      <c r="G35" s="1"/>
      <c r="H35" s="1"/>
      <c r="I35" s="1"/>
      <c r="J35" s="1"/>
      <c r="K35" s="1"/>
      <c r="L35" s="1"/>
      <c r="M35" s="1"/>
      <c r="N35" s="18"/>
    </row>
    <row r="36" spans="2:14" ht="15.75" customHeight="1" x14ac:dyDescent="0.25">
      <c r="B36" s="20"/>
      <c r="C36" s="5" t="s">
        <v>188</v>
      </c>
      <c r="D36" s="6" t="s">
        <v>57</v>
      </c>
      <c r="E36" s="11">
        <v>1.0442E-2</v>
      </c>
      <c r="F36" s="1"/>
      <c r="G36" s="1"/>
      <c r="H36" s="1"/>
      <c r="I36" s="1"/>
      <c r="J36" s="1"/>
      <c r="K36" s="1"/>
      <c r="L36" s="1"/>
      <c r="M36" s="1"/>
      <c r="N36" s="18"/>
    </row>
    <row r="37" spans="2:14" ht="15" customHeight="1" x14ac:dyDescent="0.25">
      <c r="B37" s="20"/>
      <c r="C37" s="7" t="s">
        <v>64</v>
      </c>
      <c r="D37" s="8"/>
      <c r="E37" s="12">
        <v>8.5286000000000001E-2</v>
      </c>
      <c r="F37" s="1"/>
      <c r="G37" s="1"/>
      <c r="H37" s="1"/>
      <c r="I37" s="1"/>
      <c r="J37" s="1"/>
      <c r="K37" s="1"/>
      <c r="L37" s="1"/>
      <c r="M37" s="1"/>
      <c r="N37" s="18"/>
    </row>
    <row r="38" spans="2:14" ht="15" customHeight="1" x14ac:dyDescent="0.25">
      <c r="B38" s="20"/>
      <c r="C38" s="5" t="s">
        <v>159</v>
      </c>
      <c r="D38" s="6" t="s">
        <v>57</v>
      </c>
      <c r="E38" s="11">
        <v>3.9661000000000002E-2</v>
      </c>
      <c r="F38" s="1"/>
      <c r="G38" s="1"/>
      <c r="H38" s="1"/>
      <c r="I38" s="1"/>
      <c r="J38" s="1"/>
      <c r="K38" s="1"/>
      <c r="L38" s="1"/>
      <c r="M38" s="1"/>
      <c r="N38" s="18"/>
    </row>
    <row r="39" spans="2:14" ht="15" customHeight="1" x14ac:dyDescent="0.25">
      <c r="B39" s="20"/>
      <c r="C39" s="5" t="s">
        <v>162</v>
      </c>
      <c r="D39" s="6" t="s">
        <v>57</v>
      </c>
      <c r="E39" s="11">
        <v>2.9718999999999999E-2</v>
      </c>
      <c r="F39" s="1"/>
      <c r="G39" s="1"/>
      <c r="H39" s="1"/>
      <c r="I39" s="1"/>
      <c r="J39" s="1"/>
      <c r="K39" s="1"/>
      <c r="L39" s="1"/>
      <c r="M39" s="1"/>
      <c r="N39" s="18"/>
    </row>
    <row r="40" spans="2:14" ht="15" customHeight="1" x14ac:dyDescent="0.25">
      <c r="B40" s="20"/>
      <c r="C40" s="5" t="s">
        <v>106</v>
      </c>
      <c r="D40" s="6" t="s">
        <v>57</v>
      </c>
      <c r="E40" s="11">
        <v>1.8030000000000001E-2</v>
      </c>
      <c r="F40" s="1"/>
      <c r="G40" s="1"/>
      <c r="H40" s="1"/>
      <c r="I40" s="1"/>
      <c r="J40" s="1"/>
      <c r="K40" s="1"/>
      <c r="L40" s="1"/>
      <c r="M40" s="1"/>
      <c r="N40" s="18"/>
    </row>
    <row r="41" spans="2:14" ht="15" customHeight="1" x14ac:dyDescent="0.25">
      <c r="B41" s="20"/>
      <c r="C41" s="7" t="s">
        <v>67</v>
      </c>
      <c r="D41" s="8"/>
      <c r="E41" s="12">
        <v>8.7410000000000002E-2</v>
      </c>
      <c r="F41" s="1"/>
      <c r="G41" s="1"/>
      <c r="H41" s="1"/>
      <c r="I41" s="1"/>
      <c r="J41" s="1"/>
      <c r="K41" s="1"/>
      <c r="L41" s="1"/>
      <c r="M41" s="1"/>
      <c r="N41" s="18"/>
    </row>
    <row r="42" spans="2:14" ht="15" customHeight="1" x14ac:dyDescent="0.25">
      <c r="B42" s="20"/>
      <c r="C42" s="5" t="s">
        <v>9</v>
      </c>
      <c r="D42" s="6"/>
      <c r="E42" s="11">
        <v>0.12915499999999999</v>
      </c>
      <c r="F42" s="1"/>
      <c r="G42" s="1"/>
      <c r="H42" s="1"/>
      <c r="I42" s="1"/>
      <c r="J42" s="1"/>
      <c r="K42" s="1"/>
      <c r="L42" s="1"/>
      <c r="M42" s="1"/>
      <c r="N42" s="18"/>
    </row>
    <row r="43" spans="2:14" ht="15" customHeight="1" x14ac:dyDescent="0.25">
      <c r="B43" s="20"/>
      <c r="C43" s="7" t="s">
        <v>10</v>
      </c>
      <c r="D43" s="8"/>
      <c r="E43" s="12">
        <v>0.12915499999999999</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7" t="s">
        <v>11</v>
      </c>
      <c r="D45" s="8"/>
      <c r="E45" s="12">
        <v>-0.20567299999999999</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9" t="s">
        <v>12</v>
      </c>
      <c r="D47" s="10"/>
      <c r="E47" s="13">
        <v>1</v>
      </c>
      <c r="F47" s="1"/>
      <c r="G47" s="1"/>
      <c r="H47" s="1"/>
      <c r="I47" s="1"/>
      <c r="J47" s="1"/>
      <c r="K47" s="1"/>
      <c r="L47" s="1"/>
      <c r="M47" s="1"/>
      <c r="N47" s="18"/>
    </row>
    <row r="48" spans="2:14" ht="15" customHeight="1" x14ac:dyDescent="0.25">
      <c r="B48" s="20"/>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08" customHeight="1" thickBot="1" x14ac:dyDescent="0.3">
      <c r="B51" s="36" t="s">
        <v>230</v>
      </c>
      <c r="C51" s="37"/>
      <c r="D51" s="37"/>
      <c r="E51" s="37"/>
      <c r="F51" s="37"/>
      <c r="G51" s="37"/>
      <c r="H51" s="37"/>
      <c r="I51" s="37"/>
      <c r="J51" s="37"/>
      <c r="K51" s="37"/>
      <c r="L51" s="37"/>
      <c r="M51" s="37"/>
      <c r="N51" s="38"/>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mergeCells count="6">
    <mergeCell ref="B51:N51"/>
    <mergeCell ref="C3:N3"/>
    <mergeCell ref="D5:E5"/>
    <mergeCell ref="G7:N7"/>
    <mergeCell ref="G24:K24"/>
    <mergeCell ref="G26:N26"/>
  </mergeCells>
  <pageMargins left="0.7" right="0.7" top="0.75" bottom="0.75" header="0.3" footer="0.3"/>
  <pageSetup scale="58"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7724-794F-41FE-A894-9679A841C8DD}">
  <sheetPr>
    <pageSetUpPr fitToPage="1"/>
  </sheetPr>
  <dimension ref="B1:N55"/>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165</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166</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0.102451</v>
      </c>
      <c r="F8" s="1"/>
      <c r="G8" s="24" t="s">
        <v>16</v>
      </c>
      <c r="H8" s="25">
        <v>1</v>
      </c>
      <c r="I8" s="1"/>
      <c r="J8" s="24" t="s">
        <v>13</v>
      </c>
      <c r="K8" s="24" t="s">
        <v>5</v>
      </c>
      <c r="L8" s="1"/>
      <c r="M8" s="1"/>
      <c r="N8" s="18"/>
    </row>
    <row r="9" spans="2:14" ht="15" customHeight="1" x14ac:dyDescent="0.25">
      <c r="B9" s="20"/>
      <c r="C9" s="5" t="s">
        <v>25</v>
      </c>
      <c r="D9" s="6" t="s">
        <v>23</v>
      </c>
      <c r="E9" s="11">
        <v>7.5439000000000006E-2</v>
      </c>
      <c r="F9" s="1"/>
      <c r="G9" s="1"/>
      <c r="H9" s="1"/>
      <c r="I9" s="1"/>
      <c r="J9" s="24" t="s">
        <v>11</v>
      </c>
      <c r="K9" s="29">
        <v>-1.7134E-2</v>
      </c>
      <c r="L9" s="1"/>
      <c r="M9" s="1"/>
      <c r="N9" s="18"/>
    </row>
    <row r="10" spans="2:14" ht="15.75" customHeight="1" x14ac:dyDescent="0.25">
      <c r="B10" s="20"/>
      <c r="C10" s="7" t="s">
        <v>30</v>
      </c>
      <c r="D10" s="8"/>
      <c r="E10" s="12">
        <v>0.17788999999999999</v>
      </c>
      <c r="F10" s="1"/>
      <c r="G10" s="1"/>
      <c r="H10" s="1"/>
      <c r="I10" s="1"/>
      <c r="J10" s="24" t="s">
        <v>14</v>
      </c>
      <c r="K10" s="29">
        <v>9.0220999999999996E-2</v>
      </c>
      <c r="L10" s="1"/>
      <c r="M10" s="1"/>
      <c r="N10" s="18"/>
    </row>
    <row r="11" spans="2:14" ht="15" customHeight="1" x14ac:dyDescent="0.25">
      <c r="B11" s="20"/>
      <c r="C11" s="5" t="s">
        <v>99</v>
      </c>
      <c r="D11" s="6" t="s">
        <v>23</v>
      </c>
      <c r="E11" s="11">
        <v>7.6058000000000001E-2</v>
      </c>
      <c r="F11" s="1"/>
      <c r="G11" s="1"/>
      <c r="H11" s="1"/>
      <c r="I11" s="1"/>
      <c r="J11" s="24" t="s">
        <v>69</v>
      </c>
      <c r="K11" s="29">
        <v>0.17788999999999999</v>
      </c>
      <c r="L11" s="1"/>
      <c r="M11" s="1"/>
      <c r="N11" s="18"/>
    </row>
    <row r="12" spans="2:14" ht="15" customHeight="1" x14ac:dyDescent="0.25">
      <c r="B12" s="20"/>
      <c r="C12" s="5" t="s">
        <v>92</v>
      </c>
      <c r="D12" s="6" t="s">
        <v>23</v>
      </c>
      <c r="E12" s="11">
        <v>4.6892999999999997E-2</v>
      </c>
      <c r="F12" s="1"/>
      <c r="G12" s="1"/>
      <c r="H12" s="1"/>
      <c r="I12" s="1"/>
      <c r="J12" s="24" t="s">
        <v>70</v>
      </c>
      <c r="K12" s="29">
        <v>0.45887800000000001</v>
      </c>
      <c r="L12" s="1"/>
      <c r="M12" s="1"/>
      <c r="N12" s="18"/>
    </row>
    <row r="13" spans="2:14" ht="15" customHeight="1" x14ac:dyDescent="0.25">
      <c r="B13" s="20"/>
      <c r="C13" s="5" t="s">
        <v>98</v>
      </c>
      <c r="D13" s="6" t="s">
        <v>23</v>
      </c>
      <c r="E13" s="11">
        <v>3.1725000000000003E-2</v>
      </c>
      <c r="F13" s="1"/>
      <c r="G13" s="1"/>
      <c r="H13" s="1"/>
      <c r="I13" s="1"/>
      <c r="J13" s="24" t="s">
        <v>71</v>
      </c>
      <c r="K13" s="29">
        <v>0.17341000000000001</v>
      </c>
      <c r="L13" s="1"/>
      <c r="M13" s="1"/>
      <c r="N13" s="18"/>
    </row>
    <row r="14" spans="2:14" ht="15" customHeight="1" x14ac:dyDescent="0.25">
      <c r="B14" s="20"/>
      <c r="C14" s="5" t="s">
        <v>97</v>
      </c>
      <c r="D14" s="6" t="s">
        <v>23</v>
      </c>
      <c r="E14" s="11">
        <v>1.8734000000000001E-2</v>
      </c>
      <c r="F14" s="1"/>
      <c r="G14" s="1"/>
      <c r="H14" s="1"/>
      <c r="I14" s="1"/>
      <c r="J14" s="24" t="s">
        <v>74</v>
      </c>
      <c r="K14" s="29">
        <v>4.1627999999999998E-2</v>
      </c>
      <c r="L14" s="1"/>
      <c r="M14" s="1"/>
      <c r="N14" s="18"/>
    </row>
    <row r="15" spans="2:14" ht="15.75" customHeight="1" x14ac:dyDescent="0.25">
      <c r="B15" s="20"/>
      <c r="C15" s="7" t="s">
        <v>32</v>
      </c>
      <c r="D15" s="8"/>
      <c r="E15" s="12">
        <v>0.17341000000000001</v>
      </c>
      <c r="F15" s="1"/>
      <c r="G15" s="1"/>
      <c r="H15" s="1"/>
      <c r="I15" s="1"/>
      <c r="J15" s="24" t="s">
        <v>75</v>
      </c>
      <c r="K15" s="29">
        <v>7.5106999999999993E-2</v>
      </c>
      <c r="L15" s="1"/>
      <c r="M15" s="1"/>
      <c r="N15" s="18"/>
    </row>
    <row r="16" spans="2:14" ht="15" customHeight="1" x14ac:dyDescent="0.25">
      <c r="B16" s="20"/>
      <c r="C16" s="5" t="s">
        <v>33</v>
      </c>
      <c r="D16" s="6" t="s">
        <v>34</v>
      </c>
      <c r="E16" s="11">
        <v>0.111931</v>
      </c>
      <c r="F16" s="1"/>
      <c r="G16" s="1"/>
      <c r="H16" s="1"/>
      <c r="I16" s="1"/>
      <c r="J16" s="1"/>
      <c r="K16" s="1"/>
      <c r="L16" s="1"/>
      <c r="M16" s="1"/>
      <c r="N16" s="18"/>
    </row>
    <row r="17" spans="2:14" ht="15" customHeight="1" x14ac:dyDescent="0.25">
      <c r="B17" s="20"/>
      <c r="C17" s="5" t="s">
        <v>31</v>
      </c>
      <c r="D17" s="6" t="s">
        <v>34</v>
      </c>
      <c r="E17" s="11">
        <v>0.10700800000000001</v>
      </c>
      <c r="F17" s="1"/>
      <c r="G17" s="1"/>
      <c r="H17" s="1"/>
      <c r="I17" s="1"/>
      <c r="J17" s="1"/>
      <c r="K17" s="1"/>
      <c r="L17" s="1"/>
      <c r="M17" s="1"/>
      <c r="N17" s="18"/>
    </row>
    <row r="18" spans="2:14" ht="15" customHeight="1" x14ac:dyDescent="0.25">
      <c r="B18" s="20"/>
      <c r="C18" s="5" t="s">
        <v>36</v>
      </c>
      <c r="D18" s="6" t="s">
        <v>34</v>
      </c>
      <c r="E18" s="11">
        <v>8.6523000000000003E-2</v>
      </c>
      <c r="F18" s="1"/>
      <c r="G18" s="1"/>
      <c r="H18" s="1"/>
      <c r="I18" s="1"/>
      <c r="J18" s="1"/>
      <c r="K18" s="1"/>
      <c r="L18" s="1"/>
      <c r="M18" s="1"/>
      <c r="N18" s="18"/>
    </row>
    <row r="19" spans="2:14" ht="15" customHeight="1" x14ac:dyDescent="0.25">
      <c r="B19" s="20"/>
      <c r="C19" s="5" t="s">
        <v>37</v>
      </c>
      <c r="D19" s="6" t="s">
        <v>34</v>
      </c>
      <c r="E19" s="11">
        <v>7.6067999999999997E-2</v>
      </c>
      <c r="F19" s="1"/>
      <c r="G19" s="1"/>
      <c r="H19" s="1"/>
      <c r="I19" s="1"/>
      <c r="J19" s="1"/>
      <c r="K19" s="1"/>
      <c r="L19" s="1"/>
      <c r="M19" s="1"/>
      <c r="N19" s="18"/>
    </row>
    <row r="20" spans="2:14" ht="15" customHeight="1" x14ac:dyDescent="0.25">
      <c r="B20" s="20"/>
      <c r="C20" s="5" t="s">
        <v>43</v>
      </c>
      <c r="D20" s="6" t="s">
        <v>34</v>
      </c>
      <c r="E20" s="11">
        <v>4.7815999999999997E-2</v>
      </c>
      <c r="F20" s="1"/>
      <c r="G20" s="1"/>
      <c r="H20" s="1"/>
      <c r="I20" s="1"/>
      <c r="J20" s="1"/>
      <c r="K20" s="1"/>
      <c r="L20" s="1"/>
      <c r="M20" s="1"/>
      <c r="N20" s="18"/>
    </row>
    <row r="21" spans="2:14" ht="15" customHeight="1" x14ac:dyDescent="0.25">
      <c r="B21" s="20"/>
      <c r="C21" s="5" t="s">
        <v>44</v>
      </c>
      <c r="D21" s="6" t="s">
        <v>34</v>
      </c>
      <c r="E21" s="11">
        <v>1.2866000000000001E-2</v>
      </c>
      <c r="F21" s="1"/>
      <c r="G21" s="1"/>
      <c r="H21" s="1"/>
      <c r="I21" s="1"/>
      <c r="J21" s="1"/>
      <c r="K21" s="1"/>
      <c r="L21" s="1"/>
      <c r="M21" s="1"/>
      <c r="N21" s="18"/>
    </row>
    <row r="22" spans="2:14" ht="15" customHeight="1" x14ac:dyDescent="0.25">
      <c r="B22" s="20"/>
      <c r="C22" s="5" t="s">
        <v>51</v>
      </c>
      <c r="D22" s="6" t="s">
        <v>34</v>
      </c>
      <c r="E22" s="11">
        <v>1.2836E-2</v>
      </c>
      <c r="F22" s="1"/>
      <c r="G22" s="1"/>
      <c r="H22" s="1"/>
      <c r="I22" s="1"/>
      <c r="J22" s="1"/>
      <c r="K22" s="1"/>
      <c r="L22" s="1"/>
      <c r="M22" s="1"/>
      <c r="N22" s="18"/>
    </row>
    <row r="23" spans="2:14" ht="15" customHeight="1" x14ac:dyDescent="0.25">
      <c r="B23" s="20"/>
      <c r="C23" s="5" t="s">
        <v>99</v>
      </c>
      <c r="D23" s="6" t="s">
        <v>34</v>
      </c>
      <c r="E23" s="11">
        <v>3.8300000000000001E-3</v>
      </c>
      <c r="F23" s="1"/>
      <c r="G23" s="1"/>
      <c r="H23" s="1"/>
      <c r="I23" s="1"/>
      <c r="J23" s="1"/>
      <c r="K23" s="1"/>
      <c r="L23" s="1"/>
      <c r="M23" s="1"/>
      <c r="N23" s="18"/>
    </row>
    <row r="24" spans="2:14" ht="15.75" customHeight="1" x14ac:dyDescent="0.25">
      <c r="B24" s="20"/>
      <c r="C24" s="7" t="s">
        <v>53</v>
      </c>
      <c r="D24" s="8"/>
      <c r="E24" s="12">
        <v>0.45887800000000001</v>
      </c>
      <c r="F24" s="1"/>
      <c r="G24" s="44" t="s">
        <v>113</v>
      </c>
      <c r="H24" s="45"/>
      <c r="I24" s="45"/>
      <c r="J24" s="45"/>
      <c r="K24" s="45"/>
      <c r="L24" s="35">
        <v>173</v>
      </c>
      <c r="M24" s="27"/>
      <c r="N24" s="28"/>
    </row>
    <row r="25" spans="2:14" ht="15" customHeight="1" x14ac:dyDescent="0.25">
      <c r="B25" s="20"/>
      <c r="C25" s="5" t="s">
        <v>190</v>
      </c>
      <c r="D25" s="6" t="s">
        <v>57</v>
      </c>
      <c r="E25" s="11">
        <v>3.9035E-2</v>
      </c>
      <c r="F25" s="1"/>
      <c r="G25" s="1"/>
      <c r="H25" s="1"/>
      <c r="I25" s="1"/>
      <c r="J25" s="1"/>
      <c r="K25" s="1"/>
      <c r="L25" s="1"/>
      <c r="M25" s="1"/>
      <c r="N25" s="18"/>
    </row>
    <row r="26" spans="2:14" ht="15.75" customHeight="1" x14ac:dyDescent="0.25">
      <c r="B26" s="20"/>
      <c r="C26" s="5" t="s">
        <v>191</v>
      </c>
      <c r="D26" s="6" t="s">
        <v>57</v>
      </c>
      <c r="E26" s="11">
        <v>1.304E-3</v>
      </c>
      <c r="F26" s="1"/>
      <c r="G26" s="44" t="s">
        <v>19</v>
      </c>
      <c r="H26" s="45"/>
      <c r="I26" s="45"/>
      <c r="J26" s="45"/>
      <c r="K26" s="45"/>
      <c r="L26" s="45"/>
      <c r="M26" s="45"/>
      <c r="N26" s="46"/>
    </row>
    <row r="27" spans="2:14" ht="15" customHeight="1" x14ac:dyDescent="0.25">
      <c r="B27" s="20"/>
      <c r="C27" s="5" t="s">
        <v>189</v>
      </c>
      <c r="D27" s="6" t="s">
        <v>57</v>
      </c>
      <c r="E27" s="11">
        <v>1.289E-3</v>
      </c>
      <c r="F27" s="1"/>
      <c r="G27" s="1"/>
      <c r="H27" s="1"/>
      <c r="I27" s="1"/>
      <c r="J27" s="1"/>
      <c r="K27" s="1"/>
      <c r="L27" s="1"/>
      <c r="M27" s="1"/>
      <c r="N27" s="18"/>
    </row>
    <row r="28" spans="2:14" ht="15" customHeight="1" x14ac:dyDescent="0.25">
      <c r="B28" s="20"/>
      <c r="C28" s="7" t="s">
        <v>64</v>
      </c>
      <c r="D28" s="8"/>
      <c r="E28" s="12">
        <v>4.1627999999999998E-2</v>
      </c>
      <c r="F28" s="1"/>
      <c r="G28" s="1"/>
      <c r="H28" s="1"/>
      <c r="I28" s="1"/>
      <c r="J28" s="1"/>
      <c r="K28" s="1"/>
      <c r="L28" s="1"/>
      <c r="M28" s="1"/>
      <c r="N28" s="18"/>
    </row>
    <row r="29" spans="2:14" ht="15.75" customHeight="1" x14ac:dyDescent="0.25">
      <c r="B29" s="20"/>
      <c r="C29" s="5" t="s">
        <v>159</v>
      </c>
      <c r="D29" s="6" t="s">
        <v>57</v>
      </c>
      <c r="E29" s="11">
        <v>5.0098999999999998E-2</v>
      </c>
      <c r="F29" s="1"/>
      <c r="G29" s="1"/>
      <c r="H29" s="1"/>
      <c r="I29" s="1"/>
      <c r="J29" s="1"/>
      <c r="K29" s="1"/>
      <c r="L29" s="1"/>
      <c r="M29" s="1"/>
      <c r="N29" s="18"/>
    </row>
    <row r="30" spans="2:14" ht="15" customHeight="1" x14ac:dyDescent="0.25">
      <c r="B30" s="20"/>
      <c r="C30" s="5" t="s">
        <v>167</v>
      </c>
      <c r="D30" s="6" t="s">
        <v>57</v>
      </c>
      <c r="E30" s="11">
        <v>2.5007999999999999E-2</v>
      </c>
      <c r="F30" s="1"/>
      <c r="G30" s="1"/>
      <c r="H30" s="1"/>
      <c r="I30" s="1"/>
      <c r="J30" s="1"/>
      <c r="K30" s="1"/>
      <c r="L30" s="1"/>
      <c r="M30" s="1"/>
      <c r="N30" s="18"/>
    </row>
    <row r="31" spans="2:14" ht="15.75" customHeight="1" x14ac:dyDescent="0.25">
      <c r="B31" s="20"/>
      <c r="C31" s="7" t="s">
        <v>67</v>
      </c>
      <c r="D31" s="8"/>
      <c r="E31" s="12">
        <v>7.5106999999999993E-2</v>
      </c>
      <c r="F31" s="1"/>
      <c r="G31" s="1"/>
      <c r="H31" s="1"/>
      <c r="I31" s="1"/>
      <c r="J31" s="1"/>
      <c r="K31" s="1"/>
      <c r="L31" s="1"/>
      <c r="M31" s="1"/>
      <c r="N31" s="18"/>
    </row>
    <row r="32" spans="2:14" ht="15" customHeight="1" x14ac:dyDescent="0.25">
      <c r="B32" s="20"/>
      <c r="C32" s="5" t="s">
        <v>9</v>
      </c>
      <c r="D32" s="6"/>
      <c r="E32" s="11">
        <v>9.0220999999999996E-2</v>
      </c>
      <c r="F32" s="1"/>
      <c r="G32" s="1"/>
      <c r="H32" s="1"/>
      <c r="I32" s="1"/>
      <c r="J32" s="1"/>
      <c r="K32" s="1"/>
      <c r="L32" s="1"/>
      <c r="M32" s="1"/>
      <c r="N32" s="18"/>
    </row>
    <row r="33" spans="2:14" ht="15.75" customHeight="1" x14ac:dyDescent="0.25">
      <c r="B33" s="20"/>
      <c r="C33" s="7" t="s">
        <v>10</v>
      </c>
      <c r="D33" s="8"/>
      <c r="E33" s="12">
        <v>9.0220999999999996E-2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7" t="s">
        <v>11</v>
      </c>
      <c r="D35" s="8"/>
      <c r="E35" s="12">
        <v>-1.7134E-2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12</v>
      </c>
      <c r="D37" s="10"/>
      <c r="E37" s="13">
        <v>1</v>
      </c>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0.25" customHeight="1" thickBot="1" x14ac:dyDescent="0.3">
      <c r="B45" s="36" t="s">
        <v>230</v>
      </c>
      <c r="C45" s="37"/>
      <c r="D45" s="37"/>
      <c r="E45" s="37"/>
      <c r="F45" s="37"/>
      <c r="G45" s="37"/>
      <c r="H45" s="37"/>
      <c r="I45" s="37"/>
      <c r="J45" s="37"/>
      <c r="K45" s="37"/>
      <c r="L45" s="37"/>
      <c r="M45" s="37"/>
      <c r="N45" s="38"/>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sortState ref="C25:E27">
    <sortCondition descending="1" ref="E25"/>
  </sortState>
  <mergeCells count="6">
    <mergeCell ref="B45:N45"/>
    <mergeCell ref="C3:N3"/>
    <mergeCell ref="D5:E5"/>
    <mergeCell ref="G7:N7"/>
    <mergeCell ref="G24:K24"/>
    <mergeCell ref="G26:N26"/>
  </mergeCells>
  <pageMargins left="0.7" right="0.7" top="0.75" bottom="0.75" header="0.3" footer="0.3"/>
  <pageSetup scale="58"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1D329-87E2-48D0-94A3-489D3781CA9F}">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134</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135</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79</v>
      </c>
      <c r="D8" s="6" t="s">
        <v>57</v>
      </c>
      <c r="E8" s="11">
        <v>0.86697900000000006</v>
      </c>
      <c r="F8" s="1"/>
      <c r="G8" s="24" t="s">
        <v>16</v>
      </c>
      <c r="H8" s="25">
        <v>1</v>
      </c>
      <c r="I8" s="1"/>
      <c r="J8" s="24" t="s">
        <v>13</v>
      </c>
      <c r="K8" s="24" t="s">
        <v>5</v>
      </c>
      <c r="L8" s="1"/>
      <c r="M8" s="1"/>
      <c r="N8" s="18"/>
    </row>
    <row r="9" spans="2:14" ht="15" customHeight="1" x14ac:dyDescent="0.25">
      <c r="B9" s="20"/>
      <c r="C9" s="5" t="s">
        <v>80</v>
      </c>
      <c r="D9" s="6" t="s">
        <v>57</v>
      </c>
      <c r="E9" s="11">
        <v>0.101329</v>
      </c>
      <c r="F9" s="1"/>
      <c r="G9" s="1"/>
      <c r="H9" s="1"/>
      <c r="I9" s="1"/>
      <c r="J9" s="24" t="s">
        <v>11</v>
      </c>
      <c r="K9" s="29">
        <v>2.0601999999999999E-2</v>
      </c>
      <c r="L9" s="1"/>
      <c r="M9" s="1"/>
      <c r="N9" s="18"/>
    </row>
    <row r="10" spans="2:14" ht="15" customHeight="1" x14ac:dyDescent="0.25">
      <c r="B10" s="20"/>
      <c r="C10" s="5" t="s">
        <v>136</v>
      </c>
      <c r="D10" s="6" t="s">
        <v>57</v>
      </c>
      <c r="E10" s="30">
        <v>4.0000000000000003E-5</v>
      </c>
      <c r="F10" s="1"/>
      <c r="G10" s="1"/>
      <c r="H10" s="1"/>
      <c r="I10" s="1"/>
      <c r="J10" s="24" t="s">
        <v>14</v>
      </c>
      <c r="K10" s="29">
        <v>1.1011999999999999E-2</v>
      </c>
      <c r="L10" s="1"/>
      <c r="M10" s="1"/>
      <c r="N10" s="18"/>
    </row>
    <row r="11" spans="2:14" ht="15" customHeight="1" x14ac:dyDescent="0.25">
      <c r="B11" s="20"/>
      <c r="C11" s="5" t="s">
        <v>85</v>
      </c>
      <c r="D11" s="6" t="s">
        <v>57</v>
      </c>
      <c r="E11" s="30">
        <v>3.8000000000000002E-5</v>
      </c>
      <c r="F11" s="1"/>
      <c r="G11" s="1"/>
      <c r="H11" s="1"/>
      <c r="I11" s="1"/>
      <c r="J11" s="24" t="s">
        <v>73</v>
      </c>
      <c r="K11" s="29">
        <v>0.96838599999999997</v>
      </c>
      <c r="L11" s="1"/>
      <c r="M11" s="1"/>
      <c r="N11" s="18"/>
    </row>
    <row r="12" spans="2:14" ht="15.75" customHeight="1" x14ac:dyDescent="0.25">
      <c r="B12" s="20"/>
      <c r="C12" s="7" t="s">
        <v>63</v>
      </c>
      <c r="D12" s="8"/>
      <c r="E12" s="12">
        <v>0.96838599999999997</v>
      </c>
      <c r="F12" s="1"/>
      <c r="G12" s="1"/>
      <c r="H12" s="1"/>
      <c r="I12" s="1"/>
      <c r="J12" s="1"/>
      <c r="K12" s="1"/>
      <c r="L12" s="1"/>
      <c r="M12" s="1"/>
      <c r="N12" s="18"/>
    </row>
    <row r="13" spans="2:14" ht="15" customHeight="1" x14ac:dyDescent="0.25">
      <c r="B13" s="20"/>
      <c r="C13" s="5" t="s">
        <v>9</v>
      </c>
      <c r="D13" s="6"/>
      <c r="E13" s="11">
        <v>1.1011999999999999E-2</v>
      </c>
      <c r="F13" s="1"/>
      <c r="G13" s="1"/>
      <c r="H13" s="1"/>
      <c r="I13" s="1"/>
      <c r="J13" s="1"/>
      <c r="K13" s="1"/>
      <c r="L13" s="1"/>
      <c r="M13" s="1"/>
      <c r="N13" s="18"/>
    </row>
    <row r="14" spans="2:14" ht="15.75" customHeight="1" x14ac:dyDescent="0.25">
      <c r="B14" s="20"/>
      <c r="C14" s="7" t="s">
        <v>10</v>
      </c>
      <c r="D14" s="8"/>
      <c r="E14" s="12">
        <v>1.1011999999999999E-2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2.0601999999999999E-2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4.13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7" right="0.7" top="0.75" bottom="0.75" header="0.3" footer="0.3"/>
  <pageSetup scale="61"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E899-0CAD-4A56-BAFE-C6E556FCA98C}">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77</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78</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79</v>
      </c>
      <c r="D8" s="6" t="s">
        <v>57</v>
      </c>
      <c r="E8" s="11">
        <v>0.64739000000000002</v>
      </c>
      <c r="F8" s="1"/>
      <c r="G8" s="24" t="s">
        <v>16</v>
      </c>
      <c r="H8" s="25">
        <v>1</v>
      </c>
      <c r="I8" s="1"/>
      <c r="J8" s="24" t="s">
        <v>13</v>
      </c>
      <c r="K8" s="24" t="s">
        <v>5</v>
      </c>
      <c r="L8" s="1"/>
      <c r="M8" s="1"/>
      <c r="N8" s="18"/>
    </row>
    <row r="9" spans="2:14" ht="15" customHeight="1" x14ac:dyDescent="0.25">
      <c r="B9" s="20"/>
      <c r="C9" s="5" t="s">
        <v>80</v>
      </c>
      <c r="D9" s="6" t="s">
        <v>57</v>
      </c>
      <c r="E9" s="11">
        <v>0.23044700000000001</v>
      </c>
      <c r="F9" s="1"/>
      <c r="G9" s="1"/>
      <c r="H9" s="1"/>
      <c r="I9" s="1"/>
      <c r="J9" s="24" t="s">
        <v>11</v>
      </c>
      <c r="K9" s="29">
        <v>2.3890000000000002E-2</v>
      </c>
      <c r="L9" s="1"/>
      <c r="M9" s="1"/>
      <c r="N9" s="18"/>
    </row>
    <row r="10" spans="2:14" ht="15" customHeight="1" x14ac:dyDescent="0.25">
      <c r="B10" s="20"/>
      <c r="C10" s="5" t="s">
        <v>81</v>
      </c>
      <c r="D10" s="6" t="s">
        <v>57</v>
      </c>
      <c r="E10" s="11">
        <v>9.4634999999999997E-2</v>
      </c>
      <c r="F10" s="1"/>
      <c r="G10" s="1"/>
      <c r="H10" s="1"/>
      <c r="I10" s="1"/>
      <c r="J10" s="24" t="s">
        <v>14</v>
      </c>
      <c r="K10" s="29">
        <v>2.9840000000000001E-3</v>
      </c>
      <c r="L10" s="1"/>
      <c r="M10" s="1"/>
      <c r="N10" s="18"/>
    </row>
    <row r="11" spans="2:14" ht="15" customHeight="1" x14ac:dyDescent="0.25">
      <c r="B11" s="20"/>
      <c r="C11" s="5" t="s">
        <v>82</v>
      </c>
      <c r="D11" s="6" t="s">
        <v>57</v>
      </c>
      <c r="E11" s="11">
        <v>6.5399999999999996E-4</v>
      </c>
      <c r="F11" s="1"/>
      <c r="G11" s="1"/>
      <c r="H11" s="1"/>
      <c r="I11" s="1"/>
      <c r="J11" s="24" t="s">
        <v>73</v>
      </c>
      <c r="K11" s="29">
        <v>0.97312600000000005</v>
      </c>
      <c r="L11" s="1"/>
      <c r="M11" s="1"/>
      <c r="N11" s="18"/>
    </row>
    <row r="12" spans="2:14" ht="15.75" customHeight="1" x14ac:dyDescent="0.25">
      <c r="B12" s="20"/>
      <c r="C12" s="7" t="s">
        <v>63</v>
      </c>
      <c r="D12" s="8"/>
      <c r="E12" s="12">
        <v>0.97312600000000005</v>
      </c>
      <c r="F12" s="1"/>
      <c r="G12" s="1"/>
      <c r="H12" s="1"/>
      <c r="I12" s="1"/>
      <c r="J12" s="1"/>
      <c r="K12" s="1"/>
      <c r="L12" s="1"/>
      <c r="M12" s="1"/>
      <c r="N12" s="18"/>
    </row>
    <row r="13" spans="2:14" ht="15" customHeight="1" x14ac:dyDescent="0.25">
      <c r="B13" s="20"/>
      <c r="C13" s="5" t="s">
        <v>9</v>
      </c>
      <c r="D13" s="6"/>
      <c r="E13" s="11">
        <v>2.9840000000000001E-3</v>
      </c>
      <c r="F13" s="1"/>
      <c r="G13" s="1"/>
      <c r="H13" s="1"/>
      <c r="I13" s="1"/>
      <c r="J13" s="1"/>
      <c r="K13" s="1"/>
      <c r="L13" s="1"/>
      <c r="M13" s="1"/>
      <c r="N13" s="18"/>
    </row>
    <row r="14" spans="2:14" ht="15.75" customHeight="1" x14ac:dyDescent="0.25">
      <c r="B14" s="20"/>
      <c r="C14" s="7" t="s">
        <v>10</v>
      </c>
      <c r="D14" s="8"/>
      <c r="E14" s="12">
        <v>2.9840000000000001E-3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2.3890000000000002E-2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4.79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7" right="0.7" top="0.75" bottom="0.75" header="0.3" footer="0.3"/>
  <pageSetup scale="61" orientation="landscape"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20A0-58EF-4997-8008-7396AA5B229D}">
  <sheetPr>
    <pageSetUpPr fitToPage="1"/>
  </sheetPr>
  <dimension ref="B1:N51"/>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83</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84</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25</v>
      </c>
      <c r="D8" s="6" t="s">
        <v>23</v>
      </c>
      <c r="E8" s="11">
        <v>2.9153999999999999E-2</v>
      </c>
      <c r="F8" s="1"/>
      <c r="G8" s="24" t="s">
        <v>16</v>
      </c>
      <c r="H8" s="25">
        <v>1</v>
      </c>
      <c r="I8" s="1"/>
      <c r="J8" s="24" t="s">
        <v>13</v>
      </c>
      <c r="K8" s="24" t="s">
        <v>5</v>
      </c>
      <c r="L8" s="1"/>
      <c r="M8" s="1"/>
      <c r="N8" s="18"/>
    </row>
    <row r="9" spans="2:14" ht="15.75" customHeight="1" x14ac:dyDescent="0.25">
      <c r="B9" s="20"/>
      <c r="C9" s="7" t="s">
        <v>30</v>
      </c>
      <c r="D9" s="8"/>
      <c r="E9" s="12">
        <v>2.9153999999999999E-2</v>
      </c>
      <c r="F9" s="1"/>
      <c r="G9" s="1"/>
      <c r="H9" s="1"/>
      <c r="I9" s="1"/>
      <c r="J9" s="24" t="s">
        <v>11</v>
      </c>
      <c r="K9" s="29">
        <v>1.9193999999999999E-2</v>
      </c>
      <c r="L9" s="1"/>
      <c r="M9" s="1"/>
      <c r="N9" s="18"/>
    </row>
    <row r="10" spans="2:14" ht="15" customHeight="1" x14ac:dyDescent="0.25">
      <c r="B10" s="20"/>
      <c r="C10" s="5" t="s">
        <v>33</v>
      </c>
      <c r="D10" s="6" t="s">
        <v>23</v>
      </c>
      <c r="E10" s="11">
        <v>5.8020000000000002E-2</v>
      </c>
      <c r="F10" s="1"/>
      <c r="G10" s="1"/>
      <c r="H10" s="1"/>
      <c r="I10" s="1"/>
      <c r="J10" s="24" t="s">
        <v>14</v>
      </c>
      <c r="K10" s="29">
        <v>7.123E-3</v>
      </c>
      <c r="L10" s="1"/>
      <c r="M10" s="1"/>
      <c r="N10" s="18"/>
    </row>
    <row r="11" spans="2:14" ht="15.75" customHeight="1" x14ac:dyDescent="0.25">
      <c r="B11" s="20"/>
      <c r="C11" s="7" t="s">
        <v>32</v>
      </c>
      <c r="D11" s="8"/>
      <c r="E11" s="12">
        <v>5.8020000000000002E-2</v>
      </c>
      <c r="F11" s="1"/>
      <c r="G11" s="1"/>
      <c r="H11" s="1"/>
      <c r="I11" s="1"/>
      <c r="J11" s="24" t="s">
        <v>69</v>
      </c>
      <c r="K11" s="29">
        <v>2.9153999999999999E-2</v>
      </c>
      <c r="L11" s="1"/>
      <c r="M11" s="1"/>
      <c r="N11" s="18"/>
    </row>
    <row r="12" spans="2:14" ht="15" customHeight="1" x14ac:dyDescent="0.25">
      <c r="B12" s="20"/>
      <c r="C12" s="5" t="s">
        <v>33</v>
      </c>
      <c r="D12" s="6" t="s">
        <v>34</v>
      </c>
      <c r="E12" s="11">
        <v>3.8721999999999999E-2</v>
      </c>
      <c r="F12" s="1"/>
      <c r="G12" s="1"/>
      <c r="H12" s="1"/>
      <c r="I12" s="1"/>
      <c r="J12" s="24" t="s">
        <v>70</v>
      </c>
      <c r="K12" s="29">
        <v>7.7438000000000007E-2</v>
      </c>
      <c r="L12" s="1"/>
      <c r="M12" s="1"/>
      <c r="N12" s="18"/>
    </row>
    <row r="13" spans="2:14" ht="15" customHeight="1" x14ac:dyDescent="0.25">
      <c r="B13" s="20"/>
      <c r="C13" s="5" t="s">
        <v>44</v>
      </c>
      <c r="D13" s="6" t="s">
        <v>34</v>
      </c>
      <c r="E13" s="11">
        <v>1.8686000000000001E-2</v>
      </c>
      <c r="F13" s="1"/>
      <c r="G13" s="1"/>
      <c r="H13" s="1"/>
      <c r="I13" s="1"/>
      <c r="J13" s="24" t="s">
        <v>71</v>
      </c>
      <c r="K13" s="29">
        <v>5.8020000000000002E-2</v>
      </c>
      <c r="L13" s="1"/>
      <c r="M13" s="1"/>
      <c r="N13" s="18"/>
    </row>
    <row r="14" spans="2:14" ht="15" customHeight="1" x14ac:dyDescent="0.25">
      <c r="B14" s="20"/>
      <c r="C14" s="5" t="s">
        <v>36</v>
      </c>
      <c r="D14" s="6" t="s">
        <v>34</v>
      </c>
      <c r="E14" s="11">
        <v>1.8043E-2</v>
      </c>
      <c r="F14" s="1"/>
      <c r="G14" s="1"/>
      <c r="H14" s="1"/>
      <c r="I14" s="1"/>
      <c r="J14" s="24" t="s">
        <v>73</v>
      </c>
      <c r="K14" s="29">
        <v>0.78458000000000006</v>
      </c>
      <c r="L14" s="1"/>
      <c r="M14" s="1"/>
      <c r="N14" s="18"/>
    </row>
    <row r="15" spans="2:14" ht="15" customHeight="1" x14ac:dyDescent="0.25">
      <c r="B15" s="20"/>
      <c r="C15" s="5" t="s">
        <v>31</v>
      </c>
      <c r="D15" s="6" t="s">
        <v>34</v>
      </c>
      <c r="E15" s="11">
        <v>1.9870000000000001E-3</v>
      </c>
      <c r="F15" s="1"/>
      <c r="G15" s="1"/>
      <c r="H15" s="1"/>
      <c r="I15" s="1"/>
      <c r="J15" s="24" t="s">
        <v>89</v>
      </c>
      <c r="K15" s="29">
        <v>1.107E-2</v>
      </c>
      <c r="L15" s="1"/>
      <c r="M15" s="1"/>
      <c r="N15" s="18"/>
    </row>
    <row r="16" spans="2:14" ht="15.75" customHeight="1" x14ac:dyDescent="0.25">
      <c r="B16" s="20"/>
      <c r="C16" s="7" t="s">
        <v>53</v>
      </c>
      <c r="D16" s="8"/>
      <c r="E16" s="12">
        <v>7.7438000000000007E-2</v>
      </c>
      <c r="F16" s="1"/>
      <c r="G16" s="1"/>
      <c r="H16" s="1"/>
      <c r="I16" s="1"/>
      <c r="J16" s="24" t="s">
        <v>74</v>
      </c>
      <c r="K16" s="29">
        <v>1.3421000000000001E-2</v>
      </c>
      <c r="L16" s="1"/>
      <c r="M16" s="1"/>
      <c r="N16" s="18"/>
    </row>
    <row r="17" spans="2:14" ht="15" customHeight="1" x14ac:dyDescent="0.25">
      <c r="B17" s="20"/>
      <c r="C17" s="5" t="s">
        <v>79</v>
      </c>
      <c r="D17" s="6" t="s">
        <v>57</v>
      </c>
      <c r="E17" s="11">
        <v>0.73104499999999994</v>
      </c>
      <c r="F17" s="1"/>
      <c r="G17" s="1"/>
      <c r="H17" s="1"/>
      <c r="I17" s="1"/>
      <c r="J17" s="1"/>
      <c r="K17" s="1"/>
      <c r="L17" s="1"/>
      <c r="M17" s="1"/>
      <c r="N17" s="18"/>
    </row>
    <row r="18" spans="2:14" ht="15" customHeight="1" x14ac:dyDescent="0.25">
      <c r="B18" s="20"/>
      <c r="C18" s="5" t="s">
        <v>80</v>
      </c>
      <c r="D18" s="6" t="s">
        <v>57</v>
      </c>
      <c r="E18" s="11">
        <v>5.1886000000000002E-2</v>
      </c>
      <c r="F18" s="1"/>
      <c r="G18" s="1"/>
      <c r="H18" s="1"/>
      <c r="I18" s="1"/>
      <c r="J18" s="1"/>
      <c r="K18" s="1"/>
      <c r="L18" s="1"/>
      <c r="M18" s="1"/>
      <c r="N18" s="18"/>
    </row>
    <row r="19" spans="2:14" ht="15" customHeight="1" x14ac:dyDescent="0.25">
      <c r="B19" s="20"/>
      <c r="C19" s="5" t="s">
        <v>85</v>
      </c>
      <c r="D19" s="6" t="s">
        <v>57</v>
      </c>
      <c r="E19" s="11">
        <v>1.6019999999999999E-3</v>
      </c>
      <c r="F19" s="1"/>
      <c r="G19" s="1"/>
      <c r="H19" s="1"/>
      <c r="I19" s="1"/>
      <c r="J19" s="1"/>
      <c r="K19" s="1"/>
      <c r="L19" s="1"/>
      <c r="M19" s="1"/>
      <c r="N19" s="18"/>
    </row>
    <row r="20" spans="2:14" ht="15" customHeight="1" x14ac:dyDescent="0.25">
      <c r="B20" s="20"/>
      <c r="C20" s="5" t="s">
        <v>86</v>
      </c>
      <c r="D20" s="6" t="s">
        <v>57</v>
      </c>
      <c r="E20" s="30">
        <v>4.6999999999999997E-5</v>
      </c>
      <c r="F20" s="1"/>
      <c r="G20" s="1"/>
      <c r="H20" s="1"/>
      <c r="I20" s="1"/>
      <c r="J20" s="1"/>
      <c r="K20" s="1"/>
      <c r="L20" s="1"/>
      <c r="M20" s="1"/>
      <c r="N20" s="18"/>
    </row>
    <row r="21" spans="2:14" ht="15.75" customHeight="1" x14ac:dyDescent="0.25">
      <c r="B21" s="20"/>
      <c r="C21" s="7" t="s">
        <v>63</v>
      </c>
      <c r="D21" s="8"/>
      <c r="E21" s="12">
        <v>0.78458000000000006</v>
      </c>
      <c r="F21" s="1"/>
      <c r="G21" s="1"/>
      <c r="H21" s="1"/>
      <c r="I21" s="1"/>
      <c r="J21" s="1"/>
      <c r="K21" s="1"/>
      <c r="L21" s="1"/>
      <c r="M21" s="1"/>
      <c r="N21" s="18"/>
    </row>
    <row r="22" spans="2:14" ht="15" customHeight="1" x14ac:dyDescent="0.25">
      <c r="B22" s="20"/>
      <c r="C22" s="5" t="s">
        <v>231</v>
      </c>
      <c r="D22" s="6" t="s">
        <v>87</v>
      </c>
      <c r="E22" s="11">
        <v>1.107E-2</v>
      </c>
      <c r="F22" s="1"/>
      <c r="G22" s="1"/>
      <c r="H22" s="1"/>
      <c r="I22" s="1"/>
      <c r="J22" s="1"/>
      <c r="K22" s="1"/>
      <c r="L22" s="1"/>
      <c r="M22" s="1"/>
      <c r="N22" s="18"/>
    </row>
    <row r="23" spans="2:14" ht="15.75" customHeight="1" x14ac:dyDescent="0.25">
      <c r="B23" s="20"/>
      <c r="C23" s="7" t="s">
        <v>88</v>
      </c>
      <c r="D23" s="8"/>
      <c r="E23" s="12">
        <v>1.107E-2</v>
      </c>
      <c r="F23" s="1"/>
      <c r="G23" s="1"/>
      <c r="H23" s="1"/>
      <c r="I23" s="1"/>
      <c r="J23" s="1"/>
      <c r="K23" s="1"/>
      <c r="L23" s="1"/>
      <c r="M23" s="1"/>
      <c r="N23" s="18"/>
    </row>
    <row r="24" spans="2:14" ht="15" customHeight="1" x14ac:dyDescent="0.25">
      <c r="B24" s="20"/>
      <c r="C24" s="5" t="s">
        <v>207</v>
      </c>
      <c r="D24" s="6" t="s">
        <v>57</v>
      </c>
      <c r="E24" s="11">
        <v>6.2960000000000004E-3</v>
      </c>
      <c r="F24" s="1"/>
      <c r="G24" s="44" t="s">
        <v>18</v>
      </c>
      <c r="H24" s="45"/>
      <c r="I24" s="45"/>
      <c r="J24" s="45"/>
      <c r="K24" s="45"/>
      <c r="L24" s="26">
        <v>3.45</v>
      </c>
      <c r="M24" s="27"/>
      <c r="N24" s="28"/>
    </row>
    <row r="25" spans="2:14" ht="15.75" customHeight="1" x14ac:dyDescent="0.25">
      <c r="B25" s="20"/>
      <c r="C25" s="5" t="s">
        <v>206</v>
      </c>
      <c r="D25" s="6" t="s">
        <v>57</v>
      </c>
      <c r="E25" s="11">
        <v>6.2909999999999997E-3</v>
      </c>
      <c r="F25" s="1"/>
      <c r="G25" s="1"/>
      <c r="H25" s="1"/>
      <c r="I25" s="1"/>
      <c r="J25" s="1"/>
      <c r="K25" s="1"/>
      <c r="L25" s="1"/>
      <c r="M25" s="1"/>
      <c r="N25" s="18"/>
    </row>
    <row r="26" spans="2:14" ht="15" customHeight="1" x14ac:dyDescent="0.25">
      <c r="B26" s="20"/>
      <c r="C26" s="5" t="s">
        <v>208</v>
      </c>
      <c r="D26" s="6" t="s">
        <v>57</v>
      </c>
      <c r="E26" s="11">
        <v>8.2299999999999995E-4</v>
      </c>
      <c r="F26" s="1"/>
      <c r="G26" s="44" t="s">
        <v>19</v>
      </c>
      <c r="H26" s="45"/>
      <c r="I26" s="45"/>
      <c r="J26" s="45"/>
      <c r="K26" s="45"/>
      <c r="L26" s="45"/>
      <c r="M26" s="45"/>
      <c r="N26" s="46"/>
    </row>
    <row r="27" spans="2:14" ht="15.75" customHeight="1" x14ac:dyDescent="0.25">
      <c r="B27" s="20"/>
      <c r="C27" s="5" t="s">
        <v>205</v>
      </c>
      <c r="D27" s="6" t="s">
        <v>57</v>
      </c>
      <c r="E27" s="30">
        <v>9.0000000000000002E-6</v>
      </c>
      <c r="F27" s="1"/>
      <c r="G27" s="1"/>
      <c r="H27" s="1"/>
      <c r="I27" s="1"/>
      <c r="J27" s="1"/>
      <c r="K27" s="1"/>
      <c r="L27" s="1"/>
      <c r="M27" s="1"/>
      <c r="N27" s="18"/>
    </row>
    <row r="28" spans="2:14" ht="15" customHeight="1" x14ac:dyDescent="0.25">
      <c r="B28" s="20"/>
      <c r="C28" s="5" t="s">
        <v>209</v>
      </c>
      <c r="D28" s="6" t="s">
        <v>57</v>
      </c>
      <c r="E28" s="34">
        <v>1.9999999999999999E-6</v>
      </c>
      <c r="F28" s="1"/>
      <c r="G28" s="1"/>
      <c r="H28" s="1"/>
      <c r="I28" s="1"/>
      <c r="J28" s="1"/>
      <c r="K28" s="1"/>
      <c r="L28" s="1"/>
      <c r="M28" s="1"/>
      <c r="N28" s="18"/>
    </row>
    <row r="29" spans="2:14" ht="15.75" customHeight="1" x14ac:dyDescent="0.25">
      <c r="B29" s="20"/>
      <c r="C29" s="7" t="s">
        <v>64</v>
      </c>
      <c r="D29" s="8"/>
      <c r="E29" s="12">
        <v>1.3421000000000001E-2</v>
      </c>
      <c r="F29" s="1"/>
      <c r="G29" s="1"/>
      <c r="H29" s="1"/>
      <c r="I29" s="1"/>
      <c r="J29" s="1"/>
      <c r="K29" s="1"/>
      <c r="L29" s="1"/>
      <c r="M29" s="1"/>
      <c r="N29" s="18"/>
    </row>
    <row r="30" spans="2:14" ht="15" customHeight="1" x14ac:dyDescent="0.25">
      <c r="B30" s="20"/>
      <c r="C30" s="5" t="s">
        <v>9</v>
      </c>
      <c r="D30" s="6"/>
      <c r="E30" s="11">
        <v>7.123E-3</v>
      </c>
      <c r="F30" s="1"/>
      <c r="G30" s="1"/>
      <c r="H30" s="1"/>
      <c r="I30" s="1"/>
      <c r="J30" s="1"/>
      <c r="K30" s="1"/>
      <c r="L30" s="1"/>
      <c r="M30" s="1"/>
      <c r="N30" s="18"/>
    </row>
    <row r="31" spans="2:14" ht="15" customHeight="1" x14ac:dyDescent="0.25">
      <c r="B31" s="20"/>
      <c r="C31" s="7" t="s">
        <v>10</v>
      </c>
      <c r="D31" s="8"/>
      <c r="E31" s="12">
        <v>7.123E-3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11</v>
      </c>
      <c r="D33" s="8"/>
      <c r="E33" s="12">
        <v>1.9193999999999999E-2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12</v>
      </c>
      <c r="D35" s="10"/>
      <c r="E35" s="13">
        <v>1</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t="s">
        <v>232</v>
      </c>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75" customHeight="1" thickBot="1" x14ac:dyDescent="0.3">
      <c r="B45" s="36" t="s">
        <v>230</v>
      </c>
      <c r="C45" s="37"/>
      <c r="D45" s="37"/>
      <c r="E45" s="37"/>
      <c r="F45" s="37"/>
      <c r="G45" s="37"/>
      <c r="H45" s="37"/>
      <c r="I45" s="37"/>
      <c r="J45" s="37"/>
      <c r="K45" s="37"/>
      <c r="L45" s="37"/>
      <c r="M45" s="37"/>
      <c r="N45" s="38"/>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sortState ref="C23:E28">
    <sortCondition descending="1" ref="E23"/>
  </sortState>
  <mergeCells count="6">
    <mergeCell ref="B45:N45"/>
    <mergeCell ref="C3:N3"/>
    <mergeCell ref="D5:E5"/>
    <mergeCell ref="G7:N7"/>
    <mergeCell ref="G24:K24"/>
    <mergeCell ref="G26:N26"/>
  </mergeCells>
  <pageMargins left="0.7" right="0.7" top="0.75" bottom="0.75" header="0.3" footer="0.3"/>
  <pageSetup scale="58"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2934-3387-42D4-8563-1010A4CD73DB}">
  <sheetPr>
    <pageSetUpPr fitToPage="1"/>
  </sheetPr>
  <dimension ref="B1:N64"/>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90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91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0.111761</v>
      </c>
      <c r="F8" s="1"/>
      <c r="G8" s="24" t="s">
        <v>16</v>
      </c>
      <c r="H8" s="25">
        <v>1</v>
      </c>
      <c r="I8" s="1"/>
      <c r="J8" s="24" t="s">
        <v>13</v>
      </c>
      <c r="K8" s="24" t="s">
        <v>5</v>
      </c>
      <c r="L8" s="1"/>
      <c r="M8" s="1"/>
      <c r="N8" s="18"/>
    </row>
    <row r="9" spans="2:14" ht="15" customHeight="1" x14ac:dyDescent="0.25">
      <c r="B9" s="20"/>
      <c r="C9" s="5" t="s">
        <v>25</v>
      </c>
      <c r="D9" s="6" t="s">
        <v>23</v>
      </c>
      <c r="E9" s="11">
        <v>6.4182000000000003E-2</v>
      </c>
      <c r="F9" s="1"/>
      <c r="G9" s="1"/>
      <c r="H9" s="1"/>
      <c r="I9" s="1"/>
      <c r="J9" s="24" t="s">
        <v>11</v>
      </c>
      <c r="K9" s="29">
        <v>2.639E-2</v>
      </c>
      <c r="L9" s="1"/>
      <c r="M9" s="1"/>
      <c r="N9" s="18"/>
    </row>
    <row r="10" spans="2:14" ht="15.75" customHeight="1" x14ac:dyDescent="0.25">
      <c r="B10" s="20"/>
      <c r="C10" s="7" t="s">
        <v>30</v>
      </c>
      <c r="D10" s="8"/>
      <c r="E10" s="12">
        <v>0.17594299999999999</v>
      </c>
      <c r="F10" s="1"/>
      <c r="G10" s="1"/>
      <c r="H10" s="1"/>
      <c r="I10" s="1"/>
      <c r="J10" s="24" t="s">
        <v>14</v>
      </c>
      <c r="K10" s="29">
        <v>4.1700000000000001E-3</v>
      </c>
      <c r="L10" s="1"/>
      <c r="M10" s="1"/>
      <c r="N10" s="18"/>
    </row>
    <row r="11" spans="2:14" ht="15" customHeight="1" x14ac:dyDescent="0.25">
      <c r="B11" s="20"/>
      <c r="C11" s="5" t="s">
        <v>33</v>
      </c>
      <c r="D11" s="6" t="s">
        <v>23</v>
      </c>
      <c r="E11" s="11">
        <v>4.4746000000000001E-2</v>
      </c>
      <c r="F11" s="1"/>
      <c r="G11" s="1"/>
      <c r="H11" s="1"/>
      <c r="I11" s="1"/>
      <c r="J11" s="24" t="s">
        <v>69</v>
      </c>
      <c r="K11" s="29">
        <v>0.17594299999999999</v>
      </c>
      <c r="L11" s="1"/>
      <c r="M11" s="1"/>
      <c r="N11" s="18"/>
    </row>
    <row r="12" spans="2:14" ht="15" customHeight="1" x14ac:dyDescent="0.25">
      <c r="B12" s="20"/>
      <c r="C12" s="5" t="s">
        <v>92</v>
      </c>
      <c r="D12" s="6" t="s">
        <v>23</v>
      </c>
      <c r="E12" s="11">
        <v>2.068E-3</v>
      </c>
      <c r="F12" s="1"/>
      <c r="G12" s="1"/>
      <c r="H12" s="1"/>
      <c r="I12" s="1"/>
      <c r="J12" s="24" t="s">
        <v>70</v>
      </c>
      <c r="K12" s="29">
        <v>0.30396200000000001</v>
      </c>
      <c r="L12" s="1"/>
      <c r="M12" s="1"/>
      <c r="N12" s="18"/>
    </row>
    <row r="13" spans="2:14" ht="15.75" customHeight="1" x14ac:dyDescent="0.25">
      <c r="B13" s="20"/>
      <c r="C13" s="7" t="s">
        <v>32</v>
      </c>
      <c r="D13" s="8"/>
      <c r="E13" s="12">
        <v>4.6814000000000001E-2</v>
      </c>
      <c r="F13" s="1"/>
      <c r="G13" s="1"/>
      <c r="H13" s="1"/>
      <c r="I13" s="1"/>
      <c r="J13" s="24" t="s">
        <v>71</v>
      </c>
      <c r="K13" s="29">
        <v>4.6814000000000001E-2</v>
      </c>
      <c r="L13" s="1"/>
      <c r="M13" s="1"/>
      <c r="N13" s="18"/>
    </row>
    <row r="14" spans="2:14" ht="15" customHeight="1" x14ac:dyDescent="0.25">
      <c r="B14" s="20"/>
      <c r="C14" s="5" t="s">
        <v>31</v>
      </c>
      <c r="D14" s="6" t="s">
        <v>34</v>
      </c>
      <c r="E14" s="11">
        <v>5.9352000000000002E-2</v>
      </c>
      <c r="F14" s="1"/>
      <c r="G14" s="1"/>
      <c r="H14" s="1"/>
      <c r="I14" s="1"/>
      <c r="J14" s="24" t="s">
        <v>73</v>
      </c>
      <c r="K14" s="29">
        <v>0.437892</v>
      </c>
      <c r="L14" s="1"/>
      <c r="M14" s="1"/>
      <c r="N14" s="18"/>
    </row>
    <row r="15" spans="2:14" ht="15" customHeight="1" x14ac:dyDescent="0.25">
      <c r="B15" s="20"/>
      <c r="C15" s="5" t="s">
        <v>33</v>
      </c>
      <c r="D15" s="6" t="s">
        <v>34</v>
      </c>
      <c r="E15" s="11">
        <v>5.2215999999999999E-2</v>
      </c>
      <c r="F15" s="1"/>
      <c r="G15" s="1"/>
      <c r="H15" s="1"/>
      <c r="I15" s="1"/>
      <c r="J15" s="24" t="s">
        <v>89</v>
      </c>
      <c r="K15" s="29">
        <v>4.829E-3</v>
      </c>
      <c r="L15" s="1"/>
      <c r="M15" s="1"/>
      <c r="N15" s="18"/>
    </row>
    <row r="16" spans="2:14" ht="15" customHeight="1" x14ac:dyDescent="0.25">
      <c r="B16" s="20"/>
      <c r="C16" s="5" t="s">
        <v>44</v>
      </c>
      <c r="D16" s="6" t="s">
        <v>34</v>
      </c>
      <c r="E16" s="11">
        <v>3.8811999999999999E-2</v>
      </c>
      <c r="F16" s="1"/>
      <c r="G16" s="1"/>
      <c r="H16" s="1"/>
      <c r="I16" s="1"/>
      <c r="J16" s="1"/>
      <c r="K16" s="1"/>
      <c r="L16" s="1"/>
      <c r="M16" s="1"/>
      <c r="N16" s="18"/>
    </row>
    <row r="17" spans="2:14" ht="15" customHeight="1" x14ac:dyDescent="0.25">
      <c r="B17" s="20"/>
      <c r="C17" s="5" t="s">
        <v>36</v>
      </c>
      <c r="D17" s="6" t="s">
        <v>34</v>
      </c>
      <c r="E17" s="11">
        <v>2.8080000000000001E-2</v>
      </c>
      <c r="F17" s="1"/>
      <c r="G17" s="1"/>
      <c r="H17" s="1"/>
      <c r="I17" s="1"/>
      <c r="J17" s="1"/>
      <c r="K17" s="1"/>
      <c r="L17" s="1"/>
      <c r="M17" s="1"/>
      <c r="N17" s="18"/>
    </row>
    <row r="18" spans="2:14" ht="15" customHeight="1" x14ac:dyDescent="0.25">
      <c r="B18" s="20"/>
      <c r="C18" s="5" t="s">
        <v>42</v>
      </c>
      <c r="D18" s="6" t="s">
        <v>34</v>
      </c>
      <c r="E18" s="11">
        <v>2.2942000000000001E-2</v>
      </c>
      <c r="F18" s="1"/>
      <c r="G18" s="1"/>
      <c r="H18" s="1"/>
      <c r="I18" s="1"/>
      <c r="J18" s="1"/>
      <c r="K18" s="1"/>
      <c r="L18" s="1"/>
      <c r="M18" s="1"/>
      <c r="N18" s="18"/>
    </row>
    <row r="19" spans="2:14" ht="15" customHeight="1" x14ac:dyDescent="0.25">
      <c r="B19" s="20"/>
      <c r="C19" s="5" t="s">
        <v>47</v>
      </c>
      <c r="D19" s="6" t="s">
        <v>34</v>
      </c>
      <c r="E19" s="11">
        <v>2.1690000000000001E-2</v>
      </c>
      <c r="F19" s="1"/>
      <c r="G19" s="1"/>
      <c r="H19" s="1"/>
      <c r="I19" s="1"/>
      <c r="J19" s="1"/>
      <c r="K19" s="1"/>
      <c r="L19" s="1"/>
      <c r="M19" s="1"/>
      <c r="N19" s="18"/>
    </row>
    <row r="20" spans="2:14" ht="15" customHeight="1" x14ac:dyDescent="0.25">
      <c r="B20" s="20"/>
      <c r="C20" s="5" t="s">
        <v>49</v>
      </c>
      <c r="D20" s="6" t="s">
        <v>34</v>
      </c>
      <c r="E20" s="11">
        <v>1.9623999999999999E-2</v>
      </c>
      <c r="F20" s="1"/>
      <c r="G20" s="1"/>
      <c r="H20" s="1"/>
      <c r="I20" s="1"/>
      <c r="J20" s="1"/>
      <c r="K20" s="1"/>
      <c r="L20" s="1"/>
      <c r="M20" s="1"/>
      <c r="N20" s="18"/>
    </row>
    <row r="21" spans="2:14" ht="15" customHeight="1" x14ac:dyDescent="0.25">
      <c r="B21" s="20"/>
      <c r="C21" s="5" t="s">
        <v>37</v>
      </c>
      <c r="D21" s="6" t="s">
        <v>34</v>
      </c>
      <c r="E21" s="11">
        <v>1.5468000000000001E-2</v>
      </c>
      <c r="F21" s="1"/>
      <c r="G21" s="1"/>
      <c r="H21" s="1"/>
      <c r="I21" s="1"/>
      <c r="J21" s="1"/>
      <c r="K21" s="1"/>
      <c r="L21" s="1"/>
      <c r="M21" s="1"/>
      <c r="N21" s="18"/>
    </row>
    <row r="22" spans="2:14" ht="15" customHeight="1" x14ac:dyDescent="0.25">
      <c r="B22" s="20"/>
      <c r="C22" s="5" t="s">
        <v>28</v>
      </c>
      <c r="D22" s="6" t="s">
        <v>34</v>
      </c>
      <c r="E22" s="11">
        <v>1.2871E-2</v>
      </c>
      <c r="F22" s="1"/>
      <c r="G22" s="1"/>
      <c r="H22" s="1"/>
      <c r="I22" s="1"/>
      <c r="J22" s="1"/>
      <c r="K22" s="1"/>
      <c r="L22" s="1"/>
      <c r="M22" s="1"/>
      <c r="N22" s="18"/>
    </row>
    <row r="23" spans="2:14" ht="15" customHeight="1" x14ac:dyDescent="0.25">
      <c r="B23" s="20"/>
      <c r="C23" s="5" t="s">
        <v>38</v>
      </c>
      <c r="D23" s="6" t="s">
        <v>34</v>
      </c>
      <c r="E23" s="11">
        <v>1.0416999999999999E-2</v>
      </c>
      <c r="F23" s="1"/>
      <c r="G23" s="1"/>
      <c r="H23" s="1"/>
      <c r="I23" s="1"/>
      <c r="J23" s="1"/>
      <c r="K23" s="1"/>
      <c r="L23" s="1"/>
      <c r="M23" s="1"/>
      <c r="N23" s="18"/>
    </row>
    <row r="24" spans="2:14" ht="15" customHeight="1" x14ac:dyDescent="0.25">
      <c r="B24" s="20"/>
      <c r="C24" s="5" t="s">
        <v>43</v>
      </c>
      <c r="D24" s="6" t="s">
        <v>34</v>
      </c>
      <c r="E24" s="11">
        <v>9.1789999999999997E-3</v>
      </c>
      <c r="F24" s="1"/>
      <c r="G24" s="44" t="s">
        <v>18</v>
      </c>
      <c r="H24" s="45"/>
      <c r="I24" s="45"/>
      <c r="J24" s="45"/>
      <c r="K24" s="45"/>
      <c r="L24" s="26">
        <v>2.06</v>
      </c>
      <c r="M24" s="27"/>
      <c r="N24" s="28"/>
    </row>
    <row r="25" spans="2:14" ht="15" customHeight="1" x14ac:dyDescent="0.25">
      <c r="B25" s="20"/>
      <c r="C25" s="5" t="s">
        <v>41</v>
      </c>
      <c r="D25" s="6" t="s">
        <v>34</v>
      </c>
      <c r="E25" s="11">
        <v>8.6809999999999995E-3</v>
      </c>
      <c r="F25" s="1"/>
      <c r="G25" s="1"/>
      <c r="H25" s="1"/>
      <c r="I25" s="1"/>
      <c r="J25" s="1"/>
      <c r="K25" s="1"/>
      <c r="L25" s="1"/>
      <c r="M25" s="1"/>
      <c r="N25" s="18"/>
    </row>
    <row r="26" spans="2:14" ht="15" customHeight="1" x14ac:dyDescent="0.25">
      <c r="B26" s="20"/>
      <c r="C26" s="5" t="s">
        <v>35</v>
      </c>
      <c r="D26" s="6" t="s">
        <v>34</v>
      </c>
      <c r="E26" s="11">
        <v>4.2069999999999998E-3</v>
      </c>
      <c r="F26" s="1"/>
      <c r="G26" s="44" t="s">
        <v>19</v>
      </c>
      <c r="H26" s="45"/>
      <c r="I26" s="45"/>
      <c r="J26" s="45"/>
      <c r="K26" s="45"/>
      <c r="L26" s="45"/>
      <c r="M26" s="45"/>
      <c r="N26" s="46"/>
    </row>
    <row r="27" spans="2:14" ht="15" customHeight="1" x14ac:dyDescent="0.25">
      <c r="B27" s="20"/>
      <c r="C27" s="5" t="s">
        <v>27</v>
      </c>
      <c r="D27" s="6" t="s">
        <v>34</v>
      </c>
      <c r="E27" s="11">
        <v>4.2299999999999998E-4</v>
      </c>
      <c r="F27" s="1"/>
      <c r="G27" s="1"/>
      <c r="H27" s="1"/>
      <c r="I27" s="1"/>
      <c r="J27" s="1"/>
      <c r="K27" s="1"/>
      <c r="L27" s="1"/>
      <c r="M27" s="1"/>
      <c r="N27" s="18"/>
    </row>
    <row r="28" spans="2:14" ht="15.75" customHeight="1" x14ac:dyDescent="0.25">
      <c r="B28" s="20"/>
      <c r="C28" s="7" t="s">
        <v>53</v>
      </c>
      <c r="D28" s="8"/>
      <c r="E28" s="12">
        <v>0.30396200000000001</v>
      </c>
      <c r="F28" s="1"/>
      <c r="G28" s="1"/>
      <c r="H28" s="1"/>
      <c r="I28" s="1"/>
      <c r="J28" s="1"/>
      <c r="K28" s="1"/>
      <c r="L28" s="1"/>
      <c r="M28" s="1"/>
      <c r="N28" s="18"/>
    </row>
    <row r="29" spans="2:14" ht="15" customHeight="1" x14ac:dyDescent="0.25">
      <c r="B29" s="20"/>
      <c r="C29" s="5" t="s">
        <v>79</v>
      </c>
      <c r="D29" s="6" t="s">
        <v>57</v>
      </c>
      <c r="E29" s="11">
        <v>0.42688700000000002</v>
      </c>
      <c r="F29" s="1"/>
      <c r="G29" s="1"/>
      <c r="H29" s="1"/>
      <c r="I29" s="1"/>
      <c r="J29" s="1"/>
      <c r="K29" s="1"/>
      <c r="L29" s="1"/>
      <c r="M29" s="1"/>
      <c r="N29" s="18"/>
    </row>
    <row r="30" spans="2:14" ht="15" customHeight="1" x14ac:dyDescent="0.25">
      <c r="B30" s="20"/>
      <c r="C30" s="5" t="s">
        <v>93</v>
      </c>
      <c r="D30" s="6" t="s">
        <v>57</v>
      </c>
      <c r="E30" s="11">
        <v>1.0122000000000001E-2</v>
      </c>
      <c r="F30" s="1"/>
      <c r="G30" s="1"/>
      <c r="H30" s="1"/>
      <c r="I30" s="1"/>
      <c r="J30" s="1"/>
      <c r="K30" s="1"/>
      <c r="L30" s="1"/>
      <c r="M30" s="1"/>
      <c r="N30" s="18"/>
    </row>
    <row r="31" spans="2:14" ht="15" customHeight="1" x14ac:dyDescent="0.25">
      <c r="B31" s="20"/>
      <c r="C31" s="5" t="s">
        <v>80</v>
      </c>
      <c r="D31" s="6" t="s">
        <v>57</v>
      </c>
      <c r="E31" s="11">
        <v>5.7899999999999998E-4</v>
      </c>
      <c r="F31" s="1"/>
      <c r="G31" s="1"/>
      <c r="H31" s="1"/>
      <c r="I31" s="1"/>
      <c r="J31" s="1"/>
      <c r="K31" s="1"/>
      <c r="L31" s="1"/>
      <c r="M31" s="1"/>
      <c r="N31" s="18"/>
    </row>
    <row r="32" spans="2:14" ht="15" customHeight="1" x14ac:dyDescent="0.25">
      <c r="B32" s="20"/>
      <c r="C32" s="5" t="s">
        <v>94</v>
      </c>
      <c r="D32" s="6" t="s">
        <v>57</v>
      </c>
      <c r="E32" s="11">
        <v>2.14E-4</v>
      </c>
      <c r="F32" s="1"/>
      <c r="G32" s="1"/>
      <c r="H32" s="1"/>
      <c r="I32" s="1"/>
      <c r="J32" s="1"/>
      <c r="K32" s="1"/>
      <c r="L32" s="1"/>
      <c r="M32" s="1"/>
      <c r="N32" s="18"/>
    </row>
    <row r="33" spans="2:14" ht="15" customHeight="1" x14ac:dyDescent="0.25">
      <c r="B33" s="20"/>
      <c r="C33" s="5" t="s">
        <v>86</v>
      </c>
      <c r="D33" s="6" t="s">
        <v>57</v>
      </c>
      <c r="E33" s="11">
        <v>9.0000000000000006E-5</v>
      </c>
      <c r="F33" s="1"/>
      <c r="G33" s="1"/>
      <c r="H33" s="1"/>
      <c r="I33" s="1"/>
      <c r="J33" s="1"/>
      <c r="K33" s="1"/>
      <c r="L33" s="1"/>
      <c r="M33" s="1"/>
      <c r="N33" s="18"/>
    </row>
    <row r="34" spans="2:14" ht="15.75" customHeight="1" x14ac:dyDescent="0.25">
      <c r="B34" s="20"/>
      <c r="C34" s="7" t="s">
        <v>63</v>
      </c>
      <c r="D34" s="8"/>
      <c r="E34" s="12">
        <v>0.437892</v>
      </c>
      <c r="F34" s="1"/>
      <c r="G34" s="1"/>
      <c r="H34" s="1"/>
      <c r="I34" s="1"/>
      <c r="J34" s="1"/>
      <c r="K34" s="1"/>
      <c r="L34" s="1"/>
      <c r="M34" s="1"/>
      <c r="N34" s="18"/>
    </row>
    <row r="35" spans="2:14" ht="15" customHeight="1" x14ac:dyDescent="0.25">
      <c r="B35" s="20"/>
      <c r="C35" s="5" t="s">
        <v>231</v>
      </c>
      <c r="D35" s="6" t="s">
        <v>87</v>
      </c>
      <c r="E35" s="11">
        <v>4.829E-3</v>
      </c>
      <c r="F35" s="1"/>
      <c r="G35" s="1"/>
      <c r="H35" s="1"/>
      <c r="I35" s="1"/>
      <c r="J35" s="1"/>
      <c r="K35" s="1"/>
      <c r="L35" s="1"/>
      <c r="M35" s="1"/>
      <c r="N35" s="18"/>
    </row>
    <row r="36" spans="2:14" ht="15.75" customHeight="1" x14ac:dyDescent="0.25">
      <c r="B36" s="20"/>
      <c r="C36" s="7" t="s">
        <v>88</v>
      </c>
      <c r="D36" s="8"/>
      <c r="E36" s="12">
        <v>4.829E-3</v>
      </c>
      <c r="F36" s="1"/>
      <c r="G36" s="1"/>
      <c r="H36" s="1"/>
      <c r="I36" s="1"/>
      <c r="J36" s="1"/>
      <c r="K36" s="1"/>
      <c r="L36" s="1"/>
      <c r="M36" s="1"/>
      <c r="N36" s="18"/>
    </row>
    <row r="37" spans="2:14" ht="15" customHeight="1" x14ac:dyDescent="0.25">
      <c r="B37" s="20"/>
      <c r="C37" s="5" t="s">
        <v>9</v>
      </c>
      <c r="D37" s="6"/>
      <c r="E37" s="11">
        <v>4.1700000000000001E-3</v>
      </c>
      <c r="F37" s="1"/>
      <c r="G37" s="1"/>
      <c r="H37" s="1"/>
      <c r="I37" s="1"/>
      <c r="J37" s="1"/>
      <c r="K37" s="1"/>
      <c r="L37" s="1"/>
      <c r="M37" s="1"/>
      <c r="N37" s="18"/>
    </row>
    <row r="38" spans="2:14" ht="15.75" customHeight="1" x14ac:dyDescent="0.25">
      <c r="B38" s="20"/>
      <c r="C38" s="7" t="s">
        <v>10</v>
      </c>
      <c r="D38" s="8"/>
      <c r="E38" s="12">
        <v>4.1700000000000001E-3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75" customHeight="1" x14ac:dyDescent="0.25">
      <c r="B40" s="20"/>
      <c r="C40" s="7" t="s">
        <v>11</v>
      </c>
      <c r="D40" s="8"/>
      <c r="E40" s="12">
        <v>2.639E-2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12</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t="s">
        <v>232</v>
      </c>
      <c r="D44" s="1"/>
      <c r="E44" s="1"/>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14.75" customHeight="1" thickBot="1" x14ac:dyDescent="0.3">
      <c r="B47" s="36" t="s">
        <v>230</v>
      </c>
      <c r="C47" s="37"/>
      <c r="D47" s="37"/>
      <c r="E47" s="37"/>
      <c r="F47" s="37"/>
      <c r="G47" s="37"/>
      <c r="H47" s="37"/>
      <c r="I47" s="37"/>
      <c r="J47" s="37"/>
      <c r="K47" s="37"/>
      <c r="L47" s="37"/>
      <c r="M47" s="37"/>
      <c r="N47" s="38"/>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6">
    <mergeCell ref="B47:N47"/>
    <mergeCell ref="C3:N3"/>
    <mergeCell ref="D5:E5"/>
    <mergeCell ref="G7:N7"/>
    <mergeCell ref="G24:K24"/>
    <mergeCell ref="G26:N26"/>
  </mergeCells>
  <pageMargins left="0.7" right="0.7" top="0.75" bottom="0.75" header="0.3" footer="0.3"/>
  <pageSetup scale="58"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2D7C-AE0A-41B8-8735-B6FC0C42A452}">
  <sheetPr>
    <pageSetUpPr fitToPage="1"/>
  </sheetPr>
  <dimension ref="B1:N100"/>
  <sheetViews>
    <sheetView showGridLines="0" view="pageBreakPreview" topLeftCell="A64"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20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21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5.0436000000000002E-2</v>
      </c>
      <c r="F8" s="1"/>
      <c r="G8" s="24" t="s">
        <v>16</v>
      </c>
      <c r="H8" s="25">
        <v>1</v>
      </c>
      <c r="I8" s="1"/>
      <c r="J8" s="24" t="s">
        <v>13</v>
      </c>
      <c r="K8" s="24" t="s">
        <v>5</v>
      </c>
      <c r="L8" s="1"/>
      <c r="M8" s="1"/>
      <c r="N8" s="18"/>
    </row>
    <row r="9" spans="2:14" ht="15" customHeight="1" x14ac:dyDescent="0.25">
      <c r="B9" s="20"/>
      <c r="C9" s="5" t="s">
        <v>24</v>
      </c>
      <c r="D9" s="6" t="s">
        <v>23</v>
      </c>
      <c r="E9" s="11">
        <v>4.1271000000000002E-2</v>
      </c>
      <c r="F9" s="1"/>
      <c r="G9" s="1"/>
      <c r="H9" s="1"/>
      <c r="I9" s="1"/>
      <c r="J9" s="24" t="s">
        <v>11</v>
      </c>
      <c r="K9" s="29">
        <v>1.6750999999999999E-2</v>
      </c>
      <c r="L9" s="1"/>
      <c r="M9" s="1"/>
      <c r="N9" s="18"/>
    </row>
    <row r="10" spans="2:14" ht="15" customHeight="1" x14ac:dyDescent="0.25">
      <c r="B10" s="20"/>
      <c r="C10" s="5" t="s">
        <v>25</v>
      </c>
      <c r="D10" s="6" t="s">
        <v>23</v>
      </c>
      <c r="E10" s="11">
        <v>2.2481999999999999E-2</v>
      </c>
      <c r="F10" s="1"/>
      <c r="G10" s="1"/>
      <c r="H10" s="1"/>
      <c r="I10" s="1"/>
      <c r="J10" s="24" t="s">
        <v>14</v>
      </c>
      <c r="K10" s="29">
        <v>1.8297000000000001E-2</v>
      </c>
      <c r="L10" s="1"/>
      <c r="M10" s="1"/>
      <c r="N10" s="18"/>
    </row>
    <row r="11" spans="2:14" ht="15" customHeight="1" x14ac:dyDescent="0.25">
      <c r="B11" s="20"/>
      <c r="C11" s="5" t="s">
        <v>26</v>
      </c>
      <c r="D11" s="6" t="s">
        <v>23</v>
      </c>
      <c r="E11" s="11">
        <v>1.3885E-2</v>
      </c>
      <c r="F11" s="1"/>
      <c r="G11" s="1"/>
      <c r="H11" s="1"/>
      <c r="I11" s="1"/>
      <c r="J11" s="24" t="s">
        <v>69</v>
      </c>
      <c r="K11" s="29">
        <v>0.16394900000000001</v>
      </c>
      <c r="L11" s="1"/>
      <c r="M11" s="1"/>
      <c r="N11" s="18"/>
    </row>
    <row r="12" spans="2:14" ht="15" customHeight="1" x14ac:dyDescent="0.25">
      <c r="B12" s="20"/>
      <c r="C12" s="5" t="s">
        <v>27</v>
      </c>
      <c r="D12" s="6" t="s">
        <v>23</v>
      </c>
      <c r="E12" s="11">
        <v>1.3714E-2</v>
      </c>
      <c r="F12" s="1"/>
      <c r="G12" s="1"/>
      <c r="H12" s="1"/>
      <c r="I12" s="1"/>
      <c r="J12" s="24" t="s">
        <v>70</v>
      </c>
      <c r="K12" s="29">
        <v>0.68439799999999995</v>
      </c>
      <c r="L12" s="1"/>
      <c r="M12" s="1"/>
      <c r="N12" s="18"/>
    </row>
    <row r="13" spans="2:14" ht="15" customHeight="1" x14ac:dyDescent="0.25">
      <c r="B13" s="20"/>
      <c r="C13" s="5" t="s">
        <v>28</v>
      </c>
      <c r="D13" s="6" t="s">
        <v>23</v>
      </c>
      <c r="E13" s="11">
        <v>1.3661E-2</v>
      </c>
      <c r="F13" s="1"/>
      <c r="G13" s="1"/>
      <c r="H13" s="1"/>
      <c r="I13" s="1"/>
      <c r="J13" s="24" t="s">
        <v>71</v>
      </c>
      <c r="K13" s="29">
        <v>1.1134E-2</v>
      </c>
      <c r="L13" s="1"/>
      <c r="M13" s="1"/>
      <c r="N13" s="18"/>
    </row>
    <row r="14" spans="2:14" ht="15" customHeight="1" x14ac:dyDescent="0.25">
      <c r="B14" s="20"/>
      <c r="C14" s="5" t="s">
        <v>29</v>
      </c>
      <c r="D14" s="6" t="s">
        <v>23</v>
      </c>
      <c r="E14" s="11">
        <v>8.5000000000000006E-3</v>
      </c>
      <c r="F14" s="1"/>
      <c r="G14" s="1"/>
      <c r="H14" s="1"/>
      <c r="I14" s="1"/>
      <c r="J14" s="24" t="s">
        <v>72</v>
      </c>
      <c r="K14" s="29">
        <v>1.7099999999999999E-3</v>
      </c>
      <c r="L14" s="1"/>
      <c r="M14" s="1"/>
      <c r="N14" s="18"/>
    </row>
    <row r="15" spans="2:14" ht="15.75" customHeight="1" x14ac:dyDescent="0.25">
      <c r="B15" s="20"/>
      <c r="C15" s="7" t="s">
        <v>30</v>
      </c>
      <c r="D15" s="8"/>
      <c r="E15" s="12">
        <v>0.16394900000000001</v>
      </c>
      <c r="F15" s="1"/>
      <c r="G15" s="1"/>
      <c r="H15" s="1"/>
      <c r="I15" s="1"/>
      <c r="J15" s="24" t="s">
        <v>73</v>
      </c>
      <c r="K15" s="29">
        <v>7.6317999999999997E-2</v>
      </c>
      <c r="L15" s="1"/>
      <c r="M15" s="1"/>
      <c r="N15" s="18"/>
    </row>
    <row r="16" spans="2:14" ht="15" customHeight="1" x14ac:dyDescent="0.25">
      <c r="B16" s="20"/>
      <c r="C16" s="5" t="s">
        <v>31</v>
      </c>
      <c r="D16" s="6" t="s">
        <v>23</v>
      </c>
      <c r="E16" s="11">
        <v>5.6109999999999997E-3</v>
      </c>
      <c r="F16" s="1"/>
      <c r="G16" s="1"/>
      <c r="H16" s="1"/>
      <c r="I16" s="1"/>
      <c r="J16" s="24" t="s">
        <v>74</v>
      </c>
      <c r="K16" s="29">
        <v>2.2498000000000001E-2</v>
      </c>
      <c r="L16" s="1"/>
      <c r="M16" s="1"/>
      <c r="N16" s="18"/>
    </row>
    <row r="17" spans="2:14" ht="15" customHeight="1" x14ac:dyDescent="0.25">
      <c r="B17" s="20"/>
      <c r="C17" s="5" t="s">
        <v>28</v>
      </c>
      <c r="D17" s="6" t="s">
        <v>23</v>
      </c>
      <c r="E17" s="11">
        <v>5.5230000000000001E-3</v>
      </c>
      <c r="F17" s="1"/>
      <c r="G17" s="1"/>
      <c r="H17" s="1"/>
      <c r="I17" s="1"/>
      <c r="J17" s="24" t="s">
        <v>75</v>
      </c>
      <c r="K17" s="29">
        <v>4.7889999999999999E-3</v>
      </c>
      <c r="L17" s="1"/>
      <c r="M17" s="1"/>
      <c r="N17" s="18"/>
    </row>
    <row r="18" spans="2:14" ht="15.75" customHeight="1" x14ac:dyDescent="0.25">
      <c r="B18" s="20"/>
      <c r="C18" s="7" t="s">
        <v>32</v>
      </c>
      <c r="D18" s="8"/>
      <c r="E18" s="12">
        <v>1.1134E-2</v>
      </c>
      <c r="F18" s="1"/>
      <c r="G18" s="1"/>
      <c r="H18" s="1"/>
      <c r="I18" s="1"/>
      <c r="J18" s="24" t="s">
        <v>76</v>
      </c>
      <c r="K18" s="29">
        <v>1.56E-4</v>
      </c>
      <c r="L18" s="1"/>
      <c r="M18" s="1"/>
      <c r="N18" s="18"/>
    </row>
    <row r="19" spans="2:14" ht="15" customHeight="1" x14ac:dyDescent="0.25">
      <c r="B19" s="20"/>
      <c r="C19" s="5" t="s">
        <v>33</v>
      </c>
      <c r="D19" s="6" t="s">
        <v>34</v>
      </c>
      <c r="E19" s="11">
        <v>0.112785</v>
      </c>
      <c r="F19" s="1"/>
      <c r="G19" s="1"/>
      <c r="H19" s="1"/>
      <c r="I19" s="1"/>
      <c r="J19" s="1"/>
      <c r="K19" s="1"/>
      <c r="L19" s="1"/>
      <c r="M19" s="1"/>
      <c r="N19" s="18"/>
    </row>
    <row r="20" spans="2:14" ht="15" customHeight="1" x14ac:dyDescent="0.25">
      <c r="B20" s="20"/>
      <c r="C20" s="5" t="s">
        <v>31</v>
      </c>
      <c r="D20" s="6" t="s">
        <v>34</v>
      </c>
      <c r="E20" s="11">
        <v>6.7692000000000002E-2</v>
      </c>
      <c r="F20" s="1"/>
      <c r="G20" s="1"/>
      <c r="H20" s="1"/>
      <c r="I20" s="1"/>
      <c r="J20" s="1"/>
      <c r="K20" s="1"/>
      <c r="L20" s="1"/>
      <c r="M20" s="1"/>
      <c r="N20" s="18"/>
    </row>
    <row r="21" spans="2:14" ht="15" customHeight="1" x14ac:dyDescent="0.25">
      <c r="B21" s="20"/>
      <c r="C21" s="5" t="s">
        <v>35</v>
      </c>
      <c r="D21" s="6" t="s">
        <v>34</v>
      </c>
      <c r="E21" s="11">
        <v>6.5715999999999997E-2</v>
      </c>
      <c r="F21" s="1"/>
      <c r="G21" s="1"/>
      <c r="H21" s="1"/>
      <c r="I21" s="1"/>
      <c r="J21" s="1"/>
      <c r="K21" s="1"/>
      <c r="L21" s="1"/>
      <c r="M21" s="1"/>
      <c r="N21" s="18"/>
    </row>
    <row r="22" spans="2:14" ht="15" customHeight="1" x14ac:dyDescent="0.25">
      <c r="B22" s="20"/>
      <c r="C22" s="5" t="s">
        <v>36</v>
      </c>
      <c r="D22" s="6" t="s">
        <v>34</v>
      </c>
      <c r="E22" s="11">
        <v>6.0772E-2</v>
      </c>
      <c r="F22" s="1"/>
      <c r="G22" s="1"/>
      <c r="H22" s="1"/>
      <c r="I22" s="1"/>
      <c r="J22" s="1"/>
      <c r="K22" s="1"/>
      <c r="L22" s="1"/>
      <c r="M22" s="1"/>
      <c r="N22" s="18"/>
    </row>
    <row r="23" spans="2:14" ht="15" customHeight="1" x14ac:dyDescent="0.25">
      <c r="B23" s="20"/>
      <c r="C23" s="5" t="s">
        <v>22</v>
      </c>
      <c r="D23" s="6" t="s">
        <v>34</v>
      </c>
      <c r="E23" s="11">
        <v>5.7041000000000001E-2</v>
      </c>
      <c r="F23" s="1"/>
      <c r="G23" s="1"/>
      <c r="H23" s="1"/>
      <c r="I23" s="1"/>
      <c r="J23" s="1"/>
      <c r="K23" s="1"/>
      <c r="L23" s="1"/>
      <c r="M23" s="1"/>
      <c r="N23" s="18"/>
    </row>
    <row r="24" spans="2:14" ht="15" customHeight="1" x14ac:dyDescent="0.25">
      <c r="B24" s="20"/>
      <c r="C24" s="5" t="s">
        <v>37</v>
      </c>
      <c r="D24" s="6" t="s">
        <v>34</v>
      </c>
      <c r="E24" s="11">
        <v>4.6156999999999997E-2</v>
      </c>
      <c r="F24" s="1"/>
      <c r="G24" s="44" t="s">
        <v>18</v>
      </c>
      <c r="H24" s="45"/>
      <c r="I24" s="45"/>
      <c r="J24" s="45"/>
      <c r="K24" s="45"/>
      <c r="L24" s="26">
        <v>1.02</v>
      </c>
      <c r="M24" s="27"/>
      <c r="N24" s="28"/>
    </row>
    <row r="25" spans="2:14" ht="15" customHeight="1" x14ac:dyDescent="0.25">
      <c r="B25" s="20"/>
      <c r="C25" s="5" t="s">
        <v>38</v>
      </c>
      <c r="D25" s="6" t="s">
        <v>34</v>
      </c>
      <c r="E25" s="11">
        <v>3.9687E-2</v>
      </c>
      <c r="F25" s="1"/>
      <c r="G25" s="1"/>
      <c r="H25" s="1"/>
      <c r="I25" s="1"/>
      <c r="J25" s="1"/>
      <c r="K25" s="1"/>
      <c r="L25" s="1"/>
      <c r="M25" s="1"/>
      <c r="N25" s="18"/>
    </row>
    <row r="26" spans="2:14" ht="15" customHeight="1" x14ac:dyDescent="0.25">
      <c r="B26" s="20"/>
      <c r="C26" s="5" t="s">
        <v>39</v>
      </c>
      <c r="D26" s="6" t="s">
        <v>34</v>
      </c>
      <c r="E26" s="11">
        <v>3.8975999999999997E-2</v>
      </c>
      <c r="F26" s="1"/>
      <c r="G26" s="44" t="s">
        <v>19</v>
      </c>
      <c r="H26" s="45"/>
      <c r="I26" s="45"/>
      <c r="J26" s="45"/>
      <c r="K26" s="45"/>
      <c r="L26" s="45"/>
      <c r="M26" s="45"/>
      <c r="N26" s="46"/>
    </row>
    <row r="27" spans="2:14" ht="15" customHeight="1" x14ac:dyDescent="0.25">
      <c r="B27" s="20"/>
      <c r="C27" s="5" t="s">
        <v>27</v>
      </c>
      <c r="D27" s="6" t="s">
        <v>34</v>
      </c>
      <c r="E27" s="11">
        <v>2.8129000000000001E-2</v>
      </c>
      <c r="F27" s="1"/>
      <c r="G27" s="1"/>
      <c r="H27" s="1"/>
      <c r="I27" s="1"/>
      <c r="J27" s="1"/>
      <c r="K27" s="1"/>
      <c r="L27" s="1"/>
      <c r="M27" s="1"/>
      <c r="N27" s="18"/>
    </row>
    <row r="28" spans="2:14" ht="15" customHeight="1" x14ac:dyDescent="0.25">
      <c r="B28" s="20"/>
      <c r="C28" s="5" t="s">
        <v>28</v>
      </c>
      <c r="D28" s="6" t="s">
        <v>34</v>
      </c>
      <c r="E28" s="11">
        <v>2.5295000000000002E-2</v>
      </c>
      <c r="F28" s="1"/>
      <c r="G28" s="1"/>
      <c r="H28" s="1"/>
      <c r="I28" s="1"/>
      <c r="J28" s="1"/>
      <c r="K28" s="1"/>
      <c r="L28" s="1"/>
      <c r="M28" s="1"/>
      <c r="N28" s="18"/>
    </row>
    <row r="29" spans="2:14" ht="15" customHeight="1" x14ac:dyDescent="0.25">
      <c r="B29" s="20"/>
      <c r="C29" s="5" t="s">
        <v>40</v>
      </c>
      <c r="D29" s="6" t="s">
        <v>34</v>
      </c>
      <c r="E29" s="11">
        <v>2.3664999999999999E-2</v>
      </c>
      <c r="F29" s="1"/>
      <c r="G29" s="1"/>
      <c r="H29" s="1"/>
      <c r="I29" s="1"/>
      <c r="J29" s="1"/>
      <c r="K29" s="1"/>
      <c r="L29" s="1"/>
      <c r="M29" s="1"/>
      <c r="N29" s="18"/>
    </row>
    <row r="30" spans="2:14" ht="15" customHeight="1" x14ac:dyDescent="0.25">
      <c r="B30" s="20"/>
      <c r="C30" s="5" t="s">
        <v>41</v>
      </c>
      <c r="D30" s="6" t="s">
        <v>34</v>
      </c>
      <c r="E30" s="11">
        <v>2.0441999999999998E-2</v>
      </c>
      <c r="F30" s="1"/>
      <c r="G30" s="1"/>
      <c r="H30" s="1"/>
      <c r="I30" s="1"/>
      <c r="J30" s="1"/>
      <c r="K30" s="1"/>
      <c r="L30" s="1"/>
      <c r="M30" s="1"/>
      <c r="N30" s="18"/>
    </row>
    <row r="31" spans="2:14" ht="15" customHeight="1" x14ac:dyDescent="0.25">
      <c r="B31" s="20"/>
      <c r="C31" s="5" t="s">
        <v>42</v>
      </c>
      <c r="D31" s="6" t="s">
        <v>34</v>
      </c>
      <c r="E31" s="11">
        <v>1.9584000000000001E-2</v>
      </c>
      <c r="F31" s="1"/>
      <c r="G31" s="1"/>
      <c r="H31" s="1"/>
      <c r="I31" s="1"/>
      <c r="J31" s="1"/>
      <c r="K31" s="1"/>
      <c r="L31" s="1"/>
      <c r="M31" s="1"/>
      <c r="N31" s="18"/>
    </row>
    <row r="32" spans="2:14" ht="15" customHeight="1" x14ac:dyDescent="0.25">
      <c r="B32" s="20"/>
      <c r="C32" s="5" t="s">
        <v>43</v>
      </c>
      <c r="D32" s="6" t="s">
        <v>34</v>
      </c>
      <c r="E32" s="11">
        <v>1.6312E-2</v>
      </c>
      <c r="F32" s="1"/>
      <c r="G32" s="1"/>
      <c r="H32" s="1"/>
      <c r="I32" s="1"/>
      <c r="J32" s="1"/>
      <c r="K32" s="1"/>
      <c r="L32" s="1"/>
      <c r="M32" s="1"/>
      <c r="N32" s="18"/>
    </row>
    <row r="33" spans="2:14" ht="15" customHeight="1" x14ac:dyDescent="0.25">
      <c r="B33" s="20"/>
      <c r="C33" s="5" t="s">
        <v>44</v>
      </c>
      <c r="D33" s="6" t="s">
        <v>34</v>
      </c>
      <c r="E33" s="11">
        <v>1.4569E-2</v>
      </c>
      <c r="F33" s="1"/>
      <c r="G33" s="1"/>
      <c r="H33" s="1"/>
      <c r="I33" s="1"/>
      <c r="J33" s="1"/>
      <c r="K33" s="1"/>
      <c r="L33" s="1"/>
      <c r="M33" s="1"/>
      <c r="N33" s="18"/>
    </row>
    <row r="34" spans="2:14" ht="15" customHeight="1" x14ac:dyDescent="0.25">
      <c r="B34" s="20"/>
      <c r="C34" s="5" t="s">
        <v>45</v>
      </c>
      <c r="D34" s="6" t="s">
        <v>34</v>
      </c>
      <c r="E34" s="11">
        <v>1.2891E-2</v>
      </c>
      <c r="F34" s="1"/>
      <c r="G34" s="1"/>
      <c r="H34" s="1"/>
      <c r="I34" s="1"/>
      <c r="J34" s="1"/>
      <c r="K34" s="1"/>
      <c r="L34" s="1"/>
      <c r="M34" s="1"/>
      <c r="N34" s="18"/>
    </row>
    <row r="35" spans="2:14" ht="15" customHeight="1" x14ac:dyDescent="0.25">
      <c r="B35" s="20"/>
      <c r="C35" s="5" t="s">
        <v>46</v>
      </c>
      <c r="D35" s="6" t="s">
        <v>34</v>
      </c>
      <c r="E35" s="11">
        <v>9.3980000000000001E-3</v>
      </c>
      <c r="F35" s="1"/>
      <c r="G35" s="1"/>
      <c r="H35" s="1"/>
      <c r="I35" s="1"/>
      <c r="J35" s="1"/>
      <c r="K35" s="1"/>
      <c r="L35" s="1"/>
      <c r="M35" s="1"/>
      <c r="N35" s="18"/>
    </row>
    <row r="36" spans="2:14" ht="15" customHeight="1" x14ac:dyDescent="0.25">
      <c r="B36" s="20"/>
      <c r="C36" s="5" t="s">
        <v>47</v>
      </c>
      <c r="D36" s="6" t="s">
        <v>34</v>
      </c>
      <c r="E36" s="11">
        <v>8.7430000000000008E-3</v>
      </c>
      <c r="F36" s="1"/>
      <c r="G36" s="1"/>
      <c r="H36" s="1"/>
      <c r="I36" s="1"/>
      <c r="J36" s="1"/>
      <c r="K36" s="1"/>
      <c r="L36" s="1"/>
      <c r="M36" s="1"/>
      <c r="N36" s="18"/>
    </row>
    <row r="37" spans="2:14" ht="15" customHeight="1" x14ac:dyDescent="0.25">
      <c r="B37" s="20"/>
      <c r="C37" s="5" t="s">
        <v>48</v>
      </c>
      <c r="D37" s="6" t="s">
        <v>34</v>
      </c>
      <c r="E37" s="11">
        <v>4.8989999999999997E-3</v>
      </c>
      <c r="F37" s="1"/>
      <c r="G37" s="1"/>
      <c r="H37" s="1"/>
      <c r="I37" s="1"/>
      <c r="J37" s="1"/>
      <c r="K37" s="1"/>
      <c r="L37" s="1"/>
      <c r="M37" s="1"/>
      <c r="N37" s="18"/>
    </row>
    <row r="38" spans="2:14" ht="15" customHeight="1" x14ac:dyDescent="0.25">
      <c r="B38" s="20"/>
      <c r="C38" s="5" t="s">
        <v>49</v>
      </c>
      <c r="D38" s="6" t="s">
        <v>34</v>
      </c>
      <c r="E38" s="11">
        <v>4.4130000000000003E-3</v>
      </c>
      <c r="F38" s="1"/>
      <c r="G38" s="1"/>
      <c r="H38" s="1"/>
      <c r="I38" s="1"/>
      <c r="J38" s="1"/>
      <c r="K38" s="1"/>
      <c r="L38" s="1"/>
      <c r="M38" s="1"/>
      <c r="N38" s="18"/>
    </row>
    <row r="39" spans="2:14" ht="15" customHeight="1" x14ac:dyDescent="0.25">
      <c r="B39" s="20"/>
      <c r="C39" s="5" t="s">
        <v>50</v>
      </c>
      <c r="D39" s="6" t="s">
        <v>34</v>
      </c>
      <c r="E39" s="11">
        <v>4.2230000000000002E-3</v>
      </c>
      <c r="F39" s="1"/>
      <c r="G39" s="1"/>
      <c r="H39" s="1"/>
      <c r="I39" s="1"/>
      <c r="J39" s="1"/>
      <c r="K39" s="1"/>
      <c r="L39" s="1"/>
      <c r="M39" s="1"/>
      <c r="N39" s="18"/>
    </row>
    <row r="40" spans="2:14" ht="15" customHeight="1" x14ac:dyDescent="0.25">
      <c r="B40" s="20"/>
      <c r="C40" s="5" t="s">
        <v>51</v>
      </c>
      <c r="D40" s="6" t="s">
        <v>34</v>
      </c>
      <c r="E40" s="11">
        <v>2.895E-3</v>
      </c>
      <c r="F40" s="1"/>
      <c r="G40" s="1"/>
      <c r="H40" s="1"/>
      <c r="I40" s="1"/>
      <c r="J40" s="1"/>
      <c r="K40" s="1"/>
      <c r="L40" s="1"/>
      <c r="M40" s="1"/>
      <c r="N40" s="18"/>
    </row>
    <row r="41" spans="2:14" ht="15" customHeight="1" x14ac:dyDescent="0.25">
      <c r="B41" s="20"/>
      <c r="C41" s="5" t="s">
        <v>52</v>
      </c>
      <c r="D41" s="6" t="s">
        <v>34</v>
      </c>
      <c r="E41" s="11">
        <v>1.1400000000000001E-4</v>
      </c>
      <c r="F41" s="1"/>
      <c r="G41" s="1"/>
      <c r="H41" s="1"/>
      <c r="I41" s="1"/>
      <c r="J41" s="1"/>
      <c r="K41" s="1"/>
      <c r="L41" s="1"/>
      <c r="M41" s="1"/>
      <c r="N41" s="18"/>
    </row>
    <row r="42" spans="2:14" ht="15.75" customHeight="1" x14ac:dyDescent="0.25">
      <c r="B42" s="20"/>
      <c r="C42" s="7" t="s">
        <v>53</v>
      </c>
      <c r="D42" s="8"/>
      <c r="E42" s="12">
        <v>0.68439799999999995</v>
      </c>
      <c r="F42" s="1"/>
      <c r="G42" s="1"/>
      <c r="H42" s="1"/>
      <c r="I42" s="1"/>
      <c r="J42" s="1"/>
      <c r="K42" s="1"/>
      <c r="L42" s="1"/>
      <c r="M42" s="1"/>
      <c r="N42" s="18"/>
    </row>
    <row r="43" spans="2:14" ht="15" customHeight="1" x14ac:dyDescent="0.25">
      <c r="B43" s="20"/>
      <c r="C43" s="5" t="s">
        <v>54</v>
      </c>
      <c r="D43" s="6" t="s">
        <v>23</v>
      </c>
      <c r="E43" s="11">
        <v>1.7099999999999999E-3</v>
      </c>
      <c r="F43" s="1"/>
      <c r="G43" s="1"/>
      <c r="H43" s="1"/>
      <c r="I43" s="1"/>
      <c r="J43" s="1"/>
      <c r="K43" s="1"/>
      <c r="L43" s="1"/>
      <c r="M43" s="1"/>
      <c r="N43" s="18"/>
    </row>
    <row r="44" spans="2:14" ht="15.75" customHeight="1" x14ac:dyDescent="0.25">
      <c r="B44" s="20"/>
      <c r="C44" s="7" t="s">
        <v>55</v>
      </c>
      <c r="D44" s="8"/>
      <c r="E44" s="12">
        <v>1.7099999999999999E-3</v>
      </c>
      <c r="F44" s="1"/>
      <c r="G44" s="1"/>
      <c r="H44" s="1"/>
      <c r="I44" s="1"/>
      <c r="J44" s="1"/>
      <c r="K44" s="1"/>
      <c r="L44" s="1"/>
      <c r="M44" s="1"/>
      <c r="N44" s="18"/>
    </row>
    <row r="45" spans="2:14" ht="15" customHeight="1" x14ac:dyDescent="0.25">
      <c r="B45" s="20"/>
      <c r="C45" s="5" t="s">
        <v>56</v>
      </c>
      <c r="D45" s="6" t="s">
        <v>57</v>
      </c>
      <c r="E45" s="11">
        <v>3.4578999999999999E-2</v>
      </c>
      <c r="F45" s="1"/>
      <c r="G45" s="1"/>
      <c r="H45" s="1"/>
      <c r="I45" s="1"/>
      <c r="J45" s="1"/>
      <c r="K45" s="1"/>
      <c r="L45" s="1"/>
      <c r="M45" s="1"/>
      <c r="N45" s="18"/>
    </row>
    <row r="46" spans="2:14" ht="15" customHeight="1" x14ac:dyDescent="0.25">
      <c r="B46" s="20"/>
      <c r="C46" s="5" t="s">
        <v>58</v>
      </c>
      <c r="D46" s="6" t="s">
        <v>57</v>
      </c>
      <c r="E46" s="11">
        <v>2.4909000000000001E-2</v>
      </c>
      <c r="F46" s="1"/>
      <c r="G46" s="1"/>
      <c r="H46" s="1"/>
      <c r="I46" s="1"/>
      <c r="J46" s="1"/>
      <c r="K46" s="1"/>
      <c r="L46" s="1"/>
      <c r="M46" s="1"/>
      <c r="N46" s="18"/>
    </row>
    <row r="47" spans="2:14" ht="15" customHeight="1" x14ac:dyDescent="0.25">
      <c r="B47" s="20"/>
      <c r="C47" s="5" t="s">
        <v>59</v>
      </c>
      <c r="D47" s="6" t="s">
        <v>57</v>
      </c>
      <c r="E47" s="11">
        <v>8.201E-3</v>
      </c>
      <c r="F47" s="1"/>
      <c r="G47" s="1"/>
      <c r="H47" s="1"/>
      <c r="I47" s="1"/>
      <c r="J47" s="1"/>
      <c r="K47" s="1"/>
      <c r="L47" s="1"/>
      <c r="M47" s="1"/>
      <c r="N47" s="18"/>
    </row>
    <row r="48" spans="2:14" ht="15" customHeight="1" x14ac:dyDescent="0.25">
      <c r="B48" s="20"/>
      <c r="C48" s="5" t="s">
        <v>60</v>
      </c>
      <c r="D48" s="6" t="s">
        <v>57</v>
      </c>
      <c r="E48" s="11">
        <v>5.6829999999999997E-3</v>
      </c>
      <c r="F48" s="1"/>
      <c r="G48" s="1"/>
      <c r="H48" s="1"/>
      <c r="I48" s="1"/>
      <c r="J48" s="1"/>
      <c r="K48" s="1"/>
      <c r="L48" s="1"/>
      <c r="M48" s="1"/>
      <c r="N48" s="18"/>
    </row>
    <row r="49" spans="2:14" ht="15" customHeight="1" x14ac:dyDescent="0.25">
      <c r="B49" s="20"/>
      <c r="C49" s="5" t="s">
        <v>61</v>
      </c>
      <c r="D49" s="6" t="s">
        <v>57</v>
      </c>
      <c r="E49" s="11">
        <v>1.7849999999999999E-3</v>
      </c>
      <c r="F49" s="1"/>
      <c r="G49" s="1"/>
      <c r="H49" s="1"/>
      <c r="I49" s="1"/>
      <c r="J49" s="1"/>
      <c r="K49" s="1"/>
      <c r="L49" s="1"/>
      <c r="M49" s="1"/>
      <c r="N49" s="18"/>
    </row>
    <row r="50" spans="2:14" ht="15" customHeight="1" x14ac:dyDescent="0.25">
      <c r="B50" s="20"/>
      <c r="C50" s="5" t="s">
        <v>62</v>
      </c>
      <c r="D50" s="6" t="s">
        <v>57</v>
      </c>
      <c r="E50" s="11">
        <v>1.1609999999999999E-3</v>
      </c>
      <c r="F50" s="1"/>
      <c r="G50" s="1"/>
      <c r="H50" s="1"/>
      <c r="I50" s="1"/>
      <c r="J50" s="1"/>
      <c r="K50" s="1"/>
      <c r="L50" s="1"/>
      <c r="M50" s="1"/>
      <c r="N50" s="18"/>
    </row>
    <row r="51" spans="2:14" ht="15.75" customHeight="1" x14ac:dyDescent="0.25">
      <c r="B51" s="20"/>
      <c r="C51" s="7" t="s">
        <v>63</v>
      </c>
      <c r="D51" s="8"/>
      <c r="E51" s="12">
        <v>7.6317999999999997E-2</v>
      </c>
      <c r="F51" s="1"/>
      <c r="G51" s="1"/>
      <c r="H51" s="1"/>
      <c r="I51" s="1"/>
      <c r="J51" s="1"/>
      <c r="K51" s="1"/>
      <c r="L51" s="1"/>
      <c r="M51" s="1"/>
      <c r="N51" s="18"/>
    </row>
    <row r="52" spans="2:14" ht="15" customHeight="1" x14ac:dyDescent="0.25">
      <c r="B52" s="20"/>
      <c r="C52" s="5" t="s">
        <v>204</v>
      </c>
      <c r="D52" s="6" t="s">
        <v>57</v>
      </c>
      <c r="E52" s="11">
        <v>1.1561999999999999E-2</v>
      </c>
      <c r="F52" s="1"/>
      <c r="G52" s="1"/>
      <c r="H52" s="1"/>
      <c r="I52" s="1"/>
      <c r="J52" s="1"/>
      <c r="K52" s="1"/>
      <c r="L52" s="1"/>
      <c r="M52" s="1"/>
      <c r="N52" s="18"/>
    </row>
    <row r="53" spans="2:14" ht="15" customHeight="1" x14ac:dyDescent="0.25">
      <c r="B53" s="20"/>
      <c r="C53" s="5" t="s">
        <v>198</v>
      </c>
      <c r="D53" s="6" t="s">
        <v>57</v>
      </c>
      <c r="E53" s="11">
        <v>3.0200000000000001E-3</v>
      </c>
      <c r="F53" s="1"/>
      <c r="G53" s="1"/>
      <c r="H53" s="1"/>
      <c r="I53" s="1"/>
      <c r="J53" s="1"/>
      <c r="K53" s="1"/>
      <c r="L53" s="1"/>
      <c r="M53" s="1"/>
      <c r="N53" s="18"/>
    </row>
    <row r="54" spans="2:14" ht="15" customHeight="1" x14ac:dyDescent="0.25">
      <c r="B54" s="20"/>
      <c r="C54" s="5" t="s">
        <v>192</v>
      </c>
      <c r="D54" s="6" t="s">
        <v>57</v>
      </c>
      <c r="E54" s="11">
        <v>2.9780000000000002E-3</v>
      </c>
      <c r="F54" s="1"/>
      <c r="G54" s="1"/>
      <c r="H54" s="1"/>
      <c r="I54" s="1"/>
      <c r="J54" s="1"/>
      <c r="K54" s="1"/>
      <c r="L54" s="1"/>
      <c r="M54" s="1"/>
      <c r="N54" s="18"/>
    </row>
    <row r="55" spans="2:14" ht="15" customHeight="1" x14ac:dyDescent="0.25">
      <c r="B55" s="20"/>
      <c r="C55" s="5" t="s">
        <v>202</v>
      </c>
      <c r="D55" s="6" t="s">
        <v>57</v>
      </c>
      <c r="E55" s="11">
        <v>1.4170000000000001E-3</v>
      </c>
      <c r="F55" s="1"/>
      <c r="G55" s="1"/>
      <c r="H55" s="1"/>
      <c r="I55" s="1"/>
      <c r="J55" s="1"/>
      <c r="K55" s="1"/>
      <c r="L55" s="1"/>
      <c r="M55" s="1"/>
      <c r="N55" s="18"/>
    </row>
    <row r="56" spans="2:14" ht="15" customHeight="1" x14ac:dyDescent="0.25">
      <c r="B56" s="20"/>
      <c r="C56" s="5" t="s">
        <v>203</v>
      </c>
      <c r="D56" s="6" t="s">
        <v>57</v>
      </c>
      <c r="E56" s="11">
        <v>8.5599999999999999E-4</v>
      </c>
      <c r="F56" s="1"/>
      <c r="G56" s="1"/>
      <c r="H56" s="1"/>
      <c r="I56" s="1"/>
      <c r="J56" s="1"/>
      <c r="K56" s="1"/>
      <c r="L56" s="1"/>
      <c r="M56" s="1"/>
      <c r="N56" s="18"/>
    </row>
    <row r="57" spans="2:14" ht="15" customHeight="1" x14ac:dyDescent="0.25">
      <c r="B57" s="20"/>
      <c r="C57" s="5" t="s">
        <v>200</v>
      </c>
      <c r="D57" s="6" t="s">
        <v>57</v>
      </c>
      <c r="E57" s="11">
        <v>5.9500000000000004E-4</v>
      </c>
      <c r="F57" s="1"/>
      <c r="G57" s="1"/>
      <c r="H57" s="1"/>
      <c r="I57" s="1"/>
      <c r="J57" s="1"/>
      <c r="K57" s="1"/>
      <c r="L57" s="1"/>
      <c r="M57" s="1"/>
      <c r="N57" s="18"/>
    </row>
    <row r="58" spans="2:14" ht="15" customHeight="1" x14ac:dyDescent="0.25">
      <c r="B58" s="20"/>
      <c r="C58" s="5" t="s">
        <v>194</v>
      </c>
      <c r="D58" s="6" t="s">
        <v>57</v>
      </c>
      <c r="E58" s="11">
        <v>5.9000000000000003E-4</v>
      </c>
      <c r="F58" s="1"/>
      <c r="G58" s="1"/>
      <c r="H58" s="1"/>
      <c r="I58" s="1"/>
      <c r="J58" s="1"/>
      <c r="K58" s="1"/>
      <c r="L58" s="1"/>
      <c r="M58" s="1"/>
      <c r="N58" s="18"/>
    </row>
    <row r="59" spans="2:14" ht="15" customHeight="1" x14ac:dyDescent="0.25">
      <c r="B59" s="20"/>
      <c r="C59" s="5" t="s">
        <v>195</v>
      </c>
      <c r="D59" s="6" t="s">
        <v>57</v>
      </c>
      <c r="E59" s="11">
        <v>2.9500000000000001E-4</v>
      </c>
      <c r="F59" s="1"/>
      <c r="G59" s="1"/>
      <c r="H59" s="1"/>
      <c r="I59" s="1"/>
      <c r="J59" s="1"/>
      <c r="K59" s="1"/>
      <c r="L59" s="1"/>
      <c r="M59" s="1"/>
      <c r="N59" s="18"/>
    </row>
    <row r="60" spans="2:14" ht="15" customHeight="1" x14ac:dyDescent="0.25">
      <c r="B60" s="20"/>
      <c r="C60" s="5" t="s">
        <v>196</v>
      </c>
      <c r="D60" s="6" t="s">
        <v>57</v>
      </c>
      <c r="E60" s="11">
        <v>2.9500000000000001E-4</v>
      </c>
      <c r="F60" s="1"/>
      <c r="G60" s="1"/>
      <c r="H60" s="1"/>
      <c r="I60" s="1"/>
      <c r="J60" s="1"/>
      <c r="K60" s="1"/>
      <c r="L60" s="1"/>
      <c r="M60" s="1"/>
      <c r="N60" s="18"/>
    </row>
    <row r="61" spans="2:14" ht="15" customHeight="1" x14ac:dyDescent="0.25">
      <c r="B61" s="20"/>
      <c r="C61" s="5" t="s">
        <v>197</v>
      </c>
      <c r="D61" s="6" t="s">
        <v>57</v>
      </c>
      <c r="E61" s="11">
        <v>2.9500000000000001E-4</v>
      </c>
      <c r="F61" s="1"/>
      <c r="G61" s="1"/>
      <c r="H61" s="1"/>
      <c r="I61" s="1"/>
      <c r="J61" s="1"/>
      <c r="K61" s="1"/>
      <c r="L61" s="1"/>
      <c r="M61" s="1"/>
      <c r="N61" s="18"/>
    </row>
    <row r="62" spans="2:14" ht="15" customHeight="1" x14ac:dyDescent="0.25">
      <c r="B62" s="20"/>
      <c r="C62" s="5" t="s">
        <v>193</v>
      </c>
      <c r="D62" s="6" t="s">
        <v>57</v>
      </c>
      <c r="E62" s="11">
        <v>2.9399999999999999E-4</v>
      </c>
      <c r="F62" s="1"/>
      <c r="G62" s="1"/>
      <c r="H62" s="1"/>
      <c r="I62" s="1"/>
      <c r="J62" s="1"/>
      <c r="K62" s="1"/>
      <c r="L62" s="1"/>
      <c r="M62" s="1"/>
      <c r="N62" s="18"/>
    </row>
    <row r="63" spans="2:14" ht="15" customHeight="1" x14ac:dyDescent="0.25">
      <c r="B63" s="20"/>
      <c r="C63" s="5" t="s">
        <v>201</v>
      </c>
      <c r="D63" s="6" t="s">
        <v>57</v>
      </c>
      <c r="E63" s="11">
        <v>1.7100000000000001E-4</v>
      </c>
      <c r="F63" s="1"/>
      <c r="G63" s="1"/>
      <c r="H63" s="1"/>
      <c r="I63" s="1"/>
      <c r="J63" s="1"/>
      <c r="K63" s="1"/>
      <c r="L63" s="1"/>
      <c r="M63" s="1"/>
      <c r="N63" s="18"/>
    </row>
    <row r="64" spans="2:14" ht="15" customHeight="1" x14ac:dyDescent="0.25">
      <c r="B64" s="20"/>
      <c r="C64" s="5" t="s">
        <v>199</v>
      </c>
      <c r="D64" s="6" t="s">
        <v>57</v>
      </c>
      <c r="E64" s="11">
        <v>1.2999999999999999E-4</v>
      </c>
      <c r="F64" s="1"/>
      <c r="G64" s="1"/>
      <c r="H64" s="1"/>
      <c r="I64" s="1"/>
      <c r="J64" s="1"/>
      <c r="K64" s="1"/>
      <c r="L64" s="1"/>
      <c r="M64" s="1"/>
      <c r="N64" s="18"/>
    </row>
    <row r="65" spans="2:14" ht="15.75" customHeight="1" x14ac:dyDescent="0.25">
      <c r="B65" s="20"/>
      <c r="C65" s="7" t="s">
        <v>64</v>
      </c>
      <c r="D65" s="8"/>
      <c r="E65" s="12">
        <v>2.2498000000000001E-2</v>
      </c>
      <c r="F65" s="1"/>
      <c r="G65" s="1"/>
      <c r="H65" s="1"/>
      <c r="I65" s="1"/>
      <c r="J65" s="1"/>
      <c r="K65" s="1"/>
      <c r="L65" s="1"/>
      <c r="M65" s="1"/>
      <c r="N65" s="18"/>
    </row>
    <row r="66" spans="2:14" ht="15" customHeight="1" x14ac:dyDescent="0.25">
      <c r="B66" s="20"/>
      <c r="C66" s="5" t="s">
        <v>65</v>
      </c>
      <c r="D66" s="6" t="s">
        <v>57</v>
      </c>
      <c r="E66" s="11">
        <v>4.2269999999999999E-3</v>
      </c>
      <c r="F66" s="1"/>
      <c r="G66" s="1"/>
      <c r="H66" s="1"/>
      <c r="I66" s="1"/>
      <c r="J66" s="1"/>
      <c r="K66" s="1"/>
      <c r="L66" s="1"/>
      <c r="M66" s="1"/>
      <c r="N66" s="18"/>
    </row>
    <row r="67" spans="2:14" ht="15" customHeight="1" x14ac:dyDescent="0.25">
      <c r="B67" s="20"/>
      <c r="C67" s="5" t="s">
        <v>66</v>
      </c>
      <c r="D67" s="6" t="s">
        <v>57</v>
      </c>
      <c r="E67" s="11">
        <v>5.62E-4</v>
      </c>
      <c r="F67" s="1"/>
      <c r="G67" s="1"/>
      <c r="H67" s="1"/>
      <c r="I67" s="1"/>
      <c r="J67" s="1"/>
      <c r="K67" s="1"/>
      <c r="L67" s="1"/>
      <c r="M67" s="1"/>
      <c r="N67" s="18"/>
    </row>
    <row r="68" spans="2:14" ht="15.75" customHeight="1" x14ac:dyDescent="0.25">
      <c r="B68" s="20"/>
      <c r="C68" s="7" t="s">
        <v>67</v>
      </c>
      <c r="D68" s="8"/>
      <c r="E68" s="12">
        <v>4.7889999999999999E-3</v>
      </c>
      <c r="F68" s="1"/>
      <c r="G68" s="1"/>
      <c r="H68" s="1"/>
      <c r="I68" s="1"/>
      <c r="J68" s="1"/>
      <c r="K68" s="1"/>
      <c r="L68" s="1"/>
      <c r="M68" s="1"/>
      <c r="N68" s="18"/>
    </row>
    <row r="69" spans="2:14" ht="15" customHeight="1" x14ac:dyDescent="0.25">
      <c r="B69" s="20"/>
      <c r="C69" s="5" t="s">
        <v>9</v>
      </c>
      <c r="D69" s="6"/>
      <c r="E69" s="11">
        <v>1.8297000000000001E-2</v>
      </c>
      <c r="F69" s="1"/>
      <c r="G69" s="1"/>
      <c r="H69" s="1"/>
      <c r="I69" s="1"/>
      <c r="J69" s="1"/>
      <c r="K69" s="1"/>
      <c r="L69" s="1"/>
      <c r="M69" s="1"/>
      <c r="N69" s="18"/>
    </row>
    <row r="70" spans="2:14" ht="15.75" customHeight="1" x14ac:dyDescent="0.25">
      <c r="B70" s="20"/>
      <c r="C70" s="7" t="s">
        <v>10</v>
      </c>
      <c r="D70" s="8"/>
      <c r="E70" s="12">
        <v>1.8297000000000001E-2</v>
      </c>
      <c r="F70" s="1"/>
      <c r="G70" s="1"/>
      <c r="H70" s="1"/>
      <c r="I70" s="1"/>
      <c r="J70" s="1"/>
      <c r="K70" s="1"/>
      <c r="L70" s="1"/>
      <c r="M70" s="1"/>
      <c r="N70" s="18"/>
    </row>
    <row r="71" spans="2:14" ht="15" customHeight="1" x14ac:dyDescent="0.25">
      <c r="B71" s="20"/>
      <c r="C71" s="5" t="s">
        <v>43</v>
      </c>
      <c r="D71" s="6" t="s">
        <v>34</v>
      </c>
      <c r="E71" s="11">
        <v>1.56E-4</v>
      </c>
      <c r="F71" s="1"/>
      <c r="G71" s="1"/>
      <c r="H71" s="1"/>
      <c r="I71" s="1"/>
      <c r="J71" s="1"/>
      <c r="K71" s="1"/>
      <c r="L71" s="1"/>
      <c r="M71" s="1"/>
      <c r="N71" s="18"/>
    </row>
    <row r="72" spans="2:14" ht="15.75" customHeight="1" x14ac:dyDescent="0.25">
      <c r="B72" s="20"/>
      <c r="C72" s="7" t="s">
        <v>68</v>
      </c>
      <c r="D72" s="8"/>
      <c r="E72" s="12">
        <v>1.56E-4</v>
      </c>
      <c r="F72" s="1"/>
      <c r="G72" s="1"/>
      <c r="H72" s="1"/>
      <c r="I72" s="1"/>
      <c r="J72" s="1"/>
      <c r="K72" s="1"/>
      <c r="L72" s="1"/>
      <c r="M72" s="1"/>
      <c r="N72" s="18"/>
    </row>
    <row r="73" spans="2:14" ht="15" customHeight="1" x14ac:dyDescent="0.25">
      <c r="B73" s="20"/>
      <c r="C73" s="5"/>
      <c r="D73" s="6"/>
      <c r="E73" s="11"/>
      <c r="F73" s="1"/>
      <c r="G73" s="1"/>
      <c r="H73" s="1"/>
      <c r="I73" s="1"/>
      <c r="J73" s="1"/>
      <c r="K73" s="1"/>
      <c r="L73" s="1"/>
      <c r="M73" s="1"/>
      <c r="N73" s="18"/>
    </row>
    <row r="74" spans="2:14" ht="15.75" customHeight="1" x14ac:dyDescent="0.25">
      <c r="B74" s="20"/>
      <c r="C74" s="7" t="s">
        <v>11</v>
      </c>
      <c r="D74" s="8"/>
      <c r="E74" s="12">
        <v>1.6750999999999999E-2</v>
      </c>
      <c r="F74" s="1"/>
      <c r="G74" s="1"/>
      <c r="H74" s="1"/>
      <c r="I74" s="1"/>
      <c r="J74" s="1"/>
      <c r="K74" s="1"/>
      <c r="L74" s="1"/>
      <c r="M74" s="1"/>
      <c r="N74" s="18"/>
    </row>
    <row r="75" spans="2:14" ht="15" customHeight="1" x14ac:dyDescent="0.25">
      <c r="B75" s="20"/>
      <c r="C75" s="5"/>
      <c r="D75" s="6"/>
      <c r="E75" s="11"/>
      <c r="F75" s="1"/>
      <c r="G75" s="1"/>
      <c r="H75" s="1"/>
      <c r="I75" s="1"/>
      <c r="J75" s="1"/>
      <c r="K75" s="1"/>
      <c r="L75" s="1"/>
      <c r="M75" s="1"/>
      <c r="N75" s="18"/>
    </row>
    <row r="76" spans="2:14" ht="15" customHeight="1" x14ac:dyDescent="0.25">
      <c r="B76" s="20"/>
      <c r="C76" s="9" t="s">
        <v>12</v>
      </c>
      <c r="D76" s="10"/>
      <c r="E76" s="13">
        <v>1</v>
      </c>
      <c r="F76" s="1"/>
      <c r="G76" s="1"/>
      <c r="H76" s="1"/>
      <c r="I76" s="1"/>
      <c r="J76" s="1"/>
      <c r="K76" s="1"/>
      <c r="L76" s="1"/>
      <c r="M76" s="1"/>
      <c r="N76" s="18"/>
    </row>
    <row r="77" spans="2:14" ht="15" customHeight="1" x14ac:dyDescent="0.25">
      <c r="B77" s="20"/>
      <c r="C77" s="1"/>
      <c r="D77" s="1"/>
      <c r="E77" s="1"/>
      <c r="F77" s="1"/>
      <c r="G77" s="1"/>
      <c r="H77" s="1"/>
      <c r="I77" s="1"/>
      <c r="J77" s="1"/>
      <c r="K77" s="1"/>
      <c r="L77" s="1"/>
      <c r="M77" s="1"/>
      <c r="N77" s="18"/>
    </row>
    <row r="78" spans="2:14" ht="15" customHeight="1" thickBot="1" x14ac:dyDescent="0.3">
      <c r="B78" s="21"/>
      <c r="C78" s="22"/>
      <c r="D78" s="22"/>
      <c r="E78" s="22"/>
      <c r="F78" s="22"/>
      <c r="G78" s="22"/>
      <c r="H78" s="22"/>
      <c r="I78" s="22"/>
      <c r="J78" s="22"/>
      <c r="K78" s="22"/>
      <c r="L78" s="22"/>
      <c r="M78" s="22"/>
      <c r="N78" s="23"/>
    </row>
    <row r="79" spans="2:14" ht="15" customHeight="1" thickBot="1" x14ac:dyDescent="0.3"/>
    <row r="80" spans="2:14" ht="105" customHeight="1" thickBot="1" x14ac:dyDescent="0.3">
      <c r="B80" s="36" t="s">
        <v>230</v>
      </c>
      <c r="C80" s="37"/>
      <c r="D80" s="37"/>
      <c r="E80" s="37"/>
      <c r="F80" s="37"/>
      <c r="G80" s="37"/>
      <c r="H80" s="37"/>
      <c r="I80" s="37"/>
      <c r="J80" s="37"/>
      <c r="K80" s="37"/>
      <c r="L80" s="37"/>
      <c r="M80" s="37"/>
      <c r="N80" s="38"/>
    </row>
    <row r="81" spans="2:14" ht="15" customHeight="1" thickBot="1" x14ac:dyDescent="0.3"/>
    <row r="82" spans="2:14" ht="69.75" customHeight="1" thickBot="1" x14ac:dyDescent="0.3">
      <c r="B82" s="36" t="s">
        <v>233</v>
      </c>
      <c r="C82" s="37"/>
      <c r="D82" s="37"/>
      <c r="E82" s="37"/>
      <c r="F82" s="37"/>
      <c r="G82" s="37"/>
      <c r="H82" s="37"/>
      <c r="I82" s="37"/>
      <c r="J82" s="37"/>
      <c r="K82" s="37"/>
      <c r="L82" s="37"/>
      <c r="M82" s="37"/>
      <c r="N82" s="38"/>
    </row>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sheetData>
  <mergeCells count="7">
    <mergeCell ref="B80:N80"/>
    <mergeCell ref="B82:N82"/>
    <mergeCell ref="C3:N3"/>
    <mergeCell ref="D5:E5"/>
    <mergeCell ref="G7:N7"/>
    <mergeCell ref="G24:K24"/>
    <mergeCell ref="G26:N26"/>
  </mergeCells>
  <pageMargins left="0.25" right="0.25" top="0.75" bottom="0.75" header="0.3" footer="0.3"/>
  <pageSetup scale="47"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FD7D-AD47-4F8D-9C6C-2F198ACD95BA}">
  <sheetPr>
    <pageSetUpPr fitToPage="1"/>
  </sheetPr>
  <dimension ref="B1:N91"/>
  <sheetViews>
    <sheetView showGridLines="0" view="pageBreakPreview" topLeftCell="A34" zoomScale="60" zoomScaleNormal="75" workbookViewId="0">
      <selection activeCell="U20" sqref="U20"/>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114</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115</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1.0965000000000001E-2</v>
      </c>
      <c r="F8" s="1"/>
      <c r="G8" s="24" t="s">
        <v>16</v>
      </c>
      <c r="H8" s="25">
        <v>1</v>
      </c>
      <c r="I8" s="1"/>
      <c r="J8" s="24" t="s">
        <v>13</v>
      </c>
      <c r="K8" s="24" t="s">
        <v>5</v>
      </c>
      <c r="L8" s="1"/>
      <c r="M8" s="1"/>
      <c r="N8" s="18"/>
    </row>
    <row r="9" spans="2:14" ht="15.75" customHeight="1" x14ac:dyDescent="0.25">
      <c r="B9" s="20"/>
      <c r="C9" s="7" t="s">
        <v>30</v>
      </c>
      <c r="D9" s="8"/>
      <c r="E9" s="12">
        <v>1.0965000000000001E-2</v>
      </c>
      <c r="F9" s="1"/>
      <c r="G9" s="1"/>
      <c r="H9" s="1"/>
      <c r="I9" s="1"/>
      <c r="J9" s="24" t="s">
        <v>11</v>
      </c>
      <c r="K9" s="29">
        <v>2.7092000000000001E-2</v>
      </c>
      <c r="L9" s="1"/>
      <c r="M9" s="1"/>
      <c r="N9" s="18"/>
    </row>
    <row r="10" spans="2:14" ht="15" customHeight="1" x14ac:dyDescent="0.25">
      <c r="B10" s="20"/>
      <c r="C10" s="5" t="s">
        <v>31</v>
      </c>
      <c r="D10" s="6" t="s">
        <v>23</v>
      </c>
      <c r="E10" s="11">
        <v>2.7729999999999999E-3</v>
      </c>
      <c r="F10" s="1"/>
      <c r="G10" s="1"/>
      <c r="H10" s="1"/>
      <c r="I10" s="1"/>
      <c r="J10" s="24" t="s">
        <v>14</v>
      </c>
      <c r="K10" s="29">
        <v>6.8519999999999996E-3</v>
      </c>
      <c r="L10" s="1"/>
      <c r="M10" s="1"/>
      <c r="N10" s="18"/>
    </row>
    <row r="11" spans="2:14" ht="15.75" customHeight="1" x14ac:dyDescent="0.25">
      <c r="B11" s="20"/>
      <c r="C11" s="7" t="s">
        <v>32</v>
      </c>
      <c r="D11" s="8"/>
      <c r="E11" s="12">
        <v>2.7729999999999999E-3</v>
      </c>
      <c r="F11" s="1"/>
      <c r="G11" s="1"/>
      <c r="H11" s="1"/>
      <c r="I11" s="1"/>
      <c r="J11" s="24" t="s">
        <v>69</v>
      </c>
      <c r="K11" s="29">
        <v>1.0965000000000001E-2</v>
      </c>
      <c r="L11" s="1"/>
      <c r="M11" s="1"/>
      <c r="N11" s="18"/>
    </row>
    <row r="12" spans="2:14" ht="15" customHeight="1" x14ac:dyDescent="0.25">
      <c r="B12" s="20"/>
      <c r="C12" s="5" t="s">
        <v>36</v>
      </c>
      <c r="D12" s="6" t="s">
        <v>34</v>
      </c>
      <c r="E12" s="11">
        <v>0.11828</v>
      </c>
      <c r="F12" s="1"/>
      <c r="G12" s="1"/>
      <c r="H12" s="1"/>
      <c r="I12" s="1"/>
      <c r="J12" s="24" t="s">
        <v>70</v>
      </c>
      <c r="K12" s="29">
        <v>0.73965700000000001</v>
      </c>
      <c r="L12" s="1"/>
      <c r="M12" s="1"/>
      <c r="N12" s="18"/>
    </row>
    <row r="13" spans="2:14" ht="15" customHeight="1" x14ac:dyDescent="0.25">
      <c r="B13" s="20"/>
      <c r="C13" s="5" t="s">
        <v>33</v>
      </c>
      <c r="D13" s="6" t="s">
        <v>34</v>
      </c>
      <c r="E13" s="11">
        <v>0.11380899999999999</v>
      </c>
      <c r="F13" s="1"/>
      <c r="G13" s="1"/>
      <c r="H13" s="1"/>
      <c r="I13" s="1"/>
      <c r="J13" s="24" t="s">
        <v>71</v>
      </c>
      <c r="K13" s="29">
        <v>2.7729999999999999E-3</v>
      </c>
      <c r="L13" s="1"/>
      <c r="M13" s="1"/>
      <c r="N13" s="18"/>
    </row>
    <row r="14" spans="2:14" ht="15" customHeight="1" x14ac:dyDescent="0.25">
      <c r="B14" s="20"/>
      <c r="C14" s="5" t="s">
        <v>44</v>
      </c>
      <c r="D14" s="6" t="s">
        <v>34</v>
      </c>
      <c r="E14" s="11">
        <v>8.0324999999999994E-2</v>
      </c>
      <c r="F14" s="1"/>
      <c r="G14" s="1"/>
      <c r="H14" s="1"/>
      <c r="I14" s="1"/>
      <c r="J14" s="24" t="s">
        <v>73</v>
      </c>
      <c r="K14" s="29">
        <v>0.170603</v>
      </c>
      <c r="L14" s="1"/>
      <c r="M14" s="1"/>
      <c r="N14" s="18"/>
    </row>
    <row r="15" spans="2:14" ht="15" customHeight="1" x14ac:dyDescent="0.25">
      <c r="B15" s="20"/>
      <c r="C15" s="5" t="s">
        <v>31</v>
      </c>
      <c r="D15" s="6" t="s">
        <v>34</v>
      </c>
      <c r="E15" s="11">
        <v>7.8655000000000003E-2</v>
      </c>
      <c r="F15" s="1"/>
      <c r="G15" s="1"/>
      <c r="H15" s="1"/>
      <c r="I15" s="1"/>
      <c r="J15" s="24" t="s">
        <v>74</v>
      </c>
      <c r="K15" s="29">
        <v>4.1949E-2</v>
      </c>
      <c r="L15" s="1"/>
      <c r="M15" s="1"/>
      <c r="N15" s="18"/>
    </row>
    <row r="16" spans="2:14" ht="15" customHeight="1" x14ac:dyDescent="0.25">
      <c r="B16" s="20"/>
      <c r="C16" s="5" t="s">
        <v>38</v>
      </c>
      <c r="D16" s="6" t="s">
        <v>34</v>
      </c>
      <c r="E16" s="11">
        <v>6.4673999999999995E-2</v>
      </c>
      <c r="F16" s="1"/>
      <c r="G16" s="1"/>
      <c r="H16" s="1"/>
      <c r="I16" s="1"/>
      <c r="J16" s="24" t="s">
        <v>76</v>
      </c>
      <c r="K16" s="29">
        <v>1.0900000000000001E-4</v>
      </c>
      <c r="L16" s="1"/>
      <c r="M16" s="1"/>
      <c r="N16" s="18"/>
    </row>
    <row r="17" spans="2:14" ht="15" customHeight="1" x14ac:dyDescent="0.25">
      <c r="B17" s="20"/>
      <c r="C17" s="5" t="s">
        <v>47</v>
      </c>
      <c r="D17" s="6" t="s">
        <v>34</v>
      </c>
      <c r="E17" s="11">
        <v>6.3855999999999996E-2</v>
      </c>
      <c r="F17" s="1"/>
      <c r="G17" s="1"/>
      <c r="H17" s="1"/>
      <c r="I17" s="1"/>
      <c r="J17" s="1"/>
      <c r="K17" s="1"/>
      <c r="L17" s="1"/>
      <c r="M17" s="1"/>
      <c r="N17" s="18"/>
    </row>
    <row r="18" spans="2:14" ht="15" customHeight="1" x14ac:dyDescent="0.25">
      <c r="B18" s="20"/>
      <c r="C18" s="5" t="s">
        <v>37</v>
      </c>
      <c r="D18" s="6" t="s">
        <v>34</v>
      </c>
      <c r="E18" s="11">
        <v>5.2074000000000002E-2</v>
      </c>
      <c r="F18" s="1"/>
      <c r="G18" s="1"/>
      <c r="H18" s="1"/>
      <c r="I18" s="1"/>
      <c r="J18" s="1"/>
      <c r="K18" s="1"/>
      <c r="L18" s="1"/>
      <c r="M18" s="1"/>
      <c r="N18" s="18"/>
    </row>
    <row r="19" spans="2:14" ht="15" customHeight="1" x14ac:dyDescent="0.25">
      <c r="B19" s="20"/>
      <c r="C19" s="5" t="s">
        <v>35</v>
      </c>
      <c r="D19" s="6" t="s">
        <v>34</v>
      </c>
      <c r="E19" s="11">
        <v>3.8273000000000001E-2</v>
      </c>
      <c r="F19" s="1"/>
      <c r="G19" s="1"/>
      <c r="H19" s="1"/>
      <c r="I19" s="1"/>
      <c r="J19" s="1"/>
      <c r="K19" s="1"/>
      <c r="L19" s="1"/>
      <c r="M19" s="1"/>
      <c r="N19" s="18"/>
    </row>
    <row r="20" spans="2:14" ht="15" customHeight="1" x14ac:dyDescent="0.25">
      <c r="B20" s="20"/>
      <c r="C20" s="5" t="s">
        <v>39</v>
      </c>
      <c r="D20" s="6" t="s">
        <v>34</v>
      </c>
      <c r="E20" s="11">
        <v>1.8044999999999999E-2</v>
      </c>
      <c r="F20" s="1"/>
      <c r="G20" s="1"/>
      <c r="H20" s="1"/>
      <c r="I20" s="1"/>
      <c r="J20" s="1"/>
      <c r="K20" s="1"/>
      <c r="L20" s="1"/>
      <c r="M20" s="1"/>
      <c r="N20" s="18"/>
    </row>
    <row r="21" spans="2:14" ht="15" customHeight="1" x14ac:dyDescent="0.25">
      <c r="B21" s="20"/>
      <c r="C21" s="5" t="s">
        <v>22</v>
      </c>
      <c r="D21" s="6" t="s">
        <v>34</v>
      </c>
      <c r="E21" s="11">
        <v>1.7944999999999999E-2</v>
      </c>
      <c r="F21" s="1"/>
      <c r="G21" s="1"/>
      <c r="H21" s="1"/>
      <c r="I21" s="1"/>
      <c r="J21" s="1"/>
      <c r="K21" s="1"/>
      <c r="L21" s="1"/>
      <c r="M21" s="1"/>
      <c r="N21" s="18"/>
    </row>
    <row r="22" spans="2:14" ht="15" customHeight="1" x14ac:dyDescent="0.25">
      <c r="B22" s="20"/>
      <c r="C22" s="5" t="s">
        <v>116</v>
      </c>
      <c r="D22" s="6" t="s">
        <v>34</v>
      </c>
      <c r="E22" s="11">
        <v>1.5278999999999999E-2</v>
      </c>
      <c r="F22" s="1"/>
      <c r="G22" s="1"/>
      <c r="H22" s="1"/>
      <c r="I22" s="1"/>
      <c r="J22" s="1"/>
      <c r="K22" s="1"/>
      <c r="L22" s="1"/>
      <c r="M22" s="1"/>
      <c r="N22" s="18"/>
    </row>
    <row r="23" spans="2:14" ht="15" customHeight="1" x14ac:dyDescent="0.25">
      <c r="B23" s="20"/>
      <c r="C23" s="5" t="s">
        <v>40</v>
      </c>
      <c r="D23" s="6" t="s">
        <v>34</v>
      </c>
      <c r="E23" s="11">
        <v>1.3998999999999999E-2</v>
      </c>
      <c r="F23" s="1"/>
      <c r="G23" s="1"/>
      <c r="H23" s="1"/>
      <c r="I23" s="1"/>
      <c r="J23" s="1"/>
      <c r="K23" s="1"/>
      <c r="L23" s="1"/>
      <c r="M23" s="1"/>
      <c r="N23" s="18"/>
    </row>
    <row r="24" spans="2:14" ht="15" customHeight="1" x14ac:dyDescent="0.25">
      <c r="B24" s="20"/>
      <c r="C24" s="5" t="s">
        <v>45</v>
      </c>
      <c r="D24" s="6" t="s">
        <v>34</v>
      </c>
      <c r="E24" s="11">
        <v>1.3442000000000001E-2</v>
      </c>
      <c r="F24" s="1"/>
      <c r="G24" s="44" t="s">
        <v>18</v>
      </c>
      <c r="H24" s="45"/>
      <c r="I24" s="45"/>
      <c r="J24" s="45"/>
      <c r="K24" s="45"/>
      <c r="L24" s="26">
        <v>1.99</v>
      </c>
      <c r="M24" s="27"/>
      <c r="N24" s="28"/>
    </row>
    <row r="25" spans="2:14" ht="15" customHeight="1" x14ac:dyDescent="0.25">
      <c r="B25" s="20"/>
      <c r="C25" s="5" t="s">
        <v>117</v>
      </c>
      <c r="D25" s="6" t="s">
        <v>34</v>
      </c>
      <c r="E25" s="11">
        <v>1.1455999999999999E-2</v>
      </c>
      <c r="F25" s="1"/>
      <c r="G25" s="1"/>
      <c r="H25" s="1"/>
      <c r="I25" s="1"/>
      <c r="J25" s="1"/>
      <c r="K25" s="1"/>
      <c r="L25" s="1"/>
      <c r="M25" s="1"/>
      <c r="N25" s="18"/>
    </row>
    <row r="26" spans="2:14" ht="15" customHeight="1" x14ac:dyDescent="0.25">
      <c r="B26" s="20"/>
      <c r="C26" s="5" t="s">
        <v>50</v>
      </c>
      <c r="D26" s="6" t="s">
        <v>34</v>
      </c>
      <c r="E26" s="11">
        <v>1.1153E-2</v>
      </c>
      <c r="F26" s="1"/>
      <c r="G26" s="44" t="s">
        <v>19</v>
      </c>
      <c r="H26" s="45"/>
      <c r="I26" s="45"/>
      <c r="J26" s="45"/>
      <c r="K26" s="45"/>
      <c r="L26" s="45"/>
      <c r="M26" s="45"/>
      <c r="N26" s="46"/>
    </row>
    <row r="27" spans="2:14" ht="15" customHeight="1" x14ac:dyDescent="0.25">
      <c r="B27" s="20"/>
      <c r="C27" s="5" t="s">
        <v>27</v>
      </c>
      <c r="D27" s="6" t="s">
        <v>34</v>
      </c>
      <c r="E27" s="11">
        <v>8.1890000000000001E-3</v>
      </c>
      <c r="F27" s="1"/>
      <c r="G27" s="1"/>
      <c r="H27" s="1"/>
      <c r="I27" s="1"/>
      <c r="J27" s="1"/>
      <c r="K27" s="1"/>
      <c r="L27" s="1"/>
      <c r="M27" s="1"/>
      <c r="N27" s="18"/>
    </row>
    <row r="28" spans="2:14" ht="15" customHeight="1" x14ac:dyDescent="0.25">
      <c r="B28" s="20"/>
      <c r="C28" s="5" t="s">
        <v>28</v>
      </c>
      <c r="D28" s="6" t="s">
        <v>34</v>
      </c>
      <c r="E28" s="11">
        <v>6.8079999999999998E-3</v>
      </c>
      <c r="F28" s="1"/>
      <c r="G28" s="1"/>
      <c r="H28" s="1"/>
      <c r="I28" s="1"/>
      <c r="J28" s="1"/>
      <c r="K28" s="1"/>
      <c r="L28" s="1"/>
      <c r="M28" s="1"/>
      <c r="N28" s="18"/>
    </row>
    <row r="29" spans="2:14" ht="15" customHeight="1" x14ac:dyDescent="0.25">
      <c r="B29" s="20"/>
      <c r="C29" s="5" t="s">
        <v>43</v>
      </c>
      <c r="D29" s="6" t="s">
        <v>34</v>
      </c>
      <c r="E29" s="11">
        <v>5.3730000000000002E-3</v>
      </c>
      <c r="F29" s="1"/>
      <c r="G29" s="1"/>
      <c r="H29" s="1"/>
      <c r="I29" s="1"/>
      <c r="J29" s="1"/>
      <c r="K29" s="1"/>
      <c r="L29" s="1"/>
      <c r="M29" s="1"/>
      <c r="N29" s="18"/>
    </row>
    <row r="30" spans="2:14" ht="15" customHeight="1" x14ac:dyDescent="0.25">
      <c r="B30" s="20"/>
      <c r="C30" s="5" t="s">
        <v>42</v>
      </c>
      <c r="D30" s="6" t="s">
        <v>34</v>
      </c>
      <c r="E30" s="11">
        <v>4.8939999999999999E-3</v>
      </c>
      <c r="F30" s="1"/>
      <c r="G30" s="1"/>
      <c r="H30" s="1"/>
      <c r="I30" s="1"/>
      <c r="J30" s="1"/>
      <c r="K30" s="1"/>
      <c r="L30" s="1"/>
      <c r="M30" s="1"/>
      <c r="N30" s="18"/>
    </row>
    <row r="31" spans="2:14" ht="15" customHeight="1" x14ac:dyDescent="0.25">
      <c r="B31" s="20"/>
      <c r="C31" s="5" t="s">
        <v>49</v>
      </c>
      <c r="D31" s="6" t="s">
        <v>34</v>
      </c>
      <c r="E31" s="11">
        <v>1.717E-3</v>
      </c>
      <c r="F31" s="1"/>
      <c r="G31" s="1"/>
      <c r="H31" s="1"/>
      <c r="I31" s="1"/>
      <c r="J31" s="1"/>
      <c r="K31" s="1"/>
      <c r="L31" s="1"/>
      <c r="M31" s="1"/>
      <c r="N31" s="18"/>
    </row>
    <row r="32" spans="2:14" ht="15" customHeight="1" x14ac:dyDescent="0.25">
      <c r="B32" s="20"/>
      <c r="C32" s="5" t="s">
        <v>104</v>
      </c>
      <c r="D32" s="6" t="s">
        <v>34</v>
      </c>
      <c r="E32" s="11">
        <v>1.4109999999999999E-3</v>
      </c>
      <c r="F32" s="1"/>
      <c r="G32" s="1"/>
      <c r="H32" s="1"/>
      <c r="I32" s="1"/>
      <c r="J32" s="1"/>
      <c r="K32" s="1"/>
      <c r="L32" s="1"/>
      <c r="M32" s="1"/>
      <c r="N32" s="18"/>
    </row>
    <row r="33" spans="2:14" ht="15.75" customHeight="1" x14ac:dyDescent="0.25">
      <c r="B33" s="20"/>
      <c r="C33" s="7" t="s">
        <v>53</v>
      </c>
      <c r="D33" s="8"/>
      <c r="E33" s="12">
        <v>0.73965700000000001</v>
      </c>
      <c r="F33" s="1"/>
      <c r="G33" s="1"/>
      <c r="H33" s="1"/>
      <c r="I33" s="1"/>
      <c r="J33" s="1"/>
      <c r="K33" s="1"/>
      <c r="L33" s="1"/>
      <c r="M33" s="1"/>
      <c r="N33" s="18"/>
    </row>
    <row r="34" spans="2:14" ht="15" customHeight="1" x14ac:dyDescent="0.25">
      <c r="B34" s="20"/>
      <c r="C34" s="5" t="s">
        <v>118</v>
      </c>
      <c r="D34" s="6" t="s">
        <v>57</v>
      </c>
      <c r="E34" s="11">
        <v>0.16356799999999999</v>
      </c>
      <c r="F34" s="1"/>
      <c r="G34" s="1"/>
      <c r="H34" s="1"/>
      <c r="I34" s="1"/>
      <c r="J34" s="1"/>
      <c r="K34" s="1"/>
      <c r="L34" s="1"/>
      <c r="M34" s="1"/>
      <c r="N34" s="18"/>
    </row>
    <row r="35" spans="2:14" ht="15" customHeight="1" x14ac:dyDescent="0.25">
      <c r="B35" s="20"/>
      <c r="C35" s="5" t="s">
        <v>58</v>
      </c>
      <c r="D35" s="6" t="s">
        <v>57</v>
      </c>
      <c r="E35" s="11">
        <v>6.7409999999999996E-3</v>
      </c>
      <c r="F35" s="1"/>
      <c r="G35" s="1"/>
      <c r="H35" s="1"/>
      <c r="I35" s="1"/>
      <c r="J35" s="1"/>
      <c r="K35" s="1"/>
      <c r="L35" s="1"/>
      <c r="M35" s="1"/>
      <c r="N35" s="18"/>
    </row>
    <row r="36" spans="2:14" ht="15" customHeight="1" x14ac:dyDescent="0.25">
      <c r="B36" s="20"/>
      <c r="C36" s="5" t="s">
        <v>61</v>
      </c>
      <c r="D36" s="6" t="s">
        <v>57</v>
      </c>
      <c r="E36" s="11">
        <v>2.9399999999999999E-4</v>
      </c>
      <c r="F36" s="1"/>
      <c r="G36" s="1"/>
      <c r="H36" s="1"/>
      <c r="I36" s="1"/>
      <c r="J36" s="1"/>
      <c r="K36" s="1"/>
      <c r="L36" s="1"/>
      <c r="M36" s="1"/>
      <c r="N36" s="18"/>
    </row>
    <row r="37" spans="2:14" ht="15.75" customHeight="1" x14ac:dyDescent="0.25">
      <c r="B37" s="20"/>
      <c r="C37" s="7" t="s">
        <v>63</v>
      </c>
      <c r="D37" s="8"/>
      <c r="E37" s="12">
        <v>0.170603</v>
      </c>
      <c r="F37" s="1"/>
      <c r="G37" s="1"/>
      <c r="H37" s="1"/>
      <c r="I37" s="1"/>
      <c r="J37" s="1"/>
      <c r="K37" s="1"/>
      <c r="L37" s="1"/>
      <c r="M37" s="1"/>
      <c r="N37" s="18"/>
    </row>
    <row r="38" spans="2:14" ht="15" customHeight="1" x14ac:dyDescent="0.25">
      <c r="B38" s="20"/>
      <c r="C38" s="5" t="s">
        <v>192</v>
      </c>
      <c r="D38" s="6" t="s">
        <v>57</v>
      </c>
      <c r="E38" s="11">
        <v>3.79E-3</v>
      </c>
      <c r="F38" s="1"/>
      <c r="G38" s="1"/>
      <c r="H38" s="1"/>
      <c r="I38" s="1"/>
      <c r="J38" s="1"/>
      <c r="K38" s="1"/>
      <c r="L38" s="1"/>
      <c r="M38" s="1"/>
      <c r="N38" s="18"/>
    </row>
    <row r="39" spans="2:14" ht="15.75" customHeight="1" x14ac:dyDescent="0.25">
      <c r="B39" s="20"/>
      <c r="C39" s="5" t="s">
        <v>211</v>
      </c>
      <c r="D39" s="6" t="s">
        <v>57</v>
      </c>
      <c r="E39" s="11">
        <v>8.3569999999999998E-3</v>
      </c>
      <c r="F39" s="1"/>
      <c r="G39" s="1"/>
      <c r="H39" s="1"/>
      <c r="I39" s="1"/>
      <c r="J39" s="1"/>
      <c r="K39" s="1"/>
      <c r="L39" s="1"/>
      <c r="M39" s="1"/>
      <c r="N39" s="18"/>
    </row>
    <row r="40" spans="2:14" ht="15" customHeight="1" x14ac:dyDescent="0.25">
      <c r="B40" s="20"/>
      <c r="C40" s="5" t="s">
        <v>223</v>
      </c>
      <c r="D40" s="6" t="s">
        <v>57</v>
      </c>
      <c r="E40" s="11">
        <v>4.0260000000000001E-3</v>
      </c>
      <c r="F40" s="1"/>
      <c r="G40" s="1"/>
      <c r="H40" s="1"/>
      <c r="I40" s="1"/>
      <c r="J40" s="1"/>
      <c r="K40" s="1"/>
      <c r="L40" s="1"/>
      <c r="M40" s="1"/>
      <c r="N40" s="18"/>
    </row>
    <row r="41" spans="2:14" ht="15.75" customHeight="1" x14ac:dyDescent="0.25">
      <c r="B41" s="20"/>
      <c r="C41" s="5" t="s">
        <v>221</v>
      </c>
      <c r="D41" s="6" t="s">
        <v>57</v>
      </c>
      <c r="E41" s="11">
        <v>3.0010000000000002E-3</v>
      </c>
      <c r="F41" s="1"/>
      <c r="G41" s="1"/>
      <c r="H41" s="1"/>
      <c r="I41" s="1"/>
      <c r="J41" s="1"/>
      <c r="K41" s="1"/>
      <c r="L41" s="1"/>
      <c r="M41" s="1"/>
      <c r="N41" s="18"/>
    </row>
    <row r="42" spans="2:14" ht="15" customHeight="1" x14ac:dyDescent="0.25">
      <c r="B42" s="20"/>
      <c r="C42" s="5" t="s">
        <v>198</v>
      </c>
      <c r="D42" s="6" t="s">
        <v>57</v>
      </c>
      <c r="E42" s="11">
        <v>2.9849999999999998E-3</v>
      </c>
      <c r="F42" s="1"/>
      <c r="G42" s="1"/>
      <c r="H42" s="1"/>
      <c r="I42" s="1"/>
      <c r="J42" s="1"/>
      <c r="K42" s="1"/>
      <c r="L42" s="1"/>
      <c r="M42" s="1"/>
      <c r="N42" s="18"/>
    </row>
    <row r="43" spans="2:14" ht="15.75" customHeight="1" x14ac:dyDescent="0.25">
      <c r="B43" s="20"/>
      <c r="C43" s="5" t="s">
        <v>227</v>
      </c>
      <c r="D43" s="6" t="s">
        <v>57</v>
      </c>
      <c r="E43" s="11">
        <v>2.8089999999999999E-3</v>
      </c>
      <c r="F43" s="1"/>
      <c r="G43" s="1"/>
      <c r="H43" s="1"/>
      <c r="I43" s="1"/>
      <c r="J43" s="1"/>
      <c r="K43" s="1"/>
      <c r="L43" s="1"/>
      <c r="M43" s="1"/>
      <c r="N43" s="18"/>
    </row>
    <row r="44" spans="2:14" ht="15" customHeight="1" x14ac:dyDescent="0.25">
      <c r="B44" s="20"/>
      <c r="C44" s="5" t="s">
        <v>224</v>
      </c>
      <c r="D44" s="6" t="s">
        <v>57</v>
      </c>
      <c r="E44" s="11">
        <v>2.4060000000000002E-3</v>
      </c>
      <c r="F44" s="1"/>
      <c r="G44" s="1"/>
      <c r="H44" s="1"/>
      <c r="I44" s="1"/>
      <c r="J44" s="1"/>
      <c r="K44" s="1"/>
      <c r="L44" s="1"/>
      <c r="M44" s="1"/>
      <c r="N44" s="18"/>
    </row>
    <row r="45" spans="2:14" ht="15.75" customHeight="1" x14ac:dyDescent="0.25">
      <c r="B45" s="20"/>
      <c r="C45" s="5" t="s">
        <v>217</v>
      </c>
      <c r="D45" s="6" t="s">
        <v>57</v>
      </c>
      <c r="E45" s="11">
        <v>2.1180000000000001E-3</v>
      </c>
      <c r="F45" s="1"/>
      <c r="G45" s="1"/>
      <c r="H45" s="1"/>
      <c r="I45" s="1"/>
      <c r="J45" s="1"/>
      <c r="K45" s="1"/>
      <c r="L45" s="1"/>
      <c r="M45" s="1"/>
      <c r="N45" s="18"/>
    </row>
    <row r="46" spans="2:14" ht="15" customHeight="1" x14ac:dyDescent="0.25">
      <c r="B46" s="20"/>
      <c r="C46" s="5" t="s">
        <v>213</v>
      </c>
      <c r="D46" s="6" t="s">
        <v>57</v>
      </c>
      <c r="E46" s="11">
        <v>2.1120000000000002E-3</v>
      </c>
      <c r="F46" s="1"/>
      <c r="G46" s="1"/>
      <c r="H46" s="1"/>
      <c r="I46" s="1"/>
      <c r="J46" s="1"/>
      <c r="K46" s="1"/>
      <c r="L46" s="1"/>
      <c r="M46" s="1"/>
      <c r="N46" s="18"/>
    </row>
    <row r="47" spans="2:14" ht="15" customHeight="1" x14ac:dyDescent="0.25">
      <c r="B47" s="20"/>
      <c r="C47" s="5" t="s">
        <v>214</v>
      </c>
      <c r="D47" s="6" t="s">
        <v>57</v>
      </c>
      <c r="E47" s="11">
        <v>1.812E-3</v>
      </c>
      <c r="F47" s="1"/>
      <c r="G47" s="1"/>
      <c r="H47" s="1"/>
      <c r="I47" s="1"/>
      <c r="J47" s="1"/>
      <c r="K47" s="1"/>
      <c r="L47" s="1"/>
      <c r="M47" s="1"/>
      <c r="N47" s="18"/>
    </row>
    <row r="48" spans="2:14" ht="15" customHeight="1" x14ac:dyDescent="0.25">
      <c r="B48" s="20"/>
      <c r="C48" s="5" t="s">
        <v>215</v>
      </c>
      <c r="D48" s="6" t="s">
        <v>57</v>
      </c>
      <c r="E48" s="11">
        <v>1.5169999999999999E-3</v>
      </c>
      <c r="F48" s="1"/>
      <c r="G48" s="1"/>
      <c r="H48" s="1"/>
      <c r="I48" s="1"/>
      <c r="J48" s="1"/>
      <c r="K48" s="1"/>
      <c r="L48" s="1"/>
      <c r="M48" s="1"/>
      <c r="N48" s="18"/>
    </row>
    <row r="49" spans="2:14" ht="15" customHeight="1" x14ac:dyDescent="0.25">
      <c r="B49" s="20"/>
      <c r="C49" s="5" t="s">
        <v>220</v>
      </c>
      <c r="D49" s="6" t="s">
        <v>57</v>
      </c>
      <c r="E49" s="11">
        <v>1.505E-3</v>
      </c>
      <c r="F49" s="1"/>
      <c r="G49" s="1"/>
      <c r="H49" s="1"/>
      <c r="I49" s="1"/>
      <c r="J49" s="1"/>
      <c r="K49" s="1"/>
      <c r="L49" s="1"/>
      <c r="M49" s="1"/>
      <c r="N49" s="18"/>
    </row>
    <row r="50" spans="2:14" ht="15" customHeight="1" x14ac:dyDescent="0.25">
      <c r="B50" s="20"/>
      <c r="C50" s="5" t="s">
        <v>226</v>
      </c>
      <c r="D50" s="6" t="s">
        <v>57</v>
      </c>
      <c r="E50" s="11">
        <v>1.408E-3</v>
      </c>
      <c r="F50" s="1"/>
      <c r="G50" s="1"/>
      <c r="H50" s="1"/>
      <c r="I50" s="1"/>
      <c r="J50" s="1"/>
      <c r="K50" s="1"/>
      <c r="L50" s="1"/>
      <c r="M50" s="1"/>
      <c r="N50" s="18"/>
    </row>
    <row r="51" spans="2:14" ht="15" customHeight="1" x14ac:dyDescent="0.25">
      <c r="B51" s="20"/>
      <c r="C51" s="5" t="s">
        <v>222</v>
      </c>
      <c r="D51" s="6" t="s">
        <v>57</v>
      </c>
      <c r="E51" s="11">
        <v>1.2099999999999999E-3</v>
      </c>
      <c r="F51" s="1"/>
      <c r="G51" s="1"/>
      <c r="H51" s="1"/>
      <c r="I51" s="1"/>
      <c r="J51" s="1"/>
      <c r="K51" s="1"/>
      <c r="L51" s="1"/>
      <c r="M51" s="1"/>
      <c r="N51" s="18"/>
    </row>
    <row r="52" spans="2:14" ht="15" customHeight="1" x14ac:dyDescent="0.25">
      <c r="B52" s="20"/>
      <c r="C52" s="5" t="s">
        <v>210</v>
      </c>
      <c r="D52" s="6" t="s">
        <v>57</v>
      </c>
      <c r="E52" s="11">
        <v>8.9599999999999999E-4</v>
      </c>
      <c r="F52" s="1"/>
      <c r="G52" s="1"/>
      <c r="H52" s="1"/>
      <c r="I52" s="1"/>
      <c r="J52" s="1"/>
      <c r="K52" s="1"/>
      <c r="L52" s="1"/>
      <c r="M52" s="1"/>
      <c r="N52" s="18"/>
    </row>
    <row r="53" spans="2:14" ht="15" customHeight="1" x14ac:dyDescent="0.25">
      <c r="B53" s="20"/>
      <c r="C53" s="5" t="s">
        <v>216</v>
      </c>
      <c r="D53" s="6" t="s">
        <v>57</v>
      </c>
      <c r="E53" s="11">
        <v>6.0700000000000001E-4</v>
      </c>
      <c r="F53" s="1"/>
      <c r="G53" s="1"/>
      <c r="H53" s="1"/>
      <c r="I53" s="1"/>
      <c r="J53" s="1"/>
      <c r="K53" s="1"/>
      <c r="L53" s="1"/>
      <c r="M53" s="1"/>
      <c r="N53" s="18"/>
    </row>
    <row r="54" spans="2:14" ht="15" customHeight="1" x14ac:dyDescent="0.25">
      <c r="B54" s="20"/>
      <c r="C54" s="5" t="s">
        <v>219</v>
      </c>
      <c r="D54" s="6" t="s">
        <v>57</v>
      </c>
      <c r="E54" s="11">
        <v>5.9900000000000003E-4</v>
      </c>
      <c r="F54" s="1"/>
      <c r="G54" s="1"/>
      <c r="H54" s="1"/>
      <c r="I54" s="1"/>
      <c r="J54" s="1"/>
      <c r="K54" s="1"/>
      <c r="L54" s="1"/>
      <c r="M54" s="1"/>
      <c r="N54" s="18"/>
    </row>
    <row r="55" spans="2:14" ht="15" customHeight="1" x14ac:dyDescent="0.25">
      <c r="B55" s="20"/>
      <c r="C55" s="5" t="s">
        <v>212</v>
      </c>
      <c r="D55" s="6" t="s">
        <v>57</v>
      </c>
      <c r="E55" s="11">
        <v>3.01E-4</v>
      </c>
      <c r="F55" s="1"/>
      <c r="G55" s="1"/>
      <c r="H55" s="1"/>
      <c r="I55" s="1"/>
      <c r="J55" s="1"/>
      <c r="K55" s="1"/>
      <c r="L55" s="1"/>
      <c r="M55" s="1"/>
      <c r="N55" s="18"/>
    </row>
    <row r="56" spans="2:14" ht="15" customHeight="1" x14ac:dyDescent="0.25">
      <c r="B56" s="20"/>
      <c r="C56" s="5" t="s">
        <v>218</v>
      </c>
      <c r="D56" s="6" t="s">
        <v>57</v>
      </c>
      <c r="E56" s="11">
        <v>3.01E-4</v>
      </c>
      <c r="F56" s="1"/>
      <c r="G56" s="1"/>
      <c r="H56" s="1"/>
      <c r="I56" s="1"/>
      <c r="J56" s="1"/>
      <c r="K56" s="1"/>
      <c r="L56" s="1"/>
      <c r="M56" s="1"/>
      <c r="N56" s="18"/>
    </row>
    <row r="57" spans="2:14" ht="15" customHeight="1" x14ac:dyDescent="0.25">
      <c r="B57" s="20"/>
      <c r="C57" s="5" t="s">
        <v>225</v>
      </c>
      <c r="D57" s="6" t="s">
        <v>57</v>
      </c>
      <c r="E57" s="11">
        <v>1.3999999999999999E-4</v>
      </c>
      <c r="F57" s="1"/>
      <c r="G57" s="1"/>
      <c r="H57" s="1"/>
      <c r="I57" s="1"/>
      <c r="J57" s="1"/>
      <c r="K57" s="1"/>
      <c r="L57" s="1"/>
      <c r="M57" s="1"/>
      <c r="N57" s="18"/>
    </row>
    <row r="58" spans="2:14" ht="15" customHeight="1" x14ac:dyDescent="0.25">
      <c r="B58" s="20"/>
      <c r="C58" s="5" t="s">
        <v>228</v>
      </c>
      <c r="D58" s="6" t="s">
        <v>57</v>
      </c>
      <c r="E58" s="30">
        <v>4.8999999999999998E-5</v>
      </c>
      <c r="F58" s="1"/>
      <c r="G58" s="1"/>
      <c r="H58" s="1"/>
      <c r="I58" s="1"/>
      <c r="J58" s="1"/>
      <c r="K58" s="1"/>
      <c r="L58" s="1"/>
      <c r="M58" s="1"/>
      <c r="N58" s="18"/>
    </row>
    <row r="59" spans="2:14" ht="15" customHeight="1" x14ac:dyDescent="0.25">
      <c r="B59" s="20"/>
      <c r="C59" s="7" t="s">
        <v>64</v>
      </c>
      <c r="D59" s="8"/>
      <c r="E59" s="12">
        <v>4.1949E-2</v>
      </c>
      <c r="F59" s="1"/>
      <c r="G59" s="1"/>
      <c r="H59" s="1"/>
      <c r="I59" s="1"/>
      <c r="J59" s="1"/>
      <c r="K59" s="1"/>
      <c r="L59" s="1"/>
      <c r="M59" s="1"/>
      <c r="N59" s="18"/>
    </row>
    <row r="60" spans="2:14" ht="15" customHeight="1" x14ac:dyDescent="0.25">
      <c r="B60" s="20"/>
      <c r="C60" s="5" t="s">
        <v>9</v>
      </c>
      <c r="D60" s="6"/>
      <c r="E60" s="11">
        <v>6.8519999999999996E-3</v>
      </c>
      <c r="F60" s="1"/>
      <c r="G60" s="1"/>
      <c r="H60" s="1"/>
      <c r="I60" s="1"/>
      <c r="J60" s="1"/>
      <c r="K60" s="1"/>
      <c r="L60" s="1"/>
      <c r="M60" s="1"/>
      <c r="N60" s="18"/>
    </row>
    <row r="61" spans="2:14" ht="15" customHeight="1" x14ac:dyDescent="0.25">
      <c r="B61" s="20"/>
      <c r="C61" s="7" t="s">
        <v>10</v>
      </c>
      <c r="D61" s="8"/>
      <c r="E61" s="12">
        <v>6.8519999999999996E-3</v>
      </c>
      <c r="F61" s="1"/>
      <c r="G61" s="1"/>
      <c r="H61" s="1"/>
      <c r="I61" s="1"/>
      <c r="J61" s="1"/>
      <c r="K61" s="1"/>
      <c r="L61" s="1"/>
      <c r="M61" s="1"/>
      <c r="N61" s="18"/>
    </row>
    <row r="62" spans="2:14" ht="15" customHeight="1" x14ac:dyDescent="0.25">
      <c r="B62" s="20"/>
      <c r="C62" s="5" t="s">
        <v>37</v>
      </c>
      <c r="D62" s="6" t="s">
        <v>34</v>
      </c>
      <c r="E62" s="11">
        <v>1.0900000000000001E-4</v>
      </c>
      <c r="F62" s="1"/>
      <c r="G62" s="1"/>
      <c r="H62" s="1"/>
      <c r="I62" s="1"/>
      <c r="J62" s="1"/>
      <c r="K62" s="1"/>
      <c r="L62" s="1"/>
      <c r="M62" s="1"/>
      <c r="N62" s="18"/>
    </row>
    <row r="63" spans="2:14" ht="15" customHeight="1" x14ac:dyDescent="0.25">
      <c r="B63" s="20"/>
      <c r="C63" s="7" t="s">
        <v>68</v>
      </c>
      <c r="D63" s="8"/>
      <c r="E63" s="12">
        <v>1.0900000000000001E-4</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7" t="s">
        <v>11</v>
      </c>
      <c r="D65" s="8"/>
      <c r="E65" s="12">
        <v>2.7092000000000001E-2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 customHeight="1" x14ac:dyDescent="0.25">
      <c r="B67" s="20"/>
      <c r="C67" s="9" t="s">
        <v>12</v>
      </c>
      <c r="D67" s="10"/>
      <c r="E67" s="13">
        <v>1</v>
      </c>
      <c r="F67" s="1"/>
      <c r="G67" s="1"/>
      <c r="H67" s="1"/>
      <c r="I67" s="1"/>
      <c r="J67" s="1"/>
      <c r="K67" s="1"/>
      <c r="L67" s="1"/>
      <c r="M67" s="1"/>
      <c r="N67" s="18"/>
    </row>
    <row r="68" spans="2:14" ht="15" customHeight="1" x14ac:dyDescent="0.25">
      <c r="B68" s="20"/>
      <c r="C68" s="1"/>
      <c r="D68" s="1"/>
      <c r="E68" s="1"/>
      <c r="F68" s="1"/>
      <c r="G68" s="1"/>
      <c r="H68" s="1"/>
      <c r="I68" s="1"/>
      <c r="J68" s="1"/>
      <c r="K68" s="1"/>
      <c r="L68" s="1"/>
      <c r="M68" s="1"/>
      <c r="N68" s="18"/>
    </row>
    <row r="69" spans="2:14" ht="15" customHeight="1" thickBot="1" x14ac:dyDescent="0.3">
      <c r="B69" s="21"/>
      <c r="C69" s="22"/>
      <c r="D69" s="22"/>
      <c r="E69" s="22"/>
      <c r="F69" s="22"/>
      <c r="G69" s="22"/>
      <c r="H69" s="22"/>
      <c r="I69" s="22"/>
      <c r="J69" s="22"/>
      <c r="K69" s="22"/>
      <c r="L69" s="22"/>
      <c r="M69" s="22"/>
      <c r="N69" s="23"/>
    </row>
    <row r="70" spans="2:14" ht="15" customHeight="1" thickBot="1" x14ac:dyDescent="0.3"/>
    <row r="71" spans="2:14" ht="118.5" customHeight="1" thickBot="1" x14ac:dyDescent="0.3">
      <c r="B71" s="36" t="s">
        <v>230</v>
      </c>
      <c r="C71" s="37"/>
      <c r="D71" s="37"/>
      <c r="E71" s="37"/>
      <c r="F71" s="37"/>
      <c r="G71" s="37"/>
      <c r="H71" s="37"/>
      <c r="I71" s="37"/>
      <c r="J71" s="37"/>
      <c r="K71" s="37"/>
      <c r="L71" s="37"/>
      <c r="M71" s="37"/>
      <c r="N71" s="38"/>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sortState ref="C39:E58">
    <sortCondition descending="1" ref="E38"/>
  </sortState>
  <mergeCells count="6">
    <mergeCell ref="B71:N71"/>
    <mergeCell ref="C3:N3"/>
    <mergeCell ref="D5:E5"/>
    <mergeCell ref="G7:N7"/>
    <mergeCell ref="G24:K24"/>
    <mergeCell ref="G26:N26"/>
  </mergeCells>
  <pageMargins left="0.7" right="0.7" top="0.75" bottom="0.75" header="0.3" footer="0.3"/>
  <pageSetup scale="42"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D8878-F30D-4A79-874D-6FD298FED07B}">
  <dimension ref="B1:N56"/>
  <sheetViews>
    <sheetView showGridLines="0" view="pageBreakPreview" topLeftCell="A34"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137</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138</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5.9215999999999998E-2</v>
      </c>
      <c r="F8" s="1"/>
      <c r="G8" s="24" t="s">
        <v>16</v>
      </c>
      <c r="H8" s="29">
        <f>102.981%-E36</f>
        <v>0.90929399999999994</v>
      </c>
      <c r="I8" s="1"/>
      <c r="J8" s="24" t="s">
        <v>13</v>
      </c>
      <c r="K8" s="24" t="s">
        <v>5</v>
      </c>
      <c r="L8" s="1"/>
      <c r="M8" s="1"/>
      <c r="N8" s="18"/>
    </row>
    <row r="9" spans="2:14" ht="15" customHeight="1" x14ac:dyDescent="0.25">
      <c r="B9" s="20"/>
      <c r="C9" s="5" t="s">
        <v>25</v>
      </c>
      <c r="D9" s="6" t="s">
        <v>23</v>
      </c>
      <c r="E9" s="11">
        <v>4.7592000000000002E-2</v>
      </c>
      <c r="F9" s="1"/>
      <c r="G9" s="24" t="s">
        <v>131</v>
      </c>
      <c r="H9" s="29">
        <v>9.0702000000000005E-2</v>
      </c>
      <c r="I9" s="1"/>
      <c r="J9" s="24" t="s">
        <v>11</v>
      </c>
      <c r="K9" s="29">
        <v>4.6299999999999996E-3</v>
      </c>
      <c r="L9" s="1"/>
      <c r="M9" s="1"/>
      <c r="N9" s="18"/>
    </row>
    <row r="10" spans="2:14" ht="15.75" customHeight="1" x14ac:dyDescent="0.25">
      <c r="B10" s="20"/>
      <c r="C10" s="7" t="s">
        <v>30</v>
      </c>
      <c r="D10" s="8"/>
      <c r="E10" s="12">
        <v>0.106808</v>
      </c>
      <c r="F10" s="1"/>
      <c r="G10" s="1"/>
      <c r="H10" s="1"/>
      <c r="I10" s="1"/>
      <c r="J10" s="24" t="s">
        <v>14</v>
      </c>
      <c r="K10" s="29">
        <v>0.132988</v>
      </c>
      <c r="L10" s="1"/>
      <c r="M10" s="1"/>
      <c r="N10" s="18"/>
    </row>
    <row r="11" spans="2:14" ht="15" customHeight="1" x14ac:dyDescent="0.25">
      <c r="B11" s="20"/>
      <c r="C11" s="5" t="s">
        <v>99</v>
      </c>
      <c r="D11" s="6" t="s">
        <v>23</v>
      </c>
      <c r="E11" s="11">
        <v>3.0114999999999999E-2</v>
      </c>
      <c r="F11" s="1"/>
      <c r="G11" s="1"/>
      <c r="H11" s="1"/>
      <c r="I11" s="1"/>
      <c r="J11" s="24" t="s">
        <v>69</v>
      </c>
      <c r="K11" s="29">
        <v>0.106808</v>
      </c>
      <c r="L11" s="1"/>
      <c r="M11" s="1"/>
      <c r="N11" s="18"/>
    </row>
    <row r="12" spans="2:14" ht="15" customHeight="1" x14ac:dyDescent="0.25">
      <c r="B12" s="20"/>
      <c r="C12" s="5" t="s">
        <v>92</v>
      </c>
      <c r="D12" s="6" t="s">
        <v>23</v>
      </c>
      <c r="E12" s="11">
        <v>3.0093999999999999E-2</v>
      </c>
      <c r="F12" s="1"/>
      <c r="G12" s="1"/>
      <c r="H12" s="1"/>
      <c r="I12" s="1"/>
      <c r="J12" s="24" t="s">
        <v>70</v>
      </c>
      <c r="K12" s="29">
        <v>0.52779399999999999</v>
      </c>
      <c r="L12" s="1"/>
      <c r="M12" s="1"/>
      <c r="N12" s="18"/>
    </row>
    <row r="13" spans="2:14" ht="15.75" customHeight="1" x14ac:dyDescent="0.25">
      <c r="B13" s="20"/>
      <c r="C13" s="7" t="s">
        <v>32</v>
      </c>
      <c r="D13" s="8"/>
      <c r="E13" s="12">
        <v>6.0208999999999999E-2</v>
      </c>
      <c r="F13" s="1"/>
      <c r="G13" s="1"/>
      <c r="H13" s="1"/>
      <c r="I13" s="1"/>
      <c r="J13" s="24" t="s">
        <v>71</v>
      </c>
      <c r="K13" s="29">
        <v>6.0208999999999999E-2</v>
      </c>
      <c r="L13" s="1"/>
      <c r="M13" s="1"/>
      <c r="N13" s="18"/>
    </row>
    <row r="14" spans="2:14" ht="15" customHeight="1" x14ac:dyDescent="0.25">
      <c r="B14" s="20"/>
      <c r="C14" s="5" t="s">
        <v>31</v>
      </c>
      <c r="D14" s="6" t="s">
        <v>34</v>
      </c>
      <c r="E14" s="11">
        <v>0.103059</v>
      </c>
      <c r="F14" s="1"/>
      <c r="G14" s="1"/>
      <c r="H14" s="1"/>
      <c r="I14" s="1"/>
      <c r="J14" s="24" t="s">
        <v>72</v>
      </c>
      <c r="K14" s="29">
        <v>8.4339999999999998E-2</v>
      </c>
      <c r="L14" s="1"/>
      <c r="M14" s="1"/>
      <c r="N14" s="18"/>
    </row>
    <row r="15" spans="2:14" ht="15" customHeight="1" x14ac:dyDescent="0.25">
      <c r="B15" s="20"/>
      <c r="C15" s="5" t="s">
        <v>36</v>
      </c>
      <c r="D15" s="6" t="s">
        <v>34</v>
      </c>
      <c r="E15" s="11">
        <v>9.7631999999999997E-2</v>
      </c>
      <c r="F15" s="1"/>
      <c r="G15" s="1"/>
      <c r="H15" s="1"/>
      <c r="I15" s="1"/>
      <c r="J15" s="24" t="s">
        <v>73</v>
      </c>
      <c r="K15" s="29">
        <v>8.3224999999999993E-2</v>
      </c>
      <c r="L15" s="1"/>
      <c r="M15" s="1"/>
      <c r="N15" s="18"/>
    </row>
    <row r="16" spans="2:14" ht="15" customHeight="1" x14ac:dyDescent="0.25">
      <c r="B16" s="20"/>
      <c r="C16" s="5" t="s">
        <v>33</v>
      </c>
      <c r="D16" s="6" t="s">
        <v>34</v>
      </c>
      <c r="E16" s="11">
        <v>9.6457000000000001E-2</v>
      </c>
      <c r="F16" s="1"/>
      <c r="G16" s="1"/>
      <c r="H16" s="1"/>
      <c r="I16" s="1"/>
      <c r="J16" s="24"/>
      <c r="K16" s="29"/>
      <c r="L16" s="1"/>
      <c r="M16" s="1"/>
      <c r="N16" s="18"/>
    </row>
    <row r="17" spans="2:14" ht="15" customHeight="1" x14ac:dyDescent="0.25">
      <c r="B17" s="20"/>
      <c r="C17" s="5" t="s">
        <v>126</v>
      </c>
      <c r="D17" s="6" t="s">
        <v>123</v>
      </c>
      <c r="E17" s="11">
        <v>6.0553000000000003E-2</v>
      </c>
      <c r="F17" s="1"/>
      <c r="G17" s="1"/>
      <c r="H17" s="1"/>
      <c r="I17" s="1"/>
      <c r="J17" s="1"/>
      <c r="K17" s="1"/>
      <c r="L17" s="1"/>
      <c r="M17" s="1"/>
      <c r="N17" s="18"/>
    </row>
    <row r="18" spans="2:14" ht="15" customHeight="1" x14ac:dyDescent="0.25">
      <c r="B18" s="20"/>
      <c r="C18" s="5" t="s">
        <v>124</v>
      </c>
      <c r="D18" s="6" t="s">
        <v>34</v>
      </c>
      <c r="E18" s="11">
        <v>5.9449000000000002E-2</v>
      </c>
      <c r="F18" s="1"/>
      <c r="G18" s="1"/>
      <c r="H18" s="1"/>
      <c r="I18" s="1"/>
      <c r="J18" s="1"/>
      <c r="K18" s="1"/>
      <c r="L18" s="1"/>
      <c r="M18" s="1"/>
      <c r="N18" s="18"/>
    </row>
    <row r="19" spans="2:14" ht="15" customHeight="1" x14ac:dyDescent="0.25">
      <c r="B19" s="20"/>
      <c r="C19" s="5" t="s">
        <v>139</v>
      </c>
      <c r="D19" s="6" t="s">
        <v>34</v>
      </c>
      <c r="E19" s="11">
        <v>3.7157999999999997E-2</v>
      </c>
      <c r="F19" s="1"/>
      <c r="G19" s="1"/>
      <c r="H19" s="1"/>
      <c r="I19" s="1"/>
      <c r="J19" s="1"/>
      <c r="K19" s="1"/>
      <c r="L19" s="1"/>
      <c r="M19" s="1"/>
      <c r="N19" s="18"/>
    </row>
    <row r="20" spans="2:14" ht="15" customHeight="1" x14ac:dyDescent="0.25">
      <c r="B20" s="20"/>
      <c r="C20" s="5" t="s">
        <v>122</v>
      </c>
      <c r="D20" s="6" t="s">
        <v>123</v>
      </c>
      <c r="E20" s="11">
        <v>3.0148999999999999E-2</v>
      </c>
      <c r="F20" s="1"/>
      <c r="G20" s="1"/>
      <c r="H20" s="1"/>
      <c r="I20" s="1"/>
      <c r="J20" s="1"/>
      <c r="K20" s="1"/>
      <c r="L20" s="1"/>
      <c r="M20" s="1"/>
      <c r="N20" s="18"/>
    </row>
    <row r="21" spans="2:14" ht="15" customHeight="1" x14ac:dyDescent="0.25">
      <c r="B21" s="20"/>
      <c r="C21" s="5" t="s">
        <v>140</v>
      </c>
      <c r="D21" s="6" t="s">
        <v>34</v>
      </c>
      <c r="E21" s="11">
        <v>2.4986000000000001E-2</v>
      </c>
      <c r="F21" s="1"/>
      <c r="G21" s="1"/>
      <c r="H21" s="1"/>
      <c r="I21" s="1"/>
      <c r="J21" s="1"/>
      <c r="K21" s="1"/>
      <c r="L21" s="1"/>
      <c r="M21" s="1"/>
      <c r="N21" s="18"/>
    </row>
    <row r="22" spans="2:14" ht="15" customHeight="1" x14ac:dyDescent="0.25">
      <c r="B22" s="20"/>
      <c r="C22" s="5" t="s">
        <v>47</v>
      </c>
      <c r="D22" s="6" t="s">
        <v>34</v>
      </c>
      <c r="E22" s="11">
        <v>1.2318000000000001E-2</v>
      </c>
      <c r="F22" s="1"/>
      <c r="G22" s="1"/>
      <c r="H22" s="1"/>
      <c r="I22" s="1"/>
      <c r="J22" s="1"/>
      <c r="K22" s="1"/>
      <c r="L22" s="1"/>
      <c r="M22" s="1"/>
      <c r="N22" s="18"/>
    </row>
    <row r="23" spans="2:14" ht="15" customHeight="1" x14ac:dyDescent="0.25">
      <c r="B23" s="20"/>
      <c r="C23" s="5" t="s">
        <v>38</v>
      </c>
      <c r="D23" s="6" t="s">
        <v>34</v>
      </c>
      <c r="E23" s="11">
        <v>6.0330000000000002E-3</v>
      </c>
      <c r="F23" s="1"/>
      <c r="G23" s="1"/>
      <c r="H23" s="1"/>
      <c r="I23" s="1"/>
      <c r="J23" s="1"/>
      <c r="K23" s="1"/>
      <c r="L23" s="1"/>
      <c r="M23" s="1"/>
      <c r="N23" s="18"/>
    </row>
    <row r="24" spans="2:14" ht="15.75" customHeight="1" x14ac:dyDescent="0.25">
      <c r="B24" s="20"/>
      <c r="C24" s="7" t="s">
        <v>53</v>
      </c>
      <c r="D24" s="8"/>
      <c r="E24" s="12">
        <v>0.52779399999999999</v>
      </c>
      <c r="F24" s="1"/>
      <c r="G24" s="44" t="s">
        <v>18</v>
      </c>
      <c r="H24" s="45"/>
      <c r="I24" s="45"/>
      <c r="J24" s="45"/>
      <c r="K24" s="45"/>
      <c r="L24" s="26">
        <v>1.05</v>
      </c>
      <c r="M24" s="27"/>
      <c r="N24" s="28"/>
    </row>
    <row r="25" spans="2:14" ht="15" customHeight="1" x14ac:dyDescent="0.25">
      <c r="B25" s="20"/>
      <c r="C25" s="5" t="s">
        <v>54</v>
      </c>
      <c r="D25" s="6" t="s">
        <v>23</v>
      </c>
      <c r="E25" s="11">
        <v>8.4339999999999998E-2</v>
      </c>
      <c r="F25" s="1"/>
      <c r="G25" s="1"/>
      <c r="H25" s="1"/>
      <c r="I25" s="1"/>
      <c r="J25" s="1"/>
      <c r="K25" s="1"/>
      <c r="L25" s="1"/>
      <c r="M25" s="1"/>
      <c r="N25" s="18"/>
    </row>
    <row r="26" spans="2:14" ht="15.75" customHeight="1" x14ac:dyDescent="0.25">
      <c r="B26" s="20"/>
      <c r="C26" s="7" t="s">
        <v>55</v>
      </c>
      <c r="D26" s="8"/>
      <c r="E26" s="12">
        <v>8.4339999999999998E-2</v>
      </c>
      <c r="F26" s="1"/>
      <c r="G26" s="44" t="s">
        <v>19</v>
      </c>
      <c r="H26" s="45"/>
      <c r="I26" s="45"/>
      <c r="J26" s="45"/>
      <c r="K26" s="45"/>
      <c r="L26" s="45"/>
      <c r="M26" s="45"/>
      <c r="N26" s="46"/>
    </row>
    <row r="27" spans="2:14" ht="15" customHeight="1" x14ac:dyDescent="0.25">
      <c r="B27" s="20"/>
      <c r="C27" s="5" t="s">
        <v>79</v>
      </c>
      <c r="D27" s="6" t="s">
        <v>57</v>
      </c>
      <c r="E27" s="11">
        <v>8.3224999999999993E-2</v>
      </c>
      <c r="F27" s="1"/>
      <c r="G27" s="1"/>
      <c r="H27" s="1"/>
      <c r="I27" s="1"/>
      <c r="J27" s="1"/>
      <c r="K27" s="1"/>
      <c r="L27" s="1"/>
      <c r="M27" s="1"/>
      <c r="N27" s="18"/>
    </row>
    <row r="28" spans="2:14" ht="15.75" customHeight="1" x14ac:dyDescent="0.25">
      <c r="B28" s="20"/>
      <c r="C28" s="7" t="s">
        <v>63</v>
      </c>
      <c r="D28" s="8"/>
      <c r="E28" s="12">
        <v>8.3224999999999993E-2</v>
      </c>
      <c r="F28" s="1"/>
      <c r="G28" s="1"/>
      <c r="H28" s="1"/>
      <c r="I28" s="1"/>
      <c r="J28" s="1"/>
      <c r="K28" s="1"/>
      <c r="L28" s="1"/>
      <c r="M28" s="1"/>
      <c r="N28" s="18"/>
    </row>
    <row r="29" spans="2:14" ht="15" customHeight="1" x14ac:dyDescent="0.25">
      <c r="B29" s="20"/>
      <c r="C29" s="5" t="s">
        <v>9</v>
      </c>
      <c r="D29" s="6"/>
      <c r="E29" s="11">
        <v>0.132988</v>
      </c>
      <c r="F29" s="1"/>
      <c r="G29" s="1"/>
      <c r="H29" s="1"/>
      <c r="I29" s="1"/>
      <c r="J29" s="1"/>
      <c r="K29" s="1"/>
      <c r="L29" s="1"/>
      <c r="M29" s="1"/>
      <c r="N29" s="18"/>
    </row>
    <row r="30" spans="2:14" ht="15.75" customHeight="1" x14ac:dyDescent="0.25">
      <c r="B30" s="20"/>
      <c r="C30" s="7" t="s">
        <v>10</v>
      </c>
      <c r="D30" s="8"/>
      <c r="E30" s="12">
        <v>0.132988</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11</v>
      </c>
      <c r="D32" s="8"/>
      <c r="E32" s="12">
        <v>4.6299999999999996E-3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9" t="s">
        <v>12</v>
      </c>
      <c r="D34" s="10"/>
      <c r="E34" s="13">
        <f>E32+E30+E28+E26+E24+E13+E10</f>
        <v>0.99999399999999994</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31" t="s">
        <v>141</v>
      </c>
      <c r="D36" s="31"/>
      <c r="E36" s="32">
        <v>0.120516</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3.5" customHeight="1" thickBot="1" x14ac:dyDescent="0.3">
      <c r="B45" s="36" t="s">
        <v>230</v>
      </c>
      <c r="C45" s="37"/>
      <c r="D45" s="37"/>
      <c r="E45" s="37"/>
      <c r="F45" s="37"/>
      <c r="G45" s="37"/>
      <c r="H45" s="37"/>
      <c r="I45" s="37"/>
      <c r="J45" s="37"/>
      <c r="K45" s="37"/>
      <c r="L45" s="37"/>
      <c r="M45" s="37"/>
      <c r="N45" s="38"/>
    </row>
    <row r="46" spans="2:14" ht="15" customHeight="1" thickBot="1" x14ac:dyDescent="0.3"/>
    <row r="47" spans="2:14" ht="65.25" customHeight="1" thickBot="1" x14ac:dyDescent="0.3">
      <c r="B47" s="36" t="s">
        <v>233</v>
      </c>
      <c r="C47" s="37"/>
      <c r="D47" s="37"/>
      <c r="E47" s="37"/>
      <c r="F47" s="37"/>
      <c r="G47" s="37"/>
      <c r="H47" s="37"/>
      <c r="I47" s="37"/>
      <c r="J47" s="37"/>
      <c r="K47" s="37"/>
      <c r="L47" s="37"/>
      <c r="M47" s="37"/>
      <c r="N47" s="38"/>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mergeCells count="7">
    <mergeCell ref="B45:N45"/>
    <mergeCell ref="B47:N47"/>
    <mergeCell ref="C3:N3"/>
    <mergeCell ref="D5:E5"/>
    <mergeCell ref="G7:N7"/>
    <mergeCell ref="G24:K24"/>
    <mergeCell ref="G26:N26"/>
  </mergeCells>
  <pageMargins left="0.7" right="0.7" top="0.75" bottom="0.75" header="0.3" footer="0.3"/>
  <pageSetup scale="41"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2214F-E549-4146-BD74-708561AF72AF}">
  <sheetPr>
    <pageSetUpPr fitToPage="1"/>
  </sheetPr>
  <dimension ref="B1:N51"/>
  <sheetViews>
    <sheetView showGridLines="0" view="pageBreakPreview" zoomScale="60"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119</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120</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236</v>
      </c>
      <c r="D8" s="6" t="s">
        <v>121</v>
      </c>
      <c r="E8" s="11">
        <v>6.5740999999999994E-2</v>
      </c>
      <c r="F8" s="1"/>
      <c r="G8" s="24" t="s">
        <v>16</v>
      </c>
      <c r="H8" s="29">
        <f>75.5081%-E8</f>
        <v>0.68934000000000006</v>
      </c>
      <c r="I8" s="1"/>
      <c r="J8" s="24" t="s">
        <v>13</v>
      </c>
      <c r="K8" s="24" t="s">
        <v>5</v>
      </c>
      <c r="L8" s="1"/>
      <c r="M8" s="1"/>
      <c r="N8" s="18"/>
    </row>
    <row r="9" spans="2:14" ht="15" customHeight="1" x14ac:dyDescent="0.25">
      <c r="B9" s="20"/>
      <c r="C9" s="5" t="s">
        <v>122</v>
      </c>
      <c r="D9" s="6" t="s">
        <v>123</v>
      </c>
      <c r="E9" s="11">
        <v>6.5454999999999999E-2</v>
      </c>
      <c r="F9" s="1"/>
      <c r="G9" s="24" t="s">
        <v>131</v>
      </c>
      <c r="H9" s="29">
        <v>0.20521800000000001</v>
      </c>
      <c r="I9" s="1"/>
      <c r="J9" s="24" t="s">
        <v>11</v>
      </c>
      <c r="K9" s="29">
        <v>1.9560000000000001E-2</v>
      </c>
      <c r="L9" s="1"/>
      <c r="M9" s="1"/>
      <c r="N9" s="18"/>
    </row>
    <row r="10" spans="2:14" ht="15" customHeight="1" x14ac:dyDescent="0.25">
      <c r="B10" s="20"/>
      <c r="C10" s="5" t="s">
        <v>44</v>
      </c>
      <c r="D10" s="6" t="s">
        <v>34</v>
      </c>
      <c r="E10" s="11">
        <v>6.4822000000000005E-2</v>
      </c>
      <c r="F10" s="1"/>
      <c r="G10" s="24" t="s">
        <v>132</v>
      </c>
      <c r="H10" s="29">
        <v>3.2932999999999997E-2</v>
      </c>
      <c r="I10" s="1"/>
      <c r="J10" s="24" t="s">
        <v>14</v>
      </c>
      <c r="K10" s="29">
        <v>0.23915600000000001</v>
      </c>
      <c r="L10" s="1"/>
      <c r="M10" s="1"/>
      <c r="N10" s="18"/>
    </row>
    <row r="11" spans="2:14" ht="15" customHeight="1" x14ac:dyDescent="0.25">
      <c r="B11" s="20"/>
      <c r="C11" s="5" t="s">
        <v>124</v>
      </c>
      <c r="D11" s="6" t="s">
        <v>34</v>
      </c>
      <c r="E11" s="11">
        <v>6.4533999999999994E-2</v>
      </c>
      <c r="F11" s="1"/>
      <c r="G11" s="24" t="s">
        <v>133</v>
      </c>
      <c r="H11" s="29">
        <f>0.6768%+E8</f>
        <v>7.250899999999999E-2</v>
      </c>
      <c r="I11" s="1"/>
      <c r="J11" s="24" t="s">
        <v>70</v>
      </c>
      <c r="K11" s="29">
        <v>0.52350300000000005</v>
      </c>
      <c r="L11" s="1"/>
      <c r="M11" s="1"/>
      <c r="N11" s="18"/>
    </row>
    <row r="12" spans="2:14" ht="15" customHeight="1" x14ac:dyDescent="0.25">
      <c r="B12" s="20"/>
      <c r="C12" s="5" t="s">
        <v>41</v>
      </c>
      <c r="D12" s="6" t="s">
        <v>34</v>
      </c>
      <c r="E12" s="11">
        <v>6.2583E-2</v>
      </c>
      <c r="F12" s="1"/>
      <c r="G12" s="1"/>
      <c r="H12" s="1"/>
      <c r="I12" s="1"/>
      <c r="J12" s="24" t="s">
        <v>73</v>
      </c>
      <c r="K12" s="29">
        <v>0.146318</v>
      </c>
      <c r="L12" s="1"/>
      <c r="M12" s="1"/>
      <c r="N12" s="18"/>
    </row>
    <row r="13" spans="2:14" ht="15" customHeight="1" x14ac:dyDescent="0.25">
      <c r="B13" s="20"/>
      <c r="C13" s="5" t="s">
        <v>125</v>
      </c>
      <c r="D13" s="6" t="s">
        <v>123</v>
      </c>
      <c r="E13" s="11">
        <v>6.0394000000000003E-2</v>
      </c>
      <c r="F13" s="1"/>
      <c r="G13" s="1"/>
      <c r="H13" s="1"/>
      <c r="I13" s="1"/>
      <c r="J13" s="24" t="s">
        <v>89</v>
      </c>
      <c r="K13" s="29">
        <v>7.1462999999999999E-2</v>
      </c>
      <c r="L13" s="1"/>
      <c r="M13" s="1"/>
      <c r="N13" s="18"/>
    </row>
    <row r="14" spans="2:14" ht="15" customHeight="1" x14ac:dyDescent="0.25">
      <c r="B14" s="20"/>
      <c r="C14" s="5" t="s">
        <v>126</v>
      </c>
      <c r="D14" s="6" t="s">
        <v>123</v>
      </c>
      <c r="E14" s="11">
        <v>5.2934000000000002E-2</v>
      </c>
      <c r="F14" s="1"/>
      <c r="G14" s="1"/>
      <c r="H14" s="1"/>
      <c r="I14" s="1"/>
      <c r="J14" s="1"/>
      <c r="K14" s="1"/>
      <c r="L14" s="1"/>
      <c r="M14" s="1"/>
      <c r="N14" s="18"/>
    </row>
    <row r="15" spans="2:14" ht="15" customHeight="1" x14ac:dyDescent="0.25">
      <c r="B15" s="20"/>
      <c r="C15" s="5" t="s">
        <v>127</v>
      </c>
      <c r="D15" s="6" t="s">
        <v>128</v>
      </c>
      <c r="E15" s="11">
        <v>3.2932999999999997E-2</v>
      </c>
      <c r="F15" s="1"/>
      <c r="G15" s="1"/>
      <c r="H15" s="1"/>
      <c r="I15" s="1"/>
      <c r="J15" s="1"/>
      <c r="K15" s="1"/>
      <c r="L15" s="1"/>
      <c r="M15" s="1"/>
      <c r="N15" s="18"/>
    </row>
    <row r="16" spans="2:14" ht="15" customHeight="1" x14ac:dyDescent="0.25">
      <c r="B16" s="20"/>
      <c r="C16" s="5" t="s">
        <v>237</v>
      </c>
      <c r="D16" s="6" t="s">
        <v>123</v>
      </c>
      <c r="E16" s="11">
        <v>2.6435E-2</v>
      </c>
      <c r="F16" s="1"/>
      <c r="G16" s="1"/>
      <c r="H16" s="1"/>
      <c r="I16" s="1"/>
      <c r="J16" s="1"/>
      <c r="K16" s="1"/>
      <c r="L16" s="1"/>
      <c r="M16" s="1"/>
      <c r="N16" s="18"/>
    </row>
    <row r="17" spans="2:14" ht="15" customHeight="1" x14ac:dyDescent="0.25">
      <c r="B17" s="20"/>
      <c r="C17" s="5" t="s">
        <v>35</v>
      </c>
      <c r="D17" s="6" t="s">
        <v>34</v>
      </c>
      <c r="E17" s="11">
        <v>1.4009000000000001E-2</v>
      </c>
      <c r="F17" s="1"/>
      <c r="G17" s="1"/>
      <c r="H17" s="1"/>
      <c r="I17" s="1"/>
      <c r="J17" s="1"/>
      <c r="K17" s="1"/>
      <c r="L17" s="1"/>
      <c r="M17" s="1"/>
      <c r="N17" s="18"/>
    </row>
    <row r="18" spans="2:14" ht="15" customHeight="1" x14ac:dyDescent="0.25">
      <c r="B18" s="20"/>
      <c r="C18" s="5" t="s">
        <v>31</v>
      </c>
      <c r="D18" s="6" t="s">
        <v>34</v>
      </c>
      <c r="E18" s="11">
        <v>6.8950000000000001E-3</v>
      </c>
      <c r="F18" s="1"/>
      <c r="G18" s="1"/>
      <c r="H18" s="1"/>
      <c r="I18" s="1"/>
      <c r="J18" s="1"/>
      <c r="K18" s="1"/>
      <c r="L18" s="1"/>
      <c r="M18" s="1"/>
      <c r="N18" s="18"/>
    </row>
    <row r="19" spans="2:14" ht="15" customHeight="1" x14ac:dyDescent="0.25">
      <c r="B19" s="20"/>
      <c r="C19" s="5" t="s">
        <v>129</v>
      </c>
      <c r="D19" s="6" t="s">
        <v>130</v>
      </c>
      <c r="E19" s="11">
        <v>6.7679999999999997E-3</v>
      </c>
      <c r="F19" s="1"/>
      <c r="G19" s="1"/>
      <c r="H19" s="1"/>
      <c r="I19" s="1"/>
      <c r="J19" s="1"/>
      <c r="K19" s="1"/>
      <c r="L19" s="1"/>
      <c r="M19" s="1"/>
      <c r="N19" s="18"/>
    </row>
    <row r="20" spans="2:14" ht="15.75" customHeight="1" x14ac:dyDescent="0.25">
      <c r="B20" s="20"/>
      <c r="C20" s="7" t="s">
        <v>53</v>
      </c>
      <c r="D20" s="8"/>
      <c r="E20" s="12">
        <v>0.52350300000000005</v>
      </c>
      <c r="F20" s="1"/>
      <c r="G20" s="1"/>
      <c r="H20" s="1"/>
      <c r="I20" s="1"/>
      <c r="J20" s="1"/>
      <c r="K20" s="1"/>
      <c r="L20" s="1"/>
      <c r="M20" s="1"/>
      <c r="N20" s="18"/>
    </row>
    <row r="21" spans="2:14" ht="15" customHeight="1" x14ac:dyDescent="0.25">
      <c r="B21" s="20"/>
      <c r="C21" s="5" t="s">
        <v>85</v>
      </c>
      <c r="D21" s="6" t="s">
        <v>57</v>
      </c>
      <c r="E21" s="11">
        <v>0.133406</v>
      </c>
      <c r="F21" s="1"/>
      <c r="G21" s="1"/>
      <c r="H21" s="1"/>
      <c r="I21" s="1"/>
      <c r="J21" s="1"/>
      <c r="K21" s="1"/>
      <c r="L21" s="1"/>
      <c r="M21" s="1"/>
      <c r="N21" s="18"/>
    </row>
    <row r="22" spans="2:14" ht="15" customHeight="1" x14ac:dyDescent="0.25">
      <c r="B22" s="20"/>
      <c r="C22" s="5" t="s">
        <v>118</v>
      </c>
      <c r="D22" s="6" t="s">
        <v>57</v>
      </c>
      <c r="E22" s="11">
        <v>1.2912E-2</v>
      </c>
      <c r="F22" s="1"/>
      <c r="G22" s="1"/>
      <c r="H22" s="1"/>
      <c r="I22" s="1"/>
      <c r="J22" s="1"/>
      <c r="K22" s="1"/>
      <c r="L22" s="1"/>
      <c r="M22" s="1"/>
      <c r="N22" s="18"/>
    </row>
    <row r="23" spans="2:14" ht="15.75" customHeight="1" x14ac:dyDescent="0.25">
      <c r="B23" s="20"/>
      <c r="C23" s="7" t="s">
        <v>63</v>
      </c>
      <c r="D23" s="8"/>
      <c r="E23" s="12">
        <v>0.146318</v>
      </c>
      <c r="F23" s="1"/>
      <c r="G23" s="1"/>
      <c r="H23" s="1"/>
      <c r="I23" s="1"/>
      <c r="J23" s="1"/>
      <c r="K23" s="1"/>
      <c r="L23" s="1"/>
      <c r="M23" s="1"/>
      <c r="N23" s="18"/>
    </row>
    <row r="24" spans="2:14" ht="15" customHeight="1" x14ac:dyDescent="0.25">
      <c r="B24" s="20"/>
      <c r="C24" s="5" t="s">
        <v>231</v>
      </c>
      <c r="D24" s="6" t="s">
        <v>87</v>
      </c>
      <c r="E24" s="11">
        <v>7.1462999999999999E-2</v>
      </c>
      <c r="F24" s="1"/>
      <c r="G24" s="44" t="s">
        <v>18</v>
      </c>
      <c r="H24" s="45"/>
      <c r="I24" s="45"/>
      <c r="J24" s="45"/>
      <c r="K24" s="45"/>
      <c r="L24" s="26">
        <v>2.66</v>
      </c>
      <c r="M24" s="27"/>
      <c r="N24" s="28"/>
    </row>
    <row r="25" spans="2:14" ht="15.75" customHeight="1" x14ac:dyDescent="0.25">
      <c r="B25" s="20"/>
      <c r="C25" s="7" t="s">
        <v>88</v>
      </c>
      <c r="D25" s="8"/>
      <c r="E25" s="12">
        <v>7.1462999999999999E-2</v>
      </c>
      <c r="F25" s="1"/>
      <c r="G25" s="1"/>
      <c r="H25" s="1"/>
      <c r="I25" s="1"/>
      <c r="J25" s="1"/>
      <c r="K25" s="1"/>
      <c r="L25" s="1"/>
      <c r="M25" s="1"/>
      <c r="N25" s="18"/>
    </row>
    <row r="26" spans="2:14" ht="15" customHeight="1" x14ac:dyDescent="0.25">
      <c r="B26" s="20"/>
      <c r="C26" s="5" t="s">
        <v>9</v>
      </c>
      <c r="D26" s="6"/>
      <c r="E26" s="11">
        <v>0.23915600000000001</v>
      </c>
      <c r="F26" s="1"/>
      <c r="G26" s="44" t="s">
        <v>19</v>
      </c>
      <c r="H26" s="45"/>
      <c r="I26" s="45"/>
      <c r="J26" s="45"/>
      <c r="K26" s="45"/>
      <c r="L26" s="45"/>
      <c r="M26" s="45"/>
      <c r="N26" s="46"/>
    </row>
    <row r="27" spans="2:14" ht="15.75" customHeight="1" x14ac:dyDescent="0.25">
      <c r="B27" s="20"/>
      <c r="C27" s="7" t="s">
        <v>10</v>
      </c>
      <c r="D27" s="8"/>
      <c r="E27" s="12">
        <v>0.23915600000000001</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11</v>
      </c>
      <c r="D29" s="8"/>
      <c r="E29" s="12">
        <v>1.9560000000000001E-2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12</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t="s">
        <v>234</v>
      </c>
      <c r="D33" s="1"/>
      <c r="E33" s="1"/>
      <c r="F33" s="1"/>
      <c r="G33" s="1"/>
      <c r="H33" s="1"/>
      <c r="I33" s="1"/>
      <c r="J33" s="1"/>
      <c r="K33" s="1"/>
      <c r="L33" s="1"/>
      <c r="M33" s="1"/>
      <c r="N33" s="18"/>
    </row>
    <row r="34" spans="2:14" ht="15" customHeight="1" x14ac:dyDescent="0.25">
      <c r="B34" s="20"/>
      <c r="C34" s="1" t="s">
        <v>232</v>
      </c>
      <c r="D34" s="1"/>
      <c r="E34" s="1"/>
      <c r="F34" s="1"/>
      <c r="G34" s="1"/>
      <c r="H34" s="1"/>
      <c r="I34" s="1"/>
      <c r="J34" s="1"/>
      <c r="K34" s="1"/>
      <c r="L34" s="1"/>
      <c r="M34" s="1"/>
      <c r="N34" s="18"/>
    </row>
    <row r="35" spans="2:14" ht="15" customHeight="1" x14ac:dyDescent="0.25">
      <c r="B35" s="20"/>
      <c r="C35" s="33" t="s">
        <v>235</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0.25" customHeight="1" thickBot="1" x14ac:dyDescent="0.3">
      <c r="B45" s="36" t="s">
        <v>230</v>
      </c>
      <c r="C45" s="37"/>
      <c r="D45" s="37"/>
      <c r="E45" s="37"/>
      <c r="F45" s="37"/>
      <c r="G45" s="37"/>
      <c r="H45" s="37"/>
      <c r="I45" s="37"/>
      <c r="J45" s="37"/>
      <c r="K45" s="37"/>
      <c r="L45" s="37"/>
      <c r="M45" s="37"/>
      <c r="N45" s="38"/>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mergeCells count="6">
    <mergeCell ref="B45:N45"/>
    <mergeCell ref="C3:N3"/>
    <mergeCell ref="D5:E5"/>
    <mergeCell ref="G7:N7"/>
    <mergeCell ref="G24:K24"/>
    <mergeCell ref="G26:N26"/>
  </mergeCells>
  <pageMargins left="0.25" right="0.25" top="0.75" bottom="0.75" header="0.3" footer="0.3"/>
  <pageSetup paperSize="9" scale="5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9B7F-978D-4558-988E-06F7BD4EFBBF}">
  <sheetPr>
    <pageSetUpPr fitToPage="1"/>
  </sheetPr>
  <dimension ref="B1:N45"/>
  <sheetViews>
    <sheetView showGridLines="0" view="pageBreakPreview" topLeftCell="A22" zoomScale="60" zoomScaleNormal="75" workbookViewId="0">
      <selection activeCell="G46" sqref="G46"/>
    </sheetView>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149</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150</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79</v>
      </c>
      <c r="D8" s="6" t="s">
        <v>57</v>
      </c>
      <c r="E8" s="11">
        <v>0.85074499999999997</v>
      </c>
      <c r="F8" s="1"/>
      <c r="G8" s="24" t="s">
        <v>16</v>
      </c>
      <c r="H8" s="25">
        <v>1</v>
      </c>
      <c r="I8" s="1"/>
      <c r="J8" s="24" t="s">
        <v>13</v>
      </c>
      <c r="K8" s="24" t="s">
        <v>5</v>
      </c>
      <c r="L8" s="1"/>
      <c r="M8" s="1"/>
      <c r="N8" s="18"/>
    </row>
    <row r="9" spans="2:14" ht="15" customHeight="1" x14ac:dyDescent="0.25">
      <c r="B9" s="20"/>
      <c r="C9" s="5" t="s">
        <v>80</v>
      </c>
      <c r="D9" s="6" t="s">
        <v>57</v>
      </c>
      <c r="E9" s="11">
        <v>0.119393</v>
      </c>
      <c r="F9" s="1"/>
      <c r="G9" s="1"/>
      <c r="H9" s="1"/>
      <c r="I9" s="1"/>
      <c r="J9" s="24" t="s">
        <v>11</v>
      </c>
      <c r="K9" s="29">
        <v>1.9741999999999999E-2</v>
      </c>
      <c r="L9" s="1"/>
      <c r="M9" s="1"/>
      <c r="N9" s="18"/>
    </row>
    <row r="10" spans="2:14" ht="15" customHeight="1" x14ac:dyDescent="0.25">
      <c r="B10" s="20"/>
      <c r="C10" s="5" t="s">
        <v>85</v>
      </c>
      <c r="D10" s="6" t="s">
        <v>57</v>
      </c>
      <c r="E10" s="30">
        <v>4.5000000000000003E-5</v>
      </c>
      <c r="F10" s="1"/>
      <c r="G10" s="1"/>
      <c r="H10" s="1"/>
      <c r="I10" s="1"/>
      <c r="J10" s="24" t="s">
        <v>14</v>
      </c>
      <c r="K10" s="29">
        <v>1.0075000000000001E-2</v>
      </c>
      <c r="L10" s="1"/>
      <c r="M10" s="1"/>
      <c r="N10" s="18"/>
    </row>
    <row r="11" spans="2:14" ht="15.75" customHeight="1" x14ac:dyDescent="0.25">
      <c r="B11" s="20"/>
      <c r="C11" s="7" t="s">
        <v>63</v>
      </c>
      <c r="D11" s="8"/>
      <c r="E11" s="12">
        <v>0.97018300000000002</v>
      </c>
      <c r="F11" s="1"/>
      <c r="G11" s="1"/>
      <c r="H11" s="1"/>
      <c r="I11" s="1"/>
      <c r="J11" s="24" t="s">
        <v>73</v>
      </c>
      <c r="K11" s="29">
        <v>0.97018300000000002</v>
      </c>
      <c r="L11" s="1"/>
      <c r="M11" s="1"/>
      <c r="N11" s="18"/>
    </row>
    <row r="12" spans="2:14" ht="15" customHeight="1" x14ac:dyDescent="0.25">
      <c r="B12" s="20"/>
      <c r="C12" s="5" t="s">
        <v>9</v>
      </c>
      <c r="D12" s="6"/>
      <c r="E12" s="11">
        <v>1.0075000000000001E-2</v>
      </c>
      <c r="F12" s="1"/>
      <c r="G12" s="1"/>
      <c r="H12" s="1"/>
      <c r="I12" s="1"/>
      <c r="J12" s="1"/>
      <c r="K12" s="1"/>
      <c r="L12" s="1"/>
      <c r="M12" s="1"/>
      <c r="N12" s="18"/>
    </row>
    <row r="13" spans="2:14" ht="15.75" customHeight="1" x14ac:dyDescent="0.25">
      <c r="B13" s="20"/>
      <c r="C13" s="7" t="s">
        <v>10</v>
      </c>
      <c r="D13" s="8"/>
      <c r="E13" s="12">
        <v>1.0075000000000001E-2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1.9741999999999999E-2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4.1500000000000004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6" t="s">
        <v>230</v>
      </c>
      <c r="C45" s="37"/>
      <c r="D45" s="37"/>
      <c r="E45" s="37"/>
      <c r="F45" s="37"/>
      <c r="G45" s="37"/>
      <c r="H45" s="37"/>
      <c r="I45" s="37"/>
      <c r="J45" s="37"/>
      <c r="K45" s="37"/>
      <c r="L45" s="37"/>
      <c r="M45" s="37"/>
      <c r="N45" s="38"/>
    </row>
  </sheetData>
  <sortState ref="C8:E10">
    <sortCondition descending="1" ref="E8"/>
  </sortState>
  <mergeCells count="6">
    <mergeCell ref="B45:N45"/>
    <mergeCell ref="C3:N3"/>
    <mergeCell ref="D5:E5"/>
    <mergeCell ref="G7:N7"/>
    <mergeCell ref="G24:K24"/>
    <mergeCell ref="G26:N26"/>
  </mergeCells>
  <pageMargins left="0.7" right="0.7" top="0.75" bottom="0.75" header="0.3" footer="0.3"/>
  <pageSetup scale="61"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C62F-90FB-4779-8FC0-F0828EF96D4B}">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151</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152</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153</v>
      </c>
      <c r="D8" s="6" t="s">
        <v>57</v>
      </c>
      <c r="E8" s="11">
        <v>0.85785900000000004</v>
      </c>
      <c r="F8" s="1"/>
      <c r="G8" s="24" t="s">
        <v>16</v>
      </c>
      <c r="H8" s="25">
        <v>1</v>
      </c>
      <c r="I8" s="1"/>
      <c r="J8" s="24" t="s">
        <v>13</v>
      </c>
      <c r="K8" s="24" t="s">
        <v>5</v>
      </c>
      <c r="L8" s="1"/>
      <c r="M8" s="1"/>
      <c r="N8" s="18"/>
    </row>
    <row r="9" spans="2:14" ht="15" customHeight="1" x14ac:dyDescent="0.25">
      <c r="B9" s="20"/>
      <c r="C9" s="5" t="s">
        <v>85</v>
      </c>
      <c r="D9" s="6" t="s">
        <v>57</v>
      </c>
      <c r="E9" s="11">
        <v>7.7481999999999995E-2</v>
      </c>
      <c r="F9" s="1"/>
      <c r="G9" s="1"/>
      <c r="H9" s="1"/>
      <c r="I9" s="1"/>
      <c r="J9" s="24" t="s">
        <v>11</v>
      </c>
      <c r="K9" s="29">
        <v>1.3872000000000001E-2</v>
      </c>
      <c r="L9" s="1"/>
      <c r="M9" s="1"/>
      <c r="N9" s="18"/>
    </row>
    <row r="10" spans="2:14" ht="15" customHeight="1" x14ac:dyDescent="0.25">
      <c r="B10" s="20"/>
      <c r="C10" s="5" t="s">
        <v>86</v>
      </c>
      <c r="D10" s="6" t="s">
        <v>57</v>
      </c>
      <c r="E10" s="11">
        <v>3.4789E-2</v>
      </c>
      <c r="F10" s="1"/>
      <c r="G10" s="1"/>
      <c r="H10" s="1"/>
      <c r="I10" s="1"/>
      <c r="J10" s="24" t="s">
        <v>14</v>
      </c>
      <c r="K10" s="29">
        <v>9.0399999999999994E-3</v>
      </c>
      <c r="L10" s="1"/>
      <c r="M10" s="1"/>
      <c r="N10" s="18"/>
    </row>
    <row r="11" spans="2:14" ht="15" customHeight="1" x14ac:dyDescent="0.25">
      <c r="B11" s="20"/>
      <c r="C11" s="5" t="s">
        <v>80</v>
      </c>
      <c r="D11" s="6" t="s">
        <v>57</v>
      </c>
      <c r="E11" s="11">
        <v>6.9579999999999998E-3</v>
      </c>
      <c r="F11" s="1"/>
      <c r="G11" s="1"/>
      <c r="H11" s="1"/>
      <c r="I11" s="1"/>
      <c r="J11" s="24" t="s">
        <v>73</v>
      </c>
      <c r="K11" s="29">
        <v>0.97708799999999996</v>
      </c>
      <c r="L11" s="1"/>
      <c r="M11" s="1"/>
      <c r="N11" s="18"/>
    </row>
    <row r="12" spans="2:14" ht="15.75" customHeight="1" x14ac:dyDescent="0.25">
      <c r="B12" s="20"/>
      <c r="C12" s="7" t="s">
        <v>63</v>
      </c>
      <c r="D12" s="8"/>
      <c r="E12" s="12">
        <v>0.97708799999999996</v>
      </c>
      <c r="F12" s="1"/>
      <c r="G12" s="1"/>
      <c r="H12" s="1"/>
      <c r="I12" s="1"/>
      <c r="J12" s="1"/>
      <c r="K12" s="1"/>
      <c r="L12" s="1"/>
      <c r="M12" s="1"/>
      <c r="N12" s="18"/>
    </row>
    <row r="13" spans="2:14" ht="15" customHeight="1" x14ac:dyDescent="0.25">
      <c r="B13" s="20"/>
      <c r="C13" s="5" t="s">
        <v>9</v>
      </c>
      <c r="D13" s="6"/>
      <c r="E13" s="11">
        <v>9.0399999999999994E-3</v>
      </c>
      <c r="F13" s="1"/>
      <c r="G13" s="1"/>
      <c r="H13" s="1"/>
      <c r="I13" s="1"/>
      <c r="J13" s="1"/>
      <c r="K13" s="1"/>
      <c r="L13" s="1"/>
      <c r="M13" s="1"/>
      <c r="N13" s="18"/>
    </row>
    <row r="14" spans="2:14" ht="15.75" customHeight="1" x14ac:dyDescent="0.25">
      <c r="B14" s="20"/>
      <c r="C14" s="7" t="s">
        <v>10</v>
      </c>
      <c r="D14" s="8"/>
      <c r="E14" s="12">
        <v>9.0399999999999994E-3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1.3872000000000001E-2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9.19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4.25"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2" orientation="landscape"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245C-D516-4E50-BB70-327C033B2CC9}">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142</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143</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80</v>
      </c>
      <c r="D8" s="6" t="s">
        <v>57</v>
      </c>
      <c r="E8" s="11">
        <v>0.579955</v>
      </c>
      <c r="F8" s="1"/>
      <c r="G8" s="24" t="s">
        <v>16</v>
      </c>
      <c r="H8" s="25">
        <v>1</v>
      </c>
      <c r="I8" s="1"/>
      <c r="J8" s="24" t="s">
        <v>13</v>
      </c>
      <c r="K8" s="24" t="s">
        <v>5</v>
      </c>
      <c r="L8" s="1"/>
      <c r="M8" s="1"/>
      <c r="N8" s="18"/>
    </row>
    <row r="9" spans="2:14" ht="15" customHeight="1" x14ac:dyDescent="0.25">
      <c r="B9" s="20"/>
      <c r="C9" s="5" t="s">
        <v>86</v>
      </c>
      <c r="D9" s="6" t="s">
        <v>57</v>
      </c>
      <c r="E9" s="11">
        <v>0.378195</v>
      </c>
      <c r="F9" s="1"/>
      <c r="G9" s="1"/>
      <c r="H9" s="1"/>
      <c r="I9" s="1"/>
      <c r="J9" s="24" t="s">
        <v>11</v>
      </c>
      <c r="K9" s="29">
        <v>1.4564000000000001E-2</v>
      </c>
      <c r="L9" s="1"/>
      <c r="M9" s="1"/>
      <c r="N9" s="18"/>
    </row>
    <row r="10" spans="2:14" ht="15.75" customHeight="1" x14ac:dyDescent="0.25">
      <c r="B10" s="20"/>
      <c r="C10" s="7" t="s">
        <v>63</v>
      </c>
      <c r="D10" s="8"/>
      <c r="E10" s="12">
        <v>0.95814999999999995</v>
      </c>
      <c r="F10" s="1"/>
      <c r="G10" s="1"/>
      <c r="H10" s="1"/>
      <c r="I10" s="1"/>
      <c r="J10" s="24" t="s">
        <v>14</v>
      </c>
      <c r="K10" s="29">
        <v>1.2307E-2</v>
      </c>
      <c r="L10" s="1"/>
      <c r="M10" s="1"/>
      <c r="N10" s="18"/>
    </row>
    <row r="11" spans="2:14" ht="15" customHeight="1" x14ac:dyDescent="0.25">
      <c r="B11" s="20"/>
      <c r="C11" s="5" t="s">
        <v>144</v>
      </c>
      <c r="D11" s="6" t="s">
        <v>57</v>
      </c>
      <c r="E11" s="11">
        <v>5.0159999999999996E-3</v>
      </c>
      <c r="F11" s="1"/>
      <c r="G11" s="1"/>
      <c r="H11" s="1"/>
      <c r="I11" s="1"/>
      <c r="J11" s="24" t="s">
        <v>73</v>
      </c>
      <c r="K11" s="29">
        <v>0.95814999999999995</v>
      </c>
      <c r="L11" s="1"/>
      <c r="M11" s="1"/>
      <c r="N11" s="18"/>
    </row>
    <row r="12" spans="2:14" ht="15" customHeight="1" x14ac:dyDescent="0.25">
      <c r="B12" s="20"/>
      <c r="C12" s="5" t="s">
        <v>145</v>
      </c>
      <c r="D12" s="6" t="s">
        <v>57</v>
      </c>
      <c r="E12" s="11">
        <v>5.0090000000000004E-3</v>
      </c>
      <c r="F12" s="1"/>
      <c r="G12" s="1"/>
      <c r="H12" s="1"/>
      <c r="I12" s="1"/>
      <c r="J12" s="24" t="s">
        <v>75</v>
      </c>
      <c r="K12" s="29">
        <v>1.4978999999999999E-2</v>
      </c>
      <c r="L12" s="1"/>
      <c r="M12" s="1"/>
      <c r="N12" s="18"/>
    </row>
    <row r="13" spans="2:14" ht="15" customHeight="1" x14ac:dyDescent="0.25">
      <c r="B13" s="20"/>
      <c r="C13" s="5" t="s">
        <v>146</v>
      </c>
      <c r="D13" s="6" t="s">
        <v>57</v>
      </c>
      <c r="E13" s="11">
        <v>4.9540000000000001E-3</v>
      </c>
      <c r="F13" s="1"/>
      <c r="G13" s="1"/>
      <c r="H13" s="1"/>
      <c r="I13" s="1"/>
      <c r="J13" s="1"/>
      <c r="K13" s="1"/>
      <c r="L13" s="1"/>
      <c r="M13" s="1"/>
      <c r="N13" s="18"/>
    </row>
    <row r="14" spans="2:14" ht="15.75" customHeight="1" x14ac:dyDescent="0.25">
      <c r="B14" s="20"/>
      <c r="C14" s="7" t="s">
        <v>67</v>
      </c>
      <c r="D14" s="8"/>
      <c r="E14" s="12">
        <v>1.4978999999999999E-2</v>
      </c>
      <c r="F14" s="1"/>
      <c r="G14" s="1"/>
      <c r="H14" s="1"/>
      <c r="I14" s="1"/>
      <c r="J14" s="1"/>
      <c r="K14" s="1"/>
      <c r="L14" s="1"/>
      <c r="M14" s="1"/>
      <c r="N14" s="18"/>
    </row>
    <row r="15" spans="2:14" ht="15" customHeight="1" x14ac:dyDescent="0.25">
      <c r="B15" s="20"/>
      <c r="C15" s="5" t="s">
        <v>9</v>
      </c>
      <c r="D15" s="6"/>
      <c r="E15" s="11">
        <v>1.2307E-2</v>
      </c>
      <c r="F15" s="1"/>
      <c r="G15" s="1"/>
      <c r="H15" s="1"/>
      <c r="I15" s="1"/>
      <c r="J15" s="1"/>
      <c r="K15" s="1"/>
      <c r="L15" s="1"/>
      <c r="M15" s="1"/>
      <c r="N15" s="18"/>
    </row>
    <row r="16" spans="2:14" ht="15.75" customHeight="1" x14ac:dyDescent="0.25">
      <c r="B16" s="20"/>
      <c r="C16" s="7" t="s">
        <v>10</v>
      </c>
      <c r="D16" s="8"/>
      <c r="E16" s="12">
        <v>1.2307E-2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1.4564000000000001E-2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4.91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2" orientation="landscape"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0E729-A281-4E4F-B333-B4F686982143}">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147</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148</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85</v>
      </c>
      <c r="D8" s="6" t="s">
        <v>57</v>
      </c>
      <c r="E8" s="11">
        <v>0.78345900000000002</v>
      </c>
      <c r="F8" s="1"/>
      <c r="G8" s="24" t="s">
        <v>16</v>
      </c>
      <c r="H8" s="25">
        <v>1</v>
      </c>
      <c r="I8" s="1"/>
      <c r="J8" s="24" t="s">
        <v>13</v>
      </c>
      <c r="K8" s="24" t="s">
        <v>5</v>
      </c>
      <c r="L8" s="1"/>
      <c r="M8" s="1"/>
      <c r="N8" s="18"/>
    </row>
    <row r="9" spans="2:14" ht="15" customHeight="1" x14ac:dyDescent="0.25">
      <c r="B9" s="20"/>
      <c r="C9" s="5" t="s">
        <v>94</v>
      </c>
      <c r="D9" s="6" t="s">
        <v>57</v>
      </c>
      <c r="E9" s="11">
        <v>0.28225499999999998</v>
      </c>
      <c r="F9" s="1"/>
      <c r="G9" s="1"/>
      <c r="H9" s="1"/>
      <c r="I9" s="1"/>
      <c r="J9" s="24" t="s">
        <v>11</v>
      </c>
      <c r="K9" s="29">
        <v>-0.24130799999999999</v>
      </c>
      <c r="L9" s="1"/>
      <c r="M9" s="1"/>
      <c r="N9" s="18"/>
    </row>
    <row r="10" spans="2:14" ht="15.75" customHeight="1" x14ac:dyDescent="0.25">
      <c r="B10" s="20"/>
      <c r="C10" s="7" t="s">
        <v>63</v>
      </c>
      <c r="D10" s="8"/>
      <c r="E10" s="12">
        <v>1.0657099999999999</v>
      </c>
      <c r="F10" s="1"/>
      <c r="G10" s="1"/>
      <c r="H10" s="1"/>
      <c r="I10" s="1"/>
      <c r="J10" s="24" t="s">
        <v>14</v>
      </c>
      <c r="K10" s="29">
        <v>0.160773</v>
      </c>
      <c r="L10" s="1"/>
      <c r="M10" s="1"/>
      <c r="N10" s="18"/>
    </row>
    <row r="11" spans="2:14" ht="15" customHeight="1" x14ac:dyDescent="0.25">
      <c r="B11" s="20"/>
      <c r="C11" s="5" t="s">
        <v>146</v>
      </c>
      <c r="D11" s="6" t="s">
        <v>57</v>
      </c>
      <c r="E11" s="11">
        <v>5.0819999999999997E-3</v>
      </c>
      <c r="F11" s="1"/>
      <c r="G11" s="1"/>
      <c r="H11" s="1"/>
      <c r="I11" s="1"/>
      <c r="J11" s="24" t="s">
        <v>73</v>
      </c>
      <c r="K11" s="29">
        <v>1.0657099999999999</v>
      </c>
      <c r="L11" s="1"/>
      <c r="M11" s="1"/>
      <c r="N11" s="18"/>
    </row>
    <row r="12" spans="2:14" ht="15" customHeight="1" x14ac:dyDescent="0.25">
      <c r="B12" s="20"/>
      <c r="C12" s="5" t="s">
        <v>144</v>
      </c>
      <c r="D12" s="6" t="s">
        <v>57</v>
      </c>
      <c r="E12" s="11">
        <v>4.8729999999999997E-3</v>
      </c>
      <c r="F12" s="1"/>
      <c r="G12" s="1"/>
      <c r="H12" s="1"/>
      <c r="I12" s="1"/>
      <c r="J12" s="24" t="s">
        <v>75</v>
      </c>
      <c r="K12" s="29">
        <v>1.4821000000000001E-2</v>
      </c>
      <c r="L12" s="1"/>
      <c r="M12" s="1"/>
      <c r="N12" s="18"/>
    </row>
    <row r="13" spans="2:14" ht="15" customHeight="1" x14ac:dyDescent="0.25">
      <c r="B13" s="20"/>
      <c r="C13" s="5" t="s">
        <v>145</v>
      </c>
      <c r="D13" s="6" t="s">
        <v>57</v>
      </c>
      <c r="E13" s="11">
        <v>4.8659999999999997E-3</v>
      </c>
      <c r="F13" s="1"/>
      <c r="G13" s="1"/>
      <c r="H13" s="1"/>
      <c r="I13" s="1"/>
      <c r="J13" s="1"/>
      <c r="K13" s="1"/>
      <c r="L13" s="1"/>
      <c r="M13" s="1"/>
      <c r="N13" s="18"/>
    </row>
    <row r="14" spans="2:14" ht="15.75" customHeight="1" x14ac:dyDescent="0.25">
      <c r="B14" s="20"/>
      <c r="C14" s="7" t="s">
        <v>67</v>
      </c>
      <c r="D14" s="8"/>
      <c r="E14" s="12">
        <v>1.4821000000000001E-2</v>
      </c>
      <c r="F14" s="1"/>
      <c r="G14" s="1"/>
      <c r="H14" s="1"/>
      <c r="I14" s="1"/>
      <c r="J14" s="1"/>
      <c r="K14" s="1"/>
      <c r="L14" s="1"/>
      <c r="M14" s="1"/>
      <c r="N14" s="18"/>
    </row>
    <row r="15" spans="2:14" ht="15" customHeight="1" x14ac:dyDescent="0.25">
      <c r="B15" s="20"/>
      <c r="C15" s="5" t="s">
        <v>9</v>
      </c>
      <c r="D15" s="6"/>
      <c r="E15" s="11">
        <v>0.160773</v>
      </c>
      <c r="F15" s="1"/>
      <c r="G15" s="1"/>
      <c r="H15" s="1"/>
      <c r="I15" s="1"/>
      <c r="J15" s="1"/>
      <c r="K15" s="1"/>
      <c r="L15" s="1"/>
      <c r="M15" s="1"/>
      <c r="N15" s="18"/>
    </row>
    <row r="16" spans="2:14" ht="15.75" customHeight="1" x14ac:dyDescent="0.25">
      <c r="B16" s="20"/>
      <c r="C16" s="7" t="s">
        <v>10</v>
      </c>
      <c r="D16" s="8"/>
      <c r="E16" s="12">
        <v>0.160773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-0.24130799999999999</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6.15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7.25"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5074-DEAA-4AEC-A591-9F2A45CB0529}">
  <sheetPr>
    <pageSetUpPr fitToPage="1"/>
  </sheetPr>
  <dimension ref="B1:N45"/>
  <sheetViews>
    <sheetView showGridLines="0" view="pageBreakPreview" zoomScale="60" zoomScaleNormal="75" workbookViewId="0">
      <selection activeCell="R14" sqref="R14"/>
    </sheetView>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2</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229</v>
      </c>
      <c r="D8" s="6"/>
      <c r="E8" s="11">
        <v>0.56723800000000002</v>
      </c>
      <c r="F8" s="1"/>
      <c r="G8" s="24" t="s">
        <v>16</v>
      </c>
      <c r="H8" s="25">
        <v>1</v>
      </c>
      <c r="I8" s="1"/>
      <c r="J8" s="24" t="s">
        <v>13</v>
      </c>
      <c r="K8" s="24" t="s">
        <v>5</v>
      </c>
      <c r="L8" s="1"/>
      <c r="M8" s="1"/>
      <c r="N8" s="18"/>
    </row>
    <row r="9" spans="2:14" ht="15" customHeight="1" x14ac:dyDescent="0.25">
      <c r="B9" s="20"/>
      <c r="C9" s="5" t="s">
        <v>6</v>
      </c>
      <c r="D9" s="6"/>
      <c r="E9" s="11">
        <v>0.35042400000000001</v>
      </c>
      <c r="F9" s="1"/>
      <c r="G9" s="1"/>
      <c r="H9" s="1"/>
      <c r="I9" s="1"/>
      <c r="J9" s="24" t="s">
        <v>11</v>
      </c>
      <c r="K9" s="29">
        <v>-4.5800000000000002E-4</v>
      </c>
      <c r="L9" s="1"/>
      <c r="M9" s="1"/>
      <c r="N9" s="18"/>
    </row>
    <row r="10" spans="2:14" ht="15" customHeight="1" x14ac:dyDescent="0.25">
      <c r="B10" s="20"/>
      <c r="C10" s="5" t="s">
        <v>7</v>
      </c>
      <c r="D10" s="6"/>
      <c r="E10" s="11">
        <v>7.5339000000000003E-2</v>
      </c>
      <c r="F10" s="1"/>
      <c r="G10" s="1"/>
      <c r="H10" s="1"/>
      <c r="I10" s="1"/>
      <c r="J10" s="24" t="s">
        <v>14</v>
      </c>
      <c r="K10" s="29">
        <v>7.4570000000000001E-3</v>
      </c>
      <c r="L10" s="1"/>
      <c r="M10" s="1"/>
      <c r="N10" s="18"/>
    </row>
    <row r="11" spans="2:14" ht="15.75" customHeight="1" x14ac:dyDescent="0.25">
      <c r="B11" s="20"/>
      <c r="C11" s="7" t="s">
        <v>8</v>
      </c>
      <c r="D11" s="8"/>
      <c r="E11" s="12">
        <v>0.99300100000000002</v>
      </c>
      <c r="F11" s="1"/>
      <c r="G11" s="1"/>
      <c r="H11" s="1"/>
      <c r="I11" s="1"/>
      <c r="J11" s="24" t="s">
        <v>15</v>
      </c>
      <c r="K11" s="29">
        <v>0.99300100000000002</v>
      </c>
      <c r="L11" s="1"/>
      <c r="M11" s="1"/>
      <c r="N11" s="18"/>
    </row>
    <row r="12" spans="2:14" ht="15" customHeight="1" x14ac:dyDescent="0.25">
      <c r="B12" s="20"/>
      <c r="C12" s="5" t="s">
        <v>9</v>
      </c>
      <c r="D12" s="6"/>
      <c r="E12" s="11">
        <v>7.4570000000000001E-3</v>
      </c>
      <c r="F12" s="1"/>
      <c r="G12" s="1"/>
      <c r="H12" s="1"/>
      <c r="I12" s="1"/>
      <c r="J12" s="1"/>
      <c r="K12" s="1"/>
      <c r="L12" s="1"/>
      <c r="M12" s="1"/>
      <c r="N12" s="18"/>
    </row>
    <row r="13" spans="2:14" ht="15.75" customHeight="1" x14ac:dyDescent="0.25">
      <c r="B13" s="20"/>
      <c r="C13" s="7" t="s">
        <v>10</v>
      </c>
      <c r="D13" s="8"/>
      <c r="E13" s="12">
        <v>7.4570000000000001E-3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-4.5800000000000002E-4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1.45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6" t="s">
        <v>230</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7" right="0.7" top="0.75" bottom="0.75" header="0.3" footer="0.3"/>
  <pageSetup scale="58" orientation="landscape"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IDFC-GIF2027</vt:lpstr>
      <vt:lpstr>IDFC-GIF2028</vt:lpstr>
      <vt:lpstr>IDFC ASBF</vt:lpstr>
      <vt:lpstr>'IDFC ASBF'!Print_Area</vt:lpstr>
      <vt:lpstr>'IDFC BOND IP'!Print_Area</vt:lpstr>
      <vt:lpstr>'IDFC BOND MT'!Print_Area</vt:lpstr>
      <vt:lpstr>'IDFC BOND ST'!Print_Area</vt:lpstr>
      <vt:lpstr>'IDFC BPDF'!Print_Area</vt:lpstr>
      <vt:lpstr>'IDFC CF'!Print_Area</vt:lpstr>
      <vt:lpstr>'IDFC CRF'!Print_Area</vt:lpstr>
      <vt:lpstr>'IDFC DBF'!Print_Area</vt:lpstr>
      <vt:lpstr>'IDFC FRF'!Print_Area</vt:lpstr>
      <vt:lpstr>'IDFC GSF - CMP'!Print_Area</vt:lpstr>
      <vt:lpstr>'IDFC GSF-IP'!Print_Area</vt:lpstr>
      <vt:lpstr>'IDFC LDF'!Print_Area</vt:lpstr>
      <vt:lpstr>'IDFC MMF'!Print_Area</vt:lpstr>
      <vt:lpstr>'IDFC OF'!Print_Area</vt:lpstr>
      <vt:lpstr>'IDFC USTF'!Print_Area</vt:lpstr>
      <vt:lpstr>'IDFC-CBF'!Print_Area</vt:lpstr>
      <vt:lpstr>'IDFC-GIF2027'!Print_Area</vt:lpstr>
      <vt:lpstr>'IDFC-GIF2028'!Print_Area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Hema Suryakant Davda (Indigo Consulting)</cp:lastModifiedBy>
  <cp:lastPrinted>2022-04-04T12:00:04Z</cp:lastPrinted>
  <dcterms:created xsi:type="dcterms:W3CDTF">2022-04-01T03:37:04Z</dcterms:created>
  <dcterms:modified xsi:type="dcterms:W3CDTF">2022-04-05T05:30:19Z</dcterms:modified>
</cp:coreProperties>
</file>