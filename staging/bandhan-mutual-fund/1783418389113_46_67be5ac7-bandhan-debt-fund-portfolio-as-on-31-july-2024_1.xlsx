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4.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drawings/drawing5.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6.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7.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8.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9.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0.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drawings/drawing11.xml" ContentType="application/vnd.openxmlformats-officedocument.drawing+xml"/>
  <Override PartName="/xl/charts/chart21.xml" ContentType="application/vnd.openxmlformats-officedocument.drawingml.chart+xml"/>
  <Override PartName="/xl/charts/chart22.xml" ContentType="application/vnd.openxmlformats-officedocument.drawingml.chart+xml"/>
  <Override PartName="/xl/drawings/drawing12.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drawings/drawing13.xml" ContentType="application/vnd.openxmlformats-officedocument.drawing+xml"/>
  <Override PartName="/xl/charts/chart25.xml" ContentType="application/vnd.openxmlformats-officedocument.drawingml.chart+xml"/>
  <Override PartName="/xl/charts/chart26.xml" ContentType="application/vnd.openxmlformats-officedocument.drawingml.chart+xml"/>
  <Override PartName="/xl/drawings/drawing1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1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drawings/drawing16.xml" ContentType="application/vnd.openxmlformats-officedocument.drawing+xml"/>
  <Override PartName="/xl/charts/chart31.xml" ContentType="application/vnd.openxmlformats-officedocument.drawingml.chart+xml"/>
  <Override PartName="/xl/charts/chart32.xml" ContentType="application/vnd.openxmlformats-officedocument.drawingml.chart+xml"/>
  <Override PartName="/xl/drawings/drawing17.xml" ContentType="application/vnd.openxmlformats-officedocument.drawing+xml"/>
  <Override PartName="/xl/charts/chart33.xml" ContentType="application/vnd.openxmlformats-officedocument.drawingml.chart+xml"/>
  <Override PartName="/xl/charts/chart34.xml" ContentType="application/vnd.openxmlformats-officedocument.drawingml.chart+xml"/>
  <Override PartName="/xl/drawings/drawing18.xml" ContentType="application/vnd.openxmlformats-officedocument.drawing+xml"/>
  <Override PartName="/xl/charts/chart35.xml" ContentType="application/vnd.openxmlformats-officedocument.drawingml.chart+xml"/>
  <Override PartName="/xl/charts/chart36.xml" ContentType="application/vnd.openxmlformats-officedocument.drawingml.chart+xml"/>
  <Override PartName="/xl/drawings/drawing19.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drawings/drawing20.xml" ContentType="application/vnd.openxmlformats-officedocument.drawing+xml"/>
  <Override PartName="/xl/charts/chart39.xml" ContentType="application/vnd.openxmlformats-officedocument.drawingml.chart+xml"/>
  <Override PartName="/xl/charts/chart40.xml" ContentType="application/vnd.openxmlformats-officedocument.drawingml.chart+xml"/>
  <Override PartName="/xl/drawings/drawing21.xml" ContentType="application/vnd.openxmlformats-officedocument.drawing+xml"/>
  <Override PartName="/xl/charts/chart41.xml" ContentType="application/vnd.openxmlformats-officedocument.drawingml.chart+xml"/>
  <Override PartName="/xl/charts/chart42.xml" ContentType="application/vnd.openxmlformats-officedocument.drawingml.chart+xml"/>
  <Override PartName="/xl/drawings/drawing22.xml" ContentType="application/vnd.openxmlformats-officedocument.drawing+xml"/>
  <Override PartName="/xl/charts/chart43.xml" ContentType="application/vnd.openxmlformats-officedocument.drawingml.chart+xml"/>
  <Override PartName="/xl/charts/chart44.xml" ContentType="application/vnd.openxmlformats-officedocument.drawingml.chart+xml"/>
  <Override PartName="/xl/drawings/drawing23.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drawings/drawing24.xml" ContentType="application/vnd.openxmlformats-officedocument.drawing+xml"/>
  <Override PartName="/xl/charts/chart47.xml" ContentType="application/vnd.openxmlformats-officedocument.drawingml.chart+xml"/>
  <Override PartName="/xl/charts/chart48.xml" ContentType="application/vnd.openxmlformats-officedocument.drawingml.chart+xml"/>
  <Override PartName="/xl/drawings/drawing25.xml" ContentType="application/vnd.openxmlformats-officedocument.drawing+xml"/>
  <Override PartName="/xl/charts/chart4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0"/>
  <workbookPr defaultThemeVersion="166925"/>
  <mc:AlternateContent xmlns:mc="http://schemas.openxmlformats.org/markup-compatibility/2006">
    <mc:Choice Requires="x15">
      <x15ac:absPath xmlns:x15ac="http://schemas.microsoft.com/office/spreadsheetml/2010/11/ac" url="Y:\Product_Team\MONTH END DELIVERABLES-1\Portfolios_All\2024\Aug 2024\"/>
    </mc:Choice>
  </mc:AlternateContent>
  <xr:revisionPtr revIDLastSave="0" documentId="13_ncr:1_{0F72F6E8-8C59-4A2F-BDD7-DAE88BF74396}" xr6:coauthVersionLast="36" xr6:coauthVersionMax="36" xr10:uidLastSave="{00000000-0000-0000-0000-000000000000}"/>
  <bookViews>
    <workbookView xWindow="0" yWindow="0" windowWidth="20490" windowHeight="7245" xr2:uid="{05419B02-5E16-44C4-B39A-0B78FC7B6655}"/>
  </bookViews>
  <sheets>
    <sheet name="BANDHAN OF" sheetId="24" r:id="rId1"/>
    <sheet name="BANDHAN LF" sheetId="20" r:id="rId2"/>
    <sheet name="BANDHAN LDF" sheetId="22" r:id="rId3"/>
    <sheet name="BANDHAN MMF" sheetId="23" r:id="rId4"/>
    <sheet name="BANDHAN USTF" sheetId="25" r:id="rId5"/>
    <sheet name="BANDHAN DBF" sheetId="16" r:id="rId6"/>
    <sheet name="BANDHAN BOND IP" sheetId="4" r:id="rId7"/>
    <sheet name="BANDHAN BOND MT" sheetId="5" r:id="rId8"/>
    <sheet name="BANDHAN BOND ST" sheetId="6" r:id="rId9"/>
    <sheet name="BANDHAN BPDF" sheetId="3" r:id="rId10"/>
    <sheet name="BANDHAN CBF" sheetId="7" r:id="rId11"/>
    <sheet name="BANDHAN FRF" sheetId="17" r:id="rId12"/>
    <sheet name="BANDHAN CRF" sheetId="8" r:id="rId13"/>
    <sheet name="BANDHAN GSF-IP" sheetId="19" r:id="rId14"/>
    <sheet name="BANDHAN GSF - CMP" sheetId="18" r:id="rId15"/>
    <sheet name="BANDHAN Long Dur" sheetId="21" r:id="rId16"/>
    <sheet name="BANDHAN GIF26" sheetId="12" r:id="rId17"/>
    <sheet name="BANDHAN GIF2027" sheetId="15" r:id="rId18"/>
    <sheet name="BANDHAN GIF2028" sheetId="13" r:id="rId19"/>
    <sheet name="BANDHAN GIF32" sheetId="14" r:id="rId20"/>
    <sheet name="BANDHAN SDLGIF26" sheetId="10" r:id="rId21"/>
    <sheet name="BANDHAN SDLGIF27" sheetId="11" r:id="rId22"/>
    <sheet name="BANDHAN SDLGIF32" sheetId="9" r:id="rId23"/>
    <sheet name="BANDHAN ASBF" sheetId="2" r:id="rId24"/>
    <sheet name="BANDHAN US TB 0-1yr FOF" sheetId="26" r:id="rId25"/>
  </sheets>
  <definedNames>
    <definedName name="JR_PAGE_ANCHOR_0_24" localSheetId="24">#REF!</definedName>
    <definedName name="JR_PAGE_ANCHOR_0_24">#REF!</definedName>
    <definedName name="JR_PAGE_ANCHOR_0_25" localSheetId="24">#REF!</definedName>
    <definedName name="JR_PAGE_ANCHOR_0_25">#REF!</definedName>
    <definedName name="JR_PAGE_ANCHOR_0_26">#REF!</definedName>
    <definedName name="JR_PAGE_ANCHOR_0_27">#REF!</definedName>
    <definedName name="JR_PAGE_ANCHOR_0_28">#REF!</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5" i="26" l="1"/>
  <c r="J10" i="26"/>
  <c r="J9" i="26"/>
  <c r="J8" i="26"/>
  <c r="K11" i="2" l="1"/>
  <c r="K10" i="2"/>
  <c r="K9" i="2"/>
</calcChain>
</file>

<file path=xl/sharedStrings.xml><?xml version="1.0" encoding="utf-8"?>
<sst xmlns="http://schemas.openxmlformats.org/spreadsheetml/2006/main" count="1401" uniqueCount="304">
  <si>
    <t>Bandhan All Seasons Bond Fund (31 July, 2024 )</t>
  </si>
  <si>
    <t>Name</t>
  </si>
  <si>
    <t>Rating</t>
  </si>
  <si>
    <t>Total</t>
  </si>
  <si>
    <t>AAA EQUIVALENT</t>
  </si>
  <si>
    <t>Asset Quality</t>
  </si>
  <si>
    <t>Average Maturity Years</t>
  </si>
  <si>
    <t>Asset Allocation</t>
  </si>
  <si>
    <t>Bandhan Banking &amp; PSU Debt Fund (31 July, 2024 )</t>
  </si>
  <si>
    <t>Net Assets as on 31 July, 2024</t>
  </si>
  <si>
    <t>14211.17 crs</t>
  </si>
  <si>
    <t>ICICI Bank Limited</t>
  </si>
  <si>
    <t xml:space="preserve"> A1+</t>
  </si>
  <si>
    <t>Bank of Baroda</t>
  </si>
  <si>
    <t>Punjab National Bank</t>
  </si>
  <si>
    <t>Canara Bank</t>
  </si>
  <si>
    <t>Kotak Mahindra Bank Limited</t>
  </si>
  <si>
    <t>Small Industries Dev Bank of India</t>
  </si>
  <si>
    <t>Certificate of Deposit Total</t>
  </si>
  <si>
    <t>National Bank For Agriculture and Rural Development</t>
  </si>
  <si>
    <t xml:space="preserve"> AAA</t>
  </si>
  <si>
    <t>HDFC Bank Limited</t>
  </si>
  <si>
    <t>Indian Railway Finance Corporation Limited</t>
  </si>
  <si>
    <t>Power Finance Corporation Limited</t>
  </si>
  <si>
    <t>REC Limited</t>
  </si>
  <si>
    <t>National Housing Bank</t>
  </si>
  <si>
    <t>Bajaj Housing Finance Limited</t>
  </si>
  <si>
    <t>Hindustan Petroleum Corporation Limited</t>
  </si>
  <si>
    <t>Nuclear Power Corporation Of India Limited</t>
  </si>
  <si>
    <t>NTPC Limited</t>
  </si>
  <si>
    <t>Indian Oil Corporation Limited</t>
  </si>
  <si>
    <t>Power Grid Corporation of India Limited</t>
  </si>
  <si>
    <t>NHPC Limited</t>
  </si>
  <si>
    <t>Reliance Jio Infocomm Limited</t>
  </si>
  <si>
    <t>Axis Bank Limited</t>
  </si>
  <si>
    <t>Corporate Bond Total</t>
  </si>
  <si>
    <t>Corporate Debt Market Development Fund</t>
  </si>
  <si>
    <t>Corporate Debt Market Development Fund Total</t>
  </si>
  <si>
    <t>7.18% GOI (MD 14/08/2033)</t>
  </si>
  <si>
    <t>7.17% GOI (MD 17/04/2030)</t>
  </si>
  <si>
    <t>6.54% GOI (MD 17/01/2032)</t>
  </si>
  <si>
    <t>7.26% GOI (MD 22/08/2032)</t>
  </si>
  <si>
    <t>7.26% GOI (MD 06/02/2033)</t>
  </si>
  <si>
    <t>7.37% GOI (MD 23/10/2028)</t>
  </si>
  <si>
    <t>Government Bond Total</t>
  </si>
  <si>
    <t>State Government Bond Total</t>
  </si>
  <si>
    <t>Clearing Corporation of India Ltd</t>
  </si>
  <si>
    <t>TRI Party Repo Total</t>
  </si>
  <si>
    <t>Net Current Asset</t>
  </si>
  <si>
    <t>Grand Total</t>
  </si>
  <si>
    <t>Company</t>
  </si>
  <si>
    <t>TRI Party Repo</t>
  </si>
  <si>
    <t>Certificate of Deposit</t>
  </si>
  <si>
    <t>Corporate Bond</t>
  </si>
  <si>
    <t>Government Bond</t>
  </si>
  <si>
    <t>State Government Bond</t>
  </si>
  <si>
    <t>Bandhan Bond Fund - Income Plan (31 July, 2024 )</t>
  </si>
  <si>
    <t>Tata Capital Limited</t>
  </si>
  <si>
    <t>7.3% GOI (MD 19/06/2053)</t>
  </si>
  <si>
    <t>6.79% GOI (MD 15/05/2027)</t>
  </si>
  <si>
    <t>7.73% GOI (MD 19/12/2034)</t>
  </si>
  <si>
    <t>Bandhan Bond Fund - Medium Term Plan (31 July, 2024 )</t>
  </si>
  <si>
    <t>1522.87 crs</t>
  </si>
  <si>
    <t>Tata Capital Housing Finance Limited</t>
  </si>
  <si>
    <t>Bajaj Finance Limited</t>
  </si>
  <si>
    <t>8.24% GOI (MD 15/02/2027)</t>
  </si>
  <si>
    <t>Bandhan Bond Fund - Short Term Plan (31 July, 2024 )</t>
  </si>
  <si>
    <t>8726.14 crs</t>
  </si>
  <si>
    <t>Kotak Mahindra Prime Limited</t>
  </si>
  <si>
    <t>Sundaram Finance Limited</t>
  </si>
  <si>
    <t>5.63% GOI (MD 12/04/2026)</t>
  </si>
  <si>
    <t>Bandhan Corporate Bond Fund (31 July, 2024 )</t>
  </si>
  <si>
    <t>13607.68 crs</t>
  </si>
  <si>
    <t>Export Import Bank of India</t>
  </si>
  <si>
    <t>Reliance Industries Limited</t>
  </si>
  <si>
    <t>National Highways Authority Of India</t>
  </si>
  <si>
    <t>Zero Coupon Bond Total</t>
  </si>
  <si>
    <t>Zero Coupon Bond</t>
  </si>
  <si>
    <t>Bandhan Credit Risk Fund (31 July, 2024 )</t>
  </si>
  <si>
    <t>334.05 crs</t>
  </si>
  <si>
    <t>Century Textiles &amp; Industries Limited</t>
  </si>
  <si>
    <t xml:space="preserve"> AA</t>
  </si>
  <si>
    <t>Godrej Industries Limited</t>
  </si>
  <si>
    <t>Tata Projects Limited</t>
  </si>
  <si>
    <t>Bharti Telecom Limited</t>
  </si>
  <si>
    <t xml:space="preserve"> AA+</t>
  </si>
  <si>
    <t>TVS Credit Services Limited</t>
  </si>
  <si>
    <t>AU Small Finance Bank Limited</t>
  </si>
  <si>
    <t>Aadhar Housing Finance Limited</t>
  </si>
  <si>
    <t>Nirma Limited</t>
  </si>
  <si>
    <t>Godrej Properties Limited</t>
  </si>
  <si>
    <t>Nuvoco Vistas Corporation Limited</t>
  </si>
  <si>
    <t>Godrej Housing Finance Limited</t>
  </si>
  <si>
    <t>7.18% GOI (MD 24/07/2037)</t>
  </si>
  <si>
    <t>AA</t>
  </si>
  <si>
    <t>AA+</t>
  </si>
  <si>
    <t>Bandhan CRISIL IBX 90:10 SDL+Gilt Apr32 Index Fund (31 July, 2024 )</t>
  </si>
  <si>
    <t>363.70 crs</t>
  </si>
  <si>
    <t>6.1% GOI (MD 12/07/2031)</t>
  </si>
  <si>
    <t>Bandhan CRISIL IBX 90:10 SDL+Gilt Nov26 Index Fund (31 July, 2024 )</t>
  </si>
  <si>
    <t>115.08 crs</t>
  </si>
  <si>
    <t>5.74% GOI (MD 15/11/2026)</t>
  </si>
  <si>
    <t>Bandhan CRISIL IBX 90:10 SDL+Gilt Sep27 Index Fund (31 July, 2024 )</t>
  </si>
  <si>
    <t>171.07 crs</t>
  </si>
  <si>
    <t>7.38% GOI (MD 20/06/2027)</t>
  </si>
  <si>
    <t>Bandhan CRISIL IBX Gilt April 2026 Index Fund (31 July, 2024 )</t>
  </si>
  <si>
    <t>486.05 crs</t>
  </si>
  <si>
    <t>6.99% GOI (MD 17/04/2026)</t>
  </si>
  <si>
    <t>7.59% GOI(MD 11/01/2026)</t>
  </si>
  <si>
    <t>5.15% GOI (MD 09/11/2025)</t>
  </si>
  <si>
    <t>7.27% GOI (MD 08/04/2026)</t>
  </si>
  <si>
    <t>Bandhan CRISIL IBX Gilt April 2028 Index Fund (31 July, 2024 )</t>
  </si>
  <si>
    <t>4922.28 crs</t>
  </si>
  <si>
    <t>7.17% GOI (MD 08/01/2028)</t>
  </si>
  <si>
    <t>8.28% GOI (M/D 21/09/2027)</t>
  </si>
  <si>
    <t>Bandhan CRISIL IBX GILT APRIL 2032 INDEX FUND (31 July, 2024 )</t>
  </si>
  <si>
    <t>396.61 crs</t>
  </si>
  <si>
    <t>Average Maturity in Days</t>
  </si>
  <si>
    <t>Bandhan CRISIL IBX Gilt June 2027 Index Fund (31 July, 2024 )</t>
  </si>
  <si>
    <t>8365.61 crs</t>
  </si>
  <si>
    <t>Bandhan Dynamic Bond Fund (31 July, 2024 )</t>
  </si>
  <si>
    <t>2448.60 crs</t>
  </si>
  <si>
    <t>8.20% GOI (MD 24/09/2025)</t>
  </si>
  <si>
    <t>Bandhan Floating Rate Fund (31 July, 2024 )</t>
  </si>
  <si>
    <t>277.49 crs</t>
  </si>
  <si>
    <t>Cholamandalam Investment and Finance Company Ltd</t>
  </si>
  <si>
    <t>Muthoot Finance Limited</t>
  </si>
  <si>
    <t>Interest Rate Swaps</t>
  </si>
  <si>
    <t>Interest Rate Swap</t>
  </si>
  <si>
    <t>Bandhan Government Sec Fund-Constant Maturity Plan (31 July, 2024 )</t>
  </si>
  <si>
    <t>332.96 crs</t>
  </si>
  <si>
    <t>Bandhan Government Securities Fund-Investment Plan (31 July, 2024 )</t>
  </si>
  <si>
    <t>2543.49 crs</t>
  </si>
  <si>
    <t>Bandhan Liquid Fund (31 July, 2024 )</t>
  </si>
  <si>
    <t>13040.09 crs</t>
  </si>
  <si>
    <t>Union Bank of India</t>
  </si>
  <si>
    <t>IndusInd Bank Limited</t>
  </si>
  <si>
    <t>Reliance Retail Ventures Limited</t>
  </si>
  <si>
    <t>HDFC Securities Limited</t>
  </si>
  <si>
    <t>L&amp;T Finance Limited</t>
  </si>
  <si>
    <t>Titan Company Limited</t>
  </si>
  <si>
    <t>UltraTech Cement Limited</t>
  </si>
  <si>
    <t>Godrej Consumer Products Limited</t>
  </si>
  <si>
    <t>ICICI Securities Limited</t>
  </si>
  <si>
    <t>Kotak Securities Limited</t>
  </si>
  <si>
    <t>Commercial Paper Total</t>
  </si>
  <si>
    <t>Larsen &amp; Toubro Limited</t>
  </si>
  <si>
    <t>Floating Rate Note Total</t>
  </si>
  <si>
    <t>182 Days Tbill (MD 29/08/2024)</t>
  </si>
  <si>
    <t>91 Days Tbill (MD 05/09/2024)</t>
  </si>
  <si>
    <t>182 Days Tbill (MD 22/08/2024)</t>
  </si>
  <si>
    <t>182 Days Tbill (MD 26/09/2024)</t>
  </si>
  <si>
    <t>182 Days Tbill (MD 15/08/2024)</t>
  </si>
  <si>
    <t>91 Days Tbill (MD 12/09/2024)</t>
  </si>
  <si>
    <t>364 Days Tbill (MD 27/09/2024)</t>
  </si>
  <si>
    <t>182 Days Tbill (MD 08/08/2024)</t>
  </si>
  <si>
    <t>182 Days Tbill (MD 05/09/2024)</t>
  </si>
  <si>
    <t>182 Days Tbill (MD 19/09/2024)</t>
  </si>
  <si>
    <t>364 Days Tbill (MD 22/08/2024)</t>
  </si>
  <si>
    <t>364 Days Tbill (MD 16/08/2024)</t>
  </si>
  <si>
    <t>Treasury Bill Total</t>
  </si>
  <si>
    <t>Commercial Paper</t>
  </si>
  <si>
    <t>Floating Rate Note</t>
  </si>
  <si>
    <t>Treasury Bill</t>
  </si>
  <si>
    <t>Bandhan Long Duration Fund (31 July, 2024 )</t>
  </si>
  <si>
    <t>119.26 crs</t>
  </si>
  <si>
    <t>7.46% GOI (MD 06/11/2073)</t>
  </si>
  <si>
    <t>Bandhan Low Duration Fund (31 July, 2024 )</t>
  </si>
  <si>
    <t>5879.14 crs</t>
  </si>
  <si>
    <t>182 Days Tbill (MD 05/12/2024)</t>
  </si>
  <si>
    <t>364 Days Tbill (MD 21/11/2024)</t>
  </si>
  <si>
    <t>Bandhan Money Manager Fund (31 July, 2024 )</t>
  </si>
  <si>
    <t>6059.09 crs</t>
  </si>
  <si>
    <t>Panatone Finvest Limited</t>
  </si>
  <si>
    <t>Mahindra &amp; Mahindra Financial Services Limited</t>
  </si>
  <si>
    <t>Government Bond Strips Total</t>
  </si>
  <si>
    <t>Government Bond Strips</t>
  </si>
  <si>
    <t>Bandhan Overnight Fund (31 July, 2024 )</t>
  </si>
  <si>
    <t>REPO Total</t>
  </si>
  <si>
    <t>91 Days Tbill (MD 08/08/2024)</t>
  </si>
  <si>
    <t>91 Days Tbill (MD 02/08/2024)</t>
  </si>
  <si>
    <t>REPO</t>
  </si>
  <si>
    <t>Bandhan Ultra Short Term Fund (31 July, 2024 )</t>
  </si>
  <si>
    <t>3744.87 crs</t>
  </si>
  <si>
    <t xml:space="preserve">SOV </t>
  </si>
  <si>
    <t>1750.01 crs</t>
  </si>
  <si>
    <t>8.28% Maharashtra SDL (MD 29/07/2025)</t>
  </si>
  <si>
    <t>8.31% Andhra Pradesh SDL (MD 29/07/2025)</t>
  </si>
  <si>
    <t>8.17% Tamilnadu SDL (MD 26/11/2025)</t>
  </si>
  <si>
    <t>8.39% Madhya Pradesh SDL (MD 27/01/2026)</t>
  </si>
  <si>
    <t>8.54% Bihar SDL (MD 10/02/2026)</t>
  </si>
  <si>
    <t>8.82% Bihar SDL (MD 24/02/2026)</t>
  </si>
  <si>
    <t>8.83% Uttar Pradesh SDL (MD 24/02/2026)</t>
  </si>
  <si>
    <t>8.67% Karnataka SDL (MD 24/02/2026)</t>
  </si>
  <si>
    <t>8.76% Madhya Pradesh SDL (MD 24/02/2026)</t>
  </si>
  <si>
    <t>8.65% Rajasthan SDL(MD 24/02/2026)</t>
  </si>
  <si>
    <t>8.27% Haryana SDL (MD 13/05/2025)</t>
  </si>
  <si>
    <t>8.34% Uttar Pradesh SDL (MD 13/01/2026)</t>
  </si>
  <si>
    <t>8.23% Chhatisgarh SDL (MD 09/12/2025)</t>
  </si>
  <si>
    <t>8.52% Telangana SDL (MD 10/02/2026)</t>
  </si>
  <si>
    <t>7.41% Uttar Pradesh SDL (MD 09/11/2026)</t>
  </si>
  <si>
    <t>8.2% Uttar Pradesh SDL (MD 24/06/2025)</t>
  </si>
  <si>
    <t>8.07% Gujrat SDL (MD 11/02/2025)</t>
  </si>
  <si>
    <t>8.17% West Bengal SDL (MD 27/05/2025)</t>
  </si>
  <si>
    <t>8.72% Tamil Nadu SDL (MD 29/10/2024)</t>
  </si>
  <si>
    <t>8.06% Tamilnadu SDL (MD 29/04/2025)</t>
  </si>
  <si>
    <t>8.24% Tamilnadu SDL (MD 10/06/2025)</t>
  </si>
  <si>
    <t>8.24% Maharashtra SDL (MD 24/12/2024)</t>
  </si>
  <si>
    <t>5.95% Tamilnadu SDL (MD 13/05/2025)</t>
  </si>
  <si>
    <t>8.09% Andhra Pradesh SDL (MD 28/01/2025)</t>
  </si>
  <si>
    <t>5.75% Rajasthan SDL (MD 10/06/2025)</t>
  </si>
  <si>
    <t>5.8% Maharashtra SDL (MD 02/02/2025)</t>
  </si>
  <si>
    <t>5.88% Gujarat SDL (MD 31/03/2025)</t>
  </si>
  <si>
    <t>8.43% Maharashtra SDL (MD 12/11/2024)</t>
  </si>
  <si>
    <t>8.37% Tamil Nadu SDL (MD 05/12/2028)</t>
  </si>
  <si>
    <t>7.18% Tamilnadu SDL (MD 26/07/2027)</t>
  </si>
  <si>
    <t>Tata Capital Financial Services Limited*</t>
  </si>
  <si>
    <t>Power Grid Corporation of India Limited*</t>
  </si>
  <si>
    <t>5.75% Tamilnadu SDL (MD 27/05/2025)</t>
  </si>
  <si>
    <t>8.72% Tamilnadu SDL (MD 19/09/2026)</t>
  </si>
  <si>
    <t>7.04% Gujarat SDL (MD 07/08/2026)</t>
  </si>
  <si>
    <t>7.22% Maharashtra SDL (MD 26/10/2026)</t>
  </si>
  <si>
    <t>6.82% Maharashtra SDL (MD 23/11/2026)</t>
  </si>
  <si>
    <t>6.24% Maharashtra SDL (MD 11/08/2026)</t>
  </si>
  <si>
    <t>7.38% Rajasthan SDL (MD 14/09/2026)</t>
  </si>
  <si>
    <t>7.4% Madhya Pradesh SDL (MD 09/11/2026)</t>
  </si>
  <si>
    <t>7.17% Rajasthan SDL (MD 28/09/2026)</t>
  </si>
  <si>
    <t>7.69% Uttar Pradesh SDL (MD 27/07/2026)</t>
  </si>
  <si>
    <t>7.57% Gujarat SDL (MD 09/11/2026)</t>
  </si>
  <si>
    <t>7.59% Kerala SDL (MD 24/08/2026)</t>
  </si>
  <si>
    <t>7.16% Madhya Pradesh SDL (MD 28/09/2026)</t>
  </si>
  <si>
    <t>7.49% Gujarat SDL (MD 28/09/2026)</t>
  </si>
  <si>
    <t>7.69% Tamilnadu SDL (MD 27/07/2026)</t>
  </si>
  <si>
    <t>7.18% Haryana SDL (MD 28/09/2026)</t>
  </si>
  <si>
    <t>7.19% West Bangal SDL (MD 28/09/2026)</t>
  </si>
  <si>
    <t>7.15% Madhya Pradesh SDL (MD 13/10/2026)</t>
  </si>
  <si>
    <t>7.58% Tamilnadu SDL (MD 24/08/2026)</t>
  </si>
  <si>
    <t>7.51% Maharashtra SDL (MD 24/05/2027)</t>
  </si>
  <si>
    <t>7.2% Maharashtra SDL (MD 09/08/2027)</t>
  </si>
  <si>
    <t>7.47% Chhattisgarh SDL (MD 27/09/2027)</t>
  </si>
  <si>
    <t>7.33% Maharashtra SDL (MD 13/09/2027)</t>
  </si>
  <si>
    <t>6.2% Rajasthan SDL (MD 29/07/2027)</t>
  </si>
  <si>
    <t>7.27% Tamilnadu SDL (MD 12/07/2027)</t>
  </si>
  <si>
    <t>7.25% Gujarat SDL (MD 12/07/2027)</t>
  </si>
  <si>
    <t>8.49% Andhra Pradesh SDL (MD 21/08/2027)</t>
  </si>
  <si>
    <t>7.21% Tamilnadu SDL (MD 09/08/2027)</t>
  </si>
  <si>
    <t>7.28% Madhya Pradesh SDL (MD 23/08/2027)</t>
  </si>
  <si>
    <t>7.93% Karnataka SDL (MD 08/04/2031)</t>
  </si>
  <si>
    <t>6.84% Gujarat SDL (MD 24/03/2031)</t>
  </si>
  <si>
    <t>6.85% Madhya Pradesh SDL (MD 15/09/2031)</t>
  </si>
  <si>
    <t>6.83% Tamilnadu SDL (MD 15/12/2031)</t>
  </si>
  <si>
    <t>7.12% Gujarat SDL (MD 02/03/2032)</t>
  </si>
  <si>
    <t>7.17% Kerala SDL (MD 02/03/2032)</t>
  </si>
  <si>
    <t>7.09% Rajasthan SDL (MD 16/02/2032)</t>
  </si>
  <si>
    <t>7.22% Rajasthan SDL (MD 16/03/2032)</t>
  </si>
  <si>
    <t>7.23% Tamilnadu SDL (MD 23/03/2032)</t>
  </si>
  <si>
    <t>7.29% Gujarat SDL (MD 30/03/2032)</t>
  </si>
  <si>
    <t>7.3% Tamilnadu SDL (MD 30/03/2032)</t>
  </si>
  <si>
    <t>7.8% Andhra Pradesh SDL (MD 22/06/2031)</t>
  </si>
  <si>
    <t>7.68% Karnataka SDL (MD 16/11/2031)</t>
  </si>
  <si>
    <t>7.68% Haryana SDL (MD 23/11/2031)</t>
  </si>
  <si>
    <t>6.9% Andhra Pradesh SDL (MD 03/02/2032)</t>
  </si>
  <si>
    <t>7.57% Gujarat SDL (MD 28/12/2031)</t>
  </si>
  <si>
    <t>7.57% Gujarat SDL (MD 18/01/2032)</t>
  </si>
  <si>
    <t>7.63% Gujarat SDL (MD 25/01/2032)</t>
  </si>
  <si>
    <t>7.74% Andhra Pradesh SDL (MD 01/03/2032)</t>
  </si>
  <si>
    <t>7.72% Maharashtra SDL (MD 23/03/2032)</t>
  </si>
  <si>
    <t>7.73% Maharashtra SDL (MD 29/03/2032)</t>
  </si>
  <si>
    <t>7.73% Andhra Pradesh SDL (MD 23/03/2032)</t>
  </si>
  <si>
    <t>7.72% Haryana SDL (MD 23/03/2032)</t>
  </si>
  <si>
    <t>121.68 crs</t>
  </si>
  <si>
    <t>491.99 crs</t>
  </si>
  <si>
    <t xml:space="preserve">Pursuant to SEBI circular no. SEBI/HO/IMD/DF2/CIR/P/2021/683 dated December 10, 2021 (“the Circular”), SEBI has notified that with respect to the margin or collateral requirement for execution of
certain transactions, overnight funds can deploy not exceeding 5% of the net assets of the scheme in Government Securities and/or Treasury bills with a residual maturity of upto 30 days for the purpose of placing the same as margin and collateral for certain transactions. </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</si>
  <si>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The Scheme may or may not have any present or future positions in the above securities. Investors are advised to consult their own investment advisor before making any investment decision in light of their risk appetite, investment goals and horizon.”</t>
  </si>
  <si>
    <t>As per the requirement of regulation 43A of SEBI (Mutual Funds) Regulations, 1996, SEBI circular no. SEBI/HO/IMD/PoD2/P/CIR/2023/128 dated July 27, 2023 on framework for Corporate Debt Market Development Fund and SEBI circular no. SEBI/HO/IMD/PoD2 /P/CIR/2023/129 dated July 27, 2023 on investment by mutual fund schemes and Asset Management Companies (AMCs) in units of Corporate Debt Market Development Fund (“CDMDF”), specified open ended debt-oriented schemes of Bandhan Mutual Fund and Bandhan AMC Limited (‘AMC’) shall invest  percentage of net assets in the units of the CDMDF.</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</si>
  <si>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</si>
  <si>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Bandhan Bond Fund -Short Term Pl Direct Pl-Growth</t>
  </si>
  <si>
    <t>Mutual Fund Units Total</t>
  </si>
  <si>
    <t>Bandhan-Bandhan Banking &amp; PSU Debt Fund -Direct Gr</t>
  </si>
  <si>
    <t>Bandhan Floating Rate Fund Direct Growth</t>
  </si>
  <si>
    <t>Mutual Fund Units</t>
  </si>
  <si>
    <t>*Reduced Face Value Bonds</t>
  </si>
  <si>
    <t>JPMorgan ETFs BetaBuilders US Tre Bond0-1 yr UCITS</t>
  </si>
  <si>
    <t>International Mutual Fund Units</t>
  </si>
  <si>
    <t>Banks</t>
  </si>
  <si>
    <t>Software</t>
  </si>
  <si>
    <t>Power</t>
  </si>
  <si>
    <t>Consumer Non Durables</t>
  </si>
  <si>
    <t>Retailing</t>
  </si>
  <si>
    <t>Construction Project</t>
  </si>
  <si>
    <t>Gas</t>
  </si>
  <si>
    <t>Chemicals</t>
  </si>
  <si>
    <t>Hotels, Resorts And Other Recreational Activities</t>
  </si>
  <si>
    <t>Telecom - Services</t>
  </si>
  <si>
    <t>Petroleum Products</t>
  </si>
  <si>
    <t>Auto</t>
  </si>
  <si>
    <t>Ferrous Metals</t>
  </si>
  <si>
    <t>Industrial Capital Goods</t>
  </si>
  <si>
    <t>“Disclaimer: MUTUAL FUND INVESTMENTS ARE SUBJECT TO MARKET RISKS, READ ALL SCHEME RELATED DOCUMENTS CAREFULLY.
The Disclosures of scheme portfolio herein is provided solely to enhance the transparency about the investment strategy / theme of the Scheme(s) and should not be treated as endorsement of the views / opinions or as an investment advice. 
The disclosure should be read in conjunction with the Factsheet, Investment Strategy and all other Statutory Disclosures available for the Scheme. The securities referred above should not be construed as recommendations from Bandhan Mutual Fund (formerly known as IDFC Mutual Fund)/ Bandhan Mutual Fund Trustee Limited (formerly IDFC AMC Trustee Company Limited) / Bandhan AMC Limited (formerly IDFC Asset Management Company Limited), . The Scheme may or may not have any present or future positions in the above securities. Investors are advised to consult their own investment advisor before making any investment decision in light of their risk appetite, investment goals and horizon.”</t>
  </si>
  <si>
    <t>“Disclaimer: MUTUAL FUND INVESTMENTS ARE SUBJECT TO MARKET RISKS, READ ALL SCHEME RELATED DOCUMENTS CAREFULLY.                                                                                                                                                                                                                           The identity of the issuer of the Promotion Material and the investment product which is the subject of the Promotion Material and the content of the Promotion Material has been verified by the issuer thereof; The Promotion Material is not issued by J.P. Morgan Asset Management (Singapore) Limited (JPMAMSL), any of its Affiliates or a JPMorgan Fund and the Promotion Material does not relate to a direct investment in any JPMorgan Fund; neither JPMAMSL, any of its Affiliates or a JPMorgan Fund has reviewed the contents of the Promotion Material and accordingly takes no responsibility for the accuracy of the contents of the Promotion Material or any liability for any statement or misstatement in the Promotion Material; and an investor would be investing into an investment product which is established, offered and sold by the Company or its Affiliates and would not be investing in any JPMorgan Fund, and accordingly there is no contractual relationship between the Investor and JPMAMSL, any of its Affiliates or a JPMorgan Fund.</t>
  </si>
  <si>
    <t>BANDHAN US TREASURY BOND 0-1 YEAR FUND OF FUND (31 July, 2024 )</t>
  </si>
  <si>
    <t>151.24 crs</t>
  </si>
  <si>
    <t>Average Maturity in Day</t>
  </si>
  <si>
    <t>GOI Strips (MD 12/12/2024 )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</si>
</sst>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Black]\(0.00%\)"/>
    <numFmt numFmtId="165" formatCode="0.000%;[Black]\(0.000%\)"/>
    <numFmt numFmtId="166" formatCode="#0.00%;\(#0.00%\)"/>
    <numFmt numFmtId="167" formatCode="#,##0.00%_);\(#,##0.00%\)"/>
  </numFmts>
  <fonts count="15" x14ac:knownFonts="1">
    <font>
      <sz val="11"/>
      <color theme="1"/>
      <name val="Calibri"/>
      <family val="2"/>
      <scheme val="minor"/>
    </font>
    <font>
      <sz val="12"/>
      <color theme="1"/>
      <name val="Arial"/>
      <family val="2"/>
    </font>
    <font>
      <b/>
      <sz val="12"/>
      <color theme="1"/>
      <name val="Arial"/>
      <family val="2"/>
    </font>
    <font>
      <b/>
      <sz val="16"/>
      <color theme="1"/>
      <name val="Arial"/>
      <family val="2"/>
    </font>
    <font>
      <b/>
      <sz val="12"/>
      <color indexed="8"/>
      <name val="Arial"/>
      <family val="2"/>
    </font>
    <font>
      <b/>
      <sz val="11"/>
      <color theme="1"/>
      <name val="Arial"/>
      <family val="2"/>
    </font>
    <font>
      <sz val="11"/>
      <color indexed="9"/>
      <name val="Calibri"/>
      <family val="2"/>
      <scheme val="minor"/>
    </font>
    <font>
      <sz val="11"/>
      <color rgb="FFFF0000"/>
      <name val="Calibri"/>
      <family val="2"/>
      <scheme val="minor"/>
    </font>
    <font>
      <sz val="11"/>
      <color theme="0"/>
      <name val="Calibri"/>
      <family val="2"/>
      <scheme val="minor"/>
    </font>
    <font>
      <sz val="11"/>
      <color theme="1"/>
      <name val="Calibri"/>
      <family val="2"/>
      <scheme val="minor"/>
    </font>
    <font>
      <sz val="12"/>
      <name val="Arial"/>
      <family val="2"/>
    </font>
    <font>
      <b/>
      <sz val="16"/>
      <name val="Arial"/>
      <family val="2"/>
    </font>
    <font>
      <sz val="11"/>
      <name val="Calibri"/>
      <family val="2"/>
      <scheme val="minor"/>
    </font>
    <font>
      <b/>
      <sz val="12"/>
      <name val="Arial"/>
      <family val="2"/>
    </font>
    <font>
      <b/>
      <sz val="11"/>
      <name val="Arial"/>
      <family val="2"/>
    </font>
  </fonts>
  <fills count="4">
    <fill>
      <patternFill patternType="none"/>
    </fill>
    <fill>
      <patternFill patternType="gray125"/>
    </fill>
    <fill>
      <patternFill patternType="solid">
        <fgColor rgb="FFD8D8D8"/>
        <bgColor indexed="64"/>
      </patternFill>
    </fill>
    <fill>
      <patternFill patternType="solid">
        <fgColor theme="0" tint="-0.14999847407452621"/>
        <bgColor indexed="64"/>
      </patternFill>
    </fill>
  </fills>
  <borders count="35">
    <border>
      <left/>
      <right/>
      <top/>
      <bottom/>
      <diagonal/>
    </border>
    <border>
      <left/>
      <right style="thin">
        <color indexed="8"/>
      </right>
      <top style="thin">
        <color indexed="8"/>
      </top>
      <bottom/>
      <diagonal/>
    </border>
    <border>
      <left/>
      <right style="thin">
        <color indexed="8"/>
      </right>
      <top/>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top style="medium">
        <color indexed="8"/>
      </top>
      <bottom/>
      <diagonal/>
    </border>
    <border>
      <left/>
      <right style="medium">
        <color indexed="8"/>
      </right>
      <top style="medium">
        <color indexed="8"/>
      </top>
      <bottom/>
      <diagonal/>
    </border>
    <border>
      <left/>
      <right style="medium">
        <color indexed="8"/>
      </right>
      <top/>
      <bottom/>
      <diagonal/>
    </border>
    <border>
      <left style="medium">
        <color indexed="8"/>
      </left>
      <right/>
      <top style="medium">
        <color indexed="8"/>
      </top>
      <bottom/>
      <diagonal/>
    </border>
    <border>
      <left style="medium">
        <color indexed="8"/>
      </left>
      <right/>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9" fillId="0" borderId="0" applyFont="0" applyFill="0" applyBorder="0" applyAlignment="0" applyProtection="0"/>
  </cellStyleXfs>
  <cellXfs count="104">
    <xf numFmtId="0" fontId="0" fillId="0" borderId="0" xfId="0"/>
    <xf numFmtId="0" fontId="0" fillId="0" borderId="0" xfId="0" applyBorder="1"/>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wrapText="1"/>
    </xf>
    <xf numFmtId="0" fontId="2" fillId="2" borderId="7" xfId="0" applyFont="1" applyFill="1" applyBorder="1" applyAlignment="1">
      <alignment horizontal="center" vertical="center"/>
    </xf>
    <xf numFmtId="0" fontId="1" fillId="0" borderId="8" xfId="0" applyFont="1" applyBorder="1" applyAlignment="1">
      <alignment vertical="center"/>
    </xf>
    <xf numFmtId="0" fontId="1" fillId="0" borderId="4" xfId="0" applyFont="1" applyBorder="1" applyAlignment="1">
      <alignment vertical="center"/>
    </xf>
    <xf numFmtId="0" fontId="2" fillId="2" borderId="8" xfId="0" applyFont="1" applyFill="1" applyBorder="1" applyAlignment="1">
      <alignment horizontal="left" vertical="center"/>
    </xf>
    <xf numFmtId="0" fontId="2" fillId="2" borderId="4" xfId="0" applyFont="1" applyFill="1" applyBorder="1" applyAlignment="1">
      <alignment horizontal="right" vertical="center"/>
    </xf>
    <xf numFmtId="0" fontId="2" fillId="2" borderId="9" xfId="0" applyFont="1" applyFill="1" applyBorder="1" applyAlignment="1">
      <alignment horizontal="left" vertical="center"/>
    </xf>
    <xf numFmtId="0" fontId="2" fillId="2" borderId="5" xfId="0" applyFont="1" applyFill="1" applyBorder="1" applyAlignment="1">
      <alignment horizontal="right" vertical="center"/>
    </xf>
    <xf numFmtId="164" fontId="1" fillId="0" borderId="2" xfId="0" applyNumberFormat="1" applyFont="1" applyBorder="1" applyAlignment="1">
      <alignment vertical="center"/>
    </xf>
    <xf numFmtId="164" fontId="2" fillId="2" borderId="2" xfId="0" applyNumberFormat="1" applyFont="1" applyFill="1" applyBorder="1" applyAlignment="1">
      <alignment horizontal="right" vertical="center"/>
    </xf>
    <xf numFmtId="164" fontId="2" fillId="2" borderId="6" xfId="0" applyNumberFormat="1" applyFont="1" applyFill="1" applyBorder="1" applyAlignment="1">
      <alignment horizontal="right" vertical="center"/>
    </xf>
    <xf numFmtId="0" fontId="4" fillId="0" borderId="0" xfId="0" applyFont="1" applyBorder="1" applyAlignment="1">
      <alignment horizontal="left"/>
    </xf>
    <xf numFmtId="0" fontId="3" fillId="2" borderId="0" xfId="0" applyFont="1" applyFill="1" applyBorder="1" applyAlignment="1">
      <alignment horizontal="left" vertical="center"/>
    </xf>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6" fillId="0" borderId="0" xfId="0" applyFont="1" applyBorder="1"/>
    <xf numFmtId="9" fontId="6" fillId="0" borderId="0" xfId="0" applyNumberFormat="1" applyFont="1" applyBorder="1"/>
    <xf numFmtId="2" fontId="5" fillId="2" borderId="0" xfId="0" applyNumberFormat="1" applyFont="1" applyFill="1" applyBorder="1" applyAlignment="1">
      <alignment vertical="center"/>
    </xf>
    <xf numFmtId="0" fontId="0" fillId="2" borderId="0" xfId="0" applyFill="1" applyBorder="1"/>
    <xf numFmtId="0" fontId="0" fillId="2" borderId="12" xfId="0" applyFill="1" applyBorder="1"/>
    <xf numFmtId="10" fontId="0" fillId="0" borderId="0" xfId="0" applyNumberFormat="1" applyBorder="1"/>
    <xf numFmtId="10" fontId="6" fillId="0" borderId="0" xfId="0" applyNumberFormat="1" applyFont="1" applyBorder="1"/>
    <xf numFmtId="165" fontId="1" fillId="0" borderId="2" xfId="0" applyNumberFormat="1" applyFont="1" applyBorder="1" applyAlignment="1">
      <alignment vertical="center"/>
    </xf>
    <xf numFmtId="0" fontId="1" fillId="0" borderId="18" xfId="0" applyFont="1" applyBorder="1" applyAlignment="1">
      <alignment vertical="center"/>
    </xf>
    <xf numFmtId="164" fontId="1" fillId="0" borderId="18" xfId="0" applyNumberFormat="1" applyFont="1" applyBorder="1" applyAlignment="1">
      <alignment vertical="center"/>
    </xf>
    <xf numFmtId="0" fontId="7" fillId="0" borderId="0" xfId="0" applyFont="1" applyBorder="1"/>
    <xf numFmtId="0" fontId="8" fillId="0" borderId="0" xfId="0" applyFont="1" applyBorder="1"/>
    <xf numFmtId="10" fontId="8" fillId="0" borderId="0" xfId="0" applyNumberFormat="1" applyFont="1" applyBorder="1"/>
    <xf numFmtId="0" fontId="10" fillId="0" borderId="0" xfId="0" applyFont="1"/>
    <xf numFmtId="0" fontId="10" fillId="0" borderId="19" xfId="0" applyFont="1" applyBorder="1"/>
    <xf numFmtId="0" fontId="10" fillId="0" borderId="20" xfId="0" applyFont="1" applyBorder="1"/>
    <xf numFmtId="0" fontId="10" fillId="0" borderId="21" xfId="0" applyFont="1" applyBorder="1"/>
    <xf numFmtId="0" fontId="10" fillId="0" borderId="22" xfId="0" applyFont="1" applyBorder="1"/>
    <xf numFmtId="0" fontId="12" fillId="0" borderId="0" xfId="0" applyFont="1" applyBorder="1"/>
    <xf numFmtId="0" fontId="10" fillId="0" borderId="0" xfId="0" applyFont="1" applyBorder="1"/>
    <xf numFmtId="0" fontId="10" fillId="0" borderId="23" xfId="0" applyFont="1" applyBorder="1"/>
    <xf numFmtId="0" fontId="11" fillId="3" borderId="0" xfId="0" applyFont="1" applyFill="1" applyBorder="1" applyAlignment="1">
      <alignment vertical="center"/>
    </xf>
    <xf numFmtId="0" fontId="12" fillId="0" borderId="0" xfId="0" applyFont="1"/>
    <xf numFmtId="0" fontId="13" fillId="3" borderId="30" xfId="0" applyFont="1" applyFill="1" applyBorder="1" applyAlignment="1">
      <alignment horizontal="center" vertical="center" wrapText="1"/>
    </xf>
    <xf numFmtId="0" fontId="13" fillId="3" borderId="31" xfId="0" applyFont="1" applyFill="1" applyBorder="1" applyAlignment="1">
      <alignment horizontal="center" vertical="center" wrapText="1"/>
    </xf>
    <xf numFmtId="0" fontId="10" fillId="0" borderId="32" xfId="0" applyFont="1" applyBorder="1" applyAlignment="1">
      <alignment horizontal="left" vertical="center" wrapText="1"/>
    </xf>
    <xf numFmtId="166" fontId="10" fillId="0" borderId="33" xfId="1" applyNumberFormat="1" applyFont="1" applyBorder="1" applyAlignment="1">
      <alignment horizontal="right"/>
    </xf>
    <xf numFmtId="10" fontId="10" fillId="0" borderId="0" xfId="0" applyNumberFormat="1" applyFont="1" applyBorder="1"/>
    <xf numFmtId="10" fontId="10" fillId="0" borderId="0" xfId="1" applyNumberFormat="1" applyFont="1" applyBorder="1"/>
    <xf numFmtId="14" fontId="10" fillId="0" borderId="0" xfId="0" applyNumberFormat="1" applyFont="1"/>
    <xf numFmtId="0" fontId="13" fillId="3" borderId="32" xfId="0" applyFont="1" applyFill="1" applyBorder="1" applyAlignment="1">
      <alignment horizontal="left"/>
    </xf>
    <xf numFmtId="166" fontId="13" fillId="3" borderId="33" xfId="0" applyNumberFormat="1" applyFont="1" applyFill="1" applyBorder="1" applyAlignment="1">
      <alignment horizontal="right"/>
    </xf>
    <xf numFmtId="0" fontId="10" fillId="0" borderId="8" xfId="0" applyFont="1" applyBorder="1" applyAlignment="1">
      <alignment vertical="center"/>
    </xf>
    <xf numFmtId="166" fontId="10" fillId="0" borderId="33" xfId="0" applyNumberFormat="1" applyFont="1" applyBorder="1" applyAlignment="1">
      <alignment vertical="center"/>
    </xf>
    <xf numFmtId="0" fontId="13" fillId="2" borderId="8" xfId="0" applyFont="1" applyFill="1" applyBorder="1" applyAlignment="1">
      <alignment horizontal="left" vertical="center"/>
    </xf>
    <xf numFmtId="166" fontId="13" fillId="2" borderId="33" xfId="0" applyNumberFormat="1" applyFont="1" applyFill="1" applyBorder="1" applyAlignment="1">
      <alignment horizontal="right" vertical="center"/>
    </xf>
    <xf numFmtId="164" fontId="10" fillId="0" borderId="33" xfId="0" applyNumberFormat="1" applyFont="1" applyBorder="1" applyAlignment="1">
      <alignment vertical="center"/>
    </xf>
    <xf numFmtId="0" fontId="13" fillId="2" borderId="9" xfId="0" applyFont="1" applyFill="1" applyBorder="1" applyAlignment="1">
      <alignment horizontal="left" vertical="center"/>
    </xf>
    <xf numFmtId="164" fontId="13" fillId="2" borderId="34" xfId="0" applyNumberFormat="1" applyFont="1" applyFill="1" applyBorder="1" applyAlignment="1">
      <alignment horizontal="right" vertical="center"/>
    </xf>
    <xf numFmtId="0" fontId="13" fillId="0" borderId="0" xfId="0" applyFont="1" applyFill="1" applyBorder="1" applyAlignment="1">
      <alignment horizontal="left"/>
    </xf>
    <xf numFmtId="167" fontId="13" fillId="0" borderId="0" xfId="0" applyNumberFormat="1" applyFont="1" applyFill="1" applyBorder="1" applyAlignment="1">
      <alignment horizontal="right"/>
    </xf>
    <xf numFmtId="0" fontId="10" fillId="0" borderId="0" xfId="0" applyFont="1" applyFill="1" applyBorder="1"/>
    <xf numFmtId="10" fontId="13" fillId="0" borderId="0" xfId="1" applyNumberFormat="1" applyFont="1" applyFill="1" applyBorder="1" applyAlignment="1">
      <alignment horizontal="right"/>
    </xf>
    <xf numFmtId="0" fontId="10" fillId="0" borderId="24" xfId="0" applyFont="1" applyBorder="1"/>
    <xf numFmtId="1" fontId="5" fillId="2" borderId="0" xfId="0" applyNumberFormat="1" applyFont="1" applyFill="1" applyBorder="1" applyAlignment="1">
      <alignment vertical="center"/>
    </xf>
    <xf numFmtId="0" fontId="0" fillId="0" borderId="19" xfId="0" applyBorder="1" applyAlignment="1">
      <alignment horizontal="left" vertical="top" wrapText="1"/>
    </xf>
    <xf numFmtId="0" fontId="0" fillId="0" borderId="20" xfId="0" applyBorder="1" applyAlignment="1">
      <alignment horizontal="left" vertical="top" wrapText="1"/>
    </xf>
    <xf numFmtId="0" fontId="0" fillId="0" borderId="21" xfId="0" applyBorder="1" applyAlignment="1">
      <alignment horizontal="left" vertical="top" wrapText="1"/>
    </xf>
    <xf numFmtId="0" fontId="0" fillId="0" borderId="22" xfId="0" applyBorder="1" applyAlignment="1">
      <alignment horizontal="left" vertical="top" wrapText="1"/>
    </xf>
    <xf numFmtId="0" fontId="0" fillId="0" borderId="0" xfId="0" applyBorder="1" applyAlignment="1">
      <alignment horizontal="left" vertical="top" wrapText="1"/>
    </xf>
    <xf numFmtId="0" fontId="0" fillId="0" borderId="23" xfId="0" applyBorder="1" applyAlignment="1">
      <alignment horizontal="left" vertical="top" wrapText="1"/>
    </xf>
    <xf numFmtId="0" fontId="0" fillId="0" borderId="24" xfId="0" applyBorder="1" applyAlignment="1">
      <alignment horizontal="left" vertical="top" wrapText="1"/>
    </xf>
    <xf numFmtId="0" fontId="0" fillId="0" borderId="25" xfId="0" applyBorder="1" applyAlignment="1">
      <alignment horizontal="left" vertical="top" wrapText="1"/>
    </xf>
    <xf numFmtId="0" fontId="0" fillId="0" borderId="26" xfId="0" applyBorder="1" applyAlignment="1">
      <alignment horizontal="left" vertical="top" wrapText="1"/>
    </xf>
    <xf numFmtId="0" fontId="0" fillId="0" borderId="27" xfId="0" applyBorder="1" applyAlignment="1">
      <alignment horizontal="left" vertical="top"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3" fillId="2" borderId="0" xfId="0" applyFont="1" applyFill="1" applyBorder="1" applyAlignment="1">
      <alignment horizontal="center" vertical="center"/>
    </xf>
    <xf numFmtId="0" fontId="0" fillId="0" borderId="0" xfId="0" applyBorder="1" applyAlignment="1">
      <alignment horizontal="center" vertical="center"/>
    </xf>
    <xf numFmtId="0" fontId="0" fillId="0" borderId="12" xfId="0" applyBorder="1" applyAlignment="1">
      <alignment horizontal="center" vertical="center"/>
    </xf>
    <xf numFmtId="0" fontId="3" fillId="2" borderId="0" xfId="0" applyFont="1" applyFill="1" applyBorder="1" applyAlignment="1">
      <alignment horizontal="right" vertical="center"/>
    </xf>
    <xf numFmtId="0" fontId="0" fillId="0" borderId="0" xfId="0" applyBorder="1" applyAlignment="1">
      <alignment horizontal="right"/>
    </xf>
    <xf numFmtId="0" fontId="5" fillId="2" borderId="0" xfId="0" applyFont="1" applyFill="1" applyBorder="1" applyAlignment="1">
      <alignment vertical="center"/>
    </xf>
    <xf numFmtId="0" fontId="0" fillId="0" borderId="0" xfId="0" applyBorder="1" applyAlignment="1">
      <alignment vertical="center"/>
    </xf>
    <xf numFmtId="0" fontId="0" fillId="0" borderId="12" xfId="0" applyBorder="1" applyAlignment="1">
      <alignment vertical="center"/>
    </xf>
    <xf numFmtId="0" fontId="11" fillId="3" borderId="0" xfId="0" applyFont="1" applyFill="1" applyBorder="1" applyAlignment="1">
      <alignment horizontal="center" vertical="center" wrapText="1"/>
    </xf>
    <xf numFmtId="0" fontId="11" fillId="3" borderId="23" xfId="0" applyFont="1" applyFill="1" applyBorder="1" applyAlignment="1">
      <alignment horizontal="center" vertical="center" wrapText="1"/>
    </xf>
    <xf numFmtId="0" fontId="14" fillId="3" borderId="0" xfId="0" applyFont="1" applyFill="1" applyBorder="1" applyAlignment="1">
      <alignment vertical="center" wrapText="1"/>
    </xf>
    <xf numFmtId="0" fontId="14" fillId="3" borderId="23" xfId="0" applyFont="1" applyFill="1" applyBorder="1" applyAlignment="1">
      <alignment vertical="center" wrapText="1"/>
    </xf>
    <xf numFmtId="0" fontId="13" fillId="0" borderId="25" xfId="0" applyFont="1" applyBorder="1" applyAlignment="1"/>
    <xf numFmtId="0" fontId="13" fillId="0" borderId="26" xfId="0" applyFont="1" applyBorder="1" applyAlignment="1"/>
    <xf numFmtId="0" fontId="12" fillId="0" borderId="19" xfId="0" applyFont="1" applyBorder="1" applyAlignment="1">
      <alignment horizontal="left" vertical="top" wrapText="1"/>
    </xf>
    <xf numFmtId="0" fontId="12" fillId="0" borderId="20" xfId="0" applyFont="1" applyBorder="1" applyAlignment="1">
      <alignment horizontal="left" vertical="top" wrapText="1"/>
    </xf>
    <xf numFmtId="0" fontId="12" fillId="0" borderId="21" xfId="0" applyFont="1" applyBorder="1" applyAlignment="1">
      <alignment horizontal="left" vertical="top" wrapText="1"/>
    </xf>
    <xf numFmtId="0" fontId="12" fillId="0" borderId="22" xfId="0" applyFont="1" applyBorder="1" applyAlignment="1">
      <alignment horizontal="left" vertical="top" wrapText="1"/>
    </xf>
    <xf numFmtId="0" fontId="12" fillId="0" borderId="0" xfId="0" applyFont="1" applyBorder="1" applyAlignment="1">
      <alignment horizontal="left" vertical="top" wrapText="1"/>
    </xf>
    <xf numFmtId="0" fontId="12" fillId="0" borderId="23" xfId="0" applyFont="1" applyBorder="1" applyAlignment="1">
      <alignment horizontal="left" vertical="top" wrapText="1"/>
    </xf>
    <xf numFmtId="0" fontId="12" fillId="0" borderId="24" xfId="0" applyFont="1" applyBorder="1" applyAlignment="1">
      <alignment horizontal="left" vertical="top" wrapText="1"/>
    </xf>
    <xf numFmtId="0" fontId="12" fillId="0" borderId="25" xfId="0" applyFont="1" applyBorder="1" applyAlignment="1">
      <alignment horizontal="left" vertical="top" wrapText="1"/>
    </xf>
    <xf numFmtId="0" fontId="12" fillId="0" borderId="26" xfId="0" applyFont="1" applyBorder="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4.47598253275109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D3E-4B60-B102-996BEF81A234}"/>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OF'!$G$8</c:f>
              <c:strCache>
                <c:ptCount val="1"/>
                <c:pt idx="0">
                  <c:v>AAA EQUIVALENT</c:v>
                </c:pt>
              </c:strCache>
            </c:strRef>
          </c:cat>
          <c:val>
            <c:numRef>
              <c:f>'BANDHAN OF'!$H$8</c:f>
              <c:numCache>
                <c:formatCode>0%</c:formatCode>
                <c:ptCount val="1"/>
                <c:pt idx="0">
                  <c:v>1</c:v>
                </c:pt>
              </c:numCache>
            </c:numRef>
          </c:val>
          <c:extLst>
            <c:ext xmlns:c16="http://schemas.microsoft.com/office/drawing/2014/chart" uri="{C3380CC4-5D6E-409C-BE32-E72D297353CC}">
              <c16:uniqueId val="{0000000C-FD3E-4B60-B102-996BEF81A234}"/>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OF'!$K$8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4E5-47F2-9C18-FE687D27C5DD}"/>
                </c:ext>
              </c:extLst>
            </c:dLbl>
            <c:dLbl>
              <c:idx val="1"/>
              <c:layout>
                <c:manualLayout>
                  <c:x val="-0.17569862921310433"/>
                  <c:y val="-0.1608045494313210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4E5-47F2-9C18-FE687D27C5DD}"/>
                </c:ext>
              </c:extLst>
            </c:dLbl>
            <c:dLbl>
              <c:idx val="2"/>
              <c:layout>
                <c:manualLayout>
                  <c:x val="3.4167579962568917E-2"/>
                  <c:y val="0.2466901137357830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4E5-47F2-9C18-FE687D27C5DD}"/>
                </c:ext>
              </c:extLst>
            </c:dLbl>
            <c:dLbl>
              <c:idx val="3"/>
              <c:layout>
                <c:manualLayout>
                  <c:x val="-0.11715270869513902"/>
                  <c:y val="-4.047804024496937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4E5-47F2-9C18-FE687D27C5D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OF'!$J$9:$J$12</c:f>
              <c:strCache>
                <c:ptCount val="4"/>
                <c:pt idx="0">
                  <c:v>Net Current Asset</c:v>
                </c:pt>
                <c:pt idx="1">
                  <c:v>TRI Party Repo</c:v>
                </c:pt>
                <c:pt idx="2">
                  <c:v>REPO</c:v>
                </c:pt>
                <c:pt idx="3">
                  <c:v>Treasury Bill</c:v>
                </c:pt>
              </c:strCache>
            </c:strRef>
          </c:cat>
          <c:val>
            <c:numRef>
              <c:f>'BANDHAN OF'!$K$9:$K$12</c:f>
              <c:numCache>
                <c:formatCode>0.00%</c:formatCode>
                <c:ptCount val="4"/>
                <c:pt idx="0">
                  <c:v>1.73E-3</c:v>
                </c:pt>
                <c:pt idx="1">
                  <c:v>0.412607</c:v>
                </c:pt>
                <c:pt idx="2">
                  <c:v>0.54283800000000004</c:v>
                </c:pt>
                <c:pt idx="3">
                  <c:v>4.2825000000000002E-2</c:v>
                </c:pt>
              </c:numCache>
            </c:numRef>
          </c:val>
          <c:extLst>
            <c:ext xmlns:c16="http://schemas.microsoft.com/office/drawing/2014/chart" uri="{C3380CC4-5D6E-409C-BE32-E72D297353CC}">
              <c16:uniqueId val="{0000000C-54E5-47F2-9C18-FE687D27C5D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73157530897505"/>
                  <c:y val="-4.20353982300884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1EA-4F32-9FEA-32565706807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LF'!$G$8</c:f>
              <c:strCache>
                <c:ptCount val="1"/>
                <c:pt idx="0">
                  <c:v>AAA EQUIVALENT</c:v>
                </c:pt>
              </c:strCache>
            </c:strRef>
          </c:cat>
          <c:val>
            <c:numRef>
              <c:f>'BANDHAN LF'!$H$8</c:f>
              <c:numCache>
                <c:formatCode>0%</c:formatCode>
                <c:ptCount val="1"/>
                <c:pt idx="0">
                  <c:v>1</c:v>
                </c:pt>
              </c:numCache>
            </c:numRef>
          </c:val>
          <c:extLst>
            <c:ext xmlns:c16="http://schemas.microsoft.com/office/drawing/2014/chart" uri="{C3380CC4-5D6E-409C-BE32-E72D297353CC}">
              <c16:uniqueId val="{0000000C-81EA-4F32-9FEA-32565706807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LF'!$K$8</c:f>
              <c:strCache>
                <c:ptCount val="1"/>
                <c:pt idx="0">
                  <c:v>Total</c:v>
                </c:pt>
              </c:strCache>
            </c:strRef>
          </c:tx>
          <c:dLbls>
            <c:dLbl>
              <c:idx val="0"/>
              <c:layout>
                <c:manualLayout>
                  <c:x val="-0.15847063683420728"/>
                  <c:y val="-7.258543177152361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375-446F-8D7F-1D0206F8E382}"/>
                </c:ext>
              </c:extLst>
            </c:dLbl>
            <c:dLbl>
              <c:idx val="1"/>
              <c:layout>
                <c:manualLayout>
                  <c:x val="-8.7930836803857756E-2"/>
                  <c:y val="-0.2061335897369264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E375-446F-8D7F-1D0206F8E382}"/>
                </c:ext>
              </c:extLst>
            </c:dLbl>
            <c:dLbl>
              <c:idx val="2"/>
              <c:layout>
                <c:manualLayout>
                  <c:x val="-2.5270363688478983E-2"/>
                  <c:y val="-0.3671210900617620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E375-446F-8D7F-1D0206F8E382}"/>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E375-446F-8D7F-1D0206F8E382}"/>
                </c:ext>
              </c:extLst>
            </c:dLbl>
            <c:dLbl>
              <c:idx val="4"/>
              <c:layout>
                <c:manualLayout>
                  <c:x val="0.24847164848505285"/>
                  <c:y val="0.1518979929489011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E375-446F-8D7F-1D0206F8E382}"/>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E375-446F-8D7F-1D0206F8E382}"/>
                </c:ext>
              </c:extLst>
            </c:dLbl>
            <c:dLbl>
              <c:idx val="6"/>
              <c:layout>
                <c:manualLayout>
                  <c:x val="-3.533780707818375E-2"/>
                  <c:y val="0.513482497856084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E375-446F-8D7F-1D0206F8E382}"/>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E375-446F-8D7F-1D0206F8E38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LF'!$J$9:$J$16</c:f>
              <c:strCache>
                <c:ptCount val="8"/>
                <c:pt idx="0">
                  <c:v>Net Current Asset</c:v>
                </c:pt>
                <c:pt idx="1">
                  <c:v>TRI Party Repo</c:v>
                </c:pt>
                <c:pt idx="2">
                  <c:v>Certificate of Deposit</c:v>
                </c:pt>
                <c:pt idx="3">
                  <c:v>Corporate Bond</c:v>
                </c:pt>
                <c:pt idx="4">
                  <c:v>Commercial Paper</c:v>
                </c:pt>
                <c:pt idx="5">
                  <c:v>Corporate Debt Market Development Fund</c:v>
                </c:pt>
                <c:pt idx="6">
                  <c:v>Floating Rate Note</c:v>
                </c:pt>
                <c:pt idx="7">
                  <c:v>Treasury Bill</c:v>
                </c:pt>
              </c:strCache>
            </c:strRef>
          </c:cat>
          <c:val>
            <c:numRef>
              <c:f>'BANDHAN LF'!$K$9:$K$16</c:f>
              <c:numCache>
                <c:formatCode>0.00%</c:formatCode>
                <c:ptCount val="8"/>
                <c:pt idx="0">
                  <c:v>-0.23433100000000001</c:v>
                </c:pt>
                <c:pt idx="1">
                  <c:v>5.3838999999999998E-2</c:v>
                </c:pt>
                <c:pt idx="2">
                  <c:v>0.27968999999999999</c:v>
                </c:pt>
                <c:pt idx="3">
                  <c:v>5.4047999999999999E-2</c:v>
                </c:pt>
                <c:pt idx="4">
                  <c:v>0.59338800000000003</c:v>
                </c:pt>
                <c:pt idx="5">
                  <c:v>2.598E-3</c:v>
                </c:pt>
                <c:pt idx="6">
                  <c:v>7.2789999999999999E-3</c:v>
                </c:pt>
                <c:pt idx="7">
                  <c:v>0.24348900000000001</c:v>
                </c:pt>
              </c:numCache>
            </c:numRef>
          </c:val>
          <c:extLst>
            <c:ext xmlns:c16="http://schemas.microsoft.com/office/drawing/2014/chart" uri="{C3380CC4-5D6E-409C-BE32-E72D297353CC}">
              <c16:uniqueId val="{0000000C-E375-446F-8D7F-1D0206F8E38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20211392874605877"/>
                  <c:y val="-3.414096916299559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335648889713196"/>
                      <c:h val="0.16519823788546256"/>
                    </c:manualLayout>
                  </c15:layout>
                </c:ext>
                <c:ext xmlns:c16="http://schemas.microsoft.com/office/drawing/2014/chart" uri="{C3380CC4-5D6E-409C-BE32-E72D297353CC}">
                  <c16:uniqueId val="{0000000D-8A5A-4D52-A750-AD3AA8765467}"/>
                </c:ext>
              </c:extLst>
            </c:dLbl>
            <c:dLbl>
              <c:idx val="1"/>
              <c:layout>
                <c:manualLayout>
                  <c:x val="-8.7858335159925138E-2"/>
                  <c:y val="-4.671476638107461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A5A-4D52-A750-AD3AA876546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LDF'!$G$8:$G$9</c:f>
              <c:strCache>
                <c:ptCount val="2"/>
                <c:pt idx="0">
                  <c:v>AAA EQUIVALENT</c:v>
                </c:pt>
                <c:pt idx="1">
                  <c:v>AA+</c:v>
                </c:pt>
              </c:strCache>
            </c:strRef>
          </c:cat>
          <c:val>
            <c:numRef>
              <c:f>'BANDHAN LDF'!$H$8:$H$9</c:f>
              <c:numCache>
                <c:formatCode>0.00%</c:formatCode>
                <c:ptCount val="2"/>
                <c:pt idx="0">
                  <c:v>0.97193799999999997</c:v>
                </c:pt>
                <c:pt idx="1">
                  <c:v>2.8062E-2</c:v>
                </c:pt>
              </c:numCache>
            </c:numRef>
          </c:val>
          <c:extLst>
            <c:ext xmlns:c16="http://schemas.microsoft.com/office/drawing/2014/chart" uri="{C3380CC4-5D6E-409C-BE32-E72D297353CC}">
              <c16:uniqueId val="{0000000C-8A5A-4D52-A750-AD3AA876546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LDF'!$K$8</c:f>
              <c:strCache>
                <c:ptCount val="1"/>
                <c:pt idx="0">
                  <c:v>Total</c:v>
                </c:pt>
              </c:strCache>
            </c:strRef>
          </c:tx>
          <c:dLbls>
            <c:dLbl>
              <c:idx val="0"/>
              <c:layout>
                <c:manualLayout>
                  <c:x val="0.27541165758991049"/>
                  <c:y val="5.20988797968881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B3C-4BBB-835B-D610D3F595CB}"/>
                </c:ext>
              </c:extLst>
            </c:dLbl>
            <c:dLbl>
              <c:idx val="1"/>
              <c:layout>
                <c:manualLayout>
                  <c:x val="0.28261747795444198"/>
                  <c:y val="-0.1046135899679206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2B3C-4BBB-835B-D610D3F595CB}"/>
                </c:ext>
              </c:extLst>
            </c:dLbl>
            <c:dLbl>
              <c:idx val="2"/>
              <c:layout>
                <c:manualLayout>
                  <c:x val="-4.2936316579271272E-2"/>
                  <c:y val="0.5651615116737859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2B3C-4BBB-835B-D610D3F595CB}"/>
                </c:ext>
              </c:extLst>
            </c:dLbl>
            <c:dLbl>
              <c:idx val="3"/>
              <c:layout>
                <c:manualLayout>
                  <c:x val="0.28452747475088097"/>
                  <c:y val="0.1070475014152642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2B3C-4BBB-835B-D610D3F595CB}"/>
                </c:ext>
              </c:extLst>
            </c:dLbl>
            <c:dLbl>
              <c:idx val="4"/>
              <c:layout>
                <c:manualLayout>
                  <c:x val="-4.993314673995515E-2"/>
                  <c:y val="-4.781568970545348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2B3C-4BBB-835B-D610D3F595CB}"/>
                </c:ext>
              </c:extLst>
            </c:dLbl>
            <c:dLbl>
              <c:idx val="5"/>
              <c:layout>
                <c:manualLayout>
                  <c:x val="-8.753865349272455E-2"/>
                  <c:y val="0.6125881323658072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2B3C-4BBB-835B-D610D3F595CB}"/>
                </c:ext>
              </c:extLst>
            </c:dLbl>
            <c:dLbl>
              <c:idx val="6"/>
              <c:layout>
                <c:manualLayout>
                  <c:x val="0.11201723178606957"/>
                  <c:y val="-9.31984972466676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2B3C-4BBB-835B-D610D3F595CB}"/>
                </c:ext>
              </c:extLst>
            </c:dLbl>
            <c:dLbl>
              <c:idx val="7"/>
              <c:layout>
                <c:manualLayout>
                  <c:x val="-0.14567789037077003"/>
                  <c:y val="-0.1833897723568867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2B3C-4BBB-835B-D610D3F595CB}"/>
                </c:ext>
              </c:extLst>
            </c:dLbl>
            <c:dLbl>
              <c:idx val="8"/>
              <c:layout>
                <c:manualLayout>
                  <c:x val="0.23023445008346119"/>
                  <c:y val="-4.34281989261146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5-2B3C-4BBB-835B-D610D3F595CB}"/>
                </c:ext>
              </c:extLst>
            </c:dLbl>
            <c:dLbl>
              <c:idx val="9"/>
              <c:layout>
                <c:manualLayout>
                  <c:x val="0.23240941509720278"/>
                  <c:y val="-8.297737292642341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6-2B3C-4BBB-835B-D610D3F595C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LDF'!$J$9:$J$18</c:f>
              <c:strCache>
                <c:ptCount val="10"/>
                <c:pt idx="0">
                  <c:v>Net Current Asset</c:v>
                </c:pt>
                <c:pt idx="1">
                  <c:v>TRI Party Repo</c:v>
                </c:pt>
                <c:pt idx="2">
                  <c:v>Certificate of Deposit</c:v>
                </c:pt>
                <c:pt idx="3">
                  <c:v>Corporate Bond</c:v>
                </c:pt>
                <c:pt idx="4">
                  <c:v>Commercial Paper</c:v>
                </c:pt>
                <c:pt idx="5">
                  <c:v>Corporate Debt Market Development Fund</c:v>
                </c:pt>
                <c:pt idx="6">
                  <c:v>Government Bond</c:v>
                </c:pt>
                <c:pt idx="7">
                  <c:v>State Government Bond</c:v>
                </c:pt>
                <c:pt idx="8">
                  <c:v>Treasury Bill</c:v>
                </c:pt>
                <c:pt idx="9">
                  <c:v>Zero Coupon Bond</c:v>
                </c:pt>
              </c:strCache>
            </c:strRef>
          </c:cat>
          <c:val>
            <c:numRef>
              <c:f>'BANDHAN LDF'!$K$9:$K$18</c:f>
              <c:numCache>
                <c:formatCode>0.00%</c:formatCode>
                <c:ptCount val="10"/>
                <c:pt idx="0">
                  <c:v>1.1561999999999999E-2</c:v>
                </c:pt>
                <c:pt idx="1">
                  <c:v>3.4745999999999999E-2</c:v>
                </c:pt>
                <c:pt idx="2">
                  <c:v>0.292489</c:v>
                </c:pt>
                <c:pt idx="3">
                  <c:v>0.485184</c:v>
                </c:pt>
                <c:pt idx="4">
                  <c:v>3.9673E-2</c:v>
                </c:pt>
                <c:pt idx="5">
                  <c:v>2.6510000000000001E-3</c:v>
                </c:pt>
                <c:pt idx="6">
                  <c:v>1.207E-3</c:v>
                </c:pt>
                <c:pt idx="7">
                  <c:v>5.6557999999999997E-2</c:v>
                </c:pt>
                <c:pt idx="8">
                  <c:v>7.0858000000000004E-2</c:v>
                </c:pt>
                <c:pt idx="9">
                  <c:v>5.0720000000000001E-3</c:v>
                </c:pt>
              </c:numCache>
            </c:numRef>
          </c:val>
          <c:extLst>
            <c:ext xmlns:c16="http://schemas.microsoft.com/office/drawing/2014/chart" uri="{C3380CC4-5D6E-409C-BE32-E72D297353CC}">
              <c16:uniqueId val="{0000000C-2B3C-4BBB-835B-D610D3F595C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563084860645095"/>
                  <c:y val="-3.29959584697930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CC3-4189-AD95-301DCDA88CD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MMF'!$G$8</c:f>
              <c:strCache>
                <c:ptCount val="1"/>
                <c:pt idx="0">
                  <c:v>AAA EQUIVALENT</c:v>
                </c:pt>
              </c:strCache>
            </c:strRef>
          </c:cat>
          <c:val>
            <c:numRef>
              <c:f>'BANDHAN MMF'!$H$8</c:f>
              <c:numCache>
                <c:formatCode>0%</c:formatCode>
                <c:ptCount val="1"/>
                <c:pt idx="0">
                  <c:v>1</c:v>
                </c:pt>
              </c:numCache>
            </c:numRef>
          </c:val>
          <c:extLst>
            <c:ext xmlns:c16="http://schemas.microsoft.com/office/drawing/2014/chart" uri="{C3380CC4-5D6E-409C-BE32-E72D297353CC}">
              <c16:uniqueId val="{0000000C-FCC3-4189-AD95-301DCDA88CD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MMF'!$K$8</c:f>
              <c:strCache>
                <c:ptCount val="1"/>
                <c:pt idx="0">
                  <c:v>Total</c:v>
                </c:pt>
              </c:strCache>
            </c:strRef>
          </c:tx>
          <c:dLbls>
            <c:dLbl>
              <c:idx val="0"/>
              <c:layout>
                <c:manualLayout>
                  <c:x val="0.15176575224670791"/>
                  <c:y val="-5.230338574090452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371-4D78-BB38-17D50D5CC0FB}"/>
                </c:ext>
              </c:extLst>
            </c:dLbl>
            <c:dLbl>
              <c:idx val="1"/>
              <c:layout>
                <c:manualLayout>
                  <c:x val="0.28224181827378642"/>
                  <c:y val="1.312736671274869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371-4D78-BB38-17D50D5CC0FB}"/>
                </c:ext>
              </c:extLst>
            </c:dLbl>
            <c:dLbl>
              <c:idx val="2"/>
              <c:layout>
                <c:manualLayout>
                  <c:x val="-0.11734745148291154"/>
                  <c:y val="0.1759953288281712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371-4D78-BB38-17D50D5CC0FB}"/>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371-4D78-BB38-17D50D5CC0FB}"/>
                </c:ext>
              </c:extLst>
            </c:dLbl>
            <c:dLbl>
              <c:idx val="4"/>
              <c:layout>
                <c:manualLayout>
                  <c:x val="-0.11163027533763847"/>
                  <c:y val="0.6204786233781846"/>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371-4D78-BB38-17D50D5CC0FB}"/>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C371-4D78-BB38-17D50D5CC0FB}"/>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C371-4D78-BB38-17D50D5CC0F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MMF'!$J$9:$J$15</c:f>
              <c:strCache>
                <c:ptCount val="7"/>
                <c:pt idx="0">
                  <c:v>Net Current Asset</c:v>
                </c:pt>
                <c:pt idx="1">
                  <c:v>TRI Party Repo</c:v>
                </c:pt>
                <c:pt idx="2">
                  <c:v>Certificate of Deposit</c:v>
                </c:pt>
                <c:pt idx="3">
                  <c:v>Commercial Paper</c:v>
                </c:pt>
                <c:pt idx="4">
                  <c:v>Corporate Debt Market Development Fund</c:v>
                </c:pt>
                <c:pt idx="5">
                  <c:v>Government Bond Strips</c:v>
                </c:pt>
                <c:pt idx="6">
                  <c:v>State Government Bond</c:v>
                </c:pt>
              </c:strCache>
            </c:strRef>
          </c:cat>
          <c:val>
            <c:numRef>
              <c:f>'BANDHAN MMF'!$K$9:$K$15</c:f>
              <c:numCache>
                <c:formatCode>0.00%</c:formatCode>
                <c:ptCount val="7"/>
                <c:pt idx="0">
                  <c:v>-1.846E-3</c:v>
                </c:pt>
                <c:pt idx="1">
                  <c:v>2.6190000000000001E-2</c:v>
                </c:pt>
                <c:pt idx="2">
                  <c:v>0.64693400000000001</c:v>
                </c:pt>
                <c:pt idx="3">
                  <c:v>0.21062400000000001</c:v>
                </c:pt>
                <c:pt idx="4">
                  <c:v>2.147E-3</c:v>
                </c:pt>
                <c:pt idx="5">
                  <c:v>8.6600000000000002E-4</c:v>
                </c:pt>
                <c:pt idx="6">
                  <c:v>0.11508500000000001</c:v>
                </c:pt>
              </c:numCache>
            </c:numRef>
          </c:val>
          <c:extLst>
            <c:ext xmlns:c16="http://schemas.microsoft.com/office/drawing/2014/chart" uri="{C3380CC4-5D6E-409C-BE32-E72D297353CC}">
              <c16:uniqueId val="{0000000C-C371-4D78-BB38-17D50D5CC0F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17843674653088065"/>
                  <c:y val="-3.854625550660793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549781652025832"/>
                      <c:h val="0.16519823788546256"/>
                    </c:manualLayout>
                  </c15:layout>
                </c:ext>
                <c:ext xmlns:c16="http://schemas.microsoft.com/office/drawing/2014/chart" uri="{C3380CC4-5D6E-409C-BE32-E72D297353CC}">
                  <c16:uniqueId val="{0000000D-650C-45B9-A375-9C8293E0EE95}"/>
                </c:ext>
              </c:extLst>
            </c:dLbl>
            <c:dLbl>
              <c:idx val="1"/>
              <c:layout>
                <c:manualLayout>
                  <c:x val="-0.13654672983864169"/>
                  <c:y val="-1.58777619757882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50C-45B9-A375-9C8293E0EE9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USTF'!$G$8:$G$9</c:f>
              <c:strCache>
                <c:ptCount val="2"/>
                <c:pt idx="0">
                  <c:v>AAA EQUIVALENT</c:v>
                </c:pt>
                <c:pt idx="1">
                  <c:v>AA+</c:v>
                </c:pt>
              </c:strCache>
            </c:strRef>
          </c:cat>
          <c:val>
            <c:numRef>
              <c:f>'BANDHAN USTF'!$H$8:$H$9</c:f>
              <c:numCache>
                <c:formatCode>0.00%</c:formatCode>
                <c:ptCount val="2"/>
                <c:pt idx="0">
                  <c:v>0.97067800000000004</c:v>
                </c:pt>
                <c:pt idx="1">
                  <c:v>2.9322000000000001E-2</c:v>
                </c:pt>
              </c:numCache>
            </c:numRef>
          </c:val>
          <c:extLst>
            <c:ext xmlns:c16="http://schemas.microsoft.com/office/drawing/2014/chart" uri="{C3380CC4-5D6E-409C-BE32-E72D297353CC}">
              <c16:uniqueId val="{0000000C-650C-45B9-A375-9C8293E0EE9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USTF'!$K$8</c:f>
              <c:strCache>
                <c:ptCount val="1"/>
                <c:pt idx="0">
                  <c:v>Total</c:v>
                </c:pt>
              </c:strCache>
            </c:strRef>
          </c:tx>
          <c:dLbls>
            <c:dLbl>
              <c:idx val="0"/>
              <c:layout>
                <c:manualLayout>
                  <c:x val="0.21335657320136911"/>
                  <c:y val="-9.232417141723658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203-4743-8DE4-8ED205A36841}"/>
                </c:ext>
              </c:extLst>
            </c:dLbl>
            <c:dLbl>
              <c:idx val="1"/>
              <c:layout>
                <c:manualLayout>
                  <c:x val="-8.3073395268846217E-2"/>
                  <c:y val="-5.39966020129192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C203-4743-8DE4-8ED205A36841}"/>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C203-4743-8DE4-8ED205A36841}"/>
                </c:ext>
              </c:extLst>
            </c:dLbl>
            <c:dLbl>
              <c:idx val="3"/>
              <c:layout>
                <c:manualLayout>
                  <c:x val="0.27911531133554773"/>
                  <c:y val="8.5355365628584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C203-4743-8DE4-8ED205A36841}"/>
                </c:ext>
              </c:extLst>
            </c:dLbl>
            <c:dLbl>
              <c:idx val="4"/>
              <c:layout>
                <c:manualLayout>
                  <c:x val="-0.10014871267429901"/>
                  <c:y val="-0.1766425472829039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C203-4743-8DE4-8ED205A36841}"/>
                </c:ext>
              </c:extLst>
            </c:dLbl>
            <c:dLbl>
              <c:idx val="5"/>
              <c:layout>
                <c:manualLayout>
                  <c:x val="-0.17962737527188116"/>
                  <c:y val="0.6257094807289286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C203-4743-8DE4-8ED205A36841}"/>
                </c:ext>
              </c:extLst>
            </c:dLbl>
            <c:dLbl>
              <c:idx val="6"/>
              <c:layout>
                <c:manualLayout>
                  <c:x val="-0.11094243706688699"/>
                  <c:y val="-6.595199696423489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C203-4743-8DE4-8ED205A36841}"/>
                </c:ext>
              </c:extLst>
            </c:dLbl>
            <c:dLbl>
              <c:idx val="7"/>
              <c:layout>
                <c:manualLayout>
                  <c:x val="-5.0003456473722369E-2"/>
                  <c:y val="7.7549999568783364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C203-4743-8DE4-8ED205A3684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USTF'!$J$9:$J$16</c:f>
              <c:strCache>
                <c:ptCount val="8"/>
                <c:pt idx="0">
                  <c:v>Net Current Asset</c:v>
                </c:pt>
                <c:pt idx="1">
                  <c:v>TRI Party Repo</c:v>
                </c:pt>
                <c:pt idx="2">
                  <c:v>Certificate of Deposit</c:v>
                </c:pt>
                <c:pt idx="3">
                  <c:v>Corporate Bond</c:v>
                </c:pt>
                <c:pt idx="4">
                  <c:v>Commercial Paper</c:v>
                </c:pt>
                <c:pt idx="5">
                  <c:v>Corporate Debt Market Development Fund</c:v>
                </c:pt>
                <c:pt idx="6">
                  <c:v>Treasury Bill</c:v>
                </c:pt>
                <c:pt idx="7">
                  <c:v>Zero Coupon Bond</c:v>
                </c:pt>
              </c:strCache>
            </c:strRef>
          </c:cat>
          <c:val>
            <c:numRef>
              <c:f>'BANDHAN USTF'!$K$9:$K$16</c:f>
              <c:numCache>
                <c:formatCode>0.00%</c:formatCode>
                <c:ptCount val="8"/>
                <c:pt idx="0">
                  <c:v>2.4294E-2</c:v>
                </c:pt>
                <c:pt idx="1">
                  <c:v>0.11543399999999999</c:v>
                </c:pt>
                <c:pt idx="2">
                  <c:v>0.17475299999999999</c:v>
                </c:pt>
                <c:pt idx="3">
                  <c:v>0.510961</c:v>
                </c:pt>
                <c:pt idx="4">
                  <c:v>9.7243999999999997E-2</c:v>
                </c:pt>
                <c:pt idx="5">
                  <c:v>2.7139999999999998E-3</c:v>
                </c:pt>
                <c:pt idx="6">
                  <c:v>6.8156999999999995E-2</c:v>
                </c:pt>
                <c:pt idx="7">
                  <c:v>6.4429999999999999E-3</c:v>
                </c:pt>
              </c:numCache>
            </c:numRef>
          </c:val>
          <c:extLst>
            <c:ext xmlns:c16="http://schemas.microsoft.com/office/drawing/2014/chart" uri="{C3380CC4-5D6E-409C-BE32-E72D297353CC}">
              <c16:uniqueId val="{0000000C-C203-4743-8DE4-8ED205A3684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3511018563793"/>
                  <c:y val="-3.165938864628820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365-4E9E-BBA4-D6D3E943ECA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DBF'!$G$8</c:f>
              <c:strCache>
                <c:ptCount val="1"/>
                <c:pt idx="0">
                  <c:v>AAA EQUIVALENT</c:v>
                </c:pt>
              </c:strCache>
            </c:strRef>
          </c:cat>
          <c:val>
            <c:numRef>
              <c:f>'BANDHAN DBF'!$H$8</c:f>
              <c:numCache>
                <c:formatCode>0%</c:formatCode>
                <c:ptCount val="1"/>
                <c:pt idx="0">
                  <c:v>1</c:v>
                </c:pt>
              </c:numCache>
            </c:numRef>
          </c:val>
          <c:extLst>
            <c:ext xmlns:c16="http://schemas.microsoft.com/office/drawing/2014/chart" uri="{C3380CC4-5D6E-409C-BE32-E72D297353CC}">
              <c16:uniqueId val="{0000000C-6365-4E9E-BBA4-D6D3E943ECA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DBF'!$K$8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3C5-4C12-8E68-C3C482C513F8}"/>
                </c:ext>
              </c:extLst>
            </c:dLbl>
            <c:dLbl>
              <c:idx val="1"/>
              <c:layout>
                <c:manualLayout>
                  <c:x val="0.15461540407020857"/>
                  <c:y val="-1.936692913385826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3C5-4C12-8E68-C3C482C513F8}"/>
                </c:ext>
              </c:extLst>
            </c:dLbl>
            <c:dLbl>
              <c:idx val="2"/>
              <c:layout>
                <c:manualLayout>
                  <c:x val="-0.41268458412719822"/>
                  <c:y val="3.952195975503062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3C5-4C12-8E68-C3C482C513F8}"/>
                </c:ext>
              </c:extLst>
            </c:dLbl>
            <c:dLbl>
              <c:idx val="3"/>
              <c:layout>
                <c:manualLayout>
                  <c:x val="-0.31934622064104939"/>
                  <c:y val="8.4759405074365701E-4"/>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3C5-4C12-8E68-C3C482C513F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DBF'!$J$9:$J$12</c:f>
              <c:strCache>
                <c:ptCount val="4"/>
                <c:pt idx="0">
                  <c:v>Net Current Asset</c:v>
                </c:pt>
                <c:pt idx="1">
                  <c:v>TRI Party Repo</c:v>
                </c:pt>
                <c:pt idx="2">
                  <c:v>Corporate Debt Market Development Fund</c:v>
                </c:pt>
                <c:pt idx="3">
                  <c:v>Government Bond</c:v>
                </c:pt>
              </c:strCache>
            </c:strRef>
          </c:cat>
          <c:val>
            <c:numRef>
              <c:f>'BANDHAN DBF'!$K$9:$K$12</c:f>
              <c:numCache>
                <c:formatCode>0.00%</c:formatCode>
                <c:ptCount val="4"/>
                <c:pt idx="0">
                  <c:v>2.555E-3</c:v>
                </c:pt>
                <c:pt idx="1">
                  <c:v>2.5839999999999999E-3</c:v>
                </c:pt>
                <c:pt idx="2">
                  <c:v>2.4919999999999999E-3</c:v>
                </c:pt>
                <c:pt idx="3">
                  <c:v>0.99236899999999995</c:v>
                </c:pt>
              </c:numCache>
            </c:numRef>
          </c:val>
          <c:extLst>
            <c:ext xmlns:c16="http://schemas.microsoft.com/office/drawing/2014/chart" uri="{C3380CC4-5D6E-409C-BE32-E72D297353CC}">
              <c16:uniqueId val="{0000000C-F3C5-4C12-8E68-C3C482C513F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492429479505638"/>
                  <c:y val="-5.81140350877192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7EF-4816-BA9C-EFF0E3E5EDA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IP'!$G$8</c:f>
              <c:strCache>
                <c:ptCount val="1"/>
                <c:pt idx="0">
                  <c:v>AAA EQUIVALENT</c:v>
                </c:pt>
              </c:strCache>
            </c:strRef>
          </c:cat>
          <c:val>
            <c:numRef>
              <c:f>'BANDHAN BOND IP'!$H$8</c:f>
              <c:numCache>
                <c:formatCode>0%</c:formatCode>
                <c:ptCount val="1"/>
                <c:pt idx="0">
                  <c:v>1</c:v>
                </c:pt>
              </c:numCache>
            </c:numRef>
          </c:val>
          <c:extLst>
            <c:ext xmlns:c16="http://schemas.microsoft.com/office/drawing/2014/chart" uri="{C3380CC4-5D6E-409C-BE32-E72D297353CC}">
              <c16:uniqueId val="{0000000C-87EF-4816-BA9C-EFF0E3E5EDA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791-415C-8888-32BF0BE0E58C}"/>
                </c:ext>
              </c:extLst>
            </c:dLbl>
            <c:dLbl>
              <c:idx val="1"/>
              <c:layout>
                <c:manualLayout>
                  <c:x val="-0.39678505791701091"/>
                  <c:y val="-1.760387643852210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791-415C-8888-32BF0BE0E58C}"/>
                </c:ext>
              </c:extLst>
            </c:dLbl>
            <c:dLbl>
              <c:idx val="2"/>
              <c:layout>
                <c:manualLayout>
                  <c:x val="-6.2738876055910567E-2"/>
                  <c:y val="-0.1151804101410400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791-415C-8888-32BF0BE0E58C}"/>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791-415C-8888-32BF0BE0E58C}"/>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D791-415C-8888-32BF0BE0E58C}"/>
                </c:ext>
              </c:extLst>
            </c:dLbl>
            <c:dLbl>
              <c:idx val="5"/>
              <c:layout>
                <c:manualLayout>
                  <c:x val="3.3889207371562494E-2"/>
                  <c:y val="0.1991250324478670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D791-415C-8888-32BF0BE0E58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IP'!$J$9:$J$14</c:f>
              <c:strCache>
                <c:ptCount val="6"/>
                <c:pt idx="0">
                  <c:v>Net Current Asset</c:v>
                </c:pt>
                <c:pt idx="1">
                  <c:v>TRI Party Repo</c:v>
                </c:pt>
                <c:pt idx="2">
                  <c:v>Certificate of Deposit</c:v>
                </c:pt>
                <c:pt idx="3">
                  <c:v>Corporate Bond</c:v>
                </c:pt>
                <c:pt idx="4">
                  <c:v>Corporate Debt Market Development Fund</c:v>
                </c:pt>
                <c:pt idx="5">
                  <c:v>Government Bond</c:v>
                </c:pt>
              </c:strCache>
            </c:strRef>
          </c:cat>
          <c:val>
            <c:numRef>
              <c:f>'BANDHAN BOND IP'!$K$9:$K$14</c:f>
              <c:numCache>
                <c:formatCode>0.00%</c:formatCode>
                <c:ptCount val="6"/>
                <c:pt idx="0">
                  <c:v>1.9736E-2</c:v>
                </c:pt>
                <c:pt idx="1">
                  <c:v>1.261E-2</c:v>
                </c:pt>
                <c:pt idx="2">
                  <c:v>0.114996</c:v>
                </c:pt>
                <c:pt idx="3">
                  <c:v>0.19073699999999999</c:v>
                </c:pt>
                <c:pt idx="4">
                  <c:v>2.6329999999999999E-3</c:v>
                </c:pt>
                <c:pt idx="5">
                  <c:v>0.65928799999999999</c:v>
                </c:pt>
              </c:numCache>
            </c:numRef>
          </c:val>
          <c:extLst>
            <c:ext xmlns:c16="http://schemas.microsoft.com/office/drawing/2014/chart" uri="{C3380CC4-5D6E-409C-BE32-E72D297353CC}">
              <c16:uniqueId val="{0000000C-D791-415C-8888-32BF0BE0E58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3.618421052631579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B2B7-44D2-8C48-24FBA3C9D17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MT'!$G$8</c:f>
              <c:strCache>
                <c:ptCount val="1"/>
                <c:pt idx="0">
                  <c:v>AAA EQUIVALENT</c:v>
                </c:pt>
              </c:strCache>
            </c:strRef>
          </c:cat>
          <c:val>
            <c:numRef>
              <c:f>'BANDHAN BOND MT'!$H$8</c:f>
              <c:numCache>
                <c:formatCode>0%</c:formatCode>
                <c:ptCount val="1"/>
                <c:pt idx="0">
                  <c:v>1</c:v>
                </c:pt>
              </c:numCache>
            </c:numRef>
          </c:val>
          <c:extLst>
            <c:ext xmlns:c16="http://schemas.microsoft.com/office/drawing/2014/chart" uri="{C3380CC4-5D6E-409C-BE32-E72D297353CC}">
              <c16:uniqueId val="{0000000C-B2B7-44D2-8C48-24FBA3C9D17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MT'!$K$8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ED1-493C-AF45-D5E2A4C6923B}"/>
                </c:ext>
              </c:extLst>
            </c:dLbl>
            <c:dLbl>
              <c:idx val="1"/>
              <c:layout>
                <c:manualLayout>
                  <c:x val="0.11068800687922567"/>
                  <c:y val="-3.326535002796781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ED1-493C-AF45-D5E2A4C6923B}"/>
                </c:ext>
              </c:extLst>
            </c:dLbl>
            <c:dLbl>
              <c:idx val="2"/>
              <c:layout>
                <c:manualLayout>
                  <c:x val="0.18022913891652195"/>
                  <c:y val="-0.1293613872036487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ED1-493C-AF45-D5E2A4C6923B}"/>
                </c:ext>
              </c:extLst>
            </c:dLbl>
            <c:dLbl>
              <c:idx val="3"/>
              <c:layout>
                <c:manualLayout>
                  <c:x val="-7.4574347906725791E-2"/>
                  <c:y val="0.2248663998967342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ED1-493C-AF45-D5E2A4C6923B}"/>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9ED1-493C-AF45-D5E2A4C6923B}"/>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9ED1-493C-AF45-D5E2A4C6923B}"/>
                </c:ext>
              </c:extLst>
            </c:dLbl>
            <c:dLbl>
              <c:idx val="6"/>
              <c:layout>
                <c:manualLayout>
                  <c:x val="-0.21065386366318772"/>
                  <c:y val="-4.419431177660169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9ED1-493C-AF45-D5E2A4C6923B}"/>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MT'!$J$9:$J$15</c:f>
              <c:strCache>
                <c:ptCount val="7"/>
                <c:pt idx="0">
                  <c:v>Net Current Asset</c:v>
                </c:pt>
                <c:pt idx="1">
                  <c:v>TRI Party Repo</c:v>
                </c:pt>
                <c:pt idx="2">
                  <c:v>Certificate of Deposit</c:v>
                </c:pt>
                <c:pt idx="3">
                  <c:v>Corporate Bond</c:v>
                </c:pt>
                <c:pt idx="4">
                  <c:v>Corporate Debt Market Development Fund</c:v>
                </c:pt>
                <c:pt idx="5">
                  <c:v>Government Bond</c:v>
                </c:pt>
                <c:pt idx="6">
                  <c:v>State Government Bond</c:v>
                </c:pt>
              </c:strCache>
            </c:strRef>
          </c:cat>
          <c:val>
            <c:numRef>
              <c:f>'BANDHAN BOND MT'!$K$9:$K$15</c:f>
              <c:numCache>
                <c:formatCode>0.00%</c:formatCode>
                <c:ptCount val="7"/>
                <c:pt idx="0">
                  <c:v>1.8461000000000002E-2</c:v>
                </c:pt>
                <c:pt idx="1">
                  <c:v>6.7369999999999999E-3</c:v>
                </c:pt>
                <c:pt idx="2">
                  <c:v>7.6373999999999997E-2</c:v>
                </c:pt>
                <c:pt idx="3">
                  <c:v>0.41719499999999998</c:v>
                </c:pt>
                <c:pt idx="4">
                  <c:v>3.4499999999999999E-3</c:v>
                </c:pt>
                <c:pt idx="5">
                  <c:v>0.47644900000000001</c:v>
                </c:pt>
                <c:pt idx="6">
                  <c:v>1.3339999999999999E-3</c:v>
                </c:pt>
              </c:numCache>
            </c:numRef>
          </c:val>
          <c:extLst>
            <c:ext xmlns:c16="http://schemas.microsoft.com/office/drawing/2014/chart" uri="{C3380CC4-5D6E-409C-BE32-E72D297353CC}">
              <c16:uniqueId val="{0000000C-9ED1-493C-AF45-D5E2A4C6923B}"/>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117697145458532"/>
                  <c:y val="-1.10619469026548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8B0-418C-9892-3207895993F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ST'!$G$8</c:f>
              <c:strCache>
                <c:ptCount val="1"/>
                <c:pt idx="0">
                  <c:v>AAA EQUIVALENT</c:v>
                </c:pt>
              </c:strCache>
            </c:strRef>
          </c:cat>
          <c:val>
            <c:numRef>
              <c:f>'BANDHAN BOND ST'!$H$8</c:f>
              <c:numCache>
                <c:formatCode>0%</c:formatCode>
                <c:ptCount val="1"/>
                <c:pt idx="0">
                  <c:v>1</c:v>
                </c:pt>
              </c:numCache>
            </c:numRef>
          </c:val>
          <c:extLst>
            <c:ext xmlns:c16="http://schemas.microsoft.com/office/drawing/2014/chart" uri="{C3380CC4-5D6E-409C-BE32-E72D297353CC}">
              <c16:uniqueId val="{0000000C-38B0-418C-9892-3207895993F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BOND ST'!$K$8</c:f>
              <c:strCache>
                <c:ptCount val="1"/>
                <c:pt idx="0">
                  <c:v>Total</c:v>
                </c:pt>
              </c:strCache>
            </c:strRef>
          </c:tx>
          <c:dLbls>
            <c:dLbl>
              <c:idx val="0"/>
              <c:layout>
                <c:manualLayout>
                  <c:x val="-1.5793808696825104E-2"/>
                  <c:y val="-6.7246496148765716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CB9-4F4E-9EDB-F12910EBA541}"/>
                </c:ext>
              </c:extLst>
            </c:dLbl>
            <c:dLbl>
              <c:idx val="1"/>
              <c:layout>
                <c:manualLayout>
                  <c:x val="-0.30517358242425263"/>
                  <c:y val="-2.662480915375774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CB9-4F4E-9EDB-F12910EBA541}"/>
                </c:ext>
              </c:extLst>
            </c:dLbl>
            <c:dLbl>
              <c:idx val="2"/>
              <c:layout>
                <c:manualLayout>
                  <c:x val="-4.2918528385236639E-2"/>
                  <c:y val="-6.856706637160550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CB9-4F4E-9EDB-F12910EBA541}"/>
                </c:ext>
              </c:extLst>
            </c:dLbl>
            <c:dLbl>
              <c:idx val="3"/>
              <c:layout>
                <c:manualLayout>
                  <c:x val="0.14443423426461413"/>
                  <c:y val="3.872849227179935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8CB9-4F4E-9EDB-F12910EBA541}"/>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8CB9-4F4E-9EDB-F12910EBA541}"/>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8CB9-4F4E-9EDB-F12910EBA54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BOND ST'!$J$9:$J$14</c:f>
              <c:strCache>
                <c:ptCount val="6"/>
                <c:pt idx="0">
                  <c:v>Net Current Asset</c:v>
                </c:pt>
                <c:pt idx="1">
                  <c:v>TRI Party Repo</c:v>
                </c:pt>
                <c:pt idx="2">
                  <c:v>Certificate of Deposit</c:v>
                </c:pt>
                <c:pt idx="3">
                  <c:v>Corporate Bond</c:v>
                </c:pt>
                <c:pt idx="4">
                  <c:v>Corporate Debt Market Development Fund</c:v>
                </c:pt>
                <c:pt idx="5">
                  <c:v>Government Bond</c:v>
                </c:pt>
              </c:strCache>
            </c:strRef>
          </c:cat>
          <c:val>
            <c:numRef>
              <c:f>'BANDHAN BOND ST'!$K$9:$K$14</c:f>
              <c:numCache>
                <c:formatCode>0.00%</c:formatCode>
                <c:ptCount val="6"/>
                <c:pt idx="0">
                  <c:v>3.3274999999999999E-2</c:v>
                </c:pt>
                <c:pt idx="1">
                  <c:v>8.1469999999999997E-3</c:v>
                </c:pt>
                <c:pt idx="2">
                  <c:v>0.24732100000000001</c:v>
                </c:pt>
                <c:pt idx="3">
                  <c:v>0.39171</c:v>
                </c:pt>
                <c:pt idx="4">
                  <c:v>2.8170000000000001E-3</c:v>
                </c:pt>
                <c:pt idx="5">
                  <c:v>0.31673000000000001</c:v>
                </c:pt>
              </c:numCache>
            </c:numRef>
          </c:val>
          <c:extLst>
            <c:ext xmlns:c16="http://schemas.microsoft.com/office/drawing/2014/chart" uri="{C3380CC4-5D6E-409C-BE32-E72D297353CC}">
              <c16:uniqueId val="{0000000C-8CB9-4F4E-9EDB-F12910EBA54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73157530897505"/>
                  <c:y val="-1.106194690265486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FA7-4406-8C72-7B50D924DBE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BPDF'!$G$8</c:f>
              <c:strCache>
                <c:ptCount val="1"/>
                <c:pt idx="0">
                  <c:v>AAA EQUIVALENT</c:v>
                </c:pt>
              </c:strCache>
            </c:strRef>
          </c:cat>
          <c:val>
            <c:numRef>
              <c:f>'BANDHAN BPDF'!$H$8</c:f>
              <c:numCache>
                <c:formatCode>0%</c:formatCode>
                <c:ptCount val="1"/>
                <c:pt idx="0">
                  <c:v>1</c:v>
                </c:pt>
              </c:numCache>
            </c:numRef>
          </c:val>
          <c:extLst>
            <c:ext xmlns:c16="http://schemas.microsoft.com/office/drawing/2014/chart" uri="{C3380CC4-5D6E-409C-BE32-E72D297353CC}">
              <c16:uniqueId val="{0000000C-2FA7-4406-8C72-7B50D924DBE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BPDF'!$K$8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198-4353-975A-A7E450F38BE9}"/>
                </c:ext>
              </c:extLst>
            </c:dLbl>
            <c:dLbl>
              <c:idx val="1"/>
              <c:layout>
                <c:manualLayout>
                  <c:x val="5.9419312414641962E-2"/>
                  <c:y val="-8.218843931637258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198-4353-975A-A7E450F38BE9}"/>
                </c:ext>
              </c:extLst>
            </c:dLbl>
            <c:dLbl>
              <c:idx val="2"/>
              <c:layout>
                <c:manualLayout>
                  <c:x val="9.6481646967576593E-2"/>
                  <c:y val="-3.010801867588333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198-4353-975A-A7E450F38BE9}"/>
                </c:ext>
              </c:extLst>
            </c:dLbl>
            <c:dLbl>
              <c:idx val="3"/>
              <c:layout>
                <c:manualLayout>
                  <c:x val="0.20148206848876224"/>
                  <c:y val="-6.409050353854283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D198-4353-975A-A7E450F38BE9}"/>
                </c:ext>
              </c:extLst>
            </c:dLbl>
            <c:dLbl>
              <c:idx val="4"/>
              <c:layout>
                <c:manualLayout>
                  <c:x val="1.2347451482911531E-2"/>
                  <c:y val="0.5419193887892725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D198-4353-975A-A7E450F38BE9}"/>
                </c:ext>
              </c:extLst>
            </c:dLbl>
            <c:dLbl>
              <c:idx val="5"/>
              <c:layout>
                <c:manualLayout>
                  <c:x val="-0.11294103761655061"/>
                  <c:y val="-0.12902436700362949"/>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D198-4353-975A-A7E450F38BE9}"/>
                </c:ext>
              </c:extLst>
            </c:dLbl>
            <c:dLbl>
              <c:idx val="6"/>
              <c:layout>
                <c:manualLayout>
                  <c:x val="-0.17906928122207422"/>
                  <c:y val="-3.0709527645677954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D198-4353-975A-A7E450F38BE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BPDF'!$J$9:$J$15</c:f>
              <c:strCache>
                <c:ptCount val="7"/>
                <c:pt idx="0">
                  <c:v>Net Current Asset</c:v>
                </c:pt>
                <c:pt idx="1">
                  <c:v>TRI Party Repo</c:v>
                </c:pt>
                <c:pt idx="2">
                  <c:v>Certificate of Deposit</c:v>
                </c:pt>
                <c:pt idx="3">
                  <c:v>Corporate Bond</c:v>
                </c:pt>
                <c:pt idx="4">
                  <c:v>Corporate Debt Market Development Fund</c:v>
                </c:pt>
                <c:pt idx="5">
                  <c:v>Government Bond</c:v>
                </c:pt>
                <c:pt idx="6">
                  <c:v>State Government Bond</c:v>
                </c:pt>
              </c:strCache>
            </c:strRef>
          </c:cat>
          <c:val>
            <c:numRef>
              <c:f>'BANDHAN BPDF'!$K$9:$K$15</c:f>
              <c:numCache>
                <c:formatCode>0.00%</c:formatCode>
                <c:ptCount val="7"/>
                <c:pt idx="0">
                  <c:v>2.2852000000000001E-2</c:v>
                </c:pt>
                <c:pt idx="1">
                  <c:v>2.4617E-2</c:v>
                </c:pt>
                <c:pt idx="2">
                  <c:v>0.120628</c:v>
                </c:pt>
                <c:pt idx="3">
                  <c:v>0.63088900000000003</c:v>
                </c:pt>
                <c:pt idx="4">
                  <c:v>2.6480000000000002E-3</c:v>
                </c:pt>
                <c:pt idx="5">
                  <c:v>0.19828100000000001</c:v>
                </c:pt>
                <c:pt idx="6">
                  <c:v>8.5000000000000006E-5</c:v>
                </c:pt>
              </c:numCache>
            </c:numRef>
          </c:val>
          <c:extLst>
            <c:ext xmlns:c16="http://schemas.microsoft.com/office/drawing/2014/chart" uri="{C3380CC4-5D6E-409C-BE32-E72D297353CC}">
              <c16:uniqueId val="{0000000C-D198-4353-975A-A7E450F38BE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134827766443539"/>
                  <c:y val="-0.0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7AA-4570-85A8-00D16F084F4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CBF'!$G$8</c:f>
              <c:strCache>
                <c:ptCount val="1"/>
                <c:pt idx="0">
                  <c:v>AAA EQUIVALENT</c:v>
                </c:pt>
              </c:strCache>
            </c:strRef>
          </c:cat>
          <c:val>
            <c:numRef>
              <c:f>'BANDHAN CBF'!$H$8</c:f>
              <c:numCache>
                <c:formatCode>0%</c:formatCode>
                <c:ptCount val="1"/>
                <c:pt idx="0">
                  <c:v>1</c:v>
                </c:pt>
              </c:numCache>
            </c:numRef>
          </c:val>
          <c:extLst>
            <c:ext xmlns:c16="http://schemas.microsoft.com/office/drawing/2014/chart" uri="{C3380CC4-5D6E-409C-BE32-E72D297353CC}">
              <c16:uniqueId val="{0000000C-07AA-4570-85A8-00D16F084F4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CBF'!$K$8</c:f>
              <c:strCache>
                <c:ptCount val="1"/>
                <c:pt idx="0">
                  <c:v>Total</c:v>
                </c:pt>
              </c:strCache>
            </c:strRef>
          </c:tx>
          <c:dLbls>
            <c:dLbl>
              <c:idx val="0"/>
              <c:layout>
                <c:manualLayout>
                  <c:x val="0.31027769815710937"/>
                  <c:y val="-8.93519874567101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5C2-4CC4-99E6-D06FD58C967A}"/>
                </c:ext>
              </c:extLst>
            </c:dLbl>
            <c:dLbl>
              <c:idx val="1"/>
              <c:layout>
                <c:manualLayout>
                  <c:x val="0.13100895310998331"/>
                  <c:y val="1.041127517703615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5C2-4CC4-99E6-D06FD58C967A}"/>
                </c:ext>
              </c:extLst>
            </c:dLbl>
            <c:dLbl>
              <c:idx val="2"/>
              <c:layout>
                <c:manualLayout>
                  <c:x val="-5.1555160262354786E-2"/>
                  <c:y val="0.1761401816020262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5C2-4CC4-99E6-D06FD58C967A}"/>
                </c:ext>
              </c:extLst>
            </c:dLbl>
            <c:dLbl>
              <c:idx val="3"/>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55C2-4CC4-99E6-D06FD58C967A}"/>
                </c:ext>
              </c:extLst>
            </c:dLbl>
            <c:dLbl>
              <c:idx val="4"/>
              <c:layout>
                <c:manualLayout>
                  <c:x val="0.13117123876646039"/>
                  <c:y val="0.5990361653371009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55C2-4CC4-99E6-D06FD58C967A}"/>
                </c:ext>
              </c:extLst>
            </c:dLbl>
            <c:dLbl>
              <c:idx val="5"/>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55C2-4CC4-99E6-D06FD58C967A}"/>
                </c:ext>
              </c:extLst>
            </c:dLbl>
            <c:dLbl>
              <c:idx val="6"/>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55C2-4CC4-99E6-D06FD58C967A}"/>
                </c:ext>
              </c:extLst>
            </c:dLbl>
            <c:dLbl>
              <c:idx val="7"/>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4-55C2-4CC4-99E6-D06FD58C967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CBF'!$J$9:$J$16</c:f>
              <c:strCache>
                <c:ptCount val="8"/>
                <c:pt idx="0">
                  <c:v>Net Current Asset</c:v>
                </c:pt>
                <c:pt idx="1">
                  <c:v>TRI Party Repo</c:v>
                </c:pt>
                <c:pt idx="2">
                  <c:v>Corporate Bond</c:v>
                </c:pt>
                <c:pt idx="3">
                  <c:v>Corporate Debt Market Development Fund</c:v>
                </c:pt>
                <c:pt idx="4">
                  <c:v>Government Bond</c:v>
                </c:pt>
                <c:pt idx="6">
                  <c:v>State Government Bond</c:v>
                </c:pt>
                <c:pt idx="7">
                  <c:v>Zero Coupon Bond</c:v>
                </c:pt>
              </c:strCache>
            </c:strRef>
          </c:cat>
          <c:val>
            <c:numRef>
              <c:f>'BANDHAN CBF'!$K$9:$K$16</c:f>
              <c:numCache>
                <c:formatCode>0.00%</c:formatCode>
                <c:ptCount val="8"/>
                <c:pt idx="0">
                  <c:v>2.8136000000000001E-2</c:v>
                </c:pt>
                <c:pt idx="1">
                  <c:v>1.3934999999999999E-2</c:v>
                </c:pt>
                <c:pt idx="2">
                  <c:v>0.68190300000000004</c:v>
                </c:pt>
                <c:pt idx="3">
                  <c:v>2.9229999999999998E-3</c:v>
                </c:pt>
                <c:pt idx="4">
                  <c:v>0.26372200000000001</c:v>
                </c:pt>
                <c:pt idx="6">
                  <c:v>1.8200000000000001E-4</c:v>
                </c:pt>
                <c:pt idx="7">
                  <c:v>9.1990000000000006E-3</c:v>
                </c:pt>
              </c:numCache>
            </c:numRef>
          </c:val>
          <c:extLst>
            <c:ext xmlns:c16="http://schemas.microsoft.com/office/drawing/2014/chart" uri="{C3380CC4-5D6E-409C-BE32-E72D297353CC}">
              <c16:uniqueId val="{0000000C-55C2-4CC4-99E6-D06FD58C967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5.8728523495590886E-2"/>
                  <c:y val="-0.4235934778064246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15:layout>
                    <c:manualLayout>
                      <c:w val="0.249780471766511"/>
                      <c:h val="0.16592920353982302"/>
                    </c:manualLayout>
                  </c15:layout>
                </c:ext>
                <c:ext xmlns:c16="http://schemas.microsoft.com/office/drawing/2014/chart" uri="{C3380CC4-5D6E-409C-BE32-E72D297353CC}">
                  <c16:uniqueId val="{0000000D-D810-4333-ADC0-5E7C670EB1C1}"/>
                </c:ext>
              </c:extLst>
            </c:dLbl>
            <c:dLbl>
              <c:idx val="1"/>
              <c:layout>
                <c:manualLayout>
                  <c:x val="3.5238243774132087E-2"/>
                  <c:y val="0.2424827538150651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810-4333-ADC0-5E7C670EB1C1}"/>
                </c:ext>
              </c:extLst>
            </c:dLbl>
            <c:dLbl>
              <c:idx val="2"/>
              <c:layout>
                <c:manualLayout>
                  <c:x val="-8.9003355308637615E-3"/>
                  <c:y val="-3.55529231412445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810-4333-ADC0-5E7C670EB1C1}"/>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FRF'!$G$8:$G$10</c:f>
              <c:strCache>
                <c:ptCount val="3"/>
                <c:pt idx="0">
                  <c:v>AAA EQUIVALENT</c:v>
                </c:pt>
                <c:pt idx="1">
                  <c:v>AA</c:v>
                </c:pt>
                <c:pt idx="2">
                  <c:v>AA+</c:v>
                </c:pt>
              </c:strCache>
            </c:strRef>
          </c:cat>
          <c:val>
            <c:numRef>
              <c:f>'BANDHAN FRF'!$H$8:$H$10</c:f>
              <c:numCache>
                <c:formatCode>0.00%</c:formatCode>
                <c:ptCount val="3"/>
                <c:pt idx="0">
                  <c:v>0.58447800000000005</c:v>
                </c:pt>
                <c:pt idx="1">
                  <c:v>0.235289</c:v>
                </c:pt>
                <c:pt idx="2">
                  <c:v>0.180233</c:v>
                </c:pt>
              </c:numCache>
            </c:numRef>
          </c:val>
          <c:extLst>
            <c:ext xmlns:c16="http://schemas.microsoft.com/office/drawing/2014/chart" uri="{C3380CC4-5D6E-409C-BE32-E72D297353CC}">
              <c16:uniqueId val="{0000000C-D810-4333-ADC0-5E7C670EB1C1}"/>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FRF'!$K$8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E75-446B-B0E9-F02F15C1B6B9}"/>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E75-446B-B0E9-F02F15C1B6B9}"/>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E75-446B-B0E9-F02F15C1B6B9}"/>
                </c:ext>
              </c:extLst>
            </c:dLbl>
            <c:dLbl>
              <c:idx val="3"/>
              <c:layout>
                <c:manualLayout>
                  <c:x val="-4.0754101401136424E-2"/>
                  <c:y val="0.122843213695132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3E75-446B-B0E9-F02F15C1B6B9}"/>
                </c:ext>
              </c:extLst>
            </c:dLbl>
            <c:dLbl>
              <c:idx val="4"/>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3E75-446B-B0E9-F02F15C1B6B9}"/>
                </c:ext>
              </c:extLst>
            </c:dLbl>
            <c:dLbl>
              <c:idx val="5"/>
              <c:layout>
                <c:manualLayout>
                  <c:x val="-5.3096831846768618E-2"/>
                  <c:y val="-0.1356709192634925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2-3E75-446B-B0E9-F02F15C1B6B9}"/>
                </c:ext>
              </c:extLst>
            </c:dLbl>
            <c:dLbl>
              <c:idx val="6"/>
              <c:layout>
                <c:manualLayout>
                  <c:x val="-0.18549326409145322"/>
                  <c:y val="-1.692082287320178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3-3E75-446B-B0E9-F02F15C1B6B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FRF'!$J$9:$J$15</c:f>
              <c:strCache>
                <c:ptCount val="7"/>
                <c:pt idx="0">
                  <c:v>Net Current Asset</c:v>
                </c:pt>
                <c:pt idx="1">
                  <c:v>TRI Party Repo</c:v>
                </c:pt>
                <c:pt idx="2">
                  <c:v>Certificate of Deposit</c:v>
                </c:pt>
                <c:pt idx="3">
                  <c:v>Corporate Bond</c:v>
                </c:pt>
                <c:pt idx="4">
                  <c:v>Corporate Debt Market Development Fund</c:v>
                </c:pt>
                <c:pt idx="5">
                  <c:v>Government Bond</c:v>
                </c:pt>
                <c:pt idx="6">
                  <c:v>Interest Rate Swap</c:v>
                </c:pt>
              </c:strCache>
            </c:strRef>
          </c:cat>
          <c:val>
            <c:numRef>
              <c:f>'BANDHAN FRF'!$K$9:$K$15</c:f>
              <c:numCache>
                <c:formatCode>0.00%</c:formatCode>
                <c:ptCount val="7"/>
                <c:pt idx="0">
                  <c:v>2.0820000000000002E-2</c:v>
                </c:pt>
                <c:pt idx="1">
                  <c:v>6.9457000000000005E-2</c:v>
                </c:pt>
                <c:pt idx="2">
                  <c:v>1.7708999999999999E-2</c:v>
                </c:pt>
                <c:pt idx="3">
                  <c:v>0.61321000000000003</c:v>
                </c:pt>
                <c:pt idx="4">
                  <c:v>3.248E-3</c:v>
                </c:pt>
                <c:pt idx="5">
                  <c:v>0.27555800000000003</c:v>
                </c:pt>
                <c:pt idx="6">
                  <c:v>-1.9999999999999999E-6</c:v>
                </c:pt>
              </c:numCache>
            </c:numRef>
          </c:val>
          <c:extLst>
            <c:ext xmlns:c16="http://schemas.microsoft.com/office/drawing/2014/chart" uri="{C3380CC4-5D6E-409C-BE32-E72D297353CC}">
              <c16:uniqueId val="{0000000C-3E75-446B-B0E9-F02F15C1B6B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5.1298200947579628E-2"/>
                  <c:y val="0.22029172014291165"/>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6B4E-4F93-B6CC-28C20740A560}"/>
                </c:ext>
              </c:extLst>
            </c:dLbl>
            <c:dLbl>
              <c:idx val="1"/>
              <c:layout>
                <c:manualLayout>
                  <c:x val="-8.187880422870053E-3"/>
                  <c:y val="-0.19074542994900967"/>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6B4E-4F93-B6CC-28C20740A560}"/>
                </c:ext>
              </c:extLst>
            </c:dLbl>
            <c:dLbl>
              <c:idx val="2"/>
              <c:layout>
                <c:manualLayout>
                  <c:x val="0.11820423544487346"/>
                  <c:y val="-3.900343404211037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6B4E-4F93-B6CC-28C20740A56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CRF'!$G$8:$G$10</c:f>
              <c:strCache>
                <c:ptCount val="3"/>
                <c:pt idx="0">
                  <c:v>AA</c:v>
                </c:pt>
                <c:pt idx="1">
                  <c:v>AAA EQUIVALENT</c:v>
                </c:pt>
                <c:pt idx="2">
                  <c:v>AA+</c:v>
                </c:pt>
              </c:strCache>
            </c:strRef>
          </c:cat>
          <c:val>
            <c:numRef>
              <c:f>'BANDHAN CRF'!$H$8:$H$10</c:f>
              <c:numCache>
                <c:formatCode>0.00%</c:formatCode>
                <c:ptCount val="3"/>
                <c:pt idx="0">
                  <c:v>0.62874200000000002</c:v>
                </c:pt>
                <c:pt idx="1">
                  <c:v>0.25137999999999999</c:v>
                </c:pt>
                <c:pt idx="2">
                  <c:v>0.119878</c:v>
                </c:pt>
              </c:numCache>
            </c:numRef>
          </c:val>
          <c:extLst>
            <c:ext xmlns:c16="http://schemas.microsoft.com/office/drawing/2014/chart" uri="{C3380CC4-5D6E-409C-BE32-E72D297353CC}">
              <c16:uniqueId val="{0000000C-6B4E-4F93-B6CC-28C20740A56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CRF'!$K$8</c:f>
              <c:strCache>
                <c:ptCount val="1"/>
                <c:pt idx="0">
                  <c:v>Total</c:v>
                </c:pt>
              </c:strCache>
            </c:strRef>
          </c:tx>
          <c:dLbls>
            <c:dLbl>
              <c:idx val="0"/>
              <c:layout>
                <c:manualLayout>
                  <c:x val="0.27421504324807366"/>
                  <c:y val="-2.98156942069121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FAB-46FA-8446-EC195E2AA1D8}"/>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4FAB-46FA-8446-EC195E2AA1D8}"/>
                </c:ext>
              </c:extLst>
            </c:dLbl>
            <c:dLbl>
              <c:idx val="2"/>
              <c:layout>
                <c:manualLayout>
                  <c:x val="1.3975113389198941E-2"/>
                  <c:y val="4.25363532976239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4FAB-46FA-8446-EC195E2AA1D8}"/>
                </c:ext>
              </c:extLst>
            </c:dLbl>
            <c:dLbl>
              <c:idx val="3"/>
              <c:layout>
                <c:manualLayout>
                  <c:x val="-7.1921630781163065E-3"/>
                  <c:y val="0.55886378039569751"/>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4FAB-46FA-8446-EC195E2AA1D8}"/>
                </c:ext>
              </c:extLst>
            </c:dLbl>
            <c:dLbl>
              <c:idx val="4"/>
              <c:layout>
                <c:manualLayout>
                  <c:x val="0.24745274747508811"/>
                  <c:y val="-8.43563187457135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1-4FAB-46FA-8446-EC195E2AA1D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CRF'!$J$9:$J$13</c:f>
              <c:strCache>
                <c:ptCount val="5"/>
                <c:pt idx="0">
                  <c:v>Net Current Asset</c:v>
                </c:pt>
                <c:pt idx="1">
                  <c:v>TRI Party Repo</c:v>
                </c:pt>
                <c:pt idx="2">
                  <c:v>Corporate Bond</c:v>
                </c:pt>
                <c:pt idx="3">
                  <c:v>Corporate Debt Market Development Fund</c:v>
                </c:pt>
                <c:pt idx="4">
                  <c:v>Government Bond</c:v>
                </c:pt>
              </c:strCache>
            </c:strRef>
          </c:cat>
          <c:val>
            <c:numRef>
              <c:f>'BANDHAN CRF'!$K$9:$K$13</c:f>
              <c:numCache>
                <c:formatCode>0.00%</c:formatCode>
                <c:ptCount val="5"/>
                <c:pt idx="0">
                  <c:v>3.6443999999999997E-2</c:v>
                </c:pt>
                <c:pt idx="1">
                  <c:v>1.2749999999999999E-2</c:v>
                </c:pt>
                <c:pt idx="2">
                  <c:v>0.74861999999999995</c:v>
                </c:pt>
                <c:pt idx="3">
                  <c:v>4.3689999999999996E-3</c:v>
                </c:pt>
                <c:pt idx="4">
                  <c:v>0.19781699999999999</c:v>
                </c:pt>
              </c:numCache>
            </c:numRef>
          </c:val>
          <c:extLst>
            <c:ext xmlns:c16="http://schemas.microsoft.com/office/drawing/2014/chart" uri="{C3380CC4-5D6E-409C-BE32-E72D297353CC}">
              <c16:uniqueId val="{0000000C-4FAB-46FA-8446-EC195E2AA1D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4.49561403508771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E6D2-45CD-9344-80E9A27C4A0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GSF-IP'!$G$8</c:f>
              <c:strCache>
                <c:ptCount val="1"/>
                <c:pt idx="0">
                  <c:v>AAA EQUIVALENT</c:v>
                </c:pt>
              </c:strCache>
            </c:strRef>
          </c:cat>
          <c:val>
            <c:numRef>
              <c:f>'BANDHAN GSF-IP'!$H$8</c:f>
              <c:numCache>
                <c:formatCode>0%</c:formatCode>
                <c:ptCount val="1"/>
                <c:pt idx="0">
                  <c:v>1</c:v>
                </c:pt>
              </c:numCache>
            </c:numRef>
          </c:val>
          <c:extLst>
            <c:ext xmlns:c16="http://schemas.microsoft.com/office/drawing/2014/chart" uri="{C3380CC4-5D6E-409C-BE32-E72D297353CC}">
              <c16:uniqueId val="{0000000C-E6D2-45CD-9344-80E9A27C4A0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GSF-IP'!$K$8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1E8-42EB-B97C-0C5F6C661E93}"/>
                </c:ext>
              </c:extLst>
            </c:dLbl>
            <c:dLbl>
              <c:idx val="1"/>
              <c:layout>
                <c:manualLayout>
                  <c:x val="0.11464010521168794"/>
                  <c:y val="2.507751531058615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1E8-42EB-B97C-0C5F6C661E93}"/>
                </c:ext>
              </c:extLst>
            </c:dLbl>
            <c:dLbl>
              <c:idx val="2"/>
              <c:layout>
                <c:manualLayout>
                  <c:x val="-0.29445328702220575"/>
                  <c:y val="-2.5819072615923009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1E8-42EB-B97C-0C5F6C661E9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GSF-IP'!$J$9:$J$11</c:f>
              <c:strCache>
                <c:ptCount val="3"/>
                <c:pt idx="0">
                  <c:v>Net Current Asset</c:v>
                </c:pt>
                <c:pt idx="1">
                  <c:v>TRI Party Repo</c:v>
                </c:pt>
                <c:pt idx="2">
                  <c:v>Government Bond</c:v>
                </c:pt>
              </c:strCache>
            </c:strRef>
          </c:cat>
          <c:val>
            <c:numRef>
              <c:f>'BANDHAN GSF-IP'!$K$9:$K$11</c:f>
              <c:numCache>
                <c:formatCode>0.00%</c:formatCode>
                <c:ptCount val="3"/>
                <c:pt idx="0">
                  <c:v>6.0809999999999996E-3</c:v>
                </c:pt>
                <c:pt idx="1">
                  <c:v>1.7750000000000001E-3</c:v>
                </c:pt>
                <c:pt idx="2">
                  <c:v>0.99214400000000003</c:v>
                </c:pt>
              </c:numCache>
            </c:numRef>
          </c:val>
          <c:extLst>
            <c:ext xmlns:c16="http://schemas.microsoft.com/office/drawing/2014/chart" uri="{C3380CC4-5D6E-409C-BE32-E72D297353CC}">
              <c16:uniqueId val="{0000000C-11E8-42EB-B97C-0C5F6C661E9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633757102631976"/>
                  <c:y val="-1.864035087719298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935-466F-8EBD-A66930F517A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CMP'!$G$8</c:f>
              <c:strCache>
                <c:ptCount val="1"/>
                <c:pt idx="0">
                  <c:v>AAA EQUIVALENT</c:v>
                </c:pt>
              </c:strCache>
            </c:strRef>
          </c:cat>
          <c:val>
            <c:numRef>
              <c:f>'BANDHAN GSF - CMP'!$H$8</c:f>
              <c:numCache>
                <c:formatCode>0%</c:formatCode>
                <c:ptCount val="1"/>
                <c:pt idx="0">
                  <c:v>1</c:v>
                </c:pt>
              </c:numCache>
            </c:numRef>
          </c:val>
          <c:extLst>
            <c:ext xmlns:c16="http://schemas.microsoft.com/office/drawing/2014/chart" uri="{C3380CC4-5D6E-409C-BE32-E72D297353CC}">
              <c16:uniqueId val="{0000000C-C935-466F-8EBD-A66930F517A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GSF - CMP'!$K$8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0A5-402C-87DD-CE62FF520665}"/>
                </c:ext>
              </c:extLst>
            </c:dLbl>
            <c:dLbl>
              <c:idx val="1"/>
              <c:layout>
                <c:manualLayout>
                  <c:x val="0.1266788345782259"/>
                  <c:y val="-2.474750656167978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0A5-402C-87DD-CE62FF520665}"/>
                </c:ext>
              </c:extLst>
            </c:dLbl>
            <c:dLbl>
              <c:idx val="2"/>
              <c:layout>
                <c:manualLayout>
                  <c:x val="-0.25088190662462695"/>
                  <c:y val="-4.248573928258967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0A5-402C-87DD-CE62FF52066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GSF - CMP'!$J$9:$J$11</c:f>
              <c:strCache>
                <c:ptCount val="3"/>
                <c:pt idx="0">
                  <c:v>Net Current Asset</c:v>
                </c:pt>
                <c:pt idx="1">
                  <c:v>TRI Party Repo</c:v>
                </c:pt>
                <c:pt idx="2">
                  <c:v>Government Bond</c:v>
                </c:pt>
              </c:strCache>
            </c:strRef>
          </c:cat>
          <c:val>
            <c:numRef>
              <c:f>'BANDHAN GSF - CMP'!$K$9:$K$11</c:f>
              <c:numCache>
                <c:formatCode>0.00%</c:formatCode>
                <c:ptCount val="3"/>
                <c:pt idx="0">
                  <c:v>2.2794999999999999E-2</c:v>
                </c:pt>
                <c:pt idx="1">
                  <c:v>5.4029999999999998E-3</c:v>
                </c:pt>
                <c:pt idx="2">
                  <c:v>0.97180200000000005</c:v>
                </c:pt>
              </c:numCache>
            </c:numRef>
          </c:val>
          <c:extLst>
            <c:ext xmlns:c16="http://schemas.microsoft.com/office/drawing/2014/chart" uri="{C3380CC4-5D6E-409C-BE32-E72D297353CC}">
              <c16:uniqueId val="{0000000C-30A5-402C-87DD-CE62FF52066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6991358815694075"/>
                  <c:y val="-5.78602620087336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A89-436C-A9AC-8CF9E6E6825A}"/>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Long Dur'!$G$8</c:f>
              <c:strCache>
                <c:ptCount val="1"/>
                <c:pt idx="0">
                  <c:v>AAA EQUIVALENT</c:v>
                </c:pt>
              </c:strCache>
            </c:strRef>
          </c:cat>
          <c:val>
            <c:numRef>
              <c:f>'BANDHAN Long Dur'!$H$8</c:f>
              <c:numCache>
                <c:formatCode>0%</c:formatCode>
                <c:ptCount val="1"/>
                <c:pt idx="0">
                  <c:v>1</c:v>
                </c:pt>
              </c:numCache>
            </c:numRef>
          </c:val>
          <c:extLst>
            <c:ext xmlns:c16="http://schemas.microsoft.com/office/drawing/2014/chart" uri="{C3380CC4-5D6E-409C-BE32-E72D297353CC}">
              <c16:uniqueId val="{0000000C-FA89-436C-A9AC-8CF9E6E6825A}"/>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Long Dur'!$K$8</c:f>
              <c:strCache>
                <c:ptCount val="1"/>
                <c:pt idx="0">
                  <c:v>Total</c:v>
                </c:pt>
              </c:strCache>
            </c:strRef>
          </c:tx>
          <c:dLbls>
            <c:dLbl>
              <c:idx val="0"/>
              <c:layout>
                <c:manualLayout>
                  <c:x val="-0.22532600448498541"/>
                  <c:y val="-1.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9079-4055-AEBC-0F8FA7754AC0}"/>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9079-4055-AEBC-0F8FA7754AC0}"/>
                </c:ext>
              </c:extLst>
            </c:dLbl>
            <c:dLbl>
              <c:idx val="2"/>
              <c:layout>
                <c:manualLayout>
                  <c:x val="0.14149454551585763"/>
                  <c:y val="-8.3807524059492568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9079-4055-AEBC-0F8FA7754AC0}"/>
                </c:ext>
              </c:extLst>
            </c:dLbl>
            <c:dLbl>
              <c:idx val="3"/>
              <c:layout>
                <c:manualLayout>
                  <c:x val="-0.27122384461043014"/>
                  <c:y val="-2.47079615048118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9079-4055-AEBC-0F8FA7754AC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Long Dur'!$J$9:$J$12</c:f>
              <c:strCache>
                <c:ptCount val="4"/>
                <c:pt idx="0">
                  <c:v>Net Current Asset</c:v>
                </c:pt>
                <c:pt idx="1">
                  <c:v>TRI Party Repo</c:v>
                </c:pt>
                <c:pt idx="2">
                  <c:v>Corporate Debt Market Development Fund</c:v>
                </c:pt>
                <c:pt idx="3">
                  <c:v>Government Bond</c:v>
                </c:pt>
              </c:strCache>
            </c:strRef>
          </c:cat>
          <c:val>
            <c:numRef>
              <c:f>'BANDHAN Long Dur'!$K$9:$K$12</c:f>
              <c:numCache>
                <c:formatCode>0.00%</c:formatCode>
                <c:ptCount val="4"/>
                <c:pt idx="0">
                  <c:v>8.267E-3</c:v>
                </c:pt>
                <c:pt idx="1">
                  <c:v>2.1770999999999999E-2</c:v>
                </c:pt>
                <c:pt idx="2">
                  <c:v>1.8259999999999999E-3</c:v>
                </c:pt>
                <c:pt idx="3">
                  <c:v>0.968136</c:v>
                </c:pt>
              </c:numCache>
            </c:numRef>
          </c:val>
          <c:extLst>
            <c:ext xmlns:c16="http://schemas.microsoft.com/office/drawing/2014/chart" uri="{C3380CC4-5D6E-409C-BE32-E72D297353CC}">
              <c16:uniqueId val="{0000000C-9079-4055-AEBC-0F8FA7754AC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4.495614035087719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CDB-40B4-AF87-8558565BCC0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GIF26'!$G$8</c:f>
              <c:strCache>
                <c:ptCount val="1"/>
                <c:pt idx="0">
                  <c:v>AAA EQUIVALENT</c:v>
                </c:pt>
              </c:strCache>
            </c:strRef>
          </c:cat>
          <c:val>
            <c:numRef>
              <c:f>'BANDHAN GIF26'!$H$8</c:f>
              <c:numCache>
                <c:formatCode>0%</c:formatCode>
                <c:ptCount val="1"/>
                <c:pt idx="0">
                  <c:v>1</c:v>
                </c:pt>
              </c:numCache>
            </c:numRef>
          </c:val>
          <c:extLst>
            <c:ext xmlns:c16="http://schemas.microsoft.com/office/drawing/2014/chart" uri="{C3380CC4-5D6E-409C-BE32-E72D297353CC}">
              <c16:uniqueId val="{0000000C-5CDB-40B4-AF87-8558565BCC0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GIF26'!$K$8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50E5-489A-84FC-1DCFA0F948F5}"/>
                </c:ext>
              </c:extLst>
            </c:dLbl>
            <c:dLbl>
              <c:idx val="1"/>
              <c:layout>
                <c:manualLayout>
                  <c:x val="0.13822354111517646"/>
                  <c:y val="-3.714470691163604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50E5-489A-84FC-1DCFA0F948F5}"/>
                </c:ext>
              </c:extLst>
            </c:dLbl>
            <c:dLbl>
              <c:idx val="2"/>
              <c:layout>
                <c:manualLayout>
                  <c:x val="-0.26711679509012121"/>
                  <c:y val="-4.804129483814523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50E5-489A-84FC-1DCFA0F948F5}"/>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GIF26'!$J$9:$J$11</c:f>
              <c:strCache>
                <c:ptCount val="3"/>
                <c:pt idx="0">
                  <c:v>Net Current Asset</c:v>
                </c:pt>
                <c:pt idx="1">
                  <c:v>TRI Party Repo</c:v>
                </c:pt>
                <c:pt idx="2">
                  <c:v>Government Bond</c:v>
                </c:pt>
              </c:strCache>
            </c:strRef>
          </c:cat>
          <c:val>
            <c:numRef>
              <c:f>'BANDHAN GIF26'!$K$9:$K$11</c:f>
              <c:numCache>
                <c:formatCode>0.00%</c:formatCode>
                <c:ptCount val="3"/>
                <c:pt idx="0">
                  <c:v>1.5075E-2</c:v>
                </c:pt>
                <c:pt idx="1">
                  <c:v>7.3730000000000002E-3</c:v>
                </c:pt>
                <c:pt idx="2">
                  <c:v>0.97755199999999998</c:v>
                </c:pt>
              </c:numCache>
            </c:numRef>
          </c:val>
          <c:extLst>
            <c:ext xmlns:c16="http://schemas.microsoft.com/office/drawing/2014/chart" uri="{C3380CC4-5D6E-409C-BE32-E72D297353CC}">
              <c16:uniqueId val="{0000000C-50E5-489A-84FC-1DCFA0F948F5}"/>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207632905629837"/>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24D8-4538-9FB5-121BC6F47A47}"/>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GIF2027'!$G$8</c:f>
              <c:strCache>
                <c:ptCount val="1"/>
                <c:pt idx="0">
                  <c:v>AAA EQUIVALENT</c:v>
                </c:pt>
              </c:strCache>
            </c:strRef>
          </c:cat>
          <c:val>
            <c:numRef>
              <c:f>'BANDHAN GIF2027'!$H$8</c:f>
              <c:numCache>
                <c:formatCode>0%</c:formatCode>
                <c:ptCount val="1"/>
                <c:pt idx="0">
                  <c:v>1</c:v>
                </c:pt>
              </c:numCache>
            </c:numRef>
          </c:val>
          <c:extLst>
            <c:ext xmlns:c16="http://schemas.microsoft.com/office/drawing/2014/chart" uri="{C3380CC4-5D6E-409C-BE32-E72D297353CC}">
              <c16:uniqueId val="{0000000C-24D8-4538-9FB5-121BC6F47A47}"/>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8C0-437D-A38C-3DD04662909C}"/>
                </c:ext>
              </c:extLst>
            </c:dLbl>
            <c:dLbl>
              <c:idx val="1"/>
              <c:layout>
                <c:manualLayout>
                  <c:x val="9.8353369640358124E-2"/>
                  <c:y val="1.919160104986876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88C0-437D-A38C-3DD04662909C}"/>
                </c:ext>
              </c:extLst>
            </c:dLbl>
            <c:dLbl>
              <c:idx val="2"/>
              <c:layout>
                <c:manualLayout>
                  <c:x val="-0.22477954441990255"/>
                  <c:y val="-5.0263517060367455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88C0-437D-A38C-3DD04662909C}"/>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GIF2027'!$J$9:$J$11</c:f>
              <c:strCache>
                <c:ptCount val="3"/>
                <c:pt idx="0">
                  <c:v>Net Current Asset</c:v>
                </c:pt>
                <c:pt idx="1">
                  <c:v>TRI Party Repo</c:v>
                </c:pt>
                <c:pt idx="2">
                  <c:v>Government Bond</c:v>
                </c:pt>
              </c:strCache>
            </c:strRef>
          </c:cat>
          <c:val>
            <c:numRef>
              <c:f>'BANDHAN GIF2027'!$K$9:$K$11</c:f>
              <c:numCache>
                <c:formatCode>0.00%</c:formatCode>
                <c:ptCount val="3"/>
                <c:pt idx="0">
                  <c:v>1.1837E-2</c:v>
                </c:pt>
                <c:pt idx="1">
                  <c:v>3.0116E-2</c:v>
                </c:pt>
                <c:pt idx="2">
                  <c:v>0.95804699999999998</c:v>
                </c:pt>
              </c:numCache>
            </c:numRef>
          </c:val>
          <c:extLst>
            <c:ext xmlns:c16="http://schemas.microsoft.com/office/drawing/2014/chart" uri="{C3380CC4-5D6E-409C-BE32-E72D297353CC}">
              <c16:uniqueId val="{0000000C-88C0-437D-A38C-3DD04662909C}"/>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920695004130909"/>
                  <c:y val="-1.42543859649122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B79-481C-9C03-751512C0D4B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GIF2028'!$G$8</c:f>
              <c:strCache>
                <c:ptCount val="1"/>
                <c:pt idx="0">
                  <c:v>AAA EQUIVALENT</c:v>
                </c:pt>
              </c:strCache>
            </c:strRef>
          </c:cat>
          <c:val>
            <c:numRef>
              <c:f>'BANDHAN GIF2028'!$H$8</c:f>
              <c:numCache>
                <c:formatCode>0%</c:formatCode>
                <c:ptCount val="1"/>
                <c:pt idx="0">
                  <c:v>1</c:v>
                </c:pt>
              </c:numCache>
            </c:numRef>
          </c:val>
          <c:extLst>
            <c:ext xmlns:c16="http://schemas.microsoft.com/office/drawing/2014/chart" uri="{C3380CC4-5D6E-409C-BE32-E72D297353CC}">
              <c16:uniqueId val="{0000000C-AB79-481C-9C03-751512C0D4B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GIF2028'!$K$8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033-4D70-A117-8CF411F1BB56}"/>
                </c:ext>
              </c:extLst>
            </c:dLbl>
            <c:dLbl>
              <c:idx val="1"/>
              <c:layout>
                <c:manualLayout>
                  <c:x val="0.13100861589303478"/>
                  <c:y val="1.969693788276465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033-4D70-A117-8CF411F1BB56}"/>
                </c:ext>
              </c:extLst>
            </c:dLbl>
            <c:dLbl>
              <c:idx val="2"/>
              <c:layout>
                <c:manualLayout>
                  <c:x val="-0.2159367886829992"/>
                  <c:y val="-3.248573928258967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033-4D70-A117-8CF411F1BB56}"/>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GIF2028'!$J$9:$J$11</c:f>
              <c:strCache>
                <c:ptCount val="3"/>
                <c:pt idx="0">
                  <c:v>Net Current Asset</c:v>
                </c:pt>
                <c:pt idx="1">
                  <c:v>TRI Party Repo</c:v>
                </c:pt>
                <c:pt idx="2">
                  <c:v>Government Bond</c:v>
                </c:pt>
              </c:strCache>
            </c:strRef>
          </c:cat>
          <c:val>
            <c:numRef>
              <c:f>'BANDHAN GIF2028'!$K$9:$K$11</c:f>
              <c:numCache>
                <c:formatCode>0.00%</c:formatCode>
                <c:ptCount val="3"/>
                <c:pt idx="0">
                  <c:v>1.1811E-2</c:v>
                </c:pt>
                <c:pt idx="1">
                  <c:v>2.8638E-2</c:v>
                </c:pt>
                <c:pt idx="2">
                  <c:v>0.95955100000000004</c:v>
                </c:pt>
              </c:numCache>
            </c:numRef>
          </c:val>
          <c:extLst>
            <c:ext xmlns:c16="http://schemas.microsoft.com/office/drawing/2014/chart" uri="{C3380CC4-5D6E-409C-BE32-E72D297353CC}">
              <c16:uniqueId val="{0000000C-D033-4D70-A117-8CF411F1BB56}"/>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5064163954880373"/>
                  <c:y val="-5.811403508771929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A63-4916-82C8-C44C8D017CCF}"/>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GIF32'!$G$8</c:f>
              <c:strCache>
                <c:ptCount val="1"/>
                <c:pt idx="0">
                  <c:v>AAA EQUIVALENT</c:v>
                </c:pt>
              </c:strCache>
            </c:strRef>
          </c:cat>
          <c:val>
            <c:numRef>
              <c:f>'BANDHAN GIF32'!$H$8</c:f>
              <c:numCache>
                <c:formatCode>0%</c:formatCode>
                <c:ptCount val="1"/>
                <c:pt idx="0">
                  <c:v>1</c:v>
                </c:pt>
              </c:numCache>
            </c:numRef>
          </c:val>
          <c:extLst>
            <c:ext xmlns:c16="http://schemas.microsoft.com/office/drawing/2014/chart" uri="{C3380CC4-5D6E-409C-BE32-E72D297353CC}">
              <c16:uniqueId val="{0000000C-4A63-4916-82C8-C44C8D017CCF}"/>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GIF32'!$K$8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31E3-4F84-88C8-B4CDFA0BDDD2}"/>
                </c:ext>
              </c:extLst>
            </c:dLbl>
            <c:dLbl>
              <c:idx val="1"/>
              <c:layout>
                <c:manualLayout>
                  <c:x val="0.11936830835117773"/>
                  <c:y val="7.299737532808398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31E3-4F84-88C8-B4CDFA0BDDD2}"/>
                </c:ext>
              </c:extLst>
            </c:dLbl>
            <c:dLbl>
              <c:idx val="2"/>
              <c:layout>
                <c:manualLayout>
                  <c:x val="-0.32257726483333055"/>
                  <c:y val="-3.5968503937007872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31E3-4F84-88C8-B4CDFA0BDDD2}"/>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GIF32'!$J$9:$J$11</c:f>
              <c:strCache>
                <c:ptCount val="3"/>
                <c:pt idx="0">
                  <c:v>Net Current Asset</c:v>
                </c:pt>
                <c:pt idx="1">
                  <c:v>TRI Party Repo</c:v>
                </c:pt>
                <c:pt idx="2">
                  <c:v>Government Bond</c:v>
                </c:pt>
              </c:strCache>
            </c:strRef>
          </c:cat>
          <c:val>
            <c:numRef>
              <c:f>'BANDHAN GIF32'!$K$9:$K$11</c:f>
              <c:numCache>
                <c:formatCode>0.00%</c:formatCode>
                <c:ptCount val="3"/>
                <c:pt idx="0">
                  <c:v>2.6189999999999998E-3</c:v>
                </c:pt>
                <c:pt idx="1">
                  <c:v>1.2196E-2</c:v>
                </c:pt>
                <c:pt idx="2">
                  <c:v>0.98518499999999998</c:v>
                </c:pt>
              </c:numCache>
            </c:numRef>
          </c:val>
          <c:extLst>
            <c:ext xmlns:c16="http://schemas.microsoft.com/office/drawing/2014/chart" uri="{C3380CC4-5D6E-409C-BE32-E72D297353CC}">
              <c16:uniqueId val="{0000000C-31E3-4F84-88C8-B4CDFA0BDDD2}"/>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7419624340319346"/>
                  <c:y val="-4.475982532751091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C90F-4D83-AB19-0ACDC633A8E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SDLGIF26'!$G$8</c:f>
              <c:strCache>
                <c:ptCount val="1"/>
                <c:pt idx="0">
                  <c:v>AAA EQUIVALENT</c:v>
                </c:pt>
              </c:strCache>
            </c:strRef>
          </c:cat>
          <c:val>
            <c:numRef>
              <c:f>'BANDHAN SDLGIF26'!$H$8</c:f>
              <c:numCache>
                <c:formatCode>0%</c:formatCode>
                <c:ptCount val="1"/>
                <c:pt idx="0">
                  <c:v>1</c:v>
                </c:pt>
              </c:numCache>
            </c:numRef>
          </c:val>
          <c:extLst>
            <c:ext xmlns:c16="http://schemas.microsoft.com/office/drawing/2014/chart" uri="{C3380CC4-5D6E-409C-BE32-E72D297353CC}">
              <c16:uniqueId val="{0000000C-C90F-4D83-AB19-0ACDC633A8E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SDLGIF26'!$K$8</c:f>
              <c:strCache>
                <c:ptCount val="1"/>
                <c:pt idx="0">
                  <c:v>Total</c:v>
                </c:pt>
              </c:strCache>
            </c:strRef>
          </c:tx>
          <c:dLbls>
            <c:dLbl>
              <c:idx val="0"/>
              <c:layout>
                <c:manualLayout>
                  <c:x val="-0.2196043602151444"/>
                  <c:y val="2.8552930883639547E-3"/>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1738-45CE-8C24-908180E77613}"/>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1738-45CE-8C24-908180E77613}"/>
                </c:ext>
              </c:extLst>
            </c:dLbl>
            <c:dLbl>
              <c:idx val="2"/>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1738-45CE-8C24-908180E77613}"/>
                </c:ext>
              </c:extLst>
            </c:dLbl>
            <c:dLbl>
              <c:idx val="3"/>
              <c:layout>
                <c:manualLayout>
                  <c:x val="1.8148173127181373E-2"/>
                  <c:y val="1.0318460192475941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1738-45CE-8C24-908180E77613}"/>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SDLGIF26'!$J$9:$J$12</c:f>
              <c:strCache>
                <c:ptCount val="4"/>
                <c:pt idx="0">
                  <c:v>Net Current Asset</c:v>
                </c:pt>
                <c:pt idx="1">
                  <c:v>TRI Party Repo</c:v>
                </c:pt>
                <c:pt idx="2">
                  <c:v>Government Bond</c:v>
                </c:pt>
                <c:pt idx="3">
                  <c:v>State Government Bond</c:v>
                </c:pt>
              </c:strCache>
            </c:strRef>
          </c:cat>
          <c:val>
            <c:numRef>
              <c:f>'BANDHAN SDLGIF26'!$K$9:$K$12</c:f>
              <c:numCache>
                <c:formatCode>0.00%</c:formatCode>
                <c:ptCount val="4"/>
                <c:pt idx="0">
                  <c:v>1.9701E-2</c:v>
                </c:pt>
                <c:pt idx="1">
                  <c:v>2.3604E-2</c:v>
                </c:pt>
                <c:pt idx="2">
                  <c:v>0.12736500000000001</c:v>
                </c:pt>
                <c:pt idx="3">
                  <c:v>0.82933000000000001</c:v>
                </c:pt>
              </c:numCache>
            </c:numRef>
          </c:val>
          <c:extLst>
            <c:ext xmlns:c16="http://schemas.microsoft.com/office/drawing/2014/chart" uri="{C3380CC4-5D6E-409C-BE32-E72D297353CC}">
              <c16:uniqueId val="{0000000C-1738-45CE-8C24-908180E77613}"/>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3993500143317201"/>
                  <c:y val="-3.602620087336244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4E68-47D4-9B22-FF806EFB62F0}"/>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SDLGIF27'!$G$8</c:f>
              <c:strCache>
                <c:ptCount val="1"/>
                <c:pt idx="0">
                  <c:v>AAA EQUIVALENT</c:v>
                </c:pt>
              </c:strCache>
            </c:strRef>
          </c:cat>
          <c:val>
            <c:numRef>
              <c:f>'BANDHAN SDLGIF27'!$H$8</c:f>
              <c:numCache>
                <c:formatCode>0%</c:formatCode>
                <c:ptCount val="1"/>
                <c:pt idx="0">
                  <c:v>1</c:v>
                </c:pt>
              </c:numCache>
            </c:numRef>
          </c:val>
          <c:extLst>
            <c:ext xmlns:c16="http://schemas.microsoft.com/office/drawing/2014/chart" uri="{C3380CC4-5D6E-409C-BE32-E72D297353CC}">
              <c16:uniqueId val="{0000000C-4E68-47D4-9B22-FF806EFB62F0}"/>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SDLGIF27'!$K$8</c:f>
              <c:strCache>
                <c:ptCount val="1"/>
                <c:pt idx="0">
                  <c:v>Total</c:v>
                </c:pt>
              </c:strCache>
            </c:strRef>
          </c:tx>
          <c:dLbls>
            <c:dLbl>
              <c:idx val="0"/>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F7D6-4F50-9D33-324337CBBE99}"/>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F7D6-4F50-9D33-324337CBBE99}"/>
                </c:ext>
              </c:extLst>
            </c:dLbl>
            <c:dLbl>
              <c:idx val="2"/>
              <c:layout>
                <c:manualLayout>
                  <c:x val="8.7841811529447464E-2"/>
                  <c:y val="-3.77063867016622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F7D6-4F50-9D33-324337CBBE99}"/>
                </c:ext>
              </c:extLst>
            </c:dLbl>
            <c:dLbl>
              <c:idx val="3"/>
              <c:layout>
                <c:manualLayout>
                  <c:x val="3.2968436493618171E-2"/>
                  <c:y val="0.11947856517935258"/>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F7D6-4F50-9D33-324337CBBE9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SDLGIF27'!$J$9:$J$12</c:f>
              <c:strCache>
                <c:ptCount val="4"/>
                <c:pt idx="0">
                  <c:v>Net Current Asset</c:v>
                </c:pt>
                <c:pt idx="1">
                  <c:v>TRI Party Repo</c:v>
                </c:pt>
                <c:pt idx="2">
                  <c:v>Government Bond</c:v>
                </c:pt>
                <c:pt idx="3">
                  <c:v>State Government Bond</c:v>
                </c:pt>
              </c:strCache>
            </c:strRef>
          </c:cat>
          <c:val>
            <c:numRef>
              <c:f>'BANDHAN SDLGIF27'!$K$9:$K$12</c:f>
              <c:numCache>
                <c:formatCode>0.00%</c:formatCode>
                <c:ptCount val="4"/>
                <c:pt idx="0">
                  <c:v>1.6936E-2</c:v>
                </c:pt>
                <c:pt idx="1">
                  <c:v>2.0603E-2</c:v>
                </c:pt>
                <c:pt idx="2">
                  <c:v>0.17971100000000001</c:v>
                </c:pt>
                <c:pt idx="3">
                  <c:v>0.78274999999999995</c:v>
                </c:pt>
              </c:numCache>
            </c:numRef>
          </c:val>
          <c:extLst>
            <c:ext xmlns:c16="http://schemas.microsoft.com/office/drawing/2014/chart" uri="{C3380CC4-5D6E-409C-BE32-E72D297353CC}">
              <c16:uniqueId val="{0000000C-F7D6-4F50-9D33-324337CBBE9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635898430255102"/>
                  <c:y val="-1.8558951965065504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097C-458D-8C92-EBF01C5AB7BE}"/>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SDLGIF32'!$G$8</c:f>
              <c:strCache>
                <c:ptCount val="1"/>
                <c:pt idx="0">
                  <c:v>AAA EQUIVALENT</c:v>
                </c:pt>
              </c:strCache>
            </c:strRef>
          </c:cat>
          <c:val>
            <c:numRef>
              <c:f>'BANDHAN SDLGIF32'!$H$8</c:f>
              <c:numCache>
                <c:formatCode>0%</c:formatCode>
                <c:ptCount val="1"/>
                <c:pt idx="0">
                  <c:v>1</c:v>
                </c:pt>
              </c:numCache>
            </c:numRef>
          </c:val>
          <c:extLst>
            <c:ext xmlns:c16="http://schemas.microsoft.com/office/drawing/2014/chart" uri="{C3380CC4-5D6E-409C-BE32-E72D297353CC}">
              <c16:uniqueId val="{0000000C-097C-458D-8C92-EBF01C5AB7BE}"/>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SDLGIF32'!$K$8</c:f>
              <c:strCache>
                <c:ptCount val="1"/>
                <c:pt idx="0">
                  <c:v>Total</c:v>
                </c:pt>
              </c:strCache>
            </c:strRef>
          </c:tx>
          <c:dLbls>
            <c:dLbl>
              <c:idx val="0"/>
              <c:layout>
                <c:manualLayout>
                  <c:x val="-0.24342663002242493"/>
                  <c:y val="-1.492248468941382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AF68-4E26-91F4-32693E819838}"/>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AF68-4E26-91F4-32693E819838}"/>
                </c:ext>
              </c:extLst>
            </c:dLbl>
            <c:dLbl>
              <c:idx val="2"/>
              <c:layout>
                <c:manualLayout>
                  <c:x val="1.1728405469658826E-2"/>
                  <c:y val="-9.4305511811023618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AF68-4E26-91F4-32693E819838}"/>
                </c:ext>
              </c:extLst>
            </c:dLbl>
            <c:dLbl>
              <c:idx val="3"/>
              <c:layout>
                <c:manualLayout>
                  <c:x val="3.7468175150483063E-2"/>
                  <c:y val="6.6665616797900257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10-AF68-4E26-91F4-32693E819838}"/>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SDLGIF32'!$J$9:$J$12</c:f>
              <c:strCache>
                <c:ptCount val="4"/>
                <c:pt idx="0">
                  <c:v>Net Current Asset</c:v>
                </c:pt>
                <c:pt idx="1">
                  <c:v>TRI Party Repo</c:v>
                </c:pt>
                <c:pt idx="2">
                  <c:v>Government Bond</c:v>
                </c:pt>
                <c:pt idx="3">
                  <c:v>State Government Bond</c:v>
                </c:pt>
              </c:strCache>
            </c:strRef>
          </c:cat>
          <c:val>
            <c:numRef>
              <c:f>'BANDHAN SDLGIF32'!$K$9:$K$12</c:f>
              <c:numCache>
                <c:formatCode>0.00%</c:formatCode>
                <c:ptCount val="4"/>
                <c:pt idx="0">
                  <c:v>1.9307000000000001E-2</c:v>
                </c:pt>
                <c:pt idx="1">
                  <c:v>1.2395E-2</c:v>
                </c:pt>
                <c:pt idx="2">
                  <c:v>0.13267699999999999</c:v>
                </c:pt>
                <c:pt idx="3">
                  <c:v>0.83562099999999995</c:v>
                </c:pt>
              </c:numCache>
            </c:numRef>
          </c:val>
          <c:extLst>
            <c:ext xmlns:c16="http://schemas.microsoft.com/office/drawing/2014/chart" uri="{C3380CC4-5D6E-409C-BE32-E72D297353CC}">
              <c16:uniqueId val="{0000000C-AF68-4E26-91F4-32693E819838}"/>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Quality</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dLbls>
            <c:dLbl>
              <c:idx val="0"/>
              <c:layout>
                <c:manualLayout>
                  <c:x val="0.34421765667942472"/>
                  <c:y val="-4.0570175438596492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808D-475F-9C09-4EE74859D939}"/>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ASBF'!$G$8</c:f>
              <c:strCache>
                <c:ptCount val="1"/>
                <c:pt idx="0">
                  <c:v>AAA EQUIVALENT</c:v>
                </c:pt>
              </c:strCache>
            </c:strRef>
          </c:cat>
          <c:val>
            <c:numRef>
              <c:f>'BANDHAN ASBF'!$H$8</c:f>
              <c:numCache>
                <c:formatCode>0%</c:formatCode>
                <c:ptCount val="1"/>
                <c:pt idx="0">
                  <c:v>1</c:v>
                </c:pt>
              </c:numCache>
            </c:numRef>
          </c:val>
          <c:extLst>
            <c:ext xmlns:c16="http://schemas.microsoft.com/office/drawing/2014/chart" uri="{C3380CC4-5D6E-409C-BE32-E72D297353CC}">
              <c16:uniqueId val="{0000000C-808D-475F-9C09-4EE74859D939}"/>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lgn="ctr">
              <a:defRPr sz="1800" b="1">
                <a:latin typeface="Calibri"/>
                <a:ea typeface="Calibri"/>
                <a:cs typeface="Calibri"/>
              </a:defRPr>
            </a:pPr>
            <a:r>
              <a:rPr lang="en-US"/>
              <a:t>Asset Allocation</a:t>
            </a:r>
          </a:p>
        </c:rich>
      </c:tx>
      <c:overlay val="0"/>
    </c:title>
    <c:autoTitleDeleted val="0"/>
    <c:view3D>
      <c:rotX val="15"/>
      <c:rotY val="0"/>
      <c:rAngAx val="0"/>
    </c:view3D>
    <c:floor>
      <c:thickness val="0"/>
    </c:floor>
    <c:sideWall>
      <c:thickness val="0"/>
    </c:sideWall>
    <c:backWall>
      <c:thickness val="0"/>
    </c:backWall>
    <c:plotArea>
      <c:layout/>
      <c:pie3DChart>
        <c:varyColors val="1"/>
        <c:ser>
          <c:idx val="0"/>
          <c:order val="0"/>
          <c:tx>
            <c:strRef>
              <c:f>'BANDHAN ASBF'!$K$8</c:f>
              <c:strCache>
                <c:ptCount val="1"/>
                <c:pt idx="0">
                  <c:v>Total</c:v>
                </c:pt>
              </c:strCache>
            </c:strRef>
          </c:tx>
          <c:dLbls>
            <c:dLbl>
              <c:idx val="0"/>
              <c:layout>
                <c:manualLayout>
                  <c:x val="-0.18469035053701799"/>
                  <c:y val="1.0633070866141733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D-DE38-4726-9C7F-26460A2CF09D}"/>
                </c:ext>
              </c:extLst>
            </c:dLbl>
            <c:dLbl>
              <c:idx val="1"/>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E-DE38-4726-9C7F-26460A2CF09D}"/>
                </c:ext>
              </c:extLst>
            </c:dLbl>
            <c:dLbl>
              <c:idx val="2"/>
              <c:layout>
                <c:manualLayout>
                  <c:x val="-0.1910618118666644"/>
                  <c:y val="-2.3596850393700786E-2"/>
                </c:manualLayout>
              </c:layout>
              <c:spPr>
                <a:noFill/>
                <a:ln>
                  <a:noFill/>
                </a:ln>
                <a:effectLst/>
              </c:spPr>
              <c:txPr>
                <a:bodyPr wrap="square" lIns="38100" tIns="19050" rIns="38100" bIns="19050" anchor="ctr">
                  <a:spAutoFit/>
                </a:bodyPr>
                <a:lstStyle/>
                <a:p>
                  <a:pPr>
                    <a:defRPr b="0">
                      <a:latin typeface="Arial"/>
                      <a:ea typeface="Arial"/>
                      <a:cs typeface="Arial"/>
                    </a:defRPr>
                  </a:pPr>
                  <a:endParaRPr lang="en-US"/>
                </a:p>
              </c:txPr>
              <c:dLblPos val="bestFit"/>
              <c:showLegendKey val="1"/>
              <c:showVal val="1"/>
              <c:showCatName val="1"/>
              <c:showSerName val="0"/>
              <c:showPercent val="0"/>
              <c:showBubbleSize val="0"/>
              <c:separator>,</c:separator>
              <c:extLst>
                <c:ext xmlns:c15="http://schemas.microsoft.com/office/drawing/2012/chart" uri="{CE6537A1-D6FC-4f65-9D91-7224C49458BB}"/>
                <c:ext xmlns:c16="http://schemas.microsoft.com/office/drawing/2014/chart" uri="{C3380CC4-5D6E-409C-BE32-E72D297353CC}">
                  <c16:uniqueId val="{0000000F-DE38-4726-9C7F-26460A2CF09D}"/>
                </c:ext>
              </c:extLst>
            </c:dLbl>
            <c:spPr>
              <a:noFill/>
              <a:ln>
                <a:noFill/>
              </a:ln>
              <a:effectLst/>
            </c:spPr>
            <c:showLegendKey val="1"/>
            <c:showVal val="1"/>
            <c:showCatName val="1"/>
            <c:showSerName val="0"/>
            <c:showPercent val="0"/>
            <c:showBubbleSize val="0"/>
            <c:separator>,</c:separator>
            <c:showLeaderLines val="0"/>
            <c:extLst>
              <c:ext xmlns:c15="http://schemas.microsoft.com/office/drawing/2012/chart" uri="{CE6537A1-D6FC-4f65-9D91-7224C49458BB}"/>
            </c:extLst>
          </c:dLbls>
          <c:cat>
            <c:strRef>
              <c:f>'BANDHAN ASBF'!$J$9:$J$11</c:f>
              <c:strCache>
                <c:ptCount val="3"/>
                <c:pt idx="0">
                  <c:v>Net Current Asset</c:v>
                </c:pt>
                <c:pt idx="1">
                  <c:v>TRI Party Repo</c:v>
                </c:pt>
                <c:pt idx="2">
                  <c:v>Mutual Fund Units</c:v>
                </c:pt>
              </c:strCache>
            </c:strRef>
          </c:cat>
          <c:val>
            <c:numRef>
              <c:f>'BANDHAN ASBF'!$K$9:$K$11</c:f>
              <c:numCache>
                <c:formatCode>0.00%</c:formatCode>
                <c:ptCount val="3"/>
                <c:pt idx="0">
                  <c:v>-1.7899999999999999E-4</c:v>
                </c:pt>
                <c:pt idx="1">
                  <c:v>4.4587000000000002E-2</c:v>
                </c:pt>
                <c:pt idx="2">
                  <c:v>0.955592</c:v>
                </c:pt>
              </c:numCache>
            </c:numRef>
          </c:val>
          <c:extLst>
            <c:ext xmlns:c16="http://schemas.microsoft.com/office/drawing/2014/chart" uri="{C3380CC4-5D6E-409C-BE32-E72D297353CC}">
              <c16:uniqueId val="{0000000C-DE38-4726-9C7F-26460A2CF09D}"/>
            </c:ext>
          </c:extLst>
        </c:ser>
        <c:dLbls>
          <c:showLegendKey val="0"/>
          <c:showVal val="0"/>
          <c:showCatName val="0"/>
          <c:showSerName val="0"/>
          <c:showPercent val="0"/>
          <c:showBubbleSize val="0"/>
          <c:showLeaderLines val="0"/>
        </c:dLbls>
      </c:pie3DChart>
      <c:spPr>
        <a:ln w="25400">
          <a:noFill/>
        </a:ln>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rgbClr val="D8D8D8"/>
      </a:solidFill>
      <a:prstDash val="solid"/>
    </a:ln>
    <a:effectLst/>
  </c:sp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lang="en-IN"/>
            </a:pPr>
            <a:r>
              <a:rPr lang="en-US"/>
              <a:t>Asset Allocation</a:t>
            </a:r>
          </a:p>
        </c:rich>
      </c:tx>
      <c:overlay val="0"/>
    </c:title>
    <c:autoTitleDeleted val="0"/>
    <c:view3D>
      <c:rotX val="15"/>
      <c:rotY val="0"/>
      <c:rAngAx val="0"/>
    </c:view3D>
    <c:floor>
      <c:thickness val="0"/>
    </c:floor>
    <c:sideWall>
      <c:thickness val="0"/>
    </c:sideWall>
    <c:backWall>
      <c:thickness val="0"/>
    </c:backWall>
    <c:plotArea>
      <c:layout>
        <c:manualLayout>
          <c:layoutTarget val="inner"/>
          <c:xMode val="edge"/>
          <c:yMode val="edge"/>
          <c:x val="0.13492264148428221"/>
          <c:y val="0.442819115066238"/>
          <c:w val="0.80555553197359764"/>
          <c:h val="0.46296299212599396"/>
        </c:manualLayout>
      </c:layout>
      <c:pie3DChart>
        <c:varyColors val="1"/>
        <c:ser>
          <c:idx val="0"/>
          <c:order val="0"/>
          <c:dLbls>
            <c:dLbl>
              <c:idx val="0"/>
              <c:layout>
                <c:manualLayout>
                  <c:x val="0.22728572931869853"/>
                  <c:y val="-0.5378728130180753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38D1-4D3B-A42B-A237C8DAF004}"/>
                </c:ext>
              </c:extLst>
            </c:dLbl>
            <c:dLbl>
              <c:idx val="1"/>
              <c:layout>
                <c:manualLayout>
                  <c:x val="-0.26921172912653785"/>
                  <c:y val="2.9418180611078659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38D1-4D3B-A42B-A237C8DAF004}"/>
                </c:ext>
              </c:extLst>
            </c:dLbl>
            <c:dLbl>
              <c:idx val="2"/>
              <c:layout>
                <c:manualLayout>
                  <c:x val="5.7043011982595641E-2"/>
                  <c:y val="-3.9176423724232121E-2"/>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38D1-4D3B-A42B-A237C8DAF004}"/>
                </c:ext>
              </c:extLst>
            </c:dLbl>
            <c:dLbl>
              <c:idx val="3"/>
              <c:layout>
                <c:manualLayout>
                  <c:x val="-0.44166411214867751"/>
                  <c:y val="0.22094031436486586"/>
                </c:manualLayout>
              </c:layout>
              <c:dLblPos val="bestFit"/>
              <c:showLegendKey val="1"/>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38D1-4D3B-A42B-A237C8DAF004}"/>
                </c:ext>
              </c:extLst>
            </c:dLbl>
            <c:numFmt formatCode="0.00%" sourceLinked="0"/>
            <c:spPr>
              <a:noFill/>
              <a:ln>
                <a:noFill/>
              </a:ln>
              <a:effectLst/>
            </c:spPr>
            <c:txPr>
              <a:bodyPr/>
              <a:lstStyle/>
              <a:p>
                <a:pPr>
                  <a:defRPr lang="en-IN"/>
                </a:pPr>
                <a:endParaRPr lang="en-US"/>
              </a:p>
            </c:txPr>
            <c:dLblPos val="bestFit"/>
            <c:showLegendKey val="1"/>
            <c:showVal val="1"/>
            <c:showCatName val="1"/>
            <c:showSerName val="0"/>
            <c:showPercent val="0"/>
            <c:showBubbleSize val="0"/>
            <c:separator>
</c:separator>
            <c:showLeaderLines val="0"/>
            <c:extLst>
              <c:ext xmlns:c15="http://schemas.microsoft.com/office/drawing/2012/chart" uri="{CE6537A1-D6FC-4f65-9D91-7224C49458BB}"/>
            </c:extLst>
          </c:dLbls>
          <c:cat>
            <c:strRef>
              <c:f>'BANDHAN US TB 0-1yr FOF'!$I$8:$I$10</c:f>
              <c:strCache>
                <c:ptCount val="3"/>
                <c:pt idx="0">
                  <c:v>International Mutual Fund Units</c:v>
                </c:pt>
                <c:pt idx="1">
                  <c:v>Net Current Asset</c:v>
                </c:pt>
                <c:pt idx="2">
                  <c:v>TRI Party Repo Total</c:v>
                </c:pt>
              </c:strCache>
            </c:strRef>
          </c:cat>
          <c:val>
            <c:numRef>
              <c:f>'BANDHAN US TB 0-1yr FOF'!$J$8:$J$10</c:f>
              <c:numCache>
                <c:formatCode>0.00%</c:formatCode>
                <c:ptCount val="3"/>
                <c:pt idx="0">
                  <c:v>0.99980000000000002</c:v>
                </c:pt>
                <c:pt idx="1">
                  <c:v>-1.276E-3</c:v>
                </c:pt>
                <c:pt idx="2">
                  <c:v>1.4760000000000001E-3</c:v>
                </c:pt>
              </c:numCache>
            </c:numRef>
          </c:val>
          <c:extLst>
            <c:ext xmlns:c16="http://schemas.microsoft.com/office/drawing/2014/chart" uri="{C3380CC4-5D6E-409C-BE32-E72D297353CC}">
              <c16:uniqueId val="{00000004-38D1-4D3B-A42B-A237C8DAF004}"/>
            </c:ext>
          </c:extLst>
        </c:ser>
        <c:dLbls>
          <c:showLegendKey val="0"/>
          <c:showVal val="1"/>
          <c:showCatName val="0"/>
          <c:showSerName val="0"/>
          <c:showPercent val="0"/>
          <c:showBubbleSize val="0"/>
          <c:showLeaderLines val="0"/>
        </c:dLbls>
      </c:pie3DChart>
      <c:spPr>
        <a:noFill/>
        <a:ln w="25400">
          <a:noFill/>
        </a:ln>
      </c:spPr>
    </c:plotArea>
    <c:plotVisOnly val="1"/>
    <c:dispBlanksAs val="zero"/>
    <c:showDLblsOverMax val="0"/>
  </c:chart>
  <c:txPr>
    <a:bodyPr/>
    <a:lstStyle/>
    <a:p>
      <a:pPr>
        <a:defRPr sz="1200" b="1"/>
      </a:pPr>
      <a:endParaRPr lang="en-US"/>
    </a:p>
  </c:txPr>
  <c:printSettings>
    <c:headerFooter/>
    <c:pageMargins b="0.75000000000001465" l="0.70000000000000062" r="0.70000000000000062" t="0.75000000000001465"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20.xml"/><Relationship Id="rId1" Type="http://schemas.openxmlformats.org/officeDocument/2006/relationships/chart" Target="../charts/chart19.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2.xml"/><Relationship Id="rId1" Type="http://schemas.openxmlformats.org/officeDocument/2006/relationships/chart" Target="../charts/chart21.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_rels/drawing13.xml.rels><?xml version="1.0" encoding="UTF-8" standalone="yes"?>
<Relationships xmlns="http://schemas.openxmlformats.org/package/2006/relationships"><Relationship Id="rId2" Type="http://schemas.openxmlformats.org/officeDocument/2006/relationships/chart" Target="../charts/chart26.xml"/><Relationship Id="rId1" Type="http://schemas.openxmlformats.org/officeDocument/2006/relationships/chart" Target="../charts/chart25.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_rels/drawing16.xml.rels><?xml version="1.0" encoding="UTF-8" standalone="yes"?>
<Relationships xmlns="http://schemas.openxmlformats.org/package/2006/relationships"><Relationship Id="rId2" Type="http://schemas.openxmlformats.org/officeDocument/2006/relationships/chart" Target="../charts/chart32.xml"/><Relationship Id="rId1" Type="http://schemas.openxmlformats.org/officeDocument/2006/relationships/chart" Target="../charts/chart31.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34.xml"/><Relationship Id="rId1" Type="http://schemas.openxmlformats.org/officeDocument/2006/relationships/chart" Target="../charts/chart33.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36.xml"/><Relationship Id="rId1" Type="http://schemas.openxmlformats.org/officeDocument/2006/relationships/chart" Target="../charts/chart35.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38.xml"/><Relationship Id="rId1" Type="http://schemas.openxmlformats.org/officeDocument/2006/relationships/chart" Target="../charts/chart37.xml"/></Relationships>
</file>

<file path=xl/drawings/_rels/drawing20.xml.rels><?xml version="1.0" encoding="UTF-8" standalone="yes"?>
<Relationships xmlns="http://schemas.openxmlformats.org/package/2006/relationships"><Relationship Id="rId2" Type="http://schemas.openxmlformats.org/officeDocument/2006/relationships/chart" Target="../charts/chart40.xml"/><Relationship Id="rId1" Type="http://schemas.openxmlformats.org/officeDocument/2006/relationships/chart" Target="../charts/chart39.xml"/></Relationships>
</file>

<file path=xl/drawings/_rels/drawing21.xml.rels><?xml version="1.0" encoding="UTF-8" standalone="yes"?>
<Relationships xmlns="http://schemas.openxmlformats.org/package/2006/relationships"><Relationship Id="rId2" Type="http://schemas.openxmlformats.org/officeDocument/2006/relationships/chart" Target="../charts/chart42.xml"/><Relationship Id="rId1" Type="http://schemas.openxmlformats.org/officeDocument/2006/relationships/chart" Target="../charts/chart41.xml"/></Relationships>
</file>

<file path=xl/drawings/_rels/drawing22.xml.rels><?xml version="1.0" encoding="UTF-8" standalone="yes"?>
<Relationships xmlns="http://schemas.openxmlformats.org/package/2006/relationships"><Relationship Id="rId2" Type="http://schemas.openxmlformats.org/officeDocument/2006/relationships/chart" Target="../charts/chart44.xml"/><Relationship Id="rId1" Type="http://schemas.openxmlformats.org/officeDocument/2006/relationships/chart" Target="../charts/chart43.xml"/></Relationships>
</file>

<file path=xl/drawings/_rels/drawing23.xml.rels><?xml version="1.0" encoding="UTF-8" standalone="yes"?>
<Relationships xmlns="http://schemas.openxmlformats.org/package/2006/relationships"><Relationship Id="rId2" Type="http://schemas.openxmlformats.org/officeDocument/2006/relationships/chart" Target="../charts/chart46.xml"/><Relationship Id="rId1" Type="http://schemas.openxmlformats.org/officeDocument/2006/relationships/chart" Target="../charts/chart45.xml"/></Relationships>
</file>

<file path=xl/drawings/_rels/drawing24.xml.rels><?xml version="1.0" encoding="UTF-8" standalone="yes"?>
<Relationships xmlns="http://schemas.openxmlformats.org/package/2006/relationships"><Relationship Id="rId2" Type="http://schemas.openxmlformats.org/officeDocument/2006/relationships/chart" Target="../charts/chart48.xml"/><Relationship Id="rId1" Type="http://schemas.openxmlformats.org/officeDocument/2006/relationships/chart" Target="../charts/chart47.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F2FE3D0E-7D93-468C-9DAC-20C69592B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8EDFA18E-EDE7-4298-AE66-0ACB6A01A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571500</xdr:colOff>
      <xdr:row>7</xdr:row>
      <xdr:rowOff>25401</xdr:rowOff>
    </xdr:from>
    <xdr:to>
      <xdr:col>13</xdr:col>
      <xdr:colOff>508000</xdr:colOff>
      <xdr:row>22</xdr:row>
      <xdr:rowOff>25401</xdr:rowOff>
    </xdr:to>
    <xdr:graphicFrame macro="">
      <xdr:nvGraphicFramePr>
        <xdr:cNvPr id="2" name="Chart 1">
          <a:extLst>
            <a:ext uri="{FF2B5EF4-FFF2-40B4-BE49-F238E27FC236}">
              <a16:creationId xmlns:a16="http://schemas.microsoft.com/office/drawing/2014/main" id="{740F84F6-E386-43B2-BA95-400B03C606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702CD4F2-01F9-4743-B1E9-B082A306AC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558800</xdr:colOff>
      <xdr:row>7</xdr:row>
      <xdr:rowOff>50800</xdr:rowOff>
    </xdr:from>
    <xdr:to>
      <xdr:col>13</xdr:col>
      <xdr:colOff>495300</xdr:colOff>
      <xdr:row>22</xdr:row>
      <xdr:rowOff>50800</xdr:rowOff>
    </xdr:to>
    <xdr:graphicFrame macro="">
      <xdr:nvGraphicFramePr>
        <xdr:cNvPr id="2" name="Chart 1">
          <a:extLst>
            <a:ext uri="{FF2B5EF4-FFF2-40B4-BE49-F238E27FC236}">
              <a16:creationId xmlns:a16="http://schemas.microsoft.com/office/drawing/2014/main" id="{A873D00A-496A-4034-B40C-ED9ACF0589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19050</xdr:rowOff>
    </xdr:to>
    <xdr:graphicFrame macro="">
      <xdr:nvGraphicFramePr>
        <xdr:cNvPr id="3" name="Chart 2">
          <a:extLst>
            <a:ext uri="{FF2B5EF4-FFF2-40B4-BE49-F238E27FC236}">
              <a16:creationId xmlns:a16="http://schemas.microsoft.com/office/drawing/2014/main" id="{E9D50682-B105-41B7-875F-F82B11703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584200</xdr:colOff>
      <xdr:row>7</xdr:row>
      <xdr:rowOff>1</xdr:rowOff>
    </xdr:from>
    <xdr:to>
      <xdr:col>13</xdr:col>
      <xdr:colOff>520700</xdr:colOff>
      <xdr:row>22</xdr:row>
      <xdr:rowOff>1</xdr:rowOff>
    </xdr:to>
    <xdr:graphicFrame macro="">
      <xdr:nvGraphicFramePr>
        <xdr:cNvPr id="2" name="Chart 1">
          <a:extLst>
            <a:ext uri="{FF2B5EF4-FFF2-40B4-BE49-F238E27FC236}">
              <a16:creationId xmlns:a16="http://schemas.microsoft.com/office/drawing/2014/main" id="{34F588CD-1A89-4EB5-B45E-DD05F92C2C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96685770-411C-4288-8862-21F4D4EC2F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A44D8069-907D-44E8-83DF-A1A838B811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28576</xdr:rowOff>
    </xdr:to>
    <xdr:graphicFrame macro="">
      <xdr:nvGraphicFramePr>
        <xdr:cNvPr id="3" name="Chart 2">
          <a:extLst>
            <a:ext uri="{FF2B5EF4-FFF2-40B4-BE49-F238E27FC236}">
              <a16:creationId xmlns:a16="http://schemas.microsoft.com/office/drawing/2014/main" id="{11E06FF6-0934-473D-AF6E-8295B26686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CA857C3E-E3D6-4641-BEF4-EE04D478AE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FF1B9DB-0CB5-45A9-9CF0-11CC28B425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1686AAA7-B189-48E5-9C32-9D73A7309D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31F55AE2-6C61-42C1-8499-232A9925C4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4A867500-7D5E-411A-AA7D-6BD9598411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D9EAD334-A12A-411D-A87B-6B32925F9D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2F23AB58-FFAD-465A-A142-03B0DC919B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57151</xdr:rowOff>
    </xdr:to>
    <xdr:graphicFrame macro="">
      <xdr:nvGraphicFramePr>
        <xdr:cNvPr id="3" name="Chart 2">
          <a:extLst>
            <a:ext uri="{FF2B5EF4-FFF2-40B4-BE49-F238E27FC236}">
              <a16:creationId xmlns:a16="http://schemas.microsoft.com/office/drawing/2014/main" id="{FD339372-A1FF-4544-AAEB-6C2E2F30D4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EAE28B60-F194-4897-A75E-5FBA018CEB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28575</xdr:rowOff>
    </xdr:to>
    <xdr:graphicFrame macro="">
      <xdr:nvGraphicFramePr>
        <xdr:cNvPr id="3" name="Chart 2">
          <a:extLst>
            <a:ext uri="{FF2B5EF4-FFF2-40B4-BE49-F238E27FC236}">
              <a16:creationId xmlns:a16="http://schemas.microsoft.com/office/drawing/2014/main" id="{E759DEA4-3B93-4F22-9CD5-3B8364BDB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6</xdr:col>
      <xdr:colOff>12700</xdr:colOff>
      <xdr:row>7</xdr:row>
      <xdr:rowOff>50800</xdr:rowOff>
    </xdr:from>
    <xdr:to>
      <xdr:col>13</xdr:col>
      <xdr:colOff>558800</xdr:colOff>
      <xdr:row>22</xdr:row>
      <xdr:rowOff>50800</xdr:rowOff>
    </xdr:to>
    <xdr:graphicFrame macro="">
      <xdr:nvGraphicFramePr>
        <xdr:cNvPr id="2" name="Chart 1">
          <a:extLst>
            <a:ext uri="{FF2B5EF4-FFF2-40B4-BE49-F238E27FC236}">
              <a16:creationId xmlns:a16="http://schemas.microsoft.com/office/drawing/2014/main" id="{580FE4BB-EA1D-4B51-96BF-34E5608287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19051</xdr:rowOff>
    </xdr:to>
    <xdr:graphicFrame macro="">
      <xdr:nvGraphicFramePr>
        <xdr:cNvPr id="3" name="Chart 2">
          <a:extLst>
            <a:ext uri="{FF2B5EF4-FFF2-40B4-BE49-F238E27FC236}">
              <a16:creationId xmlns:a16="http://schemas.microsoft.com/office/drawing/2014/main" id="{DA422D9B-3858-4F21-BA67-58F60A969C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1D185A6B-B99C-449D-BEE0-2F7E2A68C3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38101</xdr:rowOff>
    </xdr:from>
    <xdr:to>
      <xdr:col>13</xdr:col>
      <xdr:colOff>546100</xdr:colOff>
      <xdr:row>41</xdr:row>
      <xdr:rowOff>47626</xdr:rowOff>
    </xdr:to>
    <xdr:graphicFrame macro="">
      <xdr:nvGraphicFramePr>
        <xdr:cNvPr id="3" name="Chart 2">
          <a:extLst>
            <a:ext uri="{FF2B5EF4-FFF2-40B4-BE49-F238E27FC236}">
              <a16:creationId xmlns:a16="http://schemas.microsoft.com/office/drawing/2014/main" id="{9FE09B2D-AD0B-4936-84BD-B2954595F3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6</xdr:col>
      <xdr:colOff>25400</xdr:colOff>
      <xdr:row>7</xdr:row>
      <xdr:rowOff>25400</xdr:rowOff>
    </xdr:from>
    <xdr:to>
      <xdr:col>13</xdr:col>
      <xdr:colOff>571500</xdr:colOff>
      <xdr:row>22</xdr:row>
      <xdr:rowOff>25400</xdr:rowOff>
    </xdr:to>
    <xdr:graphicFrame macro="">
      <xdr:nvGraphicFramePr>
        <xdr:cNvPr id="2" name="Chart 1">
          <a:extLst>
            <a:ext uri="{FF2B5EF4-FFF2-40B4-BE49-F238E27FC236}">
              <a16:creationId xmlns:a16="http://schemas.microsoft.com/office/drawing/2014/main" id="{95763B58-8590-4BD8-9457-F2F124C5DF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47625</xdr:rowOff>
    </xdr:to>
    <xdr:graphicFrame macro="">
      <xdr:nvGraphicFramePr>
        <xdr:cNvPr id="3" name="Chart 2">
          <a:extLst>
            <a:ext uri="{FF2B5EF4-FFF2-40B4-BE49-F238E27FC236}">
              <a16:creationId xmlns:a16="http://schemas.microsoft.com/office/drawing/2014/main" id="{F9C8D05F-3C90-4B64-BD79-73EC6E7555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90DCFB53-D178-4075-A470-452E07BD2F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E5CA62A3-5FA9-497F-84DA-8DEA15929E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D2A4ADAE-90F3-4117-B929-87A54DC94B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253C3E8B-5B3B-4B63-873A-26BC4B5E6B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6.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CC70D964-32CB-4C7B-944A-8E2245F7B5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AEFCBDE7-D45A-4A0D-AFAB-31615B25BC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F06C0086-8C17-4FAF-9C62-6AE42E657C3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DC6AE84D-D2A8-41C0-9D0B-D55825DAEC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F8FB12C1-471F-40C1-A1DF-436B19BF9C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B7FF07B6-6A8C-4418-A1E5-CFC0111A1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C4ACAD91-183E-4543-A8D4-0CC6F81842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4DC73D4F-7131-4708-94C3-EFDABF0195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6</xdr:col>
      <xdr:colOff>0</xdr:colOff>
      <xdr:row>7</xdr:row>
      <xdr:rowOff>38101</xdr:rowOff>
    </xdr:from>
    <xdr:to>
      <xdr:col>13</xdr:col>
      <xdr:colOff>546100</xdr:colOff>
      <xdr:row>22</xdr:row>
      <xdr:rowOff>38101</xdr:rowOff>
    </xdr:to>
    <xdr:graphicFrame macro="">
      <xdr:nvGraphicFramePr>
        <xdr:cNvPr id="2" name="Chart 1">
          <a:extLst>
            <a:ext uri="{FF2B5EF4-FFF2-40B4-BE49-F238E27FC236}">
              <a16:creationId xmlns:a16="http://schemas.microsoft.com/office/drawing/2014/main" id="{816EE2C3-9FA4-4B8B-BECC-5F0EED1F89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A334E6D7-D27B-4340-BDB0-50A7C289F2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82F3B3AC-0F10-4263-BEF7-264E0B5EBB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3CF5B535-925E-4AE2-AB4F-C413F4CC43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2.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C9397168-930F-4899-BC2E-B40507B718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F5AAE589-C28F-44DA-A096-E1FD7F9641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3.xml><?xml version="1.0" encoding="utf-8"?>
<xdr:wsDr xmlns:xdr="http://schemas.openxmlformats.org/drawingml/2006/spreadsheetDrawing" xmlns:a="http://schemas.openxmlformats.org/drawingml/2006/main">
  <xdr:twoCellAnchor>
    <xdr:from>
      <xdr:col>6</xdr:col>
      <xdr:colOff>0</xdr:colOff>
      <xdr:row>7</xdr:row>
      <xdr:rowOff>38100</xdr:rowOff>
    </xdr:from>
    <xdr:to>
      <xdr:col>13</xdr:col>
      <xdr:colOff>546100</xdr:colOff>
      <xdr:row>22</xdr:row>
      <xdr:rowOff>38100</xdr:rowOff>
    </xdr:to>
    <xdr:graphicFrame macro="">
      <xdr:nvGraphicFramePr>
        <xdr:cNvPr id="2" name="Chart 1">
          <a:extLst>
            <a:ext uri="{FF2B5EF4-FFF2-40B4-BE49-F238E27FC236}">
              <a16:creationId xmlns:a16="http://schemas.microsoft.com/office/drawing/2014/main" id="{CB4DBA86-EEC9-4331-BCAF-98997D0F27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7F7C36FC-1C89-4540-81D7-83A80394CC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xdr:from>
      <xdr:col>6</xdr:col>
      <xdr:colOff>38100</xdr:colOff>
      <xdr:row>7</xdr:row>
      <xdr:rowOff>50801</xdr:rowOff>
    </xdr:from>
    <xdr:to>
      <xdr:col>13</xdr:col>
      <xdr:colOff>584200</xdr:colOff>
      <xdr:row>22</xdr:row>
      <xdr:rowOff>50801</xdr:rowOff>
    </xdr:to>
    <xdr:graphicFrame macro="">
      <xdr:nvGraphicFramePr>
        <xdr:cNvPr id="2" name="Chart 1">
          <a:extLst>
            <a:ext uri="{FF2B5EF4-FFF2-40B4-BE49-F238E27FC236}">
              <a16:creationId xmlns:a16="http://schemas.microsoft.com/office/drawing/2014/main" id="{45D7E89B-FBE6-47D7-B65A-3E11A8E184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26</xdr:row>
      <xdr:rowOff>38100</xdr:rowOff>
    </xdr:from>
    <xdr:to>
      <xdr:col>13</xdr:col>
      <xdr:colOff>546100</xdr:colOff>
      <xdr:row>41</xdr:row>
      <xdr:rowOff>38100</xdr:rowOff>
    </xdr:to>
    <xdr:graphicFrame macro="">
      <xdr:nvGraphicFramePr>
        <xdr:cNvPr id="3" name="Chart 2">
          <a:extLst>
            <a:ext uri="{FF2B5EF4-FFF2-40B4-BE49-F238E27FC236}">
              <a16:creationId xmlns:a16="http://schemas.microsoft.com/office/drawing/2014/main" id="{C5DF5350-22E3-48A3-BB9E-B21D92901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5.xml><?xml version="1.0" encoding="utf-8"?>
<xdr:wsDr xmlns:xdr="http://schemas.openxmlformats.org/drawingml/2006/spreadsheetDrawing" xmlns:a="http://schemas.openxmlformats.org/drawingml/2006/main">
  <xdr:twoCellAnchor>
    <xdr:from>
      <xdr:col>4</xdr:col>
      <xdr:colOff>555625</xdr:colOff>
      <xdr:row>7</xdr:row>
      <xdr:rowOff>34925</xdr:rowOff>
    </xdr:from>
    <xdr:to>
      <xdr:col>11</xdr:col>
      <xdr:colOff>584200</xdr:colOff>
      <xdr:row>20</xdr:row>
      <xdr:rowOff>25401</xdr:rowOff>
    </xdr:to>
    <xdr:graphicFrame macro="">
      <xdr:nvGraphicFramePr>
        <xdr:cNvPr id="2" name="Chart 2">
          <a:extLst>
            <a:ext uri="{FF2B5EF4-FFF2-40B4-BE49-F238E27FC236}">
              <a16:creationId xmlns:a16="http://schemas.microsoft.com/office/drawing/2014/main" id="{60367D62-FB7A-4D8D-8377-68850B84A8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6F711-C74C-428F-A9E9-CE88D5553B1A}">
  <dimension ref="B1:N49"/>
  <sheetViews>
    <sheetView showGridLines="0" tabSelected="1"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177</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9</v>
      </c>
      <c r="D5" s="84" t="s">
        <v>185</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46</v>
      </c>
      <c r="D8" s="6"/>
      <c r="E8" s="11">
        <v>0.54283800000000004</v>
      </c>
      <c r="F8" s="1"/>
      <c r="G8" s="24" t="s">
        <v>4</v>
      </c>
      <c r="H8" s="25">
        <v>1</v>
      </c>
      <c r="I8" s="1"/>
      <c r="J8" s="24" t="s">
        <v>50</v>
      </c>
      <c r="K8" s="24" t="s">
        <v>3</v>
      </c>
      <c r="L8" s="1"/>
      <c r="M8" s="1"/>
      <c r="N8" s="18"/>
    </row>
    <row r="9" spans="2:14" ht="15.75" customHeight="1" x14ac:dyDescent="0.25">
      <c r="B9" s="20"/>
      <c r="C9" s="7" t="s">
        <v>178</v>
      </c>
      <c r="D9" s="8"/>
      <c r="E9" s="12">
        <v>0.54283800000000004</v>
      </c>
      <c r="F9" s="1"/>
      <c r="G9" s="1"/>
      <c r="H9" s="1"/>
      <c r="I9" s="1"/>
      <c r="J9" s="24" t="s">
        <v>48</v>
      </c>
      <c r="K9" s="30">
        <v>1.73E-3</v>
      </c>
      <c r="L9" s="1"/>
      <c r="M9" s="1"/>
      <c r="N9" s="18"/>
    </row>
    <row r="10" spans="2:14" ht="15" customHeight="1" x14ac:dyDescent="0.25">
      <c r="B10" s="20"/>
      <c r="C10" s="5" t="s">
        <v>179</v>
      </c>
      <c r="D10" s="6" t="s">
        <v>184</v>
      </c>
      <c r="E10" s="11">
        <v>2.2828999999999999E-2</v>
      </c>
      <c r="F10" s="1"/>
      <c r="G10" s="1"/>
      <c r="H10" s="1"/>
      <c r="I10" s="1"/>
      <c r="J10" s="24" t="s">
        <v>51</v>
      </c>
      <c r="K10" s="30">
        <v>0.412607</v>
      </c>
      <c r="L10" s="1"/>
      <c r="M10" s="1"/>
      <c r="N10" s="18"/>
    </row>
    <row r="11" spans="2:14" ht="15" customHeight="1" x14ac:dyDescent="0.25">
      <c r="B11" s="20"/>
      <c r="C11" s="5" t="s">
        <v>180</v>
      </c>
      <c r="D11" s="6" t="s">
        <v>184</v>
      </c>
      <c r="E11" s="11">
        <v>1.9996E-2</v>
      </c>
      <c r="F11" s="1"/>
      <c r="G11" s="1"/>
      <c r="H11" s="1"/>
      <c r="I11" s="1"/>
      <c r="J11" s="24" t="s">
        <v>181</v>
      </c>
      <c r="K11" s="30">
        <v>0.54283800000000004</v>
      </c>
      <c r="L11" s="1"/>
      <c r="M11" s="1"/>
      <c r="N11" s="18"/>
    </row>
    <row r="12" spans="2:14" ht="15.75" customHeight="1" x14ac:dyDescent="0.25">
      <c r="B12" s="20"/>
      <c r="C12" s="7" t="s">
        <v>160</v>
      </c>
      <c r="D12" s="8"/>
      <c r="E12" s="12">
        <v>4.2825000000000002E-2</v>
      </c>
      <c r="F12" s="1"/>
      <c r="G12" s="1"/>
      <c r="H12" s="1"/>
      <c r="I12" s="1"/>
      <c r="J12" s="24" t="s">
        <v>163</v>
      </c>
      <c r="K12" s="30">
        <v>4.2825000000000002E-2</v>
      </c>
      <c r="L12" s="1"/>
      <c r="M12" s="1"/>
      <c r="N12" s="18"/>
    </row>
    <row r="13" spans="2:14" ht="15" customHeight="1" x14ac:dyDescent="0.25">
      <c r="B13" s="20"/>
      <c r="C13" s="5" t="s">
        <v>46</v>
      </c>
      <c r="D13" s="6"/>
      <c r="E13" s="11">
        <v>0.412607</v>
      </c>
      <c r="F13" s="1"/>
      <c r="G13" s="1"/>
      <c r="H13" s="1"/>
      <c r="I13" s="1"/>
      <c r="J13" s="1"/>
      <c r="K13" s="1"/>
      <c r="L13" s="1"/>
      <c r="M13" s="1"/>
      <c r="N13" s="18"/>
    </row>
    <row r="14" spans="2:14" ht="15.75" customHeight="1" x14ac:dyDescent="0.25">
      <c r="B14" s="20"/>
      <c r="C14" s="7" t="s">
        <v>47</v>
      </c>
      <c r="D14" s="8"/>
      <c r="E14" s="12">
        <v>0.412607</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48</v>
      </c>
      <c r="D16" s="8"/>
      <c r="E16" s="12">
        <v>1.73E-3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49</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6" t="s">
        <v>302</v>
      </c>
      <c r="H24" s="87"/>
      <c r="I24" s="87"/>
      <c r="J24" s="87"/>
      <c r="K24" s="87"/>
      <c r="L24" s="68">
        <v>1.178163296613939</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6" t="s">
        <v>7</v>
      </c>
      <c r="H26" s="87"/>
      <c r="I26" s="87"/>
      <c r="J26" s="87"/>
      <c r="K26" s="87"/>
      <c r="L26" s="87"/>
      <c r="M26" s="87"/>
      <c r="N26" s="88"/>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69" t="s">
        <v>272</v>
      </c>
      <c r="C45" s="70"/>
      <c r="D45" s="70"/>
      <c r="E45" s="70"/>
      <c r="F45" s="70"/>
      <c r="G45" s="70"/>
      <c r="H45" s="70"/>
      <c r="I45" s="70"/>
      <c r="J45" s="70"/>
      <c r="K45" s="70"/>
      <c r="L45" s="70"/>
      <c r="M45" s="70"/>
      <c r="N45" s="71"/>
    </row>
    <row r="46" spans="2:14" x14ac:dyDescent="0.25">
      <c r="B46" s="72"/>
      <c r="C46" s="73"/>
      <c r="D46" s="73"/>
      <c r="E46" s="73"/>
      <c r="F46" s="73"/>
      <c r="G46" s="73"/>
      <c r="H46" s="73"/>
      <c r="I46" s="73"/>
      <c r="J46" s="73"/>
      <c r="K46" s="73"/>
      <c r="L46" s="73"/>
      <c r="M46" s="73"/>
      <c r="N46" s="74"/>
    </row>
    <row r="47" spans="2:14" ht="15.75" thickBot="1" x14ac:dyDescent="0.3">
      <c r="B47" s="75"/>
      <c r="C47" s="76"/>
      <c r="D47" s="76"/>
      <c r="E47" s="76"/>
      <c r="F47" s="76"/>
      <c r="G47" s="76"/>
      <c r="H47" s="76"/>
      <c r="I47" s="76"/>
      <c r="J47" s="76"/>
      <c r="K47" s="76"/>
      <c r="L47" s="76"/>
      <c r="M47" s="76"/>
      <c r="N47" s="77"/>
    </row>
    <row r="48" spans="2:14" ht="15.75" thickBot="1" x14ac:dyDescent="0.3"/>
    <row r="49" spans="2:14" ht="132" customHeight="1" thickBot="1" x14ac:dyDescent="0.3">
      <c r="B49" s="78" t="s">
        <v>273</v>
      </c>
      <c r="C49" s="79"/>
      <c r="D49" s="79"/>
      <c r="E49" s="79"/>
      <c r="F49" s="79"/>
      <c r="G49" s="79"/>
      <c r="H49" s="79"/>
      <c r="I49" s="79"/>
      <c r="J49" s="79"/>
      <c r="K49" s="79"/>
      <c r="L49" s="79"/>
      <c r="M49" s="79"/>
      <c r="N49" s="80"/>
    </row>
  </sheetData>
  <mergeCells count="7">
    <mergeCell ref="B45:N47"/>
    <mergeCell ref="B49:N49"/>
    <mergeCell ref="C3:N3"/>
    <mergeCell ref="D5:E5"/>
    <mergeCell ref="G7:N7"/>
    <mergeCell ref="G24:K24"/>
    <mergeCell ref="G26:N2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2C95F-D086-4693-8B36-247A35F3A3F1}">
  <dimension ref="B1:N85"/>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133</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9</v>
      </c>
      <c r="D5" s="84" t="s">
        <v>134</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21</v>
      </c>
      <c r="D8" s="6" t="s">
        <v>12</v>
      </c>
      <c r="E8" s="11">
        <v>9.1324000000000002E-2</v>
      </c>
      <c r="F8" s="1"/>
      <c r="G8" s="24" t="s">
        <v>4</v>
      </c>
      <c r="H8" s="25">
        <v>1</v>
      </c>
      <c r="I8" s="1"/>
      <c r="J8" s="24" t="s">
        <v>50</v>
      </c>
      <c r="K8" s="24" t="s">
        <v>3</v>
      </c>
      <c r="L8" s="1"/>
      <c r="M8" s="1"/>
      <c r="N8" s="18"/>
    </row>
    <row r="9" spans="2:14" ht="15" customHeight="1" x14ac:dyDescent="0.25">
      <c r="B9" s="20"/>
      <c r="C9" s="5" t="s">
        <v>15</v>
      </c>
      <c r="D9" s="6" t="s">
        <v>12</v>
      </c>
      <c r="E9" s="11">
        <v>5.7044999999999998E-2</v>
      </c>
      <c r="F9" s="1"/>
      <c r="G9" s="1"/>
      <c r="H9" s="1"/>
      <c r="I9" s="1"/>
      <c r="J9" s="24" t="s">
        <v>48</v>
      </c>
      <c r="K9" s="30">
        <v>-0.23433100000000001</v>
      </c>
      <c r="L9" s="1"/>
      <c r="M9" s="1"/>
      <c r="N9" s="18"/>
    </row>
    <row r="10" spans="2:14" ht="15" customHeight="1" x14ac:dyDescent="0.25">
      <c r="B10" s="20"/>
      <c r="C10" s="5" t="s">
        <v>135</v>
      </c>
      <c r="D10" s="6" t="s">
        <v>12</v>
      </c>
      <c r="E10" s="11">
        <v>5.6924000000000002E-2</v>
      </c>
      <c r="F10" s="1"/>
      <c r="G10" s="1"/>
      <c r="H10" s="1"/>
      <c r="I10" s="1"/>
      <c r="J10" s="24" t="s">
        <v>51</v>
      </c>
      <c r="K10" s="30">
        <v>5.3838999999999998E-2</v>
      </c>
      <c r="L10" s="1"/>
      <c r="M10" s="1"/>
      <c r="N10" s="18"/>
    </row>
    <row r="11" spans="2:14" ht="15" customHeight="1" x14ac:dyDescent="0.25">
      <c r="B11" s="20"/>
      <c r="C11" s="5" t="s">
        <v>13</v>
      </c>
      <c r="D11" s="6" t="s">
        <v>12</v>
      </c>
      <c r="E11" s="11">
        <v>3.8149000000000002E-2</v>
      </c>
      <c r="F11" s="1"/>
      <c r="G11" s="1"/>
      <c r="H11" s="1"/>
      <c r="I11" s="1"/>
      <c r="J11" s="24" t="s">
        <v>52</v>
      </c>
      <c r="K11" s="30">
        <v>0.27968999999999999</v>
      </c>
      <c r="L11" s="1"/>
      <c r="M11" s="1"/>
      <c r="N11" s="18"/>
    </row>
    <row r="12" spans="2:14" ht="15" customHeight="1" x14ac:dyDescent="0.25">
      <c r="B12" s="20"/>
      <c r="C12" s="5" t="s">
        <v>14</v>
      </c>
      <c r="D12" s="6" t="s">
        <v>12</v>
      </c>
      <c r="E12" s="11">
        <v>1.9154000000000001E-2</v>
      </c>
      <c r="F12" s="1"/>
      <c r="G12" s="1"/>
      <c r="H12" s="1"/>
      <c r="I12" s="1"/>
      <c r="J12" s="24" t="s">
        <v>53</v>
      </c>
      <c r="K12" s="30">
        <v>5.4047999999999999E-2</v>
      </c>
      <c r="L12" s="1"/>
      <c r="M12" s="1"/>
      <c r="N12" s="18"/>
    </row>
    <row r="13" spans="2:14" ht="15" customHeight="1" x14ac:dyDescent="0.25">
      <c r="B13" s="20"/>
      <c r="C13" s="5" t="s">
        <v>34</v>
      </c>
      <c r="D13" s="6" t="s">
        <v>12</v>
      </c>
      <c r="E13" s="11">
        <v>7.6059999999999999E-3</v>
      </c>
      <c r="F13" s="1"/>
      <c r="G13" s="1"/>
      <c r="H13" s="1"/>
      <c r="I13" s="1"/>
      <c r="J13" s="24" t="s">
        <v>161</v>
      </c>
      <c r="K13" s="30">
        <v>0.59338800000000003</v>
      </c>
      <c r="L13" s="1"/>
      <c r="M13" s="1"/>
      <c r="N13" s="18"/>
    </row>
    <row r="14" spans="2:14" ht="15" customHeight="1" x14ac:dyDescent="0.25">
      <c r="B14" s="20"/>
      <c r="C14" s="5" t="s">
        <v>136</v>
      </c>
      <c r="D14" s="6" t="s">
        <v>12</v>
      </c>
      <c r="E14" s="11">
        <v>7.5880000000000001E-3</v>
      </c>
      <c r="F14" s="1"/>
      <c r="G14" s="1"/>
      <c r="H14" s="1"/>
      <c r="I14" s="1"/>
      <c r="J14" s="24" t="s">
        <v>36</v>
      </c>
      <c r="K14" s="30">
        <v>2.598E-3</v>
      </c>
      <c r="L14" s="1"/>
      <c r="M14" s="1"/>
      <c r="N14" s="18"/>
    </row>
    <row r="15" spans="2:14" ht="15" customHeight="1" x14ac:dyDescent="0.25">
      <c r="B15" s="20"/>
      <c r="C15" s="5" t="s">
        <v>11</v>
      </c>
      <c r="D15" s="6" t="s">
        <v>12</v>
      </c>
      <c r="E15" s="11">
        <v>1.9E-3</v>
      </c>
      <c r="F15" s="1"/>
      <c r="G15" s="1"/>
      <c r="H15" s="1"/>
      <c r="I15" s="1"/>
      <c r="J15" s="24" t="s">
        <v>162</v>
      </c>
      <c r="K15" s="30">
        <v>7.2789999999999999E-3</v>
      </c>
      <c r="L15" s="1"/>
      <c r="M15" s="1"/>
      <c r="N15" s="18"/>
    </row>
    <row r="16" spans="2:14" ht="15.75" customHeight="1" x14ac:dyDescent="0.25">
      <c r="B16" s="20"/>
      <c r="C16" s="7" t="s">
        <v>18</v>
      </c>
      <c r="D16" s="8"/>
      <c r="E16" s="12">
        <v>0.27968999999999999</v>
      </c>
      <c r="F16" s="1"/>
      <c r="G16" s="1"/>
      <c r="H16" s="1"/>
      <c r="I16" s="1"/>
      <c r="J16" s="24" t="s">
        <v>163</v>
      </c>
      <c r="K16" s="30">
        <v>0.24348900000000001</v>
      </c>
      <c r="L16" s="1"/>
      <c r="M16" s="1"/>
      <c r="N16" s="18"/>
    </row>
    <row r="17" spans="2:14" ht="15" customHeight="1" x14ac:dyDescent="0.25">
      <c r="B17" s="20"/>
      <c r="C17" s="5" t="s">
        <v>137</v>
      </c>
      <c r="D17" s="6" t="s">
        <v>12</v>
      </c>
      <c r="E17" s="11">
        <v>0.122071</v>
      </c>
      <c r="F17" s="1"/>
      <c r="G17" s="1"/>
      <c r="H17" s="1"/>
      <c r="I17" s="1"/>
      <c r="J17" s="1"/>
      <c r="K17" s="1"/>
      <c r="L17" s="1"/>
      <c r="M17" s="1"/>
      <c r="N17" s="18"/>
    </row>
    <row r="18" spans="2:14" ht="15" customHeight="1" x14ac:dyDescent="0.25">
      <c r="B18" s="20"/>
      <c r="C18" s="5" t="s">
        <v>19</v>
      </c>
      <c r="D18" s="6" t="s">
        <v>12</v>
      </c>
      <c r="E18" s="11">
        <v>0.11652700000000001</v>
      </c>
      <c r="F18" s="1"/>
      <c r="G18" s="1"/>
      <c r="H18" s="1"/>
      <c r="I18" s="1"/>
      <c r="J18" s="1"/>
      <c r="K18" s="1"/>
      <c r="L18" s="1"/>
      <c r="M18" s="1"/>
      <c r="N18" s="18"/>
    </row>
    <row r="19" spans="2:14" ht="15" customHeight="1" x14ac:dyDescent="0.25">
      <c r="B19" s="20"/>
      <c r="C19" s="5" t="s">
        <v>64</v>
      </c>
      <c r="D19" s="6" t="s">
        <v>12</v>
      </c>
      <c r="E19" s="11">
        <v>9.5528000000000002E-2</v>
      </c>
      <c r="F19" s="1"/>
      <c r="G19" s="1"/>
      <c r="H19" s="1"/>
      <c r="I19" s="1"/>
      <c r="J19" s="1"/>
      <c r="K19" s="1"/>
      <c r="L19" s="1"/>
      <c r="M19" s="1"/>
      <c r="N19" s="18"/>
    </row>
    <row r="20" spans="2:14" ht="15" customHeight="1" x14ac:dyDescent="0.25">
      <c r="B20" s="20"/>
      <c r="C20" s="5" t="s">
        <v>17</v>
      </c>
      <c r="D20" s="6" t="s">
        <v>12</v>
      </c>
      <c r="E20" s="11">
        <v>8.0236000000000002E-2</v>
      </c>
      <c r="F20" s="1"/>
      <c r="G20" s="1"/>
      <c r="H20" s="1"/>
      <c r="I20" s="1"/>
      <c r="J20" s="1"/>
      <c r="K20" s="1"/>
      <c r="L20" s="1"/>
      <c r="M20" s="1"/>
      <c r="N20" s="18"/>
    </row>
    <row r="21" spans="2:14" ht="15" customHeight="1" x14ac:dyDescent="0.25">
      <c r="B21" s="20"/>
      <c r="C21" s="5" t="s">
        <v>25</v>
      </c>
      <c r="D21" s="6" t="s">
        <v>12</v>
      </c>
      <c r="E21" s="11">
        <v>4.0011999999999999E-2</v>
      </c>
      <c r="F21" s="1"/>
      <c r="G21" s="1"/>
      <c r="H21" s="1"/>
      <c r="I21" s="1"/>
      <c r="J21" s="1"/>
      <c r="K21" s="1"/>
      <c r="L21" s="1"/>
      <c r="M21" s="1"/>
      <c r="N21" s="18"/>
    </row>
    <row r="22" spans="2:14" ht="15" customHeight="1" x14ac:dyDescent="0.25">
      <c r="B22" s="20"/>
      <c r="C22" s="5" t="s">
        <v>138</v>
      </c>
      <c r="D22" s="6" t="s">
        <v>12</v>
      </c>
      <c r="E22" s="11">
        <v>3.4227E-2</v>
      </c>
      <c r="F22" s="1"/>
      <c r="G22" s="1"/>
      <c r="H22" s="1"/>
      <c r="I22" s="1"/>
      <c r="J22" s="1"/>
      <c r="K22" s="1"/>
      <c r="L22" s="1"/>
      <c r="M22" s="1"/>
      <c r="N22" s="18"/>
    </row>
    <row r="23" spans="2:14" ht="15" customHeight="1" x14ac:dyDescent="0.25">
      <c r="B23" s="20"/>
      <c r="C23" s="5" t="s">
        <v>139</v>
      </c>
      <c r="D23" s="6" t="s">
        <v>12</v>
      </c>
      <c r="E23" s="11">
        <v>2.1038000000000001E-2</v>
      </c>
      <c r="F23" s="1"/>
      <c r="G23" s="1"/>
      <c r="H23" s="1"/>
      <c r="I23" s="1"/>
      <c r="J23" s="1"/>
      <c r="K23" s="1"/>
      <c r="L23" s="1"/>
      <c r="M23" s="1"/>
      <c r="N23" s="18"/>
    </row>
    <row r="24" spans="2:14" ht="15" customHeight="1" x14ac:dyDescent="0.25">
      <c r="B24" s="20"/>
      <c r="C24" s="5" t="s">
        <v>140</v>
      </c>
      <c r="D24" s="6" t="s">
        <v>12</v>
      </c>
      <c r="E24" s="11">
        <v>1.5211000000000001E-2</v>
      </c>
      <c r="F24" s="1"/>
      <c r="G24" s="86" t="s">
        <v>117</v>
      </c>
      <c r="H24" s="87"/>
      <c r="I24" s="87"/>
      <c r="J24" s="87"/>
      <c r="K24" s="87"/>
      <c r="L24" s="68">
        <v>37.450344596369625</v>
      </c>
      <c r="M24" s="27"/>
      <c r="N24" s="28"/>
    </row>
    <row r="25" spans="2:14" ht="15" customHeight="1" x14ac:dyDescent="0.25">
      <c r="B25" s="20"/>
      <c r="C25" s="5" t="s">
        <v>141</v>
      </c>
      <c r="D25" s="6" t="s">
        <v>12</v>
      </c>
      <c r="E25" s="11">
        <v>1.5199000000000001E-2</v>
      </c>
      <c r="F25" s="1"/>
      <c r="G25" s="1"/>
      <c r="H25" s="1"/>
      <c r="I25" s="1"/>
      <c r="J25" s="1"/>
      <c r="K25" s="1"/>
      <c r="L25" s="1"/>
      <c r="M25" s="1"/>
      <c r="N25" s="18"/>
    </row>
    <row r="26" spans="2:14" ht="15" customHeight="1" x14ac:dyDescent="0.25">
      <c r="B26" s="20"/>
      <c r="C26" s="5" t="s">
        <v>125</v>
      </c>
      <c r="D26" s="6" t="s">
        <v>12</v>
      </c>
      <c r="E26" s="11">
        <v>1.3349E-2</v>
      </c>
      <c r="F26" s="1"/>
      <c r="G26" s="86" t="s">
        <v>7</v>
      </c>
      <c r="H26" s="87"/>
      <c r="I26" s="87"/>
      <c r="J26" s="87"/>
      <c r="K26" s="87"/>
      <c r="L26" s="87"/>
      <c r="M26" s="87"/>
      <c r="N26" s="88"/>
    </row>
    <row r="27" spans="2:14" ht="15" customHeight="1" x14ac:dyDescent="0.25">
      <c r="B27" s="20"/>
      <c r="C27" s="5" t="s">
        <v>142</v>
      </c>
      <c r="D27" s="6" t="s">
        <v>12</v>
      </c>
      <c r="E27" s="11">
        <v>1.3296000000000001E-2</v>
      </c>
      <c r="F27" s="1"/>
      <c r="G27" s="1"/>
      <c r="H27" s="1"/>
      <c r="I27" s="1"/>
      <c r="J27" s="1"/>
      <c r="K27" s="1"/>
      <c r="L27" s="1"/>
      <c r="M27" s="1"/>
      <c r="N27" s="18"/>
    </row>
    <row r="28" spans="2:14" ht="15" customHeight="1" x14ac:dyDescent="0.25">
      <c r="B28" s="20"/>
      <c r="C28" s="5" t="s">
        <v>57</v>
      </c>
      <c r="D28" s="6" t="s">
        <v>12</v>
      </c>
      <c r="E28" s="11">
        <v>1.1419E-2</v>
      </c>
      <c r="F28" s="1"/>
      <c r="G28" s="1"/>
      <c r="H28" s="1"/>
      <c r="I28" s="1"/>
      <c r="J28" s="1"/>
      <c r="K28" s="1"/>
      <c r="L28" s="1"/>
      <c r="M28" s="1"/>
      <c r="N28" s="18"/>
    </row>
    <row r="29" spans="2:14" ht="15" customHeight="1" x14ac:dyDescent="0.25">
      <c r="B29" s="20"/>
      <c r="C29" s="5" t="s">
        <v>143</v>
      </c>
      <c r="D29" s="6" t="s">
        <v>12</v>
      </c>
      <c r="E29" s="11">
        <v>7.6490000000000004E-3</v>
      </c>
      <c r="F29" s="1"/>
      <c r="G29" s="1"/>
      <c r="H29" s="1"/>
      <c r="I29" s="1"/>
      <c r="J29" s="1"/>
      <c r="K29" s="1"/>
      <c r="L29" s="1"/>
      <c r="M29" s="1"/>
      <c r="N29" s="18"/>
    </row>
    <row r="30" spans="2:14" ht="15" customHeight="1" x14ac:dyDescent="0.25">
      <c r="B30" s="20"/>
      <c r="C30" s="5" t="s">
        <v>144</v>
      </c>
      <c r="D30" s="6" t="s">
        <v>12</v>
      </c>
      <c r="E30" s="11">
        <v>7.626E-3</v>
      </c>
      <c r="F30" s="1"/>
      <c r="G30" s="1"/>
      <c r="H30" s="1"/>
      <c r="I30" s="1"/>
      <c r="J30" s="1"/>
      <c r="K30" s="1"/>
      <c r="L30" s="1"/>
      <c r="M30" s="1"/>
      <c r="N30" s="18"/>
    </row>
    <row r="31" spans="2:14" ht="15.75" customHeight="1" x14ac:dyDescent="0.25">
      <c r="B31" s="20"/>
      <c r="C31" s="7" t="s">
        <v>145</v>
      </c>
      <c r="D31" s="8"/>
      <c r="E31" s="12">
        <v>0.59338800000000003</v>
      </c>
      <c r="F31" s="1"/>
      <c r="G31" s="1"/>
      <c r="H31" s="1"/>
      <c r="I31" s="1"/>
      <c r="J31" s="1"/>
      <c r="K31" s="1"/>
      <c r="L31" s="1"/>
      <c r="M31" s="1"/>
      <c r="N31" s="18"/>
    </row>
    <row r="32" spans="2:14" ht="15" customHeight="1" x14ac:dyDescent="0.25">
      <c r="B32" s="20"/>
      <c r="C32" s="5" t="s">
        <v>146</v>
      </c>
      <c r="D32" s="6" t="s">
        <v>20</v>
      </c>
      <c r="E32" s="11">
        <v>2.2617000000000002E-2</v>
      </c>
      <c r="F32" s="1"/>
      <c r="G32" s="1"/>
      <c r="H32" s="1"/>
      <c r="I32" s="1"/>
      <c r="J32" s="1"/>
      <c r="K32" s="1"/>
      <c r="L32" s="1"/>
      <c r="M32" s="1"/>
      <c r="N32" s="18"/>
    </row>
    <row r="33" spans="2:14" ht="15" customHeight="1" x14ac:dyDescent="0.25">
      <c r="B33" s="20"/>
      <c r="C33" s="5" t="s">
        <v>24</v>
      </c>
      <c r="D33" s="6" t="s">
        <v>20</v>
      </c>
      <c r="E33" s="11">
        <v>1.1498E-2</v>
      </c>
      <c r="F33" s="1"/>
      <c r="G33" s="1"/>
      <c r="H33" s="1"/>
      <c r="I33" s="1"/>
      <c r="J33" s="1"/>
      <c r="K33" s="1"/>
      <c r="L33" s="1"/>
      <c r="M33" s="1"/>
      <c r="N33" s="18"/>
    </row>
    <row r="34" spans="2:14" ht="15" customHeight="1" x14ac:dyDescent="0.25">
      <c r="B34" s="20"/>
      <c r="C34" s="5" t="s">
        <v>27</v>
      </c>
      <c r="D34" s="6" t="s">
        <v>20</v>
      </c>
      <c r="E34" s="11">
        <v>7.6670000000000002E-3</v>
      </c>
      <c r="F34" s="1"/>
      <c r="G34" s="1"/>
      <c r="H34" s="1"/>
      <c r="I34" s="1"/>
      <c r="J34" s="1"/>
      <c r="K34" s="1"/>
      <c r="L34" s="1"/>
      <c r="M34" s="1"/>
      <c r="N34" s="18"/>
    </row>
    <row r="35" spans="2:14" ht="15" customHeight="1" x14ac:dyDescent="0.25">
      <c r="B35" s="20"/>
      <c r="C35" s="5" t="s">
        <v>31</v>
      </c>
      <c r="D35" s="6" t="s">
        <v>20</v>
      </c>
      <c r="E35" s="11">
        <v>6.5279999999999999E-3</v>
      </c>
      <c r="F35" s="1"/>
      <c r="G35" s="1"/>
      <c r="H35" s="1"/>
      <c r="I35" s="1"/>
      <c r="J35" s="1"/>
      <c r="K35" s="1"/>
      <c r="L35" s="1"/>
      <c r="M35" s="1"/>
      <c r="N35" s="18"/>
    </row>
    <row r="36" spans="2:14" ht="15" customHeight="1" x14ac:dyDescent="0.25">
      <c r="B36" s="20"/>
      <c r="C36" s="5" t="s">
        <v>68</v>
      </c>
      <c r="D36" s="6" t="s">
        <v>20</v>
      </c>
      <c r="E36" s="11">
        <v>3.8210000000000002E-3</v>
      </c>
      <c r="F36" s="1"/>
      <c r="G36" s="1"/>
      <c r="H36" s="1"/>
      <c r="I36" s="1"/>
      <c r="J36" s="1"/>
      <c r="K36" s="1"/>
      <c r="L36" s="1"/>
      <c r="M36" s="1"/>
      <c r="N36" s="18"/>
    </row>
    <row r="37" spans="2:14" ht="15" customHeight="1" x14ac:dyDescent="0.25">
      <c r="B37" s="20"/>
      <c r="C37" s="5" t="s">
        <v>23</v>
      </c>
      <c r="D37" s="6" t="s">
        <v>20</v>
      </c>
      <c r="E37" s="11">
        <v>1.9170000000000001E-3</v>
      </c>
      <c r="F37" s="1"/>
      <c r="G37" s="1"/>
      <c r="H37" s="1"/>
      <c r="I37" s="1"/>
      <c r="J37" s="1"/>
      <c r="K37" s="1"/>
      <c r="L37" s="1"/>
      <c r="M37" s="1"/>
      <c r="N37" s="18"/>
    </row>
    <row r="38" spans="2:14" ht="15.75" customHeight="1" x14ac:dyDescent="0.25">
      <c r="B38" s="20"/>
      <c r="C38" s="7" t="s">
        <v>35</v>
      </c>
      <c r="D38" s="8"/>
      <c r="E38" s="12">
        <v>5.4047999999999999E-2</v>
      </c>
      <c r="F38" s="1"/>
      <c r="G38" s="1"/>
      <c r="H38" s="1"/>
      <c r="I38" s="1"/>
      <c r="J38" s="1"/>
      <c r="K38" s="1"/>
      <c r="L38" s="1"/>
      <c r="M38" s="1"/>
      <c r="N38" s="18"/>
    </row>
    <row r="39" spans="2:14" ht="15" customHeight="1" x14ac:dyDescent="0.25">
      <c r="B39" s="20"/>
      <c r="C39" s="5" t="s">
        <v>36</v>
      </c>
      <c r="D39" s="6"/>
      <c r="E39" s="11">
        <v>2.598E-3</v>
      </c>
      <c r="F39" s="1"/>
      <c r="G39" s="1"/>
      <c r="H39" s="1"/>
      <c r="I39" s="1"/>
      <c r="J39" s="1"/>
      <c r="K39" s="1"/>
      <c r="L39" s="1"/>
      <c r="M39" s="1"/>
      <c r="N39" s="18"/>
    </row>
    <row r="40" spans="2:14" ht="15.75" customHeight="1" x14ac:dyDescent="0.25">
      <c r="B40" s="20"/>
      <c r="C40" s="7" t="s">
        <v>37</v>
      </c>
      <c r="D40" s="8"/>
      <c r="E40" s="12">
        <v>2.598E-3</v>
      </c>
      <c r="F40" s="1"/>
      <c r="G40" s="1"/>
      <c r="H40" s="1"/>
      <c r="I40" s="1"/>
      <c r="J40" s="1"/>
      <c r="K40" s="1"/>
      <c r="L40" s="1"/>
      <c r="M40" s="1"/>
      <c r="N40" s="18"/>
    </row>
    <row r="41" spans="2:14" ht="15" customHeight="1" x14ac:dyDescent="0.25">
      <c r="B41" s="20"/>
      <c r="C41" s="5" t="s">
        <v>21</v>
      </c>
      <c r="D41" s="6" t="s">
        <v>20</v>
      </c>
      <c r="E41" s="11">
        <v>7.2789999999999999E-3</v>
      </c>
      <c r="F41" s="1"/>
      <c r="G41" s="1"/>
      <c r="H41" s="1"/>
      <c r="I41" s="1"/>
      <c r="J41" s="1"/>
      <c r="K41" s="1"/>
      <c r="L41" s="1"/>
      <c r="M41" s="1"/>
      <c r="N41" s="18"/>
    </row>
    <row r="42" spans="2:14" ht="15.75" customHeight="1" x14ac:dyDescent="0.25">
      <c r="B42" s="20"/>
      <c r="C42" s="7" t="s">
        <v>147</v>
      </c>
      <c r="D42" s="8"/>
      <c r="E42" s="12">
        <v>7.2789999999999999E-3</v>
      </c>
      <c r="F42" s="1"/>
      <c r="G42" s="1"/>
      <c r="H42" s="1"/>
      <c r="I42" s="1"/>
      <c r="J42" s="1"/>
      <c r="K42" s="1"/>
      <c r="L42" s="1"/>
      <c r="M42" s="1"/>
      <c r="N42" s="18"/>
    </row>
    <row r="43" spans="2:14" ht="15" customHeight="1" x14ac:dyDescent="0.25">
      <c r="B43" s="20"/>
      <c r="C43" s="5" t="s">
        <v>148</v>
      </c>
      <c r="D43" s="6" t="s">
        <v>184</v>
      </c>
      <c r="E43" s="11">
        <v>4.5782000000000003E-2</v>
      </c>
      <c r="F43" s="1"/>
      <c r="G43" s="1"/>
      <c r="H43" s="1"/>
      <c r="I43" s="1"/>
      <c r="J43" s="1"/>
      <c r="K43" s="1"/>
      <c r="L43" s="1"/>
      <c r="M43" s="1"/>
      <c r="N43" s="18"/>
    </row>
    <row r="44" spans="2:14" ht="15" customHeight="1" x14ac:dyDescent="0.25">
      <c r="B44" s="20"/>
      <c r="C44" s="5" t="s">
        <v>149</v>
      </c>
      <c r="D44" s="6" t="s">
        <v>184</v>
      </c>
      <c r="E44" s="11">
        <v>4.5723E-2</v>
      </c>
      <c r="F44" s="1"/>
      <c r="G44" s="1"/>
      <c r="H44" s="1"/>
      <c r="I44" s="1"/>
      <c r="J44" s="1"/>
      <c r="K44" s="1"/>
      <c r="L44" s="1"/>
      <c r="M44" s="1"/>
      <c r="N44" s="18"/>
    </row>
    <row r="45" spans="2:14" ht="15" customHeight="1" x14ac:dyDescent="0.25">
      <c r="B45" s="20"/>
      <c r="C45" s="5" t="s">
        <v>150</v>
      </c>
      <c r="D45" s="6" t="s">
        <v>184</v>
      </c>
      <c r="E45" s="11">
        <v>4.0108999999999999E-2</v>
      </c>
      <c r="F45" s="1"/>
      <c r="G45" s="1"/>
      <c r="H45" s="1"/>
      <c r="I45" s="1"/>
      <c r="J45" s="1"/>
      <c r="K45" s="1"/>
      <c r="L45" s="1"/>
      <c r="M45" s="1"/>
      <c r="N45" s="18"/>
    </row>
    <row r="46" spans="2:14" ht="15" customHeight="1" x14ac:dyDescent="0.25">
      <c r="B46" s="20"/>
      <c r="C46" s="5" t="s">
        <v>151</v>
      </c>
      <c r="D46" s="6" t="s">
        <v>184</v>
      </c>
      <c r="E46" s="11">
        <v>2.5814E-2</v>
      </c>
      <c r="F46" s="1"/>
      <c r="G46" s="1"/>
      <c r="H46" s="1"/>
      <c r="I46" s="1"/>
      <c r="J46" s="1"/>
      <c r="K46" s="1"/>
      <c r="L46" s="1"/>
      <c r="M46" s="1"/>
      <c r="N46" s="18"/>
    </row>
    <row r="47" spans="2:14" ht="15" customHeight="1" x14ac:dyDescent="0.25">
      <c r="B47" s="20"/>
      <c r="C47" s="5" t="s">
        <v>152</v>
      </c>
      <c r="D47" s="6" t="s">
        <v>184</v>
      </c>
      <c r="E47" s="11">
        <v>1.9127000000000002E-2</v>
      </c>
      <c r="F47" s="1"/>
      <c r="G47" s="1"/>
      <c r="H47" s="1"/>
      <c r="I47" s="1"/>
      <c r="J47" s="1"/>
      <c r="K47" s="1"/>
      <c r="L47" s="1"/>
      <c r="M47" s="1"/>
      <c r="N47" s="18"/>
    </row>
    <row r="48" spans="2:14" ht="15" customHeight="1" x14ac:dyDescent="0.25">
      <c r="B48" s="20"/>
      <c r="C48" s="5" t="s">
        <v>153</v>
      </c>
      <c r="D48" s="6" t="s">
        <v>184</v>
      </c>
      <c r="E48" s="11">
        <v>1.5221999999999999E-2</v>
      </c>
      <c r="F48" s="1"/>
      <c r="G48" s="1"/>
      <c r="H48" s="1"/>
      <c r="I48" s="1"/>
      <c r="J48" s="1"/>
      <c r="K48" s="1"/>
      <c r="L48" s="1"/>
      <c r="M48" s="1"/>
      <c r="N48" s="18"/>
    </row>
    <row r="49" spans="2:14" ht="15" customHeight="1" x14ac:dyDescent="0.25">
      <c r="B49" s="20"/>
      <c r="C49" s="5" t="s">
        <v>154</v>
      </c>
      <c r="D49" s="6" t="s">
        <v>184</v>
      </c>
      <c r="E49" s="11">
        <v>1.3284000000000001E-2</v>
      </c>
      <c r="F49" s="1"/>
      <c r="G49" s="1"/>
      <c r="H49" s="1"/>
      <c r="I49" s="1"/>
      <c r="J49" s="1"/>
      <c r="K49" s="1"/>
      <c r="L49" s="1"/>
      <c r="M49" s="1"/>
      <c r="N49" s="18"/>
    </row>
    <row r="50" spans="2:14" ht="15" customHeight="1" x14ac:dyDescent="0.25">
      <c r="B50" s="20"/>
      <c r="C50" s="5" t="s">
        <v>155</v>
      </c>
      <c r="D50" s="6" t="s">
        <v>184</v>
      </c>
      <c r="E50" s="11">
        <v>1.3021E-2</v>
      </c>
      <c r="F50" s="1"/>
      <c r="G50" s="1"/>
      <c r="H50" s="1"/>
      <c r="I50" s="1"/>
      <c r="J50" s="1"/>
      <c r="K50" s="1"/>
      <c r="L50" s="1"/>
      <c r="M50" s="1"/>
      <c r="N50" s="18"/>
    </row>
    <row r="51" spans="2:14" ht="15" customHeight="1" x14ac:dyDescent="0.25">
      <c r="B51" s="20"/>
      <c r="C51" s="5" t="s">
        <v>156</v>
      </c>
      <c r="D51" s="6" t="s">
        <v>184</v>
      </c>
      <c r="E51" s="11">
        <v>1.1431E-2</v>
      </c>
      <c r="F51" s="1"/>
      <c r="G51" s="1"/>
      <c r="H51" s="1"/>
      <c r="I51" s="1"/>
      <c r="J51" s="1"/>
      <c r="K51" s="1"/>
      <c r="L51" s="1"/>
      <c r="M51" s="1"/>
      <c r="N51" s="18"/>
    </row>
    <row r="52" spans="2:14" ht="15" customHeight="1" x14ac:dyDescent="0.25">
      <c r="B52" s="20"/>
      <c r="C52" s="5" t="s">
        <v>157</v>
      </c>
      <c r="D52" s="6" t="s">
        <v>184</v>
      </c>
      <c r="E52" s="11">
        <v>5.7010000000000003E-3</v>
      </c>
      <c r="F52" s="1"/>
      <c r="G52" s="1"/>
      <c r="H52" s="1"/>
      <c r="I52" s="1"/>
      <c r="J52" s="1"/>
      <c r="K52" s="1"/>
      <c r="L52" s="1"/>
      <c r="M52" s="1"/>
      <c r="N52" s="18"/>
    </row>
    <row r="53" spans="2:14" ht="15" customHeight="1" x14ac:dyDescent="0.25">
      <c r="B53" s="20"/>
      <c r="C53" s="5" t="s">
        <v>158</v>
      </c>
      <c r="D53" s="6" t="s">
        <v>184</v>
      </c>
      <c r="E53" s="11">
        <v>4.202E-3</v>
      </c>
      <c r="F53" s="1"/>
      <c r="G53" s="1"/>
      <c r="H53" s="1"/>
      <c r="I53" s="1"/>
      <c r="J53" s="1"/>
      <c r="K53" s="1"/>
      <c r="L53" s="1"/>
      <c r="M53" s="1"/>
      <c r="N53" s="18"/>
    </row>
    <row r="54" spans="2:14" ht="15" customHeight="1" x14ac:dyDescent="0.25">
      <c r="B54" s="20"/>
      <c r="C54" s="5" t="s">
        <v>159</v>
      </c>
      <c r="D54" s="6" t="s">
        <v>184</v>
      </c>
      <c r="E54" s="11">
        <v>4.0730000000000002E-3</v>
      </c>
      <c r="F54" s="1"/>
      <c r="G54" s="1"/>
      <c r="H54" s="1"/>
      <c r="I54" s="1"/>
      <c r="J54" s="1"/>
      <c r="K54" s="1"/>
      <c r="L54" s="1"/>
      <c r="M54" s="1"/>
      <c r="N54" s="18"/>
    </row>
    <row r="55" spans="2:14" ht="15.75" customHeight="1" x14ac:dyDescent="0.25">
      <c r="B55" s="20"/>
      <c r="C55" s="7" t="s">
        <v>160</v>
      </c>
      <c r="D55" s="8"/>
      <c r="E55" s="12">
        <v>0.24348900000000001</v>
      </c>
      <c r="F55" s="1"/>
      <c r="G55" s="1"/>
      <c r="H55" s="1"/>
      <c r="I55" s="1"/>
      <c r="J55" s="1"/>
      <c r="K55" s="1"/>
      <c r="L55" s="1"/>
      <c r="M55" s="1"/>
      <c r="N55" s="18"/>
    </row>
    <row r="56" spans="2:14" ht="15" customHeight="1" x14ac:dyDescent="0.25">
      <c r="B56" s="20"/>
      <c r="C56" s="5" t="s">
        <v>46</v>
      </c>
      <c r="D56" s="6"/>
      <c r="E56" s="11">
        <v>5.3838999999999998E-2</v>
      </c>
      <c r="F56" s="1"/>
      <c r="G56" s="1"/>
      <c r="H56" s="1"/>
      <c r="I56" s="1"/>
      <c r="J56" s="1"/>
      <c r="K56" s="1"/>
      <c r="L56" s="1"/>
      <c r="M56" s="1"/>
      <c r="N56" s="18"/>
    </row>
    <row r="57" spans="2:14" ht="15.75" customHeight="1" x14ac:dyDescent="0.25">
      <c r="B57" s="20"/>
      <c r="C57" s="7" t="s">
        <v>47</v>
      </c>
      <c r="D57" s="8"/>
      <c r="E57" s="12">
        <v>5.3838999999999998E-2</v>
      </c>
      <c r="F57" s="1"/>
      <c r="G57" s="1"/>
      <c r="H57" s="1"/>
      <c r="I57" s="1"/>
      <c r="J57" s="1"/>
      <c r="K57" s="1"/>
      <c r="L57" s="1"/>
      <c r="M57" s="1"/>
      <c r="N57" s="18"/>
    </row>
    <row r="58" spans="2:14" ht="15" customHeight="1" x14ac:dyDescent="0.25">
      <c r="B58" s="20"/>
      <c r="C58" s="5"/>
      <c r="D58" s="6"/>
      <c r="E58" s="11"/>
      <c r="F58" s="1"/>
      <c r="G58" s="1"/>
      <c r="H58" s="1"/>
      <c r="I58" s="1"/>
      <c r="J58" s="1"/>
      <c r="K58" s="1"/>
      <c r="L58" s="1"/>
      <c r="M58" s="1"/>
      <c r="N58" s="18"/>
    </row>
    <row r="59" spans="2:14" ht="15.75" customHeight="1" x14ac:dyDescent="0.25">
      <c r="B59" s="20"/>
      <c r="C59" s="7" t="s">
        <v>48</v>
      </c>
      <c r="D59" s="8"/>
      <c r="E59" s="12">
        <v>-0.23433100000000001</v>
      </c>
      <c r="F59" s="1"/>
      <c r="G59" s="1"/>
      <c r="H59" s="1"/>
      <c r="I59" s="1"/>
      <c r="J59" s="1"/>
      <c r="K59" s="1"/>
      <c r="L59" s="1"/>
      <c r="M59" s="1"/>
      <c r="N59" s="18"/>
    </row>
    <row r="60" spans="2:14" ht="15" customHeight="1" x14ac:dyDescent="0.25">
      <c r="B60" s="20"/>
      <c r="C60" s="5"/>
      <c r="D60" s="6"/>
      <c r="E60" s="11"/>
      <c r="F60" s="1"/>
      <c r="G60" s="1"/>
      <c r="H60" s="1"/>
      <c r="I60" s="1"/>
      <c r="J60" s="1"/>
      <c r="K60" s="1"/>
      <c r="L60" s="1"/>
      <c r="M60" s="1"/>
      <c r="N60" s="18"/>
    </row>
    <row r="61" spans="2:14" ht="15" customHeight="1" x14ac:dyDescent="0.25">
      <c r="B61" s="20"/>
      <c r="C61" s="9" t="s">
        <v>49</v>
      </c>
      <c r="D61" s="10"/>
      <c r="E61" s="13">
        <v>1</v>
      </c>
      <c r="F61" s="1"/>
      <c r="G61" s="1"/>
      <c r="H61" s="1"/>
      <c r="I61" s="1"/>
      <c r="J61" s="1"/>
      <c r="K61" s="1"/>
      <c r="L61" s="1"/>
      <c r="M61" s="1"/>
      <c r="N61" s="18"/>
    </row>
    <row r="62" spans="2:14" ht="15" customHeight="1" x14ac:dyDescent="0.25">
      <c r="B62" s="20"/>
      <c r="C62" s="1"/>
      <c r="D62" s="1"/>
      <c r="E62" s="1"/>
      <c r="F62" s="1"/>
      <c r="G62" s="1"/>
      <c r="H62" s="1"/>
      <c r="I62" s="1"/>
      <c r="J62" s="1"/>
      <c r="K62" s="1"/>
      <c r="L62" s="1"/>
      <c r="M62" s="1"/>
      <c r="N62" s="18"/>
    </row>
    <row r="63" spans="2:14" ht="15" customHeight="1" thickBot="1" x14ac:dyDescent="0.3">
      <c r="B63" s="21"/>
      <c r="C63" s="22"/>
      <c r="D63" s="22"/>
      <c r="E63" s="22"/>
      <c r="F63" s="22"/>
      <c r="G63" s="22"/>
      <c r="H63" s="22"/>
      <c r="I63" s="22"/>
      <c r="J63" s="22"/>
      <c r="K63" s="22"/>
      <c r="L63" s="22"/>
      <c r="M63" s="22"/>
      <c r="N63" s="23"/>
    </row>
    <row r="64" spans="2:14" ht="15" customHeight="1" thickBot="1" x14ac:dyDescent="0.3"/>
    <row r="65" spans="2:14" ht="15" customHeight="1" x14ac:dyDescent="0.25">
      <c r="B65" s="69" t="s">
        <v>274</v>
      </c>
      <c r="C65" s="70"/>
      <c r="D65" s="70"/>
      <c r="E65" s="70"/>
      <c r="F65" s="70"/>
      <c r="G65" s="70"/>
      <c r="H65" s="70"/>
      <c r="I65" s="70"/>
      <c r="J65" s="70"/>
      <c r="K65" s="70"/>
      <c r="L65" s="70"/>
      <c r="M65" s="70"/>
      <c r="N65" s="71"/>
    </row>
    <row r="66" spans="2:14" ht="15" customHeight="1" x14ac:dyDescent="0.25">
      <c r="B66" s="72"/>
      <c r="C66" s="73"/>
      <c r="D66" s="73"/>
      <c r="E66" s="73"/>
      <c r="F66" s="73"/>
      <c r="G66" s="73"/>
      <c r="H66" s="73"/>
      <c r="I66" s="73"/>
      <c r="J66" s="73"/>
      <c r="K66" s="73"/>
      <c r="L66" s="73"/>
      <c r="M66" s="73"/>
      <c r="N66" s="74"/>
    </row>
    <row r="67" spans="2:14" ht="15" customHeight="1" x14ac:dyDescent="0.25">
      <c r="B67" s="72"/>
      <c r="C67" s="73"/>
      <c r="D67" s="73"/>
      <c r="E67" s="73"/>
      <c r="F67" s="73"/>
      <c r="G67" s="73"/>
      <c r="H67" s="73"/>
      <c r="I67" s="73"/>
      <c r="J67" s="73"/>
      <c r="K67" s="73"/>
      <c r="L67" s="73"/>
      <c r="M67" s="73"/>
      <c r="N67" s="74"/>
    </row>
    <row r="68" spans="2:14" ht="15" customHeight="1" thickBot="1" x14ac:dyDescent="0.3">
      <c r="B68" s="75"/>
      <c r="C68" s="76"/>
      <c r="D68" s="76"/>
      <c r="E68" s="76"/>
      <c r="F68" s="76"/>
      <c r="G68" s="76"/>
      <c r="H68" s="76"/>
      <c r="I68" s="76"/>
      <c r="J68" s="76"/>
      <c r="K68" s="76"/>
      <c r="L68" s="76"/>
      <c r="M68" s="76"/>
      <c r="N68" s="77"/>
    </row>
    <row r="69" spans="2:14" ht="15" customHeight="1" thickBot="1" x14ac:dyDescent="0.3"/>
    <row r="70" spans="2:14" ht="131.25" customHeight="1" thickBot="1" x14ac:dyDescent="0.3">
      <c r="B70" s="78" t="s">
        <v>273</v>
      </c>
      <c r="C70" s="79"/>
      <c r="D70" s="79"/>
      <c r="E70" s="79"/>
      <c r="F70" s="79"/>
      <c r="G70" s="79"/>
      <c r="H70" s="79"/>
      <c r="I70" s="79"/>
      <c r="J70" s="79"/>
      <c r="K70" s="79"/>
      <c r="L70" s="79"/>
      <c r="M70" s="79"/>
      <c r="N70" s="80"/>
    </row>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sheetData>
  <mergeCells count="7">
    <mergeCell ref="B65:N68"/>
    <mergeCell ref="B70:N70"/>
    <mergeCell ref="C3:N3"/>
    <mergeCell ref="D5:E5"/>
    <mergeCell ref="G7:N7"/>
    <mergeCell ref="G24:K24"/>
    <mergeCell ref="G26:N2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49F123-2184-4EF6-8783-298A58F4C068}">
  <dimension ref="B1:N88"/>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167</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9</v>
      </c>
      <c r="D5" s="84" t="s">
        <v>168</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34</v>
      </c>
      <c r="D8" s="6" t="s">
        <v>12</v>
      </c>
      <c r="E8" s="11">
        <v>0.10796600000000001</v>
      </c>
      <c r="F8" s="1"/>
      <c r="G8" s="24" t="s">
        <v>4</v>
      </c>
      <c r="H8" s="30">
        <v>0.97193799999999997</v>
      </c>
      <c r="I8" s="1"/>
      <c r="J8" s="24" t="s">
        <v>50</v>
      </c>
      <c r="K8" s="24" t="s">
        <v>3</v>
      </c>
      <c r="L8" s="1"/>
      <c r="M8" s="1"/>
      <c r="N8" s="18"/>
    </row>
    <row r="9" spans="2:14" ht="15" customHeight="1" x14ac:dyDescent="0.25">
      <c r="B9" s="20"/>
      <c r="C9" s="5" t="s">
        <v>21</v>
      </c>
      <c r="D9" s="6" t="s">
        <v>12</v>
      </c>
      <c r="E9" s="11">
        <v>6.454E-2</v>
      </c>
      <c r="F9" s="1"/>
      <c r="G9" s="24" t="s">
        <v>95</v>
      </c>
      <c r="H9" s="30">
        <v>2.8062E-2</v>
      </c>
      <c r="I9" s="1"/>
      <c r="J9" s="24" t="s">
        <v>48</v>
      </c>
      <c r="K9" s="30">
        <v>1.1561999999999999E-2</v>
      </c>
      <c r="L9" s="1"/>
      <c r="M9" s="1"/>
      <c r="N9" s="18"/>
    </row>
    <row r="10" spans="2:14" ht="15" customHeight="1" x14ac:dyDescent="0.25">
      <c r="B10" s="20"/>
      <c r="C10" s="5" t="s">
        <v>14</v>
      </c>
      <c r="D10" s="6" t="s">
        <v>12</v>
      </c>
      <c r="E10" s="11">
        <v>5.9652999999999998E-2</v>
      </c>
      <c r="F10" s="1"/>
      <c r="G10" s="1"/>
      <c r="H10" s="1"/>
      <c r="I10" s="1"/>
      <c r="J10" s="24" t="s">
        <v>51</v>
      </c>
      <c r="K10" s="30">
        <v>3.4745999999999999E-2</v>
      </c>
      <c r="L10" s="1"/>
      <c r="M10" s="1"/>
      <c r="N10" s="18"/>
    </row>
    <row r="11" spans="2:14" ht="15" customHeight="1" x14ac:dyDescent="0.25">
      <c r="B11" s="20"/>
      <c r="C11" s="5" t="s">
        <v>15</v>
      </c>
      <c r="D11" s="6" t="s">
        <v>12</v>
      </c>
      <c r="E11" s="11">
        <v>3.2620999999999997E-2</v>
      </c>
      <c r="F11" s="1"/>
      <c r="G11" s="1"/>
      <c r="H11" s="1"/>
      <c r="I11" s="1"/>
      <c r="J11" s="24" t="s">
        <v>52</v>
      </c>
      <c r="K11" s="30">
        <v>0.292489</v>
      </c>
      <c r="L11" s="1"/>
      <c r="M11" s="1"/>
      <c r="N11" s="18"/>
    </row>
    <row r="12" spans="2:14" ht="15" customHeight="1" x14ac:dyDescent="0.25">
      <c r="B12" s="20"/>
      <c r="C12" s="5" t="s">
        <v>11</v>
      </c>
      <c r="D12" s="6" t="s">
        <v>12</v>
      </c>
      <c r="E12" s="11">
        <v>2.7709000000000001E-2</v>
      </c>
      <c r="F12" s="1"/>
      <c r="G12" s="1"/>
      <c r="H12" s="1"/>
      <c r="I12" s="1"/>
      <c r="J12" s="24" t="s">
        <v>53</v>
      </c>
      <c r="K12" s="30">
        <v>0.485184</v>
      </c>
      <c r="L12" s="1"/>
      <c r="M12" s="1"/>
      <c r="N12" s="18"/>
    </row>
    <row r="13" spans="2:14" ht="15.75" customHeight="1" x14ac:dyDescent="0.25">
      <c r="B13" s="20"/>
      <c r="C13" s="7" t="s">
        <v>18</v>
      </c>
      <c r="D13" s="8"/>
      <c r="E13" s="12">
        <v>0.292489</v>
      </c>
      <c r="F13" s="1"/>
      <c r="G13" s="1"/>
      <c r="H13" s="1"/>
      <c r="I13" s="1"/>
      <c r="J13" s="24" t="s">
        <v>161</v>
      </c>
      <c r="K13" s="30">
        <v>3.9673E-2</v>
      </c>
      <c r="L13" s="1"/>
      <c r="M13" s="1"/>
      <c r="N13" s="18"/>
    </row>
    <row r="14" spans="2:14" ht="15" customHeight="1" x14ac:dyDescent="0.25">
      <c r="B14" s="20"/>
      <c r="C14" s="5" t="s">
        <v>73</v>
      </c>
      <c r="D14" s="6" t="s">
        <v>12</v>
      </c>
      <c r="E14" s="11">
        <v>2.3812E-2</v>
      </c>
      <c r="F14" s="1"/>
      <c r="G14" s="1"/>
      <c r="H14" s="1"/>
      <c r="I14" s="1"/>
      <c r="J14" s="24" t="s">
        <v>36</v>
      </c>
      <c r="K14" s="30">
        <v>2.6510000000000001E-3</v>
      </c>
      <c r="L14" s="1"/>
      <c r="M14" s="1"/>
      <c r="N14" s="18"/>
    </row>
    <row r="15" spans="2:14" ht="15" customHeight="1" x14ac:dyDescent="0.25">
      <c r="B15" s="20"/>
      <c r="C15" s="5" t="s">
        <v>143</v>
      </c>
      <c r="D15" s="6" t="s">
        <v>12</v>
      </c>
      <c r="E15" s="11">
        <v>1.5861E-2</v>
      </c>
      <c r="F15" s="1"/>
      <c r="G15" s="1"/>
      <c r="H15" s="1"/>
      <c r="I15" s="1"/>
      <c r="J15" s="24" t="s">
        <v>54</v>
      </c>
      <c r="K15" s="30">
        <v>1.207E-3</v>
      </c>
      <c r="L15" s="1"/>
      <c r="M15" s="1"/>
      <c r="N15" s="18"/>
    </row>
    <row r="16" spans="2:14" ht="15.75" customHeight="1" x14ac:dyDescent="0.25">
      <c r="B16" s="20"/>
      <c r="C16" s="7" t="s">
        <v>145</v>
      </c>
      <c r="D16" s="8"/>
      <c r="E16" s="12">
        <v>3.9673E-2</v>
      </c>
      <c r="F16" s="1"/>
      <c r="G16" s="1"/>
      <c r="H16" s="1"/>
      <c r="I16" s="1"/>
      <c r="J16" s="24" t="s">
        <v>55</v>
      </c>
      <c r="K16" s="30">
        <v>5.6557999999999997E-2</v>
      </c>
      <c r="L16" s="1"/>
      <c r="M16" s="1"/>
      <c r="N16" s="18"/>
    </row>
    <row r="17" spans="2:14" ht="15" customHeight="1" x14ac:dyDescent="0.25">
      <c r="B17" s="20"/>
      <c r="C17" s="5" t="s">
        <v>19</v>
      </c>
      <c r="D17" s="6" t="s">
        <v>20</v>
      </c>
      <c r="E17" s="11">
        <v>0.11065</v>
      </c>
      <c r="F17" s="1"/>
      <c r="G17" s="1"/>
      <c r="H17" s="1"/>
      <c r="I17" s="1"/>
      <c r="J17" s="24" t="s">
        <v>163</v>
      </c>
      <c r="K17" s="30">
        <v>7.0858000000000004E-2</v>
      </c>
      <c r="L17" s="1"/>
      <c r="M17" s="1"/>
      <c r="N17" s="18"/>
    </row>
    <row r="18" spans="2:14" ht="15" customHeight="1" x14ac:dyDescent="0.25">
      <c r="B18" s="20"/>
      <c r="C18" s="5" t="s">
        <v>26</v>
      </c>
      <c r="D18" s="6" t="s">
        <v>20</v>
      </c>
      <c r="E18" s="11">
        <v>8.3049999999999999E-2</v>
      </c>
      <c r="F18" s="1"/>
      <c r="G18" s="1"/>
      <c r="H18" s="1"/>
      <c r="I18" s="1"/>
      <c r="J18" s="24" t="s">
        <v>77</v>
      </c>
      <c r="K18" s="30">
        <v>5.0720000000000001E-3</v>
      </c>
      <c r="L18" s="1"/>
      <c r="M18" s="1"/>
      <c r="N18" s="18"/>
    </row>
    <row r="19" spans="2:14" ht="15" customHeight="1" x14ac:dyDescent="0.25">
      <c r="B19" s="20"/>
      <c r="C19" s="5" t="s">
        <v>64</v>
      </c>
      <c r="D19" s="6" t="s">
        <v>20</v>
      </c>
      <c r="E19" s="11">
        <v>7.7173000000000005E-2</v>
      </c>
      <c r="F19" s="1"/>
      <c r="G19" s="1"/>
      <c r="H19" s="1"/>
      <c r="I19" s="1"/>
      <c r="J19" s="1"/>
      <c r="K19" s="1"/>
      <c r="L19" s="1"/>
      <c r="M19" s="1"/>
      <c r="N19" s="18"/>
    </row>
    <row r="20" spans="2:14" ht="15" customHeight="1" x14ac:dyDescent="0.25">
      <c r="B20" s="20"/>
      <c r="C20" s="5" t="s">
        <v>24</v>
      </c>
      <c r="D20" s="6" t="s">
        <v>20</v>
      </c>
      <c r="E20" s="11">
        <v>4.5010000000000001E-2</v>
      </c>
      <c r="F20" s="1"/>
      <c r="G20" s="1"/>
      <c r="H20" s="1"/>
      <c r="I20" s="1"/>
      <c r="J20" s="1"/>
      <c r="K20" s="1"/>
      <c r="L20" s="1"/>
      <c r="M20" s="1"/>
      <c r="N20" s="18"/>
    </row>
    <row r="21" spans="2:14" ht="15" customHeight="1" x14ac:dyDescent="0.25">
      <c r="B21" s="20"/>
      <c r="C21" s="5" t="s">
        <v>17</v>
      </c>
      <c r="D21" s="6" t="s">
        <v>20</v>
      </c>
      <c r="E21" s="11">
        <v>4.2340000000000003E-2</v>
      </c>
      <c r="F21" s="1"/>
      <c r="G21" s="1"/>
      <c r="H21" s="1"/>
      <c r="I21" s="1"/>
      <c r="J21" s="1"/>
      <c r="K21" s="1"/>
      <c r="L21" s="1"/>
      <c r="M21" s="1"/>
      <c r="N21" s="18"/>
    </row>
    <row r="22" spans="2:14" ht="15" customHeight="1" x14ac:dyDescent="0.25">
      <c r="B22" s="20"/>
      <c r="C22" s="5" t="s">
        <v>23</v>
      </c>
      <c r="D22" s="6" t="s">
        <v>20</v>
      </c>
      <c r="E22" s="11">
        <v>3.4691E-2</v>
      </c>
      <c r="F22" s="1"/>
      <c r="G22" s="1"/>
      <c r="H22" s="1"/>
      <c r="I22" s="1"/>
      <c r="J22" s="1"/>
      <c r="K22" s="1"/>
      <c r="L22" s="1"/>
      <c r="M22" s="1"/>
      <c r="N22" s="18"/>
    </row>
    <row r="23" spans="2:14" ht="15" customHeight="1" x14ac:dyDescent="0.25">
      <c r="B23" s="20"/>
      <c r="C23" s="5" t="s">
        <v>21</v>
      </c>
      <c r="D23" s="6" t="s">
        <v>20</v>
      </c>
      <c r="E23" s="11">
        <v>3.3847000000000002E-2</v>
      </c>
      <c r="F23" s="1"/>
      <c r="G23" s="1"/>
      <c r="H23" s="1"/>
      <c r="I23" s="1"/>
      <c r="J23" s="1"/>
      <c r="K23" s="1"/>
      <c r="L23" s="1"/>
      <c r="M23" s="1"/>
      <c r="N23" s="18"/>
    </row>
    <row r="24" spans="2:14" ht="15" customHeight="1" x14ac:dyDescent="0.25">
      <c r="B24" s="20"/>
      <c r="C24" s="5" t="s">
        <v>84</v>
      </c>
      <c r="D24" s="6" t="s">
        <v>85</v>
      </c>
      <c r="E24" s="11">
        <v>1.9588000000000001E-2</v>
      </c>
      <c r="F24" s="1"/>
      <c r="G24" s="86" t="s">
        <v>117</v>
      </c>
      <c r="H24" s="87"/>
      <c r="I24" s="87"/>
      <c r="J24" s="87"/>
      <c r="K24" s="87"/>
      <c r="L24" s="68">
        <v>335.57037779593446</v>
      </c>
      <c r="M24" s="27"/>
      <c r="N24" s="28"/>
    </row>
    <row r="25" spans="2:14" ht="15" customHeight="1" x14ac:dyDescent="0.25">
      <c r="B25" s="20"/>
      <c r="C25" s="5" t="s">
        <v>68</v>
      </c>
      <c r="D25" s="6" t="s">
        <v>20</v>
      </c>
      <c r="E25" s="11">
        <v>1.3551000000000001E-2</v>
      </c>
      <c r="F25" s="1"/>
      <c r="G25" s="1"/>
      <c r="H25" s="1"/>
      <c r="I25" s="1"/>
      <c r="J25" s="1"/>
      <c r="K25" s="1"/>
      <c r="L25" s="1"/>
      <c r="M25" s="1"/>
      <c r="N25" s="18"/>
    </row>
    <row r="26" spans="2:14" ht="15" customHeight="1" x14ac:dyDescent="0.25">
      <c r="B26" s="20"/>
      <c r="C26" s="5" t="s">
        <v>57</v>
      </c>
      <c r="D26" s="6" t="s">
        <v>20</v>
      </c>
      <c r="E26" s="11">
        <v>8.5260000000000006E-3</v>
      </c>
      <c r="F26" s="1"/>
      <c r="G26" s="86" t="s">
        <v>7</v>
      </c>
      <c r="H26" s="87"/>
      <c r="I26" s="87"/>
      <c r="J26" s="87"/>
      <c r="K26" s="87"/>
      <c r="L26" s="87"/>
      <c r="M26" s="87"/>
      <c r="N26" s="88"/>
    </row>
    <row r="27" spans="2:14" ht="15" customHeight="1" x14ac:dyDescent="0.25">
      <c r="B27" s="20"/>
      <c r="C27" s="5" t="s">
        <v>125</v>
      </c>
      <c r="D27" s="6" t="s">
        <v>85</v>
      </c>
      <c r="E27" s="11">
        <v>8.4740000000000006E-3</v>
      </c>
      <c r="F27" s="1"/>
      <c r="G27" s="1"/>
      <c r="H27" s="1"/>
      <c r="I27" s="1"/>
      <c r="J27" s="1"/>
      <c r="K27" s="1"/>
      <c r="L27" s="1"/>
      <c r="M27" s="1"/>
      <c r="N27" s="18"/>
    </row>
    <row r="28" spans="2:14" ht="15" customHeight="1" x14ac:dyDescent="0.25">
      <c r="B28" s="20"/>
      <c r="C28" s="5" t="s">
        <v>63</v>
      </c>
      <c r="D28" s="6" t="s">
        <v>20</v>
      </c>
      <c r="E28" s="11">
        <v>8.2839999999999997E-3</v>
      </c>
      <c r="F28" s="1"/>
      <c r="G28" s="1"/>
      <c r="H28" s="1"/>
      <c r="I28" s="1"/>
      <c r="J28" s="1"/>
      <c r="K28" s="1"/>
      <c r="L28" s="1"/>
      <c r="M28" s="1"/>
      <c r="N28" s="18"/>
    </row>
    <row r="29" spans="2:14" ht="15.75" customHeight="1" x14ac:dyDescent="0.25">
      <c r="B29" s="20"/>
      <c r="C29" s="7" t="s">
        <v>35</v>
      </c>
      <c r="D29" s="8"/>
      <c r="E29" s="12">
        <v>0.485184</v>
      </c>
      <c r="F29" s="1"/>
      <c r="G29" s="1"/>
      <c r="H29" s="1"/>
      <c r="I29" s="1"/>
      <c r="J29" s="1"/>
      <c r="K29" s="1"/>
      <c r="L29" s="1"/>
      <c r="M29" s="1"/>
      <c r="N29" s="18"/>
    </row>
    <row r="30" spans="2:14" ht="15" customHeight="1" x14ac:dyDescent="0.25">
      <c r="B30" s="20"/>
      <c r="C30" s="5" t="s">
        <v>36</v>
      </c>
      <c r="D30" s="6"/>
      <c r="E30" s="11">
        <v>2.6510000000000001E-3</v>
      </c>
      <c r="F30" s="1"/>
      <c r="G30" s="1"/>
      <c r="H30" s="1"/>
      <c r="I30" s="1"/>
      <c r="J30" s="1"/>
      <c r="K30" s="1"/>
      <c r="L30" s="1"/>
      <c r="M30" s="1"/>
      <c r="N30" s="18"/>
    </row>
    <row r="31" spans="2:14" ht="15.75" customHeight="1" x14ac:dyDescent="0.25">
      <c r="B31" s="20"/>
      <c r="C31" s="7" t="s">
        <v>37</v>
      </c>
      <c r="D31" s="8"/>
      <c r="E31" s="12">
        <v>2.6510000000000001E-3</v>
      </c>
      <c r="F31" s="1"/>
      <c r="G31" s="1"/>
      <c r="H31" s="1"/>
      <c r="I31" s="1"/>
      <c r="J31" s="1"/>
      <c r="K31" s="1"/>
      <c r="L31" s="1"/>
      <c r="M31" s="1"/>
      <c r="N31" s="18"/>
    </row>
    <row r="32" spans="2:14" ht="15" customHeight="1" x14ac:dyDescent="0.25">
      <c r="B32" s="20"/>
      <c r="C32" s="5" t="s">
        <v>104</v>
      </c>
      <c r="D32" s="6" t="s">
        <v>184</v>
      </c>
      <c r="E32" s="11">
        <v>1.207E-3</v>
      </c>
      <c r="F32" s="1"/>
      <c r="G32" s="1"/>
      <c r="H32" s="1"/>
      <c r="I32" s="1"/>
      <c r="J32" s="1"/>
      <c r="K32" s="1"/>
      <c r="L32" s="1"/>
      <c r="M32" s="1"/>
      <c r="N32" s="18"/>
    </row>
    <row r="33" spans="2:14" ht="15.75" customHeight="1" x14ac:dyDescent="0.25">
      <c r="B33" s="20"/>
      <c r="C33" s="7" t="s">
        <v>44</v>
      </c>
      <c r="D33" s="8"/>
      <c r="E33" s="12">
        <v>1.207E-3</v>
      </c>
      <c r="F33" s="1"/>
      <c r="G33" s="1"/>
      <c r="H33" s="1"/>
      <c r="I33" s="1"/>
      <c r="J33" s="1"/>
      <c r="K33" s="1"/>
      <c r="L33" s="1"/>
      <c r="M33" s="1"/>
      <c r="N33" s="18"/>
    </row>
    <row r="34" spans="2:14" ht="15" customHeight="1" x14ac:dyDescent="0.25">
      <c r="B34" s="20"/>
      <c r="C34" s="5" t="s">
        <v>199</v>
      </c>
      <c r="D34" s="6" t="s">
        <v>184</v>
      </c>
      <c r="E34" s="11">
        <v>1.9099999999999999E-2</v>
      </c>
      <c r="F34" s="1"/>
      <c r="G34" s="1"/>
      <c r="H34" s="1"/>
      <c r="I34" s="1"/>
      <c r="J34" s="1"/>
      <c r="K34" s="1"/>
      <c r="L34" s="1"/>
      <c r="M34" s="1"/>
      <c r="N34" s="18"/>
    </row>
    <row r="35" spans="2:14" ht="15.75" customHeight="1" x14ac:dyDescent="0.25">
      <c r="B35" s="20"/>
      <c r="C35" s="5" t="s">
        <v>187</v>
      </c>
      <c r="D35" s="6" t="s">
        <v>184</v>
      </c>
      <c r="E35" s="11">
        <v>9.4699999999999993E-3</v>
      </c>
      <c r="F35" s="1"/>
      <c r="G35" s="1"/>
      <c r="H35" s="1"/>
      <c r="I35" s="1"/>
      <c r="J35" s="1"/>
      <c r="K35" s="1"/>
      <c r="L35" s="1"/>
      <c r="M35" s="1"/>
      <c r="N35" s="18"/>
    </row>
    <row r="36" spans="2:14" ht="15" customHeight="1" x14ac:dyDescent="0.25">
      <c r="B36" s="20"/>
      <c r="C36" s="5" t="s">
        <v>195</v>
      </c>
      <c r="D36" s="6" t="s">
        <v>184</v>
      </c>
      <c r="E36" s="11">
        <v>4.3489999999999996E-3</v>
      </c>
      <c r="F36" s="1"/>
      <c r="G36" s="1"/>
      <c r="H36" s="1"/>
      <c r="I36" s="1"/>
      <c r="J36" s="1"/>
      <c r="K36" s="1"/>
      <c r="L36" s="1"/>
      <c r="M36" s="1"/>
      <c r="N36" s="18"/>
    </row>
    <row r="37" spans="2:14" ht="15" customHeight="1" x14ac:dyDescent="0.25">
      <c r="B37" s="20"/>
      <c r="C37" s="5" t="s">
        <v>201</v>
      </c>
      <c r="D37" s="6" t="s">
        <v>184</v>
      </c>
      <c r="E37" s="11">
        <v>4.2960000000000003E-3</v>
      </c>
      <c r="F37" s="1"/>
      <c r="G37" s="1"/>
      <c r="H37" s="1"/>
      <c r="I37" s="1"/>
      <c r="J37" s="1"/>
      <c r="K37" s="1"/>
      <c r="L37" s="1"/>
      <c r="M37" s="1"/>
      <c r="N37" s="18"/>
    </row>
    <row r="38" spans="2:14" ht="15" customHeight="1" x14ac:dyDescent="0.25">
      <c r="B38" s="20"/>
      <c r="C38" s="5" t="s">
        <v>192</v>
      </c>
      <c r="D38" s="6" t="s">
        <v>184</v>
      </c>
      <c r="E38" s="11">
        <v>3.4889999999999999E-3</v>
      </c>
      <c r="F38" s="1"/>
      <c r="G38" s="1"/>
      <c r="H38" s="1"/>
      <c r="I38" s="1"/>
      <c r="J38" s="1"/>
      <c r="K38" s="1"/>
      <c r="L38" s="1"/>
      <c r="M38" s="1"/>
      <c r="N38" s="18"/>
    </row>
    <row r="39" spans="2:14" ht="15.75" customHeight="1" x14ac:dyDescent="0.25">
      <c r="B39" s="20"/>
      <c r="C39" s="5" t="s">
        <v>191</v>
      </c>
      <c r="D39" s="6" t="s">
        <v>184</v>
      </c>
      <c r="E39" s="11">
        <v>1.7440000000000001E-3</v>
      </c>
      <c r="F39" s="1"/>
      <c r="G39" s="1"/>
      <c r="H39" s="1"/>
      <c r="I39" s="1"/>
      <c r="J39" s="1"/>
      <c r="K39" s="1"/>
      <c r="L39" s="1"/>
      <c r="M39" s="1"/>
      <c r="N39" s="18"/>
    </row>
    <row r="40" spans="2:14" ht="15" customHeight="1" x14ac:dyDescent="0.25">
      <c r="B40" s="20"/>
      <c r="C40" s="5" t="s">
        <v>194</v>
      </c>
      <c r="D40" s="6" t="s">
        <v>184</v>
      </c>
      <c r="E40" s="11">
        <v>1.743E-3</v>
      </c>
      <c r="F40" s="1"/>
      <c r="G40" s="1"/>
      <c r="H40" s="1"/>
      <c r="I40" s="1"/>
      <c r="J40" s="1"/>
      <c r="K40" s="1"/>
      <c r="L40" s="1"/>
      <c r="M40" s="1"/>
      <c r="N40" s="18"/>
    </row>
    <row r="41" spans="2:14" ht="15.75" customHeight="1" x14ac:dyDescent="0.25">
      <c r="B41" s="20"/>
      <c r="C41" s="5" t="s">
        <v>193</v>
      </c>
      <c r="D41" s="6" t="s">
        <v>184</v>
      </c>
      <c r="E41" s="11">
        <v>1.7409999999999999E-3</v>
      </c>
      <c r="F41" s="1"/>
      <c r="G41" s="1"/>
      <c r="H41" s="1"/>
      <c r="I41" s="1"/>
      <c r="J41" s="1"/>
      <c r="K41" s="1"/>
      <c r="L41" s="1"/>
      <c r="M41" s="1"/>
      <c r="N41" s="18"/>
    </row>
    <row r="42" spans="2:14" ht="15" customHeight="1" x14ac:dyDescent="0.25">
      <c r="B42" s="20"/>
      <c r="C42" s="5" t="s">
        <v>190</v>
      </c>
      <c r="D42" s="6" t="s">
        <v>184</v>
      </c>
      <c r="E42" s="11">
        <v>1.737E-3</v>
      </c>
      <c r="F42" s="1"/>
      <c r="G42" s="1"/>
      <c r="H42" s="1"/>
      <c r="I42" s="1"/>
      <c r="J42" s="1"/>
      <c r="K42" s="1"/>
      <c r="L42" s="1"/>
      <c r="M42" s="1"/>
      <c r="N42" s="18"/>
    </row>
    <row r="43" spans="2:14" ht="15" customHeight="1" x14ac:dyDescent="0.25">
      <c r="B43" s="20"/>
      <c r="C43" s="5" t="s">
        <v>189</v>
      </c>
      <c r="D43" s="6" t="s">
        <v>184</v>
      </c>
      <c r="E43" s="11">
        <v>1.732E-3</v>
      </c>
      <c r="F43" s="1"/>
      <c r="G43" s="1"/>
      <c r="H43" s="1"/>
      <c r="I43" s="1"/>
      <c r="J43" s="1"/>
      <c r="K43" s="1"/>
      <c r="L43" s="1"/>
      <c r="M43" s="1"/>
      <c r="N43" s="18"/>
    </row>
    <row r="44" spans="2:14" ht="15.75" customHeight="1" x14ac:dyDescent="0.25">
      <c r="B44" s="20"/>
      <c r="C44" s="5" t="s">
        <v>197</v>
      </c>
      <c r="D44" s="6" t="s">
        <v>184</v>
      </c>
      <c r="E44" s="11">
        <v>1.73E-3</v>
      </c>
      <c r="F44" s="1"/>
      <c r="G44" s="1"/>
      <c r="H44" s="1"/>
      <c r="I44" s="1"/>
      <c r="J44" s="1"/>
      <c r="K44" s="1"/>
      <c r="L44" s="1"/>
      <c r="M44" s="1"/>
      <c r="N44" s="18"/>
    </row>
    <row r="45" spans="2:14" ht="15" customHeight="1" x14ac:dyDescent="0.25">
      <c r="B45" s="20"/>
      <c r="C45" s="5" t="s">
        <v>198</v>
      </c>
      <c r="D45" s="6" t="s">
        <v>184</v>
      </c>
      <c r="E45" s="11">
        <v>1.7260000000000001E-3</v>
      </c>
      <c r="F45" s="1"/>
      <c r="G45" s="1"/>
      <c r="H45" s="1"/>
      <c r="I45" s="1"/>
      <c r="J45" s="1"/>
      <c r="K45" s="1"/>
      <c r="L45" s="1"/>
      <c r="M45" s="1"/>
      <c r="N45" s="18"/>
    </row>
    <row r="46" spans="2:14" ht="15.75" customHeight="1" x14ac:dyDescent="0.25">
      <c r="B46" s="20"/>
      <c r="C46" s="5" t="s">
        <v>188</v>
      </c>
      <c r="D46" s="6" t="s">
        <v>184</v>
      </c>
      <c r="E46" s="11">
        <v>1.7240000000000001E-3</v>
      </c>
      <c r="F46" s="1"/>
      <c r="G46" s="1"/>
      <c r="H46" s="1"/>
      <c r="I46" s="1"/>
      <c r="J46" s="1"/>
      <c r="K46" s="1"/>
      <c r="L46" s="1"/>
      <c r="M46" s="1"/>
      <c r="N46" s="18"/>
    </row>
    <row r="47" spans="2:14" ht="15" customHeight="1" x14ac:dyDescent="0.25">
      <c r="B47" s="20"/>
      <c r="C47" s="5" t="s">
        <v>186</v>
      </c>
      <c r="D47" s="6" t="s">
        <v>184</v>
      </c>
      <c r="E47" s="11">
        <v>8.61E-4</v>
      </c>
      <c r="F47" s="1"/>
      <c r="G47" s="1"/>
      <c r="H47" s="1"/>
      <c r="I47" s="1"/>
      <c r="J47" s="1"/>
      <c r="K47" s="1"/>
      <c r="L47" s="1"/>
      <c r="M47" s="1"/>
      <c r="N47" s="18"/>
    </row>
    <row r="48" spans="2:14" ht="15" customHeight="1" x14ac:dyDescent="0.25">
      <c r="B48" s="20"/>
      <c r="C48" s="5" t="s">
        <v>196</v>
      </c>
      <c r="D48" s="6" t="s">
        <v>184</v>
      </c>
      <c r="E48" s="11">
        <v>8.5899999999999995E-4</v>
      </c>
      <c r="F48" s="1"/>
      <c r="G48" s="1"/>
      <c r="H48" s="1"/>
      <c r="I48" s="1"/>
      <c r="J48" s="1"/>
      <c r="K48" s="1"/>
      <c r="L48" s="1"/>
      <c r="M48" s="1"/>
      <c r="N48" s="18"/>
    </row>
    <row r="49" spans="2:14" ht="15" customHeight="1" x14ac:dyDescent="0.25">
      <c r="B49" s="20"/>
      <c r="C49" s="5" t="s">
        <v>200</v>
      </c>
      <c r="D49" s="6" t="s">
        <v>184</v>
      </c>
      <c r="E49" s="11">
        <v>2.5700000000000001E-4</v>
      </c>
      <c r="F49" s="1"/>
      <c r="G49" s="1"/>
      <c r="H49" s="1"/>
      <c r="I49" s="1"/>
      <c r="J49" s="1"/>
      <c r="K49" s="1"/>
      <c r="L49" s="1"/>
      <c r="M49" s="1"/>
      <c r="N49" s="18"/>
    </row>
    <row r="50" spans="2:14" ht="15" customHeight="1" x14ac:dyDescent="0.25">
      <c r="B50" s="20"/>
      <c r="C50" s="7" t="s">
        <v>45</v>
      </c>
      <c r="D50" s="8"/>
      <c r="E50" s="12">
        <v>5.6557999999999997E-2</v>
      </c>
      <c r="F50" s="1"/>
      <c r="G50" s="1"/>
      <c r="H50" s="1"/>
      <c r="I50" s="1"/>
      <c r="J50" s="1"/>
      <c r="K50" s="1"/>
      <c r="L50" s="1"/>
      <c r="M50" s="1"/>
      <c r="N50" s="18"/>
    </row>
    <row r="51" spans="2:14" ht="15" customHeight="1" x14ac:dyDescent="0.25">
      <c r="B51" s="20"/>
      <c r="C51" s="5" t="s">
        <v>169</v>
      </c>
      <c r="D51" s="6" t="s">
        <v>184</v>
      </c>
      <c r="E51" s="11">
        <v>4.1558999999999999E-2</v>
      </c>
      <c r="F51" s="1"/>
      <c r="G51" s="1"/>
      <c r="H51" s="1"/>
      <c r="I51" s="1"/>
      <c r="J51" s="1"/>
      <c r="K51" s="1"/>
      <c r="L51" s="1"/>
      <c r="M51" s="1"/>
      <c r="N51" s="18"/>
    </row>
    <row r="52" spans="2:14" ht="15" customHeight="1" x14ac:dyDescent="0.25">
      <c r="B52" s="20"/>
      <c r="C52" s="5" t="s">
        <v>170</v>
      </c>
      <c r="D52" s="6" t="s">
        <v>184</v>
      </c>
      <c r="E52" s="11">
        <v>2.9166000000000001E-2</v>
      </c>
      <c r="F52" s="1"/>
      <c r="G52" s="1"/>
      <c r="H52" s="1"/>
      <c r="I52" s="1"/>
      <c r="J52" s="1"/>
      <c r="K52" s="1"/>
      <c r="L52" s="1"/>
      <c r="M52" s="1"/>
      <c r="N52" s="18"/>
    </row>
    <row r="53" spans="2:14" ht="15" customHeight="1" x14ac:dyDescent="0.25">
      <c r="B53" s="20"/>
      <c r="C53" s="5" t="s">
        <v>155</v>
      </c>
      <c r="D53" s="6" t="s">
        <v>184</v>
      </c>
      <c r="E53" s="11">
        <v>1.3300000000000001E-4</v>
      </c>
      <c r="F53" s="1"/>
      <c r="G53" s="1"/>
      <c r="H53" s="1"/>
      <c r="I53" s="1"/>
      <c r="J53" s="1"/>
      <c r="K53" s="1"/>
      <c r="L53" s="1"/>
      <c r="M53" s="1"/>
      <c r="N53" s="18"/>
    </row>
    <row r="54" spans="2:14" ht="15" customHeight="1" x14ac:dyDescent="0.25">
      <c r="B54" s="20"/>
      <c r="C54" s="7" t="s">
        <v>160</v>
      </c>
      <c r="D54" s="8"/>
      <c r="E54" s="12">
        <v>7.0858000000000004E-2</v>
      </c>
      <c r="F54" s="1"/>
      <c r="G54" s="1"/>
      <c r="H54" s="1"/>
      <c r="I54" s="1"/>
      <c r="J54" s="1"/>
      <c r="K54" s="1"/>
      <c r="L54" s="1"/>
      <c r="M54" s="1"/>
      <c r="N54" s="18"/>
    </row>
    <row r="55" spans="2:14" ht="15" customHeight="1" x14ac:dyDescent="0.25">
      <c r="B55" s="20"/>
      <c r="C55" s="5" t="s">
        <v>46</v>
      </c>
      <c r="D55" s="6"/>
      <c r="E55" s="11">
        <v>3.4745999999999999E-2</v>
      </c>
      <c r="F55" s="1"/>
      <c r="G55" s="1"/>
      <c r="H55" s="1"/>
      <c r="I55" s="1"/>
      <c r="J55" s="1"/>
      <c r="K55" s="1"/>
      <c r="L55" s="1"/>
      <c r="M55" s="1"/>
      <c r="N55" s="18"/>
    </row>
    <row r="56" spans="2:14" ht="15" customHeight="1" x14ac:dyDescent="0.25">
      <c r="B56" s="20"/>
      <c r="C56" s="7" t="s">
        <v>47</v>
      </c>
      <c r="D56" s="8"/>
      <c r="E56" s="12">
        <v>3.4745999999999999E-2</v>
      </c>
      <c r="F56" s="1"/>
      <c r="G56" s="1"/>
      <c r="H56" s="1"/>
      <c r="I56" s="1"/>
      <c r="J56" s="1"/>
      <c r="K56" s="1"/>
      <c r="L56" s="1"/>
      <c r="M56" s="1"/>
      <c r="N56" s="18"/>
    </row>
    <row r="57" spans="2:14" ht="15" customHeight="1" x14ac:dyDescent="0.25">
      <c r="B57" s="20"/>
      <c r="C57" s="5" t="s">
        <v>68</v>
      </c>
      <c r="D57" s="6" t="s">
        <v>20</v>
      </c>
      <c r="E57" s="11">
        <v>4.104E-3</v>
      </c>
      <c r="F57" s="1"/>
      <c r="G57" s="1"/>
      <c r="H57" s="1"/>
      <c r="I57" s="1"/>
      <c r="J57" s="1"/>
      <c r="K57" s="1"/>
      <c r="L57" s="1"/>
      <c r="M57" s="1"/>
      <c r="N57" s="18"/>
    </row>
    <row r="58" spans="2:14" ht="15" customHeight="1" x14ac:dyDescent="0.25">
      <c r="B58" s="20"/>
      <c r="C58" s="5" t="s">
        <v>64</v>
      </c>
      <c r="D58" s="6" t="s">
        <v>20</v>
      </c>
      <c r="E58" s="11">
        <v>9.68E-4</v>
      </c>
      <c r="F58" s="1"/>
      <c r="G58" s="1"/>
      <c r="H58" s="1"/>
      <c r="I58" s="1"/>
      <c r="J58" s="1"/>
      <c r="K58" s="1"/>
      <c r="L58" s="1"/>
      <c r="M58" s="1"/>
      <c r="N58" s="18"/>
    </row>
    <row r="59" spans="2:14" ht="15" customHeight="1" x14ac:dyDescent="0.25">
      <c r="B59" s="20"/>
      <c r="C59" s="7" t="s">
        <v>76</v>
      </c>
      <c r="D59" s="8"/>
      <c r="E59" s="12">
        <v>5.0720000000000001E-3</v>
      </c>
      <c r="F59" s="1"/>
      <c r="G59" s="1"/>
      <c r="H59" s="1"/>
      <c r="I59" s="1"/>
      <c r="J59" s="1"/>
      <c r="K59" s="1"/>
      <c r="L59" s="1"/>
      <c r="M59" s="1"/>
      <c r="N59" s="18"/>
    </row>
    <row r="60" spans="2:14" ht="15" customHeight="1" x14ac:dyDescent="0.25">
      <c r="B60" s="20"/>
      <c r="C60" s="5"/>
      <c r="D60" s="6"/>
      <c r="E60" s="11"/>
      <c r="F60" s="1"/>
      <c r="G60" s="1"/>
      <c r="H60" s="1"/>
      <c r="I60" s="1"/>
      <c r="J60" s="1"/>
      <c r="K60" s="1"/>
      <c r="L60" s="1"/>
      <c r="M60" s="1"/>
      <c r="N60" s="18"/>
    </row>
    <row r="61" spans="2:14" ht="15" customHeight="1" x14ac:dyDescent="0.25">
      <c r="B61" s="20"/>
      <c r="C61" s="7" t="s">
        <v>48</v>
      </c>
      <c r="D61" s="8"/>
      <c r="E61" s="12">
        <v>1.1561999999999999E-2</v>
      </c>
      <c r="F61" s="1"/>
      <c r="G61" s="1"/>
      <c r="H61" s="1"/>
      <c r="I61" s="1"/>
      <c r="J61" s="1"/>
      <c r="K61" s="1"/>
      <c r="L61" s="1"/>
      <c r="M61" s="1"/>
      <c r="N61" s="18"/>
    </row>
    <row r="62" spans="2:14" ht="15" customHeight="1" x14ac:dyDescent="0.25">
      <c r="B62" s="20"/>
      <c r="C62" s="5"/>
      <c r="D62" s="6"/>
      <c r="E62" s="11"/>
      <c r="F62" s="1"/>
      <c r="G62" s="1"/>
      <c r="H62" s="1"/>
      <c r="I62" s="1"/>
      <c r="J62" s="1"/>
      <c r="K62" s="1"/>
      <c r="L62" s="1"/>
      <c r="M62" s="1"/>
      <c r="N62" s="18"/>
    </row>
    <row r="63" spans="2:14" ht="15" customHeight="1" x14ac:dyDescent="0.25">
      <c r="B63" s="20"/>
      <c r="C63" s="9" t="s">
        <v>49</v>
      </c>
      <c r="D63" s="10"/>
      <c r="E63" s="13">
        <v>1</v>
      </c>
      <c r="F63" s="1"/>
      <c r="G63" s="1"/>
      <c r="H63" s="1"/>
      <c r="I63" s="1"/>
      <c r="J63" s="1"/>
      <c r="K63" s="1"/>
      <c r="L63" s="1"/>
      <c r="M63" s="1"/>
      <c r="N63" s="18"/>
    </row>
    <row r="64" spans="2:14" ht="15" customHeight="1" x14ac:dyDescent="0.25">
      <c r="B64" s="20"/>
      <c r="C64" s="1"/>
      <c r="D64" s="1"/>
      <c r="E64" s="1"/>
      <c r="F64" s="1"/>
      <c r="G64" s="1"/>
      <c r="H64" s="1"/>
      <c r="I64" s="1"/>
      <c r="J64" s="1"/>
      <c r="K64" s="1"/>
      <c r="L64" s="1"/>
      <c r="M64" s="1"/>
      <c r="N64" s="18"/>
    </row>
    <row r="65" spans="2:14" ht="15" customHeight="1" x14ac:dyDescent="0.25">
      <c r="B65" s="20"/>
      <c r="C65" s="1"/>
      <c r="D65" s="1"/>
      <c r="E65" s="1"/>
      <c r="F65" s="1"/>
      <c r="G65" s="1"/>
      <c r="H65" s="1"/>
      <c r="I65" s="1"/>
      <c r="J65" s="1"/>
      <c r="K65" s="1"/>
      <c r="L65" s="1"/>
      <c r="M65" s="1"/>
      <c r="N65" s="18"/>
    </row>
    <row r="66" spans="2:14" ht="15" customHeight="1" thickBot="1" x14ac:dyDescent="0.3">
      <c r="B66" s="21"/>
      <c r="C66" s="22"/>
      <c r="D66" s="22"/>
      <c r="E66" s="22"/>
      <c r="F66" s="22"/>
      <c r="G66" s="22"/>
      <c r="H66" s="22"/>
      <c r="I66" s="22"/>
      <c r="J66" s="22"/>
      <c r="K66" s="22"/>
      <c r="L66" s="22"/>
      <c r="M66" s="22"/>
      <c r="N66" s="23"/>
    </row>
    <row r="67" spans="2:14" ht="15" customHeight="1" thickBot="1" x14ac:dyDescent="0.3"/>
    <row r="68" spans="2:14" ht="15" customHeight="1" x14ac:dyDescent="0.25">
      <c r="B68" s="69" t="s">
        <v>274</v>
      </c>
      <c r="C68" s="70"/>
      <c r="D68" s="70"/>
      <c r="E68" s="70"/>
      <c r="F68" s="70"/>
      <c r="G68" s="70"/>
      <c r="H68" s="70"/>
      <c r="I68" s="70"/>
      <c r="J68" s="70"/>
      <c r="K68" s="70"/>
      <c r="L68" s="70"/>
      <c r="M68" s="70"/>
      <c r="N68" s="71"/>
    </row>
    <row r="69" spans="2:14" ht="15" customHeight="1" x14ac:dyDescent="0.25">
      <c r="B69" s="72"/>
      <c r="C69" s="73"/>
      <c r="D69" s="73"/>
      <c r="E69" s="73"/>
      <c r="F69" s="73"/>
      <c r="G69" s="73"/>
      <c r="H69" s="73"/>
      <c r="I69" s="73"/>
      <c r="J69" s="73"/>
      <c r="K69" s="73"/>
      <c r="L69" s="73"/>
      <c r="M69" s="73"/>
      <c r="N69" s="74"/>
    </row>
    <row r="70" spans="2:14" ht="15" customHeight="1" x14ac:dyDescent="0.25">
      <c r="B70" s="72"/>
      <c r="C70" s="73"/>
      <c r="D70" s="73"/>
      <c r="E70" s="73"/>
      <c r="F70" s="73"/>
      <c r="G70" s="73"/>
      <c r="H70" s="73"/>
      <c r="I70" s="73"/>
      <c r="J70" s="73"/>
      <c r="K70" s="73"/>
      <c r="L70" s="73"/>
      <c r="M70" s="73"/>
      <c r="N70" s="74"/>
    </row>
    <row r="71" spans="2:14" ht="15" customHeight="1" thickBot="1" x14ac:dyDescent="0.3">
      <c r="B71" s="75"/>
      <c r="C71" s="76"/>
      <c r="D71" s="76"/>
      <c r="E71" s="76"/>
      <c r="F71" s="76"/>
      <c r="G71" s="76"/>
      <c r="H71" s="76"/>
      <c r="I71" s="76"/>
      <c r="J71" s="76"/>
      <c r="K71" s="76"/>
      <c r="L71" s="76"/>
      <c r="M71" s="76"/>
      <c r="N71" s="77"/>
    </row>
    <row r="72" spans="2:14" ht="15" customHeight="1" thickBot="1" x14ac:dyDescent="0.3"/>
    <row r="73" spans="2:14" ht="139.5" customHeight="1" thickBot="1" x14ac:dyDescent="0.3">
      <c r="B73" s="78" t="s">
        <v>273</v>
      </c>
      <c r="C73" s="79"/>
      <c r="D73" s="79"/>
      <c r="E73" s="79"/>
      <c r="F73" s="79"/>
      <c r="G73" s="79"/>
      <c r="H73" s="79"/>
      <c r="I73" s="79"/>
      <c r="J73" s="79"/>
      <c r="K73" s="79"/>
      <c r="L73" s="79"/>
      <c r="M73" s="79"/>
      <c r="N73" s="80"/>
    </row>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row r="80" spans="2:14" ht="15" customHeight="1" x14ac:dyDescent="0.25"/>
    <row r="81" ht="15" customHeight="1" x14ac:dyDescent="0.25"/>
    <row r="82" ht="15" customHeight="1" x14ac:dyDescent="0.25"/>
    <row r="83" ht="15" customHeight="1" x14ac:dyDescent="0.25"/>
    <row r="84" ht="15" customHeight="1" x14ac:dyDescent="0.25"/>
    <row r="85" ht="15" customHeight="1" x14ac:dyDescent="0.25"/>
    <row r="86" ht="15" customHeight="1" x14ac:dyDescent="0.25"/>
    <row r="87" ht="15" customHeight="1" x14ac:dyDescent="0.25"/>
    <row r="88" ht="15" customHeight="1" x14ac:dyDescent="0.25"/>
  </sheetData>
  <sortState ref="C34:E49">
    <sortCondition descending="1" ref="E34"/>
  </sortState>
  <mergeCells count="7">
    <mergeCell ref="B68:N71"/>
    <mergeCell ref="B73:N73"/>
    <mergeCell ref="C3:N3"/>
    <mergeCell ref="D5:E5"/>
    <mergeCell ref="G7:N7"/>
    <mergeCell ref="G24:K24"/>
    <mergeCell ref="G26:N2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AF124-FDA3-4CFB-9CCC-30E0629536A7}">
  <dimension ref="B1:N79"/>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171</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9</v>
      </c>
      <c r="D5" s="84" t="s">
        <v>172</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34</v>
      </c>
      <c r="D8" s="6" t="s">
        <v>12</v>
      </c>
      <c r="E8" s="11">
        <v>0.11528099999999999</v>
      </c>
      <c r="F8" s="1"/>
      <c r="G8" s="24" t="s">
        <v>4</v>
      </c>
      <c r="H8" s="25">
        <v>1</v>
      </c>
      <c r="I8" s="1"/>
      <c r="J8" s="24" t="s">
        <v>50</v>
      </c>
      <c r="K8" s="24" t="s">
        <v>3</v>
      </c>
      <c r="L8" s="1"/>
      <c r="M8" s="1"/>
      <c r="N8" s="18"/>
    </row>
    <row r="9" spans="2:14" ht="15" customHeight="1" x14ac:dyDescent="0.25">
      <c r="B9" s="20"/>
      <c r="C9" s="5" t="s">
        <v>21</v>
      </c>
      <c r="D9" s="6" t="s">
        <v>12</v>
      </c>
      <c r="E9" s="11">
        <v>0.106751</v>
      </c>
      <c r="F9" s="1"/>
      <c r="G9" s="1"/>
      <c r="H9" s="1"/>
      <c r="I9" s="1"/>
      <c r="J9" s="24" t="s">
        <v>48</v>
      </c>
      <c r="K9" s="30">
        <v>-1.846E-3</v>
      </c>
      <c r="L9" s="1"/>
      <c r="M9" s="1"/>
      <c r="N9" s="18"/>
    </row>
    <row r="10" spans="2:14" ht="15" customHeight="1" x14ac:dyDescent="0.25">
      <c r="B10" s="20"/>
      <c r="C10" s="5" t="s">
        <v>19</v>
      </c>
      <c r="D10" s="6" t="s">
        <v>12</v>
      </c>
      <c r="E10" s="11">
        <v>0.10321900000000001</v>
      </c>
      <c r="F10" s="1"/>
      <c r="G10" s="1"/>
      <c r="H10" s="1"/>
      <c r="I10" s="1"/>
      <c r="J10" s="24" t="s">
        <v>51</v>
      </c>
      <c r="K10" s="30">
        <v>2.6190000000000001E-2</v>
      </c>
      <c r="L10" s="1"/>
      <c r="M10" s="1"/>
      <c r="N10" s="18"/>
    </row>
    <row r="11" spans="2:14" ht="15" customHeight="1" x14ac:dyDescent="0.25">
      <c r="B11" s="20"/>
      <c r="C11" s="5" t="s">
        <v>14</v>
      </c>
      <c r="D11" s="6" t="s">
        <v>12</v>
      </c>
      <c r="E11" s="11">
        <v>9.5724000000000004E-2</v>
      </c>
      <c r="F11" s="1"/>
      <c r="G11" s="1"/>
      <c r="H11" s="1"/>
      <c r="I11" s="1"/>
      <c r="J11" s="24" t="s">
        <v>52</v>
      </c>
      <c r="K11" s="30">
        <v>0.64693400000000001</v>
      </c>
      <c r="L11" s="1"/>
      <c r="M11" s="1"/>
      <c r="N11" s="18"/>
    </row>
    <row r="12" spans="2:14" ht="15" customHeight="1" x14ac:dyDescent="0.25">
      <c r="B12" s="20"/>
      <c r="C12" s="5" t="s">
        <v>11</v>
      </c>
      <c r="D12" s="6" t="s">
        <v>12</v>
      </c>
      <c r="E12" s="11">
        <v>6.7142999999999994E-2</v>
      </c>
      <c r="F12" s="1"/>
      <c r="G12" s="1"/>
      <c r="H12" s="1"/>
      <c r="I12" s="1"/>
      <c r="J12" s="24" t="s">
        <v>161</v>
      </c>
      <c r="K12" s="30">
        <v>0.21062400000000001</v>
      </c>
      <c r="L12" s="1"/>
      <c r="M12" s="1"/>
      <c r="N12" s="18"/>
    </row>
    <row r="13" spans="2:14" ht="15" customHeight="1" x14ac:dyDescent="0.25">
      <c r="B13" s="20"/>
      <c r="C13" s="5" t="s">
        <v>16</v>
      </c>
      <c r="D13" s="6" t="s">
        <v>12</v>
      </c>
      <c r="E13" s="11">
        <v>5.8841999999999998E-2</v>
      </c>
      <c r="F13" s="1"/>
      <c r="G13" s="1"/>
      <c r="H13" s="1"/>
      <c r="I13" s="1"/>
      <c r="J13" s="24" t="s">
        <v>36</v>
      </c>
      <c r="K13" s="30">
        <v>2.147E-3</v>
      </c>
      <c r="L13" s="1"/>
      <c r="M13" s="1"/>
      <c r="N13" s="18"/>
    </row>
    <row r="14" spans="2:14" ht="15" customHeight="1" x14ac:dyDescent="0.25">
      <c r="B14" s="20"/>
      <c r="C14" s="5" t="s">
        <v>15</v>
      </c>
      <c r="D14" s="6" t="s">
        <v>12</v>
      </c>
      <c r="E14" s="11">
        <v>4.0146000000000001E-2</v>
      </c>
      <c r="F14" s="1"/>
      <c r="G14" s="1"/>
      <c r="H14" s="1"/>
      <c r="I14" s="1"/>
      <c r="J14" s="24" t="s">
        <v>176</v>
      </c>
      <c r="K14" s="30">
        <v>8.6600000000000002E-4</v>
      </c>
      <c r="L14" s="1"/>
      <c r="M14" s="1"/>
      <c r="N14" s="18"/>
    </row>
    <row r="15" spans="2:14" ht="15" customHeight="1" x14ac:dyDescent="0.25">
      <c r="B15" s="20"/>
      <c r="C15" s="5" t="s">
        <v>17</v>
      </c>
      <c r="D15" s="6" t="s">
        <v>12</v>
      </c>
      <c r="E15" s="11">
        <v>2.4062E-2</v>
      </c>
      <c r="F15" s="1"/>
      <c r="G15" s="1"/>
      <c r="H15" s="1"/>
      <c r="I15" s="1"/>
      <c r="J15" s="24" t="s">
        <v>55</v>
      </c>
      <c r="K15" s="30">
        <v>0.11508500000000001</v>
      </c>
      <c r="L15" s="1"/>
      <c r="M15" s="1"/>
      <c r="N15" s="18"/>
    </row>
    <row r="16" spans="2:14" ht="15" customHeight="1" x14ac:dyDescent="0.25">
      <c r="B16" s="20"/>
      <c r="C16" s="5" t="s">
        <v>136</v>
      </c>
      <c r="D16" s="6" t="s">
        <v>12</v>
      </c>
      <c r="E16" s="11">
        <v>1.5977000000000002E-2</v>
      </c>
      <c r="F16" s="1"/>
      <c r="G16" s="1"/>
      <c r="H16" s="1"/>
      <c r="I16" s="1"/>
      <c r="J16" s="1"/>
      <c r="K16" s="1"/>
      <c r="L16" s="1"/>
      <c r="M16" s="1"/>
      <c r="N16" s="18"/>
    </row>
    <row r="17" spans="2:14" ht="15" customHeight="1" x14ac:dyDescent="0.25">
      <c r="B17" s="20"/>
      <c r="C17" s="5" t="s">
        <v>13</v>
      </c>
      <c r="D17" s="6" t="s">
        <v>12</v>
      </c>
      <c r="E17" s="11">
        <v>1.5851000000000001E-2</v>
      </c>
      <c r="F17" s="1"/>
      <c r="G17" s="1"/>
      <c r="H17" s="1"/>
      <c r="I17" s="1"/>
      <c r="J17" s="1"/>
      <c r="K17" s="1"/>
      <c r="L17" s="1"/>
      <c r="M17" s="1"/>
      <c r="N17" s="18"/>
    </row>
    <row r="18" spans="2:14" ht="15" customHeight="1" x14ac:dyDescent="0.25">
      <c r="B18" s="20"/>
      <c r="C18" s="5" t="s">
        <v>73</v>
      </c>
      <c r="D18" s="6" t="s">
        <v>12</v>
      </c>
      <c r="E18" s="11">
        <v>3.9379999999999997E-3</v>
      </c>
      <c r="F18" s="1"/>
      <c r="G18" s="1"/>
      <c r="H18" s="1"/>
      <c r="I18" s="1"/>
      <c r="J18" s="1"/>
      <c r="K18" s="1"/>
      <c r="L18" s="1"/>
      <c r="M18" s="1"/>
      <c r="N18" s="18"/>
    </row>
    <row r="19" spans="2:14" ht="15.75" customHeight="1" x14ac:dyDescent="0.25">
      <c r="B19" s="20"/>
      <c r="C19" s="7" t="s">
        <v>18</v>
      </c>
      <c r="D19" s="8"/>
      <c r="E19" s="12">
        <v>0.64693400000000001</v>
      </c>
      <c r="F19" s="1"/>
      <c r="G19" s="1"/>
      <c r="H19" s="1"/>
      <c r="I19" s="1"/>
      <c r="J19" s="1"/>
      <c r="K19" s="1"/>
      <c r="L19" s="1"/>
      <c r="M19" s="1"/>
      <c r="N19" s="18"/>
    </row>
    <row r="20" spans="2:14" ht="15" customHeight="1" x14ac:dyDescent="0.25">
      <c r="B20" s="20"/>
      <c r="C20" s="5" t="s">
        <v>73</v>
      </c>
      <c r="D20" s="6" t="s">
        <v>12</v>
      </c>
      <c r="E20" s="11">
        <v>4.3734000000000002E-2</v>
      </c>
      <c r="F20" s="1"/>
      <c r="G20" s="1"/>
      <c r="H20" s="1"/>
      <c r="I20" s="1"/>
      <c r="J20" s="1"/>
      <c r="K20" s="1"/>
      <c r="L20" s="1"/>
      <c r="M20" s="1"/>
      <c r="N20" s="18"/>
    </row>
    <row r="21" spans="2:14" ht="15" customHeight="1" x14ac:dyDescent="0.25">
      <c r="B21" s="20"/>
      <c r="C21" s="5" t="s">
        <v>68</v>
      </c>
      <c r="D21" s="6" t="s">
        <v>12</v>
      </c>
      <c r="E21" s="11">
        <v>2.8004000000000001E-2</v>
      </c>
      <c r="F21" s="1"/>
      <c r="G21" s="1"/>
      <c r="H21" s="1"/>
      <c r="I21" s="1"/>
      <c r="J21" s="1"/>
      <c r="K21" s="1"/>
      <c r="L21" s="1"/>
      <c r="M21" s="1"/>
      <c r="N21" s="18"/>
    </row>
    <row r="22" spans="2:14" ht="15" customHeight="1" x14ac:dyDescent="0.25">
      <c r="B22" s="20"/>
      <c r="C22" s="5" t="s">
        <v>139</v>
      </c>
      <c r="D22" s="6" t="s">
        <v>12</v>
      </c>
      <c r="E22" s="11">
        <v>2.3740000000000001E-2</v>
      </c>
      <c r="F22" s="1"/>
      <c r="G22" s="1"/>
      <c r="H22" s="1"/>
      <c r="I22" s="1"/>
      <c r="J22" s="1"/>
      <c r="K22" s="1"/>
      <c r="L22" s="1"/>
      <c r="M22" s="1"/>
      <c r="N22" s="18"/>
    </row>
    <row r="23" spans="2:14" ht="15" customHeight="1" x14ac:dyDescent="0.25">
      <c r="B23" s="20"/>
      <c r="C23" s="5" t="s">
        <v>143</v>
      </c>
      <c r="D23" s="6" t="s">
        <v>12</v>
      </c>
      <c r="E23" s="11">
        <v>2.3650999999999998E-2</v>
      </c>
      <c r="F23" s="1"/>
      <c r="G23" s="1"/>
      <c r="H23" s="1"/>
      <c r="I23" s="1"/>
      <c r="J23" s="1"/>
      <c r="K23" s="1"/>
      <c r="L23" s="1"/>
      <c r="M23" s="1"/>
      <c r="N23" s="18"/>
    </row>
    <row r="24" spans="2:14" ht="15" customHeight="1" x14ac:dyDescent="0.25">
      <c r="B24" s="20"/>
      <c r="C24" s="5" t="s">
        <v>173</v>
      </c>
      <c r="D24" s="6" t="s">
        <v>12</v>
      </c>
      <c r="E24" s="11">
        <v>1.9909E-2</v>
      </c>
      <c r="F24" s="1"/>
      <c r="G24" s="86" t="s">
        <v>117</v>
      </c>
      <c r="H24" s="87"/>
      <c r="I24" s="87"/>
      <c r="J24" s="87"/>
      <c r="K24" s="87"/>
      <c r="L24" s="68">
        <v>187.12309410148819</v>
      </c>
      <c r="M24" s="27"/>
      <c r="N24" s="28"/>
    </row>
    <row r="25" spans="2:14" ht="15" customHeight="1" x14ac:dyDescent="0.25">
      <c r="B25" s="20"/>
      <c r="C25" s="5" t="s">
        <v>125</v>
      </c>
      <c r="D25" s="6" t="s">
        <v>12</v>
      </c>
      <c r="E25" s="11">
        <v>1.9845999999999999E-2</v>
      </c>
      <c r="F25" s="1"/>
      <c r="G25" s="1"/>
      <c r="H25" s="1"/>
      <c r="I25" s="1"/>
      <c r="J25" s="1"/>
      <c r="K25" s="1"/>
      <c r="L25" s="1"/>
      <c r="M25" s="1"/>
      <c r="N25" s="18"/>
    </row>
    <row r="26" spans="2:14" ht="15" customHeight="1" x14ac:dyDescent="0.25">
      <c r="B26" s="20"/>
      <c r="C26" s="5" t="s">
        <v>144</v>
      </c>
      <c r="D26" s="6" t="s">
        <v>12</v>
      </c>
      <c r="E26" s="11">
        <v>1.6140999999999999E-2</v>
      </c>
      <c r="F26" s="1"/>
      <c r="G26" s="86" t="s">
        <v>7</v>
      </c>
      <c r="H26" s="87"/>
      <c r="I26" s="87"/>
      <c r="J26" s="87"/>
      <c r="K26" s="87"/>
      <c r="L26" s="87"/>
      <c r="M26" s="87"/>
      <c r="N26" s="88"/>
    </row>
    <row r="27" spans="2:14" ht="15" customHeight="1" x14ac:dyDescent="0.25">
      <c r="B27" s="20"/>
      <c r="C27" s="5" t="s">
        <v>63</v>
      </c>
      <c r="D27" s="6" t="s">
        <v>12</v>
      </c>
      <c r="E27" s="11">
        <v>7.9539999999999993E-3</v>
      </c>
      <c r="F27" s="1"/>
      <c r="G27" s="1"/>
      <c r="H27" s="1"/>
      <c r="I27" s="1"/>
      <c r="J27" s="1"/>
      <c r="K27" s="1"/>
      <c r="L27" s="1"/>
      <c r="M27" s="1"/>
      <c r="N27" s="18"/>
    </row>
    <row r="28" spans="2:14" ht="15" customHeight="1" x14ac:dyDescent="0.25">
      <c r="B28" s="20"/>
      <c r="C28" s="5" t="s">
        <v>138</v>
      </c>
      <c r="D28" s="6" t="s">
        <v>12</v>
      </c>
      <c r="E28" s="11">
        <v>7.9480000000000002E-3</v>
      </c>
      <c r="F28" s="1"/>
      <c r="G28" s="1"/>
      <c r="H28" s="1"/>
      <c r="I28" s="1"/>
      <c r="J28" s="1"/>
      <c r="K28" s="1"/>
      <c r="L28" s="1"/>
      <c r="M28" s="1"/>
      <c r="N28" s="18"/>
    </row>
    <row r="29" spans="2:14" ht="15" customHeight="1" x14ac:dyDescent="0.25">
      <c r="B29" s="20"/>
      <c r="C29" s="5" t="s">
        <v>84</v>
      </c>
      <c r="D29" s="6" t="s">
        <v>12</v>
      </c>
      <c r="E29" s="11">
        <v>7.8799999999999999E-3</v>
      </c>
      <c r="F29" s="1"/>
      <c r="G29" s="1"/>
      <c r="H29" s="1"/>
      <c r="I29" s="1"/>
      <c r="J29" s="1"/>
      <c r="K29" s="1"/>
      <c r="L29" s="1"/>
      <c r="M29" s="1"/>
      <c r="N29" s="18"/>
    </row>
    <row r="30" spans="2:14" ht="15" customHeight="1" x14ac:dyDescent="0.25">
      <c r="B30" s="20"/>
      <c r="C30" s="5" t="s">
        <v>174</v>
      </c>
      <c r="D30" s="6" t="s">
        <v>12</v>
      </c>
      <c r="E30" s="11">
        <v>7.8770000000000003E-3</v>
      </c>
      <c r="F30" s="1"/>
      <c r="G30" s="1"/>
      <c r="H30" s="1"/>
      <c r="I30" s="1"/>
      <c r="J30" s="1"/>
      <c r="K30" s="1"/>
      <c r="L30" s="1"/>
      <c r="M30" s="1"/>
      <c r="N30" s="18"/>
    </row>
    <row r="31" spans="2:14" ht="15" customHeight="1" x14ac:dyDescent="0.25">
      <c r="B31" s="20"/>
      <c r="C31" s="5" t="s">
        <v>64</v>
      </c>
      <c r="D31" s="6" t="s">
        <v>12</v>
      </c>
      <c r="E31" s="11">
        <v>3.9399999999999999E-3</v>
      </c>
      <c r="F31" s="1"/>
      <c r="G31" s="1"/>
      <c r="H31" s="1"/>
      <c r="I31" s="1"/>
      <c r="J31" s="1"/>
      <c r="K31" s="1"/>
      <c r="L31" s="1"/>
      <c r="M31" s="1"/>
      <c r="N31" s="18"/>
    </row>
    <row r="32" spans="2:14" ht="15.75" customHeight="1" x14ac:dyDescent="0.25">
      <c r="B32" s="20"/>
      <c r="C32" s="7" t="s">
        <v>145</v>
      </c>
      <c r="D32" s="8"/>
      <c r="E32" s="12">
        <v>0.21062400000000001</v>
      </c>
      <c r="F32" s="1"/>
      <c r="G32" s="1"/>
      <c r="H32" s="1"/>
      <c r="I32" s="1"/>
      <c r="J32" s="1"/>
      <c r="K32" s="1"/>
      <c r="L32" s="1"/>
      <c r="M32" s="1"/>
      <c r="N32" s="18"/>
    </row>
    <row r="33" spans="2:14" ht="15" customHeight="1" x14ac:dyDescent="0.25">
      <c r="B33" s="20"/>
      <c r="C33" s="5" t="s">
        <v>36</v>
      </c>
      <c r="D33" s="6"/>
      <c r="E33" s="11">
        <v>2.147E-3</v>
      </c>
      <c r="F33" s="1"/>
      <c r="G33" s="1"/>
      <c r="H33" s="1"/>
      <c r="I33" s="1"/>
      <c r="J33" s="1"/>
      <c r="K33" s="1"/>
      <c r="L33" s="1"/>
      <c r="M33" s="1"/>
      <c r="N33" s="18"/>
    </row>
    <row r="34" spans="2:14" ht="15.75" customHeight="1" x14ac:dyDescent="0.25">
      <c r="B34" s="20"/>
      <c r="C34" s="7" t="s">
        <v>37</v>
      </c>
      <c r="D34" s="8"/>
      <c r="E34" s="12">
        <v>2.147E-3</v>
      </c>
      <c r="F34" s="1"/>
      <c r="G34" s="1"/>
      <c r="H34" s="1"/>
      <c r="I34" s="1"/>
      <c r="J34" s="1"/>
      <c r="K34" s="1"/>
      <c r="L34" s="1"/>
      <c r="M34" s="1"/>
      <c r="N34" s="18"/>
    </row>
    <row r="35" spans="2:14" ht="15" customHeight="1" x14ac:dyDescent="0.25">
      <c r="B35" s="20"/>
      <c r="C35" s="5" t="s">
        <v>303</v>
      </c>
      <c r="D35" s="6" t="s">
        <v>184</v>
      </c>
      <c r="E35" s="11">
        <v>8.6600000000000002E-4</v>
      </c>
      <c r="F35" s="1"/>
      <c r="G35" s="1"/>
      <c r="H35" s="1"/>
      <c r="I35" s="1"/>
      <c r="J35" s="1"/>
      <c r="K35" s="1"/>
      <c r="L35" s="1"/>
      <c r="M35" s="1"/>
      <c r="N35" s="18"/>
    </row>
    <row r="36" spans="2:14" ht="15.75" customHeight="1" x14ac:dyDescent="0.25">
      <c r="B36" s="20"/>
      <c r="C36" s="7" t="s">
        <v>175</v>
      </c>
      <c r="D36" s="8"/>
      <c r="E36" s="12">
        <v>8.6600000000000002E-4</v>
      </c>
      <c r="F36" s="1"/>
      <c r="G36" s="1"/>
      <c r="H36" s="1"/>
      <c r="I36" s="1"/>
      <c r="J36" s="1"/>
      <c r="K36" s="1"/>
      <c r="L36" s="1"/>
      <c r="M36" s="1"/>
      <c r="N36" s="18"/>
    </row>
    <row r="37" spans="2:14" ht="15" customHeight="1" x14ac:dyDescent="0.25">
      <c r="B37" s="20"/>
      <c r="C37" s="5" t="s">
        <v>212</v>
      </c>
      <c r="D37" s="6" t="s">
        <v>184</v>
      </c>
      <c r="E37" s="11">
        <v>2.853E-2</v>
      </c>
      <c r="F37" s="1"/>
      <c r="G37" s="1"/>
      <c r="H37" s="1"/>
      <c r="I37" s="1"/>
      <c r="J37" s="1"/>
      <c r="K37" s="1"/>
      <c r="L37" s="1"/>
      <c r="M37" s="1"/>
      <c r="N37" s="18"/>
    </row>
    <row r="38" spans="2:14" ht="15.75" customHeight="1" x14ac:dyDescent="0.25">
      <c r="B38" s="20"/>
      <c r="C38" s="5" t="s">
        <v>211</v>
      </c>
      <c r="D38" s="6" t="s">
        <v>184</v>
      </c>
      <c r="E38" s="11">
        <v>2.7088999999999998E-2</v>
      </c>
      <c r="F38" s="1"/>
      <c r="G38" s="1"/>
      <c r="H38" s="1"/>
      <c r="I38" s="1"/>
      <c r="J38" s="1"/>
      <c r="K38" s="1"/>
      <c r="L38" s="1"/>
      <c r="M38" s="1"/>
      <c r="N38" s="18"/>
    </row>
    <row r="39" spans="2:14" ht="15" customHeight="1" x14ac:dyDescent="0.25">
      <c r="B39" s="20"/>
      <c r="C39" s="5" t="s">
        <v>202</v>
      </c>
      <c r="D39" s="6" t="s">
        <v>184</v>
      </c>
      <c r="E39" s="11">
        <v>1.4943E-2</v>
      </c>
      <c r="F39" s="1"/>
      <c r="G39" s="1"/>
      <c r="H39" s="1"/>
      <c r="I39" s="1"/>
      <c r="J39" s="1"/>
      <c r="K39" s="1"/>
      <c r="L39" s="1"/>
      <c r="M39" s="1"/>
      <c r="N39" s="18"/>
    </row>
    <row r="40" spans="2:14" ht="15.75" customHeight="1" x14ac:dyDescent="0.25">
      <c r="B40" s="20"/>
      <c r="C40" s="5" t="s">
        <v>206</v>
      </c>
      <c r="D40" s="6" t="s">
        <v>184</v>
      </c>
      <c r="E40" s="11">
        <v>1.1675E-2</v>
      </c>
      <c r="F40" s="1"/>
      <c r="G40" s="1"/>
      <c r="H40" s="1"/>
      <c r="I40" s="1"/>
      <c r="J40" s="1"/>
      <c r="K40" s="1"/>
      <c r="L40" s="1"/>
      <c r="M40" s="1"/>
      <c r="N40" s="18"/>
    </row>
    <row r="41" spans="2:14" ht="15" customHeight="1" x14ac:dyDescent="0.25">
      <c r="B41" s="20"/>
      <c r="C41" s="5" t="s">
        <v>208</v>
      </c>
      <c r="D41" s="6" t="s">
        <v>184</v>
      </c>
      <c r="E41" s="11">
        <v>8.1919999999999996E-3</v>
      </c>
      <c r="F41" s="1"/>
      <c r="G41" s="1"/>
      <c r="H41" s="1"/>
      <c r="I41" s="1"/>
      <c r="J41" s="1"/>
      <c r="K41" s="1"/>
      <c r="L41" s="1"/>
      <c r="M41" s="1"/>
      <c r="N41" s="18"/>
    </row>
    <row r="42" spans="2:14" ht="15.75" customHeight="1" x14ac:dyDescent="0.25">
      <c r="B42" s="20"/>
      <c r="C42" s="5" t="s">
        <v>209</v>
      </c>
      <c r="D42" s="6" t="s">
        <v>184</v>
      </c>
      <c r="E42" s="11">
        <v>8.1060000000000004E-3</v>
      </c>
      <c r="F42" s="1"/>
      <c r="G42" s="1"/>
      <c r="H42" s="1"/>
      <c r="I42" s="1"/>
      <c r="J42" s="1"/>
      <c r="K42" s="1"/>
      <c r="L42" s="1"/>
      <c r="M42" s="1"/>
      <c r="N42" s="18"/>
    </row>
    <row r="43" spans="2:14" ht="15" customHeight="1" x14ac:dyDescent="0.25">
      <c r="B43" s="20"/>
      <c r="C43" s="5" t="s">
        <v>204</v>
      </c>
      <c r="D43" s="6" t="s">
        <v>184</v>
      </c>
      <c r="E43" s="11">
        <v>4.1440000000000001E-3</v>
      </c>
      <c r="F43" s="1"/>
      <c r="G43" s="1"/>
      <c r="H43" s="1"/>
      <c r="I43" s="1"/>
      <c r="J43" s="1"/>
      <c r="K43" s="1"/>
      <c r="L43" s="1"/>
      <c r="M43" s="1"/>
      <c r="N43" s="18"/>
    </row>
    <row r="44" spans="2:14" ht="15" customHeight="1" x14ac:dyDescent="0.25">
      <c r="B44" s="20"/>
      <c r="C44" s="5" t="s">
        <v>205</v>
      </c>
      <c r="D44" s="6" t="s">
        <v>184</v>
      </c>
      <c r="E44" s="11">
        <v>3.3270000000000001E-3</v>
      </c>
      <c r="F44" s="1"/>
      <c r="G44" s="1"/>
      <c r="H44" s="1"/>
      <c r="I44" s="1"/>
      <c r="J44" s="1"/>
      <c r="K44" s="1"/>
      <c r="L44" s="1"/>
      <c r="M44" s="1"/>
      <c r="N44" s="18"/>
    </row>
    <row r="45" spans="2:14" ht="15" customHeight="1" x14ac:dyDescent="0.25">
      <c r="B45" s="20"/>
      <c r="C45" s="5" t="s">
        <v>210</v>
      </c>
      <c r="D45" s="6" t="s">
        <v>184</v>
      </c>
      <c r="E45" s="11">
        <v>3.2680000000000001E-3</v>
      </c>
      <c r="F45" s="1"/>
      <c r="G45" s="1"/>
      <c r="H45" s="1"/>
      <c r="I45" s="1"/>
      <c r="J45" s="1"/>
      <c r="K45" s="1"/>
      <c r="L45" s="1"/>
      <c r="M45" s="1"/>
      <c r="N45" s="18"/>
    </row>
    <row r="46" spans="2:14" ht="15" customHeight="1" x14ac:dyDescent="0.25">
      <c r="B46" s="20"/>
      <c r="C46" s="5" t="s">
        <v>207</v>
      </c>
      <c r="D46" s="6" t="s">
        <v>184</v>
      </c>
      <c r="E46" s="11">
        <v>2.4880000000000002E-3</v>
      </c>
      <c r="F46" s="1"/>
      <c r="G46" s="1"/>
      <c r="H46" s="1"/>
      <c r="I46" s="1"/>
      <c r="J46" s="1"/>
      <c r="K46" s="1"/>
      <c r="L46" s="1"/>
      <c r="M46" s="1"/>
      <c r="N46" s="18"/>
    </row>
    <row r="47" spans="2:14" ht="15" customHeight="1" x14ac:dyDescent="0.25">
      <c r="B47" s="20"/>
      <c r="C47" s="5" t="s">
        <v>203</v>
      </c>
      <c r="D47" s="6" t="s">
        <v>184</v>
      </c>
      <c r="E47" s="11">
        <v>1.6659999999999999E-3</v>
      </c>
      <c r="F47" s="1"/>
      <c r="G47" s="1"/>
      <c r="H47" s="1"/>
      <c r="I47" s="1"/>
      <c r="J47" s="1"/>
      <c r="K47" s="1"/>
      <c r="L47" s="1"/>
      <c r="M47" s="1"/>
      <c r="N47" s="18"/>
    </row>
    <row r="48" spans="2:14" ht="15" customHeight="1" x14ac:dyDescent="0.25">
      <c r="B48" s="20"/>
      <c r="C48" s="5" t="s">
        <v>213</v>
      </c>
      <c r="D48" s="6" t="s">
        <v>184</v>
      </c>
      <c r="E48" s="11">
        <v>1.6570000000000001E-3</v>
      </c>
      <c r="F48" s="1"/>
      <c r="G48" s="1"/>
      <c r="H48" s="1"/>
      <c r="I48" s="1"/>
      <c r="J48" s="1"/>
      <c r="K48" s="1"/>
      <c r="L48" s="1"/>
      <c r="M48" s="1"/>
      <c r="N48" s="18"/>
    </row>
    <row r="49" spans="2:14" ht="15" customHeight="1" x14ac:dyDescent="0.25">
      <c r="B49" s="20"/>
      <c r="C49" s="7" t="s">
        <v>45</v>
      </c>
      <c r="D49" s="8"/>
      <c r="E49" s="12">
        <v>0.11508500000000001</v>
      </c>
      <c r="F49" s="1"/>
      <c r="G49" s="1"/>
      <c r="H49" s="1"/>
      <c r="I49" s="1"/>
      <c r="J49" s="1"/>
      <c r="K49" s="1"/>
      <c r="L49" s="1"/>
      <c r="M49" s="1"/>
      <c r="N49" s="18"/>
    </row>
    <row r="50" spans="2:14" ht="15" customHeight="1" x14ac:dyDescent="0.25">
      <c r="B50" s="20"/>
      <c r="C50" s="5" t="s">
        <v>46</v>
      </c>
      <c r="D50" s="6"/>
      <c r="E50" s="11">
        <v>2.6190000000000001E-2</v>
      </c>
      <c r="F50" s="1"/>
      <c r="G50" s="1"/>
      <c r="H50" s="1"/>
      <c r="I50" s="1"/>
      <c r="J50" s="1"/>
      <c r="K50" s="1"/>
      <c r="L50" s="1"/>
      <c r="M50" s="1"/>
      <c r="N50" s="18"/>
    </row>
    <row r="51" spans="2:14" ht="15" customHeight="1" x14ac:dyDescent="0.25">
      <c r="B51" s="20"/>
      <c r="C51" s="7" t="s">
        <v>47</v>
      </c>
      <c r="D51" s="8"/>
      <c r="E51" s="12">
        <v>2.6190000000000001E-2</v>
      </c>
      <c r="F51" s="1"/>
      <c r="G51" s="1"/>
      <c r="H51" s="1"/>
      <c r="I51" s="1"/>
      <c r="J51" s="1"/>
      <c r="K51" s="1"/>
      <c r="L51" s="1"/>
      <c r="M51" s="1"/>
      <c r="N51" s="18"/>
    </row>
    <row r="52" spans="2:14" ht="15" customHeight="1" x14ac:dyDescent="0.25">
      <c r="B52" s="20"/>
      <c r="C52" s="5"/>
      <c r="D52" s="6"/>
      <c r="E52" s="11"/>
      <c r="F52" s="1"/>
      <c r="G52" s="1"/>
      <c r="H52" s="1"/>
      <c r="I52" s="1"/>
      <c r="J52" s="1"/>
      <c r="K52" s="1"/>
      <c r="L52" s="1"/>
      <c r="M52" s="1"/>
      <c r="N52" s="18"/>
    </row>
    <row r="53" spans="2:14" ht="15" customHeight="1" x14ac:dyDescent="0.25">
      <c r="B53" s="20"/>
      <c r="C53" s="7" t="s">
        <v>48</v>
      </c>
      <c r="D53" s="8"/>
      <c r="E53" s="12">
        <v>-1.846E-3</v>
      </c>
      <c r="F53" s="1"/>
      <c r="G53" s="1"/>
      <c r="H53" s="1"/>
      <c r="I53" s="1"/>
      <c r="J53" s="1"/>
      <c r="K53" s="1"/>
      <c r="L53" s="1"/>
      <c r="M53" s="1"/>
      <c r="N53" s="18"/>
    </row>
    <row r="54" spans="2:14" ht="15" customHeight="1" x14ac:dyDescent="0.25">
      <c r="B54" s="20"/>
      <c r="C54" s="5"/>
      <c r="D54" s="6"/>
      <c r="E54" s="11"/>
      <c r="F54" s="1"/>
      <c r="G54" s="1"/>
      <c r="H54" s="1"/>
      <c r="I54" s="1"/>
      <c r="J54" s="1"/>
      <c r="K54" s="1"/>
      <c r="L54" s="1"/>
      <c r="M54" s="1"/>
      <c r="N54" s="18"/>
    </row>
    <row r="55" spans="2:14" ht="15" customHeight="1" x14ac:dyDescent="0.25">
      <c r="B55" s="20"/>
      <c r="C55" s="9" t="s">
        <v>49</v>
      </c>
      <c r="D55" s="10"/>
      <c r="E55" s="13">
        <v>1</v>
      </c>
      <c r="F55" s="1"/>
      <c r="G55" s="1"/>
      <c r="H55" s="1"/>
      <c r="I55" s="1"/>
      <c r="J55" s="1"/>
      <c r="K55" s="1"/>
      <c r="L55" s="1"/>
      <c r="M55" s="1"/>
      <c r="N55" s="18"/>
    </row>
    <row r="56" spans="2:14" ht="15" customHeight="1" x14ac:dyDescent="0.25">
      <c r="B56" s="20"/>
      <c r="C56" s="1"/>
      <c r="D56" s="1"/>
      <c r="E56" s="1"/>
      <c r="F56" s="1"/>
      <c r="G56" s="1"/>
      <c r="H56" s="1"/>
      <c r="I56" s="1"/>
      <c r="J56" s="1"/>
      <c r="K56" s="1"/>
      <c r="L56" s="1"/>
      <c r="M56" s="1"/>
      <c r="N56" s="18"/>
    </row>
    <row r="57" spans="2:14" ht="15" customHeight="1" x14ac:dyDescent="0.25">
      <c r="B57" s="20"/>
      <c r="C57" s="1"/>
      <c r="D57" s="1"/>
      <c r="E57" s="1"/>
      <c r="F57" s="1"/>
      <c r="G57" s="1"/>
      <c r="H57" s="1"/>
      <c r="I57" s="1"/>
      <c r="J57" s="1"/>
      <c r="K57" s="1"/>
      <c r="L57" s="1"/>
      <c r="M57" s="1"/>
      <c r="N57" s="18"/>
    </row>
    <row r="58" spans="2:14" ht="15" customHeight="1" thickBot="1" x14ac:dyDescent="0.3">
      <c r="B58" s="21"/>
      <c r="C58" s="22"/>
      <c r="D58" s="22"/>
      <c r="E58" s="22"/>
      <c r="F58" s="22"/>
      <c r="G58" s="22"/>
      <c r="H58" s="22"/>
      <c r="I58" s="22"/>
      <c r="J58" s="22"/>
      <c r="K58" s="22"/>
      <c r="L58" s="22"/>
      <c r="M58" s="22"/>
      <c r="N58" s="23"/>
    </row>
    <row r="59" spans="2:14" ht="15" customHeight="1" thickBot="1" x14ac:dyDescent="0.3"/>
    <row r="60" spans="2:14" ht="15" customHeight="1" x14ac:dyDescent="0.25">
      <c r="B60" s="69" t="s">
        <v>274</v>
      </c>
      <c r="C60" s="70"/>
      <c r="D60" s="70"/>
      <c r="E60" s="70"/>
      <c r="F60" s="70"/>
      <c r="G60" s="70"/>
      <c r="H60" s="70"/>
      <c r="I60" s="70"/>
      <c r="J60" s="70"/>
      <c r="K60" s="70"/>
      <c r="L60" s="70"/>
      <c r="M60" s="70"/>
      <c r="N60" s="71"/>
    </row>
    <row r="61" spans="2:14" ht="15" customHeight="1" x14ac:dyDescent="0.25">
      <c r="B61" s="72"/>
      <c r="C61" s="73"/>
      <c r="D61" s="73"/>
      <c r="E61" s="73"/>
      <c r="F61" s="73"/>
      <c r="G61" s="73"/>
      <c r="H61" s="73"/>
      <c r="I61" s="73"/>
      <c r="J61" s="73"/>
      <c r="K61" s="73"/>
      <c r="L61" s="73"/>
      <c r="M61" s="73"/>
      <c r="N61" s="74"/>
    </row>
    <row r="62" spans="2:14" ht="15" customHeight="1" x14ac:dyDescent="0.25">
      <c r="B62" s="72"/>
      <c r="C62" s="73"/>
      <c r="D62" s="73"/>
      <c r="E62" s="73"/>
      <c r="F62" s="73"/>
      <c r="G62" s="73"/>
      <c r="H62" s="73"/>
      <c r="I62" s="73"/>
      <c r="J62" s="73"/>
      <c r="K62" s="73"/>
      <c r="L62" s="73"/>
      <c r="M62" s="73"/>
      <c r="N62" s="74"/>
    </row>
    <row r="63" spans="2:14" ht="15" customHeight="1" thickBot="1" x14ac:dyDescent="0.3">
      <c r="B63" s="75"/>
      <c r="C63" s="76"/>
      <c r="D63" s="76"/>
      <c r="E63" s="76"/>
      <c r="F63" s="76"/>
      <c r="G63" s="76"/>
      <c r="H63" s="76"/>
      <c r="I63" s="76"/>
      <c r="J63" s="76"/>
      <c r="K63" s="76"/>
      <c r="L63" s="76"/>
      <c r="M63" s="76"/>
      <c r="N63" s="77"/>
    </row>
    <row r="64" spans="2:14" ht="15" customHeight="1" thickBot="1" x14ac:dyDescent="0.3"/>
    <row r="65" spans="2:14" ht="129.75" customHeight="1" thickBot="1" x14ac:dyDescent="0.3">
      <c r="B65" s="78" t="s">
        <v>273</v>
      </c>
      <c r="C65" s="79"/>
      <c r="D65" s="79"/>
      <c r="E65" s="79"/>
      <c r="F65" s="79"/>
      <c r="G65" s="79"/>
      <c r="H65" s="79"/>
      <c r="I65" s="79"/>
      <c r="J65" s="79"/>
      <c r="K65" s="79"/>
      <c r="L65" s="79"/>
      <c r="M65" s="79"/>
      <c r="N65" s="80"/>
    </row>
    <row r="66" spans="2:14" ht="15" customHeight="1" x14ac:dyDescent="0.25"/>
    <row r="67" spans="2:14" ht="15" customHeight="1" x14ac:dyDescent="0.25"/>
    <row r="68" spans="2:14" ht="15" customHeight="1" x14ac:dyDescent="0.25"/>
    <row r="69" spans="2:14" ht="15" customHeight="1" x14ac:dyDescent="0.25"/>
    <row r="70" spans="2:14" ht="15" customHeight="1" x14ac:dyDescent="0.25"/>
    <row r="71" spans="2:14" ht="15" customHeight="1" x14ac:dyDescent="0.25"/>
    <row r="72" spans="2:14" ht="15" customHeight="1" x14ac:dyDescent="0.25"/>
    <row r="73" spans="2:14" ht="15" customHeight="1" x14ac:dyDescent="0.25"/>
    <row r="74" spans="2:14" ht="15" customHeight="1" x14ac:dyDescent="0.25"/>
    <row r="75" spans="2:14" ht="15" customHeight="1" x14ac:dyDescent="0.25"/>
    <row r="76" spans="2:14" ht="15" customHeight="1" x14ac:dyDescent="0.25"/>
    <row r="77" spans="2:14" ht="15" customHeight="1" x14ac:dyDescent="0.25"/>
    <row r="78" spans="2:14" ht="15" customHeight="1" x14ac:dyDescent="0.25"/>
    <row r="79" spans="2:14" ht="15" customHeight="1" x14ac:dyDescent="0.25"/>
  </sheetData>
  <sortState ref="C37:E48">
    <sortCondition descending="1" ref="E37"/>
  </sortState>
  <mergeCells count="7">
    <mergeCell ref="B60:N63"/>
    <mergeCell ref="B65:N65"/>
    <mergeCell ref="C3:N3"/>
    <mergeCell ref="D5:E5"/>
    <mergeCell ref="G7:N7"/>
    <mergeCell ref="G24:K24"/>
    <mergeCell ref="G26:N26"/>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B66C5-81AD-490A-A5ED-8069C9E8D3DB}">
  <dimension ref="B1:N70"/>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182</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9</v>
      </c>
      <c r="D5" s="84" t="s">
        <v>183</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34</v>
      </c>
      <c r="D8" s="6" t="s">
        <v>12</v>
      </c>
      <c r="E8" s="11">
        <v>9.3349000000000001E-2</v>
      </c>
      <c r="F8" s="1"/>
      <c r="G8" s="24" t="s">
        <v>4</v>
      </c>
      <c r="H8" s="30">
        <v>0.97067800000000004</v>
      </c>
      <c r="I8" s="1"/>
      <c r="J8" s="24" t="s">
        <v>50</v>
      </c>
      <c r="K8" s="24" t="s">
        <v>3</v>
      </c>
      <c r="L8" s="1"/>
      <c r="M8" s="1"/>
      <c r="N8" s="18"/>
    </row>
    <row r="9" spans="2:14" ht="15" customHeight="1" x14ac:dyDescent="0.25">
      <c r="B9" s="20"/>
      <c r="C9" s="5" t="s">
        <v>21</v>
      </c>
      <c r="D9" s="6" t="s">
        <v>12</v>
      </c>
      <c r="E9" s="11">
        <v>4.5241999999999997E-2</v>
      </c>
      <c r="F9" s="1"/>
      <c r="G9" s="24" t="s">
        <v>95</v>
      </c>
      <c r="H9" s="30">
        <v>2.9322000000000001E-2</v>
      </c>
      <c r="I9" s="1"/>
      <c r="J9" s="24" t="s">
        <v>48</v>
      </c>
      <c r="K9" s="30">
        <v>2.4294E-2</v>
      </c>
      <c r="L9" s="1"/>
      <c r="M9" s="1"/>
      <c r="N9" s="18"/>
    </row>
    <row r="10" spans="2:14" ht="15" customHeight="1" x14ac:dyDescent="0.25">
      <c r="B10" s="20"/>
      <c r="C10" s="5" t="s">
        <v>15</v>
      </c>
      <c r="D10" s="6" t="s">
        <v>12</v>
      </c>
      <c r="E10" s="11">
        <v>2.5821E-2</v>
      </c>
      <c r="F10" s="1"/>
      <c r="G10" s="1"/>
      <c r="H10" s="1"/>
      <c r="I10" s="1"/>
      <c r="J10" s="24" t="s">
        <v>51</v>
      </c>
      <c r="K10" s="30">
        <v>0.11543399999999999</v>
      </c>
      <c r="L10" s="1"/>
      <c r="M10" s="1"/>
      <c r="N10" s="18"/>
    </row>
    <row r="11" spans="2:14" ht="15" customHeight="1" x14ac:dyDescent="0.25">
      <c r="B11" s="20"/>
      <c r="C11" s="5" t="s">
        <v>14</v>
      </c>
      <c r="D11" s="6" t="s">
        <v>12</v>
      </c>
      <c r="E11" s="11">
        <v>6.404E-3</v>
      </c>
      <c r="F11" s="1"/>
      <c r="G11" s="1"/>
      <c r="H11" s="1"/>
      <c r="I11" s="1"/>
      <c r="J11" s="24" t="s">
        <v>52</v>
      </c>
      <c r="K11" s="30">
        <v>0.17475299999999999</v>
      </c>
      <c r="L11" s="1"/>
      <c r="M11" s="1"/>
      <c r="N11" s="18"/>
    </row>
    <row r="12" spans="2:14" ht="15" customHeight="1" x14ac:dyDescent="0.25">
      <c r="B12" s="20"/>
      <c r="C12" s="5" t="s">
        <v>11</v>
      </c>
      <c r="D12" s="6" t="s">
        <v>12</v>
      </c>
      <c r="E12" s="11">
        <v>3.9370000000000004E-3</v>
      </c>
      <c r="F12" s="1"/>
      <c r="G12" s="1"/>
      <c r="H12" s="1"/>
      <c r="I12" s="1"/>
      <c r="J12" s="24" t="s">
        <v>53</v>
      </c>
      <c r="K12" s="30">
        <v>0.510961</v>
      </c>
      <c r="L12" s="1"/>
      <c r="M12" s="1"/>
      <c r="N12" s="18"/>
    </row>
    <row r="13" spans="2:14" ht="15.75" customHeight="1" x14ac:dyDescent="0.25">
      <c r="B13" s="20"/>
      <c r="C13" s="7" t="s">
        <v>18</v>
      </c>
      <c r="D13" s="8"/>
      <c r="E13" s="12">
        <v>0.17475299999999999</v>
      </c>
      <c r="F13" s="1"/>
      <c r="G13" s="1"/>
      <c r="H13" s="1"/>
      <c r="I13" s="1"/>
      <c r="J13" s="24" t="s">
        <v>161</v>
      </c>
      <c r="K13" s="30">
        <v>9.7243999999999997E-2</v>
      </c>
      <c r="L13" s="1"/>
      <c r="M13" s="1"/>
      <c r="N13" s="18"/>
    </row>
    <row r="14" spans="2:14" ht="15" customHeight="1" x14ac:dyDescent="0.25">
      <c r="B14" s="20"/>
      <c r="C14" s="5" t="s">
        <v>137</v>
      </c>
      <c r="D14" s="6" t="s">
        <v>12</v>
      </c>
      <c r="E14" s="11">
        <v>7.2688000000000003E-2</v>
      </c>
      <c r="F14" s="1"/>
      <c r="G14" s="1"/>
      <c r="H14" s="1"/>
      <c r="I14" s="1"/>
      <c r="J14" s="24" t="s">
        <v>36</v>
      </c>
      <c r="K14" s="30">
        <v>2.7139999999999998E-3</v>
      </c>
      <c r="L14" s="1"/>
      <c r="M14" s="1"/>
      <c r="N14" s="18"/>
    </row>
    <row r="15" spans="2:14" ht="15" customHeight="1" x14ac:dyDescent="0.25">
      <c r="B15" s="20"/>
      <c r="C15" s="5" t="s">
        <v>73</v>
      </c>
      <c r="D15" s="6" t="s">
        <v>12</v>
      </c>
      <c r="E15" s="11">
        <v>1.4179000000000001E-2</v>
      </c>
      <c r="F15" s="1"/>
      <c r="G15" s="1"/>
      <c r="H15" s="1"/>
      <c r="I15" s="1"/>
      <c r="J15" s="24" t="s">
        <v>163</v>
      </c>
      <c r="K15" s="30">
        <v>6.8156999999999995E-2</v>
      </c>
      <c r="L15" s="1"/>
      <c r="M15" s="1"/>
      <c r="N15" s="18"/>
    </row>
    <row r="16" spans="2:14" ht="15" customHeight="1" x14ac:dyDescent="0.25">
      <c r="B16" s="20"/>
      <c r="C16" s="5" t="s">
        <v>125</v>
      </c>
      <c r="D16" s="6" t="s">
        <v>12</v>
      </c>
      <c r="E16" s="11">
        <v>6.5500000000000003E-3</v>
      </c>
      <c r="F16" s="1"/>
      <c r="G16" s="1"/>
      <c r="H16" s="1"/>
      <c r="I16" s="1"/>
      <c r="J16" s="24" t="s">
        <v>77</v>
      </c>
      <c r="K16" s="30">
        <v>6.4429999999999999E-3</v>
      </c>
      <c r="L16" s="1"/>
      <c r="M16" s="1"/>
      <c r="N16" s="18"/>
    </row>
    <row r="17" spans="2:14" ht="15" customHeight="1" x14ac:dyDescent="0.25">
      <c r="B17" s="20"/>
      <c r="C17" s="5" t="s">
        <v>143</v>
      </c>
      <c r="D17" s="6" t="s">
        <v>12</v>
      </c>
      <c r="E17" s="11">
        <v>3.8270000000000001E-3</v>
      </c>
      <c r="F17" s="1"/>
      <c r="G17" s="1"/>
      <c r="H17" s="1"/>
      <c r="I17" s="1"/>
      <c r="J17" s="1"/>
      <c r="K17" s="1"/>
      <c r="L17" s="1"/>
      <c r="M17" s="1"/>
      <c r="N17" s="18"/>
    </row>
    <row r="18" spans="2:14" ht="15.75" customHeight="1" x14ac:dyDescent="0.25">
      <c r="B18" s="20"/>
      <c r="C18" s="7" t="s">
        <v>145</v>
      </c>
      <c r="D18" s="8"/>
      <c r="E18" s="12">
        <v>9.7243999999999997E-2</v>
      </c>
      <c r="F18" s="1"/>
      <c r="G18" s="1"/>
      <c r="H18" s="1"/>
      <c r="I18" s="1"/>
      <c r="J18" s="1"/>
      <c r="K18" s="1"/>
      <c r="L18" s="1"/>
      <c r="M18" s="1"/>
      <c r="N18" s="18"/>
    </row>
    <row r="19" spans="2:14" ht="15" customHeight="1" x14ac:dyDescent="0.25">
      <c r="B19" s="20"/>
      <c r="C19" s="5" t="s">
        <v>19</v>
      </c>
      <c r="D19" s="6" t="s">
        <v>20</v>
      </c>
      <c r="E19" s="11">
        <v>0.114866</v>
      </c>
      <c r="F19" s="1"/>
      <c r="G19" s="1"/>
      <c r="H19" s="1"/>
      <c r="I19" s="1"/>
      <c r="J19" s="1"/>
      <c r="K19" s="1"/>
      <c r="L19" s="1"/>
      <c r="M19" s="1"/>
      <c r="N19" s="18"/>
    </row>
    <row r="20" spans="2:14" ht="15" customHeight="1" x14ac:dyDescent="0.25">
      <c r="B20" s="20"/>
      <c r="C20" s="5" t="s">
        <v>24</v>
      </c>
      <c r="D20" s="6" t="s">
        <v>20</v>
      </c>
      <c r="E20" s="11">
        <v>8.7141999999999997E-2</v>
      </c>
      <c r="F20" s="1"/>
      <c r="G20" s="1"/>
      <c r="H20" s="1"/>
      <c r="I20" s="1"/>
      <c r="J20" s="1"/>
      <c r="K20" s="1"/>
      <c r="L20" s="1"/>
      <c r="M20" s="1"/>
      <c r="N20" s="18"/>
    </row>
    <row r="21" spans="2:14" ht="15" customHeight="1" x14ac:dyDescent="0.25">
      <c r="B21" s="20"/>
      <c r="C21" s="5" t="s">
        <v>23</v>
      </c>
      <c r="D21" s="6" t="s">
        <v>20</v>
      </c>
      <c r="E21" s="11">
        <v>8.0072000000000004E-2</v>
      </c>
      <c r="F21" s="1"/>
      <c r="G21" s="1"/>
      <c r="H21" s="1"/>
      <c r="I21" s="1"/>
      <c r="J21" s="1"/>
      <c r="K21" s="1"/>
      <c r="L21" s="1"/>
      <c r="M21" s="1"/>
      <c r="N21" s="18"/>
    </row>
    <row r="22" spans="2:14" ht="15" customHeight="1" x14ac:dyDescent="0.25">
      <c r="B22" s="20"/>
      <c r="C22" s="5" t="s">
        <v>21</v>
      </c>
      <c r="D22" s="6" t="s">
        <v>20</v>
      </c>
      <c r="E22" s="11">
        <v>7.4678999999999995E-2</v>
      </c>
      <c r="F22" s="1"/>
      <c r="G22" s="1"/>
      <c r="H22" s="1"/>
      <c r="I22" s="1"/>
      <c r="J22" s="1"/>
      <c r="K22" s="1"/>
      <c r="L22" s="1"/>
      <c r="M22" s="1"/>
      <c r="N22" s="18"/>
    </row>
    <row r="23" spans="2:14" ht="15" customHeight="1" x14ac:dyDescent="0.25">
      <c r="B23" s="20"/>
      <c r="C23" s="5" t="s">
        <v>68</v>
      </c>
      <c r="D23" s="6" t="s">
        <v>20</v>
      </c>
      <c r="E23" s="11">
        <v>3.8515000000000001E-2</v>
      </c>
      <c r="F23" s="1"/>
      <c r="G23" s="1"/>
      <c r="H23" s="1"/>
      <c r="I23" s="1"/>
      <c r="J23" s="1"/>
      <c r="K23" s="1"/>
      <c r="L23" s="1"/>
      <c r="M23" s="1"/>
      <c r="N23" s="18"/>
    </row>
    <row r="24" spans="2:14" ht="15" customHeight="1" x14ac:dyDescent="0.25">
      <c r="B24" s="20"/>
      <c r="C24" s="5" t="s">
        <v>26</v>
      </c>
      <c r="D24" s="6" t="s">
        <v>20</v>
      </c>
      <c r="E24" s="11">
        <v>3.5890999999999999E-2</v>
      </c>
      <c r="F24" s="1"/>
      <c r="G24" s="86" t="s">
        <v>117</v>
      </c>
      <c r="H24" s="87"/>
      <c r="I24" s="87"/>
      <c r="J24" s="87"/>
      <c r="K24" s="87"/>
      <c r="L24" s="68">
        <v>168.09506110362375</v>
      </c>
      <c r="M24" s="27"/>
      <c r="N24" s="28"/>
    </row>
    <row r="25" spans="2:14" ht="15" customHeight="1" x14ac:dyDescent="0.25">
      <c r="B25" s="20"/>
      <c r="C25" s="5" t="s">
        <v>84</v>
      </c>
      <c r="D25" s="6" t="s">
        <v>85</v>
      </c>
      <c r="E25" s="11">
        <v>1.7361000000000001E-2</v>
      </c>
      <c r="F25" s="1"/>
      <c r="G25" s="1"/>
      <c r="H25" s="1"/>
      <c r="I25" s="1"/>
      <c r="J25" s="1"/>
      <c r="K25" s="1"/>
      <c r="L25" s="1"/>
      <c r="M25" s="1"/>
      <c r="N25" s="18"/>
    </row>
    <row r="26" spans="2:14" ht="15" customHeight="1" x14ac:dyDescent="0.25">
      <c r="B26" s="20"/>
      <c r="C26" s="5" t="s">
        <v>17</v>
      </c>
      <c r="D26" s="6" t="s">
        <v>20</v>
      </c>
      <c r="E26" s="11">
        <v>1.7194999999999998E-2</v>
      </c>
      <c r="F26" s="1"/>
      <c r="G26" s="86" t="s">
        <v>7</v>
      </c>
      <c r="H26" s="87"/>
      <c r="I26" s="87"/>
      <c r="J26" s="87"/>
      <c r="K26" s="87"/>
      <c r="L26" s="87"/>
      <c r="M26" s="87"/>
      <c r="N26" s="88"/>
    </row>
    <row r="27" spans="2:14" ht="15" customHeight="1" x14ac:dyDescent="0.25">
      <c r="B27" s="20"/>
      <c r="C27" s="5" t="s">
        <v>125</v>
      </c>
      <c r="D27" s="6" t="s">
        <v>85</v>
      </c>
      <c r="E27" s="11">
        <v>1.1960999999999999E-2</v>
      </c>
      <c r="F27" s="1"/>
      <c r="G27" s="1"/>
      <c r="H27" s="1"/>
      <c r="I27" s="1"/>
      <c r="J27" s="1"/>
      <c r="K27" s="1"/>
      <c r="L27" s="1"/>
      <c r="M27" s="1"/>
      <c r="N27" s="18"/>
    </row>
    <row r="28" spans="2:14" ht="15" customHeight="1" x14ac:dyDescent="0.25">
      <c r="B28" s="20"/>
      <c r="C28" s="5" t="s">
        <v>64</v>
      </c>
      <c r="D28" s="6" t="s">
        <v>20</v>
      </c>
      <c r="E28" s="11">
        <v>9.325E-3</v>
      </c>
      <c r="F28" s="1"/>
      <c r="G28" s="1"/>
      <c r="H28" s="1"/>
      <c r="I28" s="1"/>
      <c r="J28" s="1"/>
      <c r="K28" s="1"/>
      <c r="L28" s="1"/>
      <c r="M28" s="1"/>
      <c r="N28" s="18"/>
    </row>
    <row r="29" spans="2:14" ht="15" customHeight="1" x14ac:dyDescent="0.25">
      <c r="B29" s="20"/>
      <c r="C29" s="5" t="s">
        <v>25</v>
      </c>
      <c r="D29" s="6" t="s">
        <v>20</v>
      </c>
      <c r="E29" s="11">
        <v>9.3229999999999997E-3</v>
      </c>
      <c r="F29" s="1"/>
      <c r="G29" s="1"/>
      <c r="H29" s="1"/>
      <c r="I29" s="1"/>
      <c r="J29" s="1"/>
      <c r="K29" s="1"/>
      <c r="L29" s="1"/>
      <c r="M29" s="1"/>
      <c r="N29" s="18"/>
    </row>
    <row r="30" spans="2:14" ht="15" customHeight="1" x14ac:dyDescent="0.25">
      <c r="B30" s="20"/>
      <c r="C30" s="5" t="s">
        <v>22</v>
      </c>
      <c r="D30" s="6" t="s">
        <v>20</v>
      </c>
      <c r="E30" s="11">
        <v>6.659E-3</v>
      </c>
      <c r="F30" s="1"/>
      <c r="G30" s="1"/>
      <c r="H30" s="1"/>
      <c r="I30" s="1"/>
      <c r="J30" s="1"/>
      <c r="K30" s="1"/>
      <c r="L30" s="1"/>
      <c r="M30" s="1"/>
      <c r="N30" s="18"/>
    </row>
    <row r="31" spans="2:14" ht="15" customHeight="1" x14ac:dyDescent="0.25">
      <c r="B31" s="20"/>
      <c r="C31" s="5" t="s">
        <v>139</v>
      </c>
      <c r="D31" s="6" t="s">
        <v>20</v>
      </c>
      <c r="E31" s="11">
        <v>6.6490000000000004E-3</v>
      </c>
      <c r="F31" s="1"/>
      <c r="G31" s="1"/>
      <c r="H31" s="1"/>
      <c r="I31" s="1"/>
      <c r="J31" s="1"/>
      <c r="K31" s="1"/>
      <c r="L31" s="1"/>
      <c r="M31" s="1"/>
      <c r="N31" s="18"/>
    </row>
    <row r="32" spans="2:14" ht="15" customHeight="1" x14ac:dyDescent="0.25">
      <c r="B32" s="20"/>
      <c r="C32" s="5" t="s">
        <v>57</v>
      </c>
      <c r="D32" s="6" t="s">
        <v>20</v>
      </c>
      <c r="E32" s="11">
        <v>1.323E-3</v>
      </c>
      <c r="F32" s="1"/>
      <c r="G32" s="1"/>
      <c r="H32" s="1"/>
      <c r="I32" s="1"/>
      <c r="J32" s="1"/>
      <c r="K32" s="1"/>
      <c r="L32" s="1"/>
      <c r="M32" s="1"/>
      <c r="N32" s="18"/>
    </row>
    <row r="33" spans="2:14" ht="15.75" customHeight="1" x14ac:dyDescent="0.25">
      <c r="B33" s="20"/>
      <c r="C33" s="7" t="s">
        <v>35</v>
      </c>
      <c r="D33" s="8"/>
      <c r="E33" s="12">
        <v>0.510961</v>
      </c>
      <c r="F33" s="1"/>
      <c r="G33" s="1"/>
      <c r="H33" s="1"/>
      <c r="I33" s="1"/>
      <c r="J33" s="1"/>
      <c r="K33" s="1"/>
      <c r="L33" s="1"/>
      <c r="M33" s="1"/>
      <c r="N33" s="18"/>
    </row>
    <row r="34" spans="2:14" ht="15" customHeight="1" x14ac:dyDescent="0.25">
      <c r="B34" s="20"/>
      <c r="C34" s="5" t="s">
        <v>36</v>
      </c>
      <c r="D34" s="6"/>
      <c r="E34" s="11">
        <v>2.7139999999999998E-3</v>
      </c>
      <c r="F34" s="1"/>
      <c r="G34" s="1"/>
      <c r="H34" s="1"/>
      <c r="I34" s="1"/>
      <c r="J34" s="1"/>
      <c r="K34" s="1"/>
      <c r="L34" s="1"/>
      <c r="M34" s="1"/>
      <c r="N34" s="18"/>
    </row>
    <row r="35" spans="2:14" ht="15.75" customHeight="1" x14ac:dyDescent="0.25">
      <c r="B35" s="20"/>
      <c r="C35" s="7" t="s">
        <v>37</v>
      </c>
      <c r="D35" s="8"/>
      <c r="E35" s="12">
        <v>2.7139999999999998E-3</v>
      </c>
      <c r="F35" s="1"/>
      <c r="G35" s="1"/>
      <c r="H35" s="1"/>
      <c r="I35" s="1"/>
      <c r="J35" s="1"/>
      <c r="K35" s="1"/>
      <c r="L35" s="1"/>
      <c r="M35" s="1"/>
      <c r="N35" s="18"/>
    </row>
    <row r="36" spans="2:14" ht="15" customHeight="1" x14ac:dyDescent="0.25">
      <c r="B36" s="20"/>
      <c r="C36" s="5" t="s">
        <v>148</v>
      </c>
      <c r="D36" s="6" t="s">
        <v>184</v>
      </c>
      <c r="E36" s="11">
        <v>6.7752999999999994E-2</v>
      </c>
      <c r="F36" s="1"/>
      <c r="G36" s="1"/>
      <c r="H36" s="1"/>
      <c r="I36" s="1"/>
      <c r="J36" s="1"/>
      <c r="K36" s="1"/>
      <c r="L36" s="1"/>
      <c r="M36" s="1"/>
      <c r="N36" s="18"/>
    </row>
    <row r="37" spans="2:14" ht="15" customHeight="1" x14ac:dyDescent="0.25">
      <c r="B37" s="20"/>
      <c r="C37" s="5" t="s">
        <v>155</v>
      </c>
      <c r="D37" s="6" t="s">
        <v>184</v>
      </c>
      <c r="E37" s="11">
        <v>4.0400000000000001E-4</v>
      </c>
      <c r="F37" s="1"/>
      <c r="G37" s="1"/>
      <c r="H37" s="1"/>
      <c r="I37" s="1"/>
      <c r="J37" s="1"/>
      <c r="K37" s="1"/>
      <c r="L37" s="1"/>
      <c r="M37" s="1"/>
      <c r="N37" s="18"/>
    </row>
    <row r="38" spans="2:14" ht="15.75" customHeight="1" x14ac:dyDescent="0.25">
      <c r="B38" s="20"/>
      <c r="C38" s="7" t="s">
        <v>160</v>
      </c>
      <c r="D38" s="8"/>
      <c r="E38" s="12">
        <v>6.8156999999999995E-2</v>
      </c>
      <c r="F38" s="1"/>
      <c r="G38" s="1"/>
      <c r="H38" s="1"/>
      <c r="I38" s="1"/>
      <c r="J38" s="1"/>
      <c r="K38" s="1"/>
      <c r="L38" s="1"/>
      <c r="M38" s="1"/>
      <c r="N38" s="18"/>
    </row>
    <row r="39" spans="2:14" ht="15" customHeight="1" x14ac:dyDescent="0.25">
      <c r="B39" s="20"/>
      <c r="C39" s="5" t="s">
        <v>46</v>
      </c>
      <c r="D39" s="6"/>
      <c r="E39" s="11">
        <v>0.11543399999999999</v>
      </c>
      <c r="F39" s="1"/>
      <c r="G39" s="1"/>
      <c r="H39" s="1"/>
      <c r="I39" s="1"/>
      <c r="J39" s="1"/>
      <c r="K39" s="1"/>
      <c r="L39" s="1"/>
      <c r="M39" s="1"/>
      <c r="N39" s="18"/>
    </row>
    <row r="40" spans="2:14" ht="15.75" customHeight="1" x14ac:dyDescent="0.25">
      <c r="B40" s="20"/>
      <c r="C40" s="7" t="s">
        <v>47</v>
      </c>
      <c r="D40" s="8"/>
      <c r="E40" s="12">
        <v>0.11543399999999999</v>
      </c>
      <c r="F40" s="1"/>
      <c r="G40" s="1"/>
      <c r="H40" s="1"/>
      <c r="I40" s="1"/>
      <c r="J40" s="1"/>
      <c r="K40" s="1"/>
      <c r="L40" s="1"/>
      <c r="M40" s="1"/>
      <c r="N40" s="18"/>
    </row>
    <row r="41" spans="2:14" ht="15" customHeight="1" x14ac:dyDescent="0.25">
      <c r="B41" s="20"/>
      <c r="C41" s="5" t="s">
        <v>68</v>
      </c>
      <c r="D41" s="6" t="s">
        <v>20</v>
      </c>
      <c r="E41" s="11">
        <v>6.4429999999999999E-3</v>
      </c>
      <c r="F41" s="1"/>
      <c r="G41" s="1"/>
      <c r="H41" s="1"/>
      <c r="I41" s="1"/>
      <c r="J41" s="1"/>
      <c r="K41" s="1"/>
      <c r="L41" s="1"/>
      <c r="M41" s="1"/>
      <c r="N41" s="18"/>
    </row>
    <row r="42" spans="2:14" ht="15.75" customHeight="1" x14ac:dyDescent="0.25">
      <c r="B42" s="20"/>
      <c r="C42" s="7" t="s">
        <v>76</v>
      </c>
      <c r="D42" s="8"/>
      <c r="E42" s="12">
        <v>6.4429999999999999E-3</v>
      </c>
      <c r="F42" s="1"/>
      <c r="G42" s="1"/>
      <c r="H42" s="1"/>
      <c r="I42" s="1"/>
      <c r="J42" s="1"/>
      <c r="K42" s="1"/>
      <c r="L42" s="1"/>
      <c r="M42" s="1"/>
      <c r="N42" s="18"/>
    </row>
    <row r="43" spans="2:14" ht="15" customHeight="1" x14ac:dyDescent="0.25">
      <c r="B43" s="20"/>
      <c r="C43" s="5"/>
      <c r="D43" s="6"/>
      <c r="E43" s="11"/>
      <c r="F43" s="1"/>
      <c r="G43" s="1"/>
      <c r="H43" s="1"/>
      <c r="I43" s="1"/>
      <c r="J43" s="1"/>
      <c r="K43" s="1"/>
      <c r="L43" s="1"/>
      <c r="M43" s="1"/>
      <c r="N43" s="18"/>
    </row>
    <row r="44" spans="2:14" ht="15.75" customHeight="1" x14ac:dyDescent="0.25">
      <c r="B44" s="20"/>
      <c r="C44" s="7" t="s">
        <v>48</v>
      </c>
      <c r="D44" s="8"/>
      <c r="E44" s="12">
        <v>2.4294E-2</v>
      </c>
      <c r="F44" s="1"/>
      <c r="G44" s="1"/>
      <c r="H44" s="1"/>
      <c r="I44" s="1"/>
      <c r="J44" s="1"/>
      <c r="K44" s="1"/>
      <c r="L44" s="1"/>
      <c r="M44" s="1"/>
      <c r="N44" s="18"/>
    </row>
    <row r="45" spans="2:14" ht="15" customHeight="1" x14ac:dyDescent="0.25">
      <c r="B45" s="20"/>
      <c r="C45" s="5"/>
      <c r="D45" s="6"/>
      <c r="E45" s="11"/>
      <c r="F45" s="1"/>
      <c r="G45" s="1"/>
      <c r="H45" s="1"/>
      <c r="I45" s="1"/>
      <c r="J45" s="1"/>
      <c r="K45" s="1"/>
      <c r="L45" s="1"/>
      <c r="M45" s="1"/>
      <c r="N45" s="18"/>
    </row>
    <row r="46" spans="2:14" ht="15" customHeight="1" x14ac:dyDescent="0.25">
      <c r="B46" s="20"/>
      <c r="C46" s="9" t="s">
        <v>49</v>
      </c>
      <c r="D46" s="10"/>
      <c r="E46" s="13">
        <v>1</v>
      </c>
      <c r="F46" s="1"/>
      <c r="G46" s="1"/>
      <c r="H46" s="1"/>
      <c r="I46" s="1"/>
      <c r="J46" s="1"/>
      <c r="K46" s="1"/>
      <c r="L46" s="1"/>
      <c r="M46" s="1"/>
      <c r="N46" s="18"/>
    </row>
    <row r="47" spans="2:14" ht="15" customHeight="1" x14ac:dyDescent="0.25">
      <c r="B47" s="20"/>
      <c r="C47" s="1"/>
      <c r="D47" s="1"/>
      <c r="E47" s="1"/>
      <c r="F47" s="1"/>
      <c r="G47" s="1"/>
      <c r="H47" s="1"/>
      <c r="I47" s="1"/>
      <c r="J47" s="1"/>
      <c r="K47" s="1"/>
      <c r="L47" s="1"/>
      <c r="M47" s="1"/>
      <c r="N47" s="18"/>
    </row>
    <row r="48" spans="2:14" ht="15" customHeight="1" thickBot="1" x14ac:dyDescent="0.3">
      <c r="B48" s="21"/>
      <c r="C48" s="22"/>
      <c r="D48" s="22"/>
      <c r="E48" s="22"/>
      <c r="F48" s="22"/>
      <c r="G48" s="22"/>
      <c r="H48" s="22"/>
      <c r="I48" s="22"/>
      <c r="J48" s="22"/>
      <c r="K48" s="22"/>
      <c r="L48" s="22"/>
      <c r="M48" s="22"/>
      <c r="N48" s="23"/>
    </row>
    <row r="49" spans="2:14" ht="15" customHeight="1" thickBot="1" x14ac:dyDescent="0.3"/>
    <row r="50" spans="2:14" ht="15" customHeight="1" x14ac:dyDescent="0.25">
      <c r="B50" s="69" t="s">
        <v>274</v>
      </c>
      <c r="C50" s="70"/>
      <c r="D50" s="70"/>
      <c r="E50" s="70"/>
      <c r="F50" s="70"/>
      <c r="G50" s="70"/>
      <c r="H50" s="70"/>
      <c r="I50" s="70"/>
      <c r="J50" s="70"/>
      <c r="K50" s="70"/>
      <c r="L50" s="70"/>
      <c r="M50" s="70"/>
      <c r="N50" s="71"/>
    </row>
    <row r="51" spans="2:14" ht="15" customHeight="1" x14ac:dyDescent="0.25">
      <c r="B51" s="72"/>
      <c r="C51" s="73"/>
      <c r="D51" s="73"/>
      <c r="E51" s="73"/>
      <c r="F51" s="73"/>
      <c r="G51" s="73"/>
      <c r="H51" s="73"/>
      <c r="I51" s="73"/>
      <c r="J51" s="73"/>
      <c r="K51" s="73"/>
      <c r="L51" s="73"/>
      <c r="M51" s="73"/>
      <c r="N51" s="74"/>
    </row>
    <row r="52" spans="2:14" ht="15" customHeight="1" x14ac:dyDescent="0.25">
      <c r="B52" s="72"/>
      <c r="C52" s="73"/>
      <c r="D52" s="73"/>
      <c r="E52" s="73"/>
      <c r="F52" s="73"/>
      <c r="G52" s="73"/>
      <c r="H52" s="73"/>
      <c r="I52" s="73"/>
      <c r="J52" s="73"/>
      <c r="K52" s="73"/>
      <c r="L52" s="73"/>
      <c r="M52" s="73"/>
      <c r="N52" s="74"/>
    </row>
    <row r="53" spans="2:14" ht="15" customHeight="1" thickBot="1" x14ac:dyDescent="0.3">
      <c r="B53" s="75"/>
      <c r="C53" s="76"/>
      <c r="D53" s="76"/>
      <c r="E53" s="76"/>
      <c r="F53" s="76"/>
      <c r="G53" s="76"/>
      <c r="H53" s="76"/>
      <c r="I53" s="76"/>
      <c r="J53" s="76"/>
      <c r="K53" s="76"/>
      <c r="L53" s="76"/>
      <c r="M53" s="76"/>
      <c r="N53" s="77"/>
    </row>
    <row r="54" spans="2:14" ht="15" customHeight="1" thickBot="1" x14ac:dyDescent="0.3"/>
    <row r="55" spans="2:14" ht="131.25" customHeight="1" thickBot="1" x14ac:dyDescent="0.3">
      <c r="B55" s="78" t="s">
        <v>273</v>
      </c>
      <c r="C55" s="79"/>
      <c r="D55" s="79"/>
      <c r="E55" s="79"/>
      <c r="F55" s="79"/>
      <c r="G55" s="79"/>
      <c r="H55" s="79"/>
      <c r="I55" s="79"/>
      <c r="J55" s="79"/>
      <c r="K55" s="79"/>
      <c r="L55" s="79"/>
      <c r="M55" s="79"/>
      <c r="N55" s="80"/>
    </row>
    <row r="56" spans="2:14" ht="15" customHeight="1" x14ac:dyDescent="0.25"/>
    <row r="57" spans="2:14" ht="15" customHeight="1" x14ac:dyDescent="0.25"/>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sheetData>
  <mergeCells count="7">
    <mergeCell ref="B50:N53"/>
    <mergeCell ref="B55:N55"/>
    <mergeCell ref="C3:N3"/>
    <mergeCell ref="D5:E5"/>
    <mergeCell ref="G7:N7"/>
    <mergeCell ref="G24:K24"/>
    <mergeCell ref="G26:N2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6D6A0-E08E-4625-A90E-E42CCA0EDCB4}">
  <dimension ref="B1:N50"/>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120</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9</v>
      </c>
      <c r="D5" s="84" t="s">
        <v>121</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36</v>
      </c>
      <c r="D8" s="6"/>
      <c r="E8" s="11">
        <v>2.4919999999999999E-3</v>
      </c>
      <c r="F8" s="1"/>
      <c r="G8" s="24" t="s">
        <v>4</v>
      </c>
      <c r="H8" s="25">
        <v>1</v>
      </c>
      <c r="I8" s="1"/>
      <c r="J8" s="24" t="s">
        <v>50</v>
      </c>
      <c r="K8" s="24" t="s">
        <v>3</v>
      </c>
      <c r="L8" s="1"/>
      <c r="M8" s="1"/>
      <c r="N8" s="18"/>
    </row>
    <row r="9" spans="2:14" ht="15.75" customHeight="1" x14ac:dyDescent="0.25">
      <c r="B9" s="20"/>
      <c r="C9" s="7" t="s">
        <v>37</v>
      </c>
      <c r="D9" s="8"/>
      <c r="E9" s="12">
        <v>2.4919999999999999E-3</v>
      </c>
      <c r="F9" s="1"/>
      <c r="G9" s="1"/>
      <c r="H9" s="1"/>
      <c r="I9" s="1"/>
      <c r="J9" s="24" t="s">
        <v>48</v>
      </c>
      <c r="K9" s="30">
        <v>2.555E-3</v>
      </c>
      <c r="L9" s="1"/>
      <c r="M9" s="1"/>
      <c r="N9" s="18"/>
    </row>
    <row r="10" spans="2:14" ht="15" customHeight="1" x14ac:dyDescent="0.25">
      <c r="B10" s="20"/>
      <c r="C10" s="5" t="s">
        <v>58</v>
      </c>
      <c r="D10" s="6" t="s">
        <v>184</v>
      </c>
      <c r="E10" s="11">
        <v>0.99228700000000003</v>
      </c>
      <c r="F10" s="1"/>
      <c r="G10" s="1"/>
      <c r="H10" s="1"/>
      <c r="I10" s="1"/>
      <c r="J10" s="24" t="s">
        <v>51</v>
      </c>
      <c r="K10" s="30">
        <v>2.5839999999999999E-3</v>
      </c>
      <c r="L10" s="1"/>
      <c r="M10" s="1"/>
      <c r="N10" s="18"/>
    </row>
    <row r="11" spans="2:14" ht="15" customHeight="1" x14ac:dyDescent="0.25">
      <c r="B11" s="20"/>
      <c r="C11" s="5" t="s">
        <v>113</v>
      </c>
      <c r="D11" s="6" t="s">
        <v>184</v>
      </c>
      <c r="E11" s="31">
        <v>4.1E-5</v>
      </c>
      <c r="F11" s="1"/>
      <c r="G11" s="1"/>
      <c r="H11" s="1"/>
      <c r="I11" s="1"/>
      <c r="J11" s="24" t="s">
        <v>36</v>
      </c>
      <c r="K11" s="30">
        <v>2.4919999999999999E-3</v>
      </c>
      <c r="L11" s="1"/>
      <c r="M11" s="1"/>
      <c r="N11" s="18"/>
    </row>
    <row r="12" spans="2:14" ht="15" customHeight="1" x14ac:dyDescent="0.25">
      <c r="B12" s="20"/>
      <c r="C12" s="5" t="s">
        <v>122</v>
      </c>
      <c r="D12" s="6" t="s">
        <v>184</v>
      </c>
      <c r="E12" s="31">
        <v>4.1E-5</v>
      </c>
      <c r="F12" s="1"/>
      <c r="G12" s="1"/>
      <c r="H12" s="1"/>
      <c r="I12" s="1"/>
      <c r="J12" s="24" t="s">
        <v>54</v>
      </c>
      <c r="K12" s="30">
        <v>0.99236899999999995</v>
      </c>
      <c r="L12" s="1"/>
      <c r="M12" s="1"/>
      <c r="N12" s="18"/>
    </row>
    <row r="13" spans="2:14" ht="15.75" customHeight="1" x14ac:dyDescent="0.25">
      <c r="B13" s="20"/>
      <c r="C13" s="7" t="s">
        <v>44</v>
      </c>
      <c r="D13" s="8"/>
      <c r="E13" s="12">
        <v>0.99236899999999995</v>
      </c>
      <c r="F13" s="1"/>
      <c r="G13" s="1"/>
      <c r="H13" s="1"/>
      <c r="I13" s="1"/>
      <c r="J13" s="1"/>
      <c r="K13" s="1"/>
      <c r="L13" s="1"/>
      <c r="M13" s="1"/>
      <c r="N13" s="18"/>
    </row>
    <row r="14" spans="2:14" ht="15" customHeight="1" x14ac:dyDescent="0.25">
      <c r="B14" s="20"/>
      <c r="C14" s="5" t="s">
        <v>46</v>
      </c>
      <c r="D14" s="6"/>
      <c r="E14" s="11">
        <v>2.5839999999999999E-3</v>
      </c>
      <c r="F14" s="1"/>
      <c r="G14" s="1"/>
      <c r="H14" s="1"/>
      <c r="I14" s="1"/>
      <c r="J14" s="1"/>
      <c r="K14" s="1"/>
      <c r="L14" s="1"/>
      <c r="M14" s="1"/>
      <c r="N14" s="18"/>
    </row>
    <row r="15" spans="2:14" ht="15.75" customHeight="1" x14ac:dyDescent="0.25">
      <c r="B15" s="20"/>
      <c r="C15" s="7" t="s">
        <v>47</v>
      </c>
      <c r="D15" s="8"/>
      <c r="E15" s="12">
        <v>2.5839999999999999E-3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48</v>
      </c>
      <c r="D17" s="8"/>
      <c r="E17" s="12">
        <v>2.555E-3</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49</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6" t="s">
        <v>6</v>
      </c>
      <c r="H24" s="87"/>
      <c r="I24" s="87"/>
      <c r="J24" s="87"/>
      <c r="K24" s="87"/>
      <c r="L24" s="26">
        <v>28.990792360248996</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6" t="s">
        <v>7</v>
      </c>
      <c r="H26" s="87"/>
      <c r="I26" s="87"/>
      <c r="J26" s="87"/>
      <c r="K26" s="87"/>
      <c r="L26" s="87"/>
      <c r="M26" s="87"/>
      <c r="N26" s="88"/>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x14ac:dyDescent="0.25">
      <c r="B45" s="69" t="s">
        <v>274</v>
      </c>
      <c r="C45" s="70"/>
      <c r="D45" s="70"/>
      <c r="E45" s="70"/>
      <c r="F45" s="70"/>
      <c r="G45" s="70"/>
      <c r="H45" s="70"/>
      <c r="I45" s="70"/>
      <c r="J45" s="70"/>
      <c r="K45" s="70"/>
      <c r="L45" s="70"/>
      <c r="M45" s="70"/>
      <c r="N45" s="71"/>
    </row>
    <row r="46" spans="2:14" x14ac:dyDescent="0.25">
      <c r="B46" s="72"/>
      <c r="C46" s="73"/>
      <c r="D46" s="73"/>
      <c r="E46" s="73"/>
      <c r="F46" s="73"/>
      <c r="G46" s="73"/>
      <c r="H46" s="73"/>
      <c r="I46" s="73"/>
      <c r="J46" s="73"/>
      <c r="K46" s="73"/>
      <c r="L46" s="73"/>
      <c r="M46" s="73"/>
      <c r="N46" s="74"/>
    </row>
    <row r="47" spans="2:14" x14ac:dyDescent="0.25">
      <c r="B47" s="72"/>
      <c r="C47" s="73"/>
      <c r="D47" s="73"/>
      <c r="E47" s="73"/>
      <c r="F47" s="73"/>
      <c r="G47" s="73"/>
      <c r="H47" s="73"/>
      <c r="I47" s="73"/>
      <c r="J47" s="73"/>
      <c r="K47" s="73"/>
      <c r="L47" s="73"/>
      <c r="M47" s="73"/>
      <c r="N47" s="74"/>
    </row>
    <row r="48" spans="2:14" ht="15.75" thickBot="1" x14ac:dyDescent="0.3">
      <c r="B48" s="75"/>
      <c r="C48" s="76"/>
      <c r="D48" s="76"/>
      <c r="E48" s="76"/>
      <c r="F48" s="76"/>
      <c r="G48" s="76"/>
      <c r="H48" s="76"/>
      <c r="I48" s="76"/>
      <c r="J48" s="76"/>
      <c r="K48" s="76"/>
      <c r="L48" s="76"/>
      <c r="M48" s="76"/>
      <c r="N48" s="77"/>
    </row>
    <row r="49" spans="2:14" ht="15.75" thickBot="1" x14ac:dyDescent="0.3"/>
    <row r="50" spans="2:14" ht="137.25" customHeight="1" thickBot="1" x14ac:dyDescent="0.3">
      <c r="B50" s="78" t="s">
        <v>273</v>
      </c>
      <c r="C50" s="79"/>
      <c r="D50" s="79"/>
      <c r="E50" s="79"/>
      <c r="F50" s="79"/>
      <c r="G50" s="79"/>
      <c r="H50" s="79"/>
      <c r="I50" s="79"/>
      <c r="J50" s="79"/>
      <c r="K50" s="79"/>
      <c r="L50" s="79"/>
      <c r="M50" s="79"/>
      <c r="N50" s="80"/>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33CC0-E70C-4DA4-B758-EBEF2669CE52}">
  <dimension ref="B1:N50"/>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56</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9</v>
      </c>
      <c r="D5" s="84" t="s">
        <v>271</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21</v>
      </c>
      <c r="D8" s="6" t="s">
        <v>12</v>
      </c>
      <c r="E8" s="11">
        <v>6.6193000000000002E-2</v>
      </c>
      <c r="F8" s="1"/>
      <c r="G8" s="24" t="s">
        <v>4</v>
      </c>
      <c r="H8" s="25">
        <v>1</v>
      </c>
      <c r="I8" s="1"/>
      <c r="J8" s="24" t="s">
        <v>50</v>
      </c>
      <c r="K8" s="24" t="s">
        <v>3</v>
      </c>
      <c r="L8" s="1"/>
      <c r="M8" s="1"/>
      <c r="N8" s="18"/>
    </row>
    <row r="9" spans="2:14" ht="15" customHeight="1" x14ac:dyDescent="0.25">
      <c r="B9" s="20"/>
      <c r="C9" s="5" t="s">
        <v>13</v>
      </c>
      <c r="D9" s="6" t="s">
        <v>12</v>
      </c>
      <c r="E9" s="11">
        <v>4.8802999999999999E-2</v>
      </c>
      <c r="F9" s="1"/>
      <c r="G9" s="1"/>
      <c r="H9" s="1"/>
      <c r="I9" s="1"/>
      <c r="J9" s="24" t="s">
        <v>48</v>
      </c>
      <c r="K9" s="30">
        <v>1.9736E-2</v>
      </c>
      <c r="L9" s="1"/>
      <c r="M9" s="1"/>
      <c r="N9" s="18"/>
    </row>
    <row r="10" spans="2:14" ht="15.75" customHeight="1" x14ac:dyDescent="0.25">
      <c r="B10" s="20"/>
      <c r="C10" s="7" t="s">
        <v>18</v>
      </c>
      <c r="D10" s="8"/>
      <c r="E10" s="12">
        <v>0.114996</v>
      </c>
      <c r="F10" s="1"/>
      <c r="G10" s="1"/>
      <c r="H10" s="1"/>
      <c r="I10" s="1"/>
      <c r="J10" s="24" t="s">
        <v>51</v>
      </c>
      <c r="K10" s="30">
        <v>1.261E-2</v>
      </c>
      <c r="L10" s="1"/>
      <c r="M10" s="1"/>
      <c r="N10" s="18"/>
    </row>
    <row r="11" spans="2:14" ht="15" customHeight="1" x14ac:dyDescent="0.25">
      <c r="B11" s="20"/>
      <c r="C11" s="5" t="s">
        <v>57</v>
      </c>
      <c r="D11" s="6" t="s">
        <v>20</v>
      </c>
      <c r="E11" s="11">
        <v>8.5242999999999999E-2</v>
      </c>
      <c r="F11" s="1"/>
      <c r="G11" s="1"/>
      <c r="H11" s="1"/>
      <c r="I11" s="1"/>
      <c r="J11" s="24" t="s">
        <v>52</v>
      </c>
      <c r="K11" s="30">
        <v>0.114996</v>
      </c>
      <c r="L11" s="1"/>
      <c r="M11" s="1"/>
      <c r="N11" s="18"/>
    </row>
    <row r="12" spans="2:14" ht="15" customHeight="1" x14ac:dyDescent="0.25">
      <c r="B12" s="20"/>
      <c r="C12" s="5" t="s">
        <v>26</v>
      </c>
      <c r="D12" s="6" t="s">
        <v>20</v>
      </c>
      <c r="E12" s="11">
        <v>5.0921000000000001E-2</v>
      </c>
      <c r="F12" s="1"/>
      <c r="G12" s="1"/>
      <c r="H12" s="1"/>
      <c r="I12" s="1"/>
      <c r="J12" s="24" t="s">
        <v>53</v>
      </c>
      <c r="K12" s="30">
        <v>0.19073699999999999</v>
      </c>
      <c r="L12" s="1"/>
      <c r="M12" s="1"/>
      <c r="N12" s="18"/>
    </row>
    <row r="13" spans="2:14" ht="15" customHeight="1" x14ac:dyDescent="0.25">
      <c r="B13" s="20"/>
      <c r="C13" s="5" t="s">
        <v>19</v>
      </c>
      <c r="D13" s="6" t="s">
        <v>20</v>
      </c>
      <c r="E13" s="11">
        <v>5.0603000000000002E-2</v>
      </c>
      <c r="F13" s="1"/>
      <c r="G13" s="1"/>
      <c r="H13" s="1"/>
      <c r="I13" s="1"/>
      <c r="J13" s="24" t="s">
        <v>36</v>
      </c>
      <c r="K13" s="30">
        <v>2.6329999999999999E-3</v>
      </c>
      <c r="L13" s="1"/>
      <c r="M13" s="1"/>
      <c r="N13" s="18"/>
    </row>
    <row r="14" spans="2:14" ht="15" customHeight="1" x14ac:dyDescent="0.25">
      <c r="B14" s="20"/>
      <c r="C14" s="5" t="s">
        <v>24</v>
      </c>
      <c r="D14" s="6" t="s">
        <v>20</v>
      </c>
      <c r="E14" s="11">
        <v>3.9699999999999996E-3</v>
      </c>
      <c r="F14" s="1"/>
      <c r="G14" s="1"/>
      <c r="H14" s="1"/>
      <c r="I14" s="1"/>
      <c r="J14" s="24" t="s">
        <v>54</v>
      </c>
      <c r="K14" s="30">
        <v>0.65928799999999999</v>
      </c>
      <c r="L14" s="1"/>
      <c r="M14" s="1"/>
      <c r="N14" s="18"/>
    </row>
    <row r="15" spans="2:14" ht="15.75" customHeight="1" x14ac:dyDescent="0.25">
      <c r="B15" s="20"/>
      <c r="C15" s="7" t="s">
        <v>35</v>
      </c>
      <c r="D15" s="8"/>
      <c r="E15" s="12">
        <v>0.19073699999999999</v>
      </c>
      <c r="F15" s="1"/>
      <c r="G15" s="1"/>
      <c r="H15" s="1"/>
      <c r="I15" s="1"/>
      <c r="J15" s="1"/>
      <c r="K15" s="1"/>
      <c r="L15" s="1"/>
      <c r="M15" s="1"/>
      <c r="N15" s="18"/>
    </row>
    <row r="16" spans="2:14" ht="15" customHeight="1" x14ac:dyDescent="0.25">
      <c r="B16" s="20"/>
      <c r="C16" s="5" t="s">
        <v>36</v>
      </c>
      <c r="D16" s="6"/>
      <c r="E16" s="11">
        <v>2.6329999999999999E-3</v>
      </c>
      <c r="F16" s="1"/>
      <c r="G16" s="1"/>
      <c r="H16" s="1"/>
      <c r="I16" s="1"/>
      <c r="J16" s="1"/>
      <c r="K16" s="1"/>
      <c r="L16" s="1"/>
      <c r="M16" s="1"/>
      <c r="N16" s="18"/>
    </row>
    <row r="17" spans="2:14" ht="15.75" customHeight="1" x14ac:dyDescent="0.25">
      <c r="B17" s="20"/>
      <c r="C17" s="7" t="s">
        <v>37</v>
      </c>
      <c r="D17" s="8"/>
      <c r="E17" s="12">
        <v>2.6329999999999999E-3</v>
      </c>
      <c r="F17" s="1"/>
      <c r="G17" s="1"/>
      <c r="H17" s="1"/>
      <c r="I17" s="1"/>
      <c r="J17" s="1"/>
      <c r="K17" s="1"/>
      <c r="L17" s="1"/>
      <c r="M17" s="1"/>
      <c r="N17" s="18"/>
    </row>
    <row r="18" spans="2:14" ht="15" customHeight="1" x14ac:dyDescent="0.25">
      <c r="B18" s="20"/>
      <c r="C18" s="5" t="s">
        <v>58</v>
      </c>
      <c r="D18" s="6" t="s">
        <v>184</v>
      </c>
      <c r="E18" s="11">
        <v>0.35380099999999998</v>
      </c>
      <c r="F18" s="1"/>
      <c r="G18" s="1"/>
      <c r="H18" s="1"/>
      <c r="I18" s="1"/>
      <c r="J18" s="1"/>
      <c r="K18" s="1"/>
      <c r="L18" s="1"/>
      <c r="M18" s="1"/>
      <c r="N18" s="18"/>
    </row>
    <row r="19" spans="2:14" ht="15" customHeight="1" x14ac:dyDescent="0.25">
      <c r="B19" s="20"/>
      <c r="C19" s="5" t="s">
        <v>38</v>
      </c>
      <c r="D19" s="6" t="s">
        <v>184</v>
      </c>
      <c r="E19" s="11">
        <v>0.26391500000000001</v>
      </c>
      <c r="F19" s="1"/>
      <c r="G19" s="1"/>
      <c r="H19" s="1"/>
      <c r="I19" s="1"/>
      <c r="J19" s="1"/>
      <c r="K19" s="1"/>
      <c r="L19" s="1"/>
      <c r="M19" s="1"/>
      <c r="N19" s="18"/>
    </row>
    <row r="20" spans="2:14" ht="15" customHeight="1" x14ac:dyDescent="0.25">
      <c r="B20" s="20"/>
      <c r="C20" s="5" t="s">
        <v>39</v>
      </c>
      <c r="D20" s="6" t="s">
        <v>184</v>
      </c>
      <c r="E20" s="11">
        <v>2.8811E-2</v>
      </c>
      <c r="F20" s="1"/>
      <c r="G20" s="1"/>
      <c r="H20" s="1"/>
      <c r="I20" s="1"/>
      <c r="J20" s="1"/>
      <c r="K20" s="1"/>
      <c r="L20" s="1"/>
      <c r="M20" s="1"/>
      <c r="N20" s="18"/>
    </row>
    <row r="21" spans="2:14" ht="15" customHeight="1" x14ac:dyDescent="0.25">
      <c r="B21" s="20"/>
      <c r="C21" s="5" t="s">
        <v>40</v>
      </c>
      <c r="D21" s="6" t="s">
        <v>184</v>
      </c>
      <c r="E21" s="11">
        <v>9.9290000000000003E-3</v>
      </c>
      <c r="F21" s="1"/>
      <c r="G21" s="1"/>
      <c r="H21" s="1"/>
      <c r="I21" s="1"/>
      <c r="J21" s="1"/>
      <c r="K21" s="1"/>
      <c r="L21" s="1"/>
      <c r="M21" s="1"/>
      <c r="N21" s="18"/>
    </row>
    <row r="22" spans="2:14" ht="15" customHeight="1" x14ac:dyDescent="0.25">
      <c r="B22" s="20"/>
      <c r="C22" s="5" t="s">
        <v>59</v>
      </c>
      <c r="D22" s="6" t="s">
        <v>184</v>
      </c>
      <c r="E22" s="11">
        <v>2.029E-3</v>
      </c>
      <c r="F22" s="1"/>
      <c r="G22" s="1"/>
      <c r="H22" s="1"/>
      <c r="I22" s="1"/>
      <c r="J22" s="1"/>
      <c r="K22" s="1"/>
      <c r="L22" s="1"/>
      <c r="M22" s="1"/>
      <c r="N22" s="18"/>
    </row>
    <row r="23" spans="2:14" ht="15" customHeight="1" x14ac:dyDescent="0.25">
      <c r="B23" s="20"/>
      <c r="C23" s="5" t="s">
        <v>60</v>
      </c>
      <c r="D23" s="6" t="s">
        <v>184</v>
      </c>
      <c r="E23" s="11">
        <v>8.03E-4</v>
      </c>
      <c r="F23" s="1"/>
      <c r="G23" s="1"/>
      <c r="H23" s="1"/>
      <c r="I23" s="1"/>
      <c r="J23" s="1"/>
      <c r="K23" s="1"/>
      <c r="L23" s="1"/>
      <c r="M23" s="1"/>
      <c r="N23" s="18"/>
    </row>
    <row r="24" spans="2:14" ht="15.75" customHeight="1" x14ac:dyDescent="0.25">
      <c r="B24" s="20"/>
      <c r="C24" s="7" t="s">
        <v>44</v>
      </c>
      <c r="D24" s="8"/>
      <c r="E24" s="12">
        <v>0.65928799999999999</v>
      </c>
      <c r="F24" s="1"/>
      <c r="G24" s="86" t="s">
        <v>6</v>
      </c>
      <c r="H24" s="87"/>
      <c r="I24" s="87"/>
      <c r="J24" s="87"/>
      <c r="K24" s="87"/>
      <c r="L24" s="26">
        <v>13.59935239039466</v>
      </c>
      <c r="M24" s="27"/>
      <c r="N24" s="28"/>
    </row>
    <row r="25" spans="2:14" ht="15" customHeight="1" x14ac:dyDescent="0.25">
      <c r="B25" s="20"/>
      <c r="C25" s="5" t="s">
        <v>46</v>
      </c>
      <c r="D25" s="6"/>
      <c r="E25" s="11">
        <v>1.261E-2</v>
      </c>
      <c r="F25" s="1"/>
      <c r="G25" s="1"/>
      <c r="H25" s="1"/>
      <c r="I25" s="1"/>
      <c r="J25" s="1"/>
      <c r="K25" s="1"/>
      <c r="L25" s="1"/>
      <c r="M25" s="1"/>
      <c r="N25" s="18"/>
    </row>
    <row r="26" spans="2:14" ht="15.75" customHeight="1" x14ac:dyDescent="0.25">
      <c r="B26" s="20"/>
      <c r="C26" s="7" t="s">
        <v>47</v>
      </c>
      <c r="D26" s="8"/>
      <c r="E26" s="12">
        <v>1.261E-2</v>
      </c>
      <c r="F26" s="1"/>
      <c r="G26" s="86" t="s">
        <v>7</v>
      </c>
      <c r="H26" s="87"/>
      <c r="I26" s="87"/>
      <c r="J26" s="87"/>
      <c r="K26" s="87"/>
      <c r="L26" s="87"/>
      <c r="M26" s="87"/>
      <c r="N26" s="88"/>
    </row>
    <row r="27" spans="2:14" ht="15" customHeight="1" x14ac:dyDescent="0.25">
      <c r="B27" s="20"/>
      <c r="C27" s="5"/>
      <c r="D27" s="6"/>
      <c r="E27" s="11"/>
      <c r="F27" s="1"/>
      <c r="G27" s="1"/>
      <c r="H27" s="1"/>
      <c r="I27" s="1"/>
      <c r="J27" s="1"/>
      <c r="K27" s="1"/>
      <c r="L27" s="1"/>
      <c r="M27" s="1"/>
      <c r="N27" s="18"/>
    </row>
    <row r="28" spans="2:14" ht="15.75" customHeight="1" x14ac:dyDescent="0.25">
      <c r="B28" s="20"/>
      <c r="C28" s="7" t="s">
        <v>48</v>
      </c>
      <c r="D28" s="8"/>
      <c r="E28" s="12">
        <v>1.9736E-2</v>
      </c>
      <c r="F28" s="1"/>
      <c r="G28" s="1"/>
      <c r="H28" s="1"/>
      <c r="I28" s="1"/>
      <c r="J28" s="1"/>
      <c r="K28" s="1"/>
      <c r="L28" s="1"/>
      <c r="M28" s="1"/>
      <c r="N28" s="18"/>
    </row>
    <row r="29" spans="2:14" ht="15" customHeight="1" x14ac:dyDescent="0.25">
      <c r="B29" s="20"/>
      <c r="C29" s="5"/>
      <c r="D29" s="6"/>
      <c r="E29" s="11"/>
      <c r="F29" s="1"/>
      <c r="G29" s="1"/>
      <c r="H29" s="1"/>
      <c r="I29" s="1"/>
      <c r="J29" s="1"/>
      <c r="K29" s="1"/>
      <c r="L29" s="1"/>
      <c r="M29" s="1"/>
      <c r="N29" s="18"/>
    </row>
    <row r="30" spans="2:14" ht="15" customHeight="1" x14ac:dyDescent="0.25">
      <c r="B30" s="20"/>
      <c r="C30" s="9" t="s">
        <v>49</v>
      </c>
      <c r="D30" s="10"/>
      <c r="E30" s="13">
        <v>1</v>
      </c>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9" t="s">
        <v>274</v>
      </c>
      <c r="C45" s="70"/>
      <c r="D45" s="70"/>
      <c r="E45" s="70"/>
      <c r="F45" s="70"/>
      <c r="G45" s="70"/>
      <c r="H45" s="70"/>
      <c r="I45" s="70"/>
      <c r="J45" s="70"/>
      <c r="K45" s="70"/>
      <c r="L45" s="70"/>
      <c r="M45" s="70"/>
      <c r="N45" s="71"/>
    </row>
    <row r="46" spans="2:14" ht="15" customHeight="1" x14ac:dyDescent="0.25">
      <c r="B46" s="72"/>
      <c r="C46" s="73"/>
      <c r="D46" s="73"/>
      <c r="E46" s="73"/>
      <c r="F46" s="73"/>
      <c r="G46" s="73"/>
      <c r="H46" s="73"/>
      <c r="I46" s="73"/>
      <c r="J46" s="73"/>
      <c r="K46" s="73"/>
      <c r="L46" s="73"/>
      <c r="M46" s="73"/>
      <c r="N46" s="74"/>
    </row>
    <row r="47" spans="2:14" ht="15" customHeight="1" x14ac:dyDescent="0.25">
      <c r="B47" s="72"/>
      <c r="C47" s="73"/>
      <c r="D47" s="73"/>
      <c r="E47" s="73"/>
      <c r="F47" s="73"/>
      <c r="G47" s="73"/>
      <c r="H47" s="73"/>
      <c r="I47" s="73"/>
      <c r="J47" s="73"/>
      <c r="K47" s="73"/>
      <c r="L47" s="73"/>
      <c r="M47" s="73"/>
      <c r="N47" s="74"/>
    </row>
    <row r="48" spans="2:14" ht="15" customHeight="1" thickBot="1" x14ac:dyDescent="0.3">
      <c r="B48" s="75"/>
      <c r="C48" s="76"/>
      <c r="D48" s="76"/>
      <c r="E48" s="76"/>
      <c r="F48" s="76"/>
      <c r="G48" s="76"/>
      <c r="H48" s="76"/>
      <c r="I48" s="76"/>
      <c r="J48" s="76"/>
      <c r="K48" s="76"/>
      <c r="L48" s="76"/>
      <c r="M48" s="76"/>
      <c r="N48" s="77"/>
    </row>
    <row r="49" spans="2:14" ht="15" customHeight="1" thickBot="1" x14ac:dyDescent="0.3"/>
    <row r="50" spans="2:14" ht="135" customHeight="1" thickBot="1" x14ac:dyDescent="0.3">
      <c r="B50" s="78" t="s">
        <v>273</v>
      </c>
      <c r="C50" s="79"/>
      <c r="D50" s="79"/>
      <c r="E50" s="79"/>
      <c r="F50" s="79"/>
      <c r="G50" s="79"/>
      <c r="H50" s="79"/>
      <c r="I50" s="79"/>
      <c r="J50" s="79"/>
      <c r="K50" s="79"/>
      <c r="L50" s="79"/>
      <c r="M50" s="79"/>
      <c r="N50" s="80"/>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DC9A38-298D-4E5F-A945-128A0938BB3D}">
  <dimension ref="B1:N54"/>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61</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9</v>
      </c>
      <c r="D5" s="84" t="s">
        <v>62</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21</v>
      </c>
      <c r="D8" s="6" t="s">
        <v>12</v>
      </c>
      <c r="E8" s="11">
        <v>7.6373999999999997E-2</v>
      </c>
      <c r="F8" s="1"/>
      <c r="G8" s="24" t="s">
        <v>4</v>
      </c>
      <c r="H8" s="25">
        <v>1</v>
      </c>
      <c r="I8" s="1"/>
      <c r="J8" s="24" t="s">
        <v>50</v>
      </c>
      <c r="K8" s="24" t="s">
        <v>3</v>
      </c>
      <c r="L8" s="1"/>
      <c r="M8" s="1"/>
      <c r="N8" s="18"/>
    </row>
    <row r="9" spans="2:14" ht="15.75" customHeight="1" x14ac:dyDescent="0.25">
      <c r="B9" s="20"/>
      <c r="C9" s="7" t="s">
        <v>18</v>
      </c>
      <c r="D9" s="8"/>
      <c r="E9" s="12">
        <v>7.6373999999999997E-2</v>
      </c>
      <c r="F9" s="1"/>
      <c r="G9" s="1"/>
      <c r="H9" s="1"/>
      <c r="I9" s="1"/>
      <c r="J9" s="24" t="s">
        <v>48</v>
      </c>
      <c r="K9" s="30">
        <v>1.8461000000000002E-2</v>
      </c>
      <c r="L9" s="1"/>
      <c r="M9" s="1"/>
      <c r="N9" s="18"/>
    </row>
    <row r="10" spans="2:14" ht="15" customHeight="1" x14ac:dyDescent="0.25">
      <c r="B10" s="20"/>
      <c r="C10" s="5" t="s">
        <v>26</v>
      </c>
      <c r="D10" s="6" t="s">
        <v>20</v>
      </c>
      <c r="E10" s="11">
        <v>9.8688999999999999E-2</v>
      </c>
      <c r="F10" s="1"/>
      <c r="G10" s="1"/>
      <c r="H10" s="1"/>
      <c r="I10" s="1"/>
      <c r="J10" s="24" t="s">
        <v>51</v>
      </c>
      <c r="K10" s="30">
        <v>6.7369999999999999E-3</v>
      </c>
      <c r="L10" s="1"/>
      <c r="M10" s="1"/>
      <c r="N10" s="18"/>
    </row>
    <row r="11" spans="2:14" ht="15" customHeight="1" x14ac:dyDescent="0.25">
      <c r="B11" s="20"/>
      <c r="C11" s="5" t="s">
        <v>63</v>
      </c>
      <c r="D11" s="6" t="s">
        <v>20</v>
      </c>
      <c r="E11" s="11">
        <v>6.8448999999999996E-2</v>
      </c>
      <c r="F11" s="1"/>
      <c r="G11" s="1"/>
      <c r="H11" s="1"/>
      <c r="I11" s="1"/>
      <c r="J11" s="24" t="s">
        <v>52</v>
      </c>
      <c r="K11" s="30">
        <v>7.6373999999999997E-2</v>
      </c>
      <c r="L11" s="1"/>
      <c r="M11" s="1"/>
      <c r="N11" s="18"/>
    </row>
    <row r="12" spans="2:14" ht="15" customHeight="1" x14ac:dyDescent="0.25">
      <c r="B12" s="20"/>
      <c r="C12" s="5" t="s">
        <v>19</v>
      </c>
      <c r="D12" s="6" t="s">
        <v>20</v>
      </c>
      <c r="E12" s="11">
        <v>6.5922999999999995E-2</v>
      </c>
      <c r="F12" s="1"/>
      <c r="G12" s="1"/>
      <c r="H12" s="1"/>
      <c r="I12" s="1"/>
      <c r="J12" s="24" t="s">
        <v>53</v>
      </c>
      <c r="K12" s="30">
        <v>0.41719499999999998</v>
      </c>
      <c r="L12" s="1"/>
      <c r="M12" s="1"/>
      <c r="N12" s="18"/>
    </row>
    <row r="13" spans="2:14" ht="15" customHeight="1" x14ac:dyDescent="0.25">
      <c r="B13" s="20"/>
      <c r="C13" s="5" t="s">
        <v>22</v>
      </c>
      <c r="D13" s="6" t="s">
        <v>20</v>
      </c>
      <c r="E13" s="11">
        <v>6.5861000000000003E-2</v>
      </c>
      <c r="F13" s="1"/>
      <c r="G13" s="1"/>
      <c r="H13" s="1"/>
      <c r="I13" s="1"/>
      <c r="J13" s="24" t="s">
        <v>36</v>
      </c>
      <c r="K13" s="30">
        <v>3.4499999999999999E-3</v>
      </c>
      <c r="L13" s="1"/>
      <c r="M13" s="1"/>
      <c r="N13" s="18"/>
    </row>
    <row r="14" spans="2:14" ht="15" customHeight="1" x14ac:dyDescent="0.25">
      <c r="B14" s="20"/>
      <c r="C14" s="5" t="s">
        <v>57</v>
      </c>
      <c r="D14" s="6" t="s">
        <v>20</v>
      </c>
      <c r="E14" s="11">
        <v>5.3675E-2</v>
      </c>
      <c r="F14" s="1"/>
      <c r="G14" s="1"/>
      <c r="H14" s="1"/>
      <c r="I14" s="1"/>
      <c r="J14" s="24" t="s">
        <v>54</v>
      </c>
      <c r="K14" s="30">
        <v>0.47644900000000001</v>
      </c>
      <c r="L14" s="1"/>
      <c r="M14" s="1"/>
      <c r="N14" s="18"/>
    </row>
    <row r="15" spans="2:14" ht="15" customHeight="1" x14ac:dyDescent="0.25">
      <c r="B15" s="20"/>
      <c r="C15" s="5" t="s">
        <v>21</v>
      </c>
      <c r="D15" s="6" t="s">
        <v>20</v>
      </c>
      <c r="E15" s="11">
        <v>3.1775999999999999E-2</v>
      </c>
      <c r="F15" s="1"/>
      <c r="G15" s="1"/>
      <c r="H15" s="1"/>
      <c r="I15" s="1"/>
      <c r="J15" s="24" t="s">
        <v>55</v>
      </c>
      <c r="K15" s="30">
        <v>1.3339999999999999E-3</v>
      </c>
      <c r="L15" s="1"/>
      <c r="M15" s="1"/>
      <c r="N15" s="18"/>
    </row>
    <row r="16" spans="2:14" ht="15" customHeight="1" x14ac:dyDescent="0.25">
      <c r="B16" s="20"/>
      <c r="C16" s="5" t="s">
        <v>24</v>
      </c>
      <c r="D16" s="6" t="s">
        <v>20</v>
      </c>
      <c r="E16" s="11">
        <v>1.6442999999999999E-2</v>
      </c>
      <c r="F16" s="1"/>
      <c r="G16" s="1"/>
      <c r="H16" s="1"/>
      <c r="I16" s="1"/>
      <c r="J16" s="1"/>
      <c r="K16" s="1"/>
      <c r="L16" s="1"/>
      <c r="M16" s="1"/>
      <c r="N16" s="18"/>
    </row>
    <row r="17" spans="2:14" ht="15" customHeight="1" x14ac:dyDescent="0.25">
      <c r="B17" s="20"/>
      <c r="C17" s="5" t="s">
        <v>64</v>
      </c>
      <c r="D17" s="6" t="s">
        <v>20</v>
      </c>
      <c r="E17" s="11">
        <v>1.6379000000000001E-2</v>
      </c>
      <c r="F17" s="1"/>
      <c r="G17" s="1"/>
      <c r="H17" s="1"/>
      <c r="I17" s="1"/>
      <c r="J17" s="1"/>
      <c r="K17" s="1"/>
      <c r="L17" s="1"/>
      <c r="M17" s="1"/>
      <c r="N17" s="18"/>
    </row>
    <row r="18" spans="2:14" ht="15.75" customHeight="1" x14ac:dyDescent="0.25">
      <c r="B18" s="20"/>
      <c r="C18" s="7" t="s">
        <v>35</v>
      </c>
      <c r="D18" s="8"/>
      <c r="E18" s="12">
        <v>0.41719499999999998</v>
      </c>
      <c r="F18" s="1"/>
      <c r="G18" s="1"/>
      <c r="H18" s="1"/>
      <c r="I18" s="1"/>
      <c r="J18" s="1"/>
      <c r="K18" s="1"/>
      <c r="L18" s="1"/>
      <c r="M18" s="1"/>
      <c r="N18" s="18"/>
    </row>
    <row r="19" spans="2:14" ht="15" customHeight="1" x14ac:dyDescent="0.25">
      <c r="B19" s="20"/>
      <c r="C19" s="5" t="s">
        <v>36</v>
      </c>
      <c r="D19" s="6"/>
      <c r="E19" s="11">
        <v>3.4499999999999999E-3</v>
      </c>
      <c r="F19" s="1"/>
      <c r="G19" s="1"/>
      <c r="H19" s="1"/>
      <c r="I19" s="1"/>
      <c r="J19" s="1"/>
      <c r="K19" s="1"/>
      <c r="L19" s="1"/>
      <c r="M19" s="1"/>
      <c r="N19" s="18"/>
    </row>
    <row r="20" spans="2:14" ht="15.75" customHeight="1" x14ac:dyDescent="0.25">
      <c r="B20" s="20"/>
      <c r="C20" s="7" t="s">
        <v>37</v>
      </c>
      <c r="D20" s="8"/>
      <c r="E20" s="12">
        <v>3.4499999999999999E-3</v>
      </c>
      <c r="F20" s="1"/>
      <c r="G20" s="1"/>
      <c r="H20" s="1"/>
      <c r="I20" s="1"/>
      <c r="J20" s="1"/>
      <c r="K20" s="1"/>
      <c r="L20" s="1"/>
      <c r="M20" s="1"/>
      <c r="N20" s="18"/>
    </row>
    <row r="21" spans="2:14" ht="15" customHeight="1" x14ac:dyDescent="0.25">
      <c r="B21" s="20"/>
      <c r="C21" s="5" t="s">
        <v>40</v>
      </c>
      <c r="D21" s="6" t="s">
        <v>184</v>
      </c>
      <c r="E21" s="11">
        <v>0.25983299999999998</v>
      </c>
      <c r="F21" s="1"/>
      <c r="G21" s="1"/>
      <c r="H21" s="1"/>
      <c r="I21" s="1"/>
      <c r="J21" s="1"/>
      <c r="K21" s="1"/>
      <c r="L21" s="1"/>
      <c r="M21" s="1"/>
      <c r="N21" s="18"/>
    </row>
    <row r="22" spans="2:14" ht="15" customHeight="1" x14ac:dyDescent="0.25">
      <c r="B22" s="20"/>
      <c r="C22" s="5" t="s">
        <v>38</v>
      </c>
      <c r="D22" s="6" t="s">
        <v>184</v>
      </c>
      <c r="E22" s="11">
        <v>0.17718500000000001</v>
      </c>
      <c r="F22" s="1"/>
      <c r="G22" s="1"/>
      <c r="H22" s="1"/>
      <c r="I22" s="1"/>
      <c r="J22" s="1"/>
      <c r="K22" s="1"/>
      <c r="L22" s="1"/>
      <c r="M22" s="1"/>
      <c r="N22" s="18"/>
    </row>
    <row r="23" spans="2:14" ht="15" customHeight="1" x14ac:dyDescent="0.25">
      <c r="B23" s="20"/>
      <c r="C23" s="5" t="s">
        <v>39</v>
      </c>
      <c r="D23" s="6" t="s">
        <v>184</v>
      </c>
      <c r="E23" s="11">
        <v>3.9225000000000003E-2</v>
      </c>
      <c r="F23" s="1"/>
      <c r="G23" s="1"/>
      <c r="H23" s="1"/>
      <c r="I23" s="1"/>
      <c r="J23" s="1"/>
      <c r="K23" s="1"/>
      <c r="L23" s="1"/>
      <c r="M23" s="1"/>
      <c r="N23" s="18"/>
    </row>
    <row r="24" spans="2:14" ht="15" customHeight="1" x14ac:dyDescent="0.25">
      <c r="B24" s="20"/>
      <c r="C24" s="5" t="s">
        <v>59</v>
      </c>
      <c r="D24" s="6" t="s">
        <v>184</v>
      </c>
      <c r="E24" s="11">
        <v>1.3100000000000001E-4</v>
      </c>
      <c r="F24" s="1"/>
      <c r="G24" s="86" t="s">
        <v>6</v>
      </c>
      <c r="H24" s="87"/>
      <c r="I24" s="87"/>
      <c r="J24" s="87"/>
      <c r="K24" s="87"/>
      <c r="L24" s="26">
        <v>4.9510890804556853</v>
      </c>
      <c r="M24" s="27"/>
      <c r="N24" s="28"/>
    </row>
    <row r="25" spans="2:14" ht="15" customHeight="1" x14ac:dyDescent="0.25">
      <c r="B25" s="20"/>
      <c r="C25" s="5" t="s">
        <v>65</v>
      </c>
      <c r="D25" s="6" t="s">
        <v>184</v>
      </c>
      <c r="E25" s="11">
        <v>7.4999999999999993E-5</v>
      </c>
      <c r="F25" s="1"/>
      <c r="G25" s="1"/>
      <c r="H25" s="1"/>
      <c r="I25" s="1"/>
      <c r="J25" s="1"/>
      <c r="K25" s="1"/>
      <c r="L25" s="1"/>
      <c r="M25" s="1"/>
      <c r="N25" s="18"/>
    </row>
    <row r="26" spans="2:14" ht="15.75" customHeight="1" x14ac:dyDescent="0.25">
      <c r="B26" s="20"/>
      <c r="C26" s="7" t="s">
        <v>44</v>
      </c>
      <c r="D26" s="8"/>
      <c r="E26" s="12">
        <v>0.47644900000000001</v>
      </c>
      <c r="F26" s="1"/>
      <c r="G26" s="86" t="s">
        <v>7</v>
      </c>
      <c r="H26" s="87"/>
      <c r="I26" s="87"/>
      <c r="J26" s="87"/>
      <c r="K26" s="87"/>
      <c r="L26" s="87"/>
      <c r="M26" s="87"/>
      <c r="N26" s="88"/>
    </row>
    <row r="27" spans="2:14" ht="15" customHeight="1" x14ac:dyDescent="0.25">
      <c r="B27" s="20"/>
      <c r="C27" s="5" t="s">
        <v>214</v>
      </c>
      <c r="D27" s="6" t="s">
        <v>184</v>
      </c>
      <c r="E27" s="11">
        <v>1.3339999999999999E-3</v>
      </c>
      <c r="F27" s="1"/>
      <c r="G27" s="1"/>
      <c r="H27" s="1"/>
      <c r="I27" s="1"/>
      <c r="J27" s="1"/>
      <c r="K27" s="1"/>
      <c r="L27" s="1"/>
      <c r="M27" s="1"/>
      <c r="N27" s="18"/>
    </row>
    <row r="28" spans="2:14" ht="15.75" customHeight="1" x14ac:dyDescent="0.25">
      <c r="B28" s="20"/>
      <c r="C28" s="7" t="s">
        <v>45</v>
      </c>
      <c r="D28" s="8"/>
      <c r="E28" s="12">
        <v>1.3339999999999999E-3</v>
      </c>
      <c r="F28" s="1"/>
      <c r="G28" s="1"/>
      <c r="H28" s="1"/>
      <c r="I28" s="1"/>
      <c r="J28" s="1"/>
      <c r="K28" s="1"/>
      <c r="L28" s="1"/>
      <c r="M28" s="1"/>
      <c r="N28" s="18"/>
    </row>
    <row r="29" spans="2:14" ht="15" customHeight="1" x14ac:dyDescent="0.25">
      <c r="B29" s="20"/>
      <c r="C29" s="5" t="s">
        <v>46</v>
      </c>
      <c r="D29" s="6"/>
      <c r="E29" s="11">
        <v>6.7369999999999999E-3</v>
      </c>
      <c r="F29" s="1"/>
      <c r="G29" s="1"/>
      <c r="H29" s="1"/>
      <c r="I29" s="1"/>
      <c r="J29" s="1"/>
      <c r="K29" s="1"/>
      <c r="L29" s="1"/>
      <c r="M29" s="1"/>
      <c r="N29" s="18"/>
    </row>
    <row r="30" spans="2:14" ht="15.75" customHeight="1" x14ac:dyDescent="0.25">
      <c r="B30" s="20"/>
      <c r="C30" s="7" t="s">
        <v>47</v>
      </c>
      <c r="D30" s="8"/>
      <c r="E30" s="12">
        <v>6.7369999999999999E-3</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75" customHeight="1" x14ac:dyDescent="0.25">
      <c r="B32" s="20"/>
      <c r="C32" s="7" t="s">
        <v>48</v>
      </c>
      <c r="D32" s="8"/>
      <c r="E32" s="12">
        <v>1.8461000000000002E-2</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 customHeight="1" x14ac:dyDescent="0.25">
      <c r="B34" s="20"/>
      <c r="C34" s="9" t="s">
        <v>49</v>
      </c>
      <c r="D34" s="10"/>
      <c r="E34" s="13">
        <v>1</v>
      </c>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9" t="s">
        <v>274</v>
      </c>
      <c r="C45" s="70"/>
      <c r="D45" s="70"/>
      <c r="E45" s="70"/>
      <c r="F45" s="70"/>
      <c r="G45" s="70"/>
      <c r="H45" s="70"/>
      <c r="I45" s="70"/>
      <c r="J45" s="70"/>
      <c r="K45" s="70"/>
      <c r="L45" s="70"/>
      <c r="M45" s="70"/>
      <c r="N45" s="71"/>
    </row>
    <row r="46" spans="2:14" ht="15" customHeight="1" x14ac:dyDescent="0.25">
      <c r="B46" s="72"/>
      <c r="C46" s="73"/>
      <c r="D46" s="73"/>
      <c r="E46" s="73"/>
      <c r="F46" s="73"/>
      <c r="G46" s="73"/>
      <c r="H46" s="73"/>
      <c r="I46" s="73"/>
      <c r="J46" s="73"/>
      <c r="K46" s="73"/>
      <c r="L46" s="73"/>
      <c r="M46" s="73"/>
      <c r="N46" s="74"/>
    </row>
    <row r="47" spans="2:14" ht="15" customHeight="1" x14ac:dyDescent="0.25">
      <c r="B47" s="72"/>
      <c r="C47" s="73"/>
      <c r="D47" s="73"/>
      <c r="E47" s="73"/>
      <c r="F47" s="73"/>
      <c r="G47" s="73"/>
      <c r="H47" s="73"/>
      <c r="I47" s="73"/>
      <c r="J47" s="73"/>
      <c r="K47" s="73"/>
      <c r="L47" s="73"/>
      <c r="M47" s="73"/>
      <c r="N47" s="74"/>
    </row>
    <row r="48" spans="2:14" ht="15" customHeight="1" thickBot="1" x14ac:dyDescent="0.3">
      <c r="B48" s="75"/>
      <c r="C48" s="76"/>
      <c r="D48" s="76"/>
      <c r="E48" s="76"/>
      <c r="F48" s="76"/>
      <c r="G48" s="76"/>
      <c r="H48" s="76"/>
      <c r="I48" s="76"/>
      <c r="J48" s="76"/>
      <c r="K48" s="76"/>
      <c r="L48" s="76"/>
      <c r="M48" s="76"/>
      <c r="N48" s="77"/>
    </row>
    <row r="49" spans="2:14" ht="15" customHeight="1" thickBot="1" x14ac:dyDescent="0.3"/>
    <row r="50" spans="2:14" ht="148.5" customHeight="1" thickBot="1" x14ac:dyDescent="0.3">
      <c r="B50" s="78" t="s">
        <v>273</v>
      </c>
      <c r="C50" s="79"/>
      <c r="D50" s="79"/>
      <c r="E50" s="79"/>
      <c r="F50" s="79"/>
      <c r="G50" s="79"/>
      <c r="H50" s="79"/>
      <c r="I50" s="79"/>
      <c r="J50" s="79"/>
      <c r="K50" s="79"/>
      <c r="L50" s="79"/>
      <c r="M50" s="79"/>
      <c r="N50" s="80"/>
    </row>
    <row r="51" spans="2:14" ht="15" customHeight="1" x14ac:dyDescent="0.25"/>
    <row r="52" spans="2:14" ht="15" customHeight="1" x14ac:dyDescent="0.25"/>
    <row r="53" spans="2:14" ht="15" customHeight="1" x14ac:dyDescent="0.25"/>
    <row r="54"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45AB7-BC02-4FD3-A248-A77AD38ADDF7}">
  <dimension ref="B1:N58"/>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66</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9</v>
      </c>
      <c r="D5" s="84" t="s">
        <v>67</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34</v>
      </c>
      <c r="D8" s="6" t="s">
        <v>12</v>
      </c>
      <c r="E8" s="11">
        <v>0.109489</v>
      </c>
      <c r="F8" s="1"/>
      <c r="G8" s="24" t="s">
        <v>4</v>
      </c>
      <c r="H8" s="25">
        <v>1</v>
      </c>
      <c r="I8" s="1"/>
      <c r="J8" s="24" t="s">
        <v>50</v>
      </c>
      <c r="K8" s="24" t="s">
        <v>3</v>
      </c>
      <c r="L8" s="1"/>
      <c r="M8" s="1"/>
      <c r="N8" s="18"/>
    </row>
    <row r="9" spans="2:14" ht="15" customHeight="1" x14ac:dyDescent="0.25">
      <c r="B9" s="20"/>
      <c r="C9" s="5" t="s">
        <v>14</v>
      </c>
      <c r="D9" s="6" t="s">
        <v>12</v>
      </c>
      <c r="E9" s="11">
        <v>9.3580999999999998E-2</v>
      </c>
      <c r="F9" s="1"/>
      <c r="G9" s="1"/>
      <c r="H9" s="1"/>
      <c r="I9" s="1"/>
      <c r="J9" s="24" t="s">
        <v>48</v>
      </c>
      <c r="K9" s="30">
        <v>3.3274999999999999E-2</v>
      </c>
      <c r="L9" s="1"/>
      <c r="M9" s="1"/>
      <c r="N9" s="18"/>
    </row>
    <row r="10" spans="2:14" ht="15" customHeight="1" x14ac:dyDescent="0.25">
      <c r="B10" s="20"/>
      <c r="C10" s="5" t="s">
        <v>21</v>
      </c>
      <c r="D10" s="6" t="s">
        <v>12</v>
      </c>
      <c r="E10" s="11">
        <v>4.4250999999999999E-2</v>
      </c>
      <c r="F10" s="1"/>
      <c r="G10" s="1"/>
      <c r="H10" s="1"/>
      <c r="I10" s="1"/>
      <c r="J10" s="24" t="s">
        <v>51</v>
      </c>
      <c r="K10" s="30">
        <v>8.1469999999999997E-3</v>
      </c>
      <c r="L10" s="1"/>
      <c r="M10" s="1"/>
      <c r="N10" s="18"/>
    </row>
    <row r="11" spans="2:14" ht="15.75" customHeight="1" x14ac:dyDescent="0.25">
      <c r="B11" s="20"/>
      <c r="C11" s="7" t="s">
        <v>18</v>
      </c>
      <c r="D11" s="8"/>
      <c r="E11" s="12">
        <v>0.24732100000000001</v>
      </c>
      <c r="F11" s="1"/>
      <c r="G11" s="1"/>
      <c r="H11" s="1"/>
      <c r="I11" s="1"/>
      <c r="J11" s="24" t="s">
        <v>52</v>
      </c>
      <c r="K11" s="30">
        <v>0.24732100000000001</v>
      </c>
      <c r="L11" s="1"/>
      <c r="M11" s="1"/>
      <c r="N11" s="18"/>
    </row>
    <row r="12" spans="2:14" ht="15" customHeight="1" x14ac:dyDescent="0.25">
      <c r="B12" s="20"/>
      <c r="C12" s="5" t="s">
        <v>26</v>
      </c>
      <c r="D12" s="6" t="s">
        <v>20</v>
      </c>
      <c r="E12" s="11">
        <v>8.3200999999999997E-2</v>
      </c>
      <c r="F12" s="1"/>
      <c r="G12" s="1"/>
      <c r="H12" s="1"/>
      <c r="I12" s="1"/>
      <c r="J12" s="24" t="s">
        <v>53</v>
      </c>
      <c r="K12" s="30">
        <v>0.39171</v>
      </c>
      <c r="L12" s="1"/>
      <c r="M12" s="1"/>
      <c r="N12" s="18"/>
    </row>
    <row r="13" spans="2:14" ht="15" customHeight="1" x14ac:dyDescent="0.25">
      <c r="B13" s="20"/>
      <c r="C13" s="5" t="s">
        <v>19</v>
      </c>
      <c r="D13" s="6" t="s">
        <v>20</v>
      </c>
      <c r="E13" s="11">
        <v>5.8182999999999999E-2</v>
      </c>
      <c r="F13" s="1"/>
      <c r="G13" s="1"/>
      <c r="H13" s="1"/>
      <c r="I13" s="1"/>
      <c r="J13" s="24" t="s">
        <v>36</v>
      </c>
      <c r="K13" s="30">
        <v>2.8170000000000001E-3</v>
      </c>
      <c r="L13" s="1"/>
      <c r="M13" s="1"/>
      <c r="N13" s="18"/>
    </row>
    <row r="14" spans="2:14" ht="15" customHeight="1" x14ac:dyDescent="0.25">
      <c r="B14" s="20"/>
      <c r="C14" s="5" t="s">
        <v>57</v>
      </c>
      <c r="D14" s="6" t="s">
        <v>20</v>
      </c>
      <c r="E14" s="11">
        <v>5.0545E-2</v>
      </c>
      <c r="F14" s="1"/>
      <c r="G14" s="1"/>
      <c r="H14" s="1"/>
      <c r="I14" s="1"/>
      <c r="J14" s="24" t="s">
        <v>54</v>
      </c>
      <c r="K14" s="30">
        <v>0.31673000000000001</v>
      </c>
      <c r="L14" s="1"/>
      <c r="M14" s="1"/>
      <c r="N14" s="18"/>
    </row>
    <row r="15" spans="2:14" ht="15" customHeight="1" x14ac:dyDescent="0.25">
      <c r="B15" s="20"/>
      <c r="C15" s="5" t="s">
        <v>63</v>
      </c>
      <c r="D15" s="6" t="s">
        <v>20</v>
      </c>
      <c r="E15" s="11">
        <v>4.5621000000000002E-2</v>
      </c>
      <c r="F15" s="1"/>
      <c r="G15" s="1"/>
      <c r="H15" s="1"/>
      <c r="I15" s="1"/>
      <c r="J15" s="1"/>
      <c r="K15" s="1"/>
      <c r="L15" s="1"/>
      <c r="M15" s="1"/>
      <c r="N15" s="18"/>
    </row>
    <row r="16" spans="2:14" ht="15" customHeight="1" x14ac:dyDescent="0.25">
      <c r="B16" s="20"/>
      <c r="C16" s="5" t="s">
        <v>68</v>
      </c>
      <c r="D16" s="6" t="s">
        <v>20</v>
      </c>
      <c r="E16" s="11">
        <v>3.8225000000000002E-2</v>
      </c>
      <c r="F16" s="1"/>
      <c r="G16" s="1"/>
      <c r="H16" s="1"/>
      <c r="I16" s="1"/>
      <c r="J16" s="1"/>
      <c r="K16" s="1"/>
      <c r="L16" s="1"/>
      <c r="M16" s="1"/>
      <c r="N16" s="18"/>
    </row>
    <row r="17" spans="2:14" ht="15" customHeight="1" x14ac:dyDescent="0.25">
      <c r="B17" s="20"/>
      <c r="C17" s="5" t="s">
        <v>64</v>
      </c>
      <c r="D17" s="6" t="s">
        <v>20</v>
      </c>
      <c r="E17" s="11">
        <v>3.7158999999999998E-2</v>
      </c>
      <c r="F17" s="1"/>
      <c r="G17" s="1"/>
      <c r="H17" s="1"/>
      <c r="I17" s="1"/>
      <c r="J17" s="1"/>
      <c r="K17" s="1"/>
      <c r="L17" s="1"/>
      <c r="M17" s="1"/>
      <c r="N17" s="18"/>
    </row>
    <row r="18" spans="2:14" ht="15" customHeight="1" x14ac:dyDescent="0.25">
      <c r="B18" s="20"/>
      <c r="C18" s="5" t="s">
        <v>22</v>
      </c>
      <c r="D18" s="6" t="s">
        <v>20</v>
      </c>
      <c r="E18" s="11">
        <v>3.4176999999999999E-2</v>
      </c>
      <c r="F18" s="1"/>
      <c r="G18" s="1"/>
      <c r="H18" s="1"/>
      <c r="I18" s="1"/>
      <c r="J18" s="1"/>
      <c r="K18" s="1"/>
      <c r="L18" s="1"/>
      <c r="M18" s="1"/>
      <c r="N18" s="18"/>
    </row>
    <row r="19" spans="2:14" ht="15" customHeight="1" x14ac:dyDescent="0.25">
      <c r="B19" s="20"/>
      <c r="C19" s="5" t="s">
        <v>69</v>
      </c>
      <c r="D19" s="6" t="s">
        <v>20</v>
      </c>
      <c r="E19" s="11">
        <v>1.7198999999999999E-2</v>
      </c>
      <c r="F19" s="1"/>
      <c r="G19" s="1"/>
      <c r="H19" s="1"/>
      <c r="I19" s="1"/>
      <c r="J19" s="1"/>
      <c r="K19" s="1"/>
      <c r="L19" s="1"/>
      <c r="M19" s="1"/>
      <c r="N19" s="18"/>
    </row>
    <row r="20" spans="2:14" ht="15" customHeight="1" x14ac:dyDescent="0.25">
      <c r="B20" s="20"/>
      <c r="C20" s="5" t="s">
        <v>21</v>
      </c>
      <c r="D20" s="6" t="s">
        <v>20</v>
      </c>
      <c r="E20" s="11">
        <v>1.4198000000000001E-2</v>
      </c>
      <c r="F20" s="1"/>
      <c r="G20" s="1"/>
      <c r="H20" s="1"/>
      <c r="I20" s="1"/>
      <c r="J20" s="1"/>
      <c r="K20" s="1"/>
      <c r="L20" s="1"/>
      <c r="M20" s="1"/>
      <c r="N20" s="18"/>
    </row>
    <row r="21" spans="2:14" ht="15" customHeight="1" x14ac:dyDescent="0.25">
      <c r="B21" s="20"/>
      <c r="C21" s="5" t="s">
        <v>25</v>
      </c>
      <c r="D21" s="6" t="s">
        <v>20</v>
      </c>
      <c r="E21" s="11">
        <v>1.1488999999999999E-2</v>
      </c>
      <c r="F21" s="1"/>
      <c r="G21" s="1"/>
      <c r="H21" s="1"/>
      <c r="I21" s="1"/>
      <c r="J21" s="1"/>
      <c r="K21" s="1"/>
      <c r="L21" s="1"/>
      <c r="M21" s="1"/>
      <c r="N21" s="18"/>
    </row>
    <row r="22" spans="2:14" ht="15" customHeight="1" x14ac:dyDescent="0.25">
      <c r="B22" s="20"/>
      <c r="C22" s="5" t="s">
        <v>23</v>
      </c>
      <c r="D22" s="6" t="s">
        <v>20</v>
      </c>
      <c r="E22" s="11">
        <v>1.1410000000000001E-3</v>
      </c>
      <c r="F22" s="1"/>
      <c r="G22" s="1"/>
      <c r="H22" s="1"/>
      <c r="I22" s="1"/>
      <c r="J22" s="1"/>
      <c r="K22" s="1"/>
      <c r="L22" s="1"/>
      <c r="M22" s="1"/>
      <c r="N22" s="18"/>
    </row>
    <row r="23" spans="2:14" ht="15" customHeight="1" x14ac:dyDescent="0.25">
      <c r="B23" s="20"/>
      <c r="C23" s="5" t="s">
        <v>24</v>
      </c>
      <c r="D23" s="6" t="s">
        <v>20</v>
      </c>
      <c r="E23" s="11">
        <v>5.7200000000000003E-4</v>
      </c>
      <c r="F23" s="1"/>
      <c r="G23" s="1"/>
      <c r="H23" s="1"/>
      <c r="I23" s="1"/>
      <c r="J23" s="1"/>
      <c r="K23" s="1"/>
      <c r="L23" s="1"/>
      <c r="M23" s="1"/>
      <c r="N23" s="18"/>
    </row>
    <row r="24" spans="2:14" ht="15.75" customHeight="1" x14ac:dyDescent="0.25">
      <c r="B24" s="20"/>
      <c r="C24" s="7" t="s">
        <v>35</v>
      </c>
      <c r="D24" s="8"/>
      <c r="E24" s="12">
        <v>0.39171</v>
      </c>
      <c r="F24" s="1"/>
      <c r="G24" s="86" t="s">
        <v>6</v>
      </c>
      <c r="H24" s="87"/>
      <c r="I24" s="87"/>
      <c r="J24" s="87"/>
      <c r="K24" s="87"/>
      <c r="L24" s="26">
        <v>3.7365793494582151</v>
      </c>
      <c r="M24" s="27"/>
      <c r="N24" s="28"/>
    </row>
    <row r="25" spans="2:14" ht="15" customHeight="1" x14ac:dyDescent="0.25">
      <c r="B25" s="20"/>
      <c r="C25" s="5" t="s">
        <v>36</v>
      </c>
      <c r="D25" s="6"/>
      <c r="E25" s="11">
        <v>2.8170000000000001E-3</v>
      </c>
      <c r="F25" s="1"/>
      <c r="G25" s="1"/>
      <c r="H25" s="1"/>
      <c r="I25" s="1"/>
      <c r="J25" s="1"/>
      <c r="K25" s="1"/>
      <c r="L25" s="1"/>
      <c r="M25" s="1"/>
      <c r="N25" s="18"/>
    </row>
    <row r="26" spans="2:14" ht="15.75" customHeight="1" x14ac:dyDescent="0.25">
      <c r="B26" s="20"/>
      <c r="C26" s="7" t="s">
        <v>37</v>
      </c>
      <c r="D26" s="8"/>
      <c r="E26" s="12">
        <v>2.8170000000000001E-3</v>
      </c>
      <c r="F26" s="1"/>
      <c r="G26" s="86" t="s">
        <v>7</v>
      </c>
      <c r="H26" s="87"/>
      <c r="I26" s="87"/>
      <c r="J26" s="87"/>
      <c r="K26" s="87"/>
      <c r="L26" s="87"/>
      <c r="M26" s="87"/>
      <c r="N26" s="88"/>
    </row>
    <row r="27" spans="2:14" ht="15" customHeight="1" x14ac:dyDescent="0.25">
      <c r="B27" s="20"/>
      <c r="C27" s="5" t="s">
        <v>38</v>
      </c>
      <c r="D27" s="6" t="s">
        <v>184</v>
      </c>
      <c r="E27" s="11">
        <v>0.24249399999999999</v>
      </c>
      <c r="F27" s="1"/>
      <c r="G27" s="1"/>
      <c r="H27" s="1"/>
      <c r="I27" s="1"/>
      <c r="J27" s="1"/>
      <c r="K27" s="1"/>
      <c r="L27" s="1"/>
      <c r="M27" s="1"/>
      <c r="N27" s="18"/>
    </row>
    <row r="28" spans="2:14" ht="15" customHeight="1" x14ac:dyDescent="0.25">
      <c r="B28" s="20"/>
      <c r="C28" s="5" t="s">
        <v>39</v>
      </c>
      <c r="D28" s="6" t="s">
        <v>184</v>
      </c>
      <c r="E28" s="11">
        <v>7.3909000000000002E-2</v>
      </c>
      <c r="F28" s="1"/>
      <c r="G28" s="1"/>
      <c r="H28" s="1"/>
      <c r="I28" s="1"/>
      <c r="J28" s="1"/>
      <c r="K28" s="1"/>
      <c r="L28" s="1"/>
      <c r="M28" s="1"/>
      <c r="N28" s="18"/>
    </row>
    <row r="29" spans="2:14" ht="15" customHeight="1" x14ac:dyDescent="0.25">
      <c r="B29" s="20"/>
      <c r="C29" s="5" t="s">
        <v>65</v>
      </c>
      <c r="D29" s="6" t="s">
        <v>184</v>
      </c>
      <c r="E29" s="11">
        <v>1.18E-4</v>
      </c>
      <c r="F29" s="1"/>
      <c r="G29" s="1"/>
      <c r="H29" s="1"/>
      <c r="I29" s="1"/>
      <c r="J29" s="1"/>
      <c r="K29" s="1"/>
      <c r="L29" s="1"/>
      <c r="M29" s="1"/>
      <c r="N29" s="18"/>
    </row>
    <row r="30" spans="2:14" ht="15" customHeight="1" x14ac:dyDescent="0.25">
      <c r="B30" s="20"/>
      <c r="C30" s="5" t="s">
        <v>70</v>
      </c>
      <c r="D30" s="6" t="s">
        <v>184</v>
      </c>
      <c r="E30" s="11">
        <v>1.12E-4</v>
      </c>
      <c r="F30" s="1"/>
      <c r="G30" s="1"/>
      <c r="H30" s="1"/>
      <c r="I30" s="1"/>
      <c r="J30" s="1"/>
      <c r="K30" s="1"/>
      <c r="L30" s="1"/>
      <c r="M30" s="1"/>
      <c r="N30" s="18"/>
    </row>
    <row r="31" spans="2:14" ht="15" customHeight="1" x14ac:dyDescent="0.25">
      <c r="B31" s="20"/>
      <c r="C31" s="5" t="s">
        <v>59</v>
      </c>
      <c r="D31" s="6" t="s">
        <v>184</v>
      </c>
      <c r="E31" s="11">
        <v>9.7E-5</v>
      </c>
      <c r="F31" s="1"/>
      <c r="G31" s="1"/>
      <c r="H31" s="1"/>
      <c r="I31" s="1"/>
      <c r="J31" s="1"/>
      <c r="K31" s="1"/>
      <c r="L31" s="1"/>
      <c r="M31" s="1"/>
      <c r="N31" s="18"/>
    </row>
    <row r="32" spans="2:14" ht="15.75" customHeight="1" x14ac:dyDescent="0.25">
      <c r="B32" s="20"/>
      <c r="C32" s="7" t="s">
        <v>44</v>
      </c>
      <c r="D32" s="8"/>
      <c r="E32" s="12">
        <v>0.31673000000000001</v>
      </c>
      <c r="F32" s="1"/>
      <c r="G32" s="1"/>
      <c r="H32" s="1"/>
      <c r="I32" s="1"/>
      <c r="J32" s="1"/>
      <c r="K32" s="1"/>
      <c r="L32" s="1"/>
      <c r="M32" s="1"/>
      <c r="N32" s="18"/>
    </row>
    <row r="33" spans="2:14" ht="15" customHeight="1" x14ac:dyDescent="0.25">
      <c r="B33" s="20"/>
      <c r="C33" s="5" t="s">
        <v>46</v>
      </c>
      <c r="D33" s="6"/>
      <c r="E33" s="11">
        <v>8.1469999999999997E-3</v>
      </c>
      <c r="F33" s="1"/>
      <c r="G33" s="1"/>
      <c r="H33" s="1"/>
      <c r="I33" s="1"/>
      <c r="J33" s="1"/>
      <c r="K33" s="1"/>
      <c r="L33" s="1"/>
      <c r="M33" s="1"/>
      <c r="N33" s="18"/>
    </row>
    <row r="34" spans="2:14" ht="15.75" customHeight="1" x14ac:dyDescent="0.25">
      <c r="B34" s="20"/>
      <c r="C34" s="7" t="s">
        <v>47</v>
      </c>
      <c r="D34" s="8"/>
      <c r="E34" s="12">
        <v>8.1469999999999997E-3</v>
      </c>
      <c r="F34" s="1"/>
      <c r="G34" s="1"/>
      <c r="H34" s="1"/>
      <c r="I34" s="1"/>
      <c r="J34" s="1"/>
      <c r="K34" s="1"/>
      <c r="L34" s="1"/>
      <c r="M34" s="1"/>
      <c r="N34" s="18"/>
    </row>
    <row r="35" spans="2:14" ht="15" customHeight="1" x14ac:dyDescent="0.25">
      <c r="B35" s="20"/>
      <c r="C35" s="5"/>
      <c r="D35" s="6"/>
      <c r="E35" s="11"/>
      <c r="F35" s="1"/>
      <c r="G35" s="1"/>
      <c r="H35" s="1"/>
      <c r="I35" s="1"/>
      <c r="J35" s="1"/>
      <c r="K35" s="1"/>
      <c r="L35" s="1"/>
      <c r="M35" s="1"/>
      <c r="N35" s="18"/>
    </row>
    <row r="36" spans="2:14" ht="15.75" customHeight="1" x14ac:dyDescent="0.25">
      <c r="B36" s="20"/>
      <c r="C36" s="7" t="s">
        <v>48</v>
      </c>
      <c r="D36" s="8"/>
      <c r="E36" s="12">
        <v>3.3274999999999999E-2</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 customHeight="1" x14ac:dyDescent="0.25">
      <c r="B38" s="20"/>
      <c r="C38" s="9" t="s">
        <v>49</v>
      </c>
      <c r="D38" s="10"/>
      <c r="E38" s="13">
        <v>1</v>
      </c>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9" t="s">
        <v>274</v>
      </c>
      <c r="C45" s="70"/>
      <c r="D45" s="70"/>
      <c r="E45" s="70"/>
      <c r="F45" s="70"/>
      <c r="G45" s="70"/>
      <c r="H45" s="70"/>
      <c r="I45" s="70"/>
      <c r="J45" s="70"/>
      <c r="K45" s="70"/>
      <c r="L45" s="70"/>
      <c r="M45" s="70"/>
      <c r="N45" s="71"/>
    </row>
    <row r="46" spans="2:14" ht="15" customHeight="1" x14ac:dyDescent="0.25">
      <c r="B46" s="72"/>
      <c r="C46" s="73"/>
      <c r="D46" s="73"/>
      <c r="E46" s="73"/>
      <c r="F46" s="73"/>
      <c r="G46" s="73"/>
      <c r="H46" s="73"/>
      <c r="I46" s="73"/>
      <c r="J46" s="73"/>
      <c r="K46" s="73"/>
      <c r="L46" s="73"/>
      <c r="M46" s="73"/>
      <c r="N46" s="74"/>
    </row>
    <row r="47" spans="2:14" ht="15" customHeight="1" x14ac:dyDescent="0.25">
      <c r="B47" s="72"/>
      <c r="C47" s="73"/>
      <c r="D47" s="73"/>
      <c r="E47" s="73"/>
      <c r="F47" s="73"/>
      <c r="G47" s="73"/>
      <c r="H47" s="73"/>
      <c r="I47" s="73"/>
      <c r="J47" s="73"/>
      <c r="K47" s="73"/>
      <c r="L47" s="73"/>
      <c r="M47" s="73"/>
      <c r="N47" s="74"/>
    </row>
    <row r="48" spans="2:14" ht="15" customHeight="1" thickBot="1" x14ac:dyDescent="0.3">
      <c r="B48" s="75"/>
      <c r="C48" s="76"/>
      <c r="D48" s="76"/>
      <c r="E48" s="76"/>
      <c r="F48" s="76"/>
      <c r="G48" s="76"/>
      <c r="H48" s="76"/>
      <c r="I48" s="76"/>
      <c r="J48" s="76"/>
      <c r="K48" s="76"/>
      <c r="L48" s="76"/>
      <c r="M48" s="76"/>
      <c r="N48" s="77"/>
    </row>
    <row r="49" spans="2:14" ht="15" customHeight="1" thickBot="1" x14ac:dyDescent="0.3"/>
    <row r="50" spans="2:14" ht="127.5" customHeight="1" thickBot="1" x14ac:dyDescent="0.3">
      <c r="B50" s="78" t="s">
        <v>273</v>
      </c>
      <c r="C50" s="79"/>
      <c r="D50" s="79"/>
      <c r="E50" s="79"/>
      <c r="F50" s="79"/>
      <c r="G50" s="79"/>
      <c r="H50" s="79"/>
      <c r="I50" s="79"/>
      <c r="J50" s="79"/>
      <c r="K50" s="79"/>
      <c r="L50" s="79"/>
      <c r="M50" s="79"/>
      <c r="N50" s="80"/>
    </row>
    <row r="51" spans="2:14" ht="15" customHeight="1" x14ac:dyDescent="0.25"/>
    <row r="52" spans="2:14" ht="15" customHeight="1" x14ac:dyDescent="0.25"/>
    <row r="53" spans="2:14" ht="15" customHeight="1" x14ac:dyDescent="0.25"/>
    <row r="54" spans="2:14" ht="15" customHeight="1" x14ac:dyDescent="0.25"/>
    <row r="55" spans="2:14" ht="15" customHeight="1" x14ac:dyDescent="0.25"/>
    <row r="56" spans="2:14" ht="15" customHeight="1" x14ac:dyDescent="0.25"/>
    <row r="57" spans="2:14" ht="15" customHeight="1" x14ac:dyDescent="0.25"/>
    <row r="58" spans="2:14" ht="15" customHeight="1" x14ac:dyDescent="0.25"/>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96180-DABF-4796-9BA4-DCB925F0C9FD}">
  <dimension ref="B1:N73"/>
  <sheetViews>
    <sheetView showGridLines="0" zoomScale="75" zoomScaleNormal="75" workbookViewId="0"/>
  </sheetViews>
  <sheetFormatPr defaultRowHeight="15" x14ac:dyDescent="0.25"/>
  <cols>
    <col min="1" max="1" width="2.85546875" customWidth="1"/>
    <col min="2" max="2" width="3.85546875" customWidth="1"/>
    <col min="3" max="3" width="58.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8</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9</v>
      </c>
      <c r="D5" s="84" t="s">
        <v>10</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11</v>
      </c>
      <c r="D8" s="6" t="s">
        <v>12</v>
      </c>
      <c r="E8" s="11">
        <v>3.8313E-2</v>
      </c>
      <c r="F8" s="1"/>
      <c r="G8" s="24" t="s">
        <v>4</v>
      </c>
      <c r="H8" s="25">
        <v>1</v>
      </c>
      <c r="I8" s="1"/>
      <c r="J8" s="24" t="s">
        <v>50</v>
      </c>
      <c r="K8" s="24" t="s">
        <v>3</v>
      </c>
      <c r="L8" s="1"/>
      <c r="M8" s="1"/>
      <c r="N8" s="18"/>
    </row>
    <row r="9" spans="2:14" ht="15" customHeight="1" x14ac:dyDescent="0.25">
      <c r="B9" s="20"/>
      <c r="C9" s="5" t="s">
        <v>13</v>
      </c>
      <c r="D9" s="6" t="s">
        <v>12</v>
      </c>
      <c r="E9" s="11">
        <v>2.9256999999999998E-2</v>
      </c>
      <c r="F9" s="1"/>
      <c r="G9" s="1"/>
      <c r="H9" s="1"/>
      <c r="I9" s="1"/>
      <c r="J9" s="24" t="s">
        <v>48</v>
      </c>
      <c r="K9" s="30">
        <v>2.2852000000000001E-2</v>
      </c>
      <c r="L9" s="1"/>
      <c r="M9" s="1"/>
      <c r="N9" s="18"/>
    </row>
    <row r="10" spans="2:14" ht="15" customHeight="1" x14ac:dyDescent="0.25">
      <c r="B10" s="20"/>
      <c r="C10" s="5" t="s">
        <v>14</v>
      </c>
      <c r="D10" s="6" t="s">
        <v>12</v>
      </c>
      <c r="E10" s="11">
        <v>1.8546E-2</v>
      </c>
      <c r="F10" s="1"/>
      <c r="G10" s="1"/>
      <c r="H10" s="1"/>
      <c r="I10" s="1"/>
      <c r="J10" s="24" t="s">
        <v>51</v>
      </c>
      <c r="K10" s="30">
        <v>2.4617E-2</v>
      </c>
      <c r="L10" s="1"/>
      <c r="M10" s="1"/>
      <c r="N10" s="18"/>
    </row>
    <row r="11" spans="2:14" ht="15" customHeight="1" x14ac:dyDescent="0.25">
      <c r="B11" s="20"/>
      <c r="C11" s="5" t="s">
        <v>15</v>
      </c>
      <c r="D11" s="6" t="s">
        <v>12</v>
      </c>
      <c r="E11" s="11">
        <v>1.7302999999999999E-2</v>
      </c>
      <c r="F11" s="1"/>
      <c r="G11" s="1"/>
      <c r="H11" s="1"/>
      <c r="I11" s="1"/>
      <c r="J11" s="24" t="s">
        <v>52</v>
      </c>
      <c r="K11" s="30">
        <v>0.120628</v>
      </c>
      <c r="L11" s="1"/>
      <c r="M11" s="1"/>
      <c r="N11" s="18"/>
    </row>
    <row r="12" spans="2:14" ht="15" customHeight="1" x14ac:dyDescent="0.25">
      <c r="B12" s="20"/>
      <c r="C12" s="5" t="s">
        <v>16</v>
      </c>
      <c r="D12" s="6" t="s">
        <v>12</v>
      </c>
      <c r="E12" s="11">
        <v>1.6868000000000001E-2</v>
      </c>
      <c r="F12" s="1"/>
      <c r="G12" s="1"/>
      <c r="H12" s="1"/>
      <c r="I12" s="1"/>
      <c r="J12" s="24" t="s">
        <v>53</v>
      </c>
      <c r="K12" s="30">
        <v>0.63088900000000003</v>
      </c>
      <c r="L12" s="1"/>
      <c r="M12" s="1"/>
      <c r="N12" s="18"/>
    </row>
    <row r="13" spans="2:14" ht="15" customHeight="1" x14ac:dyDescent="0.25">
      <c r="B13" s="20"/>
      <c r="C13" s="5" t="s">
        <v>17</v>
      </c>
      <c r="D13" s="6" t="s">
        <v>12</v>
      </c>
      <c r="E13" s="11">
        <v>3.4099999999999999E-4</v>
      </c>
      <c r="F13" s="1"/>
      <c r="G13" s="1"/>
      <c r="H13" s="1"/>
      <c r="I13" s="1"/>
      <c r="J13" s="24" t="s">
        <v>36</v>
      </c>
      <c r="K13" s="30">
        <v>2.6480000000000002E-3</v>
      </c>
      <c r="L13" s="1"/>
      <c r="M13" s="1"/>
      <c r="N13" s="18"/>
    </row>
    <row r="14" spans="2:14" ht="15.75" customHeight="1" x14ac:dyDescent="0.25">
      <c r="B14" s="20"/>
      <c r="C14" s="7" t="s">
        <v>18</v>
      </c>
      <c r="D14" s="8"/>
      <c r="E14" s="12">
        <v>0.120628</v>
      </c>
      <c r="F14" s="1"/>
      <c r="G14" s="1"/>
      <c r="H14" s="1"/>
      <c r="I14" s="1"/>
      <c r="J14" s="24" t="s">
        <v>54</v>
      </c>
      <c r="K14" s="30">
        <v>0.19828100000000001</v>
      </c>
      <c r="L14" s="1"/>
      <c r="M14" s="1"/>
      <c r="N14" s="18"/>
    </row>
    <row r="15" spans="2:14" ht="15" customHeight="1" x14ac:dyDescent="0.25">
      <c r="B15" s="20"/>
      <c r="C15" s="5" t="s">
        <v>19</v>
      </c>
      <c r="D15" s="6" t="s">
        <v>20</v>
      </c>
      <c r="E15" s="11">
        <v>9.8053000000000001E-2</v>
      </c>
      <c r="F15" s="1"/>
      <c r="G15" s="1"/>
      <c r="H15" s="1"/>
      <c r="I15" s="1"/>
      <c r="J15" s="24" t="s">
        <v>55</v>
      </c>
      <c r="K15" s="30">
        <v>8.5000000000000006E-5</v>
      </c>
      <c r="L15" s="1"/>
      <c r="M15" s="1"/>
      <c r="N15" s="18"/>
    </row>
    <row r="16" spans="2:14" ht="15" customHeight="1" x14ac:dyDescent="0.25">
      <c r="B16" s="20"/>
      <c r="C16" s="5" t="s">
        <v>21</v>
      </c>
      <c r="D16" s="6" t="s">
        <v>20</v>
      </c>
      <c r="E16" s="11">
        <v>9.6676999999999999E-2</v>
      </c>
      <c r="F16" s="1"/>
      <c r="G16" s="1"/>
      <c r="H16" s="1"/>
      <c r="I16" s="1"/>
      <c r="J16" s="1"/>
      <c r="K16" s="1"/>
      <c r="L16" s="1"/>
      <c r="M16" s="1"/>
      <c r="N16" s="18"/>
    </row>
    <row r="17" spans="2:14" ht="15" customHeight="1" x14ac:dyDescent="0.25">
      <c r="B17" s="20"/>
      <c r="C17" s="5" t="s">
        <v>22</v>
      </c>
      <c r="D17" s="6" t="s">
        <v>20</v>
      </c>
      <c r="E17" s="11">
        <v>9.0672000000000003E-2</v>
      </c>
      <c r="F17" s="1"/>
      <c r="G17" s="1"/>
      <c r="H17" s="1"/>
      <c r="I17" s="1"/>
      <c r="J17" s="1"/>
      <c r="K17" s="1"/>
      <c r="L17" s="1"/>
      <c r="M17" s="1"/>
      <c r="N17" s="18"/>
    </row>
    <row r="18" spans="2:14" ht="15" customHeight="1" x14ac:dyDescent="0.25">
      <c r="B18" s="20"/>
      <c r="C18" s="5" t="s">
        <v>23</v>
      </c>
      <c r="D18" s="6" t="s">
        <v>20</v>
      </c>
      <c r="E18" s="11">
        <v>5.8198E-2</v>
      </c>
      <c r="F18" s="1"/>
      <c r="G18" s="1"/>
      <c r="H18" s="1"/>
      <c r="I18" s="1"/>
      <c r="J18" s="1"/>
      <c r="K18" s="1"/>
      <c r="L18" s="1"/>
      <c r="M18" s="1"/>
      <c r="N18" s="18"/>
    </row>
    <row r="19" spans="2:14" ht="15" customHeight="1" x14ac:dyDescent="0.25">
      <c r="B19" s="20"/>
      <c r="C19" s="5" t="s">
        <v>24</v>
      </c>
      <c r="D19" s="6" t="s">
        <v>20</v>
      </c>
      <c r="E19" s="11">
        <v>4.9051999999999998E-2</v>
      </c>
      <c r="F19" s="1"/>
      <c r="G19" s="1"/>
      <c r="H19" s="1"/>
      <c r="I19" s="1"/>
      <c r="J19" s="1"/>
      <c r="K19" s="1"/>
      <c r="L19" s="1"/>
      <c r="M19" s="1"/>
      <c r="N19" s="18"/>
    </row>
    <row r="20" spans="2:14" ht="15" customHeight="1" x14ac:dyDescent="0.25">
      <c r="B20" s="20"/>
      <c r="C20" s="5" t="s">
        <v>25</v>
      </c>
      <c r="D20" s="6" t="s">
        <v>20</v>
      </c>
      <c r="E20" s="11">
        <v>4.4714999999999998E-2</v>
      </c>
      <c r="F20" s="1"/>
      <c r="G20" s="1"/>
      <c r="H20" s="1"/>
      <c r="I20" s="1"/>
      <c r="J20" s="1"/>
      <c r="K20" s="1"/>
      <c r="L20" s="1"/>
      <c r="M20" s="1"/>
      <c r="N20" s="18"/>
    </row>
    <row r="21" spans="2:14" ht="15" customHeight="1" x14ac:dyDescent="0.25">
      <c r="B21" s="20"/>
      <c r="C21" s="5" t="s">
        <v>17</v>
      </c>
      <c r="D21" s="6" t="s">
        <v>20</v>
      </c>
      <c r="E21" s="11">
        <v>4.2602000000000001E-2</v>
      </c>
      <c r="F21" s="1"/>
      <c r="G21" s="1"/>
      <c r="H21" s="1"/>
      <c r="I21" s="1"/>
      <c r="J21" s="1"/>
      <c r="K21" s="1"/>
      <c r="L21" s="1"/>
      <c r="M21" s="1"/>
      <c r="N21" s="18"/>
    </row>
    <row r="22" spans="2:14" ht="15" customHeight="1" x14ac:dyDescent="0.25">
      <c r="B22" s="20"/>
      <c r="C22" s="5" t="s">
        <v>26</v>
      </c>
      <c r="D22" s="6" t="s">
        <v>20</v>
      </c>
      <c r="E22" s="11">
        <v>3.4125999999999997E-2</v>
      </c>
      <c r="F22" s="1"/>
      <c r="G22" s="1"/>
      <c r="H22" s="1"/>
      <c r="I22" s="1"/>
      <c r="J22" s="1"/>
      <c r="K22" s="1"/>
      <c r="L22" s="1"/>
      <c r="M22" s="1"/>
      <c r="N22" s="18"/>
    </row>
    <row r="23" spans="2:14" ht="15" customHeight="1" x14ac:dyDescent="0.25">
      <c r="B23" s="20"/>
      <c r="C23" s="5" t="s">
        <v>27</v>
      </c>
      <c r="D23" s="6" t="s">
        <v>20</v>
      </c>
      <c r="E23" s="11">
        <v>3.0542E-2</v>
      </c>
      <c r="F23" s="1"/>
      <c r="G23" s="1"/>
      <c r="H23" s="1"/>
      <c r="I23" s="1"/>
      <c r="J23" s="1"/>
      <c r="K23" s="1"/>
      <c r="L23" s="1"/>
      <c r="M23" s="1"/>
      <c r="N23" s="18"/>
    </row>
    <row r="24" spans="2:14" ht="15" customHeight="1" x14ac:dyDescent="0.25">
      <c r="B24" s="20"/>
      <c r="C24" s="5" t="s">
        <v>28</v>
      </c>
      <c r="D24" s="6" t="s">
        <v>20</v>
      </c>
      <c r="E24" s="11">
        <v>2.7626000000000001E-2</v>
      </c>
      <c r="F24" s="1"/>
      <c r="G24" s="86" t="s">
        <v>6</v>
      </c>
      <c r="H24" s="87"/>
      <c r="I24" s="87"/>
      <c r="J24" s="87"/>
      <c r="K24" s="87"/>
      <c r="L24" s="26">
        <v>3.0009387664308647</v>
      </c>
      <c r="M24" s="27"/>
      <c r="N24" s="28"/>
    </row>
    <row r="25" spans="2:14" ht="15" customHeight="1" x14ac:dyDescent="0.25">
      <c r="B25" s="20"/>
      <c r="C25" s="5" t="s">
        <v>29</v>
      </c>
      <c r="D25" s="6" t="s">
        <v>20</v>
      </c>
      <c r="E25" s="11">
        <v>2.2811999999999999E-2</v>
      </c>
      <c r="F25" s="1"/>
      <c r="G25" s="1"/>
      <c r="H25" s="1"/>
      <c r="I25" s="1"/>
      <c r="J25" s="1"/>
      <c r="K25" s="1"/>
      <c r="L25" s="1"/>
      <c r="M25" s="1"/>
      <c r="N25" s="18"/>
    </row>
    <row r="26" spans="2:14" ht="15" customHeight="1" x14ac:dyDescent="0.25">
      <c r="B26" s="20"/>
      <c r="C26" s="5" t="s">
        <v>30</v>
      </c>
      <c r="D26" s="6" t="s">
        <v>20</v>
      </c>
      <c r="E26" s="11">
        <v>2.1779E-2</v>
      </c>
      <c r="F26" s="1"/>
      <c r="G26" s="86" t="s">
        <v>7</v>
      </c>
      <c r="H26" s="87"/>
      <c r="I26" s="87"/>
      <c r="J26" s="87"/>
      <c r="K26" s="87"/>
      <c r="L26" s="87"/>
      <c r="M26" s="87"/>
      <c r="N26" s="88"/>
    </row>
    <row r="27" spans="2:14" ht="15" customHeight="1" x14ac:dyDescent="0.25">
      <c r="B27" s="20"/>
      <c r="C27" s="5" t="s">
        <v>11</v>
      </c>
      <c r="D27" s="6" t="s">
        <v>20</v>
      </c>
      <c r="E27" s="11">
        <v>7.7790000000000003E-3</v>
      </c>
      <c r="F27" s="1"/>
      <c r="G27" s="1"/>
      <c r="H27" s="1"/>
      <c r="I27" s="1"/>
      <c r="J27" s="1"/>
      <c r="K27" s="1"/>
      <c r="L27" s="1"/>
      <c r="M27" s="1"/>
      <c r="N27" s="18"/>
    </row>
    <row r="28" spans="2:14" ht="15" customHeight="1" x14ac:dyDescent="0.25">
      <c r="B28" s="20"/>
      <c r="C28" s="5" t="s">
        <v>31</v>
      </c>
      <c r="D28" s="6" t="s">
        <v>20</v>
      </c>
      <c r="E28" s="11">
        <v>3.3679999999999999E-3</v>
      </c>
      <c r="F28" s="1"/>
      <c r="G28" s="1"/>
      <c r="H28" s="1"/>
      <c r="I28" s="1"/>
      <c r="J28" s="1"/>
      <c r="K28" s="1"/>
      <c r="L28" s="1"/>
      <c r="M28" s="1"/>
      <c r="N28" s="18"/>
    </row>
    <row r="29" spans="2:14" ht="15" customHeight="1" x14ac:dyDescent="0.25">
      <c r="B29" s="20"/>
      <c r="C29" s="5" t="s">
        <v>32</v>
      </c>
      <c r="D29" s="6" t="s">
        <v>20</v>
      </c>
      <c r="E29" s="11">
        <v>1.7589999999999999E-3</v>
      </c>
      <c r="F29" s="1"/>
      <c r="G29" s="1"/>
      <c r="H29" s="1"/>
      <c r="I29" s="1"/>
      <c r="J29" s="1"/>
      <c r="K29" s="1"/>
      <c r="L29" s="1"/>
      <c r="M29" s="1"/>
      <c r="N29" s="18"/>
    </row>
    <row r="30" spans="2:14" ht="15" customHeight="1" x14ac:dyDescent="0.25">
      <c r="B30" s="20"/>
      <c r="C30" s="5" t="s">
        <v>33</v>
      </c>
      <c r="D30" s="6" t="s">
        <v>20</v>
      </c>
      <c r="E30" s="11">
        <v>1.023E-3</v>
      </c>
      <c r="F30" s="1"/>
      <c r="G30" s="1"/>
      <c r="H30" s="1"/>
      <c r="I30" s="1"/>
      <c r="J30" s="1"/>
      <c r="K30" s="1"/>
      <c r="L30" s="1"/>
      <c r="M30" s="1"/>
      <c r="N30" s="18"/>
    </row>
    <row r="31" spans="2:14" ht="15" customHeight="1" x14ac:dyDescent="0.25">
      <c r="B31" s="20"/>
      <c r="C31" s="5" t="s">
        <v>34</v>
      </c>
      <c r="D31" s="6" t="s">
        <v>20</v>
      </c>
      <c r="E31" s="11">
        <v>1.06E-4</v>
      </c>
      <c r="F31" s="1"/>
      <c r="G31" s="1"/>
      <c r="H31" s="1"/>
      <c r="I31" s="1"/>
      <c r="J31" s="1"/>
      <c r="K31" s="1"/>
      <c r="L31" s="1"/>
      <c r="M31" s="1"/>
      <c r="N31" s="18"/>
    </row>
    <row r="32" spans="2:14" ht="15.75" customHeight="1" x14ac:dyDescent="0.25">
      <c r="B32" s="20"/>
      <c r="C32" s="7" t="s">
        <v>35</v>
      </c>
      <c r="D32" s="8"/>
      <c r="E32" s="12">
        <v>0.63088900000000003</v>
      </c>
      <c r="F32" s="1"/>
      <c r="G32" s="1"/>
      <c r="H32" s="1"/>
      <c r="I32" s="1"/>
      <c r="J32" s="1"/>
      <c r="K32" s="1"/>
      <c r="L32" s="1"/>
      <c r="M32" s="1"/>
      <c r="N32" s="18"/>
    </row>
    <row r="33" spans="2:14" ht="15" customHeight="1" x14ac:dyDescent="0.25">
      <c r="B33" s="20"/>
      <c r="C33" s="5" t="s">
        <v>36</v>
      </c>
      <c r="D33" s="6"/>
      <c r="E33" s="11">
        <v>2.6480000000000002E-3</v>
      </c>
      <c r="F33" s="1"/>
      <c r="G33" s="1"/>
      <c r="H33" s="1"/>
      <c r="I33" s="1"/>
      <c r="J33" s="1"/>
      <c r="K33" s="1"/>
      <c r="L33" s="1"/>
      <c r="M33" s="1"/>
      <c r="N33" s="18"/>
    </row>
    <row r="34" spans="2:14" ht="15.75" customHeight="1" x14ac:dyDescent="0.25">
      <c r="B34" s="20"/>
      <c r="C34" s="7" t="s">
        <v>37</v>
      </c>
      <c r="D34" s="8"/>
      <c r="E34" s="12">
        <v>2.6480000000000002E-3</v>
      </c>
      <c r="F34" s="1"/>
      <c r="G34" s="1"/>
      <c r="H34" s="1"/>
      <c r="I34" s="1"/>
      <c r="J34" s="1"/>
      <c r="K34" s="1"/>
      <c r="L34" s="1"/>
      <c r="M34" s="1"/>
      <c r="N34" s="18"/>
    </row>
    <row r="35" spans="2:14" ht="15" customHeight="1" x14ac:dyDescent="0.25">
      <c r="B35" s="20"/>
      <c r="C35" s="5" t="s">
        <v>38</v>
      </c>
      <c r="D35" s="6" t="s">
        <v>184</v>
      </c>
      <c r="E35" s="11">
        <v>9.6721000000000001E-2</v>
      </c>
      <c r="F35" s="1"/>
      <c r="G35" s="1"/>
      <c r="H35" s="1"/>
      <c r="I35" s="1"/>
      <c r="J35" s="1"/>
      <c r="K35" s="1"/>
      <c r="L35" s="1"/>
      <c r="M35" s="1"/>
      <c r="N35" s="18"/>
    </row>
    <row r="36" spans="2:14" ht="15" customHeight="1" x14ac:dyDescent="0.25">
      <c r="B36" s="20"/>
      <c r="C36" s="5" t="s">
        <v>39</v>
      </c>
      <c r="D36" s="6" t="s">
        <v>184</v>
      </c>
      <c r="E36" s="11">
        <v>4.0965000000000001E-2</v>
      </c>
      <c r="F36" s="1"/>
      <c r="G36" s="1"/>
      <c r="H36" s="1"/>
      <c r="I36" s="1"/>
      <c r="J36" s="1"/>
      <c r="K36" s="1"/>
      <c r="L36" s="1"/>
      <c r="M36" s="1"/>
      <c r="N36" s="18"/>
    </row>
    <row r="37" spans="2:14" ht="15" customHeight="1" x14ac:dyDescent="0.25">
      <c r="B37" s="20"/>
      <c r="C37" s="5" t="s">
        <v>40</v>
      </c>
      <c r="D37" s="6" t="s">
        <v>184</v>
      </c>
      <c r="E37" s="11">
        <v>2.4750000000000001E-2</v>
      </c>
      <c r="F37" s="1"/>
      <c r="G37" s="1"/>
      <c r="H37" s="1"/>
      <c r="I37" s="1"/>
      <c r="J37" s="1"/>
      <c r="K37" s="1"/>
      <c r="L37" s="1"/>
      <c r="M37" s="1"/>
      <c r="N37" s="18"/>
    </row>
    <row r="38" spans="2:14" ht="15" customHeight="1" x14ac:dyDescent="0.25">
      <c r="B38" s="20"/>
      <c r="C38" s="5" t="s">
        <v>41</v>
      </c>
      <c r="D38" s="6" t="s">
        <v>184</v>
      </c>
      <c r="E38" s="11">
        <v>2.0435999999999999E-2</v>
      </c>
      <c r="F38" s="1"/>
      <c r="G38" s="1"/>
      <c r="H38" s="1"/>
      <c r="I38" s="1"/>
      <c r="J38" s="1"/>
      <c r="K38" s="1"/>
      <c r="L38" s="1"/>
      <c r="M38" s="1"/>
      <c r="N38" s="18"/>
    </row>
    <row r="39" spans="2:14" ht="15" customHeight="1" x14ac:dyDescent="0.25">
      <c r="B39" s="20"/>
      <c r="C39" s="5" t="s">
        <v>42</v>
      </c>
      <c r="D39" s="6" t="s">
        <v>184</v>
      </c>
      <c r="E39" s="11">
        <v>1.2182E-2</v>
      </c>
      <c r="F39" s="1"/>
      <c r="G39" s="1"/>
      <c r="H39" s="1"/>
      <c r="I39" s="1"/>
      <c r="J39" s="1"/>
      <c r="K39" s="1"/>
      <c r="L39" s="1"/>
      <c r="M39" s="1"/>
      <c r="N39" s="18"/>
    </row>
    <row r="40" spans="2:14" ht="15" customHeight="1" x14ac:dyDescent="0.25">
      <c r="B40" s="20"/>
      <c r="C40" s="5" t="s">
        <v>43</v>
      </c>
      <c r="D40" s="6" t="s">
        <v>184</v>
      </c>
      <c r="E40" s="11">
        <v>3.2269999999999998E-3</v>
      </c>
      <c r="F40" s="1"/>
      <c r="G40" s="1"/>
      <c r="H40" s="1"/>
      <c r="I40" s="1"/>
      <c r="J40" s="1"/>
      <c r="K40" s="1"/>
      <c r="L40" s="1"/>
      <c r="M40" s="1"/>
      <c r="N40" s="18"/>
    </row>
    <row r="41" spans="2:14" ht="15.75" customHeight="1" x14ac:dyDescent="0.25">
      <c r="B41" s="20"/>
      <c r="C41" s="7" t="s">
        <v>44</v>
      </c>
      <c r="D41" s="8"/>
      <c r="E41" s="12">
        <v>0.19828100000000001</v>
      </c>
      <c r="F41" s="1"/>
      <c r="G41" s="1"/>
      <c r="H41" s="1"/>
      <c r="I41" s="1"/>
      <c r="J41" s="1"/>
      <c r="K41" s="1"/>
      <c r="L41" s="1"/>
      <c r="M41" s="1"/>
      <c r="N41" s="18"/>
    </row>
    <row r="42" spans="2:14" ht="15" customHeight="1" x14ac:dyDescent="0.25">
      <c r="B42" s="20"/>
      <c r="C42" s="5" t="s">
        <v>215</v>
      </c>
      <c r="D42" s="6" t="s">
        <v>184</v>
      </c>
      <c r="E42" s="11">
        <v>8.5000000000000006E-5</v>
      </c>
      <c r="F42" s="1"/>
      <c r="G42" s="1"/>
      <c r="H42" s="1"/>
      <c r="I42" s="1"/>
      <c r="J42" s="1"/>
      <c r="K42" s="1"/>
      <c r="L42" s="1"/>
      <c r="M42" s="1"/>
      <c r="N42" s="18"/>
    </row>
    <row r="43" spans="2:14" ht="15.75" customHeight="1" x14ac:dyDescent="0.25">
      <c r="B43" s="20"/>
      <c r="C43" s="7" t="s">
        <v>45</v>
      </c>
      <c r="D43" s="8"/>
      <c r="E43" s="12">
        <v>8.5000000000000006E-5</v>
      </c>
      <c r="F43" s="1"/>
      <c r="G43" s="1"/>
      <c r="H43" s="1"/>
      <c r="I43" s="1"/>
      <c r="J43" s="1"/>
      <c r="K43" s="1"/>
      <c r="L43" s="1"/>
      <c r="M43" s="1"/>
      <c r="N43" s="18"/>
    </row>
    <row r="44" spans="2:14" ht="15" customHeight="1" x14ac:dyDescent="0.25">
      <c r="B44" s="20"/>
      <c r="C44" s="5" t="s">
        <v>46</v>
      </c>
      <c r="D44" s="6"/>
      <c r="E44" s="11">
        <v>2.4617E-2</v>
      </c>
      <c r="F44" s="1"/>
      <c r="G44" s="1"/>
      <c r="H44" s="1"/>
      <c r="I44" s="1"/>
      <c r="J44" s="1"/>
      <c r="K44" s="1"/>
      <c r="L44" s="1"/>
      <c r="M44" s="1"/>
      <c r="N44" s="18"/>
    </row>
    <row r="45" spans="2:14" ht="15.75" customHeight="1" x14ac:dyDescent="0.25">
      <c r="B45" s="20"/>
      <c r="C45" s="7" t="s">
        <v>47</v>
      </c>
      <c r="D45" s="8"/>
      <c r="E45" s="12">
        <v>2.4617E-2</v>
      </c>
      <c r="F45" s="1"/>
      <c r="G45" s="1"/>
      <c r="H45" s="1"/>
      <c r="I45" s="1"/>
      <c r="J45" s="1"/>
      <c r="K45" s="1"/>
      <c r="L45" s="1"/>
      <c r="M45" s="1"/>
      <c r="N45" s="18"/>
    </row>
    <row r="46" spans="2:14" ht="15" customHeight="1" x14ac:dyDescent="0.25">
      <c r="B46" s="20"/>
      <c r="C46" s="5"/>
      <c r="D46" s="6"/>
      <c r="E46" s="11"/>
      <c r="F46" s="1"/>
      <c r="G46" s="1"/>
      <c r="H46" s="1"/>
      <c r="I46" s="1"/>
      <c r="J46" s="1"/>
      <c r="K46" s="1"/>
      <c r="L46" s="1"/>
      <c r="M46" s="1"/>
      <c r="N46" s="18"/>
    </row>
    <row r="47" spans="2:14" ht="15.75" customHeight="1" x14ac:dyDescent="0.25">
      <c r="B47" s="20"/>
      <c r="C47" s="7" t="s">
        <v>48</v>
      </c>
      <c r="D47" s="8"/>
      <c r="E47" s="12">
        <v>2.2852000000000001E-2</v>
      </c>
      <c r="F47" s="1"/>
      <c r="G47" s="1"/>
      <c r="H47" s="1"/>
      <c r="I47" s="1"/>
      <c r="J47" s="1"/>
      <c r="K47" s="1"/>
      <c r="L47" s="1"/>
      <c r="M47" s="1"/>
      <c r="N47" s="18"/>
    </row>
    <row r="48" spans="2:14" ht="15" customHeight="1" x14ac:dyDescent="0.25">
      <c r="B48" s="20"/>
      <c r="C48" s="5"/>
      <c r="D48" s="6"/>
      <c r="E48" s="11"/>
      <c r="F48" s="1"/>
      <c r="G48" s="1"/>
      <c r="H48" s="1"/>
      <c r="I48" s="1"/>
      <c r="J48" s="1"/>
      <c r="K48" s="1"/>
      <c r="L48" s="1"/>
      <c r="M48" s="1"/>
      <c r="N48" s="18"/>
    </row>
    <row r="49" spans="2:14" ht="15" customHeight="1" x14ac:dyDescent="0.25">
      <c r="B49" s="20"/>
      <c r="C49" s="9" t="s">
        <v>49</v>
      </c>
      <c r="D49" s="10"/>
      <c r="E49" s="13">
        <v>1</v>
      </c>
      <c r="F49" s="1"/>
      <c r="G49" s="1"/>
      <c r="H49" s="1"/>
      <c r="I49" s="1"/>
      <c r="J49" s="1"/>
      <c r="K49" s="1"/>
      <c r="L49" s="1"/>
      <c r="M49" s="1"/>
      <c r="N49" s="18"/>
    </row>
    <row r="50" spans="2:14" ht="15" customHeight="1" x14ac:dyDescent="0.25">
      <c r="B50" s="20"/>
      <c r="C50" s="1"/>
      <c r="D50" s="1"/>
      <c r="E50" s="1"/>
      <c r="F50" s="1"/>
      <c r="G50" s="1"/>
      <c r="H50" s="1"/>
      <c r="I50" s="1"/>
      <c r="J50" s="1"/>
      <c r="K50" s="1"/>
      <c r="L50" s="1"/>
      <c r="M50" s="1"/>
      <c r="N50" s="18"/>
    </row>
    <row r="51" spans="2:14" ht="15" customHeight="1" thickBot="1" x14ac:dyDescent="0.3">
      <c r="B51" s="21"/>
      <c r="C51" s="22"/>
      <c r="D51" s="22"/>
      <c r="E51" s="22"/>
      <c r="F51" s="22"/>
      <c r="G51" s="22"/>
      <c r="H51" s="22"/>
      <c r="I51" s="22"/>
      <c r="J51" s="22"/>
      <c r="K51" s="22"/>
      <c r="L51" s="22"/>
      <c r="M51" s="22"/>
      <c r="N51" s="23"/>
    </row>
    <row r="52" spans="2:14" ht="15" customHeight="1" thickBot="1" x14ac:dyDescent="0.3"/>
    <row r="53" spans="2:14" ht="15" customHeight="1" x14ac:dyDescent="0.25">
      <c r="B53" s="69" t="s">
        <v>274</v>
      </c>
      <c r="C53" s="70"/>
      <c r="D53" s="70"/>
      <c r="E53" s="70"/>
      <c r="F53" s="70"/>
      <c r="G53" s="70"/>
      <c r="H53" s="70"/>
      <c r="I53" s="70"/>
      <c r="J53" s="70"/>
      <c r="K53" s="70"/>
      <c r="L53" s="70"/>
      <c r="M53" s="70"/>
      <c r="N53" s="71"/>
    </row>
    <row r="54" spans="2:14" ht="15" customHeight="1" x14ac:dyDescent="0.25">
      <c r="B54" s="72"/>
      <c r="C54" s="73"/>
      <c r="D54" s="73"/>
      <c r="E54" s="73"/>
      <c r="F54" s="73"/>
      <c r="G54" s="73"/>
      <c r="H54" s="73"/>
      <c r="I54" s="73"/>
      <c r="J54" s="73"/>
      <c r="K54" s="73"/>
      <c r="L54" s="73"/>
      <c r="M54" s="73"/>
      <c r="N54" s="74"/>
    </row>
    <row r="55" spans="2:14" ht="15" customHeight="1" x14ac:dyDescent="0.25">
      <c r="B55" s="72"/>
      <c r="C55" s="73"/>
      <c r="D55" s="73"/>
      <c r="E55" s="73"/>
      <c r="F55" s="73"/>
      <c r="G55" s="73"/>
      <c r="H55" s="73"/>
      <c r="I55" s="73"/>
      <c r="J55" s="73"/>
      <c r="K55" s="73"/>
      <c r="L55" s="73"/>
      <c r="M55" s="73"/>
      <c r="N55" s="74"/>
    </row>
    <row r="56" spans="2:14" ht="15" customHeight="1" thickBot="1" x14ac:dyDescent="0.3">
      <c r="B56" s="75"/>
      <c r="C56" s="76"/>
      <c r="D56" s="76"/>
      <c r="E56" s="76"/>
      <c r="F56" s="76"/>
      <c r="G56" s="76"/>
      <c r="H56" s="76"/>
      <c r="I56" s="76"/>
      <c r="J56" s="76"/>
      <c r="K56" s="76"/>
      <c r="L56" s="76"/>
      <c r="M56" s="76"/>
      <c r="N56" s="77"/>
    </row>
    <row r="57" spans="2:14" ht="15" customHeight="1" thickBot="1" x14ac:dyDescent="0.3"/>
    <row r="58" spans="2:14" ht="134.25" customHeight="1" thickBot="1" x14ac:dyDescent="0.3">
      <c r="B58" s="78" t="s">
        <v>273</v>
      </c>
      <c r="C58" s="79"/>
      <c r="D58" s="79"/>
      <c r="E58" s="79"/>
      <c r="F58" s="79"/>
      <c r="G58" s="79"/>
      <c r="H58" s="79"/>
      <c r="I58" s="79"/>
      <c r="J58" s="79"/>
      <c r="K58" s="79"/>
      <c r="L58" s="79"/>
      <c r="M58" s="79"/>
      <c r="N58" s="80"/>
    </row>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row r="73" ht="15" customHeight="1" x14ac:dyDescent="0.25"/>
  </sheetData>
  <mergeCells count="7">
    <mergeCell ref="B53:N56"/>
    <mergeCell ref="B58:N58"/>
    <mergeCell ref="C3:N3"/>
    <mergeCell ref="D5:E5"/>
    <mergeCell ref="G7:N7"/>
    <mergeCell ref="G24:K24"/>
    <mergeCell ref="G26:N2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61DB8-9241-40DA-AF1A-28C46A2D1AEA}">
  <dimension ref="B1:N72"/>
  <sheetViews>
    <sheetView showGridLines="0" zoomScale="75" zoomScaleNormal="75" workbookViewId="0"/>
  </sheetViews>
  <sheetFormatPr defaultRowHeight="15" x14ac:dyDescent="0.25"/>
  <cols>
    <col min="1" max="1" width="2.85546875" customWidth="1"/>
    <col min="2" max="2" width="3.85546875" customWidth="1"/>
    <col min="3" max="3" width="60.1406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71</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9</v>
      </c>
      <c r="D5" s="84" t="s">
        <v>72</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26</v>
      </c>
      <c r="D8" s="6" t="s">
        <v>20</v>
      </c>
      <c r="E8" s="11">
        <v>0.104627</v>
      </c>
      <c r="F8" s="1"/>
      <c r="G8" s="24" t="s">
        <v>4</v>
      </c>
      <c r="H8" s="25">
        <v>1</v>
      </c>
      <c r="I8" s="1"/>
      <c r="J8" s="24" t="s">
        <v>50</v>
      </c>
      <c r="K8" s="24" t="s">
        <v>3</v>
      </c>
      <c r="L8" s="1"/>
      <c r="M8" s="1"/>
      <c r="N8" s="18"/>
    </row>
    <row r="9" spans="2:14" ht="15" customHeight="1" x14ac:dyDescent="0.25">
      <c r="B9" s="20"/>
      <c r="C9" s="5" t="s">
        <v>19</v>
      </c>
      <c r="D9" s="6" t="s">
        <v>20</v>
      </c>
      <c r="E9" s="11">
        <v>9.5898999999999998E-2</v>
      </c>
      <c r="F9" s="1"/>
      <c r="G9" s="1"/>
      <c r="H9" s="1"/>
      <c r="I9" s="1"/>
      <c r="J9" s="24" t="s">
        <v>48</v>
      </c>
      <c r="K9" s="30">
        <v>2.8136000000000001E-2</v>
      </c>
      <c r="L9" s="1"/>
      <c r="M9" s="1"/>
      <c r="N9" s="18"/>
    </row>
    <row r="10" spans="2:14" ht="15" customHeight="1" x14ac:dyDescent="0.25">
      <c r="B10" s="20"/>
      <c r="C10" s="5" t="s">
        <v>73</v>
      </c>
      <c r="D10" s="6" t="s">
        <v>20</v>
      </c>
      <c r="E10" s="11">
        <v>8.3116999999999996E-2</v>
      </c>
      <c r="F10" s="1"/>
      <c r="G10" s="1"/>
      <c r="H10" s="1"/>
      <c r="I10" s="1"/>
      <c r="J10" s="24" t="s">
        <v>51</v>
      </c>
      <c r="K10" s="30">
        <v>1.3934999999999999E-2</v>
      </c>
      <c r="L10" s="1"/>
      <c r="M10" s="1"/>
      <c r="N10" s="18"/>
    </row>
    <row r="11" spans="2:14" ht="15" customHeight="1" x14ac:dyDescent="0.25">
      <c r="B11" s="20"/>
      <c r="C11" s="5" t="s">
        <v>25</v>
      </c>
      <c r="D11" s="6" t="s">
        <v>20</v>
      </c>
      <c r="E11" s="11">
        <v>7.7335000000000001E-2</v>
      </c>
      <c r="F11" s="1"/>
      <c r="G11" s="1"/>
      <c r="H11" s="1"/>
      <c r="I11" s="1"/>
      <c r="J11" s="24" t="s">
        <v>53</v>
      </c>
      <c r="K11" s="30">
        <v>0.68190300000000004</v>
      </c>
      <c r="L11" s="1"/>
      <c r="M11" s="1"/>
      <c r="N11" s="18"/>
    </row>
    <row r="12" spans="2:14" ht="15" customHeight="1" x14ac:dyDescent="0.25">
      <c r="B12" s="20"/>
      <c r="C12" s="5" t="s">
        <v>68</v>
      </c>
      <c r="D12" s="6" t="s">
        <v>20</v>
      </c>
      <c r="E12" s="11">
        <v>5.8726E-2</v>
      </c>
      <c r="F12" s="1"/>
      <c r="G12" s="1"/>
      <c r="H12" s="1"/>
      <c r="I12" s="1"/>
      <c r="J12" s="24" t="s">
        <v>36</v>
      </c>
      <c r="K12" s="30">
        <v>2.9229999999999998E-3</v>
      </c>
      <c r="L12" s="1"/>
      <c r="M12" s="1"/>
      <c r="N12" s="18"/>
    </row>
    <row r="13" spans="2:14" ht="15" customHeight="1" x14ac:dyDescent="0.25">
      <c r="B13" s="20"/>
      <c r="C13" s="5" t="s">
        <v>21</v>
      </c>
      <c r="D13" s="6" t="s">
        <v>20</v>
      </c>
      <c r="E13" s="11">
        <v>4.7806000000000001E-2</v>
      </c>
      <c r="F13" s="1"/>
      <c r="G13" s="1"/>
      <c r="H13" s="1"/>
      <c r="I13" s="1"/>
      <c r="J13" s="24" t="s">
        <v>54</v>
      </c>
      <c r="K13" s="30">
        <v>0.26372200000000001</v>
      </c>
      <c r="L13" s="1"/>
      <c r="M13" s="1"/>
      <c r="N13" s="18"/>
    </row>
    <row r="14" spans="2:14" ht="15" customHeight="1" x14ac:dyDescent="0.25">
      <c r="B14" s="20"/>
      <c r="C14" s="5" t="s">
        <v>17</v>
      </c>
      <c r="D14" s="6" t="s">
        <v>20</v>
      </c>
      <c r="E14" s="11">
        <v>4.1066999999999999E-2</v>
      </c>
      <c r="F14" s="1"/>
      <c r="G14" s="1"/>
      <c r="H14" s="1"/>
      <c r="I14" s="1"/>
      <c r="J14" s="24"/>
      <c r="K14" s="30"/>
      <c r="L14" s="1"/>
      <c r="M14" s="1"/>
      <c r="N14" s="18"/>
    </row>
    <row r="15" spans="2:14" ht="15" customHeight="1" x14ac:dyDescent="0.25">
      <c r="B15" s="20"/>
      <c r="C15" s="5" t="s">
        <v>24</v>
      </c>
      <c r="D15" s="6" t="s">
        <v>20</v>
      </c>
      <c r="E15" s="11">
        <v>3.9067999999999999E-2</v>
      </c>
      <c r="F15" s="1"/>
      <c r="G15" s="1"/>
      <c r="H15" s="1"/>
      <c r="I15" s="1"/>
      <c r="J15" s="24" t="s">
        <v>55</v>
      </c>
      <c r="K15" s="30">
        <v>1.8200000000000001E-4</v>
      </c>
      <c r="L15" s="1"/>
      <c r="M15" s="1"/>
      <c r="N15" s="18"/>
    </row>
    <row r="16" spans="2:14" ht="15" customHeight="1" x14ac:dyDescent="0.25">
      <c r="B16" s="20"/>
      <c r="C16" s="5" t="s">
        <v>23</v>
      </c>
      <c r="D16" s="6" t="s">
        <v>20</v>
      </c>
      <c r="E16" s="11">
        <v>2.6179999999999998E-2</v>
      </c>
      <c r="F16" s="1"/>
      <c r="G16" s="1"/>
      <c r="H16" s="1"/>
      <c r="I16" s="1"/>
      <c r="J16" s="24" t="s">
        <v>77</v>
      </c>
      <c r="K16" s="30">
        <v>9.1990000000000006E-3</v>
      </c>
      <c r="L16" s="1"/>
      <c r="M16" s="1"/>
      <c r="N16" s="18"/>
    </row>
    <row r="17" spans="2:14" ht="15" customHeight="1" x14ac:dyDescent="0.25">
      <c r="B17" s="20"/>
      <c r="C17" s="5" t="s">
        <v>64</v>
      </c>
      <c r="D17" s="6" t="s">
        <v>20</v>
      </c>
      <c r="E17" s="11">
        <v>2.2048000000000002E-2</v>
      </c>
      <c r="F17" s="1"/>
      <c r="G17" s="1"/>
      <c r="H17" s="1"/>
      <c r="I17" s="1"/>
      <c r="J17" s="1"/>
      <c r="K17" s="1"/>
      <c r="L17" s="1"/>
      <c r="M17" s="1"/>
      <c r="N17" s="18"/>
    </row>
    <row r="18" spans="2:14" ht="15" customHeight="1" x14ac:dyDescent="0.25">
      <c r="B18" s="20"/>
      <c r="C18" s="5" t="s">
        <v>22</v>
      </c>
      <c r="D18" s="6" t="s">
        <v>20</v>
      </c>
      <c r="E18" s="11">
        <v>1.8422999999999998E-2</v>
      </c>
      <c r="F18" s="1"/>
      <c r="G18" s="1"/>
      <c r="H18" s="1"/>
      <c r="I18" s="1"/>
      <c r="J18" s="1"/>
      <c r="K18" s="1"/>
      <c r="L18" s="1"/>
      <c r="M18" s="1"/>
      <c r="N18" s="18"/>
    </row>
    <row r="19" spans="2:14" ht="15" customHeight="1" x14ac:dyDescent="0.25">
      <c r="B19" s="20"/>
      <c r="C19" s="5" t="s">
        <v>216</v>
      </c>
      <c r="D19" s="6" t="s">
        <v>20</v>
      </c>
      <c r="E19" s="11">
        <v>1.7583999999999999E-2</v>
      </c>
      <c r="F19" s="1"/>
      <c r="G19" s="1"/>
      <c r="H19" s="1"/>
      <c r="I19" s="1"/>
      <c r="J19" s="1"/>
      <c r="K19" s="1"/>
      <c r="L19" s="1"/>
      <c r="M19" s="1"/>
      <c r="N19" s="18"/>
    </row>
    <row r="20" spans="2:14" ht="15" customHeight="1" x14ac:dyDescent="0.25">
      <c r="B20" s="20"/>
      <c r="C20" s="5" t="s">
        <v>63</v>
      </c>
      <c r="D20" s="6" t="s">
        <v>20</v>
      </c>
      <c r="E20" s="11">
        <v>1.461E-2</v>
      </c>
      <c r="F20" s="1"/>
      <c r="G20" s="1"/>
      <c r="H20" s="1"/>
      <c r="I20" s="1"/>
      <c r="J20" s="1"/>
      <c r="K20" s="1"/>
      <c r="L20" s="1"/>
      <c r="M20" s="1"/>
      <c r="N20" s="18"/>
    </row>
    <row r="21" spans="2:14" ht="15" customHeight="1" x14ac:dyDescent="0.25">
      <c r="B21" s="20"/>
      <c r="C21" s="5" t="s">
        <v>28</v>
      </c>
      <c r="D21" s="6" t="s">
        <v>20</v>
      </c>
      <c r="E21" s="11">
        <v>1.4055E-2</v>
      </c>
      <c r="F21" s="1"/>
      <c r="G21" s="1"/>
      <c r="H21" s="1"/>
      <c r="I21" s="1"/>
      <c r="J21" s="1"/>
      <c r="K21" s="1"/>
      <c r="L21" s="1"/>
      <c r="M21" s="1"/>
      <c r="N21" s="18"/>
    </row>
    <row r="22" spans="2:14" ht="15" customHeight="1" x14ac:dyDescent="0.25">
      <c r="B22" s="20"/>
      <c r="C22" s="5" t="s">
        <v>31</v>
      </c>
      <c r="D22" s="6" t="s">
        <v>20</v>
      </c>
      <c r="E22" s="11">
        <v>5.0809999999999996E-3</v>
      </c>
      <c r="F22" s="1"/>
      <c r="G22" s="1"/>
      <c r="H22" s="1"/>
      <c r="I22" s="1"/>
      <c r="J22" s="1"/>
      <c r="K22" s="1"/>
      <c r="L22" s="1"/>
      <c r="M22" s="1"/>
      <c r="N22" s="18"/>
    </row>
    <row r="23" spans="2:14" ht="15" customHeight="1" x14ac:dyDescent="0.25">
      <c r="B23" s="20"/>
      <c r="C23" s="5" t="s">
        <v>74</v>
      </c>
      <c r="D23" s="6" t="s">
        <v>20</v>
      </c>
      <c r="E23" s="11">
        <v>3.8189999999999999E-3</v>
      </c>
      <c r="F23" s="1"/>
      <c r="G23" s="1"/>
      <c r="H23" s="1"/>
      <c r="I23" s="1"/>
      <c r="J23" s="1"/>
      <c r="K23" s="1"/>
      <c r="L23" s="1"/>
      <c r="M23" s="1"/>
      <c r="N23" s="18"/>
    </row>
    <row r="24" spans="2:14" ht="15" customHeight="1" x14ac:dyDescent="0.25">
      <c r="B24" s="20"/>
      <c r="C24" s="5" t="s">
        <v>29</v>
      </c>
      <c r="D24" s="6" t="s">
        <v>20</v>
      </c>
      <c r="E24" s="11">
        <v>2.8700000000000002E-3</v>
      </c>
      <c r="F24" s="1"/>
      <c r="G24" s="86" t="s">
        <v>6</v>
      </c>
      <c r="H24" s="87"/>
      <c r="I24" s="87"/>
      <c r="J24" s="87"/>
      <c r="K24" s="87"/>
      <c r="L24" s="26">
        <v>3.991263703401422</v>
      </c>
      <c r="M24" s="27"/>
      <c r="N24" s="28"/>
    </row>
    <row r="25" spans="2:14" ht="15" customHeight="1" x14ac:dyDescent="0.25">
      <c r="B25" s="20"/>
      <c r="C25" s="5" t="s">
        <v>217</v>
      </c>
      <c r="D25" s="6" t="s">
        <v>20</v>
      </c>
      <c r="E25" s="11">
        <v>1.874E-3</v>
      </c>
      <c r="F25" s="1"/>
      <c r="G25" s="1"/>
      <c r="H25" s="1"/>
      <c r="I25" s="1"/>
      <c r="J25" s="1"/>
      <c r="K25" s="1"/>
      <c r="L25" s="1"/>
      <c r="M25" s="1"/>
      <c r="N25" s="18"/>
    </row>
    <row r="26" spans="2:14" ht="15" customHeight="1" x14ac:dyDescent="0.25">
      <c r="B26" s="20"/>
      <c r="C26" s="5" t="s">
        <v>75</v>
      </c>
      <c r="D26" s="6" t="s">
        <v>20</v>
      </c>
      <c r="E26" s="11">
        <v>1.841E-3</v>
      </c>
      <c r="F26" s="1"/>
      <c r="G26" s="86" t="s">
        <v>7</v>
      </c>
      <c r="H26" s="87"/>
      <c r="I26" s="87"/>
      <c r="J26" s="87"/>
      <c r="K26" s="87"/>
      <c r="L26" s="87"/>
      <c r="M26" s="87"/>
      <c r="N26" s="88"/>
    </row>
    <row r="27" spans="2:14" ht="15" customHeight="1" x14ac:dyDescent="0.25">
      <c r="B27" s="20"/>
      <c r="C27" s="5" t="s">
        <v>69</v>
      </c>
      <c r="D27" s="6" t="s">
        <v>20</v>
      </c>
      <c r="E27" s="11">
        <v>1.8339999999999999E-3</v>
      </c>
      <c r="F27" s="1"/>
      <c r="G27" s="1"/>
      <c r="H27" s="1"/>
      <c r="I27" s="1"/>
      <c r="J27" s="1"/>
      <c r="K27" s="1"/>
      <c r="L27" s="1"/>
      <c r="M27" s="1"/>
      <c r="N27" s="18"/>
    </row>
    <row r="28" spans="2:14" ht="15" customHeight="1" x14ac:dyDescent="0.25">
      <c r="B28" s="20"/>
      <c r="C28" s="5" t="s">
        <v>57</v>
      </c>
      <c r="D28" s="6" t="s">
        <v>20</v>
      </c>
      <c r="E28" s="11">
        <v>1.825E-3</v>
      </c>
      <c r="F28" s="1"/>
      <c r="G28" s="1"/>
      <c r="H28" s="1"/>
      <c r="I28" s="1"/>
      <c r="J28" s="1"/>
      <c r="K28" s="1"/>
      <c r="L28" s="1"/>
      <c r="M28" s="1"/>
      <c r="N28" s="18"/>
    </row>
    <row r="29" spans="2:14" ht="15.75" customHeight="1" x14ac:dyDescent="0.25">
      <c r="B29" s="20"/>
      <c r="C29" s="5" t="s">
        <v>11</v>
      </c>
      <c r="D29" s="6" t="s">
        <v>20</v>
      </c>
      <c r="E29" s="11">
        <v>1.472E-3</v>
      </c>
      <c r="F29" s="1"/>
      <c r="G29" s="1"/>
      <c r="H29" s="1"/>
      <c r="I29" s="1"/>
      <c r="J29" s="1"/>
      <c r="K29" s="1"/>
      <c r="L29" s="1"/>
      <c r="M29" s="1"/>
      <c r="N29" s="18"/>
    </row>
    <row r="30" spans="2:14" ht="15" customHeight="1" x14ac:dyDescent="0.25">
      <c r="B30" s="20"/>
      <c r="C30" s="5" t="s">
        <v>27</v>
      </c>
      <c r="D30" s="6" t="s">
        <v>20</v>
      </c>
      <c r="E30" s="11">
        <v>7.4200000000000004E-4</v>
      </c>
      <c r="F30" s="1"/>
      <c r="G30" s="1"/>
      <c r="H30" s="1"/>
      <c r="I30" s="1"/>
      <c r="J30" s="1"/>
      <c r="K30" s="1"/>
      <c r="L30" s="1"/>
      <c r="M30" s="1"/>
      <c r="N30" s="18"/>
    </row>
    <row r="31" spans="2:14" ht="15.75" customHeight="1" x14ac:dyDescent="0.25">
      <c r="B31" s="20"/>
      <c r="C31" s="7" t="s">
        <v>35</v>
      </c>
      <c r="D31" s="8"/>
      <c r="E31" s="12">
        <v>0.68190300000000004</v>
      </c>
      <c r="F31" s="1"/>
      <c r="G31" s="1"/>
      <c r="H31" s="1"/>
      <c r="I31" s="1"/>
      <c r="J31" s="1"/>
      <c r="K31" s="1"/>
      <c r="L31" s="1"/>
      <c r="M31" s="1"/>
      <c r="N31" s="18"/>
    </row>
    <row r="32" spans="2:14" ht="15" customHeight="1" x14ac:dyDescent="0.25">
      <c r="B32" s="20"/>
      <c r="C32" s="5" t="s">
        <v>36</v>
      </c>
      <c r="D32" s="6"/>
      <c r="E32" s="11">
        <v>2.9229999999999998E-3</v>
      </c>
      <c r="F32" s="1"/>
      <c r="G32" s="1"/>
      <c r="H32" s="1"/>
      <c r="I32" s="1"/>
      <c r="J32" s="1"/>
      <c r="K32" s="1"/>
      <c r="L32" s="1"/>
      <c r="M32" s="1"/>
      <c r="N32" s="18"/>
    </row>
    <row r="33" spans="2:14" ht="15" customHeight="1" x14ac:dyDescent="0.25">
      <c r="B33" s="20"/>
      <c r="C33" s="7" t="s">
        <v>37</v>
      </c>
      <c r="D33" s="8"/>
      <c r="E33" s="12">
        <v>2.9229999999999998E-3</v>
      </c>
      <c r="F33" s="1"/>
      <c r="G33" s="1"/>
      <c r="H33" s="1"/>
      <c r="I33" s="1"/>
      <c r="J33" s="1"/>
      <c r="K33" s="1"/>
      <c r="L33" s="1"/>
      <c r="M33" s="1"/>
      <c r="N33" s="18"/>
    </row>
    <row r="34" spans="2:14" ht="15" customHeight="1" x14ac:dyDescent="0.25">
      <c r="B34" s="20"/>
      <c r="C34" s="5" t="s">
        <v>38</v>
      </c>
      <c r="D34" s="6" t="s">
        <v>184</v>
      </c>
      <c r="E34" s="11">
        <v>9.5792000000000002E-2</v>
      </c>
      <c r="F34" s="1"/>
      <c r="G34" s="1"/>
      <c r="H34" s="1"/>
      <c r="I34" s="1"/>
      <c r="J34" s="1"/>
      <c r="K34" s="1"/>
      <c r="L34" s="1"/>
      <c r="M34" s="1"/>
      <c r="N34" s="18"/>
    </row>
    <row r="35" spans="2:14" ht="15" customHeight="1" x14ac:dyDescent="0.25">
      <c r="B35" s="20"/>
      <c r="C35" s="5" t="s">
        <v>42</v>
      </c>
      <c r="D35" s="6" t="s">
        <v>184</v>
      </c>
      <c r="E35" s="11">
        <v>7.4834999999999999E-2</v>
      </c>
      <c r="F35" s="1"/>
      <c r="G35" s="1"/>
      <c r="H35" s="1"/>
      <c r="I35" s="1"/>
      <c r="J35" s="1"/>
      <c r="K35" s="1"/>
      <c r="L35" s="1"/>
      <c r="M35" s="1"/>
      <c r="N35" s="18"/>
    </row>
    <row r="36" spans="2:14" ht="15.75" customHeight="1" x14ac:dyDescent="0.25">
      <c r="B36" s="20"/>
      <c r="C36" s="5" t="s">
        <v>40</v>
      </c>
      <c r="D36" s="6" t="s">
        <v>184</v>
      </c>
      <c r="E36" s="11">
        <v>7.2875999999999996E-2</v>
      </c>
      <c r="F36" s="1"/>
      <c r="G36" s="1"/>
      <c r="H36" s="1"/>
      <c r="I36" s="1"/>
      <c r="J36" s="1"/>
      <c r="K36" s="1"/>
      <c r="L36" s="1"/>
      <c r="M36" s="1"/>
      <c r="N36" s="18"/>
    </row>
    <row r="37" spans="2:14" ht="15" customHeight="1" x14ac:dyDescent="0.25">
      <c r="B37" s="20"/>
      <c r="C37" s="5" t="s">
        <v>41</v>
      </c>
      <c r="D37" s="6" t="s">
        <v>184</v>
      </c>
      <c r="E37" s="11">
        <v>2.0219000000000001E-2</v>
      </c>
      <c r="F37" s="1"/>
      <c r="G37" s="1"/>
      <c r="H37" s="1"/>
      <c r="I37" s="1"/>
      <c r="J37" s="1"/>
      <c r="K37" s="1"/>
      <c r="L37" s="1"/>
      <c r="M37" s="1"/>
      <c r="N37" s="18"/>
    </row>
    <row r="38" spans="2:14" ht="15" customHeight="1" x14ac:dyDescent="0.25">
      <c r="B38" s="20"/>
      <c r="C38" s="7" t="s">
        <v>44</v>
      </c>
      <c r="D38" s="8"/>
      <c r="E38" s="12">
        <v>0.26372200000000001</v>
      </c>
      <c r="F38" s="1"/>
      <c r="G38" s="1"/>
      <c r="H38" s="1"/>
      <c r="I38" s="1"/>
      <c r="J38" s="1"/>
      <c r="K38" s="1"/>
      <c r="L38" s="1"/>
      <c r="M38" s="1"/>
      <c r="N38" s="18"/>
    </row>
    <row r="39" spans="2:14" ht="15.75" customHeight="1" x14ac:dyDescent="0.25">
      <c r="B39" s="20"/>
      <c r="C39" s="5" t="s">
        <v>218</v>
      </c>
      <c r="D39" s="6" t="s">
        <v>184</v>
      </c>
      <c r="E39" s="11">
        <v>1.8200000000000001E-4</v>
      </c>
      <c r="F39" s="1"/>
      <c r="G39" s="1"/>
      <c r="H39" s="1"/>
      <c r="I39" s="1"/>
      <c r="J39" s="1"/>
      <c r="K39" s="1"/>
      <c r="L39" s="1"/>
      <c r="M39" s="1"/>
      <c r="N39" s="18"/>
    </row>
    <row r="40" spans="2:14" ht="15" customHeight="1" x14ac:dyDescent="0.25">
      <c r="B40" s="20"/>
      <c r="C40" s="7" t="s">
        <v>45</v>
      </c>
      <c r="D40" s="8"/>
      <c r="E40" s="12">
        <v>1.8200000000000001E-4</v>
      </c>
      <c r="F40" s="1"/>
      <c r="G40" s="1"/>
      <c r="H40" s="1"/>
      <c r="I40" s="1"/>
      <c r="J40" s="1"/>
      <c r="K40" s="1"/>
      <c r="L40" s="1"/>
      <c r="M40" s="1"/>
      <c r="N40" s="18"/>
    </row>
    <row r="41" spans="2:14" ht="15.75" customHeight="1" x14ac:dyDescent="0.25">
      <c r="B41" s="20"/>
      <c r="C41" s="5" t="s">
        <v>46</v>
      </c>
      <c r="D41" s="6"/>
      <c r="E41" s="11">
        <v>1.3934999999999999E-2</v>
      </c>
      <c r="F41" s="1"/>
      <c r="G41" s="1"/>
      <c r="H41" s="1"/>
      <c r="I41" s="1"/>
      <c r="J41" s="1"/>
      <c r="K41" s="1"/>
      <c r="L41" s="1"/>
      <c r="M41" s="1"/>
      <c r="N41" s="18"/>
    </row>
    <row r="42" spans="2:14" ht="15" customHeight="1" x14ac:dyDescent="0.25">
      <c r="B42" s="20"/>
      <c r="C42" s="7" t="s">
        <v>47</v>
      </c>
      <c r="D42" s="8"/>
      <c r="E42" s="12">
        <v>1.3934999999999999E-2</v>
      </c>
      <c r="F42" s="1"/>
      <c r="G42" s="1"/>
      <c r="H42" s="1"/>
      <c r="I42" s="1"/>
      <c r="J42" s="1"/>
      <c r="K42" s="1"/>
      <c r="L42" s="1"/>
      <c r="M42" s="1"/>
      <c r="N42" s="18"/>
    </row>
    <row r="43" spans="2:14" ht="15.75" customHeight="1" x14ac:dyDescent="0.25">
      <c r="B43" s="20"/>
      <c r="C43" s="5" t="s">
        <v>64</v>
      </c>
      <c r="D43" s="6" t="s">
        <v>20</v>
      </c>
      <c r="E43" s="11">
        <v>9.1990000000000006E-3</v>
      </c>
      <c r="F43" s="1"/>
      <c r="G43" s="1"/>
      <c r="H43" s="1"/>
      <c r="I43" s="1"/>
      <c r="J43" s="1"/>
      <c r="K43" s="1"/>
      <c r="L43" s="1"/>
      <c r="M43" s="1"/>
      <c r="N43" s="18"/>
    </row>
    <row r="44" spans="2:14" ht="15" customHeight="1" x14ac:dyDescent="0.25">
      <c r="B44" s="20"/>
      <c r="C44" s="7" t="s">
        <v>76</v>
      </c>
      <c r="D44" s="8"/>
      <c r="E44" s="12">
        <v>9.1990000000000006E-3</v>
      </c>
      <c r="F44" s="1"/>
      <c r="G44" s="1"/>
      <c r="H44" s="1"/>
      <c r="I44" s="1"/>
      <c r="J44" s="1"/>
      <c r="K44" s="1"/>
      <c r="L44" s="1"/>
      <c r="M44" s="1"/>
      <c r="N44" s="18"/>
    </row>
    <row r="45" spans="2:14" ht="15.75" customHeight="1" x14ac:dyDescent="0.25">
      <c r="B45" s="20"/>
      <c r="C45" s="5"/>
      <c r="D45" s="6"/>
      <c r="E45" s="11"/>
      <c r="F45" s="1"/>
      <c r="G45" s="1"/>
      <c r="H45" s="1"/>
      <c r="I45" s="1"/>
      <c r="J45" s="1"/>
      <c r="K45" s="1"/>
      <c r="L45" s="1"/>
      <c r="M45" s="1"/>
      <c r="N45" s="18"/>
    </row>
    <row r="46" spans="2:14" ht="15" customHeight="1" x14ac:dyDescent="0.25">
      <c r="B46" s="20"/>
      <c r="C46" s="7" t="s">
        <v>48</v>
      </c>
      <c r="D46" s="8"/>
      <c r="E46" s="12">
        <v>2.8136000000000001E-2</v>
      </c>
      <c r="F46" s="1"/>
      <c r="G46" s="1"/>
      <c r="H46" s="1"/>
      <c r="I46" s="1"/>
      <c r="J46" s="1"/>
      <c r="K46" s="1"/>
      <c r="L46" s="1"/>
      <c r="M46" s="1"/>
      <c r="N46" s="18"/>
    </row>
    <row r="47" spans="2:14" ht="15.75" customHeight="1" x14ac:dyDescent="0.25">
      <c r="B47" s="20"/>
      <c r="C47" s="5"/>
      <c r="D47" s="6"/>
      <c r="E47" s="11"/>
      <c r="F47" s="1"/>
      <c r="G47" s="1"/>
      <c r="H47" s="1"/>
      <c r="I47" s="1"/>
      <c r="J47" s="1"/>
      <c r="K47" s="1"/>
      <c r="L47" s="1"/>
      <c r="M47" s="1"/>
      <c r="N47" s="18"/>
    </row>
    <row r="48" spans="2:14" ht="15" customHeight="1" x14ac:dyDescent="0.25">
      <c r="B48" s="20"/>
      <c r="C48" s="9" t="s">
        <v>49</v>
      </c>
      <c r="D48" s="10"/>
      <c r="E48" s="13">
        <v>1</v>
      </c>
      <c r="F48" s="1"/>
      <c r="G48" s="1"/>
      <c r="H48" s="1"/>
      <c r="I48" s="1"/>
      <c r="J48" s="1"/>
      <c r="K48" s="1"/>
      <c r="L48" s="1"/>
      <c r="M48" s="1"/>
      <c r="N48" s="18"/>
    </row>
    <row r="49" spans="2:14" ht="15" customHeight="1" x14ac:dyDescent="0.25">
      <c r="B49" s="20"/>
      <c r="C49" t="s">
        <v>281</v>
      </c>
      <c r="F49" s="1"/>
      <c r="G49" s="1"/>
      <c r="H49" s="1"/>
      <c r="I49" s="1"/>
      <c r="J49" s="1"/>
      <c r="K49" s="1"/>
      <c r="L49" s="1"/>
      <c r="M49" s="1"/>
      <c r="N49" s="18"/>
    </row>
    <row r="50" spans="2:14" ht="15" customHeight="1" thickBot="1" x14ac:dyDescent="0.3">
      <c r="B50" s="21"/>
      <c r="C50" s="22"/>
      <c r="D50" s="22"/>
      <c r="E50" s="22"/>
      <c r="F50" s="22"/>
      <c r="G50" s="22"/>
      <c r="H50" s="22"/>
      <c r="I50" s="22"/>
      <c r="J50" s="22"/>
      <c r="K50" s="22"/>
      <c r="L50" s="22"/>
      <c r="M50" s="22"/>
      <c r="N50" s="23"/>
    </row>
    <row r="51" spans="2:14" ht="15" customHeight="1" thickBot="1" x14ac:dyDescent="0.3"/>
    <row r="52" spans="2:14" ht="15" customHeight="1" x14ac:dyDescent="0.25">
      <c r="B52" s="69" t="s">
        <v>274</v>
      </c>
      <c r="C52" s="70"/>
      <c r="D52" s="70"/>
      <c r="E52" s="70"/>
      <c r="F52" s="70"/>
      <c r="G52" s="70"/>
      <c r="H52" s="70"/>
      <c r="I52" s="70"/>
      <c r="J52" s="70"/>
      <c r="K52" s="70"/>
      <c r="L52" s="70"/>
      <c r="M52" s="70"/>
      <c r="N52" s="71"/>
    </row>
    <row r="53" spans="2:14" ht="15" customHeight="1" x14ac:dyDescent="0.25">
      <c r="B53" s="72"/>
      <c r="C53" s="73"/>
      <c r="D53" s="73"/>
      <c r="E53" s="73"/>
      <c r="F53" s="73"/>
      <c r="G53" s="73"/>
      <c r="H53" s="73"/>
      <c r="I53" s="73"/>
      <c r="J53" s="73"/>
      <c r="K53" s="73"/>
      <c r="L53" s="73"/>
      <c r="M53" s="73"/>
      <c r="N53" s="74"/>
    </row>
    <row r="54" spans="2:14" ht="15" customHeight="1" x14ac:dyDescent="0.25">
      <c r="B54" s="72"/>
      <c r="C54" s="73"/>
      <c r="D54" s="73"/>
      <c r="E54" s="73"/>
      <c r="F54" s="73"/>
      <c r="G54" s="73"/>
      <c r="H54" s="73"/>
      <c r="I54" s="73"/>
      <c r="J54" s="73"/>
      <c r="K54" s="73"/>
      <c r="L54" s="73"/>
      <c r="M54" s="73"/>
      <c r="N54" s="74"/>
    </row>
    <row r="55" spans="2:14" ht="15" customHeight="1" thickBot="1" x14ac:dyDescent="0.3">
      <c r="B55" s="75"/>
      <c r="C55" s="76"/>
      <c r="D55" s="76"/>
      <c r="E55" s="76"/>
      <c r="F55" s="76"/>
      <c r="G55" s="76"/>
      <c r="H55" s="76"/>
      <c r="I55" s="76"/>
      <c r="J55" s="76"/>
      <c r="K55" s="76"/>
      <c r="L55" s="76"/>
      <c r="M55" s="76"/>
      <c r="N55" s="77"/>
    </row>
    <row r="56" spans="2:14" ht="15" customHeight="1" thickBot="1" x14ac:dyDescent="0.3"/>
    <row r="57" spans="2:14" ht="120.75" customHeight="1" thickBot="1" x14ac:dyDescent="0.3">
      <c r="B57" s="78" t="s">
        <v>273</v>
      </c>
      <c r="C57" s="79"/>
      <c r="D57" s="79"/>
      <c r="E57" s="79"/>
      <c r="F57" s="79"/>
      <c r="G57" s="79"/>
      <c r="H57" s="79"/>
      <c r="I57" s="79"/>
      <c r="J57" s="79"/>
      <c r="K57" s="79"/>
      <c r="L57" s="79"/>
      <c r="M57" s="79"/>
      <c r="N57" s="80"/>
    </row>
    <row r="58" spans="2:14" ht="15" customHeight="1" x14ac:dyDescent="0.25"/>
    <row r="59" spans="2:14" ht="15" customHeight="1" x14ac:dyDescent="0.25"/>
    <row r="60" spans="2:14" ht="15" customHeight="1" x14ac:dyDescent="0.25"/>
    <row r="61" spans="2:14" ht="15" customHeight="1" x14ac:dyDescent="0.25"/>
    <row r="62" spans="2:14" ht="15" customHeight="1" x14ac:dyDescent="0.25"/>
    <row r="63" spans="2:14" ht="15" customHeight="1" x14ac:dyDescent="0.25"/>
    <row r="64" spans="2:14" ht="15" customHeight="1" x14ac:dyDescent="0.25"/>
    <row r="65" ht="15" customHeight="1" x14ac:dyDescent="0.25"/>
    <row r="66" ht="15" customHeight="1" x14ac:dyDescent="0.25"/>
    <row r="67" ht="15" customHeight="1" x14ac:dyDescent="0.25"/>
    <row r="68" ht="15" customHeight="1" x14ac:dyDescent="0.25"/>
    <row r="69" ht="15" customHeight="1" x14ac:dyDescent="0.25"/>
    <row r="70" ht="15" customHeight="1" x14ac:dyDescent="0.25"/>
    <row r="71" ht="15" customHeight="1" x14ac:dyDescent="0.25"/>
    <row r="72" ht="15" customHeight="1" x14ac:dyDescent="0.25"/>
  </sheetData>
  <sortState ref="C8:E30">
    <sortCondition descending="1" ref="E8"/>
  </sortState>
  <mergeCells count="7">
    <mergeCell ref="B52:N55"/>
    <mergeCell ref="B57:N57"/>
    <mergeCell ref="C3:N3"/>
    <mergeCell ref="D5:E5"/>
    <mergeCell ref="G7:N7"/>
    <mergeCell ref="G24:K24"/>
    <mergeCell ref="G26:N2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A34BD-9BF0-4B81-A24B-119763D0A7B8}">
  <dimension ref="B1:N56"/>
  <sheetViews>
    <sheetView showGridLines="0" zoomScale="75" zoomScaleNormal="75" workbookViewId="0"/>
  </sheetViews>
  <sheetFormatPr defaultRowHeight="15" x14ac:dyDescent="0.25"/>
  <cols>
    <col min="1" max="1" width="2.85546875" customWidth="1"/>
    <col min="2" max="2" width="3.85546875" customWidth="1"/>
    <col min="3" max="3" width="60.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123</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9</v>
      </c>
      <c r="D5" s="84" t="s">
        <v>124</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13</v>
      </c>
      <c r="D8" s="6" t="s">
        <v>12</v>
      </c>
      <c r="E8" s="11">
        <v>1.7708999999999999E-2</v>
      </c>
      <c r="F8" s="1"/>
      <c r="G8" s="24" t="s">
        <v>4</v>
      </c>
      <c r="H8" s="30">
        <v>0.58447800000000005</v>
      </c>
      <c r="I8" s="1"/>
      <c r="J8" s="24" t="s">
        <v>50</v>
      </c>
      <c r="K8" s="24" t="s">
        <v>3</v>
      </c>
      <c r="L8" s="1"/>
      <c r="M8" s="1"/>
      <c r="N8" s="18"/>
    </row>
    <row r="9" spans="2:14" ht="15.75" customHeight="1" x14ac:dyDescent="0.25">
      <c r="B9" s="20"/>
      <c r="C9" s="7" t="s">
        <v>18</v>
      </c>
      <c r="D9" s="8"/>
      <c r="E9" s="12">
        <v>1.7708999999999999E-2</v>
      </c>
      <c r="F9" s="1"/>
      <c r="G9" s="24" t="s">
        <v>94</v>
      </c>
      <c r="H9" s="30">
        <v>0.235289</v>
      </c>
      <c r="I9" s="1"/>
      <c r="J9" s="24" t="s">
        <v>48</v>
      </c>
      <c r="K9" s="30">
        <v>2.0820000000000002E-2</v>
      </c>
      <c r="L9" s="1"/>
      <c r="M9" s="1"/>
      <c r="N9" s="18"/>
    </row>
    <row r="10" spans="2:14" ht="15" customHeight="1" x14ac:dyDescent="0.25">
      <c r="B10" s="20"/>
      <c r="C10" s="5" t="s">
        <v>19</v>
      </c>
      <c r="D10" s="6" t="s">
        <v>20</v>
      </c>
      <c r="E10" s="11">
        <v>7.2358000000000006E-2</v>
      </c>
      <c r="F10" s="1"/>
      <c r="G10" s="24" t="s">
        <v>95</v>
      </c>
      <c r="H10" s="30">
        <v>0.180233</v>
      </c>
      <c r="I10" s="1"/>
      <c r="J10" s="24" t="s">
        <v>51</v>
      </c>
      <c r="K10" s="30">
        <v>6.9457000000000005E-2</v>
      </c>
      <c r="L10" s="1"/>
      <c r="M10" s="1"/>
      <c r="N10" s="18"/>
    </row>
    <row r="11" spans="2:14" ht="15" customHeight="1" x14ac:dyDescent="0.25">
      <c r="B11" s="20"/>
      <c r="C11" s="5" t="s">
        <v>87</v>
      </c>
      <c r="D11" s="6" t="s">
        <v>81</v>
      </c>
      <c r="E11" s="11">
        <v>5.4884000000000002E-2</v>
      </c>
      <c r="F11" s="1"/>
      <c r="G11" s="1"/>
      <c r="H11" s="1"/>
      <c r="I11" s="1"/>
      <c r="J11" s="24" t="s">
        <v>52</v>
      </c>
      <c r="K11" s="30">
        <v>1.7708999999999999E-2</v>
      </c>
      <c r="L11" s="1"/>
      <c r="M11" s="1"/>
      <c r="N11" s="18"/>
    </row>
    <row r="12" spans="2:14" ht="15" customHeight="1" x14ac:dyDescent="0.25">
      <c r="B12" s="20"/>
      <c r="C12" s="5" t="s">
        <v>89</v>
      </c>
      <c r="D12" s="6" t="s">
        <v>81</v>
      </c>
      <c r="E12" s="11">
        <v>5.4247999999999998E-2</v>
      </c>
      <c r="F12" s="1"/>
      <c r="G12" s="1"/>
      <c r="H12" s="1"/>
      <c r="I12" s="1"/>
      <c r="J12" s="24" t="s">
        <v>53</v>
      </c>
      <c r="K12" s="30">
        <v>0.61321000000000003</v>
      </c>
      <c r="L12" s="1"/>
      <c r="M12" s="1"/>
      <c r="N12" s="18"/>
    </row>
    <row r="13" spans="2:14" ht="15" customHeight="1" x14ac:dyDescent="0.25">
      <c r="B13" s="20"/>
      <c r="C13" s="5" t="s">
        <v>83</v>
      </c>
      <c r="D13" s="6" t="s">
        <v>81</v>
      </c>
      <c r="E13" s="11">
        <v>5.4238000000000001E-2</v>
      </c>
      <c r="F13" s="1"/>
      <c r="G13" s="1"/>
      <c r="H13" s="1"/>
      <c r="I13" s="1"/>
      <c r="J13" s="24" t="s">
        <v>36</v>
      </c>
      <c r="K13" s="30">
        <v>3.248E-3</v>
      </c>
      <c r="L13" s="1"/>
      <c r="M13" s="1"/>
      <c r="N13" s="18"/>
    </row>
    <row r="14" spans="2:14" ht="15" customHeight="1" x14ac:dyDescent="0.25">
      <c r="B14" s="20"/>
      <c r="C14" s="5" t="s">
        <v>23</v>
      </c>
      <c r="D14" s="6" t="s">
        <v>20</v>
      </c>
      <c r="E14" s="11">
        <v>5.4088999999999998E-2</v>
      </c>
      <c r="F14" s="1"/>
      <c r="G14" s="1"/>
      <c r="H14" s="1"/>
      <c r="I14" s="1"/>
      <c r="J14" s="24" t="s">
        <v>54</v>
      </c>
      <c r="K14" s="30">
        <v>0.27555800000000003</v>
      </c>
      <c r="L14" s="1"/>
      <c r="M14" s="1"/>
      <c r="N14" s="18"/>
    </row>
    <row r="15" spans="2:14" ht="15" customHeight="1" x14ac:dyDescent="0.25">
      <c r="B15" s="20"/>
      <c r="C15" s="5" t="s">
        <v>125</v>
      </c>
      <c r="D15" s="6" t="s">
        <v>85</v>
      </c>
      <c r="E15" s="11">
        <v>5.4009000000000001E-2</v>
      </c>
      <c r="F15" s="1"/>
      <c r="G15" s="1"/>
      <c r="H15" s="1"/>
      <c r="I15" s="1"/>
      <c r="J15" s="24" t="s">
        <v>128</v>
      </c>
      <c r="K15" s="30">
        <v>-1.9999999999999999E-6</v>
      </c>
      <c r="L15" s="1"/>
      <c r="M15" s="1"/>
      <c r="N15" s="18"/>
    </row>
    <row r="16" spans="2:14" ht="15" customHeight="1" x14ac:dyDescent="0.25">
      <c r="B16" s="20"/>
      <c r="C16" s="5" t="s">
        <v>90</v>
      </c>
      <c r="D16" s="6" t="s">
        <v>85</v>
      </c>
      <c r="E16" s="11">
        <v>5.3983000000000003E-2</v>
      </c>
      <c r="F16" s="1"/>
      <c r="G16" s="1"/>
      <c r="H16" s="1"/>
      <c r="I16" s="1"/>
      <c r="J16" s="1"/>
      <c r="K16" s="1"/>
      <c r="L16" s="1"/>
      <c r="M16" s="1"/>
      <c r="N16" s="18"/>
    </row>
    <row r="17" spans="2:14" ht="15" customHeight="1" x14ac:dyDescent="0.25">
      <c r="B17" s="20"/>
      <c r="C17" s="5" t="s">
        <v>88</v>
      </c>
      <c r="D17" s="6" t="s">
        <v>81</v>
      </c>
      <c r="E17" s="11">
        <v>3.6180999999999998E-2</v>
      </c>
      <c r="F17" s="1"/>
      <c r="G17" s="1"/>
      <c r="H17" s="1"/>
      <c r="I17" s="1"/>
      <c r="J17" s="1"/>
      <c r="K17" s="1"/>
      <c r="L17" s="1"/>
      <c r="M17" s="1"/>
      <c r="N17" s="18"/>
    </row>
    <row r="18" spans="2:14" ht="15" customHeight="1" x14ac:dyDescent="0.25">
      <c r="B18" s="20"/>
      <c r="C18" s="5" t="s">
        <v>24</v>
      </c>
      <c r="D18" s="6" t="s">
        <v>20</v>
      </c>
      <c r="E18" s="11">
        <v>3.6138000000000003E-2</v>
      </c>
      <c r="F18" s="1"/>
      <c r="G18" s="1"/>
      <c r="H18" s="1"/>
      <c r="I18" s="1"/>
      <c r="J18" s="1"/>
      <c r="K18" s="1"/>
      <c r="L18" s="1"/>
      <c r="M18" s="1"/>
      <c r="N18" s="18"/>
    </row>
    <row r="19" spans="2:14" ht="15" customHeight="1" x14ac:dyDescent="0.25">
      <c r="B19" s="20"/>
      <c r="C19" s="5" t="s">
        <v>84</v>
      </c>
      <c r="D19" s="6" t="s">
        <v>85</v>
      </c>
      <c r="E19" s="11">
        <v>3.6132999999999998E-2</v>
      </c>
      <c r="F19" s="1"/>
      <c r="G19" s="1"/>
      <c r="H19" s="1"/>
      <c r="I19" s="1"/>
      <c r="J19" s="1"/>
      <c r="K19" s="1"/>
      <c r="L19" s="1"/>
      <c r="M19" s="1"/>
      <c r="N19" s="18"/>
    </row>
    <row r="20" spans="2:14" ht="15" customHeight="1" x14ac:dyDescent="0.25">
      <c r="B20" s="20"/>
      <c r="C20" s="5" t="s">
        <v>126</v>
      </c>
      <c r="D20" s="6" t="s">
        <v>85</v>
      </c>
      <c r="E20" s="11">
        <v>3.6108000000000001E-2</v>
      </c>
      <c r="F20" s="1"/>
      <c r="G20" s="1"/>
      <c r="H20" s="1"/>
      <c r="I20" s="1"/>
      <c r="J20" s="1"/>
      <c r="K20" s="1"/>
      <c r="L20" s="1"/>
      <c r="M20" s="1"/>
      <c r="N20" s="18"/>
    </row>
    <row r="21" spans="2:14" ht="15" customHeight="1" x14ac:dyDescent="0.25">
      <c r="B21" s="20"/>
      <c r="C21" s="5" t="s">
        <v>82</v>
      </c>
      <c r="D21" s="6" t="s">
        <v>81</v>
      </c>
      <c r="E21" s="11">
        <v>3.5737999999999999E-2</v>
      </c>
      <c r="F21" s="1"/>
      <c r="G21" s="1"/>
      <c r="H21" s="1"/>
      <c r="I21" s="1"/>
      <c r="J21" s="1"/>
      <c r="K21" s="1"/>
      <c r="L21" s="1"/>
      <c r="M21" s="1"/>
      <c r="N21" s="18"/>
    </row>
    <row r="22" spans="2:14" ht="15" customHeight="1" x14ac:dyDescent="0.25">
      <c r="B22" s="20"/>
      <c r="C22" s="5" t="s">
        <v>63</v>
      </c>
      <c r="D22" s="6" t="s">
        <v>20</v>
      </c>
      <c r="E22" s="11">
        <v>3.5103000000000002E-2</v>
      </c>
      <c r="F22" s="1"/>
      <c r="G22" s="1"/>
      <c r="H22" s="1"/>
      <c r="I22" s="1"/>
      <c r="J22" s="1"/>
      <c r="K22" s="1"/>
      <c r="L22" s="1"/>
      <c r="M22" s="1"/>
      <c r="N22" s="18"/>
    </row>
    <row r="23" spans="2:14" ht="15.75" customHeight="1" x14ac:dyDescent="0.25">
      <c r="B23" s="20"/>
      <c r="C23" s="7" t="s">
        <v>35</v>
      </c>
      <c r="D23" s="8"/>
      <c r="E23" s="12">
        <v>0.61321000000000003</v>
      </c>
      <c r="F23" s="1"/>
      <c r="G23" s="1"/>
      <c r="H23" s="1"/>
      <c r="I23" s="1"/>
      <c r="J23" s="1"/>
      <c r="K23" s="1"/>
      <c r="L23" s="1"/>
      <c r="M23" s="1"/>
      <c r="N23" s="18"/>
    </row>
    <row r="24" spans="2:14" ht="15" customHeight="1" x14ac:dyDescent="0.25">
      <c r="B24" s="20"/>
      <c r="C24" s="5" t="s">
        <v>36</v>
      </c>
      <c r="D24" s="6"/>
      <c r="E24" s="11">
        <v>3.248E-3</v>
      </c>
      <c r="F24" s="1"/>
      <c r="G24" s="86" t="s">
        <v>6</v>
      </c>
      <c r="H24" s="87"/>
      <c r="I24" s="87"/>
      <c r="J24" s="87"/>
      <c r="K24" s="87"/>
      <c r="L24" s="26">
        <v>3.5609811314296334</v>
      </c>
      <c r="M24" s="27"/>
      <c r="N24" s="28"/>
    </row>
    <row r="25" spans="2:14" ht="15.75" customHeight="1" x14ac:dyDescent="0.25">
      <c r="B25" s="20"/>
      <c r="C25" s="7" t="s">
        <v>37</v>
      </c>
      <c r="D25" s="8"/>
      <c r="E25" s="12">
        <v>3.248E-3</v>
      </c>
      <c r="F25" s="1"/>
      <c r="G25" s="1"/>
      <c r="H25" s="1"/>
      <c r="I25" s="1"/>
      <c r="J25" s="1"/>
      <c r="K25" s="1"/>
      <c r="L25" s="1"/>
      <c r="M25" s="1"/>
      <c r="N25" s="18"/>
    </row>
    <row r="26" spans="2:14" ht="15" customHeight="1" x14ac:dyDescent="0.25">
      <c r="B26" s="20"/>
      <c r="C26" s="5" t="s">
        <v>40</v>
      </c>
      <c r="D26" s="6" t="s">
        <v>184</v>
      </c>
      <c r="E26" s="11">
        <v>0.154921</v>
      </c>
      <c r="F26" s="1"/>
      <c r="G26" s="86" t="s">
        <v>7</v>
      </c>
      <c r="H26" s="87"/>
      <c r="I26" s="87"/>
      <c r="J26" s="87"/>
      <c r="K26" s="87"/>
      <c r="L26" s="87"/>
      <c r="M26" s="87"/>
      <c r="N26" s="88"/>
    </row>
    <row r="27" spans="2:14" ht="15" customHeight="1" x14ac:dyDescent="0.25">
      <c r="B27" s="20"/>
      <c r="C27" s="5" t="s">
        <v>38</v>
      </c>
      <c r="D27" s="6" t="s">
        <v>184</v>
      </c>
      <c r="E27" s="11">
        <v>0.12063699999999999</v>
      </c>
      <c r="F27" s="1"/>
      <c r="G27" s="1"/>
      <c r="H27" s="1"/>
      <c r="I27" s="1"/>
      <c r="J27" s="1"/>
      <c r="K27" s="1"/>
      <c r="L27" s="1"/>
      <c r="M27" s="1"/>
      <c r="N27" s="18"/>
    </row>
    <row r="28" spans="2:14" ht="15.75" customHeight="1" x14ac:dyDescent="0.25">
      <c r="B28" s="20"/>
      <c r="C28" s="7" t="s">
        <v>44</v>
      </c>
      <c r="D28" s="8"/>
      <c r="E28" s="12">
        <v>0.27555800000000003</v>
      </c>
      <c r="F28" s="1"/>
      <c r="G28" s="1"/>
      <c r="H28" s="1"/>
      <c r="I28" s="1"/>
      <c r="J28" s="1"/>
      <c r="K28" s="1"/>
      <c r="L28" s="1"/>
      <c r="M28" s="1"/>
      <c r="N28" s="18"/>
    </row>
    <row r="29" spans="2:14" ht="15" customHeight="1" x14ac:dyDescent="0.25">
      <c r="B29" s="20"/>
      <c r="C29" s="5" t="s">
        <v>46</v>
      </c>
      <c r="D29" s="6"/>
      <c r="E29" s="11">
        <v>6.9457000000000005E-2</v>
      </c>
      <c r="F29" s="1"/>
      <c r="G29" s="1"/>
      <c r="H29" s="1"/>
      <c r="I29" s="1"/>
      <c r="J29" s="1"/>
      <c r="K29" s="1"/>
      <c r="L29" s="1"/>
      <c r="M29" s="1"/>
      <c r="N29" s="18"/>
    </row>
    <row r="30" spans="2:14" ht="15.75" customHeight="1" x14ac:dyDescent="0.25">
      <c r="B30" s="20"/>
      <c r="C30" s="7" t="s">
        <v>47</v>
      </c>
      <c r="D30" s="8"/>
      <c r="E30" s="12">
        <v>6.9457000000000005E-2</v>
      </c>
      <c r="F30" s="1"/>
      <c r="G30" s="1"/>
      <c r="H30" s="1"/>
      <c r="I30" s="1"/>
      <c r="J30" s="1"/>
      <c r="K30" s="1"/>
      <c r="L30" s="1"/>
      <c r="M30" s="1"/>
      <c r="N30" s="18"/>
    </row>
    <row r="31" spans="2:14" ht="15" customHeight="1" x14ac:dyDescent="0.25">
      <c r="B31" s="20"/>
      <c r="C31" s="5"/>
      <c r="D31" s="6"/>
      <c r="E31" s="11"/>
      <c r="F31" s="1"/>
      <c r="G31" s="1"/>
      <c r="H31" s="1"/>
      <c r="I31" s="1"/>
      <c r="J31" s="1"/>
      <c r="K31" s="1"/>
      <c r="L31" s="1"/>
      <c r="M31" s="1"/>
      <c r="N31" s="18"/>
    </row>
    <row r="32" spans="2:14" ht="15.75" customHeight="1" x14ac:dyDescent="0.25">
      <c r="B32" s="20"/>
      <c r="C32" s="7" t="s">
        <v>48</v>
      </c>
      <c r="D32" s="8"/>
      <c r="E32" s="12">
        <v>2.0820000000000002E-2</v>
      </c>
      <c r="F32" s="1"/>
      <c r="G32" s="1"/>
      <c r="H32" s="1"/>
      <c r="I32" s="1"/>
      <c r="J32" s="1"/>
      <c r="K32" s="1"/>
      <c r="L32" s="1"/>
      <c r="M32" s="1"/>
      <c r="N32" s="18"/>
    </row>
    <row r="33" spans="2:14" ht="15" customHeight="1" x14ac:dyDescent="0.25">
      <c r="B33" s="20"/>
      <c r="C33" s="5"/>
      <c r="D33" s="6"/>
      <c r="E33" s="11"/>
      <c r="F33" s="1"/>
      <c r="G33" s="1"/>
      <c r="H33" s="1"/>
      <c r="I33" s="1"/>
      <c r="J33" s="1"/>
      <c r="K33" s="1"/>
      <c r="L33" s="1"/>
      <c r="M33" s="1"/>
      <c r="N33" s="18"/>
    </row>
    <row r="34" spans="2:14" ht="15.75" customHeight="1" x14ac:dyDescent="0.25">
      <c r="B34" s="20"/>
      <c r="C34" s="9" t="s">
        <v>49</v>
      </c>
      <c r="D34" s="10"/>
      <c r="E34" s="13">
        <v>1</v>
      </c>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32" t="s">
        <v>127</v>
      </c>
      <c r="D36" s="32"/>
      <c r="E36" s="33">
        <v>0.57660100000000003</v>
      </c>
      <c r="F36" s="1"/>
      <c r="G36" s="1"/>
      <c r="H36" s="1"/>
      <c r="I36" s="1"/>
      <c r="J36" s="1"/>
      <c r="K36" s="1"/>
      <c r="L36" s="1"/>
      <c r="M36" s="1"/>
      <c r="N36" s="18"/>
    </row>
    <row r="37" spans="2:14" ht="15" customHeight="1" x14ac:dyDescent="0.25">
      <c r="B37" s="20"/>
      <c r="F37" s="1"/>
      <c r="G37" s="1"/>
      <c r="H37" s="1"/>
      <c r="I37" s="1"/>
      <c r="J37" s="1"/>
      <c r="K37" s="1"/>
      <c r="L37" s="1"/>
      <c r="M37" s="1"/>
      <c r="N37" s="18"/>
    </row>
    <row r="38" spans="2:14" ht="15" customHeight="1" x14ac:dyDescent="0.25">
      <c r="B38" s="20"/>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9" t="s">
        <v>274</v>
      </c>
      <c r="C45" s="70"/>
      <c r="D45" s="70"/>
      <c r="E45" s="70"/>
      <c r="F45" s="70"/>
      <c r="G45" s="70"/>
      <c r="H45" s="70"/>
      <c r="I45" s="70"/>
      <c r="J45" s="70"/>
      <c r="K45" s="70"/>
      <c r="L45" s="70"/>
      <c r="M45" s="70"/>
      <c r="N45" s="71"/>
    </row>
    <row r="46" spans="2:14" ht="15" customHeight="1" x14ac:dyDescent="0.25">
      <c r="B46" s="72"/>
      <c r="C46" s="73"/>
      <c r="D46" s="73"/>
      <c r="E46" s="73"/>
      <c r="F46" s="73"/>
      <c r="G46" s="73"/>
      <c r="H46" s="73"/>
      <c r="I46" s="73"/>
      <c r="J46" s="73"/>
      <c r="K46" s="73"/>
      <c r="L46" s="73"/>
      <c r="M46" s="73"/>
      <c r="N46" s="74"/>
    </row>
    <row r="47" spans="2:14" ht="15" customHeight="1" x14ac:dyDescent="0.25">
      <c r="B47" s="72"/>
      <c r="C47" s="73"/>
      <c r="D47" s="73"/>
      <c r="E47" s="73"/>
      <c r="F47" s="73"/>
      <c r="G47" s="73"/>
      <c r="H47" s="73"/>
      <c r="I47" s="73"/>
      <c r="J47" s="73"/>
      <c r="K47" s="73"/>
      <c r="L47" s="73"/>
      <c r="M47" s="73"/>
      <c r="N47" s="74"/>
    </row>
    <row r="48" spans="2:14" ht="15" customHeight="1" thickBot="1" x14ac:dyDescent="0.3">
      <c r="B48" s="75"/>
      <c r="C48" s="76"/>
      <c r="D48" s="76"/>
      <c r="E48" s="76"/>
      <c r="F48" s="76"/>
      <c r="G48" s="76"/>
      <c r="H48" s="76"/>
      <c r="I48" s="76"/>
      <c r="J48" s="76"/>
      <c r="K48" s="76"/>
      <c r="L48" s="76"/>
      <c r="M48" s="76"/>
      <c r="N48" s="77"/>
    </row>
    <row r="49" spans="2:14" ht="15" customHeight="1" thickBot="1" x14ac:dyDescent="0.3"/>
    <row r="50" spans="2:14" ht="71.25" customHeight="1" thickBot="1" x14ac:dyDescent="0.3">
      <c r="B50" s="78" t="s">
        <v>275</v>
      </c>
      <c r="C50" s="79"/>
      <c r="D50" s="79"/>
      <c r="E50" s="79"/>
      <c r="F50" s="79"/>
      <c r="G50" s="79"/>
      <c r="H50" s="79"/>
      <c r="I50" s="79"/>
      <c r="J50" s="79"/>
      <c r="K50" s="79"/>
      <c r="L50" s="79"/>
      <c r="M50" s="79"/>
      <c r="N50" s="80"/>
    </row>
    <row r="51" spans="2:14" ht="15" customHeight="1" thickBot="1" x14ac:dyDescent="0.3"/>
    <row r="52" spans="2:14" ht="146.25" customHeight="1" thickBot="1" x14ac:dyDescent="0.3">
      <c r="B52" s="78" t="s">
        <v>273</v>
      </c>
      <c r="C52" s="79"/>
      <c r="D52" s="79"/>
      <c r="E52" s="79"/>
      <c r="F52" s="79"/>
      <c r="G52" s="79"/>
      <c r="H52" s="79"/>
      <c r="I52" s="79"/>
      <c r="J52" s="79"/>
      <c r="K52" s="79"/>
      <c r="L52" s="79"/>
      <c r="M52" s="79"/>
      <c r="N52" s="80"/>
    </row>
    <row r="53" spans="2:14" ht="15" customHeight="1" x14ac:dyDescent="0.25"/>
    <row r="54" spans="2:14" ht="15" customHeight="1" x14ac:dyDescent="0.25"/>
    <row r="55" spans="2:14" ht="15" customHeight="1" x14ac:dyDescent="0.25"/>
    <row r="56" spans="2:14" ht="15" customHeight="1" x14ac:dyDescent="0.25"/>
  </sheetData>
  <mergeCells count="8">
    <mergeCell ref="B45:N48"/>
    <mergeCell ref="B50:N50"/>
    <mergeCell ref="B52:N52"/>
    <mergeCell ref="C3:N3"/>
    <mergeCell ref="D5:E5"/>
    <mergeCell ref="G7:N7"/>
    <mergeCell ref="G24:K24"/>
    <mergeCell ref="G26:N2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C1134-9951-43DD-B526-48A10FBC7161}">
  <dimension ref="B1:N50"/>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78</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9</v>
      </c>
      <c r="D5" s="84" t="s">
        <v>79</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80</v>
      </c>
      <c r="D8" s="6" t="s">
        <v>81</v>
      </c>
      <c r="E8" s="11">
        <v>0.119737</v>
      </c>
      <c r="F8" s="1"/>
      <c r="G8" s="24" t="s">
        <v>94</v>
      </c>
      <c r="H8" s="30">
        <v>0.62874200000000002</v>
      </c>
      <c r="I8" s="1"/>
      <c r="J8" s="35" t="s">
        <v>50</v>
      </c>
      <c r="K8" s="35" t="s">
        <v>3</v>
      </c>
      <c r="L8" s="1"/>
      <c r="M8" s="1"/>
      <c r="N8" s="18"/>
    </row>
    <row r="9" spans="2:14" ht="15" customHeight="1" x14ac:dyDescent="0.25">
      <c r="B9" s="20"/>
      <c r="C9" s="5" t="s">
        <v>82</v>
      </c>
      <c r="D9" s="6" t="s">
        <v>81</v>
      </c>
      <c r="E9" s="11">
        <v>0.118746</v>
      </c>
      <c r="F9" s="1"/>
      <c r="G9" s="24" t="s">
        <v>4</v>
      </c>
      <c r="H9" s="30">
        <v>0.25137999999999999</v>
      </c>
      <c r="I9" s="1"/>
      <c r="J9" s="35" t="s">
        <v>48</v>
      </c>
      <c r="K9" s="36">
        <v>3.6443999999999997E-2</v>
      </c>
      <c r="L9" s="1"/>
      <c r="M9" s="1"/>
      <c r="N9" s="18"/>
    </row>
    <row r="10" spans="2:14" ht="15" customHeight="1" x14ac:dyDescent="0.25">
      <c r="B10" s="20"/>
      <c r="C10" s="5" t="s">
        <v>83</v>
      </c>
      <c r="D10" s="6" t="s">
        <v>81</v>
      </c>
      <c r="E10" s="11">
        <v>9.0056999999999998E-2</v>
      </c>
      <c r="F10" s="1"/>
      <c r="G10" s="24" t="s">
        <v>95</v>
      </c>
      <c r="H10" s="30">
        <v>0.119878</v>
      </c>
      <c r="I10" s="1"/>
      <c r="J10" s="35" t="s">
        <v>51</v>
      </c>
      <c r="K10" s="36">
        <v>1.2749999999999999E-2</v>
      </c>
      <c r="L10" s="1"/>
      <c r="M10" s="1"/>
      <c r="N10" s="18"/>
    </row>
    <row r="11" spans="2:14" ht="15" customHeight="1" x14ac:dyDescent="0.25">
      <c r="B11" s="20"/>
      <c r="C11" s="5" t="s">
        <v>84</v>
      </c>
      <c r="D11" s="6" t="s">
        <v>85</v>
      </c>
      <c r="E11" s="11">
        <v>7.5036000000000005E-2</v>
      </c>
      <c r="F11" s="1"/>
      <c r="G11" s="1"/>
      <c r="H11" s="1"/>
      <c r="I11" s="1"/>
      <c r="J11" s="35" t="s">
        <v>53</v>
      </c>
      <c r="K11" s="36">
        <v>0.74861999999999995</v>
      </c>
      <c r="L11" s="1"/>
      <c r="M11" s="1"/>
      <c r="N11" s="18"/>
    </row>
    <row r="12" spans="2:14" ht="15" customHeight="1" x14ac:dyDescent="0.25">
      <c r="B12" s="20"/>
      <c r="C12" s="5" t="s">
        <v>86</v>
      </c>
      <c r="D12" s="6" t="s">
        <v>81</v>
      </c>
      <c r="E12" s="11">
        <v>7.4686000000000002E-2</v>
      </c>
      <c r="F12" s="1"/>
      <c r="G12" s="1"/>
      <c r="H12" s="1"/>
      <c r="I12" s="1"/>
      <c r="J12" s="35" t="s">
        <v>36</v>
      </c>
      <c r="K12" s="36">
        <v>4.3689999999999996E-3</v>
      </c>
      <c r="L12" s="1"/>
      <c r="M12" s="1"/>
      <c r="N12" s="18"/>
    </row>
    <row r="13" spans="2:14" ht="15" customHeight="1" x14ac:dyDescent="0.25">
      <c r="B13" s="20"/>
      <c r="C13" s="5" t="s">
        <v>87</v>
      </c>
      <c r="D13" s="6" t="s">
        <v>81</v>
      </c>
      <c r="E13" s="11">
        <v>6.0787000000000001E-2</v>
      </c>
      <c r="F13" s="1"/>
      <c r="G13" s="1"/>
      <c r="H13" s="1"/>
      <c r="I13" s="1"/>
      <c r="J13" s="35" t="s">
        <v>54</v>
      </c>
      <c r="K13" s="36">
        <v>0.19781699999999999</v>
      </c>
      <c r="L13" s="1"/>
      <c r="M13" s="1"/>
      <c r="N13" s="18"/>
    </row>
    <row r="14" spans="2:14" ht="15" customHeight="1" x14ac:dyDescent="0.25">
      <c r="B14" s="20"/>
      <c r="C14" s="5" t="s">
        <v>88</v>
      </c>
      <c r="D14" s="6" t="s">
        <v>81</v>
      </c>
      <c r="E14" s="11">
        <v>6.0164000000000002E-2</v>
      </c>
      <c r="F14" s="1"/>
      <c r="G14" s="1"/>
      <c r="H14" s="1"/>
      <c r="I14" s="1"/>
      <c r="J14" s="1"/>
      <c r="K14" s="1"/>
      <c r="L14" s="1"/>
      <c r="M14" s="1"/>
      <c r="N14" s="18"/>
    </row>
    <row r="15" spans="2:14" ht="15" customHeight="1" x14ac:dyDescent="0.25">
      <c r="B15" s="20"/>
      <c r="C15" s="5" t="s">
        <v>89</v>
      </c>
      <c r="D15" s="6" t="s">
        <v>81</v>
      </c>
      <c r="E15" s="11">
        <v>5.9839000000000003E-2</v>
      </c>
      <c r="F15" s="1"/>
      <c r="G15" s="1"/>
      <c r="H15" s="1"/>
      <c r="I15" s="1"/>
      <c r="J15" s="1"/>
      <c r="K15" s="1"/>
      <c r="L15" s="29"/>
      <c r="M15" s="1"/>
      <c r="N15" s="18"/>
    </row>
    <row r="16" spans="2:14" ht="15" customHeight="1" x14ac:dyDescent="0.25">
      <c r="B16" s="20"/>
      <c r="C16" s="5" t="s">
        <v>90</v>
      </c>
      <c r="D16" s="6" t="s">
        <v>85</v>
      </c>
      <c r="E16" s="11">
        <v>4.4842E-2</v>
      </c>
      <c r="F16" s="1"/>
      <c r="G16" s="1"/>
      <c r="H16" s="1"/>
      <c r="I16" s="1"/>
      <c r="J16" s="1"/>
      <c r="K16" s="1"/>
      <c r="L16" s="29"/>
      <c r="M16" s="1"/>
      <c r="N16" s="18"/>
    </row>
    <row r="17" spans="2:14" ht="15" customHeight="1" x14ac:dyDescent="0.25">
      <c r="B17" s="20"/>
      <c r="C17" s="5" t="s">
        <v>91</v>
      </c>
      <c r="D17" s="6" t="s">
        <v>81</v>
      </c>
      <c r="E17" s="11">
        <v>2.9769E-2</v>
      </c>
      <c r="F17" s="1"/>
      <c r="G17" s="1"/>
      <c r="H17" s="1"/>
      <c r="I17" s="1"/>
      <c r="J17" s="1"/>
      <c r="K17" s="1"/>
      <c r="L17" s="29"/>
      <c r="M17" s="1"/>
      <c r="N17" s="18"/>
    </row>
    <row r="18" spans="2:14" ht="15" customHeight="1" x14ac:dyDescent="0.25">
      <c r="B18" s="20"/>
      <c r="C18" s="5" t="s">
        <v>92</v>
      </c>
      <c r="D18" s="6" t="s">
        <v>81</v>
      </c>
      <c r="E18" s="11">
        <v>1.4957E-2</v>
      </c>
      <c r="F18" s="1"/>
      <c r="G18" s="1"/>
      <c r="H18" s="1"/>
      <c r="I18" s="1"/>
      <c r="J18" s="1"/>
      <c r="K18" s="1"/>
      <c r="L18" s="29"/>
      <c r="M18" s="1"/>
      <c r="N18" s="18"/>
    </row>
    <row r="19" spans="2:14" ht="15.75" customHeight="1" x14ac:dyDescent="0.25">
      <c r="B19" s="20"/>
      <c r="C19" s="7" t="s">
        <v>35</v>
      </c>
      <c r="D19" s="8"/>
      <c r="E19" s="12">
        <v>0.74861999999999995</v>
      </c>
      <c r="F19" s="1"/>
      <c r="G19" s="1"/>
      <c r="H19" s="1"/>
      <c r="I19" s="1"/>
      <c r="J19" s="1"/>
      <c r="K19" s="1"/>
      <c r="L19" s="29"/>
      <c r="M19" s="1"/>
      <c r="N19" s="18"/>
    </row>
    <row r="20" spans="2:14" ht="15" customHeight="1" x14ac:dyDescent="0.25">
      <c r="B20" s="20"/>
      <c r="C20" s="5" t="s">
        <v>36</v>
      </c>
      <c r="D20" s="6"/>
      <c r="E20" s="11">
        <v>4.3689999999999996E-3</v>
      </c>
      <c r="F20" s="1"/>
      <c r="G20" s="1"/>
      <c r="H20" s="1"/>
      <c r="I20" s="1"/>
      <c r="J20" s="1"/>
      <c r="K20" s="1"/>
      <c r="L20" s="1"/>
      <c r="M20" s="1"/>
      <c r="N20" s="18"/>
    </row>
    <row r="21" spans="2:14" ht="15.75" customHeight="1" x14ac:dyDescent="0.25">
      <c r="B21" s="20"/>
      <c r="C21" s="7" t="s">
        <v>37</v>
      </c>
      <c r="D21" s="8"/>
      <c r="E21" s="12">
        <v>4.3689999999999996E-3</v>
      </c>
      <c r="F21" s="1"/>
      <c r="G21" s="1"/>
      <c r="H21" s="1"/>
      <c r="I21" s="1"/>
      <c r="J21" s="1"/>
      <c r="K21" s="1"/>
      <c r="L21" s="1"/>
      <c r="M21" s="1"/>
      <c r="N21" s="18"/>
    </row>
    <row r="22" spans="2:14" ht="15" customHeight="1" x14ac:dyDescent="0.25">
      <c r="B22" s="20"/>
      <c r="C22" s="5" t="s">
        <v>93</v>
      </c>
      <c r="D22" s="6" t="s">
        <v>184</v>
      </c>
      <c r="E22" s="11">
        <v>0.19781699999999999</v>
      </c>
      <c r="F22" s="1"/>
      <c r="G22" s="1"/>
      <c r="H22" s="1"/>
      <c r="I22" s="1"/>
      <c r="J22" s="1"/>
      <c r="K22" s="1"/>
      <c r="L22" s="1"/>
      <c r="M22" s="1"/>
      <c r="N22" s="18"/>
    </row>
    <row r="23" spans="2:14" ht="15.75" customHeight="1" x14ac:dyDescent="0.25">
      <c r="B23" s="20"/>
      <c r="C23" s="7" t="s">
        <v>44</v>
      </c>
      <c r="D23" s="8"/>
      <c r="E23" s="12">
        <v>0.19781699999999999</v>
      </c>
      <c r="F23" s="1"/>
      <c r="G23" s="1"/>
      <c r="H23" s="1"/>
      <c r="I23" s="1"/>
      <c r="J23" s="1"/>
      <c r="K23" s="1"/>
      <c r="L23" s="1"/>
      <c r="M23" s="1"/>
      <c r="N23" s="18"/>
    </row>
    <row r="24" spans="2:14" ht="15" customHeight="1" x14ac:dyDescent="0.25">
      <c r="B24" s="20"/>
      <c r="C24" s="5" t="s">
        <v>46</v>
      </c>
      <c r="D24" s="6"/>
      <c r="E24" s="11">
        <v>1.2749999999999999E-2</v>
      </c>
      <c r="F24" s="1"/>
      <c r="G24" s="86" t="s">
        <v>6</v>
      </c>
      <c r="H24" s="87"/>
      <c r="I24" s="87"/>
      <c r="J24" s="87"/>
      <c r="K24" s="87"/>
      <c r="L24" s="26">
        <v>3.6122054570609827</v>
      </c>
      <c r="M24" s="27"/>
      <c r="N24" s="28"/>
    </row>
    <row r="25" spans="2:14" ht="15.75" customHeight="1" x14ac:dyDescent="0.25">
      <c r="B25" s="20"/>
      <c r="C25" s="7" t="s">
        <v>47</v>
      </c>
      <c r="D25" s="8"/>
      <c r="E25" s="12">
        <v>1.2749999999999999E-2</v>
      </c>
      <c r="F25" s="1"/>
      <c r="G25" s="1"/>
      <c r="H25" s="1"/>
      <c r="I25" s="1"/>
      <c r="J25" s="1"/>
      <c r="K25" s="1"/>
      <c r="L25" s="1"/>
      <c r="M25" s="1"/>
      <c r="N25" s="18"/>
    </row>
    <row r="26" spans="2:14" ht="15" customHeight="1" x14ac:dyDescent="0.25">
      <c r="B26" s="20"/>
      <c r="C26" s="5"/>
      <c r="D26" s="6"/>
      <c r="E26" s="11"/>
      <c r="F26" s="1"/>
      <c r="G26" s="86" t="s">
        <v>7</v>
      </c>
      <c r="H26" s="87"/>
      <c r="I26" s="87"/>
      <c r="J26" s="87"/>
      <c r="K26" s="87"/>
      <c r="L26" s="87"/>
      <c r="M26" s="87"/>
      <c r="N26" s="88"/>
    </row>
    <row r="27" spans="2:14" ht="15.75" customHeight="1" x14ac:dyDescent="0.25">
      <c r="B27" s="20"/>
      <c r="C27" s="7" t="s">
        <v>48</v>
      </c>
      <c r="D27" s="8"/>
      <c r="E27" s="12">
        <v>3.6443999999999997E-2</v>
      </c>
      <c r="F27" s="1"/>
      <c r="G27" s="1"/>
      <c r="H27" s="1"/>
      <c r="I27" s="1"/>
      <c r="J27" s="1"/>
      <c r="K27" s="1"/>
      <c r="L27" s="1"/>
      <c r="M27" s="1"/>
      <c r="N27" s="18"/>
    </row>
    <row r="28" spans="2:14" ht="15" customHeight="1" x14ac:dyDescent="0.25">
      <c r="B28" s="20"/>
      <c r="C28" s="5"/>
      <c r="D28" s="6"/>
      <c r="E28" s="11"/>
      <c r="F28" s="1"/>
      <c r="G28" s="1"/>
      <c r="H28" s="1"/>
      <c r="I28" s="1"/>
      <c r="J28" s="1"/>
      <c r="K28" s="1"/>
      <c r="L28" s="1"/>
      <c r="M28" s="1"/>
      <c r="N28" s="18"/>
    </row>
    <row r="29" spans="2:14" ht="15" customHeight="1" x14ac:dyDescent="0.25">
      <c r="B29" s="20"/>
      <c r="C29" s="9" t="s">
        <v>49</v>
      </c>
      <c r="D29" s="10"/>
      <c r="E29" s="13">
        <v>1</v>
      </c>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 customHeight="1" thickBot="1" x14ac:dyDescent="0.3">
      <c r="B43" s="21"/>
      <c r="C43" s="22"/>
      <c r="D43" s="22"/>
      <c r="E43" s="22"/>
      <c r="F43" s="22"/>
      <c r="G43" s="22"/>
      <c r="H43" s="22"/>
      <c r="I43" s="22"/>
      <c r="J43" s="22"/>
      <c r="K43" s="22"/>
      <c r="L43" s="22"/>
      <c r="M43" s="22"/>
      <c r="N43" s="23"/>
    </row>
    <row r="44" spans="2:14" ht="15" customHeight="1" thickBot="1" x14ac:dyDescent="0.3"/>
    <row r="45" spans="2:14" ht="15" customHeight="1" x14ac:dyDescent="0.25">
      <c r="B45" s="69" t="s">
        <v>274</v>
      </c>
      <c r="C45" s="70"/>
      <c r="D45" s="70"/>
      <c r="E45" s="70"/>
      <c r="F45" s="70"/>
      <c r="G45" s="70"/>
      <c r="H45" s="70"/>
      <c r="I45" s="70"/>
      <c r="J45" s="70"/>
      <c r="K45" s="70"/>
      <c r="L45" s="70"/>
      <c r="M45" s="70"/>
      <c r="N45" s="71"/>
    </row>
    <row r="46" spans="2:14" x14ac:dyDescent="0.25">
      <c r="B46" s="72"/>
      <c r="C46" s="73"/>
      <c r="D46" s="73"/>
      <c r="E46" s="73"/>
      <c r="F46" s="73"/>
      <c r="G46" s="73"/>
      <c r="H46" s="73"/>
      <c r="I46" s="73"/>
      <c r="J46" s="73"/>
      <c r="K46" s="73"/>
      <c r="L46" s="73"/>
      <c r="M46" s="73"/>
      <c r="N46" s="74"/>
    </row>
    <row r="47" spans="2:14" x14ac:dyDescent="0.25">
      <c r="B47" s="72"/>
      <c r="C47" s="73"/>
      <c r="D47" s="73"/>
      <c r="E47" s="73"/>
      <c r="F47" s="73"/>
      <c r="G47" s="73"/>
      <c r="H47" s="73"/>
      <c r="I47" s="73"/>
      <c r="J47" s="73"/>
      <c r="K47" s="73"/>
      <c r="L47" s="73"/>
      <c r="M47" s="73"/>
      <c r="N47" s="74"/>
    </row>
    <row r="48" spans="2:14" ht="15.75" thickBot="1" x14ac:dyDescent="0.3">
      <c r="B48" s="75"/>
      <c r="C48" s="76"/>
      <c r="D48" s="76"/>
      <c r="E48" s="76"/>
      <c r="F48" s="76"/>
      <c r="G48" s="76"/>
      <c r="H48" s="76"/>
      <c r="I48" s="76"/>
      <c r="J48" s="76"/>
      <c r="K48" s="76"/>
      <c r="L48" s="76"/>
      <c r="M48" s="76"/>
      <c r="N48" s="77"/>
    </row>
    <row r="49" spans="2:14" ht="15.75" thickBot="1" x14ac:dyDescent="0.3"/>
    <row r="50" spans="2:14" ht="135.75" customHeight="1" thickBot="1" x14ac:dyDescent="0.3">
      <c r="B50" s="78" t="s">
        <v>273</v>
      </c>
      <c r="C50" s="79"/>
      <c r="D50" s="79"/>
      <c r="E50" s="79"/>
      <c r="F50" s="79"/>
      <c r="G50" s="79"/>
      <c r="H50" s="79"/>
      <c r="I50" s="79"/>
      <c r="J50" s="79"/>
      <c r="K50" s="79"/>
      <c r="L50" s="79"/>
      <c r="M50" s="79"/>
      <c r="N50" s="80"/>
    </row>
  </sheetData>
  <mergeCells count="7">
    <mergeCell ref="B45:N48"/>
    <mergeCell ref="B50:N50"/>
    <mergeCell ref="C3:N3"/>
    <mergeCell ref="D5:E5"/>
    <mergeCell ref="G7:N7"/>
    <mergeCell ref="G24:K24"/>
    <mergeCell ref="G26:N2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EE8D9-C05C-4112-99D9-A8DABF90A3FA}">
  <dimension ref="B1:N45"/>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131</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9</v>
      </c>
      <c r="D5" s="84" t="s">
        <v>132</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58</v>
      </c>
      <c r="D8" s="6" t="s">
        <v>184</v>
      </c>
      <c r="E8" s="11">
        <v>0.99211899999999997</v>
      </c>
      <c r="F8" s="1"/>
      <c r="G8" s="24" t="s">
        <v>4</v>
      </c>
      <c r="H8" s="25">
        <v>1</v>
      </c>
      <c r="I8" s="1"/>
      <c r="J8" s="24" t="s">
        <v>50</v>
      </c>
      <c r="K8" s="24" t="s">
        <v>3</v>
      </c>
      <c r="L8" s="1"/>
      <c r="M8" s="1"/>
      <c r="N8" s="18"/>
    </row>
    <row r="9" spans="2:14" ht="15" customHeight="1" x14ac:dyDescent="0.25">
      <c r="B9" s="20"/>
      <c r="C9" s="5" t="s">
        <v>113</v>
      </c>
      <c r="D9" s="6" t="s">
        <v>184</v>
      </c>
      <c r="E9" s="31">
        <v>2.5000000000000001E-5</v>
      </c>
      <c r="F9" s="1"/>
      <c r="G9" s="1"/>
      <c r="H9" s="1"/>
      <c r="I9" s="1"/>
      <c r="J9" s="24" t="s">
        <v>48</v>
      </c>
      <c r="K9" s="30">
        <v>6.0809999999999996E-3</v>
      </c>
      <c r="L9" s="1"/>
      <c r="M9" s="1"/>
      <c r="N9" s="18"/>
    </row>
    <row r="10" spans="2:14" ht="15.75" customHeight="1" x14ac:dyDescent="0.25">
      <c r="B10" s="20"/>
      <c r="C10" s="7" t="s">
        <v>44</v>
      </c>
      <c r="D10" s="8"/>
      <c r="E10" s="12">
        <v>0.99214400000000003</v>
      </c>
      <c r="F10" s="1"/>
      <c r="G10" s="1"/>
      <c r="H10" s="1"/>
      <c r="I10" s="1"/>
      <c r="J10" s="24" t="s">
        <v>51</v>
      </c>
      <c r="K10" s="30">
        <v>1.7750000000000001E-3</v>
      </c>
      <c r="L10" s="1"/>
      <c r="M10" s="1"/>
      <c r="N10" s="18"/>
    </row>
    <row r="11" spans="2:14" ht="15" customHeight="1" x14ac:dyDescent="0.25">
      <c r="B11" s="20"/>
      <c r="C11" s="5" t="s">
        <v>46</v>
      </c>
      <c r="D11" s="6"/>
      <c r="E11" s="11">
        <v>1.7750000000000001E-3</v>
      </c>
      <c r="F11" s="1"/>
      <c r="G11" s="1"/>
      <c r="H11" s="1"/>
      <c r="I11" s="1"/>
      <c r="J11" s="24" t="s">
        <v>54</v>
      </c>
      <c r="K11" s="30">
        <v>0.99214400000000003</v>
      </c>
      <c r="L11" s="1"/>
      <c r="M11" s="1"/>
      <c r="N11" s="18"/>
    </row>
    <row r="12" spans="2:14" ht="15.75" customHeight="1" x14ac:dyDescent="0.25">
      <c r="B12" s="20"/>
      <c r="C12" s="7" t="s">
        <v>47</v>
      </c>
      <c r="D12" s="8"/>
      <c r="E12" s="12">
        <v>1.7750000000000001E-3</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48</v>
      </c>
      <c r="D14" s="8"/>
      <c r="E14" s="12">
        <v>6.0809999999999996E-3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49</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6" t="s">
        <v>6</v>
      </c>
      <c r="H24" s="87"/>
      <c r="I24" s="87"/>
      <c r="J24" s="87"/>
      <c r="K24" s="87"/>
      <c r="L24" s="26">
        <v>28.913517695388194</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6" t="s">
        <v>7</v>
      </c>
      <c r="H26" s="87"/>
      <c r="I26" s="87"/>
      <c r="J26" s="87"/>
      <c r="K26" s="87"/>
      <c r="L26" s="87"/>
      <c r="M26" s="87"/>
      <c r="N26" s="88"/>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8.25" customHeight="1" thickBot="1" x14ac:dyDescent="0.3">
      <c r="B45" s="78" t="s">
        <v>273</v>
      </c>
      <c r="C45" s="79"/>
      <c r="D45" s="79"/>
      <c r="E45" s="79"/>
      <c r="F45" s="79"/>
      <c r="G45" s="79"/>
      <c r="H45" s="79"/>
      <c r="I45" s="79"/>
      <c r="J45" s="79"/>
      <c r="K45" s="79"/>
      <c r="L45" s="79"/>
      <c r="M45" s="79"/>
      <c r="N45" s="80"/>
    </row>
  </sheetData>
  <mergeCells count="6">
    <mergeCell ref="B45:N45"/>
    <mergeCell ref="C3:N3"/>
    <mergeCell ref="D5:E5"/>
    <mergeCell ref="G7:N7"/>
    <mergeCell ref="G24:K24"/>
    <mergeCell ref="G26:N26"/>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3A8F3-98AD-43C8-8D5B-7EE93B2CE276}">
  <dimension ref="B1:N45"/>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129</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9</v>
      </c>
      <c r="D5" s="84" t="s">
        <v>130</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38</v>
      </c>
      <c r="D8" s="6" t="s">
        <v>184</v>
      </c>
      <c r="E8" s="11">
        <v>0.609321</v>
      </c>
      <c r="F8" s="1"/>
      <c r="G8" s="24" t="s">
        <v>4</v>
      </c>
      <c r="H8" s="25">
        <v>1</v>
      </c>
      <c r="I8" s="1"/>
      <c r="J8" s="24" t="s">
        <v>50</v>
      </c>
      <c r="K8" s="24" t="s">
        <v>3</v>
      </c>
      <c r="L8" s="1"/>
      <c r="M8" s="1"/>
      <c r="N8" s="18"/>
    </row>
    <row r="9" spans="2:14" ht="15" customHeight="1" x14ac:dyDescent="0.25">
      <c r="B9" s="20"/>
      <c r="C9" s="5" t="s">
        <v>93</v>
      </c>
      <c r="D9" s="6" t="s">
        <v>184</v>
      </c>
      <c r="E9" s="11">
        <v>0.20762700000000001</v>
      </c>
      <c r="F9" s="1"/>
      <c r="G9" s="1"/>
      <c r="H9" s="1"/>
      <c r="I9" s="1"/>
      <c r="J9" s="24" t="s">
        <v>48</v>
      </c>
      <c r="K9" s="30">
        <v>2.2794999999999999E-2</v>
      </c>
      <c r="L9" s="1"/>
      <c r="M9" s="1"/>
      <c r="N9" s="18"/>
    </row>
    <row r="10" spans="2:14" ht="15" customHeight="1" x14ac:dyDescent="0.25">
      <c r="B10" s="20"/>
      <c r="C10" s="5" t="s">
        <v>41</v>
      </c>
      <c r="D10" s="6" t="s">
        <v>184</v>
      </c>
      <c r="E10" s="11">
        <v>7.6511999999999997E-2</v>
      </c>
      <c r="F10" s="1"/>
      <c r="G10" s="1"/>
      <c r="H10" s="1"/>
      <c r="I10" s="1"/>
      <c r="J10" s="24" t="s">
        <v>51</v>
      </c>
      <c r="K10" s="30">
        <v>5.4029999999999998E-3</v>
      </c>
      <c r="L10" s="1"/>
      <c r="M10" s="1"/>
      <c r="N10" s="18"/>
    </row>
    <row r="11" spans="2:14" ht="15" customHeight="1" x14ac:dyDescent="0.25">
      <c r="B11" s="20"/>
      <c r="C11" s="5" t="s">
        <v>40</v>
      </c>
      <c r="D11" s="6" t="s">
        <v>184</v>
      </c>
      <c r="E11" s="11">
        <v>7.4826000000000004E-2</v>
      </c>
      <c r="F11" s="1"/>
      <c r="G11" s="1"/>
      <c r="H11" s="1"/>
      <c r="I11" s="1"/>
      <c r="J11" s="24" t="s">
        <v>54</v>
      </c>
      <c r="K11" s="30">
        <v>0.97180200000000005</v>
      </c>
      <c r="L11" s="1"/>
      <c r="M11" s="1"/>
      <c r="N11" s="18"/>
    </row>
    <row r="12" spans="2:14" ht="15" customHeight="1" x14ac:dyDescent="0.25">
      <c r="B12" s="20"/>
      <c r="C12" s="5" t="s">
        <v>113</v>
      </c>
      <c r="D12" s="6" t="s">
        <v>184</v>
      </c>
      <c r="E12" s="11">
        <v>2.1519999999999998E-3</v>
      </c>
      <c r="F12" s="1"/>
      <c r="G12" s="1"/>
      <c r="H12" s="1"/>
      <c r="I12" s="1"/>
      <c r="J12" s="1"/>
      <c r="K12" s="1"/>
      <c r="L12" s="1"/>
      <c r="M12" s="1"/>
      <c r="N12" s="18"/>
    </row>
    <row r="13" spans="2:14" ht="15" customHeight="1" x14ac:dyDescent="0.25">
      <c r="B13" s="20"/>
      <c r="C13" s="5" t="s">
        <v>65</v>
      </c>
      <c r="D13" s="6" t="s">
        <v>184</v>
      </c>
      <c r="E13" s="11">
        <v>1.364E-3</v>
      </c>
      <c r="F13" s="1"/>
      <c r="G13" s="1"/>
      <c r="H13" s="1"/>
      <c r="I13" s="1"/>
      <c r="J13" s="1"/>
      <c r="K13" s="1"/>
      <c r="L13" s="1"/>
      <c r="M13" s="1"/>
      <c r="N13" s="18"/>
    </row>
    <row r="14" spans="2:14" ht="15.75" customHeight="1" x14ac:dyDescent="0.25">
      <c r="B14" s="20"/>
      <c r="C14" s="7" t="s">
        <v>44</v>
      </c>
      <c r="D14" s="8"/>
      <c r="E14" s="12">
        <v>0.97180200000000005</v>
      </c>
      <c r="F14" s="1"/>
      <c r="G14" s="1"/>
      <c r="H14" s="1"/>
      <c r="I14" s="1"/>
      <c r="J14" s="1"/>
      <c r="K14" s="1"/>
      <c r="L14" s="1"/>
      <c r="M14" s="1"/>
      <c r="N14" s="18"/>
    </row>
    <row r="15" spans="2:14" ht="15" customHeight="1" x14ac:dyDescent="0.25">
      <c r="B15" s="20"/>
      <c r="C15" s="5" t="s">
        <v>46</v>
      </c>
      <c r="D15" s="6"/>
      <c r="E15" s="11">
        <v>5.4029999999999998E-3</v>
      </c>
      <c r="F15" s="1"/>
      <c r="G15" s="1"/>
      <c r="H15" s="1"/>
      <c r="I15" s="1"/>
      <c r="J15" s="1"/>
      <c r="K15" s="1"/>
      <c r="L15" s="1"/>
      <c r="M15" s="1"/>
      <c r="N15" s="18"/>
    </row>
    <row r="16" spans="2:14" ht="15.75" customHeight="1" x14ac:dyDescent="0.25">
      <c r="B16" s="20"/>
      <c r="C16" s="7" t="s">
        <v>47</v>
      </c>
      <c r="D16" s="8"/>
      <c r="E16" s="12">
        <v>5.4029999999999998E-3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75" customHeight="1" x14ac:dyDescent="0.25">
      <c r="B18" s="20"/>
      <c r="C18" s="7" t="s">
        <v>48</v>
      </c>
      <c r="D18" s="8"/>
      <c r="E18" s="12">
        <v>2.2794999999999999E-2</v>
      </c>
      <c r="F18" s="1"/>
      <c r="G18" s="1"/>
      <c r="H18" s="1"/>
      <c r="I18" s="1"/>
      <c r="J18" s="1"/>
      <c r="K18" s="1"/>
      <c r="L18" s="1"/>
      <c r="M18" s="1"/>
      <c r="N18" s="18"/>
    </row>
    <row r="19" spans="2:14" ht="15" customHeight="1" x14ac:dyDescent="0.25">
      <c r="B19" s="20"/>
      <c r="C19" s="5"/>
      <c r="D19" s="6"/>
      <c r="E19" s="11"/>
      <c r="F19" s="1"/>
      <c r="G19" s="1"/>
      <c r="H19" s="1"/>
      <c r="I19" s="1"/>
      <c r="J19" s="1"/>
      <c r="K19" s="1"/>
      <c r="L19" s="1"/>
      <c r="M19" s="1"/>
      <c r="N19" s="18"/>
    </row>
    <row r="20" spans="2:14" ht="15" customHeight="1" x14ac:dyDescent="0.25">
      <c r="B20" s="20"/>
      <c r="C20" s="9" t="s">
        <v>49</v>
      </c>
      <c r="D20" s="10"/>
      <c r="E20" s="13">
        <v>1</v>
      </c>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6" t="s">
        <v>6</v>
      </c>
      <c r="H24" s="87"/>
      <c r="I24" s="87"/>
      <c r="J24" s="87"/>
      <c r="K24" s="87"/>
      <c r="L24" s="26">
        <v>9.5999948431778197</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6" t="s">
        <v>7</v>
      </c>
      <c r="H26" s="87"/>
      <c r="I26" s="87"/>
      <c r="J26" s="87"/>
      <c r="K26" s="87"/>
      <c r="L26" s="87"/>
      <c r="M26" s="87"/>
      <c r="N26" s="88"/>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9" customHeight="1" thickBot="1" x14ac:dyDescent="0.3">
      <c r="B45" s="78" t="s">
        <v>273</v>
      </c>
      <c r="C45" s="79"/>
      <c r="D45" s="79"/>
      <c r="E45" s="79"/>
      <c r="F45" s="79"/>
      <c r="G45" s="79"/>
      <c r="H45" s="79"/>
      <c r="I45" s="79"/>
      <c r="J45" s="79"/>
      <c r="K45" s="79"/>
      <c r="L45" s="79"/>
      <c r="M45" s="79"/>
      <c r="N45" s="80"/>
    </row>
  </sheetData>
  <mergeCells count="6">
    <mergeCell ref="B45:N45"/>
    <mergeCell ref="C3:N3"/>
    <mergeCell ref="D5:E5"/>
    <mergeCell ref="G7:N7"/>
    <mergeCell ref="G24:K24"/>
    <mergeCell ref="G26:N26"/>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EFDAE7-C016-423B-B9B8-84C75208A020}">
  <dimension ref="B1:N45"/>
  <sheetViews>
    <sheetView showGridLines="0" zoomScale="75" zoomScaleNormal="75" workbookViewId="0"/>
  </sheetViews>
  <sheetFormatPr defaultRowHeight="15" x14ac:dyDescent="0.25"/>
  <cols>
    <col min="1" max="1" width="2.85546875" customWidth="1"/>
    <col min="2" max="2" width="3.85546875" customWidth="1"/>
    <col min="3" max="3" width="54.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164</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9</v>
      </c>
      <c r="D5" s="84" t="s">
        <v>165</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36</v>
      </c>
      <c r="D8" s="6"/>
      <c r="E8" s="11">
        <v>1.8259999999999999E-3</v>
      </c>
      <c r="F8" s="1"/>
      <c r="G8" s="24" t="s">
        <v>4</v>
      </c>
      <c r="H8" s="25">
        <v>1</v>
      </c>
      <c r="I8" s="1"/>
      <c r="J8" s="24" t="s">
        <v>50</v>
      </c>
      <c r="K8" s="24" t="s">
        <v>3</v>
      </c>
      <c r="L8" s="1"/>
      <c r="M8" s="1"/>
      <c r="N8" s="18"/>
    </row>
    <row r="9" spans="2:14" ht="15.75" customHeight="1" x14ac:dyDescent="0.25">
      <c r="B9" s="20"/>
      <c r="C9" s="7" t="s">
        <v>37</v>
      </c>
      <c r="D9" s="8"/>
      <c r="E9" s="12">
        <v>1.8259999999999999E-3</v>
      </c>
      <c r="F9" s="1"/>
      <c r="G9" s="1"/>
      <c r="H9" s="1"/>
      <c r="I9" s="1"/>
      <c r="J9" s="24" t="s">
        <v>48</v>
      </c>
      <c r="K9" s="30">
        <v>8.267E-3</v>
      </c>
      <c r="L9" s="1"/>
      <c r="M9" s="1"/>
      <c r="N9" s="18"/>
    </row>
    <row r="10" spans="2:14" ht="15" customHeight="1" x14ac:dyDescent="0.25">
      <c r="B10" s="20"/>
      <c r="C10" s="5" t="s">
        <v>58</v>
      </c>
      <c r="D10" s="6" t="s">
        <v>184</v>
      </c>
      <c r="E10" s="11">
        <v>0.924122</v>
      </c>
      <c r="F10" s="1"/>
      <c r="G10" s="1"/>
      <c r="H10" s="1"/>
      <c r="I10" s="1"/>
      <c r="J10" s="24" t="s">
        <v>51</v>
      </c>
      <c r="K10" s="30">
        <v>2.1770999999999999E-2</v>
      </c>
      <c r="L10" s="1"/>
      <c r="M10" s="1"/>
      <c r="N10" s="18"/>
    </row>
    <row r="11" spans="2:14" ht="15" customHeight="1" x14ac:dyDescent="0.25">
      <c r="B11" s="20"/>
      <c r="C11" s="5" t="s">
        <v>166</v>
      </c>
      <c r="D11" s="6" t="s">
        <v>184</v>
      </c>
      <c r="E11" s="11">
        <v>4.4013999999999998E-2</v>
      </c>
      <c r="F11" s="1"/>
      <c r="G11" s="1"/>
      <c r="H11" s="1"/>
      <c r="I11" s="1"/>
      <c r="J11" s="24" t="s">
        <v>36</v>
      </c>
      <c r="K11" s="30">
        <v>1.8259999999999999E-3</v>
      </c>
      <c r="L11" s="1"/>
      <c r="M11" s="1"/>
      <c r="N11" s="18"/>
    </row>
    <row r="12" spans="2:14" ht="15.75" customHeight="1" x14ac:dyDescent="0.25">
      <c r="B12" s="20"/>
      <c r="C12" s="7" t="s">
        <v>44</v>
      </c>
      <c r="D12" s="8"/>
      <c r="E12" s="12">
        <v>0.968136</v>
      </c>
      <c r="F12" s="1"/>
      <c r="G12" s="1"/>
      <c r="H12" s="1"/>
      <c r="I12" s="1"/>
      <c r="J12" s="24" t="s">
        <v>54</v>
      </c>
      <c r="K12" s="30">
        <v>0.968136</v>
      </c>
      <c r="L12" s="1"/>
      <c r="M12" s="1"/>
      <c r="N12" s="18"/>
    </row>
    <row r="13" spans="2:14" ht="15" customHeight="1" x14ac:dyDescent="0.25">
      <c r="B13" s="20"/>
      <c r="C13" s="5" t="s">
        <v>46</v>
      </c>
      <c r="D13" s="6"/>
      <c r="E13" s="11">
        <v>2.1770999999999999E-2</v>
      </c>
      <c r="F13" s="1"/>
      <c r="G13" s="1"/>
      <c r="H13" s="1"/>
      <c r="I13" s="1"/>
      <c r="J13" s="1"/>
      <c r="K13" s="1"/>
      <c r="L13" s="1"/>
      <c r="M13" s="1"/>
      <c r="N13" s="18"/>
    </row>
    <row r="14" spans="2:14" ht="15.75" customHeight="1" x14ac:dyDescent="0.25">
      <c r="B14" s="20"/>
      <c r="C14" s="7" t="s">
        <v>47</v>
      </c>
      <c r="D14" s="8"/>
      <c r="E14" s="12">
        <v>2.1770999999999999E-2</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75" customHeight="1" x14ac:dyDescent="0.25">
      <c r="B16" s="20"/>
      <c r="C16" s="7" t="s">
        <v>48</v>
      </c>
      <c r="D16" s="8"/>
      <c r="E16" s="12">
        <v>8.267E-3</v>
      </c>
      <c r="F16" s="1"/>
      <c r="G16" s="1"/>
      <c r="H16" s="1"/>
      <c r="I16" s="1"/>
      <c r="J16" s="1"/>
      <c r="K16" s="1"/>
      <c r="L16" s="1"/>
      <c r="M16" s="1"/>
      <c r="N16" s="18"/>
    </row>
    <row r="17" spans="2:14" ht="15" customHeight="1" x14ac:dyDescent="0.25">
      <c r="B17" s="20"/>
      <c r="C17" s="5"/>
      <c r="D17" s="6"/>
      <c r="E17" s="11"/>
      <c r="F17" s="1"/>
      <c r="G17" s="1"/>
      <c r="H17" s="1"/>
      <c r="I17" s="1"/>
      <c r="J17" s="1"/>
      <c r="K17" s="1"/>
      <c r="L17" s="1"/>
      <c r="M17" s="1"/>
      <c r="N17" s="18"/>
    </row>
    <row r="18" spans="2:14" ht="15" customHeight="1" x14ac:dyDescent="0.25">
      <c r="B18" s="20"/>
      <c r="C18" s="9" t="s">
        <v>49</v>
      </c>
      <c r="D18" s="10"/>
      <c r="E18" s="13">
        <v>1</v>
      </c>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6" t="s">
        <v>6</v>
      </c>
      <c r="H24" s="87"/>
      <c r="I24" s="87"/>
      <c r="J24" s="87"/>
      <c r="K24" s="87"/>
      <c r="L24" s="26">
        <v>29.191530101360676</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6" t="s">
        <v>7</v>
      </c>
      <c r="H26" s="87"/>
      <c r="I26" s="87"/>
      <c r="J26" s="87"/>
      <c r="K26" s="87"/>
      <c r="L26" s="87"/>
      <c r="M26" s="87"/>
      <c r="N26" s="88"/>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52.25" customHeight="1" thickBot="1" x14ac:dyDescent="0.3">
      <c r="B45" s="78" t="s">
        <v>273</v>
      </c>
      <c r="C45" s="79"/>
      <c r="D45" s="79"/>
      <c r="E45" s="79"/>
      <c r="F45" s="79"/>
      <c r="G45" s="79"/>
      <c r="H45" s="79"/>
      <c r="I45" s="79"/>
      <c r="J45" s="79"/>
      <c r="K45" s="79"/>
      <c r="L45" s="79"/>
      <c r="M45" s="79"/>
      <c r="N45" s="80"/>
    </row>
  </sheetData>
  <mergeCells count="6">
    <mergeCell ref="B45:N45"/>
    <mergeCell ref="C3:N3"/>
    <mergeCell ref="D5:E5"/>
    <mergeCell ref="G7:N7"/>
    <mergeCell ref="G24:K24"/>
    <mergeCell ref="G26:N26"/>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7BBB0B-AE95-4BD7-9ABA-CBB9FC6AD0A7}">
  <dimension ref="B1:N45"/>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105</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9</v>
      </c>
      <c r="D5" s="84" t="s">
        <v>106</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107</v>
      </c>
      <c r="D8" s="6" t="s">
        <v>184</v>
      </c>
      <c r="E8" s="11">
        <v>0.319693</v>
      </c>
      <c r="F8" s="1"/>
      <c r="G8" s="24" t="s">
        <v>4</v>
      </c>
      <c r="H8" s="25">
        <v>1</v>
      </c>
      <c r="I8" s="1"/>
      <c r="J8" s="24" t="s">
        <v>50</v>
      </c>
      <c r="K8" s="24" t="s">
        <v>3</v>
      </c>
      <c r="L8" s="1"/>
      <c r="M8" s="1"/>
      <c r="N8" s="18"/>
    </row>
    <row r="9" spans="2:14" ht="15" customHeight="1" x14ac:dyDescent="0.25">
      <c r="B9" s="20"/>
      <c r="C9" s="5" t="s">
        <v>70</v>
      </c>
      <c r="D9" s="6" t="s">
        <v>184</v>
      </c>
      <c r="E9" s="11">
        <v>0.31094500000000003</v>
      </c>
      <c r="F9" s="1"/>
      <c r="G9" s="1"/>
      <c r="H9" s="1"/>
      <c r="I9" s="1"/>
      <c r="J9" s="24" t="s">
        <v>48</v>
      </c>
      <c r="K9" s="30">
        <v>1.5075E-2</v>
      </c>
      <c r="L9" s="1"/>
      <c r="M9" s="1"/>
      <c r="N9" s="18"/>
    </row>
    <row r="10" spans="2:14" ht="15" customHeight="1" x14ac:dyDescent="0.25">
      <c r="B10" s="20"/>
      <c r="C10" s="5" t="s">
        <v>108</v>
      </c>
      <c r="D10" s="6" t="s">
        <v>184</v>
      </c>
      <c r="E10" s="11">
        <v>0.18399099999999999</v>
      </c>
      <c r="F10" s="1"/>
      <c r="G10" s="1"/>
      <c r="H10" s="1"/>
      <c r="I10" s="1"/>
      <c r="J10" s="24" t="s">
        <v>51</v>
      </c>
      <c r="K10" s="30">
        <v>7.3730000000000002E-3</v>
      </c>
      <c r="L10" s="1"/>
      <c r="M10" s="1"/>
      <c r="N10" s="18"/>
    </row>
    <row r="11" spans="2:14" ht="15" customHeight="1" x14ac:dyDescent="0.25">
      <c r="B11" s="20"/>
      <c r="C11" s="5" t="s">
        <v>109</v>
      </c>
      <c r="D11" s="6" t="s">
        <v>184</v>
      </c>
      <c r="E11" s="11">
        <v>0.100785</v>
      </c>
      <c r="F11" s="1"/>
      <c r="G11" s="1"/>
      <c r="H11" s="1"/>
      <c r="I11" s="1"/>
      <c r="J11" s="24" t="s">
        <v>54</v>
      </c>
      <c r="K11" s="30">
        <v>0.97755199999999998</v>
      </c>
      <c r="L11" s="1"/>
      <c r="M11" s="1"/>
      <c r="N11" s="18"/>
    </row>
    <row r="12" spans="2:14" ht="15" customHeight="1" x14ac:dyDescent="0.25">
      <c r="B12" s="20"/>
      <c r="C12" s="5" t="s">
        <v>110</v>
      </c>
      <c r="D12" s="6" t="s">
        <v>184</v>
      </c>
      <c r="E12" s="11">
        <v>6.2137999999999999E-2</v>
      </c>
      <c r="F12" s="1"/>
      <c r="G12" s="1"/>
      <c r="H12" s="1"/>
      <c r="I12" s="1"/>
      <c r="J12" s="1"/>
      <c r="K12" s="1"/>
      <c r="L12" s="1"/>
      <c r="M12" s="1"/>
      <c r="N12" s="18"/>
    </row>
    <row r="13" spans="2:14" ht="15.75" customHeight="1" x14ac:dyDescent="0.25">
      <c r="B13" s="20"/>
      <c r="C13" s="7" t="s">
        <v>44</v>
      </c>
      <c r="D13" s="8"/>
      <c r="E13" s="12">
        <v>0.97755199999999998</v>
      </c>
      <c r="F13" s="1"/>
      <c r="G13" s="1"/>
      <c r="H13" s="1"/>
      <c r="I13" s="1"/>
      <c r="J13" s="1"/>
      <c r="K13" s="1"/>
      <c r="L13" s="1"/>
      <c r="M13" s="1"/>
      <c r="N13" s="18"/>
    </row>
    <row r="14" spans="2:14" ht="15" customHeight="1" x14ac:dyDescent="0.25">
      <c r="B14" s="20"/>
      <c r="C14" s="5" t="s">
        <v>46</v>
      </c>
      <c r="D14" s="6"/>
      <c r="E14" s="11">
        <v>7.3730000000000002E-3</v>
      </c>
      <c r="F14" s="1"/>
      <c r="G14" s="1"/>
      <c r="H14" s="1"/>
      <c r="I14" s="1"/>
      <c r="J14" s="1"/>
      <c r="K14" s="1"/>
      <c r="L14" s="1"/>
      <c r="M14" s="1"/>
      <c r="N14" s="18"/>
    </row>
    <row r="15" spans="2:14" ht="15.75" customHeight="1" x14ac:dyDescent="0.25">
      <c r="B15" s="20"/>
      <c r="C15" s="7" t="s">
        <v>47</v>
      </c>
      <c r="D15" s="8"/>
      <c r="E15" s="12">
        <v>7.3730000000000002E-3</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75" customHeight="1" x14ac:dyDescent="0.25">
      <c r="B17" s="20"/>
      <c r="C17" s="7" t="s">
        <v>48</v>
      </c>
      <c r="D17" s="8"/>
      <c r="E17" s="12">
        <v>1.5075E-2</v>
      </c>
      <c r="F17" s="1"/>
      <c r="G17" s="1"/>
      <c r="H17" s="1"/>
      <c r="I17" s="1"/>
      <c r="J17" s="1"/>
      <c r="K17" s="1"/>
      <c r="L17" s="1"/>
      <c r="M17" s="1"/>
      <c r="N17" s="18"/>
    </row>
    <row r="18" spans="2:14" ht="15" customHeight="1" x14ac:dyDescent="0.25">
      <c r="B18" s="20"/>
      <c r="C18" s="5"/>
      <c r="D18" s="6"/>
      <c r="E18" s="11"/>
      <c r="F18" s="1"/>
      <c r="G18" s="1"/>
      <c r="H18" s="1"/>
      <c r="I18" s="1"/>
      <c r="J18" s="1"/>
      <c r="K18" s="1"/>
      <c r="L18" s="1"/>
      <c r="M18" s="1"/>
      <c r="N18" s="18"/>
    </row>
    <row r="19" spans="2:14" ht="15" customHeight="1" x14ac:dyDescent="0.25">
      <c r="B19" s="20"/>
      <c r="C19" s="9" t="s">
        <v>49</v>
      </c>
      <c r="D19" s="10"/>
      <c r="E19" s="13">
        <v>1</v>
      </c>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6" t="s">
        <v>6</v>
      </c>
      <c r="H24" s="87"/>
      <c r="I24" s="87"/>
      <c r="J24" s="87"/>
      <c r="K24" s="87"/>
      <c r="L24" s="26">
        <v>1.6010552663170909</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6" t="s">
        <v>7</v>
      </c>
      <c r="H26" s="87"/>
      <c r="I26" s="87"/>
      <c r="J26" s="87"/>
      <c r="K26" s="87"/>
      <c r="L26" s="87"/>
      <c r="M26" s="87"/>
      <c r="N26" s="88"/>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28.25" customHeight="1" thickBot="1" x14ac:dyDescent="0.3">
      <c r="B45" s="78" t="s">
        <v>273</v>
      </c>
      <c r="C45" s="79"/>
      <c r="D45" s="79"/>
      <c r="E45" s="79"/>
      <c r="F45" s="79"/>
      <c r="G45" s="79"/>
      <c r="H45" s="79"/>
      <c r="I45" s="79"/>
      <c r="J45" s="79"/>
      <c r="K45" s="79"/>
      <c r="L45" s="79"/>
      <c r="M45" s="79"/>
      <c r="N45" s="80"/>
    </row>
  </sheetData>
  <mergeCells count="6">
    <mergeCell ref="B45:N45"/>
    <mergeCell ref="C3:N3"/>
    <mergeCell ref="D5:E5"/>
    <mergeCell ref="G7:N7"/>
    <mergeCell ref="G24:K24"/>
    <mergeCell ref="G26:N2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9759E-31C7-4AE4-9C1E-079597EC7B42}">
  <dimension ref="B1:N45"/>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118</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9</v>
      </c>
      <c r="D5" s="84" t="s">
        <v>119</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104</v>
      </c>
      <c r="D8" s="6" t="s">
        <v>184</v>
      </c>
      <c r="E8" s="11">
        <v>0.73827299999999996</v>
      </c>
      <c r="F8" s="1"/>
      <c r="G8" s="24" t="s">
        <v>4</v>
      </c>
      <c r="H8" s="25">
        <v>1</v>
      </c>
      <c r="I8" s="1"/>
      <c r="J8" s="24" t="s">
        <v>50</v>
      </c>
      <c r="K8" s="24" t="s">
        <v>3</v>
      </c>
      <c r="L8" s="1"/>
      <c r="M8" s="1"/>
      <c r="N8" s="18"/>
    </row>
    <row r="9" spans="2:14" ht="15" customHeight="1" x14ac:dyDescent="0.25">
      <c r="B9" s="20"/>
      <c r="C9" s="5" t="s">
        <v>65</v>
      </c>
      <c r="D9" s="6" t="s">
        <v>184</v>
      </c>
      <c r="E9" s="11">
        <v>0.118828</v>
      </c>
      <c r="F9" s="1"/>
      <c r="G9" s="1"/>
      <c r="H9" s="1"/>
      <c r="I9" s="1"/>
      <c r="J9" s="24" t="s">
        <v>48</v>
      </c>
      <c r="K9" s="30">
        <v>1.1837E-2</v>
      </c>
      <c r="L9" s="1"/>
      <c r="M9" s="1"/>
      <c r="N9" s="18"/>
    </row>
    <row r="10" spans="2:14" ht="15" customHeight="1" x14ac:dyDescent="0.25">
      <c r="B10" s="20"/>
      <c r="C10" s="5" t="s">
        <v>59</v>
      </c>
      <c r="D10" s="6" t="s">
        <v>184</v>
      </c>
      <c r="E10" s="11">
        <v>0.10094599999999999</v>
      </c>
      <c r="F10" s="1"/>
      <c r="G10" s="1"/>
      <c r="H10" s="1"/>
      <c r="I10" s="1"/>
      <c r="J10" s="24" t="s">
        <v>51</v>
      </c>
      <c r="K10" s="30">
        <v>3.0116E-2</v>
      </c>
      <c r="L10" s="1"/>
      <c r="M10" s="1"/>
      <c r="N10" s="18"/>
    </row>
    <row r="11" spans="2:14" ht="15.75" customHeight="1" x14ac:dyDescent="0.25">
      <c r="B11" s="20"/>
      <c r="C11" s="7" t="s">
        <v>44</v>
      </c>
      <c r="D11" s="8"/>
      <c r="E11" s="12">
        <v>0.95804699999999998</v>
      </c>
      <c r="F11" s="1"/>
      <c r="G11" s="1"/>
      <c r="H11" s="1"/>
      <c r="I11" s="1"/>
      <c r="J11" s="24" t="s">
        <v>54</v>
      </c>
      <c r="K11" s="30">
        <v>0.95804699999999998</v>
      </c>
      <c r="L11" s="1"/>
      <c r="M11" s="1"/>
      <c r="N11" s="18"/>
    </row>
    <row r="12" spans="2:14" ht="15" customHeight="1" x14ac:dyDescent="0.25">
      <c r="B12" s="20"/>
      <c r="C12" s="5" t="s">
        <v>46</v>
      </c>
      <c r="D12" s="6"/>
      <c r="E12" s="11">
        <v>3.0116E-2</v>
      </c>
      <c r="F12" s="1"/>
      <c r="G12" s="1"/>
      <c r="H12" s="1"/>
      <c r="I12" s="1"/>
      <c r="J12" s="1"/>
      <c r="K12" s="1"/>
      <c r="L12" s="1"/>
      <c r="M12" s="1"/>
      <c r="N12" s="18"/>
    </row>
    <row r="13" spans="2:14" ht="15.75" customHeight="1" x14ac:dyDescent="0.25">
      <c r="B13" s="20"/>
      <c r="C13" s="7" t="s">
        <v>47</v>
      </c>
      <c r="D13" s="8"/>
      <c r="E13" s="12">
        <v>3.0116E-2</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48</v>
      </c>
      <c r="D15" s="8"/>
      <c r="E15" s="12">
        <v>1.1837E-2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49</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6" t="s">
        <v>6</v>
      </c>
      <c r="H24" s="87"/>
      <c r="I24" s="87"/>
      <c r="J24" s="87"/>
      <c r="K24" s="87"/>
      <c r="L24" s="26">
        <v>2.748805042357771</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6" t="s">
        <v>7</v>
      </c>
      <c r="H26" s="87"/>
      <c r="I26" s="87"/>
      <c r="J26" s="87"/>
      <c r="K26" s="87"/>
      <c r="L26" s="87"/>
      <c r="M26" s="87"/>
      <c r="N26" s="88"/>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3.5" customHeight="1" thickBot="1" x14ac:dyDescent="0.3">
      <c r="B45" s="78" t="s">
        <v>273</v>
      </c>
      <c r="C45" s="79"/>
      <c r="D45" s="79"/>
      <c r="E45" s="79"/>
      <c r="F45" s="79"/>
      <c r="G45" s="79"/>
      <c r="H45" s="79"/>
      <c r="I45" s="79"/>
      <c r="J45" s="79"/>
      <c r="K45" s="79"/>
      <c r="L45" s="79"/>
      <c r="M45" s="79"/>
      <c r="N45" s="80"/>
    </row>
  </sheetData>
  <mergeCells count="6">
    <mergeCell ref="B45:N45"/>
    <mergeCell ref="C3:N3"/>
    <mergeCell ref="D5:E5"/>
    <mergeCell ref="G7:N7"/>
    <mergeCell ref="G24:K24"/>
    <mergeCell ref="G26:N26"/>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ADA63-1A41-472F-8C47-C8CC0D14A62D}">
  <dimension ref="B1:N45"/>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111</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9</v>
      </c>
      <c r="D5" s="84" t="s">
        <v>112</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113</v>
      </c>
      <c r="D8" s="6" t="s">
        <v>184</v>
      </c>
      <c r="E8" s="11">
        <v>0.58708000000000005</v>
      </c>
      <c r="F8" s="1"/>
      <c r="G8" s="24" t="s">
        <v>4</v>
      </c>
      <c r="H8" s="25">
        <v>1</v>
      </c>
      <c r="I8" s="1"/>
      <c r="J8" s="24" t="s">
        <v>50</v>
      </c>
      <c r="K8" s="24" t="s">
        <v>3</v>
      </c>
      <c r="L8" s="1"/>
      <c r="M8" s="1"/>
      <c r="N8" s="18"/>
    </row>
    <row r="9" spans="2:14" ht="15" customHeight="1" x14ac:dyDescent="0.25">
      <c r="B9" s="20"/>
      <c r="C9" s="5" t="s">
        <v>114</v>
      </c>
      <c r="D9" s="6" t="s">
        <v>184</v>
      </c>
      <c r="E9" s="11">
        <v>0.30514000000000002</v>
      </c>
      <c r="F9" s="1"/>
      <c r="G9" s="1"/>
      <c r="H9" s="1"/>
      <c r="I9" s="1"/>
      <c r="J9" s="24" t="s">
        <v>48</v>
      </c>
      <c r="K9" s="30">
        <v>1.1811E-2</v>
      </c>
      <c r="L9" s="1"/>
      <c r="M9" s="1"/>
      <c r="N9" s="18"/>
    </row>
    <row r="10" spans="2:14" ht="15" customHeight="1" x14ac:dyDescent="0.25">
      <c r="B10" s="20"/>
      <c r="C10" s="5" t="s">
        <v>104</v>
      </c>
      <c r="D10" s="6" t="s">
        <v>184</v>
      </c>
      <c r="E10" s="11">
        <v>6.7331000000000002E-2</v>
      </c>
      <c r="F10" s="1"/>
      <c r="G10" s="1"/>
      <c r="H10" s="1"/>
      <c r="I10" s="1"/>
      <c r="J10" s="24" t="s">
        <v>51</v>
      </c>
      <c r="K10" s="30">
        <v>2.8638E-2</v>
      </c>
      <c r="L10" s="1"/>
      <c r="M10" s="1"/>
      <c r="N10" s="18"/>
    </row>
    <row r="11" spans="2:14" ht="15.75" customHeight="1" x14ac:dyDescent="0.25">
      <c r="B11" s="20"/>
      <c r="C11" s="7" t="s">
        <v>44</v>
      </c>
      <c r="D11" s="8"/>
      <c r="E11" s="12">
        <v>0.95955100000000004</v>
      </c>
      <c r="F11" s="1"/>
      <c r="G11" s="1"/>
      <c r="H11" s="1"/>
      <c r="I11" s="1"/>
      <c r="J11" s="24" t="s">
        <v>54</v>
      </c>
      <c r="K11" s="30">
        <v>0.95955100000000004</v>
      </c>
      <c r="L11" s="1"/>
      <c r="M11" s="1"/>
      <c r="N11" s="18"/>
    </row>
    <row r="12" spans="2:14" ht="15" customHeight="1" x14ac:dyDescent="0.25">
      <c r="B12" s="20"/>
      <c r="C12" s="5" t="s">
        <v>46</v>
      </c>
      <c r="D12" s="6"/>
      <c r="E12" s="11">
        <v>2.8638E-2</v>
      </c>
      <c r="F12" s="1"/>
      <c r="G12" s="1"/>
      <c r="H12" s="1"/>
      <c r="I12" s="1"/>
      <c r="J12" s="1"/>
      <c r="K12" s="1"/>
      <c r="L12" s="1"/>
      <c r="M12" s="1"/>
      <c r="N12" s="18"/>
    </row>
    <row r="13" spans="2:14" ht="15.75" customHeight="1" x14ac:dyDescent="0.25">
      <c r="B13" s="20"/>
      <c r="C13" s="7" t="s">
        <v>47</v>
      </c>
      <c r="D13" s="8"/>
      <c r="E13" s="12">
        <v>2.8638E-2</v>
      </c>
      <c r="F13" s="1"/>
      <c r="G13" s="1"/>
      <c r="H13" s="1"/>
      <c r="I13" s="1"/>
      <c r="J13" s="1"/>
      <c r="K13" s="1"/>
      <c r="L13" s="1"/>
      <c r="M13" s="1"/>
      <c r="N13" s="18"/>
    </row>
    <row r="14" spans="2:14" ht="15" customHeight="1" x14ac:dyDescent="0.25">
      <c r="B14" s="20"/>
      <c r="C14" s="5"/>
      <c r="D14" s="6"/>
      <c r="E14" s="11"/>
      <c r="F14" s="1"/>
      <c r="G14" s="1"/>
      <c r="H14" s="1"/>
      <c r="I14" s="1"/>
      <c r="J14" s="1"/>
      <c r="K14" s="1"/>
      <c r="L14" s="1"/>
      <c r="M14" s="1"/>
      <c r="N14" s="18"/>
    </row>
    <row r="15" spans="2:14" ht="15.75" customHeight="1" x14ac:dyDescent="0.25">
      <c r="B15" s="20"/>
      <c r="C15" s="7" t="s">
        <v>48</v>
      </c>
      <c r="D15" s="8"/>
      <c r="E15" s="12">
        <v>1.1811E-2</v>
      </c>
      <c r="F15" s="1"/>
      <c r="G15" s="1"/>
      <c r="H15" s="1"/>
      <c r="I15" s="1"/>
      <c r="J15" s="1"/>
      <c r="K15" s="1"/>
      <c r="L15" s="1"/>
      <c r="M15" s="1"/>
      <c r="N15" s="18"/>
    </row>
    <row r="16" spans="2:14" ht="15" customHeight="1" x14ac:dyDescent="0.25">
      <c r="B16" s="20"/>
      <c r="C16" s="5"/>
      <c r="D16" s="6"/>
      <c r="E16" s="11"/>
      <c r="F16" s="1"/>
      <c r="G16" s="1"/>
      <c r="H16" s="1"/>
      <c r="I16" s="1"/>
      <c r="J16" s="1"/>
      <c r="K16" s="1"/>
      <c r="L16" s="1"/>
      <c r="M16" s="1"/>
      <c r="N16" s="18"/>
    </row>
    <row r="17" spans="2:14" ht="15" customHeight="1" x14ac:dyDescent="0.25">
      <c r="B17" s="20"/>
      <c r="C17" s="9" t="s">
        <v>49</v>
      </c>
      <c r="D17" s="10"/>
      <c r="E17" s="13">
        <v>1</v>
      </c>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6" t="s">
        <v>6</v>
      </c>
      <c r="H24" s="87"/>
      <c r="I24" s="87"/>
      <c r="J24" s="87"/>
      <c r="K24" s="87"/>
      <c r="L24" s="26">
        <v>3.2119621469658388</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6" t="s">
        <v>7</v>
      </c>
      <c r="H26" s="87"/>
      <c r="I26" s="87"/>
      <c r="J26" s="87"/>
      <c r="K26" s="87"/>
      <c r="L26" s="87"/>
      <c r="M26" s="87"/>
      <c r="N26" s="88"/>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40.25" customHeight="1" thickBot="1" x14ac:dyDescent="0.3">
      <c r="B45" s="78" t="s">
        <v>273</v>
      </c>
      <c r="C45" s="79"/>
      <c r="D45" s="79"/>
      <c r="E45" s="79"/>
      <c r="F45" s="79"/>
      <c r="G45" s="79"/>
      <c r="H45" s="79"/>
      <c r="I45" s="79"/>
      <c r="J45" s="79"/>
      <c r="K45" s="79"/>
      <c r="L45" s="79"/>
      <c r="M45" s="79"/>
      <c r="N45" s="80"/>
    </row>
  </sheetData>
  <mergeCells count="6">
    <mergeCell ref="B45:N45"/>
    <mergeCell ref="C3:N3"/>
    <mergeCell ref="D5:E5"/>
    <mergeCell ref="G7:N7"/>
    <mergeCell ref="G24:K24"/>
    <mergeCell ref="G26:N26"/>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B75C-402C-4A4C-95FA-537237B31FC4}">
  <dimension ref="B1:N45"/>
  <sheetViews>
    <sheetView showGridLines="0" zoomScale="75" zoomScaleNormal="75" workbookViewId="0"/>
  </sheetViews>
  <sheetFormatPr defaultRowHeight="15" x14ac:dyDescent="0.25"/>
  <cols>
    <col min="1" max="1" width="2.85546875" customWidth="1"/>
    <col min="2" max="2" width="3.85546875" customWidth="1"/>
    <col min="3" max="3" width="46.8554687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115</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9</v>
      </c>
      <c r="D5" s="84" t="s">
        <v>116</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40</v>
      </c>
      <c r="D8" s="6" t="s">
        <v>184</v>
      </c>
      <c r="E8" s="11">
        <v>0.779802</v>
      </c>
      <c r="F8" s="1"/>
      <c r="G8" s="24" t="s">
        <v>4</v>
      </c>
      <c r="H8" s="25">
        <v>1</v>
      </c>
      <c r="I8" s="1"/>
      <c r="J8" s="24" t="s">
        <v>50</v>
      </c>
      <c r="K8" s="24" t="s">
        <v>3</v>
      </c>
      <c r="L8" s="1"/>
      <c r="M8" s="1"/>
      <c r="N8" s="18"/>
    </row>
    <row r="9" spans="2:14" ht="15" customHeight="1" x14ac:dyDescent="0.25">
      <c r="B9" s="20"/>
      <c r="C9" s="5" t="s">
        <v>98</v>
      </c>
      <c r="D9" s="6" t="s">
        <v>184</v>
      </c>
      <c r="E9" s="11">
        <v>0.20538300000000001</v>
      </c>
      <c r="F9" s="1"/>
      <c r="G9" s="1"/>
      <c r="H9" s="1"/>
      <c r="I9" s="1"/>
      <c r="J9" s="24" t="s">
        <v>48</v>
      </c>
      <c r="K9" s="30">
        <v>2.6189999999999998E-3</v>
      </c>
      <c r="L9" s="1"/>
      <c r="M9" s="1"/>
      <c r="N9" s="18"/>
    </row>
    <row r="10" spans="2:14" ht="15.75" customHeight="1" x14ac:dyDescent="0.25">
      <c r="B10" s="20"/>
      <c r="C10" s="7" t="s">
        <v>44</v>
      </c>
      <c r="D10" s="8"/>
      <c r="E10" s="12">
        <v>0.98518499999999998</v>
      </c>
      <c r="F10" s="1"/>
      <c r="G10" s="1"/>
      <c r="H10" s="1"/>
      <c r="I10" s="1"/>
      <c r="J10" s="24" t="s">
        <v>51</v>
      </c>
      <c r="K10" s="30">
        <v>1.2196E-2</v>
      </c>
      <c r="L10" s="1"/>
      <c r="M10" s="1"/>
      <c r="N10" s="18"/>
    </row>
    <row r="11" spans="2:14" ht="15" customHeight="1" x14ac:dyDescent="0.25">
      <c r="B11" s="20"/>
      <c r="C11" s="5" t="s">
        <v>46</v>
      </c>
      <c r="D11" s="6"/>
      <c r="E11" s="11">
        <v>1.2196E-2</v>
      </c>
      <c r="F11" s="1"/>
      <c r="G11" s="1"/>
      <c r="H11" s="1"/>
      <c r="I11" s="1"/>
      <c r="J11" s="24" t="s">
        <v>54</v>
      </c>
      <c r="K11" s="30">
        <v>0.98518499999999998</v>
      </c>
      <c r="L11" s="1"/>
      <c r="M11" s="1"/>
      <c r="N11" s="18"/>
    </row>
    <row r="12" spans="2:14" ht="15.75" customHeight="1" x14ac:dyDescent="0.25">
      <c r="B12" s="20"/>
      <c r="C12" s="7" t="s">
        <v>47</v>
      </c>
      <c r="D12" s="8"/>
      <c r="E12" s="12">
        <v>1.2196E-2</v>
      </c>
      <c r="F12" s="1"/>
      <c r="G12" s="1"/>
      <c r="H12" s="1"/>
      <c r="I12" s="1"/>
      <c r="J12" s="1"/>
      <c r="K12" s="1"/>
      <c r="L12" s="1"/>
      <c r="M12" s="1"/>
      <c r="N12" s="18"/>
    </row>
    <row r="13" spans="2:14" ht="15" customHeight="1" x14ac:dyDescent="0.25">
      <c r="B13" s="20"/>
      <c r="C13" s="5"/>
      <c r="D13" s="6"/>
      <c r="E13" s="11"/>
      <c r="F13" s="1"/>
      <c r="G13" s="1"/>
      <c r="H13" s="1"/>
      <c r="I13" s="1"/>
      <c r="J13" s="1"/>
      <c r="K13" s="1"/>
      <c r="L13" s="1"/>
      <c r="M13" s="1"/>
      <c r="N13" s="18"/>
    </row>
    <row r="14" spans="2:14" ht="15.75" customHeight="1" x14ac:dyDescent="0.25">
      <c r="B14" s="20"/>
      <c r="C14" s="7" t="s">
        <v>48</v>
      </c>
      <c r="D14" s="8"/>
      <c r="E14" s="12">
        <v>2.6189999999999998E-3</v>
      </c>
      <c r="F14" s="1"/>
      <c r="G14" s="1"/>
      <c r="H14" s="1"/>
      <c r="I14" s="1"/>
      <c r="J14" s="1"/>
      <c r="K14" s="1"/>
      <c r="L14" s="1"/>
      <c r="M14" s="1"/>
      <c r="N14" s="18"/>
    </row>
    <row r="15" spans="2:14" ht="15" customHeight="1" x14ac:dyDescent="0.25">
      <c r="B15" s="20"/>
      <c r="C15" s="5"/>
      <c r="D15" s="6"/>
      <c r="E15" s="11"/>
      <c r="F15" s="1"/>
      <c r="G15" s="1"/>
      <c r="H15" s="1"/>
      <c r="I15" s="1"/>
      <c r="J15" s="1"/>
      <c r="K15" s="1"/>
      <c r="L15" s="1"/>
      <c r="M15" s="1"/>
      <c r="N15" s="18"/>
    </row>
    <row r="16" spans="2:14" ht="15" customHeight="1" x14ac:dyDescent="0.25">
      <c r="B16" s="20"/>
      <c r="C16" s="9" t="s">
        <v>49</v>
      </c>
      <c r="D16" s="10"/>
      <c r="E16" s="13">
        <v>1</v>
      </c>
      <c r="F16" s="1"/>
      <c r="G16" s="1"/>
      <c r="H16" s="1"/>
      <c r="I16" s="1"/>
      <c r="J16" s="1"/>
      <c r="K16" s="1"/>
      <c r="L16" s="1"/>
      <c r="M16" s="1"/>
      <c r="N16" s="18"/>
    </row>
    <row r="17" spans="2:14" ht="15" customHeight="1" x14ac:dyDescent="0.25">
      <c r="B17" s="20"/>
      <c r="C17" s="1"/>
      <c r="D17" s="1"/>
      <c r="E17" s="1"/>
      <c r="F17" s="1"/>
      <c r="G17" s="1"/>
      <c r="H17" s="1"/>
      <c r="I17" s="1"/>
      <c r="J17" s="1"/>
      <c r="K17" s="1"/>
      <c r="L17" s="1"/>
      <c r="M17" s="1"/>
      <c r="N17" s="18"/>
    </row>
    <row r="18" spans="2:14" ht="15" customHeight="1" x14ac:dyDescent="0.25">
      <c r="B18" s="20"/>
      <c r="C18" s="1"/>
      <c r="D18" s="1"/>
      <c r="E18" s="1"/>
      <c r="F18" s="1"/>
      <c r="G18" s="1"/>
      <c r="H18" s="1"/>
      <c r="I18" s="1"/>
      <c r="J18" s="1"/>
      <c r="K18" s="1"/>
      <c r="L18" s="1"/>
      <c r="M18" s="1"/>
      <c r="N18" s="18"/>
    </row>
    <row r="19" spans="2:14" ht="15" customHeight="1" x14ac:dyDescent="0.25">
      <c r="B19" s="20"/>
      <c r="C19" s="1"/>
      <c r="D19" s="1"/>
      <c r="E19" s="1"/>
      <c r="F19" s="1"/>
      <c r="G19" s="1"/>
      <c r="H19" s="1"/>
      <c r="I19" s="1"/>
      <c r="J19" s="1"/>
      <c r="K19" s="1"/>
      <c r="L19" s="1"/>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6" t="s">
        <v>6</v>
      </c>
      <c r="H24" s="87"/>
      <c r="I24" s="87"/>
      <c r="J24" s="87"/>
      <c r="K24" s="87"/>
      <c r="L24" s="26">
        <v>7.2715012968319508</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6" t="s">
        <v>7</v>
      </c>
      <c r="H26" s="87"/>
      <c r="I26" s="87"/>
      <c r="J26" s="87"/>
      <c r="K26" s="87"/>
      <c r="L26" s="87"/>
      <c r="M26" s="87"/>
      <c r="N26" s="88"/>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40.25" customHeight="1" thickBot="1" x14ac:dyDescent="0.3">
      <c r="B45" s="78" t="s">
        <v>273</v>
      </c>
      <c r="C45" s="79"/>
      <c r="D45" s="79"/>
      <c r="E45" s="79"/>
      <c r="F45" s="79"/>
      <c r="G45" s="79"/>
      <c r="H45" s="79"/>
      <c r="I45" s="79"/>
      <c r="J45" s="79"/>
      <c r="K45" s="79"/>
      <c r="L45" s="79"/>
      <c r="M45" s="79"/>
      <c r="N45" s="80"/>
    </row>
  </sheetData>
  <mergeCells count="6">
    <mergeCell ref="B45:N45"/>
    <mergeCell ref="C3:N3"/>
    <mergeCell ref="D5:E5"/>
    <mergeCell ref="G7:N7"/>
    <mergeCell ref="G24:K24"/>
    <mergeCell ref="G26:N26"/>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B7310-A460-4CE7-AD91-835124ECA400}">
  <dimension ref="B1:N45"/>
  <sheetViews>
    <sheetView showGridLines="0" zoomScale="75" zoomScaleNormal="75" workbookViewId="0"/>
  </sheetViews>
  <sheetFormatPr defaultRowHeight="15" x14ac:dyDescent="0.25"/>
  <cols>
    <col min="1" max="1" width="2.85546875" customWidth="1"/>
    <col min="2" max="2" width="3.85546875" customWidth="1"/>
    <col min="3" max="3" width="50.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99</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9</v>
      </c>
      <c r="D5" s="84" t="s">
        <v>100</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101</v>
      </c>
      <c r="D8" s="6" t="s">
        <v>184</v>
      </c>
      <c r="E8" s="11">
        <v>0.12736500000000001</v>
      </c>
      <c r="F8" s="1"/>
      <c r="G8" s="24" t="s">
        <v>4</v>
      </c>
      <c r="H8" s="25">
        <v>1</v>
      </c>
      <c r="I8" s="1"/>
      <c r="J8" s="24" t="s">
        <v>50</v>
      </c>
      <c r="K8" s="24" t="s">
        <v>3</v>
      </c>
      <c r="L8" s="1"/>
      <c r="M8" s="1"/>
      <c r="N8" s="18"/>
    </row>
    <row r="9" spans="2:14" ht="15.75" customHeight="1" x14ac:dyDescent="0.25">
      <c r="B9" s="20"/>
      <c r="C9" s="7" t="s">
        <v>44</v>
      </c>
      <c r="D9" s="8"/>
      <c r="E9" s="12">
        <v>0.12736500000000001</v>
      </c>
      <c r="F9" s="1"/>
      <c r="G9" s="1"/>
      <c r="H9" s="1"/>
      <c r="I9" s="1"/>
      <c r="J9" s="24" t="s">
        <v>48</v>
      </c>
      <c r="K9" s="30">
        <v>1.9701E-2</v>
      </c>
      <c r="L9" s="1"/>
      <c r="M9" s="1"/>
      <c r="N9" s="18"/>
    </row>
    <row r="10" spans="2:14" ht="15" customHeight="1" x14ac:dyDescent="0.25">
      <c r="B10" s="20"/>
      <c r="C10" s="5" t="s">
        <v>228</v>
      </c>
      <c r="D10" s="6" t="s">
        <v>184</v>
      </c>
      <c r="E10" s="11">
        <v>0.15354300000000001</v>
      </c>
      <c r="F10" s="1"/>
      <c r="G10" s="1"/>
      <c r="H10" s="1"/>
      <c r="I10" s="1"/>
      <c r="J10" s="24" t="s">
        <v>51</v>
      </c>
      <c r="K10" s="30">
        <v>2.3604E-2</v>
      </c>
      <c r="L10" s="1"/>
      <c r="M10" s="1"/>
      <c r="N10" s="18"/>
    </row>
    <row r="11" spans="2:14" ht="15.75" customHeight="1" x14ac:dyDescent="0.25">
      <c r="B11" s="20"/>
      <c r="C11" s="5" t="s">
        <v>223</v>
      </c>
      <c r="D11" s="6" t="s">
        <v>184</v>
      </c>
      <c r="E11" s="11">
        <v>0.128306</v>
      </c>
      <c r="F11" s="1"/>
      <c r="G11" s="1"/>
      <c r="H11" s="1"/>
      <c r="I11" s="1"/>
      <c r="J11" s="24" t="s">
        <v>54</v>
      </c>
      <c r="K11" s="30">
        <v>0.12736500000000001</v>
      </c>
      <c r="L11" s="1"/>
      <c r="M11" s="1"/>
      <c r="N11" s="18"/>
    </row>
    <row r="12" spans="2:14" ht="15" customHeight="1" x14ac:dyDescent="0.25">
      <c r="B12" s="20"/>
      <c r="C12" s="5" t="s">
        <v>225</v>
      </c>
      <c r="D12" s="6" t="s">
        <v>184</v>
      </c>
      <c r="E12" s="11">
        <v>8.7461999999999998E-2</v>
      </c>
      <c r="F12" s="1"/>
      <c r="G12" s="1"/>
      <c r="H12" s="1"/>
      <c r="I12" s="1"/>
      <c r="J12" s="24" t="s">
        <v>55</v>
      </c>
      <c r="K12" s="30">
        <v>0.82933000000000001</v>
      </c>
      <c r="L12" s="1"/>
      <c r="M12" s="1"/>
      <c r="N12" s="18"/>
    </row>
    <row r="13" spans="2:14" ht="15.75" customHeight="1" x14ac:dyDescent="0.25">
      <c r="B13" s="20"/>
      <c r="C13" s="5" t="s">
        <v>231</v>
      </c>
      <c r="D13" s="6" t="s">
        <v>184</v>
      </c>
      <c r="E13" s="11">
        <v>5.3614000000000002E-2</v>
      </c>
      <c r="F13" s="1"/>
      <c r="G13" s="1"/>
      <c r="H13" s="1"/>
      <c r="I13" s="1"/>
      <c r="J13" s="1"/>
      <c r="K13" s="1"/>
      <c r="L13" s="1"/>
      <c r="M13" s="1"/>
      <c r="N13" s="18"/>
    </row>
    <row r="14" spans="2:14" ht="15" customHeight="1" x14ac:dyDescent="0.25">
      <c r="B14" s="20"/>
      <c r="C14" s="5" t="s">
        <v>236</v>
      </c>
      <c r="D14" s="6" t="s">
        <v>184</v>
      </c>
      <c r="E14" s="11">
        <v>4.3836E-2</v>
      </c>
      <c r="F14" s="1"/>
      <c r="G14" s="1"/>
      <c r="H14" s="1"/>
      <c r="I14" s="1"/>
      <c r="J14" s="1"/>
      <c r="K14" s="1"/>
      <c r="L14" s="1"/>
      <c r="M14" s="1"/>
      <c r="N14" s="18"/>
    </row>
    <row r="15" spans="2:14" ht="15.75" customHeight="1" x14ac:dyDescent="0.25">
      <c r="B15" s="20"/>
      <c r="C15" s="5" t="s">
        <v>221</v>
      </c>
      <c r="D15" s="6" t="s">
        <v>184</v>
      </c>
      <c r="E15" s="11">
        <v>4.3557999999999999E-2</v>
      </c>
      <c r="F15" s="1"/>
      <c r="G15" s="1"/>
      <c r="H15" s="1"/>
      <c r="I15" s="1"/>
      <c r="J15" s="1"/>
      <c r="K15" s="1"/>
      <c r="L15" s="1"/>
      <c r="M15" s="1"/>
      <c r="N15" s="18"/>
    </row>
    <row r="16" spans="2:14" ht="15" customHeight="1" x14ac:dyDescent="0.25">
      <c r="B16" s="20"/>
      <c r="C16" s="5" t="s">
        <v>226</v>
      </c>
      <c r="D16" s="6" t="s">
        <v>184</v>
      </c>
      <c r="E16" s="11">
        <v>4.3504000000000001E-2</v>
      </c>
      <c r="F16" s="1"/>
      <c r="G16" s="1"/>
      <c r="H16" s="1"/>
      <c r="I16" s="1"/>
      <c r="J16" s="1"/>
      <c r="K16" s="1"/>
      <c r="L16" s="1"/>
      <c r="M16" s="1"/>
      <c r="N16" s="18"/>
    </row>
    <row r="17" spans="2:14" ht="15" customHeight="1" x14ac:dyDescent="0.25">
      <c r="B17" s="20"/>
      <c r="C17" s="5" t="s">
        <v>220</v>
      </c>
      <c r="D17" s="6" t="s">
        <v>184</v>
      </c>
      <c r="E17" s="11">
        <v>4.3416999999999997E-2</v>
      </c>
      <c r="F17" s="1"/>
      <c r="G17" s="1"/>
      <c r="H17" s="1"/>
      <c r="I17" s="1"/>
      <c r="J17" s="1"/>
      <c r="K17" s="1"/>
      <c r="L17" s="1"/>
      <c r="M17" s="1"/>
      <c r="N17" s="18"/>
    </row>
    <row r="18" spans="2:14" ht="15" customHeight="1" x14ac:dyDescent="0.25">
      <c r="B18" s="20"/>
      <c r="C18" s="5" t="s">
        <v>227</v>
      </c>
      <c r="D18" s="6" t="s">
        <v>184</v>
      </c>
      <c r="E18" s="11">
        <v>3.5556999999999998E-2</v>
      </c>
      <c r="F18" s="1"/>
      <c r="G18" s="1"/>
      <c r="H18" s="1"/>
      <c r="I18" s="1"/>
      <c r="J18" s="1"/>
      <c r="K18" s="1"/>
      <c r="L18" s="1"/>
      <c r="M18" s="1"/>
      <c r="N18" s="18"/>
    </row>
    <row r="19" spans="2:14" ht="15" customHeight="1" x14ac:dyDescent="0.25">
      <c r="B19" s="20"/>
      <c r="C19" s="5" t="s">
        <v>232</v>
      </c>
      <c r="D19" s="6" t="s">
        <v>184</v>
      </c>
      <c r="E19" s="11">
        <v>3.5278999999999998E-2</v>
      </c>
      <c r="F19" s="1"/>
      <c r="G19" s="1"/>
      <c r="H19" s="1"/>
      <c r="I19" s="1"/>
      <c r="J19" s="1"/>
      <c r="K19" s="1"/>
      <c r="L19" s="1"/>
      <c r="M19" s="1"/>
      <c r="N19" s="18"/>
    </row>
    <row r="20" spans="2:14" ht="15" customHeight="1" x14ac:dyDescent="0.25">
      <c r="B20" s="20"/>
      <c r="C20" s="5" t="s">
        <v>229</v>
      </c>
      <c r="D20" s="6" t="s">
        <v>184</v>
      </c>
      <c r="E20" s="11">
        <v>3.5070999999999998E-2</v>
      </c>
      <c r="F20" s="1"/>
      <c r="G20" s="1"/>
      <c r="H20" s="1"/>
      <c r="I20" s="1"/>
      <c r="J20" s="1"/>
      <c r="K20" s="1"/>
      <c r="L20" s="1"/>
      <c r="M20" s="1"/>
      <c r="N20" s="18"/>
    </row>
    <row r="21" spans="2:14" ht="15" customHeight="1" x14ac:dyDescent="0.25">
      <c r="B21" s="20"/>
      <c r="C21" s="5" t="s">
        <v>200</v>
      </c>
      <c r="D21" s="6" t="s">
        <v>184</v>
      </c>
      <c r="E21" s="11">
        <v>3.0599000000000001E-2</v>
      </c>
      <c r="F21" s="1"/>
      <c r="G21" s="1"/>
      <c r="H21" s="1"/>
      <c r="I21" s="1"/>
      <c r="J21" s="1"/>
      <c r="K21" s="1"/>
      <c r="L21" s="1"/>
      <c r="M21" s="1"/>
      <c r="N21" s="18"/>
    </row>
    <row r="22" spans="2:14" ht="15" customHeight="1" x14ac:dyDescent="0.25">
      <c r="B22" s="20"/>
      <c r="C22" s="5" t="s">
        <v>230</v>
      </c>
      <c r="D22" s="6" t="s">
        <v>184</v>
      </c>
      <c r="E22" s="11">
        <v>2.9902000000000001E-2</v>
      </c>
      <c r="F22" s="1"/>
      <c r="G22" s="1"/>
      <c r="H22" s="1"/>
      <c r="I22" s="1"/>
      <c r="J22" s="1"/>
      <c r="K22" s="1"/>
      <c r="L22" s="1"/>
      <c r="M22" s="1"/>
      <c r="N22" s="18"/>
    </row>
    <row r="23" spans="2:14" ht="15" customHeight="1" x14ac:dyDescent="0.25">
      <c r="B23" s="20"/>
      <c r="C23" s="5" t="s">
        <v>219</v>
      </c>
      <c r="D23" s="6" t="s">
        <v>184</v>
      </c>
      <c r="E23" s="11">
        <v>2.1503999999999999E-2</v>
      </c>
      <c r="F23" s="1"/>
      <c r="G23" s="1"/>
      <c r="H23" s="1"/>
      <c r="I23" s="1"/>
      <c r="J23" s="1"/>
      <c r="K23" s="1"/>
      <c r="L23" s="1"/>
      <c r="M23" s="1"/>
      <c r="N23" s="18"/>
    </row>
    <row r="24" spans="2:14" ht="15" customHeight="1" x14ac:dyDescent="0.25">
      <c r="B24" s="20"/>
      <c r="C24" s="5" t="s">
        <v>234</v>
      </c>
      <c r="D24" s="6" t="s">
        <v>184</v>
      </c>
      <c r="E24" s="11">
        <v>1.7398E-2</v>
      </c>
      <c r="F24" s="1"/>
      <c r="G24" s="86" t="s">
        <v>6</v>
      </c>
      <c r="H24" s="87"/>
      <c r="I24" s="87"/>
      <c r="J24" s="87"/>
      <c r="K24" s="87"/>
      <c r="L24" s="26">
        <v>2.1195531377686114</v>
      </c>
      <c r="M24" s="27"/>
      <c r="N24" s="28"/>
    </row>
    <row r="25" spans="2:14" ht="15" customHeight="1" x14ac:dyDescent="0.25">
      <c r="B25" s="20"/>
      <c r="C25" s="5" t="s">
        <v>233</v>
      </c>
      <c r="D25" s="6" t="s">
        <v>184</v>
      </c>
      <c r="E25" s="11">
        <v>8.7010000000000004E-3</v>
      </c>
      <c r="F25" s="1"/>
      <c r="G25" s="1"/>
      <c r="H25" s="1"/>
      <c r="I25" s="1"/>
      <c r="J25" s="1"/>
      <c r="K25" s="1"/>
      <c r="L25" s="1"/>
      <c r="M25" s="1"/>
      <c r="N25" s="18"/>
    </row>
    <row r="26" spans="2:14" ht="15" customHeight="1" x14ac:dyDescent="0.25">
      <c r="B26" s="20"/>
      <c r="C26" s="5" t="s">
        <v>235</v>
      </c>
      <c r="D26" s="6" t="s">
        <v>184</v>
      </c>
      <c r="E26" s="11">
        <v>8.7010000000000004E-3</v>
      </c>
      <c r="F26" s="1"/>
      <c r="G26" s="86" t="s">
        <v>7</v>
      </c>
      <c r="H26" s="87"/>
      <c r="I26" s="87"/>
      <c r="J26" s="87"/>
      <c r="K26" s="87"/>
      <c r="L26" s="87"/>
      <c r="M26" s="87"/>
      <c r="N26" s="88"/>
    </row>
    <row r="27" spans="2:14" ht="15" customHeight="1" x14ac:dyDescent="0.25">
      <c r="B27" s="20"/>
      <c r="C27" s="5" t="s">
        <v>224</v>
      </c>
      <c r="D27" s="6" t="s">
        <v>184</v>
      </c>
      <c r="E27" s="11">
        <v>5.058E-3</v>
      </c>
      <c r="F27" s="1"/>
      <c r="G27" s="1"/>
      <c r="H27" s="1"/>
      <c r="I27" s="1"/>
      <c r="J27" s="1"/>
      <c r="K27" s="1"/>
      <c r="L27" s="1"/>
      <c r="M27" s="1"/>
      <c r="N27" s="18"/>
    </row>
    <row r="28" spans="2:14" ht="15" customHeight="1" x14ac:dyDescent="0.25">
      <c r="B28" s="20"/>
      <c r="C28" s="5" t="s">
        <v>222</v>
      </c>
      <c r="D28" s="6" t="s">
        <v>184</v>
      </c>
      <c r="E28" s="11">
        <v>4.3200000000000001E-3</v>
      </c>
      <c r="F28" s="1"/>
      <c r="G28" s="1"/>
      <c r="H28" s="1"/>
      <c r="I28" s="1"/>
      <c r="J28" s="1"/>
      <c r="K28" s="1"/>
      <c r="L28" s="1"/>
      <c r="M28" s="1"/>
      <c r="N28" s="18"/>
    </row>
    <row r="29" spans="2:14" ht="15" customHeight="1" x14ac:dyDescent="0.25">
      <c r="B29" s="20"/>
      <c r="C29" s="7" t="s">
        <v>45</v>
      </c>
      <c r="D29" s="8"/>
      <c r="E29" s="12">
        <v>0.82933000000000001</v>
      </c>
      <c r="F29" s="1"/>
      <c r="G29" s="1"/>
      <c r="H29" s="1"/>
      <c r="I29" s="1"/>
      <c r="J29" s="1"/>
      <c r="K29" s="1"/>
      <c r="L29" s="1"/>
      <c r="M29" s="1"/>
      <c r="N29" s="18"/>
    </row>
    <row r="30" spans="2:14" ht="15" customHeight="1" x14ac:dyDescent="0.25">
      <c r="B30" s="20"/>
      <c r="C30" s="5" t="s">
        <v>46</v>
      </c>
      <c r="D30" s="6"/>
      <c r="E30" s="11">
        <v>2.3604E-2</v>
      </c>
      <c r="F30" s="1"/>
      <c r="G30" s="1"/>
      <c r="H30" s="1"/>
      <c r="I30" s="1"/>
      <c r="J30" s="1"/>
      <c r="K30" s="1"/>
      <c r="L30" s="1"/>
      <c r="M30" s="1"/>
      <c r="N30" s="18"/>
    </row>
    <row r="31" spans="2:14" ht="15" customHeight="1" x14ac:dyDescent="0.25">
      <c r="B31" s="20"/>
      <c r="C31" s="7" t="s">
        <v>47</v>
      </c>
      <c r="D31" s="8"/>
      <c r="E31" s="12">
        <v>2.3604E-2</v>
      </c>
      <c r="F31" s="1"/>
      <c r="G31" s="1"/>
      <c r="H31" s="1"/>
      <c r="I31" s="1"/>
      <c r="J31" s="1"/>
      <c r="K31" s="1"/>
      <c r="L31" s="1"/>
      <c r="M31" s="1"/>
      <c r="N31" s="18"/>
    </row>
    <row r="32" spans="2:14" ht="15" customHeight="1" x14ac:dyDescent="0.25">
      <c r="B32" s="20"/>
      <c r="C32" s="5"/>
      <c r="D32" s="6"/>
      <c r="E32" s="11"/>
      <c r="F32" s="1"/>
      <c r="G32" s="1"/>
      <c r="H32" s="1"/>
      <c r="I32" s="1"/>
      <c r="J32" s="1"/>
      <c r="K32" s="1"/>
      <c r="L32" s="1"/>
      <c r="M32" s="1"/>
      <c r="N32" s="18"/>
    </row>
    <row r="33" spans="2:14" ht="15" customHeight="1" x14ac:dyDescent="0.25">
      <c r="B33" s="20"/>
      <c r="C33" s="7" t="s">
        <v>48</v>
      </c>
      <c r="D33" s="8"/>
      <c r="E33" s="12">
        <v>1.9701E-2</v>
      </c>
      <c r="F33" s="1"/>
      <c r="G33" s="1"/>
      <c r="H33" s="1"/>
      <c r="I33" s="1"/>
      <c r="J33" s="1"/>
      <c r="K33" s="1"/>
      <c r="L33" s="1"/>
      <c r="M33" s="1"/>
      <c r="N33" s="18"/>
    </row>
    <row r="34" spans="2:14" ht="15" customHeight="1" x14ac:dyDescent="0.25">
      <c r="B34" s="20"/>
      <c r="C34" s="5"/>
      <c r="D34" s="6"/>
      <c r="E34" s="11"/>
      <c r="F34" s="1"/>
      <c r="G34" s="1"/>
      <c r="H34" s="1"/>
      <c r="I34" s="1"/>
      <c r="J34" s="1"/>
      <c r="K34" s="1"/>
      <c r="L34" s="1"/>
      <c r="M34" s="1"/>
      <c r="N34" s="18"/>
    </row>
    <row r="35" spans="2:14" ht="15" customHeight="1" x14ac:dyDescent="0.25">
      <c r="B35" s="20"/>
      <c r="C35" s="9" t="s">
        <v>49</v>
      </c>
      <c r="D35" s="10"/>
      <c r="E35" s="13">
        <v>1</v>
      </c>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40.25" customHeight="1" thickBot="1" x14ac:dyDescent="0.3">
      <c r="B45" s="78" t="s">
        <v>273</v>
      </c>
      <c r="C45" s="79"/>
      <c r="D45" s="79"/>
      <c r="E45" s="79"/>
      <c r="F45" s="79"/>
      <c r="G45" s="79"/>
      <c r="H45" s="79"/>
      <c r="I45" s="79"/>
      <c r="J45" s="79"/>
      <c r="K45" s="79"/>
      <c r="L45" s="79"/>
      <c r="M45" s="79"/>
      <c r="N45" s="80"/>
    </row>
  </sheetData>
  <sortState ref="C10:E28">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117F3-1FBC-4CC3-BE7C-41056E5AB52E}">
  <dimension ref="B1:N45"/>
  <sheetViews>
    <sheetView showGridLines="0" zoomScale="75" zoomScaleNormal="75" workbookViewId="0"/>
  </sheetViews>
  <sheetFormatPr defaultRowHeight="15" x14ac:dyDescent="0.25"/>
  <cols>
    <col min="1" max="1" width="2.85546875" customWidth="1"/>
    <col min="2" max="2" width="3.85546875" customWidth="1"/>
    <col min="3" max="3" width="50.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102</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9</v>
      </c>
      <c r="D5" s="84" t="s">
        <v>103</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104</v>
      </c>
      <c r="D8" s="6" t="s">
        <v>184</v>
      </c>
      <c r="E8" s="11">
        <v>0.17971100000000001</v>
      </c>
      <c r="F8" s="1"/>
      <c r="G8" s="24" t="s">
        <v>4</v>
      </c>
      <c r="H8" s="25">
        <v>1</v>
      </c>
      <c r="I8" s="1"/>
      <c r="J8" s="24" t="s">
        <v>50</v>
      </c>
      <c r="K8" s="24" t="s">
        <v>3</v>
      </c>
      <c r="L8" s="1"/>
      <c r="M8" s="1"/>
      <c r="N8" s="18"/>
    </row>
    <row r="9" spans="2:14" ht="15.75" customHeight="1" x14ac:dyDescent="0.25">
      <c r="B9" s="20"/>
      <c r="C9" s="7" t="s">
        <v>44</v>
      </c>
      <c r="D9" s="8"/>
      <c r="E9" s="12">
        <v>0.17971100000000001</v>
      </c>
      <c r="F9" s="1"/>
      <c r="G9" s="1"/>
      <c r="H9" s="1"/>
      <c r="I9" s="1"/>
      <c r="J9" s="24" t="s">
        <v>48</v>
      </c>
      <c r="K9" s="30">
        <v>1.6936E-2</v>
      </c>
      <c r="L9" s="1"/>
      <c r="M9" s="1"/>
      <c r="N9" s="18"/>
    </row>
    <row r="10" spans="2:14" ht="15" customHeight="1" x14ac:dyDescent="0.25">
      <c r="B10" s="20"/>
      <c r="C10" s="5" t="s">
        <v>240</v>
      </c>
      <c r="D10" s="6" t="s">
        <v>184</v>
      </c>
      <c r="E10" s="11">
        <v>0.170708</v>
      </c>
      <c r="F10" s="1"/>
      <c r="G10" s="1"/>
      <c r="H10" s="1"/>
      <c r="I10" s="1"/>
      <c r="J10" s="24" t="s">
        <v>51</v>
      </c>
      <c r="K10" s="30">
        <v>2.0603E-2</v>
      </c>
      <c r="L10" s="1"/>
      <c r="M10" s="1"/>
      <c r="N10" s="18"/>
    </row>
    <row r="11" spans="2:14" ht="15.75" customHeight="1" x14ac:dyDescent="0.25">
      <c r="B11" s="20"/>
      <c r="C11" s="5" t="s">
        <v>215</v>
      </c>
      <c r="D11" s="6" t="s">
        <v>184</v>
      </c>
      <c r="E11" s="11">
        <v>0.149174</v>
      </c>
      <c r="F11" s="1"/>
      <c r="G11" s="1"/>
      <c r="H11" s="1"/>
      <c r="I11" s="1"/>
      <c r="J11" s="24" t="s">
        <v>54</v>
      </c>
      <c r="K11" s="30">
        <v>0.17971100000000001</v>
      </c>
      <c r="L11" s="1"/>
      <c r="M11" s="1"/>
      <c r="N11" s="18"/>
    </row>
    <row r="12" spans="2:14" ht="15" customHeight="1" x14ac:dyDescent="0.25">
      <c r="B12" s="20"/>
      <c r="C12" s="5" t="s">
        <v>238</v>
      </c>
      <c r="D12" s="6" t="s">
        <v>184</v>
      </c>
      <c r="E12" s="11">
        <v>0.12904099999999999</v>
      </c>
      <c r="F12" s="1"/>
      <c r="G12" s="1"/>
      <c r="H12" s="1"/>
      <c r="I12" s="1"/>
      <c r="J12" s="24" t="s">
        <v>55</v>
      </c>
      <c r="K12" s="30">
        <v>0.78274999999999995</v>
      </c>
      <c r="L12" s="1"/>
      <c r="M12" s="1"/>
      <c r="N12" s="18"/>
    </row>
    <row r="13" spans="2:14" ht="15.75" customHeight="1" x14ac:dyDescent="0.25">
      <c r="B13" s="20"/>
      <c r="C13" s="5" t="s">
        <v>246</v>
      </c>
      <c r="D13" s="6" t="s">
        <v>184</v>
      </c>
      <c r="E13" s="11">
        <v>0.117547</v>
      </c>
      <c r="F13" s="1"/>
      <c r="G13" s="1"/>
      <c r="H13" s="1"/>
      <c r="I13" s="1"/>
      <c r="J13" s="1"/>
      <c r="K13" s="1"/>
      <c r="L13" s="1"/>
      <c r="M13" s="1"/>
      <c r="N13" s="18"/>
    </row>
    <row r="14" spans="2:14" ht="15" customHeight="1" x14ac:dyDescent="0.25">
      <c r="B14" s="20"/>
      <c r="C14" s="5" t="s">
        <v>243</v>
      </c>
      <c r="D14" s="6" t="s">
        <v>184</v>
      </c>
      <c r="E14" s="11">
        <v>5.8715000000000003E-2</v>
      </c>
      <c r="F14" s="1"/>
      <c r="G14" s="1"/>
      <c r="H14" s="1"/>
      <c r="I14" s="1"/>
      <c r="J14" s="1"/>
      <c r="K14" s="1"/>
      <c r="L14" s="1"/>
      <c r="M14" s="1"/>
      <c r="N14" s="18"/>
    </row>
    <row r="15" spans="2:14" ht="15.75" customHeight="1" x14ac:dyDescent="0.25">
      <c r="B15" s="20"/>
      <c r="C15" s="5" t="s">
        <v>241</v>
      </c>
      <c r="D15" s="6" t="s">
        <v>184</v>
      </c>
      <c r="E15" s="11">
        <v>5.7071999999999998E-2</v>
      </c>
      <c r="F15" s="1"/>
      <c r="G15" s="1"/>
      <c r="H15" s="1"/>
      <c r="I15" s="1"/>
      <c r="J15" s="1"/>
      <c r="K15" s="1"/>
      <c r="L15" s="1"/>
      <c r="M15" s="1"/>
      <c r="N15" s="18"/>
    </row>
    <row r="16" spans="2:14" ht="15" customHeight="1" x14ac:dyDescent="0.25">
      <c r="B16" s="20"/>
      <c r="C16" s="5" t="s">
        <v>242</v>
      </c>
      <c r="D16" s="6" t="s">
        <v>184</v>
      </c>
      <c r="E16" s="11">
        <v>3.5237999999999998E-2</v>
      </c>
      <c r="F16" s="1"/>
      <c r="G16" s="1"/>
      <c r="H16" s="1"/>
      <c r="I16" s="1"/>
      <c r="J16" s="1"/>
      <c r="K16" s="1"/>
      <c r="L16" s="1"/>
      <c r="M16" s="1"/>
      <c r="N16" s="18"/>
    </row>
    <row r="17" spans="2:14" ht="15" customHeight="1" x14ac:dyDescent="0.25">
      <c r="B17" s="20"/>
      <c r="C17" s="5" t="s">
        <v>245</v>
      </c>
      <c r="D17" s="6" t="s">
        <v>184</v>
      </c>
      <c r="E17" s="11">
        <v>2.9322000000000001E-2</v>
      </c>
      <c r="F17" s="1"/>
      <c r="G17" s="1"/>
      <c r="H17" s="1"/>
      <c r="I17" s="1"/>
      <c r="J17" s="1"/>
      <c r="K17" s="1"/>
      <c r="L17" s="1"/>
      <c r="M17" s="1"/>
      <c r="N17" s="18"/>
    </row>
    <row r="18" spans="2:14" ht="15" customHeight="1" x14ac:dyDescent="0.25">
      <c r="B18" s="20"/>
      <c r="C18" s="5" t="s">
        <v>244</v>
      </c>
      <c r="D18" s="6" t="s">
        <v>184</v>
      </c>
      <c r="E18" s="11">
        <v>2.6450000000000001E-2</v>
      </c>
      <c r="F18" s="1"/>
      <c r="G18" s="1"/>
      <c r="H18" s="1"/>
      <c r="I18" s="1"/>
      <c r="J18" s="1"/>
      <c r="K18" s="1"/>
      <c r="L18" s="1"/>
      <c r="M18" s="1"/>
      <c r="N18" s="18"/>
    </row>
    <row r="19" spans="2:14" ht="15" customHeight="1" x14ac:dyDescent="0.25">
      <c r="B19" s="20"/>
      <c r="C19" s="5" t="s">
        <v>237</v>
      </c>
      <c r="D19" s="6" t="s">
        <v>184</v>
      </c>
      <c r="E19" s="11">
        <v>5.9119999999999997E-3</v>
      </c>
      <c r="F19" s="1"/>
      <c r="G19" s="1"/>
      <c r="H19" s="1"/>
      <c r="I19" s="1"/>
      <c r="J19" s="1"/>
      <c r="K19" s="1"/>
      <c r="L19" s="1"/>
      <c r="M19" s="1"/>
      <c r="N19" s="18"/>
    </row>
    <row r="20" spans="2:14" ht="15" customHeight="1" x14ac:dyDescent="0.25">
      <c r="B20" s="20"/>
      <c r="C20" s="5" t="s">
        <v>239</v>
      </c>
      <c r="D20" s="6" t="s">
        <v>184</v>
      </c>
      <c r="E20" s="11">
        <v>3.571E-3</v>
      </c>
      <c r="F20" s="1"/>
      <c r="G20" s="1"/>
      <c r="H20" s="1"/>
      <c r="I20" s="1"/>
      <c r="J20" s="1"/>
      <c r="K20" s="1"/>
      <c r="L20" s="1"/>
      <c r="M20" s="1"/>
      <c r="N20" s="18"/>
    </row>
    <row r="21" spans="2:14" ht="15" customHeight="1" x14ac:dyDescent="0.25">
      <c r="B21" s="20"/>
      <c r="C21" s="7" t="s">
        <v>45</v>
      </c>
      <c r="D21" s="8"/>
      <c r="E21" s="12">
        <v>0.78274999999999995</v>
      </c>
      <c r="F21" s="1"/>
      <c r="G21" s="1"/>
      <c r="H21" s="1"/>
      <c r="I21" s="1"/>
      <c r="J21" s="1"/>
      <c r="K21" s="1"/>
      <c r="L21" s="1"/>
      <c r="M21" s="1"/>
      <c r="N21" s="18"/>
    </row>
    <row r="22" spans="2:14" ht="15" customHeight="1" x14ac:dyDescent="0.25">
      <c r="B22" s="20"/>
      <c r="C22" s="5" t="s">
        <v>46</v>
      </c>
      <c r="D22" s="6"/>
      <c r="E22" s="11">
        <v>2.0603E-2</v>
      </c>
      <c r="F22" s="1"/>
      <c r="G22" s="1"/>
      <c r="H22" s="1"/>
      <c r="I22" s="1"/>
      <c r="J22" s="1"/>
      <c r="K22" s="1"/>
      <c r="L22" s="1"/>
      <c r="M22" s="1"/>
      <c r="N22" s="18"/>
    </row>
    <row r="23" spans="2:14" ht="15" customHeight="1" x14ac:dyDescent="0.25">
      <c r="B23" s="20"/>
      <c r="C23" s="7" t="s">
        <v>47</v>
      </c>
      <c r="D23" s="8"/>
      <c r="E23" s="12">
        <v>2.0603E-2</v>
      </c>
      <c r="F23" s="1"/>
      <c r="G23" s="1"/>
      <c r="H23" s="1"/>
      <c r="I23" s="1"/>
      <c r="J23" s="1"/>
      <c r="K23" s="1"/>
      <c r="L23" s="1"/>
      <c r="M23" s="1"/>
      <c r="N23" s="18"/>
    </row>
    <row r="24" spans="2:14" ht="15" customHeight="1" x14ac:dyDescent="0.25">
      <c r="B24" s="20"/>
      <c r="C24" s="5"/>
      <c r="D24" s="6"/>
      <c r="E24" s="11"/>
      <c r="F24" s="1"/>
      <c r="G24" s="86" t="s">
        <v>6</v>
      </c>
      <c r="H24" s="87"/>
      <c r="I24" s="87"/>
      <c r="J24" s="87"/>
      <c r="K24" s="87"/>
      <c r="L24" s="26">
        <v>2.9449342078533411</v>
      </c>
      <c r="M24" s="27"/>
      <c r="N24" s="28"/>
    </row>
    <row r="25" spans="2:14" ht="15" customHeight="1" x14ac:dyDescent="0.25">
      <c r="B25" s="20"/>
      <c r="C25" s="7" t="s">
        <v>48</v>
      </c>
      <c r="D25" s="8"/>
      <c r="E25" s="12">
        <v>1.6936E-2</v>
      </c>
      <c r="F25" s="1"/>
      <c r="G25" s="1"/>
      <c r="H25" s="1"/>
      <c r="I25" s="1"/>
      <c r="J25" s="1"/>
      <c r="K25" s="1"/>
      <c r="L25" s="1"/>
      <c r="M25" s="1"/>
      <c r="N25" s="18"/>
    </row>
    <row r="26" spans="2:14" ht="15" customHeight="1" x14ac:dyDescent="0.25">
      <c r="B26" s="20"/>
      <c r="C26" s="5"/>
      <c r="D26" s="6"/>
      <c r="E26" s="11"/>
      <c r="F26" s="1"/>
      <c r="G26" s="86" t="s">
        <v>7</v>
      </c>
      <c r="H26" s="87"/>
      <c r="I26" s="87"/>
      <c r="J26" s="87"/>
      <c r="K26" s="87"/>
      <c r="L26" s="87"/>
      <c r="M26" s="87"/>
      <c r="N26" s="88"/>
    </row>
    <row r="27" spans="2:14" ht="15" customHeight="1" x14ac:dyDescent="0.25">
      <c r="B27" s="20"/>
      <c r="C27" s="9" t="s">
        <v>49</v>
      </c>
      <c r="D27" s="10"/>
      <c r="E27" s="13">
        <v>1</v>
      </c>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F30" s="1"/>
      <c r="G30" s="1"/>
      <c r="H30" s="1"/>
      <c r="I30" s="1"/>
      <c r="J30" s="1"/>
      <c r="K30" s="1"/>
      <c r="L30" s="1"/>
      <c r="M30" s="1"/>
      <c r="N30" s="18"/>
    </row>
    <row r="31" spans="2:14" ht="15" customHeight="1" x14ac:dyDescent="0.25">
      <c r="B31" s="20"/>
      <c r="F31" s="1"/>
      <c r="G31" s="1"/>
      <c r="H31" s="1"/>
      <c r="I31" s="1"/>
      <c r="J31" s="1"/>
      <c r="K31" s="1"/>
      <c r="L31" s="1"/>
      <c r="M31" s="1"/>
      <c r="N31" s="18"/>
    </row>
    <row r="32" spans="2:14" ht="15" customHeight="1" x14ac:dyDescent="0.25">
      <c r="B32" s="20"/>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40.25" customHeight="1" thickBot="1" x14ac:dyDescent="0.3">
      <c r="B45" s="78" t="s">
        <v>273</v>
      </c>
      <c r="C45" s="79"/>
      <c r="D45" s="79"/>
      <c r="E45" s="79"/>
      <c r="F45" s="79"/>
      <c r="G45" s="79"/>
      <c r="H45" s="79"/>
      <c r="I45" s="79"/>
      <c r="J45" s="79"/>
      <c r="K45" s="79"/>
      <c r="L45" s="79"/>
      <c r="M45" s="79"/>
      <c r="N45" s="80"/>
    </row>
  </sheetData>
  <sortState ref="C10:E20">
    <sortCondition descending="1" ref="E10"/>
  </sortState>
  <mergeCells count="6">
    <mergeCell ref="B45:N45"/>
    <mergeCell ref="C3:N3"/>
    <mergeCell ref="D5:E5"/>
    <mergeCell ref="G7:N7"/>
    <mergeCell ref="G24:K24"/>
    <mergeCell ref="G26:N2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807A8-22EF-4B16-BCD8-083B29224B04}">
  <dimension ref="B1:N45"/>
  <sheetViews>
    <sheetView showGridLines="0" zoomScale="75" zoomScaleNormal="75" workbookViewId="0"/>
  </sheetViews>
  <sheetFormatPr defaultRowHeight="15" x14ac:dyDescent="0.25"/>
  <cols>
    <col min="1" max="1" width="2.85546875" customWidth="1"/>
    <col min="2" max="2" width="3.85546875" customWidth="1"/>
    <col min="3" max="3" width="50.5703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96</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9</v>
      </c>
      <c r="D5" s="84" t="s">
        <v>97</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40</v>
      </c>
      <c r="D8" s="6" t="s">
        <v>184</v>
      </c>
      <c r="E8" s="11">
        <v>0.11954099999999999</v>
      </c>
      <c r="F8" s="1"/>
      <c r="G8" s="24" t="s">
        <v>4</v>
      </c>
      <c r="H8" s="25">
        <v>1</v>
      </c>
      <c r="I8" s="1"/>
      <c r="J8" s="24" t="s">
        <v>50</v>
      </c>
      <c r="K8" s="24" t="s">
        <v>3</v>
      </c>
      <c r="L8" s="1"/>
      <c r="M8" s="1"/>
      <c r="N8" s="18"/>
    </row>
    <row r="9" spans="2:14" ht="15" customHeight="1" x14ac:dyDescent="0.25">
      <c r="B9" s="20"/>
      <c r="C9" s="5" t="s">
        <v>98</v>
      </c>
      <c r="D9" s="6" t="s">
        <v>184</v>
      </c>
      <c r="E9" s="11">
        <v>1.3136E-2</v>
      </c>
      <c r="F9" s="1"/>
      <c r="G9" s="1"/>
      <c r="H9" s="1"/>
      <c r="I9" s="1"/>
      <c r="J9" s="24" t="s">
        <v>48</v>
      </c>
      <c r="K9" s="30">
        <v>1.9307000000000001E-2</v>
      </c>
      <c r="L9" s="1"/>
      <c r="M9" s="1"/>
      <c r="N9" s="18"/>
    </row>
    <row r="10" spans="2:14" ht="15.75" customHeight="1" x14ac:dyDescent="0.25">
      <c r="B10" s="20"/>
      <c r="C10" s="7" t="s">
        <v>44</v>
      </c>
      <c r="D10" s="8"/>
      <c r="E10" s="12">
        <v>0.13267699999999999</v>
      </c>
      <c r="F10" s="1"/>
      <c r="G10" s="1"/>
      <c r="H10" s="1"/>
      <c r="I10" s="1"/>
      <c r="J10" s="24" t="s">
        <v>51</v>
      </c>
      <c r="K10" s="30">
        <v>1.2395E-2</v>
      </c>
      <c r="L10" s="1"/>
      <c r="M10" s="1"/>
      <c r="N10" s="18"/>
    </row>
    <row r="11" spans="2:14" ht="15" customHeight="1" x14ac:dyDescent="0.25">
      <c r="B11" s="20"/>
      <c r="C11" s="5" t="s">
        <v>268</v>
      </c>
      <c r="D11" s="6" t="s">
        <v>184</v>
      </c>
      <c r="E11" s="11">
        <v>0.14069699999999999</v>
      </c>
      <c r="F11" s="1"/>
      <c r="G11" s="1"/>
      <c r="H11" s="1"/>
      <c r="I11" s="1"/>
      <c r="J11" s="24" t="s">
        <v>54</v>
      </c>
      <c r="K11" s="30">
        <v>0.13267699999999999</v>
      </c>
      <c r="L11" s="1"/>
      <c r="M11" s="1"/>
      <c r="N11" s="18"/>
    </row>
    <row r="12" spans="2:14" ht="15.75" customHeight="1" x14ac:dyDescent="0.25">
      <c r="B12" s="20"/>
      <c r="C12" s="5" t="s">
        <v>269</v>
      </c>
      <c r="D12" s="6" t="s">
        <v>184</v>
      </c>
      <c r="E12" s="11">
        <v>0.140624</v>
      </c>
      <c r="F12" s="1"/>
      <c r="G12" s="1"/>
      <c r="H12" s="1"/>
      <c r="I12" s="1"/>
      <c r="J12" s="24" t="s">
        <v>55</v>
      </c>
      <c r="K12" s="30">
        <v>0.83562099999999995</v>
      </c>
      <c r="L12" s="1"/>
      <c r="M12" s="1"/>
      <c r="N12" s="18"/>
    </row>
    <row r="13" spans="2:14" ht="15" customHeight="1" x14ac:dyDescent="0.25">
      <c r="B13" s="20"/>
      <c r="C13" s="5" t="s">
        <v>266</v>
      </c>
      <c r="D13" s="6" t="s">
        <v>184</v>
      </c>
      <c r="E13" s="11">
        <v>0.118286</v>
      </c>
      <c r="F13" s="1"/>
      <c r="G13" s="1"/>
      <c r="H13" s="1"/>
      <c r="I13" s="1"/>
      <c r="J13" s="1"/>
      <c r="K13" s="1"/>
      <c r="L13" s="1"/>
      <c r="M13" s="1"/>
      <c r="N13" s="18"/>
    </row>
    <row r="14" spans="2:14" ht="15.75" customHeight="1" x14ac:dyDescent="0.25">
      <c r="B14" s="20"/>
      <c r="C14" s="5" t="s">
        <v>267</v>
      </c>
      <c r="D14" s="6" t="s">
        <v>184</v>
      </c>
      <c r="E14" s="11">
        <v>7.8904000000000002E-2</v>
      </c>
      <c r="F14" s="1"/>
      <c r="G14" s="1"/>
      <c r="H14" s="1"/>
      <c r="I14" s="1"/>
      <c r="J14" s="1"/>
      <c r="K14" s="1"/>
      <c r="L14" s="1"/>
      <c r="M14" s="1"/>
      <c r="N14" s="18"/>
    </row>
    <row r="15" spans="2:14" ht="15" customHeight="1" x14ac:dyDescent="0.25">
      <c r="B15" s="20"/>
      <c r="C15" s="5" t="s">
        <v>264</v>
      </c>
      <c r="D15" s="6" t="s">
        <v>184</v>
      </c>
      <c r="E15" s="11">
        <v>6.4415E-2</v>
      </c>
      <c r="F15" s="1"/>
      <c r="G15" s="1"/>
      <c r="H15" s="1"/>
      <c r="I15" s="1"/>
      <c r="J15" s="1"/>
      <c r="K15" s="1"/>
      <c r="L15" s="1"/>
      <c r="M15" s="1"/>
      <c r="N15" s="18"/>
    </row>
    <row r="16" spans="2:14" ht="15.75" customHeight="1" x14ac:dyDescent="0.25">
      <c r="B16" s="20"/>
      <c r="C16" s="5" t="s">
        <v>257</v>
      </c>
      <c r="D16" s="6" t="s">
        <v>184</v>
      </c>
      <c r="E16" s="11">
        <v>4.1297E-2</v>
      </c>
      <c r="F16" s="1"/>
      <c r="G16" s="1"/>
      <c r="H16" s="1"/>
      <c r="I16" s="1"/>
      <c r="J16" s="1"/>
      <c r="K16" s="1"/>
      <c r="L16" s="1"/>
      <c r="M16" s="1"/>
      <c r="N16" s="18"/>
    </row>
    <row r="17" spans="2:14" ht="15" customHeight="1" x14ac:dyDescent="0.25">
      <c r="B17" s="20"/>
      <c r="C17" s="5" t="s">
        <v>259</v>
      </c>
      <c r="D17" s="6" t="s">
        <v>184</v>
      </c>
      <c r="E17" s="11">
        <v>3.1836000000000003E-2</v>
      </c>
      <c r="F17" s="1"/>
      <c r="G17" s="1"/>
      <c r="H17" s="1"/>
      <c r="I17" s="1"/>
      <c r="J17" s="1"/>
      <c r="K17" s="1"/>
      <c r="L17" s="1"/>
      <c r="M17" s="1"/>
      <c r="N17" s="18"/>
    </row>
    <row r="18" spans="2:14" ht="15" customHeight="1" x14ac:dyDescent="0.25">
      <c r="B18" s="20"/>
      <c r="C18" s="5" t="s">
        <v>260</v>
      </c>
      <c r="D18" s="6" t="s">
        <v>184</v>
      </c>
      <c r="E18" s="11">
        <v>2.8093E-2</v>
      </c>
      <c r="F18" s="1"/>
      <c r="G18" s="1"/>
      <c r="H18" s="1"/>
      <c r="I18" s="1"/>
      <c r="J18" s="1"/>
      <c r="K18" s="1"/>
      <c r="L18" s="1"/>
      <c r="M18" s="1"/>
      <c r="N18" s="18"/>
    </row>
    <row r="19" spans="2:14" ht="15" customHeight="1" x14ac:dyDescent="0.25">
      <c r="B19" s="20"/>
      <c r="C19" s="5" t="s">
        <v>253</v>
      </c>
      <c r="D19" s="6" t="s">
        <v>184</v>
      </c>
      <c r="E19" s="11">
        <v>2.7227000000000001E-2</v>
      </c>
      <c r="F19" s="1"/>
      <c r="G19" s="1"/>
      <c r="H19" s="1"/>
      <c r="I19" s="1"/>
      <c r="J19" s="1"/>
      <c r="K19" s="1"/>
      <c r="L19" s="1"/>
      <c r="M19" s="1"/>
      <c r="N19" s="18"/>
    </row>
    <row r="20" spans="2:14" ht="15" customHeight="1" x14ac:dyDescent="0.25">
      <c r="B20" s="20"/>
      <c r="C20" s="5" t="s">
        <v>250</v>
      </c>
      <c r="D20" s="6" t="s">
        <v>184</v>
      </c>
      <c r="E20" s="11">
        <v>2.5488E-2</v>
      </c>
      <c r="F20" s="1"/>
      <c r="G20" s="1"/>
      <c r="H20" s="1"/>
      <c r="I20" s="1"/>
      <c r="J20" s="1"/>
      <c r="K20" s="1"/>
      <c r="L20" s="1"/>
      <c r="M20" s="1"/>
      <c r="N20" s="18"/>
    </row>
    <row r="21" spans="2:14" ht="15" customHeight="1" x14ac:dyDescent="0.25">
      <c r="B21" s="20"/>
      <c r="C21" s="5" t="s">
        <v>255</v>
      </c>
      <c r="D21" s="6" t="s">
        <v>184</v>
      </c>
      <c r="E21" s="11">
        <v>1.5081000000000001E-2</v>
      </c>
      <c r="F21" s="1"/>
      <c r="G21" s="1"/>
      <c r="H21" s="1"/>
      <c r="I21" s="1"/>
      <c r="J21" s="1"/>
      <c r="K21" s="1"/>
      <c r="L21" s="1"/>
      <c r="M21" s="1"/>
      <c r="N21" s="18"/>
    </row>
    <row r="22" spans="2:14" ht="15" customHeight="1" x14ac:dyDescent="0.25">
      <c r="B22" s="20"/>
      <c r="C22" s="5" t="s">
        <v>247</v>
      </c>
      <c r="D22" s="6" t="s">
        <v>184</v>
      </c>
      <c r="E22" s="11">
        <v>1.4213E-2</v>
      </c>
      <c r="F22" s="1"/>
      <c r="G22" s="1"/>
      <c r="H22" s="1"/>
      <c r="I22" s="1"/>
      <c r="J22" s="1"/>
      <c r="K22" s="1"/>
      <c r="L22" s="1"/>
      <c r="M22" s="1"/>
      <c r="N22" s="18"/>
    </row>
    <row r="23" spans="2:14" ht="15" customHeight="1" x14ac:dyDescent="0.25">
      <c r="B23" s="20"/>
      <c r="C23" s="5" t="s">
        <v>258</v>
      </c>
      <c r="D23" s="6" t="s">
        <v>184</v>
      </c>
      <c r="E23" s="11">
        <v>1.4120000000000001E-2</v>
      </c>
      <c r="F23" s="1"/>
      <c r="G23" s="1"/>
      <c r="H23" s="1"/>
      <c r="I23" s="1"/>
      <c r="J23" s="1"/>
      <c r="K23" s="1"/>
      <c r="L23" s="1"/>
      <c r="M23" s="1"/>
      <c r="N23" s="18"/>
    </row>
    <row r="24" spans="2:14" ht="15" customHeight="1" x14ac:dyDescent="0.25">
      <c r="B24" s="20"/>
      <c r="C24" s="5" t="s">
        <v>265</v>
      </c>
      <c r="D24" s="6" t="s">
        <v>184</v>
      </c>
      <c r="E24" s="11">
        <v>1.4076E-2</v>
      </c>
      <c r="F24" s="1"/>
      <c r="G24" s="86" t="s">
        <v>6</v>
      </c>
      <c r="H24" s="87"/>
      <c r="I24" s="87"/>
      <c r="J24" s="87"/>
      <c r="K24" s="87"/>
      <c r="L24" s="26">
        <v>7.4454128728876761</v>
      </c>
      <c r="M24" s="27"/>
      <c r="N24" s="28"/>
    </row>
    <row r="25" spans="2:14" ht="15" customHeight="1" x14ac:dyDescent="0.25">
      <c r="B25" s="20"/>
      <c r="C25" s="5" t="s">
        <v>256</v>
      </c>
      <c r="D25" s="6" t="s">
        <v>184</v>
      </c>
      <c r="E25" s="11">
        <v>1.3748E-2</v>
      </c>
      <c r="F25" s="1"/>
      <c r="G25" s="1"/>
      <c r="H25" s="1"/>
      <c r="I25" s="1"/>
      <c r="J25" s="1"/>
      <c r="K25" s="1"/>
      <c r="L25" s="1"/>
      <c r="M25" s="1"/>
      <c r="N25" s="18"/>
    </row>
    <row r="26" spans="2:14" ht="15" customHeight="1" x14ac:dyDescent="0.25">
      <c r="B26" s="20"/>
      <c r="C26" s="5" t="s">
        <v>252</v>
      </c>
      <c r="D26" s="6" t="s">
        <v>184</v>
      </c>
      <c r="E26" s="11">
        <v>1.3635E-2</v>
      </c>
      <c r="F26" s="1"/>
      <c r="G26" s="86" t="s">
        <v>7</v>
      </c>
      <c r="H26" s="87"/>
      <c r="I26" s="87"/>
      <c r="J26" s="87"/>
      <c r="K26" s="87"/>
      <c r="L26" s="87"/>
      <c r="M26" s="87"/>
      <c r="N26" s="88"/>
    </row>
    <row r="27" spans="2:14" ht="15" customHeight="1" x14ac:dyDescent="0.25">
      <c r="B27" s="20"/>
      <c r="C27" s="5" t="s">
        <v>251</v>
      </c>
      <c r="D27" s="6" t="s">
        <v>184</v>
      </c>
      <c r="E27" s="11">
        <v>1.3613999999999999E-2</v>
      </c>
      <c r="F27" s="1"/>
      <c r="G27" s="1"/>
      <c r="H27" s="1"/>
      <c r="I27" s="1"/>
      <c r="J27" s="1"/>
      <c r="K27" s="1"/>
      <c r="L27" s="1"/>
      <c r="M27" s="1"/>
      <c r="N27" s="18"/>
    </row>
    <row r="28" spans="2:14" ht="15" customHeight="1" x14ac:dyDescent="0.25">
      <c r="B28" s="20"/>
      <c r="C28" s="5" t="s">
        <v>249</v>
      </c>
      <c r="D28" s="6" t="s">
        <v>184</v>
      </c>
      <c r="E28" s="11">
        <v>1.3422E-2</v>
      </c>
      <c r="F28" s="1"/>
      <c r="G28" s="1"/>
      <c r="H28" s="1"/>
      <c r="I28" s="1"/>
      <c r="J28" s="1"/>
      <c r="K28" s="1"/>
      <c r="L28" s="1"/>
      <c r="M28" s="1"/>
      <c r="N28" s="18"/>
    </row>
    <row r="29" spans="2:14" ht="15" customHeight="1" x14ac:dyDescent="0.25">
      <c r="B29" s="20"/>
      <c r="C29" s="5" t="s">
        <v>263</v>
      </c>
      <c r="D29" s="6" t="s">
        <v>184</v>
      </c>
      <c r="E29" s="11">
        <v>8.3730000000000002E-3</v>
      </c>
      <c r="F29" s="1"/>
      <c r="G29" s="1"/>
      <c r="H29" s="1"/>
      <c r="I29" s="1"/>
      <c r="J29" s="1"/>
      <c r="K29" s="1"/>
      <c r="L29" s="1"/>
      <c r="M29" s="1"/>
      <c r="N29" s="18"/>
    </row>
    <row r="30" spans="2:14" ht="15" customHeight="1" x14ac:dyDescent="0.25">
      <c r="B30" s="20"/>
      <c r="C30" s="5" t="s">
        <v>262</v>
      </c>
      <c r="D30" s="6" t="s">
        <v>184</v>
      </c>
      <c r="E30" s="11">
        <v>6.8430000000000001E-3</v>
      </c>
      <c r="F30" s="1"/>
      <c r="G30" s="1"/>
      <c r="H30" s="1"/>
      <c r="I30" s="1"/>
      <c r="J30" s="1"/>
      <c r="K30" s="1"/>
      <c r="L30" s="1"/>
      <c r="M30" s="1"/>
      <c r="N30" s="18"/>
    </row>
    <row r="31" spans="2:14" ht="15" customHeight="1" x14ac:dyDescent="0.25">
      <c r="B31" s="20"/>
      <c r="C31" s="5" t="s">
        <v>261</v>
      </c>
      <c r="D31" s="6" t="s">
        <v>184</v>
      </c>
      <c r="E31" s="11">
        <v>5.3730000000000002E-3</v>
      </c>
      <c r="F31" s="1"/>
      <c r="G31" s="1"/>
      <c r="H31" s="1"/>
      <c r="I31" s="1"/>
      <c r="J31" s="1"/>
      <c r="K31" s="1"/>
      <c r="L31" s="1"/>
      <c r="M31" s="1"/>
      <c r="N31" s="18"/>
    </row>
    <row r="32" spans="2:14" ht="15" customHeight="1" x14ac:dyDescent="0.25">
      <c r="B32" s="20"/>
      <c r="C32" s="5" t="s">
        <v>254</v>
      </c>
      <c r="D32" s="6" t="s">
        <v>184</v>
      </c>
      <c r="E32" s="11">
        <v>3.8340000000000002E-3</v>
      </c>
      <c r="F32" s="1"/>
      <c r="G32" s="1"/>
      <c r="H32" s="1"/>
      <c r="I32" s="1"/>
      <c r="J32" s="1"/>
      <c r="K32" s="1"/>
      <c r="L32" s="1"/>
      <c r="M32" s="1"/>
      <c r="N32" s="18"/>
    </row>
    <row r="33" spans="2:14" ht="15" customHeight="1" x14ac:dyDescent="0.25">
      <c r="B33" s="20"/>
      <c r="C33" s="5" t="s">
        <v>248</v>
      </c>
      <c r="D33" s="6" t="s">
        <v>184</v>
      </c>
      <c r="E33" s="11">
        <v>2.4220000000000001E-3</v>
      </c>
      <c r="F33" s="1"/>
      <c r="G33" s="1"/>
      <c r="H33" s="1"/>
      <c r="I33" s="1"/>
      <c r="J33" s="1"/>
      <c r="K33" s="1"/>
      <c r="L33" s="1"/>
      <c r="M33" s="1"/>
      <c r="N33" s="18"/>
    </row>
    <row r="34" spans="2:14" ht="15" customHeight="1" x14ac:dyDescent="0.25">
      <c r="B34" s="20"/>
      <c r="C34" s="7" t="s">
        <v>45</v>
      </c>
      <c r="D34" s="8"/>
      <c r="E34" s="12">
        <v>0.83562099999999995</v>
      </c>
      <c r="F34" s="1"/>
      <c r="G34" s="1"/>
      <c r="H34" s="1"/>
      <c r="I34" s="1"/>
      <c r="J34" s="1"/>
      <c r="K34" s="1"/>
      <c r="L34" s="1"/>
      <c r="M34" s="1"/>
      <c r="N34" s="18"/>
    </row>
    <row r="35" spans="2:14" ht="15" customHeight="1" x14ac:dyDescent="0.25">
      <c r="B35" s="20"/>
      <c r="C35" s="5" t="s">
        <v>46</v>
      </c>
      <c r="D35" s="6"/>
      <c r="E35" s="11">
        <v>1.2395E-2</v>
      </c>
      <c r="F35" s="1"/>
      <c r="G35" s="1"/>
      <c r="H35" s="1"/>
      <c r="I35" s="1"/>
      <c r="J35" s="1"/>
      <c r="K35" s="1"/>
      <c r="L35" s="1"/>
      <c r="M35" s="1"/>
      <c r="N35" s="18"/>
    </row>
    <row r="36" spans="2:14" ht="15" customHeight="1" x14ac:dyDescent="0.25">
      <c r="B36" s="20"/>
      <c r="C36" s="7" t="s">
        <v>47</v>
      </c>
      <c r="D36" s="8"/>
      <c r="E36" s="12">
        <v>1.2395E-2</v>
      </c>
      <c r="F36" s="1"/>
      <c r="G36" s="1"/>
      <c r="H36" s="1"/>
      <c r="I36" s="1"/>
      <c r="J36" s="1"/>
      <c r="K36" s="1"/>
      <c r="L36" s="1"/>
      <c r="M36" s="1"/>
      <c r="N36" s="18"/>
    </row>
    <row r="37" spans="2:14" ht="15" customHeight="1" x14ac:dyDescent="0.25">
      <c r="B37" s="20"/>
      <c r="C37" s="5"/>
      <c r="D37" s="6"/>
      <c r="E37" s="11"/>
      <c r="F37" s="1"/>
      <c r="G37" s="1"/>
      <c r="H37" s="1"/>
      <c r="I37" s="1"/>
      <c r="J37" s="1"/>
      <c r="K37" s="1"/>
      <c r="L37" s="1"/>
      <c r="M37" s="1"/>
      <c r="N37" s="18"/>
    </row>
    <row r="38" spans="2:14" ht="15" customHeight="1" x14ac:dyDescent="0.25">
      <c r="B38" s="20"/>
      <c r="C38" s="7" t="s">
        <v>48</v>
      </c>
      <c r="D38" s="8"/>
      <c r="E38" s="12">
        <v>1.9307000000000001E-2</v>
      </c>
      <c r="F38" s="1"/>
      <c r="G38" s="1"/>
      <c r="H38" s="1"/>
      <c r="I38" s="1"/>
      <c r="J38" s="1"/>
      <c r="K38" s="1"/>
      <c r="L38" s="1"/>
      <c r="M38" s="1"/>
      <c r="N38" s="18"/>
    </row>
    <row r="39" spans="2:14" ht="15" customHeight="1" x14ac:dyDescent="0.25">
      <c r="B39" s="20"/>
      <c r="C39" s="5"/>
      <c r="D39" s="6"/>
      <c r="E39" s="11"/>
      <c r="F39" s="1"/>
      <c r="G39" s="1"/>
      <c r="H39" s="1"/>
      <c r="I39" s="1"/>
      <c r="J39" s="1"/>
      <c r="K39" s="1"/>
      <c r="L39" s="1"/>
      <c r="M39" s="1"/>
      <c r="N39" s="18"/>
    </row>
    <row r="40" spans="2:14" ht="15" customHeight="1" x14ac:dyDescent="0.25">
      <c r="B40" s="20"/>
      <c r="C40" s="9" t="s">
        <v>49</v>
      </c>
      <c r="D40" s="10"/>
      <c r="E40" s="13">
        <v>1</v>
      </c>
      <c r="F40" s="1"/>
      <c r="G40" s="1"/>
      <c r="H40" s="1"/>
      <c r="I40" s="1"/>
      <c r="J40" s="1"/>
      <c r="K40" s="1"/>
      <c r="L40" s="1"/>
      <c r="M40" s="1"/>
      <c r="N40" s="18"/>
    </row>
    <row r="41" spans="2:14" ht="15" customHeight="1" x14ac:dyDescent="0.25">
      <c r="B41" s="20"/>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40.25" customHeight="1" thickBot="1" x14ac:dyDescent="0.3">
      <c r="B45" s="78" t="s">
        <v>273</v>
      </c>
      <c r="C45" s="79"/>
      <c r="D45" s="79"/>
      <c r="E45" s="79"/>
      <c r="F45" s="79"/>
      <c r="G45" s="79"/>
      <c r="H45" s="79"/>
      <c r="I45" s="79"/>
      <c r="J45" s="79"/>
      <c r="K45" s="79"/>
      <c r="L45" s="79"/>
      <c r="M45" s="79"/>
      <c r="N45" s="80"/>
    </row>
  </sheetData>
  <sortState ref="C11:E33">
    <sortCondition descending="1" ref="E11"/>
  </sortState>
  <mergeCells count="6">
    <mergeCell ref="B45:N45"/>
    <mergeCell ref="C3:N3"/>
    <mergeCell ref="D5:E5"/>
    <mergeCell ref="G7:N7"/>
    <mergeCell ref="G24:K24"/>
    <mergeCell ref="G26:N2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5DAC2-0F6E-452A-8E59-83EC550B3734}">
  <dimension ref="B1:N45"/>
  <sheetViews>
    <sheetView showGridLines="0" zoomScale="75" zoomScaleNormal="75" workbookViewId="0"/>
  </sheetViews>
  <sheetFormatPr defaultRowHeight="15" x14ac:dyDescent="0.25"/>
  <cols>
    <col min="1" max="1" width="2.85546875" customWidth="1"/>
    <col min="2" max="2" width="3.85546875" customWidth="1"/>
    <col min="3" max="3" width="61.42578125" bestFit="1" customWidth="1"/>
    <col min="4" max="4" width="13.7109375" customWidth="1"/>
    <col min="5" max="5" width="16.7109375" customWidth="1"/>
    <col min="7" max="7" width="10.7109375" customWidth="1"/>
    <col min="8" max="8" width="9.5703125" customWidth="1"/>
    <col min="9" max="10" width="9.28515625" customWidth="1"/>
    <col min="11" max="12" width="16.42578125" customWidth="1"/>
  </cols>
  <sheetData>
    <row r="1" spans="2:14" ht="15.75" customHeight="1" thickBot="1" x14ac:dyDescent="0.3"/>
    <row r="2" spans="2:14" ht="15" customHeight="1" x14ac:dyDescent="0.25">
      <c r="B2" s="19"/>
      <c r="C2" s="16"/>
      <c r="D2" s="16"/>
      <c r="E2" s="16"/>
      <c r="F2" s="16"/>
      <c r="G2" s="16"/>
      <c r="H2" s="16"/>
      <c r="I2" s="16"/>
      <c r="J2" s="16"/>
      <c r="K2" s="16"/>
      <c r="L2" s="16"/>
      <c r="M2" s="16"/>
      <c r="N2" s="17"/>
    </row>
    <row r="3" spans="2:14" ht="20.25" customHeight="1" x14ac:dyDescent="0.25">
      <c r="B3" s="20"/>
      <c r="C3" s="81" t="s">
        <v>0</v>
      </c>
      <c r="D3" s="82"/>
      <c r="E3" s="82"/>
      <c r="F3" s="82"/>
      <c r="G3" s="82"/>
      <c r="H3" s="82"/>
      <c r="I3" s="82"/>
      <c r="J3" s="82"/>
      <c r="K3" s="82"/>
      <c r="L3" s="82"/>
      <c r="M3" s="82"/>
      <c r="N3" s="83"/>
    </row>
    <row r="4" spans="2:14" ht="15.75" customHeight="1" x14ac:dyDescent="0.25">
      <c r="B4" s="20"/>
      <c r="C4" s="14"/>
      <c r="D4" s="1"/>
      <c r="E4" s="1"/>
      <c r="F4" s="1"/>
      <c r="G4" s="1"/>
      <c r="H4" s="1"/>
      <c r="I4" s="1"/>
      <c r="J4" s="1"/>
      <c r="K4" s="1"/>
      <c r="L4" s="1"/>
      <c r="M4" s="1"/>
      <c r="N4" s="18"/>
    </row>
    <row r="5" spans="2:14" ht="18" customHeight="1" x14ac:dyDescent="0.25">
      <c r="B5" s="20"/>
      <c r="C5" s="15" t="s">
        <v>9</v>
      </c>
      <c r="D5" s="84" t="s">
        <v>270</v>
      </c>
      <c r="E5" s="85"/>
      <c r="F5" s="1"/>
      <c r="G5" s="1"/>
      <c r="H5" s="1"/>
      <c r="I5" s="1"/>
      <c r="J5" s="1"/>
      <c r="K5" s="1"/>
      <c r="L5" s="1"/>
      <c r="M5" s="1"/>
      <c r="N5" s="18"/>
    </row>
    <row r="6" spans="2:14" ht="15" customHeight="1" x14ac:dyDescent="0.25">
      <c r="B6" s="20"/>
      <c r="C6" s="1"/>
      <c r="D6" s="1"/>
      <c r="E6" s="1"/>
      <c r="F6" s="1"/>
      <c r="G6" s="1"/>
      <c r="H6" s="1"/>
      <c r="I6" s="1"/>
      <c r="J6" s="1"/>
      <c r="K6" s="1"/>
      <c r="L6" s="1"/>
      <c r="M6" s="1"/>
      <c r="N6" s="18"/>
    </row>
    <row r="7" spans="2:14" ht="32.25" customHeight="1" x14ac:dyDescent="0.25">
      <c r="B7" s="20"/>
      <c r="C7" s="4" t="s">
        <v>1</v>
      </c>
      <c r="D7" s="3" t="s">
        <v>2</v>
      </c>
      <c r="E7" s="2" t="s">
        <v>3</v>
      </c>
      <c r="F7" s="1"/>
      <c r="G7" s="86" t="s">
        <v>5</v>
      </c>
      <c r="H7" s="87"/>
      <c r="I7" s="87"/>
      <c r="J7" s="87"/>
      <c r="K7" s="87"/>
      <c r="L7" s="87"/>
      <c r="M7" s="87"/>
      <c r="N7" s="88"/>
    </row>
    <row r="8" spans="2:14" ht="15" customHeight="1" x14ac:dyDescent="0.25">
      <c r="B8" s="20"/>
      <c r="C8" s="5" t="s">
        <v>276</v>
      </c>
      <c r="D8" s="6"/>
      <c r="E8" s="11">
        <v>0.60857499999999998</v>
      </c>
      <c r="F8" s="1"/>
      <c r="G8" s="24" t="s">
        <v>4</v>
      </c>
      <c r="H8" s="25">
        <v>1</v>
      </c>
      <c r="I8" s="34"/>
      <c r="J8" s="35" t="s">
        <v>50</v>
      </c>
      <c r="K8" s="35" t="s">
        <v>3</v>
      </c>
      <c r="L8" s="34"/>
      <c r="M8" s="1"/>
      <c r="N8" s="18"/>
    </row>
    <row r="9" spans="2:14" ht="15" customHeight="1" x14ac:dyDescent="0.25">
      <c r="B9" s="20"/>
      <c r="C9" s="5" t="s">
        <v>279</v>
      </c>
      <c r="D9" s="6"/>
      <c r="E9" s="11">
        <v>0.346966</v>
      </c>
      <c r="F9" s="1"/>
      <c r="G9" s="1"/>
      <c r="H9" s="1"/>
      <c r="I9" s="34"/>
      <c r="J9" s="35" t="s">
        <v>48</v>
      </c>
      <c r="K9" s="36">
        <f>E15</f>
        <v>-1.7899999999999999E-4</v>
      </c>
      <c r="L9" s="34"/>
      <c r="M9" s="1"/>
      <c r="N9" s="18"/>
    </row>
    <row r="10" spans="2:14" ht="15" customHeight="1" x14ac:dyDescent="0.25">
      <c r="B10" s="20"/>
      <c r="C10" s="5" t="s">
        <v>278</v>
      </c>
      <c r="D10" s="6"/>
      <c r="E10" s="11">
        <v>5.1E-5</v>
      </c>
      <c r="F10" s="1"/>
      <c r="G10" s="1"/>
      <c r="H10" s="1"/>
      <c r="I10" s="34"/>
      <c r="J10" s="35" t="s">
        <v>51</v>
      </c>
      <c r="K10" s="36">
        <f>E13</f>
        <v>4.4587000000000002E-2</v>
      </c>
      <c r="L10" s="34"/>
      <c r="M10" s="1"/>
      <c r="N10" s="18"/>
    </row>
    <row r="11" spans="2:14" ht="15.75" customHeight="1" x14ac:dyDescent="0.25">
      <c r="B11" s="20"/>
      <c r="C11" s="7" t="s">
        <v>277</v>
      </c>
      <c r="D11" s="8"/>
      <c r="E11" s="12">
        <v>0.955592</v>
      </c>
      <c r="F11" s="1"/>
      <c r="G11" s="1"/>
      <c r="H11" s="1"/>
      <c r="I11" s="34"/>
      <c r="J11" s="35" t="s">
        <v>280</v>
      </c>
      <c r="K11" s="36">
        <f>E11</f>
        <v>0.955592</v>
      </c>
      <c r="L11" s="34"/>
      <c r="M11" s="1"/>
      <c r="N11" s="18"/>
    </row>
    <row r="12" spans="2:14" ht="15" customHeight="1" x14ac:dyDescent="0.25">
      <c r="B12" s="20"/>
      <c r="C12" s="5" t="s">
        <v>46</v>
      </c>
      <c r="D12" s="6"/>
      <c r="E12" s="11">
        <v>4.4587000000000002E-2</v>
      </c>
      <c r="F12" s="1"/>
      <c r="G12" s="1"/>
      <c r="H12" s="1"/>
      <c r="I12" s="34"/>
      <c r="J12" s="35"/>
      <c r="K12" s="35"/>
      <c r="L12" s="34"/>
      <c r="M12" s="1"/>
      <c r="N12" s="18"/>
    </row>
    <row r="13" spans="2:14" ht="15.75" customHeight="1" x14ac:dyDescent="0.25">
      <c r="B13" s="20"/>
      <c r="C13" s="7" t="s">
        <v>47</v>
      </c>
      <c r="D13" s="8"/>
      <c r="E13" s="12">
        <v>4.4587000000000002E-2</v>
      </c>
      <c r="F13" s="1"/>
      <c r="G13" s="1"/>
      <c r="H13" s="1"/>
      <c r="I13" s="34"/>
      <c r="J13" s="34"/>
      <c r="K13" s="34"/>
      <c r="L13" s="34"/>
      <c r="M13" s="1"/>
      <c r="N13" s="18"/>
    </row>
    <row r="14" spans="2:14" ht="15" customHeight="1" x14ac:dyDescent="0.25">
      <c r="B14" s="20"/>
      <c r="C14" s="5"/>
      <c r="D14" s="6"/>
      <c r="E14" s="11"/>
      <c r="F14" s="1"/>
      <c r="G14" s="1"/>
      <c r="H14" s="1"/>
      <c r="I14" s="34"/>
      <c r="J14" s="34"/>
      <c r="K14" s="34"/>
      <c r="L14" s="34"/>
      <c r="M14" s="1"/>
      <c r="N14" s="18"/>
    </row>
    <row r="15" spans="2:14" ht="15.75" customHeight="1" x14ac:dyDescent="0.25">
      <c r="B15" s="20"/>
      <c r="C15" s="7" t="s">
        <v>48</v>
      </c>
      <c r="D15" s="8"/>
      <c r="E15" s="12">
        <v>-1.7899999999999999E-4</v>
      </c>
      <c r="F15" s="1"/>
      <c r="G15" s="1"/>
      <c r="H15" s="1"/>
      <c r="I15" s="34"/>
      <c r="J15" s="34"/>
      <c r="K15" s="34"/>
      <c r="L15" s="34"/>
      <c r="M15" s="1"/>
      <c r="N15" s="18"/>
    </row>
    <row r="16" spans="2:14" ht="15" customHeight="1" x14ac:dyDescent="0.25">
      <c r="B16" s="20"/>
      <c r="C16" s="5"/>
      <c r="D16" s="6"/>
      <c r="E16" s="11"/>
      <c r="F16" s="1"/>
      <c r="G16" s="1"/>
      <c r="H16" s="1"/>
      <c r="I16" s="34"/>
      <c r="J16" s="34"/>
      <c r="K16" s="34"/>
      <c r="L16" s="34"/>
      <c r="M16" s="1"/>
      <c r="N16" s="18"/>
    </row>
    <row r="17" spans="2:14" ht="15" customHeight="1" x14ac:dyDescent="0.25">
      <c r="B17" s="20"/>
      <c r="C17" s="9" t="s">
        <v>49</v>
      </c>
      <c r="D17" s="10"/>
      <c r="E17" s="13">
        <v>1</v>
      </c>
      <c r="F17" s="1"/>
      <c r="G17" s="1"/>
      <c r="H17" s="1"/>
      <c r="I17" s="34"/>
      <c r="J17" s="34"/>
      <c r="K17" s="34"/>
      <c r="L17" s="34"/>
      <c r="M17" s="1"/>
      <c r="N17" s="18"/>
    </row>
    <row r="18" spans="2:14" ht="15" customHeight="1" x14ac:dyDescent="0.25">
      <c r="B18" s="20"/>
      <c r="C18" s="1"/>
      <c r="D18" s="1"/>
      <c r="E18" s="1"/>
      <c r="F18" s="1"/>
      <c r="G18" s="1"/>
      <c r="H18" s="1"/>
      <c r="I18" s="34"/>
      <c r="J18" s="34"/>
      <c r="K18" s="34"/>
      <c r="L18" s="34"/>
      <c r="M18" s="1"/>
      <c r="N18" s="18"/>
    </row>
    <row r="19" spans="2:14" ht="15" customHeight="1" x14ac:dyDescent="0.25">
      <c r="B19" s="20"/>
      <c r="C19" s="1"/>
      <c r="D19" s="1"/>
      <c r="E19" s="1"/>
      <c r="F19" s="1"/>
      <c r="G19" s="1"/>
      <c r="H19" s="1"/>
      <c r="I19" s="34"/>
      <c r="J19" s="34"/>
      <c r="K19" s="34"/>
      <c r="L19" s="34"/>
      <c r="M19" s="1"/>
      <c r="N19" s="18"/>
    </row>
    <row r="20" spans="2:14" ht="15" customHeight="1" x14ac:dyDescent="0.25">
      <c r="B20" s="20"/>
      <c r="C20" s="1"/>
      <c r="D20" s="1"/>
      <c r="E20" s="1"/>
      <c r="F20" s="1"/>
      <c r="G20" s="1"/>
      <c r="H20" s="1"/>
      <c r="I20" s="1"/>
      <c r="J20" s="1"/>
      <c r="K20" s="1"/>
      <c r="L20" s="1"/>
      <c r="M20" s="1"/>
      <c r="N20" s="18"/>
    </row>
    <row r="21" spans="2:14" ht="15" customHeight="1" x14ac:dyDescent="0.25">
      <c r="B21" s="20"/>
      <c r="C21" s="1"/>
      <c r="D21" s="1"/>
      <c r="E21" s="1"/>
      <c r="F21" s="1"/>
      <c r="G21" s="1"/>
      <c r="H21" s="1"/>
      <c r="I21" s="1"/>
      <c r="J21" s="1"/>
      <c r="K21" s="1"/>
      <c r="L21" s="1"/>
      <c r="M21" s="1"/>
      <c r="N21" s="18"/>
    </row>
    <row r="22" spans="2:14" ht="15" customHeight="1" x14ac:dyDescent="0.25">
      <c r="B22" s="20"/>
      <c r="C22" s="1"/>
      <c r="D22" s="1"/>
      <c r="E22" s="1"/>
      <c r="F22" s="1"/>
      <c r="G22" s="1"/>
      <c r="H22" s="1"/>
      <c r="I22" s="1"/>
      <c r="J22" s="1"/>
      <c r="K22" s="1"/>
      <c r="L22" s="1"/>
      <c r="M22" s="1"/>
      <c r="N22" s="18"/>
    </row>
    <row r="23" spans="2:14" ht="15" customHeight="1" x14ac:dyDescent="0.25">
      <c r="B23" s="20"/>
      <c r="C23" s="1"/>
      <c r="D23" s="1"/>
      <c r="E23" s="1"/>
      <c r="F23" s="1"/>
      <c r="G23" s="1"/>
      <c r="H23" s="1"/>
      <c r="I23" s="1"/>
      <c r="J23" s="1"/>
      <c r="K23" s="1"/>
      <c r="L23" s="1"/>
      <c r="M23" s="1"/>
      <c r="N23" s="18"/>
    </row>
    <row r="24" spans="2:14" ht="15" customHeight="1" x14ac:dyDescent="0.25">
      <c r="B24" s="20"/>
      <c r="C24" s="1"/>
      <c r="D24" s="1"/>
      <c r="E24" s="1"/>
      <c r="F24" s="1"/>
      <c r="G24" s="86" t="s">
        <v>6</v>
      </c>
      <c r="H24" s="87"/>
      <c r="I24" s="87"/>
      <c r="J24" s="87"/>
      <c r="K24" s="87"/>
      <c r="L24" s="26">
        <v>3.5098013293134294</v>
      </c>
      <c r="M24" s="27"/>
      <c r="N24" s="28"/>
    </row>
    <row r="25" spans="2:14" ht="15" customHeight="1" x14ac:dyDescent="0.25">
      <c r="B25" s="20"/>
      <c r="C25" s="1"/>
      <c r="D25" s="1"/>
      <c r="E25" s="1"/>
      <c r="F25" s="1"/>
      <c r="G25" s="1"/>
      <c r="H25" s="1"/>
      <c r="I25" s="1"/>
      <c r="J25" s="1"/>
      <c r="K25" s="1"/>
      <c r="L25" s="1"/>
      <c r="M25" s="1"/>
      <c r="N25" s="18"/>
    </row>
    <row r="26" spans="2:14" ht="15" customHeight="1" x14ac:dyDescent="0.25">
      <c r="B26" s="20"/>
      <c r="C26" s="1"/>
      <c r="D26" s="1"/>
      <c r="E26" s="1"/>
      <c r="F26" s="1"/>
      <c r="G26" s="86" t="s">
        <v>7</v>
      </c>
      <c r="H26" s="87"/>
      <c r="I26" s="87"/>
      <c r="J26" s="87"/>
      <c r="K26" s="87"/>
      <c r="L26" s="87"/>
      <c r="M26" s="87"/>
      <c r="N26" s="88"/>
    </row>
    <row r="27" spans="2:14" ht="15" customHeight="1" x14ac:dyDescent="0.25">
      <c r="B27" s="20"/>
      <c r="C27" s="1"/>
      <c r="D27" s="1"/>
      <c r="E27" s="1"/>
      <c r="F27" s="1"/>
      <c r="G27" s="1"/>
      <c r="H27" s="1"/>
      <c r="I27" s="1"/>
      <c r="J27" s="1"/>
      <c r="K27" s="1"/>
      <c r="L27" s="1"/>
      <c r="M27" s="1"/>
      <c r="N27" s="18"/>
    </row>
    <row r="28" spans="2:14" ht="15" customHeight="1" x14ac:dyDescent="0.25">
      <c r="B28" s="20"/>
      <c r="C28" s="1"/>
      <c r="D28" s="1"/>
      <c r="E28" s="1"/>
      <c r="F28" s="1"/>
      <c r="G28" s="1"/>
      <c r="H28" s="1"/>
      <c r="I28" s="1"/>
      <c r="J28" s="1"/>
      <c r="K28" s="1"/>
      <c r="L28" s="1"/>
      <c r="M28" s="1"/>
      <c r="N28" s="18"/>
    </row>
    <row r="29" spans="2:14" ht="15" customHeight="1" x14ac:dyDescent="0.25">
      <c r="B29" s="20"/>
      <c r="C29" s="1"/>
      <c r="D29" s="1"/>
      <c r="E29" s="1"/>
      <c r="F29" s="1"/>
      <c r="G29" s="1"/>
      <c r="H29" s="1"/>
      <c r="I29" s="1"/>
      <c r="J29" s="1"/>
      <c r="K29" s="1"/>
      <c r="L29" s="1"/>
      <c r="M29" s="1"/>
      <c r="N29" s="18"/>
    </row>
    <row r="30" spans="2:14" ht="15" customHeight="1" x14ac:dyDescent="0.25">
      <c r="B30" s="20"/>
      <c r="C30" s="1"/>
      <c r="D30" s="1"/>
      <c r="E30" s="1"/>
      <c r="F30" s="1"/>
      <c r="G30" s="1"/>
      <c r="H30" s="1"/>
      <c r="I30" s="1"/>
      <c r="J30" s="1"/>
      <c r="K30" s="1"/>
      <c r="L30" s="1"/>
      <c r="M30" s="1"/>
      <c r="N30" s="18"/>
    </row>
    <row r="31" spans="2:14" ht="15" customHeight="1" x14ac:dyDescent="0.25">
      <c r="B31" s="20"/>
      <c r="C31" s="1"/>
      <c r="D31" s="1"/>
      <c r="E31" s="1"/>
      <c r="F31" s="1"/>
      <c r="G31" s="1"/>
      <c r="H31" s="1"/>
      <c r="I31" s="1"/>
      <c r="J31" s="1"/>
      <c r="K31" s="1"/>
      <c r="L31" s="1"/>
      <c r="M31" s="1"/>
      <c r="N31" s="18"/>
    </row>
    <row r="32" spans="2:14" ht="15" customHeight="1" x14ac:dyDescent="0.25">
      <c r="B32" s="20"/>
      <c r="C32" s="1"/>
      <c r="D32" s="1"/>
      <c r="E32" s="1"/>
      <c r="F32" s="1"/>
      <c r="G32" s="1"/>
      <c r="H32" s="1"/>
      <c r="I32" s="1"/>
      <c r="J32" s="1"/>
      <c r="K32" s="1"/>
      <c r="L32" s="1"/>
      <c r="M32" s="1"/>
      <c r="N32" s="18"/>
    </row>
    <row r="33" spans="2:14" ht="15" customHeight="1" x14ac:dyDescent="0.25">
      <c r="B33" s="20"/>
      <c r="C33" s="1"/>
      <c r="D33" s="1"/>
      <c r="E33" s="1"/>
      <c r="F33" s="1"/>
      <c r="G33" s="1"/>
      <c r="H33" s="1"/>
      <c r="I33" s="1"/>
      <c r="J33" s="1"/>
      <c r="K33" s="1"/>
      <c r="L33" s="1"/>
      <c r="M33" s="1"/>
      <c r="N33" s="18"/>
    </row>
    <row r="34" spans="2:14" ht="15" customHeight="1" x14ac:dyDescent="0.25">
      <c r="B34" s="20"/>
      <c r="C34" s="1"/>
      <c r="D34" s="1"/>
      <c r="E34" s="1"/>
      <c r="F34" s="1"/>
      <c r="G34" s="1"/>
      <c r="H34" s="1"/>
      <c r="I34" s="1"/>
      <c r="J34" s="1"/>
      <c r="K34" s="1"/>
      <c r="L34" s="1"/>
      <c r="M34" s="1"/>
      <c r="N34" s="18"/>
    </row>
    <row r="35" spans="2:14" ht="15" customHeight="1" x14ac:dyDescent="0.25">
      <c r="B35" s="20"/>
      <c r="C35" s="1"/>
      <c r="D35" s="1"/>
      <c r="E35" s="1"/>
      <c r="F35" s="1"/>
      <c r="G35" s="1"/>
      <c r="H35" s="1"/>
      <c r="I35" s="1"/>
      <c r="J35" s="1"/>
      <c r="K35" s="1"/>
      <c r="L35" s="1"/>
      <c r="M35" s="1"/>
      <c r="N35" s="18"/>
    </row>
    <row r="36" spans="2:14" ht="15" customHeight="1" x14ac:dyDescent="0.25">
      <c r="B36" s="20"/>
      <c r="C36" s="1"/>
      <c r="D36" s="1"/>
      <c r="E36" s="1"/>
      <c r="F36" s="1"/>
      <c r="G36" s="1"/>
      <c r="H36" s="1"/>
      <c r="I36" s="1"/>
      <c r="J36" s="1"/>
      <c r="K36" s="1"/>
      <c r="L36" s="1"/>
      <c r="M36" s="1"/>
      <c r="N36" s="18"/>
    </row>
    <row r="37" spans="2:14" ht="15" customHeight="1" x14ac:dyDescent="0.25">
      <c r="B37" s="20"/>
      <c r="C37" s="1"/>
      <c r="D37" s="1"/>
      <c r="E37" s="1"/>
      <c r="F37" s="1"/>
      <c r="G37" s="1"/>
      <c r="H37" s="1"/>
      <c r="I37" s="1"/>
      <c r="J37" s="1"/>
      <c r="K37" s="1"/>
      <c r="L37" s="1"/>
      <c r="M37" s="1"/>
      <c r="N37" s="18"/>
    </row>
    <row r="38" spans="2:14" ht="15" customHeight="1" x14ac:dyDescent="0.25">
      <c r="B38" s="20"/>
      <c r="C38" s="1"/>
      <c r="D38" s="1"/>
      <c r="E38" s="1"/>
      <c r="F38" s="1"/>
      <c r="G38" s="1"/>
      <c r="H38" s="1"/>
      <c r="I38" s="1"/>
      <c r="J38" s="1"/>
      <c r="K38" s="1"/>
      <c r="L38" s="1"/>
      <c r="M38" s="1"/>
      <c r="N38" s="18"/>
    </row>
    <row r="39" spans="2:14" ht="15" customHeight="1" x14ac:dyDescent="0.25">
      <c r="B39" s="20"/>
      <c r="C39" s="1"/>
      <c r="D39" s="1"/>
      <c r="E39" s="1"/>
      <c r="F39" s="1"/>
      <c r="G39" s="1"/>
      <c r="H39" s="1"/>
      <c r="I39" s="1"/>
      <c r="J39" s="1"/>
      <c r="K39" s="1"/>
      <c r="L39" s="1"/>
      <c r="M39" s="1"/>
      <c r="N39" s="18"/>
    </row>
    <row r="40" spans="2:14" ht="15" customHeight="1" x14ac:dyDescent="0.25">
      <c r="B40" s="20"/>
      <c r="C40" s="1"/>
      <c r="D40" s="1"/>
      <c r="E40" s="1"/>
      <c r="F40" s="1"/>
      <c r="G40" s="1"/>
      <c r="H40" s="1"/>
      <c r="I40" s="1"/>
      <c r="J40" s="1"/>
      <c r="K40" s="1"/>
      <c r="L40" s="1"/>
      <c r="M40" s="1"/>
      <c r="N40" s="18"/>
    </row>
    <row r="41" spans="2:14" ht="15" customHeight="1" x14ac:dyDescent="0.25">
      <c r="B41" s="20"/>
      <c r="C41" s="1"/>
      <c r="D41" s="1"/>
      <c r="E41" s="1"/>
      <c r="F41" s="1"/>
      <c r="G41" s="1"/>
      <c r="H41" s="1"/>
      <c r="I41" s="1"/>
      <c r="J41" s="1"/>
      <c r="K41" s="1"/>
      <c r="L41" s="1"/>
      <c r="M41" s="1"/>
      <c r="N41" s="18"/>
    </row>
    <row r="42" spans="2:14" ht="15" customHeight="1" x14ac:dyDescent="0.25">
      <c r="B42" s="20"/>
      <c r="C42" s="1"/>
      <c r="D42" s="1"/>
      <c r="E42" s="1"/>
      <c r="F42" s="1"/>
      <c r="G42" s="1"/>
      <c r="H42" s="1"/>
      <c r="I42" s="1"/>
      <c r="J42" s="1"/>
      <c r="K42" s="1"/>
      <c r="L42" s="1"/>
      <c r="M42" s="1"/>
      <c r="N42" s="18"/>
    </row>
    <row r="43" spans="2:14" ht="15.75" thickBot="1" x14ac:dyDescent="0.3">
      <c r="B43" s="21"/>
      <c r="C43" s="22"/>
      <c r="D43" s="22"/>
      <c r="E43" s="22"/>
      <c r="F43" s="22"/>
      <c r="G43" s="22"/>
      <c r="H43" s="22"/>
      <c r="I43" s="22"/>
      <c r="J43" s="22"/>
      <c r="K43" s="22"/>
      <c r="L43" s="22"/>
      <c r="M43" s="22"/>
      <c r="N43" s="23"/>
    </row>
    <row r="44" spans="2:14" ht="15.75" thickBot="1" x14ac:dyDescent="0.3"/>
    <row r="45" spans="2:14" ht="132" customHeight="1" thickBot="1" x14ac:dyDescent="0.3">
      <c r="B45" s="78" t="s">
        <v>273</v>
      </c>
      <c r="C45" s="79"/>
      <c r="D45" s="79"/>
      <c r="E45" s="79"/>
      <c r="F45" s="79"/>
      <c r="G45" s="79"/>
      <c r="H45" s="79"/>
      <c r="I45" s="79"/>
      <c r="J45" s="79"/>
      <c r="K45" s="79"/>
      <c r="L45" s="79"/>
      <c r="M45" s="79"/>
      <c r="N45" s="80"/>
    </row>
  </sheetData>
  <sortState ref="C8:E10">
    <sortCondition descending="1" ref="E8"/>
  </sortState>
  <mergeCells count="6">
    <mergeCell ref="B45:N45"/>
    <mergeCell ref="C3:N3"/>
    <mergeCell ref="D5:E5"/>
    <mergeCell ref="G7:N7"/>
    <mergeCell ref="G24:K24"/>
    <mergeCell ref="G26:N26"/>
  </mergeCells>
  <pageMargins left="0.7" right="0.7" top="0.75" bottom="0.75" header="0.3" footer="0.3"/>
  <pageSetup orientation="portrait"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3118F-BC2D-4FC2-8FCD-C72130B8C5EA}">
  <sheetPr>
    <tabColor rgb="FFE5E3E3"/>
    <pageSetUpPr fitToPage="1"/>
  </sheetPr>
  <dimension ref="B1:X691"/>
  <sheetViews>
    <sheetView showGridLines="0" zoomScale="75" zoomScaleNormal="75" workbookViewId="0"/>
  </sheetViews>
  <sheetFormatPr defaultRowHeight="15" x14ac:dyDescent="0.2"/>
  <cols>
    <col min="1" max="1" width="2.85546875" style="37" customWidth="1"/>
    <col min="2" max="2" width="3.85546875" style="37" customWidth="1"/>
    <col min="3" max="3" width="60.5703125" style="37" customWidth="1"/>
    <col min="4" max="4" width="15.42578125" style="37" bestFit="1" customWidth="1"/>
    <col min="5" max="5" width="9.140625" style="37"/>
    <col min="6" max="6" width="10.7109375" style="37" customWidth="1"/>
    <col min="7" max="7" width="10.5703125" style="37" bestFit="1" customWidth="1"/>
    <col min="8" max="9" width="9.140625" style="37"/>
    <col min="10" max="11" width="16.42578125" style="37" customWidth="1"/>
    <col min="12" max="18" width="9.140625" style="37"/>
    <col min="19" max="19" width="9.85546875" style="37" customWidth="1"/>
    <col min="20" max="21" width="9.28515625" style="37" bestFit="1" customWidth="1"/>
    <col min="22" max="16384" width="9.140625" style="37"/>
  </cols>
  <sheetData>
    <row r="1" spans="2:24" ht="15.75" thickBot="1" x14ac:dyDescent="0.25"/>
    <row r="2" spans="2:24" x14ac:dyDescent="0.2">
      <c r="B2" s="38"/>
      <c r="C2" s="39"/>
      <c r="D2" s="39"/>
      <c r="E2" s="39"/>
      <c r="F2" s="39"/>
      <c r="G2" s="39"/>
      <c r="H2" s="39"/>
      <c r="I2" s="39"/>
      <c r="J2" s="39"/>
      <c r="K2" s="39"/>
      <c r="L2" s="39"/>
      <c r="M2" s="40"/>
    </row>
    <row r="3" spans="2:24" ht="20.25" customHeight="1" x14ac:dyDescent="0.2">
      <c r="B3" s="41"/>
      <c r="C3" s="89" t="s">
        <v>300</v>
      </c>
      <c r="D3" s="89"/>
      <c r="E3" s="89"/>
      <c r="F3" s="89"/>
      <c r="G3" s="89"/>
      <c r="H3" s="89"/>
      <c r="I3" s="89"/>
      <c r="J3" s="89"/>
      <c r="K3" s="89"/>
      <c r="L3" s="89"/>
      <c r="M3" s="90"/>
    </row>
    <row r="4" spans="2:24" ht="15.75" x14ac:dyDescent="0.25">
      <c r="B4" s="41"/>
      <c r="C4" s="14"/>
      <c r="D4" s="42"/>
      <c r="E4" s="42"/>
      <c r="F4" s="43"/>
      <c r="G4" s="43"/>
      <c r="H4" s="43"/>
      <c r="I4" s="43"/>
      <c r="J4" s="43"/>
      <c r="K4" s="43"/>
      <c r="L4" s="43"/>
      <c r="M4" s="44"/>
    </row>
    <row r="5" spans="2:24" ht="20.25" customHeight="1" x14ac:dyDescent="0.25">
      <c r="B5" s="41"/>
      <c r="C5" s="15" t="s">
        <v>9</v>
      </c>
      <c r="D5" s="45" t="s">
        <v>301</v>
      </c>
      <c r="E5" s="46"/>
      <c r="F5" s="43"/>
      <c r="G5" s="43"/>
      <c r="H5" s="43"/>
      <c r="I5" s="43"/>
      <c r="J5" s="43"/>
      <c r="K5" s="43"/>
      <c r="L5" s="43"/>
      <c r="M5" s="44"/>
    </row>
    <row r="6" spans="2:24" x14ac:dyDescent="0.2">
      <c r="B6" s="41"/>
      <c r="C6" s="43"/>
      <c r="D6" s="43"/>
      <c r="E6" s="43"/>
      <c r="F6" s="43"/>
      <c r="G6" s="43"/>
      <c r="H6" s="43"/>
      <c r="I6" s="43"/>
      <c r="J6" s="43"/>
      <c r="K6" s="43"/>
      <c r="L6" s="43"/>
      <c r="M6" s="44"/>
    </row>
    <row r="7" spans="2:24" ht="15.75" x14ac:dyDescent="0.2">
      <c r="B7" s="41"/>
      <c r="C7" s="47" t="s">
        <v>1</v>
      </c>
      <c r="D7" s="48" t="s">
        <v>3</v>
      </c>
      <c r="E7" s="43"/>
      <c r="F7" s="91" t="s">
        <v>7</v>
      </c>
      <c r="G7" s="91"/>
      <c r="H7" s="91"/>
      <c r="I7" s="91"/>
      <c r="J7" s="91"/>
      <c r="K7" s="91"/>
      <c r="L7" s="91"/>
      <c r="M7" s="92"/>
    </row>
    <row r="8" spans="2:24" x14ac:dyDescent="0.2">
      <c r="B8" s="41"/>
      <c r="C8" s="49" t="s">
        <v>282</v>
      </c>
      <c r="D8" s="50">
        <v>0.99980000000000002</v>
      </c>
      <c r="E8" s="43"/>
      <c r="F8" s="43"/>
      <c r="G8" s="51"/>
      <c r="H8" s="43"/>
      <c r="I8" s="43" t="s">
        <v>283</v>
      </c>
      <c r="J8" s="52">
        <f>D9</f>
        <v>0.99980000000000002</v>
      </c>
      <c r="K8" s="43"/>
      <c r="L8" s="43"/>
      <c r="M8" s="44"/>
      <c r="S8" s="53"/>
      <c r="W8" s="37" t="s">
        <v>284</v>
      </c>
      <c r="X8" s="37">
        <v>0.25058799999999998</v>
      </c>
    </row>
    <row r="9" spans="2:24" ht="15.75" x14ac:dyDescent="0.25">
      <c r="B9" s="41"/>
      <c r="C9" s="54" t="s">
        <v>283</v>
      </c>
      <c r="D9" s="55">
        <v>0.99980000000000002</v>
      </c>
      <c r="E9" s="43"/>
      <c r="F9" s="43"/>
      <c r="G9" s="43"/>
      <c r="H9" s="43"/>
      <c r="I9" s="43" t="s">
        <v>48</v>
      </c>
      <c r="J9" s="52">
        <f>D13</f>
        <v>-1.276E-3</v>
      </c>
      <c r="K9" s="43"/>
      <c r="L9" s="43"/>
      <c r="M9" s="44"/>
      <c r="S9" s="53"/>
      <c r="W9" s="37" t="s">
        <v>285</v>
      </c>
      <c r="X9" s="37">
        <v>6.1296999999999997E-2</v>
      </c>
    </row>
    <row r="10" spans="2:24" x14ac:dyDescent="0.2">
      <c r="B10" s="41"/>
      <c r="C10" s="56" t="s">
        <v>46</v>
      </c>
      <c r="D10" s="57">
        <v>1.4760000000000001E-3</v>
      </c>
      <c r="E10" s="43"/>
      <c r="F10" s="43"/>
      <c r="G10" s="43"/>
      <c r="I10" s="37" t="s">
        <v>47</v>
      </c>
      <c r="J10" s="52">
        <f>D11</f>
        <v>1.4760000000000001E-3</v>
      </c>
      <c r="K10" s="43"/>
      <c r="L10" s="43"/>
      <c r="M10" s="44"/>
      <c r="S10" s="53"/>
      <c r="W10" s="37" t="s">
        <v>286</v>
      </c>
      <c r="X10" s="37">
        <v>3.0130999999999998E-2</v>
      </c>
    </row>
    <row r="11" spans="2:24" ht="15.75" x14ac:dyDescent="0.2">
      <c r="B11" s="41"/>
      <c r="C11" s="58" t="s">
        <v>47</v>
      </c>
      <c r="D11" s="59">
        <v>1.4760000000000001E-3</v>
      </c>
      <c r="E11" s="43"/>
      <c r="F11" s="43"/>
      <c r="G11" s="43"/>
      <c r="J11" s="43"/>
      <c r="K11" s="43"/>
      <c r="L11" s="43"/>
      <c r="M11" s="44"/>
      <c r="S11" s="53"/>
      <c r="W11" s="37" t="s">
        <v>287</v>
      </c>
      <c r="X11" s="37">
        <v>2.7299E-2</v>
      </c>
    </row>
    <row r="12" spans="2:24" x14ac:dyDescent="0.2">
      <c r="B12" s="41"/>
      <c r="C12" s="56"/>
      <c r="D12" s="60"/>
      <c r="E12" s="43"/>
      <c r="F12" s="43"/>
      <c r="G12" s="43"/>
      <c r="J12" s="43"/>
      <c r="K12" s="43"/>
      <c r="L12" s="43"/>
      <c r="M12" s="44"/>
      <c r="S12" s="53"/>
      <c r="W12" s="37" t="s">
        <v>288</v>
      </c>
      <c r="X12" s="37">
        <v>2.5925E-2</v>
      </c>
    </row>
    <row r="13" spans="2:24" ht="15.75" x14ac:dyDescent="0.2">
      <c r="B13" s="41"/>
      <c r="C13" s="58" t="s">
        <v>48</v>
      </c>
      <c r="D13" s="59">
        <v>-1.276E-3</v>
      </c>
      <c r="E13" s="43"/>
      <c r="F13" s="43"/>
      <c r="G13" s="43"/>
      <c r="J13" s="43"/>
      <c r="K13" s="43"/>
      <c r="L13" s="43"/>
      <c r="M13" s="44"/>
      <c r="S13" s="53"/>
      <c r="W13" s="37" t="s">
        <v>289</v>
      </c>
      <c r="X13" s="37">
        <v>2.3822000000000003E-2</v>
      </c>
    </row>
    <row r="14" spans="2:24" x14ac:dyDescent="0.2">
      <c r="B14" s="41"/>
      <c r="C14" s="56"/>
      <c r="D14" s="60"/>
      <c r="E14" s="43"/>
      <c r="F14" s="43"/>
      <c r="G14" s="43"/>
      <c r="H14" s="43"/>
      <c r="I14" s="43"/>
      <c r="J14" s="43"/>
      <c r="K14" s="43"/>
      <c r="L14" s="43"/>
      <c r="M14" s="44"/>
      <c r="S14" s="53"/>
      <c r="W14" s="37" t="s">
        <v>290</v>
      </c>
      <c r="X14" s="37">
        <v>2.3753E-2</v>
      </c>
    </row>
    <row r="15" spans="2:24" ht="15.75" x14ac:dyDescent="0.2">
      <c r="B15" s="41"/>
      <c r="C15" s="61" t="s">
        <v>49</v>
      </c>
      <c r="D15" s="62">
        <f>D13+D11+D9</f>
        <v>1</v>
      </c>
      <c r="E15" s="43"/>
      <c r="F15" s="43"/>
      <c r="G15" s="43"/>
      <c r="H15" s="43"/>
      <c r="I15" s="43"/>
      <c r="J15" s="43"/>
      <c r="K15" s="43"/>
      <c r="L15" s="43"/>
      <c r="M15" s="44"/>
      <c r="S15" s="53"/>
      <c r="W15" s="37" t="s">
        <v>291</v>
      </c>
      <c r="X15" s="37">
        <v>1.8620999999999999E-2</v>
      </c>
    </row>
    <row r="16" spans="2:24" x14ac:dyDescent="0.2">
      <c r="B16" s="41"/>
      <c r="E16" s="43"/>
      <c r="F16" s="43"/>
      <c r="G16" s="43"/>
      <c r="H16" s="43"/>
      <c r="I16" s="43"/>
      <c r="J16" s="43"/>
      <c r="K16" s="43"/>
      <c r="L16" s="43"/>
      <c r="M16" s="44"/>
      <c r="S16" s="53"/>
      <c r="W16" s="37" t="s">
        <v>292</v>
      </c>
      <c r="X16" s="37">
        <v>1.7219000000000002E-2</v>
      </c>
    </row>
    <row r="17" spans="2:24" ht="15.75" x14ac:dyDescent="0.25">
      <c r="B17" s="41"/>
      <c r="C17" s="63"/>
      <c r="D17" s="64"/>
      <c r="E17" s="43"/>
      <c r="F17" s="43"/>
      <c r="G17" s="43"/>
      <c r="H17" s="43"/>
      <c r="I17" s="43"/>
      <c r="J17" s="43"/>
      <c r="K17" s="43"/>
      <c r="L17" s="43"/>
      <c r="M17" s="44"/>
      <c r="S17" s="53"/>
      <c r="W17" s="37" t="s">
        <v>293</v>
      </c>
      <c r="X17" s="37">
        <v>1.6056000000000001E-2</v>
      </c>
    </row>
    <row r="18" spans="2:24" x14ac:dyDescent="0.2">
      <c r="B18" s="41"/>
      <c r="C18" s="65"/>
      <c r="D18" s="65"/>
      <c r="E18" s="43"/>
      <c r="F18" s="43"/>
      <c r="G18" s="43"/>
      <c r="H18" s="43"/>
      <c r="I18" s="43"/>
      <c r="J18" s="43"/>
      <c r="K18" s="43"/>
      <c r="L18" s="43"/>
      <c r="M18" s="44"/>
      <c r="S18" s="53"/>
      <c r="W18" s="37" t="s">
        <v>294</v>
      </c>
      <c r="X18" s="37">
        <v>1.41E-2</v>
      </c>
    </row>
    <row r="19" spans="2:24" ht="15.75" x14ac:dyDescent="0.25">
      <c r="B19" s="41"/>
      <c r="C19" s="63"/>
      <c r="D19" s="66"/>
      <c r="E19" s="43"/>
      <c r="F19" s="43"/>
      <c r="G19" s="43"/>
      <c r="H19" s="43"/>
      <c r="I19" s="43"/>
      <c r="J19" s="43"/>
      <c r="K19" s="43"/>
      <c r="L19" s="43"/>
      <c r="M19" s="44"/>
      <c r="S19" s="53"/>
      <c r="W19" s="37" t="s">
        <v>295</v>
      </c>
      <c r="X19" s="37">
        <v>1.1167E-2</v>
      </c>
    </row>
    <row r="20" spans="2:24" x14ac:dyDescent="0.2">
      <c r="B20" s="41"/>
      <c r="E20" s="43"/>
      <c r="F20" s="43"/>
      <c r="G20" s="43"/>
      <c r="H20" s="43"/>
      <c r="I20" s="43"/>
      <c r="J20" s="43"/>
      <c r="K20" s="43"/>
      <c r="L20" s="43"/>
      <c r="M20" s="44"/>
      <c r="S20" s="53"/>
      <c r="W20" s="37" t="s">
        <v>296</v>
      </c>
      <c r="X20" s="37">
        <v>1.1159000000000001E-2</v>
      </c>
    </row>
    <row r="21" spans="2:24" x14ac:dyDescent="0.2">
      <c r="B21" s="41"/>
      <c r="E21" s="43"/>
      <c r="F21" s="43"/>
      <c r="G21" s="43"/>
      <c r="H21" s="43"/>
      <c r="I21" s="43"/>
      <c r="J21" s="43"/>
      <c r="K21" s="43"/>
      <c r="L21" s="43"/>
      <c r="M21" s="44"/>
      <c r="S21" s="53"/>
      <c r="W21" s="37" t="s">
        <v>297</v>
      </c>
      <c r="X21" s="37">
        <v>1.0543E-2</v>
      </c>
    </row>
    <row r="22" spans="2:24" ht="16.5" thickBot="1" x14ac:dyDescent="0.3">
      <c r="B22" s="67"/>
      <c r="C22" s="93"/>
      <c r="D22" s="93"/>
      <c r="E22" s="93"/>
      <c r="F22" s="93"/>
      <c r="G22" s="93"/>
      <c r="H22" s="93"/>
      <c r="I22" s="93"/>
      <c r="J22" s="93"/>
      <c r="K22" s="93"/>
      <c r="L22" s="93"/>
      <c r="M22" s="94"/>
      <c r="S22" s="53"/>
    </row>
    <row r="23" spans="2:24" ht="15.75" thickBot="1" x14ac:dyDescent="0.25">
      <c r="S23" s="53"/>
    </row>
    <row r="24" spans="2:24" ht="15" customHeight="1" x14ac:dyDescent="0.2">
      <c r="B24" s="95" t="s">
        <v>298</v>
      </c>
      <c r="C24" s="96"/>
      <c r="D24" s="96"/>
      <c r="E24" s="96"/>
      <c r="F24" s="96"/>
      <c r="G24" s="96"/>
      <c r="H24" s="96"/>
      <c r="I24" s="96"/>
      <c r="J24" s="96"/>
      <c r="K24" s="96"/>
      <c r="L24" s="96"/>
      <c r="M24" s="96"/>
      <c r="N24" s="97"/>
      <c r="S24" s="53"/>
    </row>
    <row r="25" spans="2:24" ht="15.75" customHeight="1" x14ac:dyDescent="0.2">
      <c r="B25" s="98"/>
      <c r="C25" s="99"/>
      <c r="D25" s="99"/>
      <c r="E25" s="99"/>
      <c r="F25" s="99"/>
      <c r="G25" s="99"/>
      <c r="H25" s="99"/>
      <c r="I25" s="99"/>
      <c r="J25" s="99"/>
      <c r="K25" s="99"/>
      <c r="L25" s="99"/>
      <c r="M25" s="99"/>
      <c r="N25" s="100"/>
      <c r="S25" s="53"/>
    </row>
    <row r="26" spans="2:24" ht="15.75" customHeight="1" x14ac:dyDescent="0.2">
      <c r="B26" s="98"/>
      <c r="C26" s="99"/>
      <c r="D26" s="99"/>
      <c r="E26" s="99"/>
      <c r="F26" s="99"/>
      <c r="G26" s="99"/>
      <c r="H26" s="99"/>
      <c r="I26" s="99"/>
      <c r="J26" s="99"/>
      <c r="K26" s="99"/>
      <c r="L26" s="99"/>
      <c r="M26" s="99"/>
      <c r="N26" s="100"/>
      <c r="S26" s="53"/>
    </row>
    <row r="27" spans="2:24" ht="15.75" customHeight="1" x14ac:dyDescent="0.2">
      <c r="B27" s="98"/>
      <c r="C27" s="99"/>
      <c r="D27" s="99"/>
      <c r="E27" s="99"/>
      <c r="F27" s="99"/>
      <c r="G27" s="99"/>
      <c r="H27" s="99"/>
      <c r="I27" s="99"/>
      <c r="J27" s="99"/>
      <c r="K27" s="99"/>
      <c r="L27" s="99"/>
      <c r="M27" s="99"/>
      <c r="N27" s="100"/>
      <c r="S27" s="53"/>
    </row>
    <row r="28" spans="2:24" ht="15.75" customHeight="1" x14ac:dyDescent="0.2">
      <c r="B28" s="98"/>
      <c r="C28" s="99"/>
      <c r="D28" s="99"/>
      <c r="E28" s="99"/>
      <c r="F28" s="99"/>
      <c r="G28" s="99"/>
      <c r="H28" s="99"/>
      <c r="I28" s="99"/>
      <c r="J28" s="99"/>
      <c r="K28" s="99"/>
      <c r="L28" s="99"/>
      <c r="M28" s="99"/>
      <c r="N28" s="100"/>
      <c r="S28" s="53"/>
    </row>
    <row r="29" spans="2:24" ht="15.75" customHeight="1" x14ac:dyDescent="0.2">
      <c r="B29" s="98"/>
      <c r="C29" s="99"/>
      <c r="D29" s="99"/>
      <c r="E29" s="99"/>
      <c r="F29" s="99"/>
      <c r="G29" s="99"/>
      <c r="H29" s="99"/>
      <c r="I29" s="99"/>
      <c r="J29" s="99"/>
      <c r="K29" s="99"/>
      <c r="L29" s="99"/>
      <c r="M29" s="99"/>
      <c r="N29" s="100"/>
      <c r="S29" s="53"/>
    </row>
    <row r="30" spans="2:24" ht="28.5" customHeight="1" thickBot="1" x14ac:dyDescent="0.25">
      <c r="B30" s="101"/>
      <c r="C30" s="102"/>
      <c r="D30" s="102"/>
      <c r="E30" s="102"/>
      <c r="F30" s="102"/>
      <c r="G30" s="102"/>
      <c r="H30" s="102"/>
      <c r="I30" s="102"/>
      <c r="J30" s="102"/>
      <c r="K30" s="102"/>
      <c r="L30" s="102"/>
      <c r="M30" s="102"/>
      <c r="N30" s="103"/>
      <c r="S30" s="53"/>
    </row>
    <row r="31" spans="2:24" ht="15.75" thickBot="1" x14ac:dyDescent="0.25">
      <c r="S31" s="53"/>
    </row>
    <row r="32" spans="2:24" x14ac:dyDescent="0.2">
      <c r="B32" s="95" t="s">
        <v>299</v>
      </c>
      <c r="C32" s="96"/>
      <c r="D32" s="96"/>
      <c r="E32" s="96"/>
      <c r="F32" s="96"/>
      <c r="G32" s="96"/>
      <c r="H32" s="96"/>
      <c r="I32" s="96"/>
      <c r="J32" s="96"/>
      <c r="K32" s="96"/>
      <c r="L32" s="96"/>
      <c r="M32" s="96"/>
      <c r="N32" s="97"/>
      <c r="S32" s="53"/>
    </row>
    <row r="33" spans="2:19" x14ac:dyDescent="0.2">
      <c r="B33" s="98"/>
      <c r="C33" s="99"/>
      <c r="D33" s="99"/>
      <c r="E33" s="99"/>
      <c r="F33" s="99"/>
      <c r="G33" s="99"/>
      <c r="H33" s="99"/>
      <c r="I33" s="99"/>
      <c r="J33" s="99"/>
      <c r="K33" s="99"/>
      <c r="L33" s="99"/>
      <c r="M33" s="99"/>
      <c r="N33" s="100"/>
      <c r="S33" s="53"/>
    </row>
    <row r="34" spans="2:19" x14ac:dyDescent="0.2">
      <c r="B34" s="98"/>
      <c r="C34" s="99"/>
      <c r="D34" s="99"/>
      <c r="E34" s="99"/>
      <c r="F34" s="99"/>
      <c r="G34" s="99"/>
      <c r="H34" s="99"/>
      <c r="I34" s="99"/>
      <c r="J34" s="99"/>
      <c r="K34" s="99"/>
      <c r="L34" s="99"/>
      <c r="M34" s="99"/>
      <c r="N34" s="100"/>
      <c r="S34" s="53"/>
    </row>
    <row r="35" spans="2:19" x14ac:dyDescent="0.2">
      <c r="B35" s="98"/>
      <c r="C35" s="99"/>
      <c r="D35" s="99"/>
      <c r="E35" s="99"/>
      <c r="F35" s="99"/>
      <c r="G35" s="99"/>
      <c r="H35" s="99"/>
      <c r="I35" s="99"/>
      <c r="J35" s="99"/>
      <c r="K35" s="99"/>
      <c r="L35" s="99"/>
      <c r="M35" s="99"/>
      <c r="N35" s="100"/>
      <c r="S35" s="53"/>
    </row>
    <row r="36" spans="2:19" x14ac:dyDescent="0.2">
      <c r="B36" s="98"/>
      <c r="C36" s="99"/>
      <c r="D36" s="99"/>
      <c r="E36" s="99"/>
      <c r="F36" s="99"/>
      <c r="G36" s="99"/>
      <c r="H36" s="99"/>
      <c r="I36" s="99"/>
      <c r="J36" s="99"/>
      <c r="K36" s="99"/>
      <c r="L36" s="99"/>
      <c r="M36" s="99"/>
      <c r="N36" s="100"/>
      <c r="S36" s="53"/>
    </row>
    <row r="37" spans="2:19" x14ac:dyDescent="0.2">
      <c r="B37" s="98"/>
      <c r="C37" s="99"/>
      <c r="D37" s="99"/>
      <c r="E37" s="99"/>
      <c r="F37" s="99"/>
      <c r="G37" s="99"/>
      <c r="H37" s="99"/>
      <c r="I37" s="99"/>
      <c r="J37" s="99"/>
      <c r="K37" s="99"/>
      <c r="L37" s="99"/>
      <c r="M37" s="99"/>
      <c r="N37" s="100"/>
      <c r="S37" s="53"/>
    </row>
    <row r="38" spans="2:19" ht="15.75" thickBot="1" x14ac:dyDescent="0.25">
      <c r="B38" s="101"/>
      <c r="C38" s="102"/>
      <c r="D38" s="102"/>
      <c r="E38" s="102"/>
      <c r="F38" s="102"/>
      <c r="G38" s="102"/>
      <c r="H38" s="102"/>
      <c r="I38" s="102"/>
      <c r="J38" s="102"/>
      <c r="K38" s="102"/>
      <c r="L38" s="102"/>
      <c r="M38" s="102"/>
      <c r="N38" s="103"/>
      <c r="S38" s="53"/>
    </row>
    <row r="39" spans="2:19" x14ac:dyDescent="0.2">
      <c r="S39" s="53"/>
    </row>
    <row r="40" spans="2:19" x14ac:dyDescent="0.2">
      <c r="S40" s="53"/>
    </row>
    <row r="41" spans="2:19" x14ac:dyDescent="0.2">
      <c r="S41" s="53"/>
    </row>
    <row r="42" spans="2:19" x14ac:dyDescent="0.2">
      <c r="S42" s="53"/>
    </row>
    <row r="43" spans="2:19" x14ac:dyDescent="0.2">
      <c r="S43" s="53"/>
    </row>
    <row r="44" spans="2:19" x14ac:dyDescent="0.2">
      <c r="S44" s="53"/>
    </row>
    <row r="45" spans="2:19" x14ac:dyDescent="0.2">
      <c r="S45" s="53"/>
    </row>
    <row r="46" spans="2:19" x14ac:dyDescent="0.2">
      <c r="S46" s="53"/>
    </row>
    <row r="47" spans="2:19" x14ac:dyDescent="0.2">
      <c r="S47" s="53"/>
    </row>
    <row r="48" spans="2:19" x14ac:dyDescent="0.2">
      <c r="S48" s="53"/>
    </row>
    <row r="49" spans="19:19" x14ac:dyDescent="0.2">
      <c r="S49" s="53"/>
    </row>
    <row r="50" spans="19:19" x14ac:dyDescent="0.2">
      <c r="S50" s="53"/>
    </row>
    <row r="51" spans="19:19" x14ac:dyDescent="0.2">
      <c r="S51" s="53"/>
    </row>
    <row r="52" spans="19:19" x14ac:dyDescent="0.2">
      <c r="S52" s="53"/>
    </row>
    <row r="53" spans="19:19" x14ac:dyDescent="0.2">
      <c r="S53" s="53"/>
    </row>
    <row r="54" spans="19:19" x14ac:dyDescent="0.2">
      <c r="S54" s="53"/>
    </row>
    <row r="55" spans="19:19" x14ac:dyDescent="0.2">
      <c r="S55" s="53"/>
    </row>
    <row r="56" spans="19:19" x14ac:dyDescent="0.2">
      <c r="S56" s="53"/>
    </row>
    <row r="57" spans="19:19" x14ac:dyDescent="0.2">
      <c r="S57" s="53"/>
    </row>
    <row r="58" spans="19:19" x14ac:dyDescent="0.2">
      <c r="S58" s="53"/>
    </row>
    <row r="59" spans="19:19" x14ac:dyDescent="0.2">
      <c r="S59" s="53"/>
    </row>
    <row r="60" spans="19:19" x14ac:dyDescent="0.2">
      <c r="S60" s="53"/>
    </row>
    <row r="61" spans="19:19" x14ac:dyDescent="0.2">
      <c r="S61" s="53"/>
    </row>
    <row r="62" spans="19:19" x14ac:dyDescent="0.2">
      <c r="S62" s="53"/>
    </row>
    <row r="63" spans="19:19" x14ac:dyDescent="0.2">
      <c r="S63" s="53"/>
    </row>
    <row r="64" spans="19:19" x14ac:dyDescent="0.2">
      <c r="S64" s="53"/>
    </row>
    <row r="65" spans="19:19" x14ac:dyDescent="0.2">
      <c r="S65" s="53"/>
    </row>
    <row r="66" spans="19:19" x14ac:dyDescent="0.2">
      <c r="S66" s="53"/>
    </row>
    <row r="67" spans="19:19" x14ac:dyDescent="0.2">
      <c r="S67" s="53"/>
    </row>
    <row r="68" spans="19:19" x14ac:dyDescent="0.2">
      <c r="S68" s="53"/>
    </row>
    <row r="69" spans="19:19" x14ac:dyDescent="0.2">
      <c r="S69" s="53"/>
    </row>
    <row r="70" spans="19:19" x14ac:dyDescent="0.2">
      <c r="S70" s="53"/>
    </row>
    <row r="71" spans="19:19" x14ac:dyDescent="0.2">
      <c r="S71" s="53"/>
    </row>
    <row r="72" spans="19:19" x14ac:dyDescent="0.2">
      <c r="S72" s="53"/>
    </row>
    <row r="73" spans="19:19" x14ac:dyDescent="0.2">
      <c r="S73" s="53"/>
    </row>
    <row r="74" spans="19:19" x14ac:dyDescent="0.2">
      <c r="S74" s="53"/>
    </row>
    <row r="75" spans="19:19" x14ac:dyDescent="0.2">
      <c r="S75" s="53"/>
    </row>
    <row r="76" spans="19:19" x14ac:dyDescent="0.2">
      <c r="S76" s="53"/>
    </row>
    <row r="77" spans="19:19" x14ac:dyDescent="0.2">
      <c r="S77" s="53"/>
    </row>
    <row r="78" spans="19:19" x14ac:dyDescent="0.2">
      <c r="S78" s="53"/>
    </row>
    <row r="79" spans="19:19" x14ac:dyDescent="0.2">
      <c r="S79" s="53"/>
    </row>
    <row r="80" spans="19:19" x14ac:dyDescent="0.2">
      <c r="S80" s="53"/>
    </row>
    <row r="81" spans="19:19" x14ac:dyDescent="0.2">
      <c r="S81" s="53"/>
    </row>
    <row r="82" spans="19:19" x14ac:dyDescent="0.2">
      <c r="S82" s="53"/>
    </row>
    <row r="83" spans="19:19" x14ac:dyDescent="0.2">
      <c r="S83" s="53"/>
    </row>
    <row r="84" spans="19:19" x14ac:dyDescent="0.2">
      <c r="S84" s="53"/>
    </row>
    <row r="85" spans="19:19" x14ac:dyDescent="0.2">
      <c r="S85" s="53"/>
    </row>
    <row r="86" spans="19:19" x14ac:dyDescent="0.2">
      <c r="S86" s="53"/>
    </row>
    <row r="87" spans="19:19" x14ac:dyDescent="0.2">
      <c r="S87" s="53"/>
    </row>
    <row r="88" spans="19:19" x14ac:dyDescent="0.2">
      <c r="S88" s="53"/>
    </row>
    <row r="89" spans="19:19" x14ac:dyDescent="0.2">
      <c r="S89" s="53"/>
    </row>
    <row r="90" spans="19:19" x14ac:dyDescent="0.2">
      <c r="S90" s="53"/>
    </row>
    <row r="91" spans="19:19" x14ac:dyDescent="0.2">
      <c r="S91" s="53"/>
    </row>
    <row r="92" spans="19:19" x14ac:dyDescent="0.2">
      <c r="S92" s="53"/>
    </row>
    <row r="93" spans="19:19" x14ac:dyDescent="0.2">
      <c r="S93" s="53"/>
    </row>
    <row r="94" spans="19:19" x14ac:dyDescent="0.2">
      <c r="S94" s="53"/>
    </row>
    <row r="95" spans="19:19" x14ac:dyDescent="0.2">
      <c r="S95" s="53"/>
    </row>
    <row r="96" spans="19:19" x14ac:dyDescent="0.2">
      <c r="S96" s="53"/>
    </row>
    <row r="97" spans="19:19" x14ac:dyDescent="0.2">
      <c r="S97" s="53"/>
    </row>
    <row r="98" spans="19:19" x14ac:dyDescent="0.2">
      <c r="S98" s="53"/>
    </row>
    <row r="99" spans="19:19" x14ac:dyDescent="0.2">
      <c r="S99" s="53"/>
    </row>
    <row r="100" spans="19:19" x14ac:dyDescent="0.2">
      <c r="S100" s="53"/>
    </row>
    <row r="101" spans="19:19" x14ac:dyDescent="0.2">
      <c r="S101" s="53"/>
    </row>
    <row r="102" spans="19:19" x14ac:dyDescent="0.2">
      <c r="S102" s="53"/>
    </row>
    <row r="103" spans="19:19" x14ac:dyDescent="0.2">
      <c r="S103" s="53"/>
    </row>
    <row r="104" spans="19:19" x14ac:dyDescent="0.2">
      <c r="S104" s="53"/>
    </row>
    <row r="105" spans="19:19" x14ac:dyDescent="0.2">
      <c r="S105" s="53"/>
    </row>
    <row r="106" spans="19:19" x14ac:dyDescent="0.2">
      <c r="S106" s="53"/>
    </row>
    <row r="107" spans="19:19" x14ac:dyDescent="0.2">
      <c r="S107" s="53"/>
    </row>
    <row r="108" spans="19:19" x14ac:dyDescent="0.2">
      <c r="S108" s="53"/>
    </row>
    <row r="109" spans="19:19" x14ac:dyDescent="0.2">
      <c r="S109" s="53"/>
    </row>
    <row r="110" spans="19:19" x14ac:dyDescent="0.2">
      <c r="S110" s="53"/>
    </row>
    <row r="111" spans="19:19" x14ac:dyDescent="0.2">
      <c r="S111" s="53"/>
    </row>
    <row r="112" spans="19:19" x14ac:dyDescent="0.2">
      <c r="S112" s="53"/>
    </row>
    <row r="113" spans="19:19" x14ac:dyDescent="0.2">
      <c r="S113" s="53"/>
    </row>
    <row r="114" spans="19:19" x14ac:dyDescent="0.2">
      <c r="S114" s="53"/>
    </row>
    <row r="115" spans="19:19" x14ac:dyDescent="0.2">
      <c r="S115" s="53"/>
    </row>
    <row r="116" spans="19:19" x14ac:dyDescent="0.2">
      <c r="S116" s="53"/>
    </row>
    <row r="117" spans="19:19" x14ac:dyDescent="0.2">
      <c r="S117" s="53"/>
    </row>
    <row r="118" spans="19:19" x14ac:dyDescent="0.2">
      <c r="S118" s="53"/>
    </row>
    <row r="119" spans="19:19" x14ac:dyDescent="0.2">
      <c r="S119" s="53"/>
    </row>
    <row r="120" spans="19:19" x14ac:dyDescent="0.2">
      <c r="S120" s="53"/>
    </row>
    <row r="121" spans="19:19" x14ac:dyDescent="0.2">
      <c r="S121" s="53"/>
    </row>
    <row r="122" spans="19:19" x14ac:dyDescent="0.2">
      <c r="S122" s="53"/>
    </row>
    <row r="123" spans="19:19" x14ac:dyDescent="0.2">
      <c r="S123" s="53"/>
    </row>
    <row r="124" spans="19:19" x14ac:dyDescent="0.2">
      <c r="S124" s="53"/>
    </row>
    <row r="125" spans="19:19" x14ac:dyDescent="0.2">
      <c r="S125" s="53"/>
    </row>
    <row r="126" spans="19:19" x14ac:dyDescent="0.2">
      <c r="S126" s="53"/>
    </row>
    <row r="127" spans="19:19" x14ac:dyDescent="0.2">
      <c r="S127" s="53"/>
    </row>
    <row r="128" spans="19:19" x14ac:dyDescent="0.2">
      <c r="S128" s="53"/>
    </row>
    <row r="129" spans="19:19" x14ac:dyDescent="0.2">
      <c r="S129" s="53"/>
    </row>
    <row r="130" spans="19:19" x14ac:dyDescent="0.2">
      <c r="S130" s="53"/>
    </row>
    <row r="131" spans="19:19" x14ac:dyDescent="0.2">
      <c r="S131" s="53"/>
    </row>
    <row r="132" spans="19:19" x14ac:dyDescent="0.2">
      <c r="S132" s="53"/>
    </row>
    <row r="133" spans="19:19" x14ac:dyDescent="0.2">
      <c r="S133" s="53"/>
    </row>
    <row r="134" spans="19:19" x14ac:dyDescent="0.2">
      <c r="S134" s="53"/>
    </row>
    <row r="135" spans="19:19" x14ac:dyDescent="0.2">
      <c r="S135" s="53"/>
    </row>
    <row r="136" spans="19:19" x14ac:dyDescent="0.2">
      <c r="S136" s="53"/>
    </row>
    <row r="137" spans="19:19" x14ac:dyDescent="0.2">
      <c r="S137" s="53"/>
    </row>
    <row r="138" spans="19:19" x14ac:dyDescent="0.2">
      <c r="S138" s="53"/>
    </row>
    <row r="139" spans="19:19" x14ac:dyDescent="0.2">
      <c r="S139" s="53"/>
    </row>
    <row r="140" spans="19:19" x14ac:dyDescent="0.2">
      <c r="S140" s="53"/>
    </row>
    <row r="141" spans="19:19" x14ac:dyDescent="0.2">
      <c r="S141" s="53"/>
    </row>
    <row r="142" spans="19:19" x14ac:dyDescent="0.2">
      <c r="S142" s="53"/>
    </row>
    <row r="143" spans="19:19" x14ac:dyDescent="0.2">
      <c r="S143" s="53"/>
    </row>
    <row r="144" spans="19:19" x14ac:dyDescent="0.2">
      <c r="S144" s="53"/>
    </row>
    <row r="145" spans="19:19" x14ac:dyDescent="0.2">
      <c r="S145" s="53"/>
    </row>
    <row r="146" spans="19:19" x14ac:dyDescent="0.2">
      <c r="S146" s="53"/>
    </row>
    <row r="147" spans="19:19" x14ac:dyDescent="0.2">
      <c r="S147" s="53"/>
    </row>
    <row r="148" spans="19:19" x14ac:dyDescent="0.2">
      <c r="S148" s="53"/>
    </row>
    <row r="149" spans="19:19" x14ac:dyDescent="0.2">
      <c r="S149" s="53"/>
    </row>
    <row r="150" spans="19:19" x14ac:dyDescent="0.2">
      <c r="S150" s="53"/>
    </row>
    <row r="151" spans="19:19" x14ac:dyDescent="0.2">
      <c r="S151" s="53"/>
    </row>
    <row r="152" spans="19:19" x14ac:dyDescent="0.2">
      <c r="S152" s="53"/>
    </row>
    <row r="153" spans="19:19" x14ac:dyDescent="0.2">
      <c r="S153" s="53"/>
    </row>
    <row r="154" spans="19:19" x14ac:dyDescent="0.2">
      <c r="S154" s="53"/>
    </row>
    <row r="155" spans="19:19" x14ac:dyDescent="0.2">
      <c r="S155" s="53"/>
    </row>
    <row r="156" spans="19:19" x14ac:dyDescent="0.2">
      <c r="S156" s="53"/>
    </row>
    <row r="157" spans="19:19" x14ac:dyDescent="0.2">
      <c r="S157" s="53"/>
    </row>
    <row r="158" spans="19:19" x14ac:dyDescent="0.2">
      <c r="S158" s="53"/>
    </row>
    <row r="159" spans="19:19" x14ac:dyDescent="0.2">
      <c r="S159" s="53"/>
    </row>
    <row r="160" spans="19:19" x14ac:dyDescent="0.2">
      <c r="S160" s="53"/>
    </row>
    <row r="161" spans="19:19" x14ac:dyDescent="0.2">
      <c r="S161" s="53"/>
    </row>
    <row r="162" spans="19:19" x14ac:dyDescent="0.2">
      <c r="S162" s="53"/>
    </row>
    <row r="163" spans="19:19" x14ac:dyDescent="0.2">
      <c r="S163" s="53"/>
    </row>
    <row r="164" spans="19:19" x14ac:dyDescent="0.2">
      <c r="S164" s="53"/>
    </row>
    <row r="165" spans="19:19" x14ac:dyDescent="0.2">
      <c r="S165" s="53"/>
    </row>
    <row r="166" spans="19:19" x14ac:dyDescent="0.2">
      <c r="S166" s="53"/>
    </row>
    <row r="167" spans="19:19" x14ac:dyDescent="0.2">
      <c r="S167" s="53"/>
    </row>
    <row r="168" spans="19:19" x14ac:dyDescent="0.2">
      <c r="S168" s="53"/>
    </row>
    <row r="169" spans="19:19" x14ac:dyDescent="0.2">
      <c r="S169" s="53"/>
    </row>
    <row r="170" spans="19:19" x14ac:dyDescent="0.2">
      <c r="S170" s="53"/>
    </row>
    <row r="171" spans="19:19" x14ac:dyDescent="0.2">
      <c r="S171" s="53"/>
    </row>
    <row r="172" spans="19:19" x14ac:dyDescent="0.2">
      <c r="S172" s="53"/>
    </row>
    <row r="173" spans="19:19" x14ac:dyDescent="0.2">
      <c r="S173" s="53"/>
    </row>
    <row r="174" spans="19:19" x14ac:dyDescent="0.2">
      <c r="S174" s="53"/>
    </row>
    <row r="175" spans="19:19" x14ac:dyDescent="0.2">
      <c r="S175" s="53"/>
    </row>
    <row r="176" spans="19:19" x14ac:dyDescent="0.2">
      <c r="S176" s="53"/>
    </row>
    <row r="177" spans="19:19" x14ac:dyDescent="0.2">
      <c r="S177" s="53"/>
    </row>
    <row r="178" spans="19:19" x14ac:dyDescent="0.2">
      <c r="S178" s="53"/>
    </row>
    <row r="179" spans="19:19" x14ac:dyDescent="0.2">
      <c r="S179" s="53"/>
    </row>
    <row r="180" spans="19:19" x14ac:dyDescent="0.2">
      <c r="S180" s="53"/>
    </row>
    <row r="181" spans="19:19" x14ac:dyDescent="0.2">
      <c r="S181" s="53"/>
    </row>
    <row r="182" spans="19:19" x14ac:dyDescent="0.2">
      <c r="S182" s="53"/>
    </row>
    <row r="183" spans="19:19" x14ac:dyDescent="0.2">
      <c r="S183" s="53"/>
    </row>
    <row r="184" spans="19:19" x14ac:dyDescent="0.2">
      <c r="S184" s="53"/>
    </row>
    <row r="185" spans="19:19" x14ac:dyDescent="0.2">
      <c r="S185" s="53"/>
    </row>
    <row r="186" spans="19:19" x14ac:dyDescent="0.2">
      <c r="S186" s="53"/>
    </row>
    <row r="187" spans="19:19" x14ac:dyDescent="0.2">
      <c r="S187" s="53"/>
    </row>
    <row r="188" spans="19:19" x14ac:dyDescent="0.2">
      <c r="S188" s="53"/>
    </row>
    <row r="189" spans="19:19" x14ac:dyDescent="0.2">
      <c r="S189" s="53"/>
    </row>
    <row r="190" spans="19:19" x14ac:dyDescent="0.2">
      <c r="S190" s="53"/>
    </row>
    <row r="191" spans="19:19" x14ac:dyDescent="0.2">
      <c r="S191" s="53"/>
    </row>
    <row r="192" spans="19:19" x14ac:dyDescent="0.2">
      <c r="S192" s="53"/>
    </row>
    <row r="193" spans="19:19" x14ac:dyDescent="0.2">
      <c r="S193" s="53"/>
    </row>
    <row r="194" spans="19:19" x14ac:dyDescent="0.2">
      <c r="S194" s="53"/>
    </row>
    <row r="195" spans="19:19" x14ac:dyDescent="0.2">
      <c r="S195" s="53"/>
    </row>
    <row r="196" spans="19:19" x14ac:dyDescent="0.2">
      <c r="S196" s="53"/>
    </row>
    <row r="197" spans="19:19" x14ac:dyDescent="0.2">
      <c r="S197" s="53"/>
    </row>
    <row r="198" spans="19:19" x14ac:dyDescent="0.2">
      <c r="S198" s="53"/>
    </row>
    <row r="199" spans="19:19" x14ac:dyDescent="0.2">
      <c r="S199" s="53"/>
    </row>
    <row r="200" spans="19:19" x14ac:dyDescent="0.2">
      <c r="S200" s="53"/>
    </row>
    <row r="201" spans="19:19" x14ac:dyDescent="0.2">
      <c r="S201" s="53"/>
    </row>
    <row r="202" spans="19:19" x14ac:dyDescent="0.2">
      <c r="S202" s="53"/>
    </row>
    <row r="203" spans="19:19" x14ac:dyDescent="0.2">
      <c r="S203" s="53"/>
    </row>
    <row r="204" spans="19:19" x14ac:dyDescent="0.2">
      <c r="S204" s="53"/>
    </row>
    <row r="205" spans="19:19" x14ac:dyDescent="0.2">
      <c r="S205" s="53"/>
    </row>
    <row r="206" spans="19:19" x14ac:dyDescent="0.2">
      <c r="S206" s="53"/>
    </row>
    <row r="207" spans="19:19" x14ac:dyDescent="0.2">
      <c r="S207" s="53"/>
    </row>
    <row r="208" spans="19:19" x14ac:dyDescent="0.2">
      <c r="S208" s="53"/>
    </row>
    <row r="209" spans="19:19" x14ac:dyDescent="0.2">
      <c r="S209" s="53"/>
    </row>
    <row r="210" spans="19:19" x14ac:dyDescent="0.2">
      <c r="S210" s="53"/>
    </row>
    <row r="211" spans="19:19" x14ac:dyDescent="0.2">
      <c r="S211" s="53"/>
    </row>
    <row r="212" spans="19:19" x14ac:dyDescent="0.2">
      <c r="S212" s="53"/>
    </row>
    <row r="213" spans="19:19" x14ac:dyDescent="0.2">
      <c r="S213" s="53"/>
    </row>
    <row r="214" spans="19:19" x14ac:dyDescent="0.2">
      <c r="S214" s="53"/>
    </row>
    <row r="215" spans="19:19" x14ac:dyDescent="0.2">
      <c r="S215" s="53"/>
    </row>
    <row r="216" spans="19:19" x14ac:dyDescent="0.2">
      <c r="S216" s="53"/>
    </row>
    <row r="217" spans="19:19" x14ac:dyDescent="0.2">
      <c r="S217" s="53"/>
    </row>
    <row r="218" spans="19:19" x14ac:dyDescent="0.2">
      <c r="S218" s="53"/>
    </row>
    <row r="219" spans="19:19" x14ac:dyDescent="0.2">
      <c r="S219" s="53"/>
    </row>
    <row r="220" spans="19:19" x14ac:dyDescent="0.2">
      <c r="S220" s="53"/>
    </row>
    <row r="221" spans="19:19" x14ac:dyDescent="0.2">
      <c r="S221" s="53"/>
    </row>
    <row r="222" spans="19:19" x14ac:dyDescent="0.2">
      <c r="S222" s="53"/>
    </row>
    <row r="223" spans="19:19" x14ac:dyDescent="0.2">
      <c r="S223" s="53"/>
    </row>
    <row r="224" spans="19:19" x14ac:dyDescent="0.2">
      <c r="S224" s="53"/>
    </row>
    <row r="225" spans="19:19" x14ac:dyDescent="0.2">
      <c r="S225" s="53"/>
    </row>
    <row r="226" spans="19:19" x14ac:dyDescent="0.2">
      <c r="S226" s="53"/>
    </row>
    <row r="227" spans="19:19" x14ac:dyDescent="0.2">
      <c r="S227" s="53"/>
    </row>
    <row r="228" spans="19:19" x14ac:dyDescent="0.2">
      <c r="S228" s="53"/>
    </row>
    <row r="229" spans="19:19" x14ac:dyDescent="0.2">
      <c r="S229" s="53"/>
    </row>
    <row r="230" spans="19:19" x14ac:dyDescent="0.2">
      <c r="S230" s="53"/>
    </row>
    <row r="231" spans="19:19" x14ac:dyDescent="0.2">
      <c r="S231" s="53"/>
    </row>
    <row r="232" spans="19:19" x14ac:dyDescent="0.2">
      <c r="S232" s="53"/>
    </row>
    <row r="233" spans="19:19" x14ac:dyDescent="0.2">
      <c r="S233" s="53"/>
    </row>
    <row r="234" spans="19:19" x14ac:dyDescent="0.2">
      <c r="S234" s="53"/>
    </row>
    <row r="235" spans="19:19" x14ac:dyDescent="0.2">
      <c r="S235" s="53"/>
    </row>
    <row r="236" spans="19:19" x14ac:dyDescent="0.2">
      <c r="S236" s="53"/>
    </row>
    <row r="237" spans="19:19" x14ac:dyDescent="0.2">
      <c r="S237" s="53"/>
    </row>
    <row r="238" spans="19:19" x14ac:dyDescent="0.2">
      <c r="S238" s="53"/>
    </row>
    <row r="239" spans="19:19" x14ac:dyDescent="0.2">
      <c r="S239" s="53"/>
    </row>
    <row r="240" spans="19:19" x14ac:dyDescent="0.2">
      <c r="S240" s="53"/>
    </row>
    <row r="241" spans="19:19" x14ac:dyDescent="0.2">
      <c r="S241" s="53"/>
    </row>
    <row r="242" spans="19:19" x14ac:dyDescent="0.2">
      <c r="S242" s="53"/>
    </row>
    <row r="243" spans="19:19" x14ac:dyDescent="0.2">
      <c r="S243" s="53"/>
    </row>
    <row r="244" spans="19:19" x14ac:dyDescent="0.2">
      <c r="S244" s="53"/>
    </row>
    <row r="245" spans="19:19" x14ac:dyDescent="0.2">
      <c r="S245" s="53"/>
    </row>
    <row r="246" spans="19:19" x14ac:dyDescent="0.2">
      <c r="S246" s="53"/>
    </row>
    <row r="247" spans="19:19" x14ac:dyDescent="0.2">
      <c r="S247" s="53"/>
    </row>
    <row r="248" spans="19:19" x14ac:dyDescent="0.2">
      <c r="S248" s="53"/>
    </row>
    <row r="249" spans="19:19" x14ac:dyDescent="0.2">
      <c r="S249" s="53"/>
    </row>
    <row r="250" spans="19:19" x14ac:dyDescent="0.2">
      <c r="S250" s="53"/>
    </row>
    <row r="251" spans="19:19" x14ac:dyDescent="0.2">
      <c r="S251" s="53"/>
    </row>
    <row r="252" spans="19:19" x14ac:dyDescent="0.2">
      <c r="S252" s="53"/>
    </row>
    <row r="253" spans="19:19" x14ac:dyDescent="0.2">
      <c r="S253" s="53"/>
    </row>
    <row r="254" spans="19:19" x14ac:dyDescent="0.2">
      <c r="S254" s="53"/>
    </row>
    <row r="255" spans="19:19" x14ac:dyDescent="0.2">
      <c r="S255" s="53"/>
    </row>
    <row r="256" spans="19:19" x14ac:dyDescent="0.2">
      <c r="S256" s="53"/>
    </row>
    <row r="257" spans="19:19" x14ac:dyDescent="0.2">
      <c r="S257" s="53"/>
    </row>
    <row r="258" spans="19:19" x14ac:dyDescent="0.2">
      <c r="S258" s="53"/>
    </row>
    <row r="259" spans="19:19" x14ac:dyDescent="0.2">
      <c r="S259" s="53"/>
    </row>
    <row r="260" spans="19:19" x14ac:dyDescent="0.2">
      <c r="S260" s="53"/>
    </row>
    <row r="261" spans="19:19" x14ac:dyDescent="0.2">
      <c r="S261" s="53"/>
    </row>
    <row r="262" spans="19:19" x14ac:dyDescent="0.2">
      <c r="S262" s="53"/>
    </row>
    <row r="263" spans="19:19" x14ac:dyDescent="0.2">
      <c r="S263" s="53"/>
    </row>
    <row r="264" spans="19:19" x14ac:dyDescent="0.2">
      <c r="S264" s="53"/>
    </row>
    <row r="265" spans="19:19" x14ac:dyDescent="0.2">
      <c r="S265" s="53"/>
    </row>
    <row r="266" spans="19:19" x14ac:dyDescent="0.2">
      <c r="S266" s="53"/>
    </row>
    <row r="267" spans="19:19" x14ac:dyDescent="0.2">
      <c r="S267" s="53"/>
    </row>
    <row r="268" spans="19:19" x14ac:dyDescent="0.2">
      <c r="S268" s="53"/>
    </row>
    <row r="269" spans="19:19" x14ac:dyDescent="0.2">
      <c r="S269" s="53"/>
    </row>
    <row r="270" spans="19:19" x14ac:dyDescent="0.2">
      <c r="S270" s="53"/>
    </row>
    <row r="271" spans="19:19" x14ac:dyDescent="0.2">
      <c r="S271" s="53"/>
    </row>
    <row r="272" spans="19:19" x14ac:dyDescent="0.2">
      <c r="S272" s="53"/>
    </row>
    <row r="273" spans="19:19" x14ac:dyDescent="0.2">
      <c r="S273" s="53"/>
    </row>
    <row r="274" spans="19:19" x14ac:dyDescent="0.2">
      <c r="S274" s="53"/>
    </row>
    <row r="275" spans="19:19" x14ac:dyDescent="0.2">
      <c r="S275" s="53"/>
    </row>
    <row r="276" spans="19:19" x14ac:dyDescent="0.2">
      <c r="S276" s="53"/>
    </row>
    <row r="277" spans="19:19" x14ac:dyDescent="0.2">
      <c r="S277" s="53"/>
    </row>
    <row r="278" spans="19:19" x14ac:dyDescent="0.2">
      <c r="S278" s="53"/>
    </row>
    <row r="279" spans="19:19" x14ac:dyDescent="0.2">
      <c r="S279" s="53"/>
    </row>
    <row r="280" spans="19:19" x14ac:dyDescent="0.2">
      <c r="S280" s="53"/>
    </row>
    <row r="281" spans="19:19" x14ac:dyDescent="0.2">
      <c r="S281" s="53"/>
    </row>
    <row r="282" spans="19:19" x14ac:dyDescent="0.2">
      <c r="S282" s="53"/>
    </row>
    <row r="283" spans="19:19" x14ac:dyDescent="0.2">
      <c r="S283" s="53"/>
    </row>
    <row r="284" spans="19:19" x14ac:dyDescent="0.2">
      <c r="S284" s="53"/>
    </row>
    <row r="285" spans="19:19" x14ac:dyDescent="0.2">
      <c r="S285" s="53"/>
    </row>
    <row r="286" spans="19:19" x14ac:dyDescent="0.2">
      <c r="S286" s="53"/>
    </row>
    <row r="287" spans="19:19" x14ac:dyDescent="0.2">
      <c r="S287" s="53"/>
    </row>
    <row r="288" spans="19:19" x14ac:dyDescent="0.2">
      <c r="S288" s="53"/>
    </row>
    <row r="289" spans="19:19" x14ac:dyDescent="0.2">
      <c r="S289" s="53"/>
    </row>
    <row r="290" spans="19:19" x14ac:dyDescent="0.2">
      <c r="S290" s="53"/>
    </row>
    <row r="291" spans="19:19" x14ac:dyDescent="0.2">
      <c r="S291" s="53"/>
    </row>
    <row r="292" spans="19:19" x14ac:dyDescent="0.2">
      <c r="S292" s="53"/>
    </row>
    <row r="293" spans="19:19" x14ac:dyDescent="0.2">
      <c r="S293" s="53"/>
    </row>
    <row r="294" spans="19:19" x14ac:dyDescent="0.2">
      <c r="S294" s="53"/>
    </row>
    <row r="295" spans="19:19" x14ac:dyDescent="0.2">
      <c r="S295" s="53"/>
    </row>
    <row r="296" spans="19:19" x14ac:dyDescent="0.2">
      <c r="S296" s="53"/>
    </row>
    <row r="297" spans="19:19" x14ac:dyDescent="0.2">
      <c r="S297" s="53"/>
    </row>
    <row r="298" spans="19:19" x14ac:dyDescent="0.2">
      <c r="S298" s="53"/>
    </row>
    <row r="299" spans="19:19" x14ac:dyDescent="0.2">
      <c r="S299" s="53"/>
    </row>
    <row r="300" spans="19:19" x14ac:dyDescent="0.2">
      <c r="S300" s="53"/>
    </row>
    <row r="301" spans="19:19" x14ac:dyDescent="0.2">
      <c r="S301" s="53"/>
    </row>
    <row r="302" spans="19:19" x14ac:dyDescent="0.2">
      <c r="S302" s="53"/>
    </row>
    <row r="303" spans="19:19" x14ac:dyDescent="0.2">
      <c r="S303" s="53"/>
    </row>
    <row r="304" spans="19:19" x14ac:dyDescent="0.2">
      <c r="S304" s="53"/>
    </row>
    <row r="305" spans="19:19" x14ac:dyDescent="0.2">
      <c r="S305" s="53"/>
    </row>
    <row r="306" spans="19:19" x14ac:dyDescent="0.2">
      <c r="S306" s="53"/>
    </row>
    <row r="307" spans="19:19" x14ac:dyDescent="0.2">
      <c r="S307" s="53"/>
    </row>
    <row r="308" spans="19:19" x14ac:dyDescent="0.2">
      <c r="S308" s="53"/>
    </row>
    <row r="309" spans="19:19" x14ac:dyDescent="0.2">
      <c r="S309" s="53"/>
    </row>
    <row r="310" spans="19:19" x14ac:dyDescent="0.2">
      <c r="S310" s="53"/>
    </row>
    <row r="311" spans="19:19" x14ac:dyDescent="0.2">
      <c r="S311" s="53"/>
    </row>
    <row r="312" spans="19:19" x14ac:dyDescent="0.2">
      <c r="S312" s="53"/>
    </row>
    <row r="313" spans="19:19" x14ac:dyDescent="0.2">
      <c r="S313" s="53"/>
    </row>
    <row r="314" spans="19:19" x14ac:dyDescent="0.2">
      <c r="S314" s="53"/>
    </row>
    <row r="315" spans="19:19" x14ac:dyDescent="0.2">
      <c r="S315" s="53"/>
    </row>
    <row r="316" spans="19:19" x14ac:dyDescent="0.2">
      <c r="S316" s="53"/>
    </row>
    <row r="317" spans="19:19" x14ac:dyDescent="0.2">
      <c r="S317" s="53"/>
    </row>
    <row r="318" spans="19:19" x14ac:dyDescent="0.2">
      <c r="S318" s="53"/>
    </row>
    <row r="319" spans="19:19" x14ac:dyDescent="0.2">
      <c r="S319" s="53"/>
    </row>
    <row r="320" spans="19:19" x14ac:dyDescent="0.2">
      <c r="S320" s="53"/>
    </row>
    <row r="321" spans="19:19" x14ac:dyDescent="0.2">
      <c r="S321" s="53"/>
    </row>
    <row r="322" spans="19:19" x14ac:dyDescent="0.2">
      <c r="S322" s="53"/>
    </row>
    <row r="323" spans="19:19" x14ac:dyDescent="0.2">
      <c r="S323" s="53"/>
    </row>
    <row r="324" spans="19:19" x14ac:dyDescent="0.2">
      <c r="S324" s="53"/>
    </row>
    <row r="325" spans="19:19" x14ac:dyDescent="0.2">
      <c r="S325" s="53"/>
    </row>
    <row r="326" spans="19:19" x14ac:dyDescent="0.2">
      <c r="S326" s="53"/>
    </row>
    <row r="327" spans="19:19" x14ac:dyDescent="0.2">
      <c r="S327" s="53"/>
    </row>
    <row r="328" spans="19:19" x14ac:dyDescent="0.2">
      <c r="S328" s="53"/>
    </row>
    <row r="329" spans="19:19" x14ac:dyDescent="0.2">
      <c r="S329" s="53"/>
    </row>
    <row r="330" spans="19:19" x14ac:dyDescent="0.2">
      <c r="S330" s="53"/>
    </row>
    <row r="331" spans="19:19" x14ac:dyDescent="0.2">
      <c r="S331" s="53"/>
    </row>
    <row r="332" spans="19:19" x14ac:dyDescent="0.2">
      <c r="S332" s="53"/>
    </row>
    <row r="333" spans="19:19" x14ac:dyDescent="0.2">
      <c r="S333" s="53"/>
    </row>
    <row r="334" spans="19:19" x14ac:dyDescent="0.2">
      <c r="S334" s="53"/>
    </row>
    <row r="335" spans="19:19" x14ac:dyDescent="0.2">
      <c r="S335" s="53"/>
    </row>
    <row r="336" spans="19:19" x14ac:dyDescent="0.2">
      <c r="S336" s="53"/>
    </row>
    <row r="337" spans="19:19" x14ac:dyDescent="0.2">
      <c r="S337" s="53"/>
    </row>
    <row r="338" spans="19:19" x14ac:dyDescent="0.2">
      <c r="S338" s="53"/>
    </row>
    <row r="339" spans="19:19" x14ac:dyDescent="0.2">
      <c r="S339" s="53"/>
    </row>
    <row r="340" spans="19:19" x14ac:dyDescent="0.2">
      <c r="S340" s="53"/>
    </row>
    <row r="341" spans="19:19" x14ac:dyDescent="0.2">
      <c r="S341" s="53"/>
    </row>
    <row r="342" spans="19:19" x14ac:dyDescent="0.2">
      <c r="S342" s="53"/>
    </row>
    <row r="343" spans="19:19" x14ac:dyDescent="0.2">
      <c r="S343" s="53"/>
    </row>
    <row r="344" spans="19:19" x14ac:dyDescent="0.2">
      <c r="S344" s="53"/>
    </row>
    <row r="345" spans="19:19" x14ac:dyDescent="0.2">
      <c r="S345" s="53"/>
    </row>
    <row r="346" spans="19:19" x14ac:dyDescent="0.2">
      <c r="S346" s="53"/>
    </row>
    <row r="347" spans="19:19" x14ac:dyDescent="0.2">
      <c r="S347" s="53"/>
    </row>
    <row r="348" spans="19:19" x14ac:dyDescent="0.2">
      <c r="S348" s="53"/>
    </row>
    <row r="349" spans="19:19" x14ac:dyDescent="0.2">
      <c r="S349" s="53"/>
    </row>
    <row r="350" spans="19:19" x14ac:dyDescent="0.2">
      <c r="S350" s="53"/>
    </row>
    <row r="351" spans="19:19" x14ac:dyDescent="0.2">
      <c r="S351" s="53"/>
    </row>
    <row r="352" spans="19:19" x14ac:dyDescent="0.2">
      <c r="S352" s="53"/>
    </row>
    <row r="353" spans="19:19" x14ac:dyDescent="0.2">
      <c r="S353" s="53"/>
    </row>
    <row r="354" spans="19:19" x14ac:dyDescent="0.2">
      <c r="S354" s="53"/>
    </row>
    <row r="355" spans="19:19" x14ac:dyDescent="0.2">
      <c r="S355" s="53"/>
    </row>
    <row r="356" spans="19:19" x14ac:dyDescent="0.2">
      <c r="S356" s="53"/>
    </row>
    <row r="357" spans="19:19" x14ac:dyDescent="0.2">
      <c r="S357" s="53"/>
    </row>
    <row r="358" spans="19:19" x14ac:dyDescent="0.2">
      <c r="S358" s="53"/>
    </row>
    <row r="359" spans="19:19" x14ac:dyDescent="0.2">
      <c r="S359" s="53"/>
    </row>
    <row r="360" spans="19:19" x14ac:dyDescent="0.2">
      <c r="S360" s="53"/>
    </row>
    <row r="361" spans="19:19" x14ac:dyDescent="0.2">
      <c r="S361" s="53"/>
    </row>
    <row r="362" spans="19:19" x14ac:dyDescent="0.2">
      <c r="S362" s="53"/>
    </row>
    <row r="363" spans="19:19" x14ac:dyDescent="0.2">
      <c r="S363" s="53"/>
    </row>
    <row r="364" spans="19:19" x14ac:dyDescent="0.2">
      <c r="S364" s="53"/>
    </row>
    <row r="365" spans="19:19" x14ac:dyDescent="0.2">
      <c r="S365" s="53"/>
    </row>
    <row r="366" spans="19:19" x14ac:dyDescent="0.2">
      <c r="S366" s="53"/>
    </row>
    <row r="367" spans="19:19" x14ac:dyDescent="0.2">
      <c r="S367" s="53"/>
    </row>
    <row r="368" spans="19:19" x14ac:dyDescent="0.2">
      <c r="S368" s="53"/>
    </row>
    <row r="369" spans="19:19" x14ac:dyDescent="0.2">
      <c r="S369" s="53"/>
    </row>
    <row r="370" spans="19:19" x14ac:dyDescent="0.2">
      <c r="S370" s="53"/>
    </row>
    <row r="371" spans="19:19" x14ac:dyDescent="0.2">
      <c r="S371" s="53"/>
    </row>
    <row r="372" spans="19:19" x14ac:dyDescent="0.2">
      <c r="S372" s="53"/>
    </row>
    <row r="373" spans="19:19" x14ac:dyDescent="0.2">
      <c r="S373" s="53"/>
    </row>
    <row r="374" spans="19:19" x14ac:dyDescent="0.2">
      <c r="S374" s="53"/>
    </row>
    <row r="375" spans="19:19" x14ac:dyDescent="0.2">
      <c r="S375" s="53"/>
    </row>
    <row r="376" spans="19:19" x14ac:dyDescent="0.2">
      <c r="S376" s="53"/>
    </row>
    <row r="377" spans="19:19" x14ac:dyDescent="0.2">
      <c r="S377" s="53"/>
    </row>
    <row r="378" spans="19:19" x14ac:dyDescent="0.2">
      <c r="S378" s="53"/>
    </row>
    <row r="379" spans="19:19" x14ac:dyDescent="0.2">
      <c r="S379" s="53"/>
    </row>
    <row r="380" spans="19:19" x14ac:dyDescent="0.2">
      <c r="S380" s="53"/>
    </row>
    <row r="381" spans="19:19" x14ac:dyDescent="0.2">
      <c r="S381" s="53"/>
    </row>
    <row r="382" spans="19:19" x14ac:dyDescent="0.2">
      <c r="S382" s="53"/>
    </row>
    <row r="383" spans="19:19" x14ac:dyDescent="0.2">
      <c r="S383" s="53"/>
    </row>
    <row r="384" spans="19:19" x14ac:dyDescent="0.2">
      <c r="S384" s="53"/>
    </row>
    <row r="385" spans="19:19" x14ac:dyDescent="0.2">
      <c r="S385" s="53"/>
    </row>
    <row r="386" spans="19:19" x14ac:dyDescent="0.2">
      <c r="S386" s="53"/>
    </row>
    <row r="387" spans="19:19" x14ac:dyDescent="0.2">
      <c r="S387" s="53"/>
    </row>
    <row r="388" spans="19:19" x14ac:dyDescent="0.2">
      <c r="S388" s="53"/>
    </row>
    <row r="389" spans="19:19" x14ac:dyDescent="0.2">
      <c r="S389" s="53"/>
    </row>
    <row r="390" spans="19:19" x14ac:dyDescent="0.2">
      <c r="S390" s="53"/>
    </row>
    <row r="391" spans="19:19" x14ac:dyDescent="0.2">
      <c r="S391" s="53"/>
    </row>
    <row r="392" spans="19:19" x14ac:dyDescent="0.2">
      <c r="S392" s="53"/>
    </row>
    <row r="393" spans="19:19" x14ac:dyDescent="0.2">
      <c r="S393" s="53"/>
    </row>
    <row r="394" spans="19:19" x14ac:dyDescent="0.2">
      <c r="S394" s="53"/>
    </row>
    <row r="395" spans="19:19" x14ac:dyDescent="0.2">
      <c r="S395" s="53"/>
    </row>
    <row r="396" spans="19:19" x14ac:dyDescent="0.2">
      <c r="S396" s="53"/>
    </row>
    <row r="397" spans="19:19" x14ac:dyDescent="0.2">
      <c r="S397" s="53"/>
    </row>
    <row r="398" spans="19:19" x14ac:dyDescent="0.2">
      <c r="S398" s="53"/>
    </row>
    <row r="399" spans="19:19" x14ac:dyDescent="0.2">
      <c r="S399" s="53"/>
    </row>
    <row r="400" spans="19:19" x14ac:dyDescent="0.2">
      <c r="S400" s="53"/>
    </row>
    <row r="401" spans="19:19" x14ac:dyDescent="0.2">
      <c r="S401" s="53"/>
    </row>
    <row r="402" spans="19:19" x14ac:dyDescent="0.2">
      <c r="S402" s="53"/>
    </row>
    <row r="403" spans="19:19" x14ac:dyDescent="0.2">
      <c r="S403" s="53"/>
    </row>
    <row r="404" spans="19:19" x14ac:dyDescent="0.2">
      <c r="S404" s="53"/>
    </row>
    <row r="405" spans="19:19" x14ac:dyDescent="0.2">
      <c r="S405" s="53"/>
    </row>
    <row r="406" spans="19:19" x14ac:dyDescent="0.2">
      <c r="S406" s="53"/>
    </row>
    <row r="407" spans="19:19" x14ac:dyDescent="0.2">
      <c r="S407" s="53"/>
    </row>
    <row r="408" spans="19:19" x14ac:dyDescent="0.2">
      <c r="S408" s="53"/>
    </row>
    <row r="409" spans="19:19" x14ac:dyDescent="0.2">
      <c r="S409" s="53"/>
    </row>
    <row r="410" spans="19:19" x14ac:dyDescent="0.2">
      <c r="S410" s="53"/>
    </row>
    <row r="411" spans="19:19" x14ac:dyDescent="0.2">
      <c r="S411" s="53"/>
    </row>
    <row r="412" spans="19:19" x14ac:dyDescent="0.2">
      <c r="S412" s="53"/>
    </row>
    <row r="413" spans="19:19" x14ac:dyDescent="0.2">
      <c r="S413" s="53"/>
    </row>
    <row r="414" spans="19:19" x14ac:dyDescent="0.2">
      <c r="S414" s="53"/>
    </row>
    <row r="415" spans="19:19" x14ac:dyDescent="0.2">
      <c r="S415" s="53"/>
    </row>
    <row r="416" spans="19:19" x14ac:dyDescent="0.2">
      <c r="S416" s="53"/>
    </row>
    <row r="417" spans="19:19" x14ac:dyDescent="0.2">
      <c r="S417" s="53"/>
    </row>
    <row r="418" spans="19:19" x14ac:dyDescent="0.2">
      <c r="S418" s="53"/>
    </row>
    <row r="419" spans="19:19" x14ac:dyDescent="0.2">
      <c r="S419" s="53"/>
    </row>
    <row r="420" spans="19:19" x14ac:dyDescent="0.2">
      <c r="S420" s="53"/>
    </row>
    <row r="421" spans="19:19" x14ac:dyDescent="0.2">
      <c r="S421" s="53"/>
    </row>
    <row r="422" spans="19:19" x14ac:dyDescent="0.2">
      <c r="S422" s="53"/>
    </row>
    <row r="423" spans="19:19" x14ac:dyDescent="0.2">
      <c r="S423" s="53"/>
    </row>
    <row r="424" spans="19:19" x14ac:dyDescent="0.2">
      <c r="S424" s="53"/>
    </row>
    <row r="425" spans="19:19" x14ac:dyDescent="0.2">
      <c r="S425" s="53"/>
    </row>
    <row r="426" spans="19:19" x14ac:dyDescent="0.2">
      <c r="S426" s="53"/>
    </row>
    <row r="427" spans="19:19" x14ac:dyDescent="0.2">
      <c r="S427" s="53"/>
    </row>
    <row r="428" spans="19:19" x14ac:dyDescent="0.2">
      <c r="S428" s="53"/>
    </row>
    <row r="429" spans="19:19" x14ac:dyDescent="0.2">
      <c r="S429" s="53"/>
    </row>
    <row r="430" spans="19:19" x14ac:dyDescent="0.2">
      <c r="S430" s="53"/>
    </row>
    <row r="431" spans="19:19" x14ac:dyDescent="0.2">
      <c r="S431" s="53"/>
    </row>
    <row r="432" spans="19:19" x14ac:dyDescent="0.2">
      <c r="S432" s="53"/>
    </row>
    <row r="433" spans="19:19" x14ac:dyDescent="0.2">
      <c r="S433" s="53"/>
    </row>
    <row r="434" spans="19:19" x14ac:dyDescent="0.2">
      <c r="S434" s="53"/>
    </row>
    <row r="435" spans="19:19" x14ac:dyDescent="0.2">
      <c r="S435" s="53"/>
    </row>
    <row r="436" spans="19:19" x14ac:dyDescent="0.2">
      <c r="S436" s="53"/>
    </row>
    <row r="437" spans="19:19" x14ac:dyDescent="0.2">
      <c r="S437" s="53"/>
    </row>
    <row r="438" spans="19:19" x14ac:dyDescent="0.2">
      <c r="S438" s="53"/>
    </row>
    <row r="439" spans="19:19" x14ac:dyDescent="0.2">
      <c r="S439" s="53"/>
    </row>
    <row r="440" spans="19:19" x14ac:dyDescent="0.2">
      <c r="S440" s="53"/>
    </row>
    <row r="441" spans="19:19" x14ac:dyDescent="0.2">
      <c r="S441" s="53"/>
    </row>
    <row r="442" spans="19:19" x14ac:dyDescent="0.2">
      <c r="S442" s="53"/>
    </row>
    <row r="443" spans="19:19" x14ac:dyDescent="0.2">
      <c r="S443" s="53"/>
    </row>
    <row r="444" spans="19:19" x14ac:dyDescent="0.2">
      <c r="S444" s="53"/>
    </row>
    <row r="445" spans="19:19" x14ac:dyDescent="0.2">
      <c r="S445" s="53"/>
    </row>
    <row r="446" spans="19:19" x14ac:dyDescent="0.2">
      <c r="S446" s="53"/>
    </row>
    <row r="447" spans="19:19" x14ac:dyDescent="0.2">
      <c r="S447" s="53"/>
    </row>
    <row r="448" spans="19:19" x14ac:dyDescent="0.2">
      <c r="S448" s="53"/>
    </row>
    <row r="449" spans="19:19" x14ac:dyDescent="0.2">
      <c r="S449" s="53"/>
    </row>
    <row r="450" spans="19:19" x14ac:dyDescent="0.2">
      <c r="S450" s="53"/>
    </row>
    <row r="451" spans="19:19" x14ac:dyDescent="0.2">
      <c r="S451" s="53"/>
    </row>
    <row r="452" spans="19:19" x14ac:dyDescent="0.2">
      <c r="S452" s="53"/>
    </row>
    <row r="453" spans="19:19" x14ac:dyDescent="0.2">
      <c r="S453" s="53"/>
    </row>
    <row r="454" spans="19:19" x14ac:dyDescent="0.2">
      <c r="S454" s="53"/>
    </row>
    <row r="455" spans="19:19" x14ac:dyDescent="0.2">
      <c r="S455" s="53"/>
    </row>
    <row r="456" spans="19:19" x14ac:dyDescent="0.2">
      <c r="S456" s="53"/>
    </row>
    <row r="457" spans="19:19" x14ac:dyDescent="0.2">
      <c r="S457" s="53"/>
    </row>
    <row r="458" spans="19:19" x14ac:dyDescent="0.2">
      <c r="S458" s="53"/>
    </row>
    <row r="459" spans="19:19" x14ac:dyDescent="0.2">
      <c r="S459" s="53"/>
    </row>
    <row r="460" spans="19:19" x14ac:dyDescent="0.2">
      <c r="S460" s="53"/>
    </row>
    <row r="461" spans="19:19" x14ac:dyDescent="0.2">
      <c r="S461" s="53"/>
    </row>
    <row r="462" spans="19:19" x14ac:dyDescent="0.2">
      <c r="S462" s="53"/>
    </row>
    <row r="463" spans="19:19" x14ac:dyDescent="0.2">
      <c r="S463" s="53"/>
    </row>
    <row r="464" spans="19:19" x14ac:dyDescent="0.2">
      <c r="S464" s="53"/>
    </row>
    <row r="465" spans="19:19" x14ac:dyDescent="0.2">
      <c r="S465" s="53"/>
    </row>
    <row r="466" spans="19:19" x14ac:dyDescent="0.2">
      <c r="S466" s="53"/>
    </row>
    <row r="467" spans="19:19" x14ac:dyDescent="0.2">
      <c r="S467" s="53"/>
    </row>
    <row r="468" spans="19:19" x14ac:dyDescent="0.2">
      <c r="S468" s="53"/>
    </row>
    <row r="469" spans="19:19" x14ac:dyDescent="0.2">
      <c r="S469" s="53"/>
    </row>
    <row r="470" spans="19:19" x14ac:dyDescent="0.2">
      <c r="S470" s="53"/>
    </row>
    <row r="471" spans="19:19" x14ac:dyDescent="0.2">
      <c r="S471" s="53"/>
    </row>
    <row r="472" spans="19:19" x14ac:dyDescent="0.2">
      <c r="S472" s="53"/>
    </row>
    <row r="473" spans="19:19" x14ac:dyDescent="0.2">
      <c r="S473" s="53"/>
    </row>
    <row r="474" spans="19:19" x14ac:dyDescent="0.2">
      <c r="S474" s="53"/>
    </row>
    <row r="475" spans="19:19" x14ac:dyDescent="0.2">
      <c r="S475" s="53"/>
    </row>
    <row r="476" spans="19:19" x14ac:dyDescent="0.2">
      <c r="S476" s="53"/>
    </row>
    <row r="477" spans="19:19" x14ac:dyDescent="0.2">
      <c r="S477" s="53"/>
    </row>
    <row r="478" spans="19:19" x14ac:dyDescent="0.2">
      <c r="S478" s="53"/>
    </row>
    <row r="479" spans="19:19" x14ac:dyDescent="0.2">
      <c r="S479" s="53"/>
    </row>
    <row r="480" spans="19:19" x14ac:dyDescent="0.2">
      <c r="S480" s="53"/>
    </row>
    <row r="481" spans="19:19" x14ac:dyDescent="0.2">
      <c r="S481" s="53"/>
    </row>
    <row r="482" spans="19:19" x14ac:dyDescent="0.2">
      <c r="S482" s="53"/>
    </row>
    <row r="483" spans="19:19" x14ac:dyDescent="0.2">
      <c r="S483" s="53"/>
    </row>
    <row r="484" spans="19:19" x14ac:dyDescent="0.2">
      <c r="S484" s="53"/>
    </row>
    <row r="485" spans="19:19" x14ac:dyDescent="0.2">
      <c r="S485" s="53"/>
    </row>
    <row r="486" spans="19:19" x14ac:dyDescent="0.2">
      <c r="S486" s="53"/>
    </row>
    <row r="487" spans="19:19" x14ac:dyDescent="0.2">
      <c r="S487" s="53"/>
    </row>
    <row r="488" spans="19:19" x14ac:dyDescent="0.2">
      <c r="S488" s="53"/>
    </row>
    <row r="489" spans="19:19" x14ac:dyDescent="0.2">
      <c r="S489" s="53"/>
    </row>
    <row r="490" spans="19:19" x14ac:dyDescent="0.2">
      <c r="S490" s="53"/>
    </row>
    <row r="491" spans="19:19" x14ac:dyDescent="0.2">
      <c r="S491" s="53"/>
    </row>
    <row r="492" spans="19:19" x14ac:dyDescent="0.2">
      <c r="S492" s="53"/>
    </row>
    <row r="493" spans="19:19" x14ac:dyDescent="0.2">
      <c r="S493" s="53"/>
    </row>
    <row r="494" spans="19:19" x14ac:dyDescent="0.2">
      <c r="S494" s="53"/>
    </row>
    <row r="495" spans="19:19" x14ac:dyDescent="0.2">
      <c r="S495" s="53"/>
    </row>
    <row r="496" spans="19:19" x14ac:dyDescent="0.2">
      <c r="S496" s="53"/>
    </row>
    <row r="497" spans="19:19" x14ac:dyDescent="0.2">
      <c r="S497" s="53"/>
    </row>
    <row r="498" spans="19:19" x14ac:dyDescent="0.2">
      <c r="S498" s="53"/>
    </row>
    <row r="499" spans="19:19" x14ac:dyDescent="0.2">
      <c r="S499" s="53"/>
    </row>
    <row r="500" spans="19:19" x14ac:dyDescent="0.2">
      <c r="S500" s="53"/>
    </row>
    <row r="501" spans="19:19" x14ac:dyDescent="0.2">
      <c r="S501" s="53"/>
    </row>
    <row r="502" spans="19:19" x14ac:dyDescent="0.2">
      <c r="S502" s="53"/>
    </row>
    <row r="503" spans="19:19" x14ac:dyDescent="0.2">
      <c r="S503" s="53"/>
    </row>
    <row r="504" spans="19:19" x14ac:dyDescent="0.2">
      <c r="S504" s="53"/>
    </row>
    <row r="505" spans="19:19" x14ac:dyDescent="0.2">
      <c r="S505" s="53"/>
    </row>
    <row r="506" spans="19:19" x14ac:dyDescent="0.2">
      <c r="S506" s="53"/>
    </row>
    <row r="507" spans="19:19" x14ac:dyDescent="0.2">
      <c r="S507" s="53"/>
    </row>
    <row r="508" spans="19:19" x14ac:dyDescent="0.2">
      <c r="S508" s="53"/>
    </row>
    <row r="509" spans="19:19" x14ac:dyDescent="0.2">
      <c r="S509" s="53"/>
    </row>
    <row r="510" spans="19:19" x14ac:dyDescent="0.2">
      <c r="S510" s="53"/>
    </row>
    <row r="511" spans="19:19" x14ac:dyDescent="0.2">
      <c r="S511" s="53"/>
    </row>
    <row r="512" spans="19:19" x14ac:dyDescent="0.2">
      <c r="S512" s="53"/>
    </row>
    <row r="513" spans="19:19" x14ac:dyDescent="0.2">
      <c r="S513" s="53"/>
    </row>
    <row r="514" spans="19:19" x14ac:dyDescent="0.2">
      <c r="S514" s="53"/>
    </row>
    <row r="515" spans="19:19" x14ac:dyDescent="0.2">
      <c r="S515" s="53"/>
    </row>
    <row r="516" spans="19:19" x14ac:dyDescent="0.2">
      <c r="S516" s="53"/>
    </row>
    <row r="517" spans="19:19" x14ac:dyDescent="0.2">
      <c r="S517" s="53"/>
    </row>
    <row r="518" spans="19:19" x14ac:dyDescent="0.2">
      <c r="S518" s="53"/>
    </row>
    <row r="519" spans="19:19" x14ac:dyDescent="0.2">
      <c r="S519" s="53"/>
    </row>
    <row r="520" spans="19:19" x14ac:dyDescent="0.2">
      <c r="S520" s="53"/>
    </row>
    <row r="521" spans="19:19" x14ac:dyDescent="0.2">
      <c r="S521" s="53"/>
    </row>
    <row r="522" spans="19:19" x14ac:dyDescent="0.2">
      <c r="S522" s="53"/>
    </row>
    <row r="523" spans="19:19" x14ac:dyDescent="0.2">
      <c r="S523" s="53"/>
    </row>
    <row r="524" spans="19:19" x14ac:dyDescent="0.2">
      <c r="S524" s="53"/>
    </row>
    <row r="525" spans="19:19" x14ac:dyDescent="0.2">
      <c r="S525" s="53"/>
    </row>
    <row r="526" spans="19:19" x14ac:dyDescent="0.2">
      <c r="S526" s="53"/>
    </row>
    <row r="527" spans="19:19" x14ac:dyDescent="0.2">
      <c r="S527" s="53"/>
    </row>
    <row r="528" spans="19:19" x14ac:dyDescent="0.2">
      <c r="S528" s="53"/>
    </row>
    <row r="529" spans="19:19" x14ac:dyDescent="0.2">
      <c r="S529" s="53"/>
    </row>
    <row r="530" spans="19:19" x14ac:dyDescent="0.2">
      <c r="S530" s="53"/>
    </row>
    <row r="531" spans="19:19" x14ac:dyDescent="0.2">
      <c r="S531" s="53"/>
    </row>
    <row r="532" spans="19:19" x14ac:dyDescent="0.2">
      <c r="S532" s="53"/>
    </row>
    <row r="533" spans="19:19" x14ac:dyDescent="0.2">
      <c r="S533" s="53"/>
    </row>
    <row r="534" spans="19:19" x14ac:dyDescent="0.2">
      <c r="S534" s="53"/>
    </row>
    <row r="535" spans="19:19" x14ac:dyDescent="0.2">
      <c r="S535" s="53"/>
    </row>
    <row r="536" spans="19:19" x14ac:dyDescent="0.2">
      <c r="S536" s="53"/>
    </row>
    <row r="537" spans="19:19" x14ac:dyDescent="0.2">
      <c r="S537" s="53"/>
    </row>
    <row r="538" spans="19:19" x14ac:dyDescent="0.2">
      <c r="S538" s="53"/>
    </row>
    <row r="539" spans="19:19" x14ac:dyDescent="0.2">
      <c r="S539" s="53"/>
    </row>
    <row r="540" spans="19:19" x14ac:dyDescent="0.2">
      <c r="S540" s="53"/>
    </row>
    <row r="541" spans="19:19" x14ac:dyDescent="0.2">
      <c r="S541" s="53"/>
    </row>
    <row r="542" spans="19:19" x14ac:dyDescent="0.2">
      <c r="S542" s="53"/>
    </row>
    <row r="543" spans="19:19" x14ac:dyDescent="0.2">
      <c r="S543" s="53"/>
    </row>
    <row r="544" spans="19:19" x14ac:dyDescent="0.2">
      <c r="S544" s="53"/>
    </row>
    <row r="545" spans="19:19" x14ac:dyDescent="0.2">
      <c r="S545" s="53"/>
    </row>
    <row r="546" spans="19:19" x14ac:dyDescent="0.2">
      <c r="S546" s="53"/>
    </row>
    <row r="547" spans="19:19" x14ac:dyDescent="0.2">
      <c r="S547" s="53"/>
    </row>
    <row r="548" spans="19:19" x14ac:dyDescent="0.2">
      <c r="S548" s="53"/>
    </row>
    <row r="549" spans="19:19" x14ac:dyDescent="0.2">
      <c r="S549" s="53"/>
    </row>
    <row r="550" spans="19:19" x14ac:dyDescent="0.2">
      <c r="S550" s="53"/>
    </row>
    <row r="551" spans="19:19" x14ac:dyDescent="0.2">
      <c r="S551" s="53"/>
    </row>
    <row r="552" spans="19:19" x14ac:dyDescent="0.2">
      <c r="S552" s="53"/>
    </row>
    <row r="553" spans="19:19" x14ac:dyDescent="0.2">
      <c r="S553" s="53"/>
    </row>
    <row r="554" spans="19:19" x14ac:dyDescent="0.2">
      <c r="S554" s="53"/>
    </row>
    <row r="555" spans="19:19" x14ac:dyDescent="0.2">
      <c r="S555" s="53"/>
    </row>
    <row r="556" spans="19:19" x14ac:dyDescent="0.2">
      <c r="S556" s="53"/>
    </row>
    <row r="557" spans="19:19" x14ac:dyDescent="0.2">
      <c r="S557" s="53"/>
    </row>
    <row r="558" spans="19:19" x14ac:dyDescent="0.2">
      <c r="S558" s="53"/>
    </row>
    <row r="559" spans="19:19" x14ac:dyDescent="0.2">
      <c r="S559" s="53"/>
    </row>
    <row r="560" spans="19:19" x14ac:dyDescent="0.2">
      <c r="S560" s="53"/>
    </row>
    <row r="561" spans="19:19" x14ac:dyDescent="0.2">
      <c r="S561" s="53"/>
    </row>
    <row r="562" spans="19:19" x14ac:dyDescent="0.2">
      <c r="S562" s="53"/>
    </row>
    <row r="563" spans="19:19" x14ac:dyDescent="0.2">
      <c r="S563" s="53"/>
    </row>
    <row r="564" spans="19:19" x14ac:dyDescent="0.2">
      <c r="S564" s="53"/>
    </row>
    <row r="565" spans="19:19" x14ac:dyDescent="0.2">
      <c r="S565" s="53"/>
    </row>
    <row r="566" spans="19:19" x14ac:dyDescent="0.2">
      <c r="S566" s="53"/>
    </row>
    <row r="567" spans="19:19" x14ac:dyDescent="0.2">
      <c r="S567" s="53"/>
    </row>
    <row r="568" spans="19:19" x14ac:dyDescent="0.2">
      <c r="S568" s="53"/>
    </row>
    <row r="569" spans="19:19" x14ac:dyDescent="0.2">
      <c r="S569" s="53"/>
    </row>
    <row r="570" spans="19:19" x14ac:dyDescent="0.2">
      <c r="S570" s="53"/>
    </row>
    <row r="571" spans="19:19" x14ac:dyDescent="0.2">
      <c r="S571" s="53"/>
    </row>
    <row r="572" spans="19:19" x14ac:dyDescent="0.2">
      <c r="S572" s="53"/>
    </row>
    <row r="573" spans="19:19" x14ac:dyDescent="0.2">
      <c r="S573" s="53"/>
    </row>
    <row r="574" spans="19:19" x14ac:dyDescent="0.2">
      <c r="S574" s="53"/>
    </row>
    <row r="575" spans="19:19" x14ac:dyDescent="0.2">
      <c r="S575" s="53"/>
    </row>
    <row r="576" spans="19:19" x14ac:dyDescent="0.2">
      <c r="S576" s="53"/>
    </row>
    <row r="577" spans="19:19" x14ac:dyDescent="0.2">
      <c r="S577" s="53"/>
    </row>
    <row r="578" spans="19:19" x14ac:dyDescent="0.2">
      <c r="S578" s="53"/>
    </row>
    <row r="579" spans="19:19" x14ac:dyDescent="0.2">
      <c r="S579" s="53"/>
    </row>
    <row r="580" spans="19:19" x14ac:dyDescent="0.2">
      <c r="S580" s="53"/>
    </row>
    <row r="581" spans="19:19" x14ac:dyDescent="0.2">
      <c r="S581" s="53"/>
    </row>
    <row r="582" spans="19:19" x14ac:dyDescent="0.2">
      <c r="S582" s="53"/>
    </row>
    <row r="583" spans="19:19" x14ac:dyDescent="0.2">
      <c r="S583" s="53"/>
    </row>
    <row r="584" spans="19:19" x14ac:dyDescent="0.2">
      <c r="S584" s="53"/>
    </row>
    <row r="585" spans="19:19" x14ac:dyDescent="0.2">
      <c r="S585" s="53"/>
    </row>
    <row r="586" spans="19:19" x14ac:dyDescent="0.2">
      <c r="S586" s="53"/>
    </row>
    <row r="587" spans="19:19" x14ac:dyDescent="0.2">
      <c r="S587" s="53"/>
    </row>
    <row r="588" spans="19:19" x14ac:dyDescent="0.2">
      <c r="S588" s="53"/>
    </row>
    <row r="589" spans="19:19" x14ac:dyDescent="0.2">
      <c r="S589" s="53"/>
    </row>
    <row r="590" spans="19:19" x14ac:dyDescent="0.2">
      <c r="S590" s="53"/>
    </row>
    <row r="591" spans="19:19" x14ac:dyDescent="0.2">
      <c r="S591" s="53"/>
    </row>
    <row r="592" spans="19:19" x14ac:dyDescent="0.2">
      <c r="S592" s="53"/>
    </row>
    <row r="593" spans="19:19" x14ac:dyDescent="0.2">
      <c r="S593" s="53"/>
    </row>
    <row r="594" spans="19:19" x14ac:dyDescent="0.2">
      <c r="S594" s="53"/>
    </row>
    <row r="595" spans="19:19" x14ac:dyDescent="0.2">
      <c r="S595" s="53"/>
    </row>
    <row r="596" spans="19:19" x14ac:dyDescent="0.2">
      <c r="S596" s="53"/>
    </row>
    <row r="597" spans="19:19" x14ac:dyDescent="0.2">
      <c r="S597" s="53"/>
    </row>
    <row r="598" spans="19:19" x14ac:dyDescent="0.2">
      <c r="S598" s="53"/>
    </row>
    <row r="599" spans="19:19" x14ac:dyDescent="0.2">
      <c r="S599" s="53"/>
    </row>
    <row r="600" spans="19:19" x14ac:dyDescent="0.2">
      <c r="S600" s="53"/>
    </row>
    <row r="601" spans="19:19" x14ac:dyDescent="0.2">
      <c r="S601" s="53"/>
    </row>
    <row r="602" spans="19:19" x14ac:dyDescent="0.2">
      <c r="S602" s="53"/>
    </row>
    <row r="603" spans="19:19" x14ac:dyDescent="0.2">
      <c r="S603" s="53"/>
    </row>
    <row r="604" spans="19:19" x14ac:dyDescent="0.2">
      <c r="S604" s="53"/>
    </row>
    <row r="605" spans="19:19" x14ac:dyDescent="0.2">
      <c r="S605" s="53"/>
    </row>
    <row r="606" spans="19:19" x14ac:dyDescent="0.2">
      <c r="S606" s="53"/>
    </row>
    <row r="607" spans="19:19" x14ac:dyDescent="0.2">
      <c r="S607" s="53"/>
    </row>
    <row r="608" spans="19:19" x14ac:dyDescent="0.2">
      <c r="S608" s="53"/>
    </row>
    <row r="609" spans="19:19" x14ac:dyDescent="0.2">
      <c r="S609" s="53"/>
    </row>
    <row r="610" spans="19:19" x14ac:dyDescent="0.2">
      <c r="S610" s="53"/>
    </row>
    <row r="611" spans="19:19" x14ac:dyDescent="0.2">
      <c r="S611" s="53"/>
    </row>
    <row r="612" spans="19:19" x14ac:dyDescent="0.2">
      <c r="S612" s="53"/>
    </row>
    <row r="613" spans="19:19" x14ac:dyDescent="0.2">
      <c r="S613" s="53"/>
    </row>
    <row r="614" spans="19:19" x14ac:dyDescent="0.2">
      <c r="S614" s="53"/>
    </row>
    <row r="615" spans="19:19" x14ac:dyDescent="0.2">
      <c r="S615" s="53"/>
    </row>
    <row r="616" spans="19:19" x14ac:dyDescent="0.2">
      <c r="S616" s="53"/>
    </row>
    <row r="617" spans="19:19" x14ac:dyDescent="0.2">
      <c r="S617" s="53"/>
    </row>
    <row r="618" spans="19:19" x14ac:dyDescent="0.2">
      <c r="S618" s="53"/>
    </row>
    <row r="619" spans="19:19" x14ac:dyDescent="0.2">
      <c r="S619" s="53"/>
    </row>
    <row r="620" spans="19:19" x14ac:dyDescent="0.2">
      <c r="S620" s="53"/>
    </row>
    <row r="621" spans="19:19" x14ac:dyDescent="0.2">
      <c r="S621" s="53"/>
    </row>
    <row r="622" spans="19:19" x14ac:dyDescent="0.2">
      <c r="S622" s="53"/>
    </row>
    <row r="623" spans="19:19" x14ac:dyDescent="0.2">
      <c r="S623" s="53"/>
    </row>
    <row r="624" spans="19:19" x14ac:dyDescent="0.2">
      <c r="S624" s="53"/>
    </row>
    <row r="625" spans="19:19" x14ac:dyDescent="0.2">
      <c r="S625" s="53"/>
    </row>
    <row r="626" spans="19:19" x14ac:dyDescent="0.2">
      <c r="S626" s="53"/>
    </row>
    <row r="627" spans="19:19" x14ac:dyDescent="0.2">
      <c r="S627" s="53"/>
    </row>
    <row r="628" spans="19:19" x14ac:dyDescent="0.2">
      <c r="S628" s="53"/>
    </row>
    <row r="629" spans="19:19" x14ac:dyDescent="0.2">
      <c r="S629" s="53"/>
    </row>
    <row r="630" spans="19:19" x14ac:dyDescent="0.2">
      <c r="S630" s="53"/>
    </row>
    <row r="631" spans="19:19" x14ac:dyDescent="0.2">
      <c r="S631" s="53"/>
    </row>
    <row r="632" spans="19:19" x14ac:dyDescent="0.2">
      <c r="S632" s="53"/>
    </row>
    <row r="633" spans="19:19" x14ac:dyDescent="0.2">
      <c r="S633" s="53"/>
    </row>
    <row r="634" spans="19:19" x14ac:dyDescent="0.2">
      <c r="S634" s="53"/>
    </row>
    <row r="635" spans="19:19" x14ac:dyDescent="0.2">
      <c r="S635" s="53"/>
    </row>
    <row r="636" spans="19:19" x14ac:dyDescent="0.2">
      <c r="S636" s="53"/>
    </row>
    <row r="637" spans="19:19" x14ac:dyDescent="0.2">
      <c r="S637" s="53"/>
    </row>
    <row r="638" spans="19:19" x14ac:dyDescent="0.2">
      <c r="S638" s="53"/>
    </row>
    <row r="639" spans="19:19" x14ac:dyDescent="0.2">
      <c r="S639" s="53"/>
    </row>
    <row r="640" spans="19:19" x14ac:dyDescent="0.2">
      <c r="S640" s="53"/>
    </row>
    <row r="641" spans="19:19" x14ac:dyDescent="0.2">
      <c r="S641" s="53"/>
    </row>
    <row r="642" spans="19:19" x14ac:dyDescent="0.2">
      <c r="S642" s="53"/>
    </row>
    <row r="643" spans="19:19" x14ac:dyDescent="0.2">
      <c r="S643" s="53"/>
    </row>
    <row r="644" spans="19:19" x14ac:dyDescent="0.2">
      <c r="S644" s="53"/>
    </row>
    <row r="645" spans="19:19" x14ac:dyDescent="0.2">
      <c r="S645" s="53"/>
    </row>
    <row r="646" spans="19:19" x14ac:dyDescent="0.2">
      <c r="S646" s="53"/>
    </row>
    <row r="647" spans="19:19" x14ac:dyDescent="0.2">
      <c r="S647" s="53"/>
    </row>
    <row r="648" spans="19:19" x14ac:dyDescent="0.2">
      <c r="S648" s="53"/>
    </row>
    <row r="649" spans="19:19" x14ac:dyDescent="0.2">
      <c r="S649" s="53"/>
    </row>
    <row r="650" spans="19:19" x14ac:dyDescent="0.2">
      <c r="S650" s="53"/>
    </row>
    <row r="651" spans="19:19" x14ac:dyDescent="0.2">
      <c r="S651" s="53"/>
    </row>
    <row r="652" spans="19:19" x14ac:dyDescent="0.2">
      <c r="S652" s="53"/>
    </row>
    <row r="653" spans="19:19" x14ac:dyDescent="0.2">
      <c r="S653" s="53"/>
    </row>
    <row r="654" spans="19:19" x14ac:dyDescent="0.2">
      <c r="S654" s="53"/>
    </row>
    <row r="655" spans="19:19" x14ac:dyDescent="0.2">
      <c r="S655" s="53"/>
    </row>
    <row r="656" spans="19:19" x14ac:dyDescent="0.2">
      <c r="S656" s="53"/>
    </row>
    <row r="657" spans="19:19" x14ac:dyDescent="0.2">
      <c r="S657" s="53"/>
    </row>
    <row r="658" spans="19:19" x14ac:dyDescent="0.2">
      <c r="S658" s="53"/>
    </row>
    <row r="659" spans="19:19" x14ac:dyDescent="0.2">
      <c r="S659" s="53"/>
    </row>
    <row r="660" spans="19:19" x14ac:dyDescent="0.2">
      <c r="S660" s="53"/>
    </row>
    <row r="661" spans="19:19" x14ac:dyDescent="0.2">
      <c r="S661" s="53"/>
    </row>
    <row r="662" spans="19:19" x14ac:dyDescent="0.2">
      <c r="S662" s="53"/>
    </row>
    <row r="663" spans="19:19" x14ac:dyDescent="0.2">
      <c r="S663" s="53"/>
    </row>
    <row r="664" spans="19:19" x14ac:dyDescent="0.2">
      <c r="S664" s="53"/>
    </row>
    <row r="665" spans="19:19" x14ac:dyDescent="0.2">
      <c r="S665" s="53"/>
    </row>
    <row r="666" spans="19:19" x14ac:dyDescent="0.2">
      <c r="S666" s="53"/>
    </row>
    <row r="667" spans="19:19" x14ac:dyDescent="0.2">
      <c r="S667" s="53"/>
    </row>
    <row r="668" spans="19:19" x14ac:dyDescent="0.2">
      <c r="S668" s="53"/>
    </row>
    <row r="669" spans="19:19" x14ac:dyDescent="0.2">
      <c r="S669" s="53"/>
    </row>
    <row r="670" spans="19:19" x14ac:dyDescent="0.2">
      <c r="S670" s="53"/>
    </row>
    <row r="671" spans="19:19" x14ac:dyDescent="0.2">
      <c r="S671" s="53"/>
    </row>
    <row r="672" spans="19:19" x14ac:dyDescent="0.2">
      <c r="S672" s="53"/>
    </row>
    <row r="673" spans="19:19" x14ac:dyDescent="0.2">
      <c r="S673" s="53"/>
    </row>
    <row r="674" spans="19:19" x14ac:dyDescent="0.2">
      <c r="S674" s="53"/>
    </row>
    <row r="675" spans="19:19" x14ac:dyDescent="0.2">
      <c r="S675" s="53"/>
    </row>
    <row r="676" spans="19:19" x14ac:dyDescent="0.2">
      <c r="S676" s="53"/>
    </row>
    <row r="677" spans="19:19" x14ac:dyDescent="0.2">
      <c r="S677" s="53"/>
    </row>
    <row r="678" spans="19:19" x14ac:dyDescent="0.2">
      <c r="S678" s="53"/>
    </row>
    <row r="679" spans="19:19" x14ac:dyDescent="0.2">
      <c r="S679" s="53"/>
    </row>
    <row r="680" spans="19:19" x14ac:dyDescent="0.2">
      <c r="S680" s="53"/>
    </row>
    <row r="681" spans="19:19" x14ac:dyDescent="0.2">
      <c r="S681" s="53"/>
    </row>
    <row r="682" spans="19:19" x14ac:dyDescent="0.2">
      <c r="S682" s="53"/>
    </row>
    <row r="683" spans="19:19" x14ac:dyDescent="0.2">
      <c r="S683" s="53"/>
    </row>
    <row r="684" spans="19:19" x14ac:dyDescent="0.2">
      <c r="S684" s="53"/>
    </row>
    <row r="685" spans="19:19" x14ac:dyDescent="0.2">
      <c r="S685" s="53"/>
    </row>
    <row r="686" spans="19:19" x14ac:dyDescent="0.2">
      <c r="S686" s="53"/>
    </row>
    <row r="687" spans="19:19" x14ac:dyDescent="0.2">
      <c r="S687" s="53"/>
    </row>
    <row r="688" spans="19:19" x14ac:dyDescent="0.2">
      <c r="S688" s="53"/>
    </row>
    <row r="689" spans="19:19" x14ac:dyDescent="0.2">
      <c r="S689" s="53"/>
    </row>
    <row r="690" spans="19:19" x14ac:dyDescent="0.2">
      <c r="S690" s="53"/>
    </row>
    <row r="691" spans="19:19" x14ac:dyDescent="0.2">
      <c r="S691" s="53"/>
    </row>
  </sheetData>
  <mergeCells count="5">
    <mergeCell ref="C3:M3"/>
    <mergeCell ref="F7:M7"/>
    <mergeCell ref="C22:M22"/>
    <mergeCell ref="B24:N30"/>
    <mergeCell ref="B32:N38"/>
  </mergeCells>
  <pageMargins left="0.7" right="0.7" top="0.75" bottom="0.75" header="0.3" footer="0.3"/>
  <pageSetup paperSize="9" scale="1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BANDHAN OF</vt:lpstr>
      <vt:lpstr>BANDHAN LF</vt:lpstr>
      <vt:lpstr>BANDHAN LDF</vt:lpstr>
      <vt:lpstr>BANDHAN MMF</vt:lpstr>
      <vt:lpstr>BANDHAN USTF</vt:lpstr>
      <vt:lpstr>BANDHAN DBF</vt:lpstr>
      <vt:lpstr>BANDHAN BOND IP</vt:lpstr>
      <vt:lpstr>BANDHAN BOND MT</vt:lpstr>
      <vt:lpstr>BANDHAN BOND ST</vt:lpstr>
      <vt:lpstr>BANDHAN BPDF</vt:lpstr>
      <vt:lpstr>BANDHAN CBF</vt:lpstr>
      <vt:lpstr>BANDHAN FRF</vt:lpstr>
      <vt:lpstr>BANDHAN CRF</vt:lpstr>
      <vt:lpstr>BANDHAN GSF-IP</vt:lpstr>
      <vt:lpstr>BANDHAN GSF - CMP</vt:lpstr>
      <vt:lpstr>BANDHAN Long Dur</vt:lpstr>
      <vt:lpstr>BANDHAN GIF26</vt:lpstr>
      <vt:lpstr>BANDHAN GIF2027</vt:lpstr>
      <vt:lpstr>BANDHAN GIF2028</vt:lpstr>
      <vt:lpstr>BANDHAN GIF32</vt:lpstr>
      <vt:lpstr>BANDHAN SDLGIF26</vt:lpstr>
      <vt:lpstr>BANDHAN SDLGIF27</vt:lpstr>
      <vt:lpstr>BANDHAN SDLGIF32</vt:lpstr>
      <vt:lpstr>BANDHAN ASBF</vt:lpstr>
      <vt:lpstr>BANDHAN US TB 0-1yr FOF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BANDHANMF Products2</dc:creator>
  <cp:lastModifiedBy>BANDHANMF Products2</cp:lastModifiedBy>
  <dcterms:created xsi:type="dcterms:W3CDTF">2024-08-01T04:20:44Z</dcterms:created>
  <dcterms:modified xsi:type="dcterms:W3CDTF">2024-08-02T06:37:57Z</dcterms:modified>
</cp:coreProperties>
</file>