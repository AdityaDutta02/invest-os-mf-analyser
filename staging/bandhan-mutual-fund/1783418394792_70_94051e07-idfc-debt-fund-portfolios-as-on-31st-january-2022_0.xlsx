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0"/>
  <workbookPr defaultThemeVersion="166925"/>
  <mc:AlternateContent xmlns:mc="http://schemas.openxmlformats.org/markup-compatibility/2006">
    <mc:Choice Requires="x15">
      <x15ac:absPath xmlns:x15ac="http://schemas.microsoft.com/office/spreadsheetml/2010/11/ac" url="Z:\MONTH END DELIVERABLES-1\Portfolios_All\2022\Feb 2022\"/>
    </mc:Choice>
  </mc:AlternateContent>
  <xr:revisionPtr revIDLastSave="0" documentId="13_ncr:1_{5566F416-F76B-481F-9B68-0DD397EBA99F}" xr6:coauthVersionLast="36" xr6:coauthVersionMax="36" xr10:uidLastSave="{00000000-0000-0000-0000-000000000000}"/>
  <bookViews>
    <workbookView xWindow="0" yWindow="0" windowWidth="20490" windowHeight="7545" xr2:uid="{822E74D6-CF1D-43E7-B7FA-A0B8BA6CAD67}"/>
  </bookViews>
  <sheets>
    <sheet name="IDFC OF" sheetId="18" r:id="rId1"/>
    <sheet name="IDFC CF" sheetId="7" r:id="rId2"/>
    <sheet name="IDFC LDF" sheetId="16" r:id="rId3"/>
    <sheet name="IDFC MMF" sheetId="17" r:id="rId4"/>
    <sheet name="IDFC USTF" sheetId="19" r:id="rId5"/>
    <sheet name="IDFC DBF" sheetId="10" r:id="rId6"/>
    <sheet name="IDFC BOND IP" sheetId="4" r:id="rId7"/>
    <sheet name="IDFC BOND MT" sheetId="5" r:id="rId8"/>
    <sheet name="IDFC BOND ST" sheetId="6" r:id="rId9"/>
    <sheet name="IDFC BPDF" sheetId="3" r:id="rId10"/>
    <sheet name="IDFC-CBF" sheetId="8" r:id="rId11"/>
    <sheet name="IDFC FRF" sheetId="11" r:id="rId12"/>
    <sheet name="IDFC CRF" sheetId="9" r:id="rId13"/>
    <sheet name="IDFC GSF-IP" sheetId="14" r:id="rId14"/>
    <sheet name="IDFC GSF - CMP" sheetId="15" r:id="rId15"/>
    <sheet name="IDFC-GIF2027" sheetId="12" r:id="rId16"/>
    <sheet name="IDFC-GIF2028" sheetId="13" r:id="rId17"/>
    <sheet name="IDFC ASBF" sheetId="2"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8" i="11" l="1"/>
  <c r="H10" i="9" l="1"/>
  <c r="H8" i="9"/>
</calcChain>
</file>

<file path=xl/sharedStrings.xml><?xml version="1.0" encoding="utf-8"?>
<sst xmlns="http://schemas.openxmlformats.org/spreadsheetml/2006/main" count="1100" uniqueCount="234">
  <si>
    <t>IDFC ALL SEASONS BOND FUND (31 January, 2022 )</t>
  </si>
  <si>
    <t>Net Assets as on 31 January, 2022</t>
  </si>
  <si>
    <t>158.71 crs</t>
  </si>
  <si>
    <t>Name</t>
  </si>
  <si>
    <t>Rating</t>
  </si>
  <si>
    <t>Total</t>
  </si>
  <si>
    <t>IDFC Bond Fund -Short Term Plan Direct Plan-Growth</t>
  </si>
  <si>
    <t>IDFC Corporate Bond Fund - Direct Growth</t>
  </si>
  <si>
    <t>Mutual Fund Units Total</t>
  </si>
  <si>
    <t>Clearing Corporation of India Ltd</t>
  </si>
  <si>
    <t>TRI Party Repo Total</t>
  </si>
  <si>
    <t>Net Current Asset</t>
  </si>
  <si>
    <t>Grand Total</t>
  </si>
  <si>
    <t>Company</t>
  </si>
  <si>
    <t>TRI Party Repo</t>
  </si>
  <si>
    <t>Mutual Fund Units</t>
  </si>
  <si>
    <t>AAA EQUIVALENT</t>
  </si>
  <si>
    <t>Asset Quality</t>
  </si>
  <si>
    <t>Average Maturity Years</t>
  </si>
  <si>
    <t>Asset Allocation</t>
  </si>
  <si>
    <t>IDFC BANKING &amp; PSU DEBT FUND (31 January, 2022 )</t>
  </si>
  <si>
    <t>18069.32 crs</t>
  </si>
  <si>
    <t>Bank of Baroda</t>
  </si>
  <si>
    <t xml:space="preserve"> A1+</t>
  </si>
  <si>
    <t>Axis Bank Limited</t>
  </si>
  <si>
    <t>Export Import Bank of India</t>
  </si>
  <si>
    <t>Certificate of Deposit Total</t>
  </si>
  <si>
    <t>Housing Development Finance Corporation Limited</t>
  </si>
  <si>
    <t>Commercial Paper Total</t>
  </si>
  <si>
    <t>National Bank For Agriculture and Rural Development</t>
  </si>
  <si>
    <t xml:space="preserve"> AAA</t>
  </si>
  <si>
    <t>Indian Railway Finance Corporation Limited</t>
  </si>
  <si>
    <t>REC Limited</t>
  </si>
  <si>
    <t>Hindustan Petroleum Corporation Limited</t>
  </si>
  <si>
    <t>Power Finance Corporation Limited</t>
  </si>
  <si>
    <t>National Housing Bank</t>
  </si>
  <si>
    <t>Small Industries Dev Bank of India</t>
  </si>
  <si>
    <t>ICICI Bank Limited</t>
  </si>
  <si>
    <t>National Highways Auth Of Ind</t>
  </si>
  <si>
    <t>Power Grid Corporation of India Limited</t>
  </si>
  <si>
    <t>Housing &amp; Urban Development Corporation Limited</t>
  </si>
  <si>
    <t>LIC Housing Finance Limited</t>
  </si>
  <si>
    <t>Reliance Industries Limited</t>
  </si>
  <si>
    <t>Indian Oil Corporation Limited</t>
  </si>
  <si>
    <t>NTPC Limited</t>
  </si>
  <si>
    <t>NHPC Limited</t>
  </si>
  <si>
    <t>Larsen &amp; Toubro Limited</t>
  </si>
  <si>
    <t>Oil &amp; Natural Gas Corporation Limited</t>
  </si>
  <si>
    <t>Bajaj Finance Limited</t>
  </si>
  <si>
    <t>Tata Sons Private Ltd</t>
  </si>
  <si>
    <t>Corporate Bond Total</t>
  </si>
  <si>
    <t>Kotak Mahindra Bank Limited</t>
  </si>
  <si>
    <t>Floating Rate Note Total</t>
  </si>
  <si>
    <t>7.37% GOI (MD 16/04/2023)</t>
  </si>
  <si>
    <t>SOV</t>
  </si>
  <si>
    <t>7.32% GOI (MD 28/01/2024)</t>
  </si>
  <si>
    <t>7.16% GOI (MD 20/05/2023)</t>
  </si>
  <si>
    <t>4.26% GOI (MD 17/05/2023)</t>
  </si>
  <si>
    <t>7.68% GOI (MD 15/12/2023)</t>
  </si>
  <si>
    <t>8.13% GOI (MD 21/09/2022)</t>
  </si>
  <si>
    <t>Government Bond Total</t>
  </si>
  <si>
    <t>State Government Bond Total</t>
  </si>
  <si>
    <t>Zero Coupon Bond Total</t>
  </si>
  <si>
    <t>Certificate of Deposit</t>
  </si>
  <si>
    <t>Corporate Bond</t>
  </si>
  <si>
    <t>Commercial Paper</t>
  </si>
  <si>
    <t>Floating Rate Note</t>
  </si>
  <si>
    <t>Government Bond</t>
  </si>
  <si>
    <t>State Government Bond</t>
  </si>
  <si>
    <t>Zero Coupon Bond</t>
  </si>
  <si>
    <t>IDFC BOND FUND - INCOME PLAN (31 January, 2022 )</t>
  </si>
  <si>
    <t>616.46 crs</t>
  </si>
  <si>
    <t>5.63% GOI (MD 12/04/2026)</t>
  </si>
  <si>
    <t>6.79% GOI (MD 15/05/2027)</t>
  </si>
  <si>
    <t>5.74% GOI (MD 15/11/2026)</t>
  </si>
  <si>
    <t>6.1% GOI (MD 12/07/2031)</t>
  </si>
  <si>
    <t>7.73% GOI (MD 19/12/2034)</t>
  </si>
  <si>
    <t>IDFC BOND FUND - MEDIUM TERM PLAN (31 January, 2022 )</t>
  </si>
  <si>
    <t>2658.41 crs</t>
  </si>
  <si>
    <t>Kotak Mahindra Prime Limited</t>
  </si>
  <si>
    <t>7.17% GOI (MD 08/01/2028)</t>
  </si>
  <si>
    <t>8.24% GOI (MD 15/02/2027)</t>
  </si>
  <si>
    <t xml:space="preserve"> AAA(SO)</t>
  </si>
  <si>
    <t>PTC Total</t>
  </si>
  <si>
    <t>PTC</t>
  </si>
  <si>
    <t>IDFC BOND FUND - SHORT TERM PLAN (31 January, 2022 )</t>
  </si>
  <si>
    <t>13615.78 crs</t>
  </si>
  <si>
    <t>Kotak Mahindra Investments Limited</t>
  </si>
  <si>
    <t>5.15% GOI (MD 09/11/2025)</t>
  </si>
  <si>
    <t>8.28% GOI (M/D 21/09/2027)</t>
  </si>
  <si>
    <t>IDFC CASH FUND (31 January, 2022 )</t>
  </si>
  <si>
    <t>9652.15 crs</t>
  </si>
  <si>
    <t>HDFC Bank Limited</t>
  </si>
  <si>
    <t>Reliance Jio Infocomm Limited</t>
  </si>
  <si>
    <t>Reliance Retail Ventures Limited</t>
  </si>
  <si>
    <t>HDFC Securities Limited</t>
  </si>
  <si>
    <t>ICICI Securities Limited</t>
  </si>
  <si>
    <t>91 Days Tbill (MD 31/03/2022)</t>
  </si>
  <si>
    <t>91 Days Tbill (MD 24/03/2022)</t>
  </si>
  <si>
    <t>91 Days Tbill (MD 17/03/2022)</t>
  </si>
  <si>
    <t>364 Days Tbill (MD 11/03/2022)</t>
  </si>
  <si>
    <t>182 Days Tbill (MD 24/02/2022)</t>
  </si>
  <si>
    <t>364 Days Tbill (MD 10/02/2022)</t>
  </si>
  <si>
    <t>Treasury Bill Total</t>
  </si>
  <si>
    <t>Bajaj Housing Finance Limited</t>
  </si>
  <si>
    <t>Treasury Bill</t>
  </si>
  <si>
    <t>Average Maturity in Days</t>
  </si>
  <si>
    <t>IDFC CORPORATE BOND FUND (31 January, 2022 )</t>
  </si>
  <si>
    <t>19598.30 crs</t>
  </si>
  <si>
    <t>UltraTech Cement Limited</t>
  </si>
  <si>
    <t>Mahindra &amp; Mahindra Limited</t>
  </si>
  <si>
    <t>HDB Financial Services Limited</t>
  </si>
  <si>
    <t>5.22% GOI (MD 15/06/2025)</t>
  </si>
  <si>
    <t>IDFC CREDIT RISK FUND (31 January, 2022 )</t>
  </si>
  <si>
    <t>842.62 crs</t>
  </si>
  <si>
    <t xml:space="preserve"> AA(CE)</t>
  </si>
  <si>
    <t>Bharti Hexacom Limited</t>
  </si>
  <si>
    <t xml:space="preserve"> AA+</t>
  </si>
  <si>
    <t>Summit Digitel Infrastructure Private Limited</t>
  </si>
  <si>
    <t>Tata Steel Limited</t>
  </si>
  <si>
    <t>Hindalco Industries Limited</t>
  </si>
  <si>
    <t xml:space="preserve"> AA</t>
  </si>
  <si>
    <t>Tata Motors Limited</t>
  </si>
  <si>
    <t xml:space="preserve"> AA-</t>
  </si>
  <si>
    <t>Tata Power Company Limited</t>
  </si>
  <si>
    <t>AA+</t>
  </si>
  <si>
    <t>AA</t>
  </si>
  <si>
    <t>AA-</t>
  </si>
  <si>
    <t>IDFC DYNAMIC BOND FUND (31 January, 2022 )</t>
  </si>
  <si>
    <t>2798.20 crs</t>
  </si>
  <si>
    <t>8.20% GOI (MD 24/09/2025)</t>
  </si>
  <si>
    <t>IDFC FLOATING RATE FUND (31 January, 2022 )</t>
  </si>
  <si>
    <t>964.07 crs</t>
  </si>
  <si>
    <t>Sikka Ports and Terminals Limited</t>
  </si>
  <si>
    <t>Jamnagar Utilities &amp; Power Private Limited</t>
  </si>
  <si>
    <t>Interest Rate Swaps</t>
  </si>
  <si>
    <t>IDFC GILT 2027 INDEX FUND (31 January, 2022 )</t>
  </si>
  <si>
    <t>2013.11 crs</t>
  </si>
  <si>
    <t>91 Days Tbill (MD 10/03/2022)</t>
  </si>
  <si>
    <t>IDFC GILT 2028 INDEX FUND (31 January, 2022 )</t>
  </si>
  <si>
    <t>515.19 crs</t>
  </si>
  <si>
    <t>IDFC GOVERNMENT SECURITIES FUND - INVESTMENT PLAN (31 January, 2022 )</t>
  </si>
  <si>
    <t>1447.82 crs</t>
  </si>
  <si>
    <t>IDFC GOVERNMENT SECURITIES FUND-CONSTANT MATURITY (31 January, 2022 )</t>
  </si>
  <si>
    <t>277.68 crs</t>
  </si>
  <si>
    <t>6.67% GOI (MD 15/12/2035)</t>
  </si>
  <si>
    <t>IDFC LOW DURATION FUND (31 January, 2022 )</t>
  </si>
  <si>
    <t>6254.93 crs</t>
  </si>
  <si>
    <t>Grasim Industries Limited</t>
  </si>
  <si>
    <t>8.33% GOI 2026 (M/D 09/07/2026)</t>
  </si>
  <si>
    <t>6.84% GOI (MD 19/12/2022)</t>
  </si>
  <si>
    <t>Sundaram Finance Limited</t>
  </si>
  <si>
    <t>IDFC MONEY MANAGER FUND (31 January, 2022 )</t>
  </si>
  <si>
    <t>2507.72 crs</t>
  </si>
  <si>
    <t>5.09% GOI (MD 13/04/2022)</t>
  </si>
  <si>
    <t>8.20% GOI (MD 15/02/2022)</t>
  </si>
  <si>
    <t>IDFC OVERNIGHT FUND (31 January, 2022 )</t>
  </si>
  <si>
    <t>2404.31 crs</t>
  </si>
  <si>
    <t>IDFC ULTRA SHORT TERM FUND (31 January, 2022 )</t>
  </si>
  <si>
    <t>4310.28 crs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</si>
  <si>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IDFC Asset Management Company Limited and/or IDFC Mutual Fund. The Scheme may or may not have any present or future positions in the above securities. Investors are advised to consult their own investment advisor before making any investment decision in light of their risk appetite, investment goals and horizon.”</t>
  </si>
  <si>
    <t>8.05% Gujarat SDL (MD 25/02/2025)</t>
  </si>
  <si>
    <t>8.38% Haryana SDL (MD 27/01/2026)</t>
  </si>
  <si>
    <t>8.48% Karnataka SDL (MD 17/10/2022)</t>
  </si>
  <si>
    <t>4.75% Haryana SDL (MD 06/05/2022)</t>
  </si>
  <si>
    <t>8.75% Tamilnadu SDL (MD 22/02/2022)</t>
  </si>
  <si>
    <t>8.95% Maharashtra SDL (MD 07/03/2022)</t>
  </si>
  <si>
    <t>8.92% Tamil Nadu SDL (MD 07/03/2022)</t>
  </si>
  <si>
    <t>8.99% Gujrat SDL (MD 14/03/2022)</t>
  </si>
  <si>
    <t>9.20% Andhra Pradesh SDL (MD 11/04/2022)</t>
  </si>
  <si>
    <t>8.84% Tamil Nadu SDL (MD 18/07/2022)</t>
  </si>
  <si>
    <t>8.85% Maharashtra SDL (MD 18/07/2022)</t>
  </si>
  <si>
    <t>8.92% Tamilnadu SDL (MD 08/08/2022)</t>
  </si>
  <si>
    <t>8.92%  Tamilnadu SDL (MD 05/09/2022)</t>
  </si>
  <si>
    <t>8.90% TAMILNADU SDL(MD/20/09/2022)</t>
  </si>
  <si>
    <t>8.86% Tamil Nadu SDL (MD 03/10/2022)</t>
  </si>
  <si>
    <t>8.79% Gujrat SDL (MD 25/10/2022)</t>
  </si>
  <si>
    <t>8.85% Maharashtra SDL (MD 03/10/2022)</t>
  </si>
  <si>
    <t>6.93% Maharastra SDL (MD 09/08/2022)</t>
  </si>
  <si>
    <t>4.68% Haryana SDL (MD 20/05/2022)</t>
  </si>
  <si>
    <t>4.54% Maharashtra SDL (MD 03/06/2022)</t>
  </si>
  <si>
    <t>6.64% Rajasthan SDL (MD 25/09/2022)</t>
  </si>
  <si>
    <t>8.99% Madhya Pradesh SDL (MD 07/03/2022)</t>
  </si>
  <si>
    <t>8.91% Utarpradesh SDL(MD/20/09/2022)</t>
  </si>
  <si>
    <t>8.91% Andhra Pradesh SDL (MD 05/09/2022)</t>
  </si>
  <si>
    <t>8.90% Andhra pradesh SDL (MD 04/07/2022)</t>
  </si>
  <si>
    <t>8.90% MAHARASHTRA SDL(MD 20/09/2022)</t>
  </si>
  <si>
    <t>8.84% Gujrat SDL (MD 17/10/2022)</t>
  </si>
  <si>
    <t>8.25% Andhra PradeshSDL (MD 25/04/2023)</t>
  </si>
  <si>
    <t>8.25% Maharastra SDL  ( MD 13/05/2025)</t>
  </si>
  <si>
    <t>8.2% Gujarat SDL (MD 24/06/2025)</t>
  </si>
  <si>
    <t>8.37% Tamil Nadu SDL (MD 05/12/2028)</t>
  </si>
  <si>
    <t>8.68% Gujarat SDL (MD 06/02/2023)</t>
  </si>
  <si>
    <t>8.10% TAMIL NADU SDL (MD 08/05/2023)</t>
  </si>
  <si>
    <t>7.62% Tamil Nadu SDL (MD 05/06/2023)</t>
  </si>
  <si>
    <t>8.62% Maharashtra SDL (MD 06/03/2023)</t>
  </si>
  <si>
    <t>7.77% Gujarat SDL (MD 19/06/2023)</t>
  </si>
  <si>
    <t>7.77% Tamil Nadu SDL (MD 19/06/2023)</t>
  </si>
  <si>
    <t>7.95% Tamil Nadu SDL (MD 03/07/2023)</t>
  </si>
  <si>
    <t>9.25% Haryana SDL (MD 09-Oct-2023)</t>
  </si>
  <si>
    <t>8.48% Tamilnadu SDL (MD 04/07/2023)</t>
  </si>
  <si>
    <t>7.93% Chattisgarh SDL (MD 13/02/2024)</t>
  </si>
  <si>
    <t>5.93% ODISHA SDL (MD 08/04/2022)</t>
  </si>
  <si>
    <t>5.41% Andhra Pradesh SDL (MD 12/08/2024)</t>
  </si>
  <si>
    <t>5.68% Maharashtra SDL (MD 23/09/2024)</t>
  </si>
  <si>
    <t>6.20% Madhya Pradesh SDL (MD 15/04/2023)</t>
  </si>
  <si>
    <t>9.5% Gujrat SDL (MD 11/09/2023)</t>
  </si>
  <si>
    <t>9.22% Gujarat SDL (MD 09/10/2023)</t>
  </si>
  <si>
    <t>9.37% Gujarat SDL (MD 30/01/2024)</t>
  </si>
  <si>
    <t>9.55% Karnataka SDL (MD 12/02/2024)</t>
  </si>
  <si>
    <t>9.63% Andhra Pradesh SDL (MD 12/02/2024)</t>
  </si>
  <si>
    <t>9.80% Haryana SDL (MD 26/02/2024)</t>
  </si>
  <si>
    <t>9.71% Haryana SDL (MD 12/03/2024)</t>
  </si>
  <si>
    <t>9.47% Haryana SDL (MD 26/03/2024)</t>
  </si>
  <si>
    <t>9.11% Maharashtra SDL (MD 28/05/2024)</t>
  </si>
  <si>
    <t>9.24% Haryana SDL (MD 16/01/2024)</t>
  </si>
  <si>
    <t>8.96% Maharashtra SDL  (MD 09/07/2024)</t>
  </si>
  <si>
    <t>8.83% Tamilnadu SDL (MD 11/06/2024)</t>
  </si>
  <si>
    <t>9.48% Andhra Pradesh SDL (MD 26/03/2024)</t>
  </si>
  <si>
    <t>6.64% Rajasthan SDL (MD 05/02/2024)</t>
  </si>
  <si>
    <t>5.6% Haryana SDL (MD 20/05/2024)</t>
  </si>
  <si>
    <t>5.75% Tamilnadu SDL (MD 27/05/2025)</t>
  </si>
  <si>
    <t>5.6% Maharashtra SDL (MD 09/09/2024)</t>
  </si>
  <si>
    <t>5.46% Tamilnadu SDL (MD 03/06/2024)</t>
  </si>
  <si>
    <t>9.10% Tamil Nadu SDL(MD 09/05/2022)</t>
  </si>
  <si>
    <t>* Corporate Guarantee from Tata Power</t>
  </si>
  <si>
    <t>^PTC originated by Reliance Industries Limited</t>
  </si>
  <si>
    <t>^^AT1 Bonds under Basel III</t>
  </si>
  <si>
    <t>First Business Receivables Trust^</t>
  </si>
  <si>
    <t>Tata Power Renewable Energy Limited*</t>
  </si>
  <si>
    <t>IndusInd Bank Limited^^</t>
  </si>
  <si>
    <t>Indian Bank^^</t>
  </si>
  <si>
    <t>Average Maturity in Day</t>
  </si>
  <si>
    <t>IDFC Banking &amp; PSU Debt Fund - Direct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</si>
</sst>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Black]\(0.00%\)"/>
    <numFmt numFmtId="165" formatCode="0.000%;[Black]\(0.000%\)"/>
    <numFmt numFmtId="166" formatCode="0.0000%;[Black]\(0.0000%\)"/>
  </numFmts>
  <fonts count="8"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0"/>
      <name val="Arial"/>
      <family val="2"/>
    </font>
  </fonts>
  <fills count="3">
    <fill>
      <patternFill patternType="none"/>
    </fill>
    <fill>
      <patternFill patternType="gray125"/>
    </fill>
    <fill>
      <patternFill patternType="solid">
        <fgColor rgb="FFD8D8D8"/>
        <bgColor indexed="64"/>
      </patternFill>
    </fill>
  </fills>
  <borders count="30">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2">
    <xf numFmtId="0" fontId="0" fillId="0" borderId="0"/>
    <xf numFmtId="9" fontId="7" fillId="0" borderId="0" applyNumberFormat="0" applyFont="0" applyFill="0" applyBorder="0" applyAlignment="0" applyProtection="0"/>
  </cellStyleXfs>
  <cellXfs count="93">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6" fillId="0" borderId="0" xfId="0" applyNumberFormat="1" applyFont="1" applyBorder="1"/>
    <xf numFmtId="0" fontId="0" fillId="0" borderId="0" xfId="0"/>
    <xf numFmtId="0" fontId="0" fillId="0" borderId="0" xfId="0" applyBorder="1"/>
    <xf numFmtId="0" fontId="1" fillId="0" borderId="8" xfId="0" applyFont="1" applyBorder="1" applyAlignment="1">
      <alignment vertical="center"/>
    </xf>
    <xf numFmtId="0" fontId="1" fillId="0" borderId="4" xfId="0" applyFont="1" applyBorder="1" applyAlignment="1">
      <alignment vertical="center"/>
    </xf>
    <xf numFmtId="164" fontId="1" fillId="0" borderId="2" xfId="0" applyNumberFormat="1" applyFont="1" applyBorder="1" applyAlignment="1">
      <alignment vertical="center"/>
    </xf>
    <xf numFmtId="0" fontId="0" fillId="0" borderId="12" xfId="0" applyBorder="1"/>
    <xf numFmtId="0" fontId="0" fillId="0" borderId="14" xfId="0" applyBorder="1"/>
    <xf numFmtId="0" fontId="1" fillId="0" borderId="18" xfId="0" applyFont="1" applyBorder="1" applyAlignment="1">
      <alignment vertical="center"/>
    </xf>
    <xf numFmtId="164" fontId="1" fillId="0" borderId="18" xfId="0" applyNumberFormat="1" applyFont="1" applyBorder="1" applyAlignment="1">
      <alignment vertical="center"/>
    </xf>
    <xf numFmtId="165" fontId="1" fillId="0" borderId="2" xfId="0" applyNumberFormat="1" applyFont="1" applyBorder="1" applyAlignment="1">
      <alignment vertical="center"/>
    </xf>
    <xf numFmtId="166" fontId="1" fillId="0" borderId="2" xfId="0" applyNumberFormat="1" applyFont="1" applyBorder="1" applyAlignment="1">
      <alignment vertical="center"/>
    </xf>
    <xf numFmtId="0" fontId="0" fillId="0" borderId="0" xfId="0" applyBorder="1"/>
    <xf numFmtId="0" fontId="0" fillId="0" borderId="0" xfId="0" applyFill="1" applyBorder="1"/>
    <xf numFmtId="0" fontId="1" fillId="0" borderId="8" xfId="0" applyFont="1" applyBorder="1" applyAlignment="1">
      <alignment vertical="center"/>
    </xf>
    <xf numFmtId="0" fontId="1" fillId="0" borderId="8" xfId="0" applyFont="1" applyBorder="1" applyAlignment="1">
      <alignment vertical="center"/>
    </xf>
    <xf numFmtId="0" fontId="1" fillId="0" borderId="8" xfId="0" applyFont="1" applyBorder="1" applyAlignment="1">
      <alignment vertical="center"/>
    </xf>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6" fillId="0" borderId="0" xfId="0" applyFont="1" applyBorder="1"/>
    <xf numFmtId="9" fontId="6" fillId="0" borderId="0" xfId="0" applyNumberFormat="1" applyFont="1" applyBorder="1"/>
    <xf numFmtId="10" fontId="6" fillId="0" borderId="0" xfId="0" applyNumberFormat="1" applyFont="1" applyBorder="1"/>
    <xf numFmtId="0" fontId="3" fillId="2" borderId="0" xfId="0" applyFont="1" applyFill="1" applyBorder="1" applyAlignment="1">
      <alignment horizontal="left" vertical="center"/>
    </xf>
    <xf numFmtId="2" fontId="5" fillId="2" borderId="0" xfId="0" applyNumberFormat="1" applyFont="1" applyFill="1" applyBorder="1" applyAlignment="1">
      <alignment vertical="center"/>
    </xf>
    <xf numFmtId="0" fontId="0" fillId="2" borderId="0" xfId="0" applyFill="1"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2" borderId="26" xfId="0" applyFill="1" applyBorder="1"/>
    <xf numFmtId="0" fontId="0" fillId="0" borderId="27" xfId="0" applyBorder="1"/>
    <xf numFmtId="0" fontId="0" fillId="0" borderId="28" xfId="0" applyBorder="1"/>
    <xf numFmtId="0" fontId="0" fillId="0" borderId="29" xfId="0" applyBorder="1"/>
    <xf numFmtId="0" fontId="0" fillId="0" borderId="0" xfId="0" applyBorder="1"/>
    <xf numFmtId="0" fontId="0" fillId="0" borderId="0" xfId="0" applyBorder="1"/>
    <xf numFmtId="0" fontId="1" fillId="0" borderId="8" xfId="0" applyFont="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0" fillId="0" borderId="26" xfId="0" applyBorder="1" applyAlignment="1">
      <alignment horizontal="center" vertical="center"/>
    </xf>
    <xf numFmtId="0" fontId="0" fillId="0" borderId="26" xfId="0" applyBorder="1" applyAlignment="1">
      <alignment vertical="center"/>
    </xf>
    <xf numFmtId="1" fontId="5" fillId="2" borderId="0" xfId="0" applyNumberFormat="1" applyFont="1" applyFill="1" applyBorder="1" applyAlignment="1">
      <alignment vertical="center"/>
    </xf>
  </cellXfs>
  <cellStyles count="2">
    <cellStyle name="Normal" xfId="0" builtinId="0"/>
    <cellStyle name="Percent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F58-42F5-88D2-A462A85C155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OF'!$G$8</c:f>
              <c:strCache>
                <c:ptCount val="1"/>
                <c:pt idx="0">
                  <c:v>AAA EQUIVALENT</c:v>
                </c:pt>
              </c:strCache>
            </c:strRef>
          </c:cat>
          <c:val>
            <c:numRef>
              <c:f>'IDFC OF'!$H$8</c:f>
              <c:numCache>
                <c:formatCode>0%</c:formatCode>
                <c:ptCount val="1"/>
                <c:pt idx="0">
                  <c:v>1</c:v>
                </c:pt>
              </c:numCache>
            </c:numRef>
          </c:val>
          <c:extLst>
            <c:ext xmlns:c16="http://schemas.microsoft.com/office/drawing/2014/chart" uri="{C3380CC4-5D6E-409C-BE32-E72D297353CC}">
              <c16:uniqueId val="{0000000C-3F58-42F5-88D2-A462A85C155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CF7-45A7-A982-12B5058D01A0}"/>
                </c:ext>
              </c:extLst>
            </c:dLbl>
            <c:dLbl>
              <c:idx val="1"/>
              <c:layout>
                <c:manualLayout>
                  <c:x val="-0.31866984774654772"/>
                  <c:y val="-1.248573928258967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0CF7-45A7-A982-12B5058D01A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OF'!$J$9:$J$10</c:f>
              <c:strCache>
                <c:ptCount val="2"/>
                <c:pt idx="0">
                  <c:v>Net Current Asset</c:v>
                </c:pt>
                <c:pt idx="1">
                  <c:v>TRI Party Repo</c:v>
                </c:pt>
              </c:strCache>
            </c:strRef>
          </c:cat>
          <c:val>
            <c:numRef>
              <c:f>'IDFC OF'!$K$9:$K$10</c:f>
              <c:numCache>
                <c:formatCode>0.00%</c:formatCode>
                <c:ptCount val="2"/>
                <c:pt idx="0">
                  <c:v>8.201E-3</c:v>
                </c:pt>
                <c:pt idx="1">
                  <c:v>0.99179899999999999</c:v>
                </c:pt>
              </c:numCache>
            </c:numRef>
          </c:val>
          <c:extLst>
            <c:ext xmlns:c16="http://schemas.microsoft.com/office/drawing/2014/chart" uri="{C3380CC4-5D6E-409C-BE32-E72D297353CC}">
              <c16:uniqueId val="{0000000C-0CF7-45A7-A982-12B5058D01A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1477440186143757"/>
                  <c:y val="-1.99115044247787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9BD-40BF-B14A-327A9AE8D3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CF'!$G$8</c:f>
              <c:strCache>
                <c:ptCount val="1"/>
                <c:pt idx="0">
                  <c:v>AAA EQUIVALENT</c:v>
                </c:pt>
              </c:strCache>
            </c:strRef>
          </c:cat>
          <c:val>
            <c:numRef>
              <c:f>'IDFC CF'!$H$8</c:f>
              <c:numCache>
                <c:formatCode>0%</c:formatCode>
                <c:ptCount val="1"/>
                <c:pt idx="0">
                  <c:v>1</c:v>
                </c:pt>
              </c:numCache>
            </c:numRef>
          </c:val>
          <c:extLst>
            <c:ext xmlns:c16="http://schemas.microsoft.com/office/drawing/2014/chart" uri="{C3380CC4-5D6E-409C-BE32-E72D297353CC}">
              <c16:uniqueId val="{0000000C-99BD-40BF-B14A-327A9AE8D3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0E5-44EC-8E33-3F4DEE1C4CE1}"/>
                </c:ext>
              </c:extLst>
            </c:dLbl>
            <c:dLbl>
              <c:idx val="1"/>
              <c:layout>
                <c:manualLayout>
                  <c:x val="-5.1040988720093071E-2"/>
                  <c:y val="-0.1111925240114216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0E5-44EC-8E33-3F4DEE1C4CE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0E5-44EC-8E33-3F4DEE1C4CE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0E5-44EC-8E33-3F4DEE1C4CE1}"/>
                </c:ext>
              </c:extLst>
            </c:dLbl>
            <c:dLbl>
              <c:idx val="4"/>
              <c:layout>
                <c:manualLayout>
                  <c:x val="4.3439528570705967E-2"/>
                  <c:y val="0.1549855498831876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0E5-44EC-8E33-3F4DEE1C4CE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0E5-44EC-8E33-3F4DEE1C4CE1}"/>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0E5-44EC-8E33-3F4DEE1C4CE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CF'!$J$9:$J$15</c:f>
              <c:strCache>
                <c:ptCount val="7"/>
                <c:pt idx="0">
                  <c:v>Net Current Asset</c:v>
                </c:pt>
                <c:pt idx="1">
                  <c:v>TRI Party Repo</c:v>
                </c:pt>
                <c:pt idx="2">
                  <c:v>Certificate of Deposit</c:v>
                </c:pt>
                <c:pt idx="3">
                  <c:v>Corporate Bond</c:v>
                </c:pt>
                <c:pt idx="4">
                  <c:v>Commercial Paper</c:v>
                </c:pt>
                <c:pt idx="5">
                  <c:v>Treasury Bill</c:v>
                </c:pt>
                <c:pt idx="6">
                  <c:v>Zero Coupon Bond</c:v>
                </c:pt>
              </c:strCache>
            </c:strRef>
          </c:cat>
          <c:val>
            <c:numRef>
              <c:f>'IDFC CF'!$K$9:$K$15</c:f>
              <c:numCache>
                <c:formatCode>0.00%</c:formatCode>
                <c:ptCount val="7"/>
                <c:pt idx="0">
                  <c:v>-2.5357000000000001E-2</c:v>
                </c:pt>
                <c:pt idx="1">
                  <c:v>0.33085300000000001</c:v>
                </c:pt>
                <c:pt idx="2">
                  <c:v>0.100148</c:v>
                </c:pt>
                <c:pt idx="3">
                  <c:v>7.0028999999999994E-2</c:v>
                </c:pt>
                <c:pt idx="4">
                  <c:v>0.28265699999999999</c:v>
                </c:pt>
                <c:pt idx="5">
                  <c:v>0.22834299999999999</c:v>
                </c:pt>
                <c:pt idx="6">
                  <c:v>1.3327E-2</c:v>
                </c:pt>
              </c:numCache>
            </c:numRef>
          </c:val>
          <c:extLst>
            <c:ext xmlns:c16="http://schemas.microsoft.com/office/drawing/2014/chart" uri="{C3380CC4-5D6E-409C-BE32-E72D297353CC}">
              <c16:uniqueId val="{0000000C-20E5-44EC-8E33-3F4DEE1C4CE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4.845814977973568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2C5-4401-ABBA-04A011F5E08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LDF'!$G$8</c:f>
              <c:strCache>
                <c:ptCount val="1"/>
                <c:pt idx="0">
                  <c:v>AAA EQUIVALENT</c:v>
                </c:pt>
              </c:strCache>
            </c:strRef>
          </c:cat>
          <c:val>
            <c:numRef>
              <c:f>'IDFC LDF'!$H$8</c:f>
              <c:numCache>
                <c:formatCode>0%</c:formatCode>
                <c:ptCount val="1"/>
                <c:pt idx="0">
                  <c:v>1</c:v>
                </c:pt>
              </c:numCache>
            </c:numRef>
          </c:val>
          <c:extLst>
            <c:ext xmlns:c16="http://schemas.microsoft.com/office/drawing/2014/chart" uri="{C3380CC4-5D6E-409C-BE32-E72D297353CC}">
              <c16:uniqueId val="{0000000C-D2C5-4401-ABBA-04A011F5E08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LDF'!$K$8</c:f>
              <c:strCache>
                <c:ptCount val="1"/>
                <c:pt idx="0">
                  <c:v>Total</c:v>
                </c:pt>
              </c:strCache>
            </c:strRef>
          </c:tx>
          <c:dLbls>
            <c:dLbl>
              <c:idx val="0"/>
              <c:layout>
                <c:manualLayout>
                  <c:x val="0.14615775008851944"/>
                  <c:y val="-5.212237783254192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C87-4F9B-B1A1-C1DBFAC837B0}"/>
                </c:ext>
              </c:extLst>
            </c:dLbl>
            <c:dLbl>
              <c:idx val="1"/>
              <c:layout>
                <c:manualLayout>
                  <c:x val="6.2043028882631641E-2"/>
                  <c:y val="-8.70922814037558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C87-4F9B-B1A1-C1DBFAC837B0}"/>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C87-4F9B-B1A1-C1DBFAC837B0}"/>
                </c:ext>
              </c:extLst>
            </c:dLbl>
            <c:dLbl>
              <c:idx val="3"/>
              <c:layout>
                <c:manualLayout>
                  <c:x val="-0.15836230588949401"/>
                  <c:y val="6.798615821877226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C87-4F9B-B1A1-C1DBFAC837B0}"/>
                </c:ext>
              </c:extLst>
            </c:dLbl>
            <c:dLbl>
              <c:idx val="4"/>
              <c:layout>
                <c:manualLayout>
                  <c:x val="0.15806479623665887"/>
                  <c:y val="0.583705510093680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C87-4F9B-B1A1-C1DBFAC837B0}"/>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C87-4F9B-B1A1-C1DBFAC837B0}"/>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C87-4F9B-B1A1-C1DBFAC837B0}"/>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C87-4F9B-B1A1-C1DBFAC837B0}"/>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4C87-4F9B-B1A1-C1DBFAC837B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LDF'!$J$9:$J$17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LDF'!$K$9:$K$17</c:f>
              <c:numCache>
                <c:formatCode>0.00%</c:formatCode>
                <c:ptCount val="9"/>
                <c:pt idx="0">
                  <c:v>3.3366E-2</c:v>
                </c:pt>
                <c:pt idx="1">
                  <c:v>0.21176200000000001</c:v>
                </c:pt>
                <c:pt idx="2">
                  <c:v>9.9168999999999993E-2</c:v>
                </c:pt>
                <c:pt idx="3">
                  <c:v>0.41834300000000002</c:v>
                </c:pt>
                <c:pt idx="4">
                  <c:v>7.7059000000000002E-2</c:v>
                </c:pt>
                <c:pt idx="5">
                  <c:v>1.5990000000000001E-2</c:v>
                </c:pt>
                <c:pt idx="6">
                  <c:v>0.107893</c:v>
                </c:pt>
                <c:pt idx="7">
                  <c:v>1.8532E-2</c:v>
                </c:pt>
                <c:pt idx="8">
                  <c:v>1.7885999999999999E-2</c:v>
                </c:pt>
              </c:numCache>
            </c:numRef>
          </c:val>
          <c:extLst>
            <c:ext xmlns:c16="http://schemas.microsoft.com/office/drawing/2014/chart" uri="{C3380CC4-5D6E-409C-BE32-E72D297353CC}">
              <c16:uniqueId val="{0000000C-4C87-4F9B-B1A1-C1DBFAC837B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4CD-4268-B389-D166912D39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MMF'!$G$8</c:f>
              <c:strCache>
                <c:ptCount val="1"/>
                <c:pt idx="0">
                  <c:v>AAA EQUIVALENT</c:v>
                </c:pt>
              </c:strCache>
            </c:strRef>
          </c:cat>
          <c:val>
            <c:numRef>
              <c:f>'IDFC MMF'!$H$8</c:f>
              <c:numCache>
                <c:formatCode>0%</c:formatCode>
                <c:ptCount val="1"/>
                <c:pt idx="0">
                  <c:v>1</c:v>
                </c:pt>
              </c:numCache>
            </c:numRef>
          </c:val>
          <c:extLst>
            <c:ext xmlns:c16="http://schemas.microsoft.com/office/drawing/2014/chart" uri="{C3380CC4-5D6E-409C-BE32-E72D297353CC}">
              <c16:uniqueId val="{0000000C-F4CD-4268-B389-D166912D39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MMF'!$K$8</c:f>
              <c:strCache>
                <c:ptCount val="1"/>
                <c:pt idx="0">
                  <c:v>Total</c:v>
                </c:pt>
              </c:strCache>
            </c:strRef>
          </c:tx>
          <c:dLbls>
            <c:dLbl>
              <c:idx val="0"/>
              <c:layout>
                <c:manualLayout>
                  <c:x val="-0.10037557537641842"/>
                  <c:y val="3.75382348153162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14B-44E8-8BC5-34ABC4A78E81}"/>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14B-44E8-8BC5-34ABC4A78E8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14B-44E8-8BC5-34ABC4A78E81}"/>
                </c:ext>
              </c:extLst>
            </c:dLbl>
            <c:dLbl>
              <c:idx val="3"/>
              <c:layout>
                <c:manualLayout>
                  <c:x val="-0.17335952384966868"/>
                  <c:y val="-1.259808247581674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14B-44E8-8BC5-34ABC4A78E8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14B-44E8-8BC5-34ABC4A78E8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14B-44E8-8BC5-34ABC4A78E81}"/>
                </c:ext>
              </c:extLst>
            </c:dLbl>
            <c:dLbl>
              <c:idx val="6"/>
              <c:layout>
                <c:manualLayout>
                  <c:x val="0.35828643207607608"/>
                  <c:y val="-9.3090572601166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14B-44E8-8BC5-34ABC4A78E8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MMF'!$J$9:$J$15</c:f>
              <c:strCache>
                <c:ptCount val="7"/>
                <c:pt idx="0">
                  <c:v>Net Current Asset</c:v>
                </c:pt>
                <c:pt idx="1">
                  <c:v>TRI Party Repo</c:v>
                </c:pt>
                <c:pt idx="2">
                  <c:v>Certificate of Deposit</c:v>
                </c:pt>
                <c:pt idx="3">
                  <c:v>Commercial Paper</c:v>
                </c:pt>
                <c:pt idx="4">
                  <c:v>Government Bond</c:v>
                </c:pt>
                <c:pt idx="5">
                  <c:v>State Government Bond</c:v>
                </c:pt>
                <c:pt idx="6">
                  <c:v>Treasury Bill</c:v>
                </c:pt>
              </c:strCache>
            </c:strRef>
          </c:cat>
          <c:val>
            <c:numRef>
              <c:f>'IDFC MMF'!$K$9:$K$15</c:f>
              <c:numCache>
                <c:formatCode>0.00%</c:formatCode>
                <c:ptCount val="7"/>
                <c:pt idx="0">
                  <c:v>2.7039999999999998E-3</c:v>
                </c:pt>
                <c:pt idx="1">
                  <c:v>2.1971000000000001E-2</c:v>
                </c:pt>
                <c:pt idx="2">
                  <c:v>0.27649299999999999</c:v>
                </c:pt>
                <c:pt idx="3">
                  <c:v>0.476831</c:v>
                </c:pt>
                <c:pt idx="4">
                  <c:v>1.1436E-2</c:v>
                </c:pt>
                <c:pt idx="5">
                  <c:v>0.20063300000000001</c:v>
                </c:pt>
                <c:pt idx="6">
                  <c:v>9.9319999999999999E-3</c:v>
                </c:pt>
              </c:numCache>
            </c:numRef>
          </c:val>
          <c:extLst>
            <c:ext xmlns:c16="http://schemas.microsoft.com/office/drawing/2014/chart" uri="{C3380CC4-5D6E-409C-BE32-E72D297353CC}">
              <c16:uniqueId val="{0000000C-414B-44E8-8BC5-34ABC4A78E8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3.964757709251101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87D-48B4-A9AA-AAC6D1D99ED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USTF'!$G$8</c:f>
              <c:strCache>
                <c:ptCount val="1"/>
                <c:pt idx="0">
                  <c:v>AAA EQUIVALENT</c:v>
                </c:pt>
              </c:strCache>
            </c:strRef>
          </c:cat>
          <c:val>
            <c:numRef>
              <c:f>'IDFC USTF'!$H$8</c:f>
              <c:numCache>
                <c:formatCode>0%</c:formatCode>
                <c:ptCount val="1"/>
                <c:pt idx="0">
                  <c:v>1</c:v>
                </c:pt>
              </c:numCache>
            </c:numRef>
          </c:val>
          <c:extLst>
            <c:ext xmlns:c16="http://schemas.microsoft.com/office/drawing/2014/chart" uri="{C3380CC4-5D6E-409C-BE32-E72D297353CC}">
              <c16:uniqueId val="{0000000C-287D-48B4-A9AA-AAC6D1D99ED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USTF'!$K$8</c:f>
              <c:strCache>
                <c:ptCount val="1"/>
                <c:pt idx="0">
                  <c:v>Total</c:v>
                </c:pt>
              </c:strCache>
            </c:strRef>
          </c:tx>
          <c:dLbls>
            <c:dLbl>
              <c:idx val="0"/>
              <c:layout>
                <c:manualLayout>
                  <c:x val="0.22676592085518218"/>
                  <c:y val="-3.80085372697743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4A6-4AC5-8838-FE95147C40C7}"/>
                </c:ext>
              </c:extLst>
            </c:dLbl>
            <c:dLbl>
              <c:idx val="1"/>
              <c:layout>
                <c:manualLayout>
                  <c:x val="0.11927059974034294"/>
                  <c:y val="-7.911770207989660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4A6-4AC5-8838-FE95147C40C7}"/>
                </c:ext>
              </c:extLst>
            </c:dLbl>
            <c:dLbl>
              <c:idx val="2"/>
              <c:layout>
                <c:manualLayout>
                  <c:x val="-8.1397427034682768E-3"/>
                  <c:y val="0.312432441625142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4A6-4AC5-8838-FE95147C40C7}"/>
                </c:ext>
              </c:extLst>
            </c:dLbl>
            <c:dLbl>
              <c:idx val="3"/>
              <c:layout>
                <c:manualLayout>
                  <c:x val="-0.126743917449291"/>
                  <c:y val="5.006037312290607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4A6-4AC5-8838-FE95147C40C7}"/>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A4A6-4AC5-8838-FE95147C40C7}"/>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A4A6-4AC5-8838-FE95147C40C7}"/>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A4A6-4AC5-8838-FE95147C40C7}"/>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A4A6-4AC5-8838-FE95147C40C7}"/>
                </c:ext>
              </c:extLst>
            </c:dLbl>
            <c:dLbl>
              <c:idx val="8"/>
              <c:layout>
                <c:manualLayout>
                  <c:x val="0.21186776037363639"/>
                  <c:y val="-3.2608969235217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A4A6-4AC5-8838-FE95147C40C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USTF'!$J$9:$J$17</c:f>
              <c:strCache>
                <c:ptCount val="9"/>
                <c:pt idx="0">
                  <c:v>Net Current Asset</c:v>
                </c:pt>
                <c:pt idx="1">
                  <c:v>TRI Party Repo</c:v>
                </c:pt>
                <c:pt idx="2">
                  <c:v>Certificate of Deposit</c:v>
                </c:pt>
                <c:pt idx="3">
                  <c:v>Corporate Bond</c:v>
                </c:pt>
                <c:pt idx="4">
                  <c:v>Commercial Paper</c:v>
                </c:pt>
                <c:pt idx="5">
                  <c:v>Floating Rate Note</c:v>
                </c:pt>
                <c:pt idx="6">
                  <c:v>State Government Bond</c:v>
                </c:pt>
                <c:pt idx="7">
                  <c:v>Treasury Bill</c:v>
                </c:pt>
                <c:pt idx="8">
                  <c:v>Zero Coupon Bond</c:v>
                </c:pt>
              </c:strCache>
            </c:strRef>
          </c:cat>
          <c:val>
            <c:numRef>
              <c:f>'IDFC USTF'!$K$9:$K$17</c:f>
              <c:numCache>
                <c:formatCode>0.00%</c:formatCode>
                <c:ptCount val="9"/>
                <c:pt idx="0">
                  <c:v>8.1759999999999992E-3</c:v>
                </c:pt>
                <c:pt idx="1">
                  <c:v>0.19387499999999999</c:v>
                </c:pt>
                <c:pt idx="2">
                  <c:v>0.19009300000000001</c:v>
                </c:pt>
                <c:pt idx="3">
                  <c:v>0.33824100000000001</c:v>
                </c:pt>
                <c:pt idx="4">
                  <c:v>0.173704</c:v>
                </c:pt>
                <c:pt idx="5">
                  <c:v>2.3203999999999999E-2</c:v>
                </c:pt>
                <c:pt idx="6">
                  <c:v>3.8113000000000001E-2</c:v>
                </c:pt>
                <c:pt idx="7">
                  <c:v>5.7670000000000004E-3</c:v>
                </c:pt>
                <c:pt idx="8">
                  <c:v>2.8826999999999998E-2</c:v>
                </c:pt>
              </c:numCache>
            </c:numRef>
          </c:val>
          <c:extLst>
            <c:ext xmlns:c16="http://schemas.microsoft.com/office/drawing/2014/chart" uri="{C3380CC4-5D6E-409C-BE32-E72D297353CC}">
              <c16:uniqueId val="{0000000C-A4A6-4AC5-8838-FE95147C40C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3.52422907488986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35A-47A9-B5CA-DB52EF041D4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DBF'!$G$8</c:f>
              <c:strCache>
                <c:ptCount val="1"/>
                <c:pt idx="0">
                  <c:v>AAA EQUIVALENT</c:v>
                </c:pt>
              </c:strCache>
            </c:strRef>
          </c:cat>
          <c:val>
            <c:numRef>
              <c:f>'IDFC DBF'!$H$8</c:f>
              <c:numCache>
                <c:formatCode>0%</c:formatCode>
                <c:ptCount val="1"/>
                <c:pt idx="0">
                  <c:v>1</c:v>
                </c:pt>
              </c:numCache>
            </c:numRef>
          </c:val>
          <c:extLst>
            <c:ext xmlns:c16="http://schemas.microsoft.com/office/drawing/2014/chart" uri="{C3380CC4-5D6E-409C-BE32-E72D297353CC}">
              <c16:uniqueId val="{0000000C-535A-47A9-B5CA-DB52EF041D4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744F-460E-BFBD-6FD7A2A9F7F1}"/>
                </c:ext>
              </c:extLst>
            </c:dLbl>
            <c:dLbl>
              <c:idx val="1"/>
              <c:layout>
                <c:manualLayout>
                  <c:x val="-0.20956861521860087"/>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744F-460E-BFBD-6FD7A2A9F7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DBF'!$J$9:$J$10</c:f>
              <c:strCache>
                <c:ptCount val="2"/>
                <c:pt idx="0">
                  <c:v>Net Current Asset</c:v>
                </c:pt>
                <c:pt idx="1">
                  <c:v>Government Bond</c:v>
                </c:pt>
              </c:strCache>
            </c:strRef>
          </c:cat>
          <c:val>
            <c:numRef>
              <c:f>'IDFC DBF'!$K$9:$K$10</c:f>
              <c:numCache>
                <c:formatCode>0.00%</c:formatCode>
                <c:ptCount val="2"/>
                <c:pt idx="0">
                  <c:v>2.3663E-2</c:v>
                </c:pt>
                <c:pt idx="1">
                  <c:v>0.97633700000000001</c:v>
                </c:pt>
              </c:numCache>
            </c:numRef>
          </c:val>
          <c:extLst>
            <c:ext xmlns:c16="http://schemas.microsoft.com/office/drawing/2014/chart" uri="{C3380CC4-5D6E-409C-BE32-E72D297353CC}">
              <c16:uniqueId val="{0000000C-744F-460E-BFBD-6FD7A2A9F7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8A1-48E5-9FAD-AE04FEDDF94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IP'!$G$8</c:f>
              <c:strCache>
                <c:ptCount val="1"/>
                <c:pt idx="0">
                  <c:v>AAA EQUIVALENT</c:v>
                </c:pt>
              </c:strCache>
            </c:strRef>
          </c:cat>
          <c:val>
            <c:numRef>
              <c:f>'IDFC BOND IP'!$H$8</c:f>
              <c:numCache>
                <c:formatCode>0%</c:formatCode>
                <c:ptCount val="1"/>
                <c:pt idx="0">
                  <c:v>1</c:v>
                </c:pt>
              </c:numCache>
            </c:numRef>
          </c:val>
          <c:extLst>
            <c:ext xmlns:c16="http://schemas.microsoft.com/office/drawing/2014/chart" uri="{C3380CC4-5D6E-409C-BE32-E72D297353CC}">
              <c16:uniqueId val="{0000000C-C8A1-48E5-9FAD-AE04FEDDF94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IP'!$K$8</c:f>
              <c:strCache>
                <c:ptCount val="1"/>
                <c:pt idx="0">
                  <c:v>Total</c:v>
                </c:pt>
              </c:strCache>
            </c:strRef>
          </c:tx>
          <c:dLbls>
            <c:dLbl>
              <c:idx val="0"/>
              <c:layout>
                <c:manualLayout>
                  <c:x val="0.17461818611003388"/>
                  <c:y val="-1.60335958005249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C9D-44A5-BB9B-C985441ECDFC}"/>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C9D-44A5-BB9B-C985441ECDFC}"/>
                </c:ext>
              </c:extLst>
            </c:dLbl>
            <c:dLbl>
              <c:idx val="2"/>
              <c:layout>
                <c:manualLayout>
                  <c:x val="-0.15494503363739062"/>
                  <c:y val="-3.91524059492563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C9D-44A5-BB9B-C985441ECDF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IP'!$J$9:$J$11</c:f>
              <c:strCache>
                <c:ptCount val="3"/>
                <c:pt idx="0">
                  <c:v>Net Current Asset</c:v>
                </c:pt>
                <c:pt idx="1">
                  <c:v>TRI Party Repo</c:v>
                </c:pt>
                <c:pt idx="2">
                  <c:v>Government Bond</c:v>
                </c:pt>
              </c:strCache>
            </c:strRef>
          </c:cat>
          <c:val>
            <c:numRef>
              <c:f>'IDFC BOND IP'!$K$9:$K$11</c:f>
              <c:numCache>
                <c:formatCode>0.00%</c:formatCode>
                <c:ptCount val="3"/>
                <c:pt idx="0">
                  <c:v>1.3724E-2</c:v>
                </c:pt>
                <c:pt idx="1">
                  <c:v>2.591E-3</c:v>
                </c:pt>
                <c:pt idx="2">
                  <c:v>0.98368500000000003</c:v>
                </c:pt>
              </c:numCache>
            </c:numRef>
          </c:val>
          <c:extLst>
            <c:ext xmlns:c16="http://schemas.microsoft.com/office/drawing/2014/chart" uri="{C3380CC4-5D6E-409C-BE32-E72D297353CC}">
              <c16:uniqueId val="{0000000C-DC9D-44A5-BB9B-C985441ECDF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777226053381445"/>
                  <c:y val="-1.95652173913043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E5D-4439-A76E-A52D836EE8A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MT'!$G$8</c:f>
              <c:strCache>
                <c:ptCount val="1"/>
                <c:pt idx="0">
                  <c:v>AAA EQUIVALENT</c:v>
                </c:pt>
              </c:strCache>
            </c:strRef>
          </c:cat>
          <c:val>
            <c:numRef>
              <c:f>'IDFC BOND MT'!$H$8</c:f>
              <c:numCache>
                <c:formatCode>0%</c:formatCode>
                <c:ptCount val="1"/>
                <c:pt idx="0">
                  <c:v>1</c:v>
                </c:pt>
              </c:numCache>
            </c:numRef>
          </c:val>
          <c:extLst>
            <c:ext xmlns:c16="http://schemas.microsoft.com/office/drawing/2014/chart" uri="{C3380CC4-5D6E-409C-BE32-E72D297353CC}">
              <c16:uniqueId val="{0000000C-3E5D-4439-A76E-A52D836EE8A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MT'!$K$8</c:f>
              <c:strCache>
                <c:ptCount val="1"/>
                <c:pt idx="0">
                  <c:v>Total</c:v>
                </c:pt>
              </c:strCache>
            </c:strRef>
          </c:tx>
          <c:dLbls>
            <c:dLbl>
              <c:idx val="0"/>
              <c:layout>
                <c:manualLayout>
                  <c:x val="-0.15856134819336021"/>
                  <c:y val="-3.0539709026437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D10-4A08-8960-E3F458201E02}"/>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D10-4A08-8960-E3F458201E02}"/>
                </c:ext>
              </c:extLst>
            </c:dLbl>
            <c:dLbl>
              <c:idx val="2"/>
              <c:layout>
                <c:manualLayout>
                  <c:x val="8.2361445986275275E-2"/>
                  <c:y val="-0.167695329474544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D10-4A08-8960-E3F458201E02}"/>
                </c:ext>
              </c:extLst>
            </c:dLbl>
            <c:dLbl>
              <c:idx val="3"/>
              <c:layout>
                <c:manualLayout>
                  <c:x val="0.10668085787991705"/>
                  <c:y val="-2.444247449201300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D10-4A08-8960-E3F458201E02}"/>
                </c:ext>
              </c:extLst>
            </c:dLbl>
            <c:dLbl>
              <c:idx val="4"/>
              <c:layout>
                <c:manualLayout>
                  <c:x val="-0.12481107420458952"/>
                  <c:y val="-2.27112339434391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D10-4A08-8960-E3F458201E02}"/>
                </c:ext>
              </c:extLst>
            </c:dLbl>
            <c:dLbl>
              <c:idx val="5"/>
              <c:layout>
                <c:manualLayout>
                  <c:x val="-9.7958319985162454E-2"/>
                  <c:y val="-5.70297752516034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D10-4A08-8960-E3F458201E02}"/>
                </c:ext>
              </c:extLst>
            </c:dLbl>
            <c:dLbl>
              <c:idx val="6"/>
              <c:layout>
                <c:manualLayout>
                  <c:x val="-0.30895209833246218"/>
                  <c:y val="-5.3718516973457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D10-4A08-8960-E3F458201E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MT'!$J$9:$J$15</c:f>
              <c:strCache>
                <c:ptCount val="7"/>
                <c:pt idx="0">
                  <c:v>Net Current Asset</c:v>
                </c:pt>
                <c:pt idx="1">
                  <c:v>TRI Party Repo</c:v>
                </c:pt>
                <c:pt idx="2">
                  <c:v>Corporate Bond</c:v>
                </c:pt>
                <c:pt idx="3">
                  <c:v>Commercial Paper</c:v>
                </c:pt>
                <c:pt idx="4">
                  <c:v>Government Bond</c:v>
                </c:pt>
                <c:pt idx="5">
                  <c:v>PTC</c:v>
                </c:pt>
                <c:pt idx="6">
                  <c:v>State Government Bond</c:v>
                </c:pt>
              </c:strCache>
            </c:strRef>
          </c:cat>
          <c:val>
            <c:numRef>
              <c:f>'IDFC BOND MT'!$K$9:$K$15</c:f>
              <c:numCache>
                <c:formatCode>0.00%</c:formatCode>
                <c:ptCount val="7"/>
                <c:pt idx="0">
                  <c:v>3.3443000000000001E-2</c:v>
                </c:pt>
                <c:pt idx="1">
                  <c:v>2.2343999999999999E-2</c:v>
                </c:pt>
                <c:pt idx="2">
                  <c:v>2.1167999999999999E-2</c:v>
                </c:pt>
                <c:pt idx="3">
                  <c:v>2.801E-2</c:v>
                </c:pt>
                <c:pt idx="4">
                  <c:v>0.87089899999999998</c:v>
                </c:pt>
                <c:pt idx="5">
                  <c:v>1.1221999999999999E-2</c:v>
                </c:pt>
                <c:pt idx="6">
                  <c:v>1.2914E-2</c:v>
                </c:pt>
              </c:numCache>
            </c:numRef>
          </c:val>
          <c:extLst>
            <c:ext xmlns:c16="http://schemas.microsoft.com/office/drawing/2014/chart" uri="{C3380CC4-5D6E-409C-BE32-E72D297353CC}">
              <c16:uniqueId val="{0000000C-5D10-4A08-8960-E3F458201E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205491578006711"/>
                  <c:y val="-5.286343612334801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2A9-4CA5-AE9E-19255672C41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ST'!$G$8</c:f>
              <c:strCache>
                <c:ptCount val="1"/>
                <c:pt idx="0">
                  <c:v>AAA EQUIVALENT</c:v>
                </c:pt>
              </c:strCache>
            </c:strRef>
          </c:cat>
          <c:val>
            <c:numRef>
              <c:f>'IDFC BOND ST'!$H$8</c:f>
              <c:numCache>
                <c:formatCode>0%</c:formatCode>
                <c:ptCount val="1"/>
                <c:pt idx="0">
                  <c:v>1</c:v>
                </c:pt>
              </c:numCache>
            </c:numRef>
          </c:val>
          <c:extLst>
            <c:ext xmlns:c16="http://schemas.microsoft.com/office/drawing/2014/chart" uri="{C3380CC4-5D6E-409C-BE32-E72D297353CC}">
              <c16:uniqueId val="{0000000C-E2A9-4CA5-AE9E-19255672C41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BOND ST'!$K$8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DF2-44BC-90D9-AFB99DD6D96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DF2-44BC-90D9-AFB99DD6D96A}"/>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DF2-44BC-90D9-AFB99DD6D96A}"/>
                </c:ext>
              </c:extLst>
            </c:dLbl>
            <c:dLbl>
              <c:idx val="3"/>
              <c:layout>
                <c:manualLayout>
                  <c:x val="-8.3139742703468272E-2"/>
                  <c:y val="0.240621678015438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DF2-44BC-90D9-AFB99DD6D96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DF2-44BC-90D9-AFB99DD6D96A}"/>
                </c:ext>
              </c:extLst>
            </c:dLbl>
            <c:dLbl>
              <c:idx val="5"/>
              <c:layout>
                <c:manualLayout>
                  <c:x val="5.8782140990406177E-2"/>
                  <c:y val="0.312900505757391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DF2-44BC-90D9-AFB99DD6D96A}"/>
                </c:ext>
              </c:extLst>
            </c:dLbl>
            <c:dLbl>
              <c:idx val="6"/>
              <c:layout>
                <c:manualLayout>
                  <c:x val="-0.19419194388709976"/>
                  <c:y val="-2.704058939197485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DF2-44BC-90D9-AFB99DD6D96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BOND ST'!$J$9:$J$15</c:f>
              <c:strCache>
                <c:ptCount val="7"/>
                <c:pt idx="0">
                  <c:v>Net Current Asset</c:v>
                </c:pt>
                <c:pt idx="1">
                  <c:v>TRI Party Repo</c:v>
                </c:pt>
                <c:pt idx="2">
                  <c:v>Certificate of Deposit</c:v>
                </c:pt>
                <c:pt idx="3">
                  <c:v>Corporate Bond</c:v>
                </c:pt>
                <c:pt idx="4">
                  <c:v>Commercial Paper</c:v>
                </c:pt>
                <c:pt idx="5">
                  <c:v>Government Bond</c:v>
                </c:pt>
                <c:pt idx="6">
                  <c:v>PTC</c:v>
                </c:pt>
              </c:strCache>
            </c:strRef>
          </c:cat>
          <c:val>
            <c:numRef>
              <c:f>'IDFC BOND ST'!$K$9:$K$15</c:f>
              <c:numCache>
                <c:formatCode>0.00%</c:formatCode>
                <c:ptCount val="7"/>
                <c:pt idx="0">
                  <c:v>2.2065999999999999E-2</c:v>
                </c:pt>
                <c:pt idx="1">
                  <c:v>0.16523099999999999</c:v>
                </c:pt>
                <c:pt idx="2">
                  <c:v>1.7715000000000002E-2</c:v>
                </c:pt>
                <c:pt idx="3">
                  <c:v>0.26100899999999999</c:v>
                </c:pt>
                <c:pt idx="4">
                  <c:v>5.4780000000000002E-3</c:v>
                </c:pt>
                <c:pt idx="5">
                  <c:v>0.52389300000000005</c:v>
                </c:pt>
                <c:pt idx="6">
                  <c:v>4.6080000000000001E-3</c:v>
                </c:pt>
              </c:numCache>
            </c:numRef>
          </c:val>
          <c:extLst>
            <c:ext xmlns:c16="http://schemas.microsoft.com/office/drawing/2014/chart" uri="{C3380CC4-5D6E-409C-BE32-E72D297353CC}">
              <c16:uniqueId val="{0000000C-EDF2-44BC-90D9-AFB99DD6D96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2.2026431718061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90-4B56-A75E-036B7499FAC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BPDF'!$G$8</c:f>
              <c:strCache>
                <c:ptCount val="1"/>
                <c:pt idx="0">
                  <c:v>AAA EQUIVALENT</c:v>
                </c:pt>
              </c:strCache>
            </c:strRef>
          </c:cat>
          <c:val>
            <c:numRef>
              <c:f>'IDFC BPDF'!$H$8</c:f>
              <c:numCache>
                <c:formatCode>0%</c:formatCode>
                <c:ptCount val="1"/>
                <c:pt idx="0">
                  <c:v>1</c:v>
                </c:pt>
              </c:numCache>
            </c:numRef>
          </c:val>
          <c:extLst>
            <c:ext xmlns:c16="http://schemas.microsoft.com/office/drawing/2014/chart" uri="{C3380CC4-5D6E-409C-BE32-E72D297353CC}">
              <c16:uniqueId val="{0000000C-2990-4B56-A75E-036B7499FAC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BPDF'!$K$8</c:f>
              <c:strCache>
                <c:ptCount val="1"/>
                <c:pt idx="0">
                  <c:v>Total</c:v>
                </c:pt>
              </c:strCache>
            </c:strRef>
          </c:tx>
          <c:dLbls>
            <c:dLbl>
              <c:idx val="0"/>
              <c:layout>
                <c:manualLayout>
                  <c:x val="3.9451938154411642E-2"/>
                  <c:y val="2.98916779049027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99F-4E85-9307-9FDD82FDE46E}"/>
                </c:ext>
              </c:extLst>
            </c:dLbl>
            <c:dLbl>
              <c:idx val="1"/>
              <c:layout>
                <c:manualLayout>
                  <c:x val="0.13727250501610211"/>
                  <c:y val="-0.1238630530299734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99F-4E85-9307-9FDD82FDE46E}"/>
                </c:ext>
              </c:extLst>
            </c:dLbl>
            <c:dLbl>
              <c:idx val="2"/>
              <c:layout>
                <c:manualLayout>
                  <c:x val="0.11062149083612942"/>
                  <c:y val="-4.92107713055205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99F-4E85-9307-9FDD82FDE46E}"/>
                </c:ext>
              </c:extLst>
            </c:dLbl>
            <c:dLbl>
              <c:idx val="3"/>
              <c:layout>
                <c:manualLayout>
                  <c:x val="-0.27422212480399266"/>
                  <c:y val="2.62684125810240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99F-4E85-9307-9FDD82FDE46E}"/>
                </c:ext>
              </c:extLst>
            </c:dLbl>
            <c:dLbl>
              <c:idx val="4"/>
              <c:layout>
                <c:manualLayout>
                  <c:x val="-0.13311858233994842"/>
                  <c:y val="-8.15521816678992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99F-4E85-9307-9FDD82FDE46E}"/>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99F-4E85-9307-9FDD82FDE46E}"/>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99F-4E85-9307-9FDD82FDE46E}"/>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399F-4E85-9307-9FDD82FDE46E}"/>
                </c:ext>
              </c:extLst>
            </c:dLbl>
            <c:dLbl>
              <c:idx val="8"/>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399F-4E85-9307-9FDD82FDE46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BPDF'!$J$9:$J$17</c:f>
              <c:strCache>
                <c:ptCount val="9"/>
                <c:pt idx="0">
                  <c:v>Net Current Asset</c:v>
                </c:pt>
                <c:pt idx="1">
                  <c:v>TRI Party Repo</c:v>
                </c:pt>
                <c:pt idx="2">
                  <c:v>Certificate of Deposit</c:v>
                </c:pt>
                <c:pt idx="3">
                  <c:v>Corporate Bond</c:v>
                </c:pt>
                <c:pt idx="4">
                  <c:v>Commercial Paper</c:v>
                </c:pt>
                <c:pt idx="5">
                  <c:v>Floating Rate Note</c:v>
                </c:pt>
                <c:pt idx="6">
                  <c:v>Government Bond</c:v>
                </c:pt>
                <c:pt idx="7">
                  <c:v>State Government Bond</c:v>
                </c:pt>
                <c:pt idx="8">
                  <c:v>Zero Coupon Bond</c:v>
                </c:pt>
              </c:strCache>
            </c:strRef>
          </c:cat>
          <c:val>
            <c:numRef>
              <c:f>'IDFC BPDF'!$K$9:$K$17</c:f>
              <c:numCache>
                <c:formatCode>0.00%</c:formatCode>
                <c:ptCount val="9"/>
                <c:pt idx="0">
                  <c:v>2.4851999999999999E-2</c:v>
                </c:pt>
                <c:pt idx="1">
                  <c:v>2.9988999999999998E-2</c:v>
                </c:pt>
                <c:pt idx="2">
                  <c:v>9.1305999999999998E-2</c:v>
                </c:pt>
                <c:pt idx="3">
                  <c:v>0.74284099999999997</c:v>
                </c:pt>
                <c:pt idx="4">
                  <c:v>5.4070000000000003E-3</c:v>
                </c:pt>
                <c:pt idx="5">
                  <c:v>1.66E-3</c:v>
                </c:pt>
                <c:pt idx="6">
                  <c:v>8.1888000000000002E-2</c:v>
                </c:pt>
                <c:pt idx="7">
                  <c:v>2.1892000000000002E-2</c:v>
                </c:pt>
                <c:pt idx="8">
                  <c:v>1.65E-4</c:v>
                </c:pt>
              </c:numCache>
            </c:numRef>
          </c:val>
          <c:extLst>
            <c:ext xmlns:c16="http://schemas.microsoft.com/office/drawing/2014/chart" uri="{C3380CC4-5D6E-409C-BE32-E72D297353CC}">
              <c16:uniqueId val="{0000000C-399F-4E85-9307-9FDD82FDE46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850031192567738"/>
                  <c:y val="-1.321585903083700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B19-47E9-BB7E-0A6C4773922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'IDFC-CBF'!$G$8</c:f>
              <c:strCache>
                <c:ptCount val="1"/>
                <c:pt idx="0">
                  <c:v>AAA EQUIVALENT</c:v>
                </c:pt>
              </c:strCache>
            </c:strRef>
          </c:cat>
          <c:val>
            <c:numRef>
              <c:f>'IDFC-CBF'!$H$8</c:f>
              <c:numCache>
                <c:formatCode>0%</c:formatCode>
                <c:ptCount val="1"/>
                <c:pt idx="0">
                  <c:v>1</c:v>
                </c:pt>
              </c:numCache>
            </c:numRef>
          </c:val>
          <c:extLst>
            <c:ext xmlns:c16="http://schemas.microsoft.com/office/drawing/2014/chart" uri="{C3380CC4-5D6E-409C-BE32-E72D297353CC}">
              <c16:uniqueId val="{0000000C-BB19-47E9-BB7E-0A6C4773922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'IDFC-CBF'!$K$8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8B-4BDF-8CA5-EA4C81099D5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A8B-4BDF-8CA5-EA4C81099D59}"/>
                </c:ext>
              </c:extLst>
            </c:dLbl>
            <c:dLbl>
              <c:idx val="2"/>
              <c:layout>
                <c:manualLayout>
                  <c:x val="0.21428080055303581"/>
                  <c:y val="2.03237961591434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A8B-4BDF-8CA5-EA4C81099D59}"/>
                </c:ext>
              </c:extLst>
            </c:dLbl>
            <c:dLbl>
              <c:idx val="3"/>
              <c:layout>
                <c:manualLayout>
                  <c:x val="-8.3084101906961846E-2"/>
                  <c:y val="7.179473852897100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A8B-4BDF-8CA5-EA4C81099D59}"/>
                </c:ext>
              </c:extLst>
            </c:dLbl>
            <c:dLbl>
              <c:idx val="4"/>
              <c:layout>
                <c:manualLayout>
                  <c:x val="7.3688647591427948E-3"/>
                  <c:y val="0.4762662092980951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A8B-4BDF-8CA5-EA4C81099D5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4A8B-4BDF-8CA5-EA4C81099D5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4A8B-4BDF-8CA5-EA4C81099D59}"/>
                </c:ext>
              </c:extLst>
            </c:dLbl>
            <c:dLbl>
              <c:idx val="7"/>
              <c:layout>
                <c:manualLayout>
                  <c:x val="-8.190662462695375E-2"/>
                  <c:y val="2.33316874994586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4A8B-4BDF-8CA5-EA4C81099D5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'IDFC-CBF'!$J$9:$J$16</c:f>
              <c:strCache>
                <c:ptCount val="8"/>
                <c:pt idx="0">
                  <c:v>Net Current Asset</c:v>
                </c:pt>
                <c:pt idx="1">
                  <c:v>TRI Party Repo</c:v>
                </c:pt>
                <c:pt idx="2">
                  <c:v>Certificate of Deposit</c:v>
                </c:pt>
                <c:pt idx="3">
                  <c:v>Corporate Bond</c:v>
                </c:pt>
                <c:pt idx="4">
                  <c:v>Commercial Paper</c:v>
                </c:pt>
                <c:pt idx="5">
                  <c:v>Government Bond</c:v>
                </c:pt>
                <c:pt idx="6">
                  <c:v>State Government Bond</c:v>
                </c:pt>
                <c:pt idx="7">
                  <c:v>Zero Coupon Bond</c:v>
                </c:pt>
              </c:strCache>
            </c:strRef>
          </c:cat>
          <c:val>
            <c:numRef>
              <c:f>'IDFC-CBF'!$K$9:$K$16</c:f>
              <c:numCache>
                <c:formatCode>0.00%</c:formatCode>
                <c:ptCount val="8"/>
                <c:pt idx="0">
                  <c:v>3.4453999999999999E-2</c:v>
                </c:pt>
                <c:pt idx="1">
                  <c:v>2.8400000000000002E-4</c:v>
                </c:pt>
                <c:pt idx="2">
                  <c:v>9.8469999999999999E-3</c:v>
                </c:pt>
                <c:pt idx="3">
                  <c:v>0.70610099999999998</c:v>
                </c:pt>
                <c:pt idx="4">
                  <c:v>2.493E-3</c:v>
                </c:pt>
                <c:pt idx="5">
                  <c:v>0.20849300000000001</c:v>
                </c:pt>
                <c:pt idx="6">
                  <c:v>3.823E-2</c:v>
                </c:pt>
                <c:pt idx="7">
                  <c:v>9.7999999999999997E-5</c:v>
                </c:pt>
              </c:numCache>
            </c:numRef>
          </c:val>
          <c:extLst>
            <c:ext xmlns:c16="http://schemas.microsoft.com/office/drawing/2014/chart" uri="{C3380CC4-5D6E-409C-BE32-E72D297353CC}">
              <c16:uniqueId val="{0000000C-4A8B-4BDF-8CA5-EA4C81099D5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6332807836921884"/>
                  <c:y val="-4.29515418502202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3ED-4D3C-BA47-93DE391009F1}"/>
                </c:ext>
              </c:extLst>
            </c:dLbl>
            <c:dLbl>
              <c:idx val="1"/>
              <c:layout>
                <c:manualLayout>
                  <c:x val="-8.3531926014601493E-2"/>
                  <c:y val="5.047348156370321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3ED-4D3C-BA47-93DE391009F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FRF'!$G$8:$G$9</c:f>
              <c:strCache>
                <c:ptCount val="2"/>
                <c:pt idx="0">
                  <c:v>AAA EQUIVALENT</c:v>
                </c:pt>
                <c:pt idx="1">
                  <c:v>AA+</c:v>
                </c:pt>
              </c:strCache>
            </c:strRef>
          </c:cat>
          <c:val>
            <c:numRef>
              <c:f>'IDFC FRF'!$H$8:$H$9</c:f>
              <c:numCache>
                <c:formatCode>0.00%</c:formatCode>
                <c:ptCount val="2"/>
                <c:pt idx="0">
                  <c:v>0.96345700000000001</c:v>
                </c:pt>
                <c:pt idx="1">
                  <c:v>3.6542999999999999E-2</c:v>
                </c:pt>
              </c:numCache>
            </c:numRef>
          </c:val>
          <c:extLst>
            <c:ext xmlns:c16="http://schemas.microsoft.com/office/drawing/2014/chart" uri="{C3380CC4-5D6E-409C-BE32-E72D297353CC}">
              <c16:uniqueId val="{0000000C-33ED-4D3C-BA47-93DE391009F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BE1-4DD0-84EE-247827B3382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BE1-4DD0-84EE-247827B3382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BE1-4DD0-84EE-247827B33829}"/>
                </c:ext>
              </c:extLst>
            </c:dLbl>
            <c:dLbl>
              <c:idx val="3"/>
              <c:layout>
                <c:manualLayout>
                  <c:x val="-2.0773575679913673E-2"/>
                  <c:y val="0.278172268727562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BE1-4DD0-84EE-247827B33829}"/>
                </c:ext>
              </c:extLst>
            </c:dLbl>
            <c:dLbl>
              <c:idx val="4"/>
              <c:layout>
                <c:manualLayout>
                  <c:x val="0"/>
                  <c:y val="0.2156167693401763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BE1-4DD0-84EE-247827B33829}"/>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BE1-4DD0-84EE-247827B33829}"/>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BE1-4DD0-84EE-247827B33829}"/>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DBE1-4DD0-84EE-247827B3382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FRF'!$J$9:$J$16</c:f>
              <c:strCache>
                <c:ptCount val="7"/>
                <c:pt idx="0">
                  <c:v>Net Current Asset</c:v>
                </c:pt>
                <c:pt idx="1">
                  <c:v>TRI Party Repo</c:v>
                </c:pt>
                <c:pt idx="2">
                  <c:v>Certificate of Deposit</c:v>
                </c:pt>
                <c:pt idx="3">
                  <c:v>Corporate Bond</c:v>
                </c:pt>
                <c:pt idx="4">
                  <c:v>Commercial Paper</c:v>
                </c:pt>
                <c:pt idx="5">
                  <c:v>Floating Rate Note</c:v>
                </c:pt>
                <c:pt idx="6">
                  <c:v>Government Bond</c:v>
                </c:pt>
              </c:strCache>
            </c:strRef>
          </c:cat>
          <c:val>
            <c:numRef>
              <c:f>'IDFC FRF'!$K$9:$K$16</c:f>
              <c:numCache>
                <c:formatCode>0.00%</c:formatCode>
                <c:ptCount val="8"/>
                <c:pt idx="0">
                  <c:v>3.9101999999999998E-2</c:v>
                </c:pt>
                <c:pt idx="1">
                  <c:v>0.20245099999999999</c:v>
                </c:pt>
                <c:pt idx="2">
                  <c:v>1.5415999999999999E-2</c:v>
                </c:pt>
                <c:pt idx="3">
                  <c:v>0.36130699999999999</c:v>
                </c:pt>
                <c:pt idx="4">
                  <c:v>0.180535</c:v>
                </c:pt>
                <c:pt idx="5">
                  <c:v>8.8139999999999996E-2</c:v>
                </c:pt>
                <c:pt idx="6">
                  <c:v>0.112984</c:v>
                </c:pt>
              </c:numCache>
            </c:numRef>
          </c:val>
          <c:extLst>
            <c:ext xmlns:c16="http://schemas.microsoft.com/office/drawing/2014/chart" uri="{C3380CC4-5D6E-409C-BE32-E72D297353CC}">
              <c16:uniqueId val="{0000000C-DBE1-4DD0-84EE-247827B3382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6.1405267328735941E-2"/>
                  <c:y val="0.1603456205142498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5BF-40B9-AD88-E028F1C39D05}"/>
                </c:ext>
              </c:extLst>
            </c:dLbl>
            <c:dLbl>
              <c:idx val="1"/>
              <c:layout>
                <c:manualLayout>
                  <c:x val="1.101080780320019E-2"/>
                  <c:y val="-7.71761549717789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5BF-40B9-AD88-E028F1C39D05}"/>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5BF-40B9-AD88-E028F1C39D05}"/>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5BF-40B9-AD88-E028F1C39D0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CRF'!$G$8:$G$11</c:f>
              <c:strCache>
                <c:ptCount val="4"/>
                <c:pt idx="0">
                  <c:v>AAA EQUIVALENT</c:v>
                </c:pt>
                <c:pt idx="1">
                  <c:v>AA+</c:v>
                </c:pt>
                <c:pt idx="2">
                  <c:v>AA</c:v>
                </c:pt>
                <c:pt idx="3">
                  <c:v>AA-</c:v>
                </c:pt>
              </c:strCache>
            </c:strRef>
          </c:cat>
          <c:val>
            <c:numRef>
              <c:f>'IDFC CRF'!$H$8:$H$11</c:f>
              <c:numCache>
                <c:formatCode>0.00%</c:formatCode>
                <c:ptCount val="4"/>
                <c:pt idx="0">
                  <c:v>0.67636800000000008</c:v>
                </c:pt>
                <c:pt idx="1">
                  <c:v>0.186026</c:v>
                </c:pt>
                <c:pt idx="2">
                  <c:v>0.10761300000000001</c:v>
                </c:pt>
                <c:pt idx="3">
                  <c:v>2.9992999999999999E-2</c:v>
                </c:pt>
              </c:numCache>
            </c:numRef>
          </c:val>
          <c:extLst>
            <c:ext xmlns:c16="http://schemas.microsoft.com/office/drawing/2014/chart" uri="{C3380CC4-5D6E-409C-BE32-E72D297353CC}">
              <c16:uniqueId val="{0000000C-F5BF-40B9-AD88-E028F1C39D0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CRF'!$K$8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9FA-4DAE-BF18-EACF8B3B50EA}"/>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9FA-4DAE-BF18-EACF8B3B50EA}"/>
                </c:ext>
              </c:extLst>
            </c:dLbl>
            <c:dLbl>
              <c:idx val="2"/>
              <c:layout>
                <c:manualLayout>
                  <c:x val="-0.18154032271661974"/>
                  <c:y val="-4.958390048071124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9FA-4DAE-BF18-EACF8B3B50E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9FA-4DAE-BF18-EACF8B3B50EA}"/>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9FA-4DAE-BF18-EACF8B3B50E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CRF'!$J$9:$J$13</c:f>
              <c:strCache>
                <c:ptCount val="5"/>
                <c:pt idx="0">
                  <c:v>Net Current Asset</c:v>
                </c:pt>
                <c:pt idx="1">
                  <c:v>TRI Party Repo</c:v>
                </c:pt>
                <c:pt idx="2">
                  <c:v>Corporate Bond</c:v>
                </c:pt>
                <c:pt idx="3">
                  <c:v>Government Bond</c:v>
                </c:pt>
                <c:pt idx="4">
                  <c:v>PTC</c:v>
                </c:pt>
              </c:strCache>
            </c:strRef>
          </c:cat>
          <c:val>
            <c:numRef>
              <c:f>'IDFC CRF'!$K$9:$K$13</c:f>
              <c:numCache>
                <c:formatCode>0.00%</c:formatCode>
                <c:ptCount val="5"/>
                <c:pt idx="0">
                  <c:v>1.6754999999999999E-2</c:v>
                </c:pt>
                <c:pt idx="1">
                  <c:v>0.26314700000000002</c:v>
                </c:pt>
                <c:pt idx="2">
                  <c:v>0.51632</c:v>
                </c:pt>
                <c:pt idx="3">
                  <c:v>0.133686</c:v>
                </c:pt>
                <c:pt idx="4">
                  <c:v>7.0092000000000002E-2</c:v>
                </c:pt>
              </c:numCache>
            </c:numRef>
          </c:val>
          <c:extLst>
            <c:ext xmlns:c16="http://schemas.microsoft.com/office/drawing/2014/chart" uri="{C3380CC4-5D6E-409C-BE32-E72D297353CC}">
              <c16:uniqueId val="{0000000C-29FA-4DAE-BF18-EACF8B3B50E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825-427B-B755-90635E9994B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GSF-IP'!$G$8</c:f>
              <c:strCache>
                <c:ptCount val="1"/>
                <c:pt idx="0">
                  <c:v>AAA EQUIVALENT</c:v>
                </c:pt>
              </c:strCache>
            </c:strRef>
          </c:cat>
          <c:val>
            <c:numRef>
              <c:f>'IDFC GSF-IP'!$H$8</c:f>
              <c:numCache>
                <c:formatCode>0%</c:formatCode>
                <c:ptCount val="1"/>
                <c:pt idx="0">
                  <c:v>1</c:v>
                </c:pt>
              </c:numCache>
            </c:numRef>
          </c:val>
          <c:extLst>
            <c:ext xmlns:c16="http://schemas.microsoft.com/office/drawing/2014/chart" uri="{C3380CC4-5D6E-409C-BE32-E72D297353CC}">
              <c16:uniqueId val="{0000000C-F825-427B-B755-90635E9994B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GSF-IP'!$K$8</c:f>
              <c:strCache>
                <c:ptCount val="1"/>
                <c:pt idx="0">
                  <c:v>Total</c:v>
                </c:pt>
              </c:strCache>
            </c:strRef>
          </c:tx>
          <c:dLbls>
            <c:dLbl>
              <c:idx val="0"/>
              <c:layout>
                <c:manualLayout>
                  <c:x val="-0.2431929386770979"/>
                  <c:y val="-1.58915135608049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F4-4A6C-B9B0-B80F35BA32F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EF4-4A6C-B9B0-B80F35BA32F9}"/>
                </c:ext>
              </c:extLst>
            </c:dLbl>
            <c:dLbl>
              <c:idx val="2"/>
              <c:layout>
                <c:manualLayout>
                  <c:x val="-0.1693989950934934"/>
                  <c:y val="-2.137462817147856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EF4-4A6C-B9B0-B80F35BA32F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GSF-IP'!$J$9:$J$11</c:f>
              <c:strCache>
                <c:ptCount val="3"/>
                <c:pt idx="0">
                  <c:v>Net Current Asset</c:v>
                </c:pt>
                <c:pt idx="1">
                  <c:v>TRI Party Repo</c:v>
                </c:pt>
                <c:pt idx="2">
                  <c:v>Government Bond</c:v>
                </c:pt>
              </c:strCache>
            </c:strRef>
          </c:cat>
          <c:val>
            <c:numRef>
              <c:f>'IDFC GSF-IP'!$K$9:$K$11</c:f>
              <c:numCache>
                <c:formatCode>0.00%</c:formatCode>
                <c:ptCount val="3"/>
                <c:pt idx="0">
                  <c:v>1.6029999999999999E-2</c:v>
                </c:pt>
                <c:pt idx="1">
                  <c:v>7.2099999999999996E-4</c:v>
                </c:pt>
                <c:pt idx="2">
                  <c:v>0.98324900000000004</c:v>
                </c:pt>
              </c:numCache>
            </c:numRef>
          </c:val>
          <c:extLst>
            <c:ext xmlns:c16="http://schemas.microsoft.com/office/drawing/2014/chart" uri="{C3380CC4-5D6E-409C-BE32-E72D297353CC}">
              <c16:uniqueId val="{0000000C-4EF4-4A6C-B9B0-B80F35BA32F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136969094066665"/>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4DF-443A-BCBD-68C15E61A69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CMP'!$G$8</c:f>
              <c:strCache>
                <c:ptCount val="1"/>
                <c:pt idx="0">
                  <c:v>AAA EQUIVALENT</c:v>
                </c:pt>
              </c:strCache>
            </c:strRef>
          </c:cat>
          <c:val>
            <c:numRef>
              <c:f>'IDFC GSF - CMP'!$H$8</c:f>
              <c:numCache>
                <c:formatCode>0%</c:formatCode>
                <c:ptCount val="1"/>
                <c:pt idx="0">
                  <c:v>1</c:v>
                </c:pt>
              </c:numCache>
            </c:numRef>
          </c:val>
          <c:extLst>
            <c:ext xmlns:c16="http://schemas.microsoft.com/office/drawing/2014/chart" uri="{C3380CC4-5D6E-409C-BE32-E72D297353CC}">
              <c16:uniqueId val="{0000000C-04DF-443A-BCBD-68C15E61A69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54B-426A-AF18-343C8ECC830D}"/>
                </c:ext>
              </c:extLst>
            </c:dLbl>
            <c:dLbl>
              <c:idx val="1"/>
              <c:layout>
                <c:manualLayout>
                  <c:x val="0.14408765954576877"/>
                  <c:y val="1.17441819772528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54B-426A-AF18-343C8ECC830D}"/>
                </c:ext>
              </c:extLst>
            </c:dLbl>
            <c:dLbl>
              <c:idx val="2"/>
              <c:layout>
                <c:manualLayout>
                  <c:x val="-0.25113035121145189"/>
                  <c:y val="5.292038495188101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54B-426A-AF18-343C8ECC830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GSF - CMP'!$J$9:$J$11</c:f>
              <c:strCache>
                <c:ptCount val="3"/>
                <c:pt idx="0">
                  <c:v>Net Current Asset</c:v>
                </c:pt>
                <c:pt idx="1">
                  <c:v>TRI Party Repo</c:v>
                </c:pt>
                <c:pt idx="2">
                  <c:v>Government Bond</c:v>
                </c:pt>
              </c:strCache>
            </c:strRef>
          </c:cat>
          <c:val>
            <c:numRef>
              <c:f>'IDFC GSF - CMP'!$K$9:$K$11</c:f>
              <c:numCache>
                <c:formatCode>0.00%</c:formatCode>
                <c:ptCount val="3"/>
                <c:pt idx="0">
                  <c:v>7.0629999999999998E-3</c:v>
                </c:pt>
                <c:pt idx="1">
                  <c:v>1.3506000000000001E-2</c:v>
                </c:pt>
                <c:pt idx="2">
                  <c:v>0.97943100000000005</c:v>
                </c:pt>
              </c:numCache>
            </c:numRef>
          </c:val>
          <c:extLst>
            <c:ext xmlns:c16="http://schemas.microsoft.com/office/drawing/2014/chart" uri="{C3380CC4-5D6E-409C-BE32-E72D297353CC}">
              <c16:uniqueId val="{0000000C-354B-426A-AF18-343C8ECC830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706562241818274"/>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B4-4D4A-AC30-BFA8F6EE7EB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'IDFC-GIF2027'!$G$8</c:f>
              <c:strCache>
                <c:ptCount val="1"/>
                <c:pt idx="0">
                  <c:v>AAA EQUIVALENT</c:v>
                </c:pt>
              </c:strCache>
            </c:strRef>
          </c:cat>
          <c:val>
            <c:numRef>
              <c:f>'IDFC-GIF2027'!$H$8</c:f>
              <c:numCache>
                <c:formatCode>0%</c:formatCode>
                <c:ptCount val="1"/>
                <c:pt idx="0">
                  <c:v>1</c:v>
                </c:pt>
              </c:numCache>
            </c:numRef>
          </c:val>
          <c:extLst>
            <c:ext xmlns:c16="http://schemas.microsoft.com/office/drawing/2014/chart" uri="{C3380CC4-5D6E-409C-BE32-E72D297353CC}">
              <c16:uniqueId val="{0000000C-50B4-4D4A-AC30-BFA8F6EE7EB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7B-4C87-8F20-AAB3758105A7}"/>
                </c:ext>
              </c:extLst>
            </c:dLbl>
            <c:dLbl>
              <c:idx val="1"/>
              <c:layout>
                <c:manualLayout>
                  <c:x val="0.10317278996442361"/>
                  <c:y val="-8.580227471566054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7B-4C87-8F20-AAB3758105A7}"/>
                </c:ext>
              </c:extLst>
            </c:dLbl>
            <c:dLbl>
              <c:idx val="2"/>
              <c:layout>
                <c:manualLayout>
                  <c:x val="-0.18253435397663087"/>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7B-4C87-8F20-AAB3758105A7}"/>
                </c:ext>
              </c:extLst>
            </c:dLbl>
            <c:dLbl>
              <c:idx val="3"/>
              <c:layout>
                <c:manualLayout>
                  <c:x val="-7.7835320103188388E-2"/>
                  <c:y val="-4.71447069116360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7B-4C87-8F20-AAB3758105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'IDFC-GIF2027'!$J$9:$J$12</c:f>
              <c:strCache>
                <c:ptCount val="4"/>
                <c:pt idx="0">
                  <c:v>Net Current Asset</c:v>
                </c:pt>
                <c:pt idx="1">
                  <c:v>TRI Party Repo</c:v>
                </c:pt>
                <c:pt idx="2">
                  <c:v>Government Bond</c:v>
                </c:pt>
                <c:pt idx="3">
                  <c:v>Treasury Bill</c:v>
                </c:pt>
              </c:strCache>
            </c:strRef>
          </c:cat>
          <c:val>
            <c:numRef>
              <c:f>'IDFC-GIF2027'!$K$9:$K$12</c:f>
              <c:numCache>
                <c:formatCode>0.00%</c:formatCode>
                <c:ptCount val="4"/>
                <c:pt idx="0">
                  <c:v>2.0181000000000001E-2</c:v>
                </c:pt>
                <c:pt idx="1">
                  <c:v>2.1475000000000001E-2</c:v>
                </c:pt>
                <c:pt idx="2">
                  <c:v>0.94065799999999999</c:v>
                </c:pt>
                <c:pt idx="3">
                  <c:v>1.7686E-2</c:v>
                </c:pt>
              </c:numCache>
            </c:numRef>
          </c:val>
          <c:extLst>
            <c:ext xmlns:c16="http://schemas.microsoft.com/office/drawing/2014/chart" uri="{C3380CC4-5D6E-409C-BE32-E72D297353CC}">
              <c16:uniqueId val="{0000000C-F77B-4C87-8F20-AAB3758105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2922836331754035"/>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3F9-4374-B3BD-61BDA09D53E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'IDFC-GIF2028'!$G$8</c:f>
              <c:strCache>
                <c:ptCount val="1"/>
                <c:pt idx="0">
                  <c:v>AAA EQUIVALENT</c:v>
                </c:pt>
              </c:strCache>
            </c:strRef>
          </c:cat>
          <c:val>
            <c:numRef>
              <c:f>'IDFC-GIF2028'!$H$8</c:f>
              <c:numCache>
                <c:formatCode>0%</c:formatCode>
                <c:ptCount val="1"/>
                <c:pt idx="0">
                  <c:v>1</c:v>
                </c:pt>
              </c:numCache>
            </c:numRef>
          </c:val>
          <c:extLst>
            <c:ext xmlns:c16="http://schemas.microsoft.com/office/drawing/2014/chart" uri="{C3380CC4-5D6E-409C-BE32-E72D297353CC}">
              <c16:uniqueId val="{0000000C-D3F9-4374-B3BD-61BDA09D53E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'IDFC-GIF2028'!$K$8</c:f>
              <c:strCache>
                <c:ptCount val="1"/>
                <c:pt idx="0">
                  <c:v>Total</c:v>
                </c:pt>
              </c:strCache>
            </c:strRef>
          </c:tx>
          <c:dLbls>
            <c:dLbl>
              <c:idx val="0"/>
              <c:layout>
                <c:manualLayout>
                  <c:x val="-0.24727461262203038"/>
                  <c:y val="2.5077515310586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61-449C-A6FC-73D38FFC4B01}"/>
                </c:ext>
              </c:extLst>
            </c:dLbl>
            <c:dLbl>
              <c:idx val="1"/>
              <c:layout>
                <c:manualLayout>
                  <c:x val="9.4630410224417955E-2"/>
                  <c:y val="-1.14141732283464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161-449C-A6FC-73D38FFC4B01}"/>
                </c:ext>
              </c:extLst>
            </c:dLbl>
            <c:dLbl>
              <c:idx val="2"/>
              <c:layout>
                <c:manualLayout>
                  <c:x val="-0.20583444333912224"/>
                  <c:y val="-1.137462817147856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161-449C-A6FC-73D38FFC4B01}"/>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161-449C-A6FC-73D38FFC4B0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'IDFC-GIF2028'!$J$9:$J$12</c:f>
              <c:strCache>
                <c:ptCount val="4"/>
                <c:pt idx="0">
                  <c:v>Net Current Asset</c:v>
                </c:pt>
                <c:pt idx="1">
                  <c:v>TRI Party Repo</c:v>
                </c:pt>
                <c:pt idx="2">
                  <c:v>Government Bond</c:v>
                </c:pt>
                <c:pt idx="3">
                  <c:v>Treasury Bill</c:v>
                </c:pt>
              </c:strCache>
            </c:strRef>
          </c:cat>
          <c:val>
            <c:numRef>
              <c:f>'IDFC-GIF2028'!$K$9:$K$12</c:f>
              <c:numCache>
                <c:formatCode>0.00%</c:formatCode>
                <c:ptCount val="4"/>
                <c:pt idx="0">
                  <c:v>7.3460000000000001E-3</c:v>
                </c:pt>
                <c:pt idx="1">
                  <c:v>4.5206999999999997E-2</c:v>
                </c:pt>
                <c:pt idx="2">
                  <c:v>0.92959000000000003</c:v>
                </c:pt>
                <c:pt idx="3">
                  <c:v>1.7857000000000001E-2</c:v>
                </c:pt>
              </c:numCache>
            </c:numRef>
          </c:val>
          <c:extLst>
            <c:ext xmlns:c16="http://schemas.microsoft.com/office/drawing/2014/chart" uri="{C3380CC4-5D6E-409C-BE32-E72D297353CC}">
              <c16:uniqueId val="{0000000C-8161-449C-A6FC-73D38FFC4B0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278296717193008"/>
                  <c:y val="-2.5361928443155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556-40A4-AC98-570A63FC850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ASBF'!$G$8</c:f>
              <c:strCache>
                <c:ptCount val="1"/>
                <c:pt idx="0">
                  <c:v>AAA EQUIVALENT</c:v>
                </c:pt>
              </c:strCache>
            </c:strRef>
          </c:cat>
          <c:val>
            <c:numRef>
              <c:f>'IDFC ASBF'!$H$8</c:f>
              <c:numCache>
                <c:formatCode>0%</c:formatCode>
                <c:ptCount val="1"/>
                <c:pt idx="0">
                  <c:v>1</c:v>
                </c:pt>
              </c:numCache>
            </c:numRef>
          </c:val>
          <c:extLst>
            <c:ext xmlns:c16="http://schemas.microsoft.com/office/drawing/2014/chart" uri="{C3380CC4-5D6E-409C-BE32-E72D297353CC}">
              <c16:uniqueId val="{0000000C-D556-40A4-AC98-570A63FC850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'IDFC ASBF'!$K$8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A3D-4992-8707-D69DED0E60D8}"/>
                </c:ext>
              </c:extLst>
            </c:dLbl>
            <c:dLbl>
              <c:idx val="1"/>
              <c:layout>
                <c:manualLayout>
                  <c:x val="0.21505024532533004"/>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A3D-4992-8707-D69DED0E60D8}"/>
                </c:ext>
              </c:extLst>
            </c:dLbl>
            <c:dLbl>
              <c:idx val="2"/>
              <c:layout>
                <c:manualLayout>
                  <c:x val="-0.29684230049402283"/>
                  <c:y val="-4.3596850393700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A3D-4992-8707-D69DED0E60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'IDFC ASBF'!$J$9:$J$11</c:f>
              <c:strCache>
                <c:ptCount val="3"/>
                <c:pt idx="0">
                  <c:v>Net Current Asset</c:v>
                </c:pt>
                <c:pt idx="1">
                  <c:v>TRI Party Repo</c:v>
                </c:pt>
                <c:pt idx="2">
                  <c:v>Mutual Fund Units</c:v>
                </c:pt>
              </c:strCache>
            </c:strRef>
          </c:cat>
          <c:val>
            <c:numRef>
              <c:f>'IDFC ASBF'!$K$9:$K$11</c:f>
              <c:numCache>
                <c:formatCode>0.00%</c:formatCode>
                <c:ptCount val="3"/>
                <c:pt idx="0">
                  <c:v>-1.6180000000000001E-3</c:v>
                </c:pt>
                <c:pt idx="1">
                  <c:v>9.9599999999999992E-4</c:v>
                </c:pt>
                <c:pt idx="2">
                  <c:v>1.0006200000000001</c:v>
                </c:pt>
              </c:numCache>
            </c:numRef>
          </c:val>
          <c:extLst>
            <c:ext xmlns:c16="http://schemas.microsoft.com/office/drawing/2014/chart" uri="{C3380CC4-5D6E-409C-BE32-E72D297353CC}">
              <c16:uniqueId val="{0000000C-AA3D-4992-8707-D69DED0E60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4984640-AA7F-4E57-906E-DFD5EDDF85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73AADC5-258E-4335-A0F3-A8711836D2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58585C86-C065-4272-868C-52360CB43E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FAE5927D-ADD7-4272-816A-F1A02332F3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5848933-31D0-4E64-9697-70495B566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70A94476-D7DF-4311-90B6-C73786854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D9F37DEB-9D35-4581-8A91-FE4CDA56D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B245034A-8A55-41D3-B367-5DEDDC404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552BB75E-F76A-49B1-BE87-12E8392B0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9395E7CC-9952-4C72-A506-95611A845F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070B8CF3-AC84-4205-9CC8-1E4E9233AF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A2E4863-D352-438C-997A-C1DF71FD62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77DCC963-4B16-438C-92F0-78C9BE3C18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010C3E9-8522-46AB-B9E6-D52B274417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A142E39-1ABE-4A13-ADE7-F0B3F04931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055A2A00-8D8D-4E1D-BC3F-71E66D2B3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3671723-761F-420A-9B58-2C22E3B321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F4792EF4-2FEC-4533-8631-32F04B9A4A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B6F3DAB8-F83B-4894-86CA-3168A6657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F5F6C36D-8324-4FC7-84A0-425D5991D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007D460-5587-465F-AA8A-2F3E2109FB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8F6BB484-F433-4B44-9307-8E9F80DDA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38100</xdr:colOff>
      <xdr:row>7</xdr:row>
      <xdr:rowOff>50800</xdr:rowOff>
    </xdr:from>
    <xdr:to>
      <xdr:col>13</xdr:col>
      <xdr:colOff>584200</xdr:colOff>
      <xdr:row>22</xdr:row>
      <xdr:rowOff>50800</xdr:rowOff>
    </xdr:to>
    <xdr:graphicFrame macro="">
      <xdr:nvGraphicFramePr>
        <xdr:cNvPr id="2" name="Chart 1">
          <a:extLst>
            <a:ext uri="{FF2B5EF4-FFF2-40B4-BE49-F238E27FC236}">
              <a16:creationId xmlns:a16="http://schemas.microsoft.com/office/drawing/2014/main" id="{FBCB9E7B-E8F7-4A40-831C-D242601DA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CB14A5BB-3577-4489-93E7-F8D4A2874B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12700</xdr:colOff>
      <xdr:row>7</xdr:row>
      <xdr:rowOff>25401</xdr:rowOff>
    </xdr:from>
    <xdr:to>
      <xdr:col>13</xdr:col>
      <xdr:colOff>558800</xdr:colOff>
      <xdr:row>22</xdr:row>
      <xdr:rowOff>25401</xdr:rowOff>
    </xdr:to>
    <xdr:graphicFrame macro="">
      <xdr:nvGraphicFramePr>
        <xdr:cNvPr id="2" name="Chart 1">
          <a:extLst>
            <a:ext uri="{FF2B5EF4-FFF2-40B4-BE49-F238E27FC236}">
              <a16:creationId xmlns:a16="http://schemas.microsoft.com/office/drawing/2014/main" id="{82FFE714-33E2-47D9-87D3-46253350CE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57150</xdr:rowOff>
    </xdr:to>
    <xdr:graphicFrame macro="">
      <xdr:nvGraphicFramePr>
        <xdr:cNvPr id="3" name="Chart 2">
          <a:extLst>
            <a:ext uri="{FF2B5EF4-FFF2-40B4-BE49-F238E27FC236}">
              <a16:creationId xmlns:a16="http://schemas.microsoft.com/office/drawing/2014/main" id="{7C1F2D51-A91A-47B7-B425-E4EC5ECFCA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B78AB0F-96E3-4A7A-B84C-CFFCCA7C0A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26</xdr:row>
      <xdr:rowOff>12700</xdr:rowOff>
    </xdr:from>
    <xdr:to>
      <xdr:col>13</xdr:col>
      <xdr:colOff>533400</xdr:colOff>
      <xdr:row>41</xdr:row>
      <xdr:rowOff>12700</xdr:rowOff>
    </xdr:to>
    <xdr:graphicFrame macro="">
      <xdr:nvGraphicFramePr>
        <xdr:cNvPr id="3" name="Chart 2">
          <a:extLst>
            <a:ext uri="{FF2B5EF4-FFF2-40B4-BE49-F238E27FC236}">
              <a16:creationId xmlns:a16="http://schemas.microsoft.com/office/drawing/2014/main" id="{A1CA429F-85C8-429D-B819-EC81457612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72B604D-0D25-4EFB-A392-8402AE8C7B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70FA532-381A-41B2-A64E-1835329B3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195B6BC-532F-4C97-8A8F-DAB7F086AC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4C69929-7B8F-4A58-A549-F69598C93C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623E1BE2-F202-42C2-8D4C-2478A7B719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6ACD4CFD-5102-4014-92C6-4E8C5DDA5F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3E1766C9-4665-4A4F-84E8-9270A033E2F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D0ECF44-F14E-4D98-BC21-817D65C8F2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37991-65A5-4DE6-B4B3-B66B922A7F3D}">
  <dimension ref="B1:N45"/>
  <sheetViews>
    <sheetView showGridLines="0" tabSelected="1"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156</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157</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9</v>
      </c>
      <c r="D8" s="6"/>
      <c r="E8" s="11">
        <v>0.99179899999999999</v>
      </c>
      <c r="F8" s="1"/>
      <c r="G8" s="24" t="s">
        <v>16</v>
      </c>
      <c r="H8" s="25">
        <v>1</v>
      </c>
      <c r="I8" s="1"/>
      <c r="J8" s="24" t="s">
        <v>13</v>
      </c>
      <c r="K8" s="24" t="s">
        <v>5</v>
      </c>
      <c r="L8" s="1"/>
      <c r="M8" s="1"/>
      <c r="N8" s="18"/>
    </row>
    <row r="9" spans="2:14" ht="15.75" customHeight="1" x14ac:dyDescent="0.25">
      <c r="B9" s="20"/>
      <c r="C9" s="7" t="s">
        <v>10</v>
      </c>
      <c r="D9" s="8"/>
      <c r="E9" s="12">
        <v>0.99179899999999999</v>
      </c>
      <c r="F9" s="1"/>
      <c r="G9" s="1"/>
      <c r="H9" s="1"/>
      <c r="I9" s="1"/>
      <c r="J9" s="24" t="s">
        <v>11</v>
      </c>
      <c r="K9" s="29">
        <v>8.201E-3</v>
      </c>
      <c r="L9" s="1"/>
      <c r="M9" s="1"/>
      <c r="N9" s="18"/>
    </row>
    <row r="10" spans="2:14" ht="15" customHeight="1" x14ac:dyDescent="0.25">
      <c r="B10" s="20"/>
      <c r="C10" s="5"/>
      <c r="D10" s="6"/>
      <c r="E10" s="11"/>
      <c r="F10" s="1"/>
      <c r="G10" s="1"/>
      <c r="H10" s="1"/>
      <c r="I10" s="1"/>
      <c r="J10" s="24" t="s">
        <v>14</v>
      </c>
      <c r="K10" s="29">
        <v>0.99179899999999999</v>
      </c>
      <c r="L10" s="1"/>
      <c r="M10" s="1"/>
      <c r="N10" s="18"/>
    </row>
    <row r="11" spans="2:14" ht="15.75" customHeight="1" x14ac:dyDescent="0.25">
      <c r="B11" s="20"/>
      <c r="C11" s="7" t="s">
        <v>11</v>
      </c>
      <c r="D11" s="8"/>
      <c r="E11" s="12">
        <v>8.201E-3</v>
      </c>
      <c r="F11" s="1"/>
      <c r="G11" s="1"/>
      <c r="H11" s="1"/>
      <c r="I11" s="1"/>
      <c r="J11" s="1"/>
      <c r="K11" s="1"/>
      <c r="L11" s="1"/>
      <c r="M11" s="1"/>
      <c r="N11" s="18"/>
    </row>
    <row r="12" spans="2:14" ht="15" customHeight="1" x14ac:dyDescent="0.25">
      <c r="B12" s="20"/>
      <c r="C12" s="5"/>
      <c r="D12" s="6"/>
      <c r="E12" s="11"/>
      <c r="F12" s="1"/>
      <c r="G12" s="1"/>
      <c r="H12" s="1"/>
      <c r="I12" s="1"/>
      <c r="J12" s="1"/>
      <c r="K12" s="1"/>
      <c r="L12" s="1"/>
      <c r="M12" s="1"/>
      <c r="N12" s="18"/>
    </row>
    <row r="13" spans="2:14" ht="15" customHeight="1" x14ac:dyDescent="0.25">
      <c r="B13" s="20"/>
      <c r="C13" s="9" t="s">
        <v>12</v>
      </c>
      <c r="D13" s="10"/>
      <c r="E13" s="13">
        <v>1</v>
      </c>
      <c r="F13" s="1"/>
      <c r="G13" s="1"/>
      <c r="H13" s="1"/>
      <c r="I13" s="1"/>
      <c r="J13" s="1"/>
      <c r="K13" s="1"/>
      <c r="L13" s="1"/>
      <c r="M13" s="1"/>
      <c r="N13" s="18"/>
    </row>
    <row r="14" spans="2:14" ht="15" customHeight="1" x14ac:dyDescent="0.25">
      <c r="B14" s="20"/>
      <c r="C14" s="1"/>
      <c r="D14" s="1"/>
      <c r="E14" s="1"/>
      <c r="F14" s="1"/>
      <c r="G14" s="1"/>
      <c r="H14" s="1"/>
      <c r="I14" s="1"/>
      <c r="J14" s="1"/>
      <c r="K14" s="1"/>
      <c r="L14" s="1"/>
      <c r="M14" s="1"/>
      <c r="N14" s="18"/>
    </row>
    <row r="15" spans="2:14" ht="15" customHeight="1" x14ac:dyDescent="0.25">
      <c r="B15" s="20"/>
      <c r="C15" s="1"/>
      <c r="D15" s="1"/>
      <c r="E15" s="1"/>
      <c r="F15" s="1"/>
      <c r="G15" s="1"/>
      <c r="H15" s="1"/>
      <c r="I15" s="1"/>
      <c r="J15" s="1"/>
      <c r="K15" s="1"/>
      <c r="L15" s="1"/>
      <c r="M15" s="1"/>
      <c r="N15" s="18"/>
    </row>
    <row r="16" spans="2:14" ht="15" customHeight="1" x14ac:dyDescent="0.25">
      <c r="B16" s="20"/>
      <c r="C16" s="1"/>
      <c r="D16" s="1"/>
      <c r="E16" s="1"/>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232</v>
      </c>
      <c r="H24" s="88"/>
      <c r="I24" s="88"/>
      <c r="J24" s="88"/>
      <c r="K24" s="88"/>
      <c r="L24" s="92">
        <v>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5.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0D967-8E8D-4CD4-A44E-AC78540401C8}">
  <dimension ref="B1:N6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90</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91</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29</v>
      </c>
      <c r="D8" s="6" t="s">
        <v>23</v>
      </c>
      <c r="E8" s="11">
        <v>3.1043999999999999E-2</v>
      </c>
      <c r="F8" s="1"/>
      <c r="G8" s="24" t="s">
        <v>16</v>
      </c>
      <c r="H8" s="25">
        <v>1</v>
      </c>
      <c r="I8" s="1"/>
      <c r="J8" s="24" t="s">
        <v>13</v>
      </c>
      <c r="K8" s="24" t="s">
        <v>5</v>
      </c>
      <c r="L8" s="1"/>
      <c r="M8" s="1"/>
      <c r="N8" s="18"/>
    </row>
    <row r="9" spans="2:14" ht="15" customHeight="1" x14ac:dyDescent="0.25">
      <c r="B9" s="20"/>
      <c r="C9" s="5" t="s">
        <v>22</v>
      </c>
      <c r="D9" s="6" t="s">
        <v>23</v>
      </c>
      <c r="E9" s="11">
        <v>2.8593E-2</v>
      </c>
      <c r="F9" s="1"/>
      <c r="G9" s="1"/>
      <c r="H9" s="1"/>
      <c r="I9" s="1"/>
      <c r="J9" s="24" t="s">
        <v>11</v>
      </c>
      <c r="K9" s="29">
        <v>-2.5357000000000001E-2</v>
      </c>
      <c r="L9" s="1"/>
      <c r="M9" s="1"/>
      <c r="N9" s="18"/>
    </row>
    <row r="10" spans="2:14" ht="15" customHeight="1" x14ac:dyDescent="0.25">
      <c r="B10" s="20"/>
      <c r="C10" s="5" t="s">
        <v>92</v>
      </c>
      <c r="D10" s="6" t="s">
        <v>23</v>
      </c>
      <c r="E10" s="11">
        <v>2.5687000000000001E-2</v>
      </c>
      <c r="F10" s="1"/>
      <c r="G10" s="1"/>
      <c r="H10" s="1"/>
      <c r="I10" s="1"/>
      <c r="J10" s="24" t="s">
        <v>14</v>
      </c>
      <c r="K10" s="29">
        <v>0.33085300000000001</v>
      </c>
      <c r="L10" s="1"/>
      <c r="M10" s="1"/>
      <c r="N10" s="18"/>
    </row>
    <row r="11" spans="2:14" ht="15" customHeight="1" x14ac:dyDescent="0.25">
      <c r="B11" s="20"/>
      <c r="C11" s="5" t="s">
        <v>24</v>
      </c>
      <c r="D11" s="6" t="s">
        <v>23</v>
      </c>
      <c r="E11" s="11">
        <v>9.6710000000000008E-3</v>
      </c>
      <c r="F11" s="1"/>
      <c r="G11" s="1"/>
      <c r="H11" s="1"/>
      <c r="I11" s="1"/>
      <c r="J11" s="24" t="s">
        <v>63</v>
      </c>
      <c r="K11" s="29">
        <v>0.100148</v>
      </c>
      <c r="L11" s="1"/>
      <c r="M11" s="1"/>
      <c r="N11" s="18"/>
    </row>
    <row r="12" spans="2:14" ht="15" customHeight="1" x14ac:dyDescent="0.25">
      <c r="B12" s="20"/>
      <c r="C12" s="5" t="s">
        <v>36</v>
      </c>
      <c r="D12" s="6" t="s">
        <v>23</v>
      </c>
      <c r="E12" s="11">
        <v>5.1529999999999996E-3</v>
      </c>
      <c r="F12" s="1"/>
      <c r="G12" s="1"/>
      <c r="H12" s="1"/>
      <c r="I12" s="1"/>
      <c r="J12" s="24" t="s">
        <v>64</v>
      </c>
      <c r="K12" s="29">
        <v>7.0028999999999994E-2</v>
      </c>
      <c r="L12" s="1"/>
      <c r="M12" s="1"/>
      <c r="N12" s="18"/>
    </row>
    <row r="13" spans="2:14" ht="15.75" customHeight="1" x14ac:dyDescent="0.25">
      <c r="B13" s="20"/>
      <c r="C13" s="7" t="s">
        <v>26</v>
      </c>
      <c r="D13" s="8"/>
      <c r="E13" s="12">
        <v>0.100148</v>
      </c>
      <c r="F13" s="1"/>
      <c r="G13" s="1"/>
      <c r="H13" s="1"/>
      <c r="I13" s="1"/>
      <c r="J13" s="24" t="s">
        <v>65</v>
      </c>
      <c r="K13" s="29">
        <v>0.28265699999999999</v>
      </c>
      <c r="L13" s="1"/>
      <c r="M13" s="1"/>
      <c r="N13" s="18"/>
    </row>
    <row r="14" spans="2:14" ht="15" customHeight="1" x14ac:dyDescent="0.25">
      <c r="B14" s="20"/>
      <c r="C14" s="5" t="s">
        <v>93</v>
      </c>
      <c r="D14" s="6" t="s">
        <v>23</v>
      </c>
      <c r="E14" s="11">
        <v>8.7682999999999997E-2</v>
      </c>
      <c r="F14" s="1"/>
      <c r="G14" s="1"/>
      <c r="H14" s="1"/>
      <c r="I14" s="1"/>
      <c r="J14" s="24" t="s">
        <v>105</v>
      </c>
      <c r="K14" s="29">
        <v>0.22834299999999999</v>
      </c>
      <c r="L14" s="1"/>
      <c r="M14" s="1"/>
      <c r="N14" s="18"/>
    </row>
    <row r="15" spans="2:14" ht="15" customHeight="1" x14ac:dyDescent="0.25">
      <c r="B15" s="20"/>
      <c r="C15" s="5" t="s">
        <v>94</v>
      </c>
      <c r="D15" s="6" t="s">
        <v>23</v>
      </c>
      <c r="E15" s="11">
        <v>5.4038000000000003E-2</v>
      </c>
      <c r="F15" s="1"/>
      <c r="G15" s="1"/>
      <c r="H15" s="1"/>
      <c r="I15" s="1"/>
      <c r="J15" s="24" t="s">
        <v>69</v>
      </c>
      <c r="K15" s="29">
        <v>1.3327E-2</v>
      </c>
      <c r="L15" s="1"/>
      <c r="M15" s="1"/>
      <c r="N15" s="18"/>
    </row>
    <row r="16" spans="2:14" ht="15" customHeight="1" x14ac:dyDescent="0.25">
      <c r="B16" s="20"/>
      <c r="C16" s="5" t="s">
        <v>87</v>
      </c>
      <c r="D16" s="6" t="s">
        <v>23</v>
      </c>
      <c r="E16" s="11">
        <v>3.2976999999999999E-2</v>
      </c>
      <c r="F16" s="1"/>
      <c r="G16" s="1"/>
      <c r="H16" s="1"/>
      <c r="I16" s="1"/>
      <c r="J16" s="1"/>
      <c r="K16" s="1"/>
      <c r="L16" s="1"/>
      <c r="M16" s="1"/>
      <c r="N16" s="18"/>
    </row>
    <row r="17" spans="2:14" ht="15" customHeight="1" x14ac:dyDescent="0.25">
      <c r="B17" s="20"/>
      <c r="C17" s="5" t="s">
        <v>79</v>
      </c>
      <c r="D17" s="6" t="s">
        <v>23</v>
      </c>
      <c r="E17" s="11">
        <v>2.5805999999999999E-2</v>
      </c>
      <c r="F17" s="1"/>
      <c r="G17" s="1"/>
      <c r="H17" s="1"/>
      <c r="I17" s="1"/>
      <c r="J17" s="1"/>
      <c r="K17" s="1"/>
      <c r="L17" s="1"/>
      <c r="M17" s="1"/>
      <c r="N17" s="18"/>
    </row>
    <row r="18" spans="2:14" ht="15" customHeight="1" x14ac:dyDescent="0.25">
      <c r="B18" s="20"/>
      <c r="C18" s="5" t="s">
        <v>95</v>
      </c>
      <c r="D18" s="6" t="s">
        <v>23</v>
      </c>
      <c r="E18" s="11">
        <v>2.0709000000000002E-2</v>
      </c>
      <c r="F18" s="1"/>
      <c r="G18" s="1"/>
      <c r="H18" s="1"/>
      <c r="I18" s="1"/>
      <c r="J18" s="1"/>
      <c r="K18" s="1"/>
      <c r="L18" s="1"/>
      <c r="M18" s="1"/>
      <c r="N18" s="18"/>
    </row>
    <row r="19" spans="2:14" ht="15" customHeight="1" x14ac:dyDescent="0.25">
      <c r="B19" s="20"/>
      <c r="C19" s="5" t="s">
        <v>48</v>
      </c>
      <c r="D19" s="6" t="s">
        <v>23</v>
      </c>
      <c r="E19" s="11">
        <v>2.0664999999999999E-2</v>
      </c>
      <c r="F19" s="1"/>
      <c r="G19" s="1"/>
      <c r="H19" s="1"/>
      <c r="I19" s="1"/>
      <c r="J19" s="1"/>
      <c r="K19" s="1"/>
      <c r="L19" s="1"/>
      <c r="M19" s="1"/>
      <c r="N19" s="18"/>
    </row>
    <row r="20" spans="2:14" ht="15" customHeight="1" x14ac:dyDescent="0.25">
      <c r="B20" s="20"/>
      <c r="C20" s="5" t="s">
        <v>96</v>
      </c>
      <c r="D20" s="6" t="s">
        <v>23</v>
      </c>
      <c r="E20" s="11">
        <v>2.0636000000000002E-2</v>
      </c>
      <c r="F20" s="1"/>
      <c r="G20" s="1"/>
      <c r="H20" s="1"/>
      <c r="I20" s="1"/>
      <c r="J20" s="1"/>
      <c r="K20" s="1"/>
      <c r="L20" s="1"/>
      <c r="M20" s="1"/>
      <c r="N20" s="18"/>
    </row>
    <row r="21" spans="2:14" ht="15" customHeight="1" x14ac:dyDescent="0.25">
      <c r="B21" s="20"/>
      <c r="C21" s="5" t="s">
        <v>33</v>
      </c>
      <c r="D21" s="6" t="s">
        <v>23</v>
      </c>
      <c r="E21" s="11">
        <v>1.2404999999999999E-2</v>
      </c>
      <c r="F21" s="1"/>
      <c r="G21" s="1"/>
      <c r="H21" s="1"/>
      <c r="I21" s="1"/>
      <c r="J21" s="1"/>
      <c r="K21" s="1"/>
      <c r="L21" s="1"/>
      <c r="M21" s="1"/>
      <c r="N21" s="18"/>
    </row>
    <row r="22" spans="2:14" ht="15" customHeight="1" x14ac:dyDescent="0.25">
      <c r="B22" s="20"/>
      <c r="C22" s="5" t="s">
        <v>42</v>
      </c>
      <c r="D22" s="6" t="s">
        <v>23</v>
      </c>
      <c r="E22" s="11">
        <v>7.7380000000000001E-3</v>
      </c>
      <c r="F22" s="1"/>
      <c r="G22" s="1"/>
      <c r="H22" s="1"/>
      <c r="I22" s="1"/>
      <c r="J22" s="1"/>
      <c r="K22" s="1"/>
      <c r="L22" s="1"/>
      <c r="M22" s="1"/>
      <c r="N22" s="18"/>
    </row>
    <row r="23" spans="2:14" ht="15.75" customHeight="1" x14ac:dyDescent="0.25">
      <c r="B23" s="20"/>
      <c r="C23" s="7" t="s">
        <v>28</v>
      </c>
      <c r="D23" s="8"/>
      <c r="E23" s="12">
        <v>0.28265699999999999</v>
      </c>
      <c r="F23" s="1"/>
      <c r="G23" s="1"/>
      <c r="H23" s="1"/>
      <c r="I23" s="1"/>
      <c r="J23" s="1"/>
      <c r="K23" s="1"/>
      <c r="L23" s="1"/>
      <c r="M23" s="1"/>
      <c r="N23" s="18"/>
    </row>
    <row r="24" spans="2:14" ht="15" customHeight="1" x14ac:dyDescent="0.25">
      <c r="B24" s="20"/>
      <c r="C24" s="5" t="s">
        <v>42</v>
      </c>
      <c r="D24" s="6" t="s">
        <v>30</v>
      </c>
      <c r="E24" s="11">
        <v>4.9930000000000002E-2</v>
      </c>
      <c r="F24" s="1"/>
      <c r="G24" s="87" t="s">
        <v>106</v>
      </c>
      <c r="H24" s="88"/>
      <c r="I24" s="88"/>
      <c r="J24" s="88"/>
      <c r="K24" s="88"/>
      <c r="L24" s="92">
        <v>32</v>
      </c>
      <c r="M24" s="27"/>
      <c r="N24" s="28"/>
    </row>
    <row r="25" spans="2:14" ht="15" customHeight="1" x14ac:dyDescent="0.25">
      <c r="B25" s="20"/>
      <c r="C25" s="5" t="s">
        <v>46</v>
      </c>
      <c r="D25" s="6" t="s">
        <v>30</v>
      </c>
      <c r="E25" s="11">
        <v>6.7809999999999997E-3</v>
      </c>
      <c r="F25" s="1"/>
      <c r="G25" s="1"/>
      <c r="H25" s="1"/>
      <c r="I25" s="1"/>
      <c r="J25" s="1"/>
      <c r="K25" s="1"/>
      <c r="L25" s="1"/>
      <c r="M25" s="1"/>
      <c r="N25" s="18"/>
    </row>
    <row r="26" spans="2:14" ht="15" customHeight="1" x14ac:dyDescent="0.25">
      <c r="B26" s="20"/>
      <c r="C26" s="5" t="s">
        <v>48</v>
      </c>
      <c r="D26" s="6" t="s">
        <v>30</v>
      </c>
      <c r="E26" s="11">
        <v>5.7019999999999996E-3</v>
      </c>
      <c r="F26" s="1"/>
      <c r="G26" s="87" t="s">
        <v>19</v>
      </c>
      <c r="H26" s="88"/>
      <c r="I26" s="88"/>
      <c r="J26" s="88"/>
      <c r="K26" s="88"/>
      <c r="L26" s="88"/>
      <c r="M26" s="88"/>
      <c r="N26" s="89"/>
    </row>
    <row r="27" spans="2:14" ht="15" customHeight="1" x14ac:dyDescent="0.25">
      <c r="B27" s="20"/>
      <c r="C27" s="5" t="s">
        <v>29</v>
      </c>
      <c r="D27" s="6" t="s">
        <v>30</v>
      </c>
      <c r="E27" s="11">
        <v>2.6099999999999999E-3</v>
      </c>
      <c r="F27" s="1"/>
      <c r="G27" s="1"/>
      <c r="H27" s="1"/>
      <c r="I27" s="1"/>
      <c r="J27" s="1"/>
      <c r="K27" s="1"/>
      <c r="L27" s="1"/>
      <c r="M27" s="1"/>
      <c r="N27" s="18"/>
    </row>
    <row r="28" spans="2:14" ht="15" customHeight="1" x14ac:dyDescent="0.25">
      <c r="B28" s="20"/>
      <c r="C28" s="5" t="s">
        <v>27</v>
      </c>
      <c r="D28" s="6" t="s">
        <v>30</v>
      </c>
      <c r="E28" s="11">
        <v>2.5899999999999999E-3</v>
      </c>
      <c r="F28" s="1"/>
      <c r="G28" s="1"/>
      <c r="H28" s="1"/>
      <c r="I28" s="1"/>
      <c r="J28" s="1"/>
      <c r="K28" s="1"/>
      <c r="L28" s="1"/>
      <c r="M28" s="1"/>
      <c r="N28" s="18"/>
    </row>
    <row r="29" spans="2:14" ht="15" customHeight="1" x14ac:dyDescent="0.25">
      <c r="B29" s="20"/>
      <c r="C29" s="5" t="s">
        <v>34</v>
      </c>
      <c r="D29" s="6" t="s">
        <v>30</v>
      </c>
      <c r="E29" s="11">
        <v>2.4160000000000002E-3</v>
      </c>
      <c r="F29" s="1"/>
      <c r="G29" s="1"/>
      <c r="H29" s="1"/>
      <c r="I29" s="1"/>
      <c r="J29" s="1"/>
      <c r="K29" s="1"/>
      <c r="L29" s="1"/>
      <c r="M29" s="1"/>
      <c r="N29" s="18"/>
    </row>
    <row r="30" spans="2:14" ht="15.75" customHeight="1" x14ac:dyDescent="0.25">
      <c r="B30" s="20"/>
      <c r="C30" s="7" t="s">
        <v>50</v>
      </c>
      <c r="D30" s="8"/>
      <c r="E30" s="12">
        <v>7.0028999999999994E-2</v>
      </c>
      <c r="F30" s="1"/>
      <c r="G30" s="1"/>
      <c r="H30" s="1"/>
      <c r="I30" s="1"/>
      <c r="J30" s="1"/>
      <c r="K30" s="1"/>
      <c r="L30" s="1"/>
      <c r="M30" s="1"/>
      <c r="N30" s="18"/>
    </row>
    <row r="31" spans="2:14" ht="15" customHeight="1" x14ac:dyDescent="0.25">
      <c r="B31" s="20"/>
      <c r="C31" s="5" t="s">
        <v>97</v>
      </c>
      <c r="D31" s="6" t="s">
        <v>54</v>
      </c>
      <c r="E31" s="11">
        <v>0.11845899999999999</v>
      </c>
      <c r="F31" s="1"/>
      <c r="G31" s="1"/>
      <c r="H31" s="1"/>
      <c r="I31" s="1"/>
      <c r="J31" s="1"/>
      <c r="K31" s="1"/>
      <c r="L31" s="1"/>
      <c r="M31" s="1"/>
      <c r="N31" s="18"/>
    </row>
    <row r="32" spans="2:14" ht="15" customHeight="1" x14ac:dyDescent="0.25">
      <c r="B32" s="20"/>
      <c r="C32" s="5" t="s">
        <v>98</v>
      </c>
      <c r="D32" s="6" t="s">
        <v>54</v>
      </c>
      <c r="E32" s="11">
        <v>5.1540999999999997E-2</v>
      </c>
      <c r="F32" s="1"/>
      <c r="G32" s="1"/>
      <c r="H32" s="1"/>
      <c r="I32" s="1"/>
      <c r="J32" s="1"/>
      <c r="K32" s="1"/>
      <c r="L32" s="1"/>
      <c r="M32" s="1"/>
      <c r="N32" s="18"/>
    </row>
    <row r="33" spans="2:14" ht="15" customHeight="1" x14ac:dyDescent="0.25">
      <c r="B33" s="20"/>
      <c r="C33" s="5" t="s">
        <v>99</v>
      </c>
      <c r="D33" s="6" t="s">
        <v>54</v>
      </c>
      <c r="E33" s="11">
        <v>2.0631E-2</v>
      </c>
      <c r="F33" s="1"/>
      <c r="G33" s="1"/>
      <c r="H33" s="1"/>
      <c r="I33" s="1"/>
      <c r="J33" s="1"/>
      <c r="K33" s="1"/>
      <c r="L33" s="1"/>
      <c r="M33" s="1"/>
      <c r="N33" s="18"/>
    </row>
    <row r="34" spans="2:14" ht="15" customHeight="1" x14ac:dyDescent="0.25">
      <c r="B34" s="20"/>
      <c r="C34" s="5" t="s">
        <v>100</v>
      </c>
      <c r="D34" s="6" t="s">
        <v>54</v>
      </c>
      <c r="E34" s="11">
        <v>1.8064E-2</v>
      </c>
      <c r="F34" s="1"/>
      <c r="G34" s="1"/>
      <c r="H34" s="1"/>
      <c r="I34" s="1"/>
      <c r="J34" s="1"/>
      <c r="K34" s="1"/>
      <c r="L34" s="1"/>
      <c r="M34" s="1"/>
      <c r="N34" s="18"/>
    </row>
    <row r="35" spans="2:14" ht="15" customHeight="1" x14ac:dyDescent="0.25">
      <c r="B35" s="20"/>
      <c r="C35" s="5" t="s">
        <v>101</v>
      </c>
      <c r="D35" s="6" t="s">
        <v>54</v>
      </c>
      <c r="E35" s="11">
        <v>1.5507E-2</v>
      </c>
      <c r="F35" s="1"/>
      <c r="G35" s="1"/>
      <c r="H35" s="1"/>
      <c r="I35" s="1"/>
      <c r="J35" s="1"/>
      <c r="K35" s="1"/>
      <c r="L35" s="1"/>
      <c r="M35" s="1"/>
      <c r="N35" s="18"/>
    </row>
    <row r="36" spans="2:14" ht="15" customHeight="1" x14ac:dyDescent="0.25">
      <c r="B36" s="20"/>
      <c r="C36" s="5" t="s">
        <v>102</v>
      </c>
      <c r="D36" s="6" t="s">
        <v>54</v>
      </c>
      <c r="E36" s="11">
        <v>4.1409999999999997E-3</v>
      </c>
      <c r="F36" s="1"/>
      <c r="G36" s="1"/>
      <c r="H36" s="1"/>
      <c r="I36" s="1"/>
      <c r="J36" s="1"/>
      <c r="K36" s="1"/>
      <c r="L36" s="1"/>
      <c r="M36" s="1"/>
      <c r="N36" s="18"/>
    </row>
    <row r="37" spans="2:14" ht="15.75" customHeight="1" x14ac:dyDescent="0.25">
      <c r="B37" s="20"/>
      <c r="C37" s="7" t="s">
        <v>103</v>
      </c>
      <c r="D37" s="8"/>
      <c r="E37" s="12">
        <v>0.22834299999999999</v>
      </c>
      <c r="F37" s="1"/>
      <c r="G37" s="1"/>
      <c r="H37" s="1"/>
      <c r="I37" s="1"/>
      <c r="J37" s="1"/>
      <c r="K37" s="1"/>
      <c r="L37" s="1"/>
      <c r="M37" s="1"/>
      <c r="N37" s="18"/>
    </row>
    <row r="38" spans="2:14" ht="15" customHeight="1" x14ac:dyDescent="0.25">
      <c r="B38" s="20"/>
      <c r="C38" s="5" t="s">
        <v>9</v>
      </c>
      <c r="D38" s="6"/>
      <c r="E38" s="11">
        <v>0.33085300000000001</v>
      </c>
      <c r="F38" s="1"/>
      <c r="G38" s="1"/>
      <c r="H38" s="1"/>
      <c r="I38" s="1"/>
      <c r="J38" s="1"/>
      <c r="K38" s="1"/>
      <c r="L38" s="1"/>
      <c r="M38" s="1"/>
      <c r="N38" s="18"/>
    </row>
    <row r="39" spans="2:14" ht="15.75" customHeight="1" x14ac:dyDescent="0.25">
      <c r="B39" s="20"/>
      <c r="C39" s="7" t="s">
        <v>10</v>
      </c>
      <c r="D39" s="8"/>
      <c r="E39" s="12">
        <v>0.33085300000000001</v>
      </c>
      <c r="F39" s="1"/>
      <c r="G39" s="1"/>
      <c r="H39" s="1"/>
      <c r="I39" s="1"/>
      <c r="J39" s="1"/>
      <c r="K39" s="1"/>
      <c r="L39" s="1"/>
      <c r="M39" s="1"/>
      <c r="N39" s="18"/>
    </row>
    <row r="40" spans="2:14" ht="15" customHeight="1" x14ac:dyDescent="0.25">
      <c r="B40" s="20"/>
      <c r="C40" s="5" t="s">
        <v>104</v>
      </c>
      <c r="D40" s="6" t="s">
        <v>30</v>
      </c>
      <c r="E40" s="11">
        <v>1.3327E-2</v>
      </c>
      <c r="F40" s="1"/>
      <c r="G40" s="1"/>
      <c r="H40" s="1"/>
      <c r="I40" s="1"/>
      <c r="J40" s="1"/>
      <c r="K40" s="1"/>
      <c r="L40" s="1"/>
      <c r="M40" s="1"/>
      <c r="N40" s="18"/>
    </row>
    <row r="41" spans="2:14" ht="15.75" customHeight="1" x14ac:dyDescent="0.25">
      <c r="B41" s="20"/>
      <c r="C41" s="7" t="s">
        <v>62</v>
      </c>
      <c r="D41" s="8"/>
      <c r="E41" s="12">
        <v>1.3327E-2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75" customHeight="1" x14ac:dyDescent="0.25">
      <c r="B43" s="20"/>
      <c r="C43" s="7" t="s">
        <v>11</v>
      </c>
      <c r="D43" s="8"/>
      <c r="E43" s="12">
        <v>-2.5357000000000001E-2</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12</v>
      </c>
      <c r="D45" s="10"/>
      <c r="E45" s="13">
        <v>1</v>
      </c>
      <c r="F45" s="1"/>
      <c r="G45" s="1"/>
      <c r="H45" s="1"/>
      <c r="I45" s="1"/>
      <c r="J45" s="1"/>
      <c r="K45" s="1"/>
      <c r="L45" s="1"/>
      <c r="M45" s="1"/>
      <c r="N45" s="18"/>
    </row>
    <row r="46" spans="2:14" ht="15" customHeight="1" x14ac:dyDescent="0.25">
      <c r="B46" s="20"/>
      <c r="C46" s="1"/>
      <c r="D46" s="1"/>
      <c r="E46" s="1"/>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11.75" customHeight="1" thickBot="1" x14ac:dyDescent="0.3">
      <c r="B49" s="79" t="s">
        <v>160</v>
      </c>
      <c r="C49" s="80"/>
      <c r="D49" s="80"/>
      <c r="E49" s="80"/>
      <c r="F49" s="80"/>
      <c r="G49" s="80"/>
      <c r="H49" s="80"/>
      <c r="I49" s="80"/>
      <c r="J49" s="80"/>
      <c r="K49" s="80"/>
      <c r="L49" s="80"/>
      <c r="M49" s="80"/>
      <c r="N49" s="81"/>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sheetData>
  <mergeCells count="6">
    <mergeCell ref="B49:N49"/>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6E56-B5F5-4484-AAF5-631641E8797B}">
  <dimension ref="B1:N86"/>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146</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147</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24</v>
      </c>
      <c r="D8" s="6" t="s">
        <v>23</v>
      </c>
      <c r="E8" s="11">
        <v>9.9168999999999993E-2</v>
      </c>
      <c r="F8" s="1"/>
      <c r="G8" s="24" t="s">
        <v>16</v>
      </c>
      <c r="H8" s="25">
        <v>1</v>
      </c>
      <c r="I8" s="1"/>
      <c r="J8" s="24" t="s">
        <v>13</v>
      </c>
      <c r="K8" s="24" t="s">
        <v>5</v>
      </c>
      <c r="L8" s="1"/>
      <c r="M8" s="1"/>
      <c r="N8" s="18"/>
    </row>
    <row r="9" spans="2:14" ht="15.75" customHeight="1" x14ac:dyDescent="0.25">
      <c r="B9" s="20"/>
      <c r="C9" s="7" t="s">
        <v>26</v>
      </c>
      <c r="D9" s="8"/>
      <c r="E9" s="12">
        <v>9.9168999999999993E-2</v>
      </c>
      <c r="F9" s="1"/>
      <c r="G9" s="1"/>
      <c r="H9" s="1"/>
      <c r="I9" s="1"/>
      <c r="J9" s="24" t="s">
        <v>11</v>
      </c>
      <c r="K9" s="29">
        <v>3.3366E-2</v>
      </c>
      <c r="L9" s="1"/>
      <c r="M9" s="1"/>
      <c r="N9" s="18"/>
    </row>
    <row r="10" spans="2:14" ht="15" customHeight="1" x14ac:dyDescent="0.25">
      <c r="B10" s="20"/>
      <c r="C10" s="5" t="s">
        <v>87</v>
      </c>
      <c r="D10" s="6" t="s">
        <v>23</v>
      </c>
      <c r="E10" s="11">
        <v>4.9292000000000002E-2</v>
      </c>
      <c r="F10" s="1"/>
      <c r="G10" s="1"/>
      <c r="H10" s="1"/>
      <c r="I10" s="1"/>
      <c r="J10" s="24" t="s">
        <v>14</v>
      </c>
      <c r="K10" s="29">
        <v>0.21176200000000001</v>
      </c>
      <c r="L10" s="1"/>
      <c r="M10" s="1"/>
      <c r="N10" s="18"/>
    </row>
    <row r="11" spans="2:14" ht="15" customHeight="1" x14ac:dyDescent="0.25">
      <c r="B11" s="20"/>
      <c r="C11" s="5" t="s">
        <v>79</v>
      </c>
      <c r="D11" s="6" t="s">
        <v>23</v>
      </c>
      <c r="E11" s="11">
        <v>1.5873000000000002E-2</v>
      </c>
      <c r="F11" s="1"/>
      <c r="G11" s="1"/>
      <c r="H11" s="1"/>
      <c r="I11" s="1"/>
      <c r="J11" s="24" t="s">
        <v>63</v>
      </c>
      <c r="K11" s="29">
        <v>9.9168999999999993E-2</v>
      </c>
      <c r="L11" s="1"/>
      <c r="M11" s="1"/>
      <c r="N11" s="18"/>
    </row>
    <row r="12" spans="2:14" ht="15" customHeight="1" x14ac:dyDescent="0.25">
      <c r="B12" s="20"/>
      <c r="C12" s="5" t="s">
        <v>48</v>
      </c>
      <c r="D12" s="6" t="s">
        <v>23</v>
      </c>
      <c r="E12" s="11">
        <v>7.9810000000000002E-3</v>
      </c>
      <c r="F12" s="1"/>
      <c r="G12" s="1"/>
      <c r="H12" s="1"/>
      <c r="I12" s="1"/>
      <c r="J12" s="24" t="s">
        <v>64</v>
      </c>
      <c r="K12" s="29">
        <v>0.41834300000000002</v>
      </c>
      <c r="L12" s="1"/>
      <c r="M12" s="1"/>
      <c r="N12" s="18"/>
    </row>
    <row r="13" spans="2:14" ht="15" customHeight="1" x14ac:dyDescent="0.25">
      <c r="B13" s="20"/>
      <c r="C13" s="5" t="s">
        <v>27</v>
      </c>
      <c r="D13" s="6" t="s">
        <v>23</v>
      </c>
      <c r="E13" s="11">
        <v>2.343E-3</v>
      </c>
      <c r="F13" s="1"/>
      <c r="G13" s="1"/>
      <c r="H13" s="1"/>
      <c r="I13" s="1"/>
      <c r="J13" s="24" t="s">
        <v>65</v>
      </c>
      <c r="K13" s="29">
        <v>7.7059000000000002E-2</v>
      </c>
      <c r="L13" s="1"/>
      <c r="M13" s="1"/>
      <c r="N13" s="18"/>
    </row>
    <row r="14" spans="2:14" ht="15" customHeight="1" x14ac:dyDescent="0.25">
      <c r="B14" s="20"/>
      <c r="C14" s="5" t="s">
        <v>41</v>
      </c>
      <c r="D14" s="6" t="s">
        <v>23</v>
      </c>
      <c r="E14" s="11">
        <v>1.57E-3</v>
      </c>
      <c r="F14" s="1"/>
      <c r="G14" s="1"/>
      <c r="H14" s="1"/>
      <c r="I14" s="1"/>
      <c r="J14" s="24" t="s">
        <v>66</v>
      </c>
      <c r="K14" s="29">
        <v>1.5990000000000001E-2</v>
      </c>
      <c r="L14" s="1"/>
      <c r="M14" s="1"/>
      <c r="N14" s="18"/>
    </row>
    <row r="15" spans="2:14" ht="15.75" customHeight="1" x14ac:dyDescent="0.25">
      <c r="B15" s="20"/>
      <c r="C15" s="7" t="s">
        <v>28</v>
      </c>
      <c r="D15" s="8"/>
      <c r="E15" s="12">
        <v>7.7059000000000002E-2</v>
      </c>
      <c r="F15" s="1"/>
      <c r="G15" s="1"/>
      <c r="H15" s="1"/>
      <c r="I15" s="1"/>
      <c r="J15" s="24" t="s">
        <v>67</v>
      </c>
      <c r="K15" s="29">
        <v>0.107893</v>
      </c>
      <c r="L15" s="1"/>
      <c r="M15" s="1"/>
      <c r="N15" s="18"/>
    </row>
    <row r="16" spans="2:14" ht="15" customHeight="1" x14ac:dyDescent="0.25">
      <c r="B16" s="20"/>
      <c r="C16" s="5" t="s">
        <v>27</v>
      </c>
      <c r="D16" s="6" t="s">
        <v>30</v>
      </c>
      <c r="E16" s="11">
        <v>0.122222</v>
      </c>
      <c r="F16" s="1"/>
      <c r="G16" s="1"/>
      <c r="H16" s="1"/>
      <c r="I16" s="1"/>
      <c r="J16" s="24" t="s">
        <v>68</v>
      </c>
      <c r="K16" s="29">
        <v>1.8532E-2</v>
      </c>
      <c r="L16" s="1"/>
      <c r="M16" s="1"/>
      <c r="N16" s="18"/>
    </row>
    <row r="17" spans="2:14" ht="15" customHeight="1" x14ac:dyDescent="0.25">
      <c r="B17" s="20"/>
      <c r="C17" s="5" t="s">
        <v>29</v>
      </c>
      <c r="D17" s="6" t="s">
        <v>30</v>
      </c>
      <c r="E17" s="11">
        <v>8.3105999999999999E-2</v>
      </c>
      <c r="F17" s="1"/>
      <c r="G17" s="1"/>
      <c r="H17" s="1"/>
      <c r="I17" s="1"/>
      <c r="J17" s="24" t="s">
        <v>69</v>
      </c>
      <c r="K17" s="29">
        <v>1.7885999999999999E-2</v>
      </c>
      <c r="L17" s="1"/>
      <c r="M17" s="1"/>
      <c r="N17" s="18"/>
    </row>
    <row r="18" spans="2:14" ht="15" customHeight="1" x14ac:dyDescent="0.25">
      <c r="B18" s="20"/>
      <c r="C18" s="5" t="s">
        <v>41</v>
      </c>
      <c r="D18" s="6" t="s">
        <v>30</v>
      </c>
      <c r="E18" s="11">
        <v>7.1762000000000006E-2</v>
      </c>
      <c r="F18" s="1"/>
      <c r="G18" s="1"/>
      <c r="H18" s="1"/>
      <c r="I18" s="1"/>
      <c r="J18" s="1"/>
      <c r="K18" s="1"/>
      <c r="L18" s="1"/>
      <c r="M18" s="1"/>
      <c r="N18" s="18"/>
    </row>
    <row r="19" spans="2:14" ht="15" customHeight="1" x14ac:dyDescent="0.25">
      <c r="B19" s="20"/>
      <c r="C19" s="5" t="s">
        <v>42</v>
      </c>
      <c r="D19" s="6" t="s">
        <v>30</v>
      </c>
      <c r="E19" s="11">
        <v>6.3852000000000006E-2</v>
      </c>
      <c r="F19" s="1"/>
      <c r="G19" s="1"/>
      <c r="H19" s="1"/>
      <c r="I19" s="1"/>
      <c r="J19" s="1"/>
      <c r="K19" s="1"/>
      <c r="L19" s="1"/>
      <c r="M19" s="1"/>
      <c r="N19" s="18"/>
    </row>
    <row r="20" spans="2:14" ht="15" customHeight="1" x14ac:dyDescent="0.25">
      <c r="B20" s="20"/>
      <c r="C20" s="5" t="s">
        <v>34</v>
      </c>
      <c r="D20" s="6" t="s">
        <v>30</v>
      </c>
      <c r="E20" s="11">
        <v>2.4163E-2</v>
      </c>
      <c r="F20" s="1"/>
      <c r="G20" s="1"/>
      <c r="H20" s="1"/>
      <c r="I20" s="1"/>
      <c r="J20" s="1"/>
      <c r="K20" s="1"/>
      <c r="L20" s="1"/>
      <c r="M20" s="1"/>
      <c r="N20" s="18"/>
    </row>
    <row r="21" spans="2:14" ht="15" customHeight="1" x14ac:dyDescent="0.25">
      <c r="B21" s="20"/>
      <c r="C21" s="5" t="s">
        <v>109</v>
      </c>
      <c r="D21" s="6" t="s">
        <v>30</v>
      </c>
      <c r="E21" s="11">
        <v>1.5789000000000001E-2</v>
      </c>
      <c r="F21" s="1"/>
      <c r="G21" s="1"/>
      <c r="H21" s="1"/>
      <c r="I21" s="1"/>
      <c r="J21" s="1"/>
      <c r="K21" s="1"/>
      <c r="L21" s="1"/>
      <c r="M21" s="1"/>
      <c r="N21" s="18"/>
    </row>
    <row r="22" spans="2:14" ht="15" customHeight="1" x14ac:dyDescent="0.25">
      <c r="B22" s="20"/>
      <c r="C22" s="5" t="s">
        <v>32</v>
      </c>
      <c r="D22" s="6" t="s">
        <v>30</v>
      </c>
      <c r="E22" s="11">
        <v>8.8269999999999998E-3</v>
      </c>
      <c r="F22" s="1"/>
      <c r="G22" s="1"/>
      <c r="H22" s="1"/>
      <c r="I22" s="1"/>
      <c r="J22" s="1"/>
      <c r="K22" s="1"/>
      <c r="L22" s="1"/>
      <c r="M22" s="1"/>
      <c r="N22" s="18"/>
    </row>
    <row r="23" spans="2:14" ht="15" customHeight="1" x14ac:dyDescent="0.25">
      <c r="B23" s="20"/>
      <c r="C23" s="5" t="s">
        <v>111</v>
      </c>
      <c r="D23" s="6" t="s">
        <v>30</v>
      </c>
      <c r="E23" s="11">
        <v>8.5059999999999997E-3</v>
      </c>
      <c r="F23" s="1"/>
      <c r="G23" s="1"/>
      <c r="H23" s="1"/>
      <c r="I23" s="1"/>
      <c r="J23" s="1"/>
      <c r="K23" s="1"/>
      <c r="L23" s="1"/>
      <c r="M23" s="1"/>
      <c r="N23" s="18"/>
    </row>
    <row r="24" spans="2:14" ht="15" customHeight="1" x14ac:dyDescent="0.25">
      <c r="B24" s="20"/>
      <c r="C24" s="5" t="s">
        <v>148</v>
      </c>
      <c r="D24" s="6" t="s">
        <v>30</v>
      </c>
      <c r="E24" s="11">
        <v>8.0569999999999999E-3</v>
      </c>
      <c r="F24" s="1"/>
      <c r="G24" s="87" t="s">
        <v>106</v>
      </c>
      <c r="H24" s="88"/>
      <c r="I24" s="88"/>
      <c r="J24" s="88"/>
      <c r="K24" s="88"/>
      <c r="L24" s="92">
        <v>341</v>
      </c>
      <c r="M24" s="27"/>
      <c r="N24" s="28"/>
    </row>
    <row r="25" spans="2:14" ht="15" customHeight="1" x14ac:dyDescent="0.25">
      <c r="B25" s="20"/>
      <c r="C25" s="5" t="s">
        <v>31</v>
      </c>
      <c r="D25" s="6" t="s">
        <v>30</v>
      </c>
      <c r="E25" s="11">
        <v>7.2630000000000004E-3</v>
      </c>
      <c r="F25" s="1"/>
      <c r="G25" s="1"/>
      <c r="H25" s="1"/>
      <c r="I25" s="1"/>
      <c r="J25" s="1"/>
      <c r="K25" s="1"/>
      <c r="L25" s="1"/>
      <c r="M25" s="1"/>
      <c r="N25" s="18"/>
    </row>
    <row r="26" spans="2:14" ht="15" customHeight="1" x14ac:dyDescent="0.25">
      <c r="B26" s="20"/>
      <c r="C26" s="5" t="s">
        <v>48</v>
      </c>
      <c r="D26" s="6" t="s">
        <v>30</v>
      </c>
      <c r="E26" s="11">
        <v>2.428E-3</v>
      </c>
      <c r="F26" s="1"/>
      <c r="G26" s="87" t="s">
        <v>19</v>
      </c>
      <c r="H26" s="88"/>
      <c r="I26" s="88"/>
      <c r="J26" s="88"/>
      <c r="K26" s="88"/>
      <c r="L26" s="88"/>
      <c r="M26" s="88"/>
      <c r="N26" s="89"/>
    </row>
    <row r="27" spans="2:14" ht="15" customHeight="1" x14ac:dyDescent="0.25">
      <c r="B27" s="20"/>
      <c r="C27" s="5" t="s">
        <v>46</v>
      </c>
      <c r="D27" s="6" t="s">
        <v>30</v>
      </c>
      <c r="E27" s="11">
        <v>2.2230000000000001E-3</v>
      </c>
      <c r="F27" s="1"/>
      <c r="G27" s="1"/>
      <c r="H27" s="1"/>
      <c r="I27" s="1"/>
      <c r="J27" s="1"/>
      <c r="K27" s="1"/>
      <c r="L27" s="1"/>
      <c r="M27" s="1"/>
      <c r="N27" s="18"/>
    </row>
    <row r="28" spans="2:14" ht="15" customHeight="1" x14ac:dyDescent="0.25">
      <c r="B28" s="20"/>
      <c r="C28" s="5" t="s">
        <v>36</v>
      </c>
      <c r="D28" s="6" t="s">
        <v>30</v>
      </c>
      <c r="E28" s="11">
        <v>1.45E-4</v>
      </c>
      <c r="F28" s="1"/>
      <c r="G28" s="1"/>
      <c r="H28" s="1"/>
      <c r="I28" s="1"/>
      <c r="J28" s="1"/>
      <c r="K28" s="1"/>
      <c r="L28" s="1"/>
      <c r="M28" s="1"/>
      <c r="N28" s="18"/>
    </row>
    <row r="29" spans="2:14" ht="15.75" customHeight="1" x14ac:dyDescent="0.25">
      <c r="B29" s="20"/>
      <c r="C29" s="7" t="s">
        <v>50</v>
      </c>
      <c r="D29" s="8"/>
      <c r="E29" s="12">
        <v>0.41834300000000002</v>
      </c>
      <c r="F29" s="1"/>
      <c r="G29" s="1"/>
      <c r="H29" s="1"/>
      <c r="I29" s="1"/>
      <c r="J29" s="1"/>
      <c r="K29" s="1"/>
      <c r="L29" s="1"/>
      <c r="M29" s="1"/>
      <c r="N29" s="18"/>
    </row>
    <row r="30" spans="2:14" ht="15" customHeight="1" x14ac:dyDescent="0.25">
      <c r="B30" s="20"/>
      <c r="C30" s="5" t="s">
        <v>24</v>
      </c>
      <c r="D30" s="6" t="s">
        <v>23</v>
      </c>
      <c r="E30" s="11">
        <v>1.5990000000000001E-2</v>
      </c>
      <c r="F30" s="1"/>
      <c r="G30" s="1"/>
      <c r="H30" s="1"/>
      <c r="I30" s="1"/>
      <c r="J30" s="1"/>
      <c r="K30" s="1"/>
      <c r="L30" s="1"/>
      <c r="M30" s="1"/>
      <c r="N30" s="18"/>
    </row>
    <row r="31" spans="2:14" ht="15.75" customHeight="1" x14ac:dyDescent="0.25">
      <c r="B31" s="20"/>
      <c r="C31" s="7" t="s">
        <v>52</v>
      </c>
      <c r="D31" s="8"/>
      <c r="E31" s="12">
        <v>1.5990000000000001E-2</v>
      </c>
      <c r="F31" s="1"/>
      <c r="G31" s="1"/>
      <c r="H31" s="1"/>
      <c r="I31" s="1"/>
      <c r="J31" s="1"/>
      <c r="K31" s="1"/>
      <c r="L31" s="1"/>
      <c r="M31" s="1"/>
      <c r="N31" s="18"/>
    </row>
    <row r="32" spans="2:14" ht="15" customHeight="1" x14ac:dyDescent="0.25">
      <c r="B32" s="20"/>
      <c r="C32" s="5" t="s">
        <v>72</v>
      </c>
      <c r="D32" s="6" t="s">
        <v>54</v>
      </c>
      <c r="E32" s="11">
        <v>0.10686</v>
      </c>
      <c r="F32" s="1"/>
      <c r="G32" s="1"/>
      <c r="H32" s="1"/>
      <c r="I32" s="1"/>
      <c r="J32" s="1"/>
      <c r="K32" s="1"/>
      <c r="L32" s="1"/>
      <c r="M32" s="1"/>
      <c r="N32" s="18"/>
    </row>
    <row r="33" spans="2:14" ht="15" customHeight="1" x14ac:dyDescent="0.25">
      <c r="B33" s="20"/>
      <c r="C33" s="5" t="s">
        <v>149</v>
      </c>
      <c r="D33" s="6" t="s">
        <v>54</v>
      </c>
      <c r="E33" s="11">
        <v>8.7000000000000001E-4</v>
      </c>
      <c r="F33" s="1"/>
      <c r="G33" s="1"/>
      <c r="H33" s="1"/>
      <c r="I33" s="1"/>
      <c r="J33" s="1"/>
      <c r="K33" s="1"/>
      <c r="L33" s="1"/>
      <c r="M33" s="1"/>
      <c r="N33" s="18"/>
    </row>
    <row r="34" spans="2:14" ht="15" customHeight="1" x14ac:dyDescent="0.25">
      <c r="B34" s="20"/>
      <c r="C34" s="5" t="s">
        <v>150</v>
      </c>
      <c r="D34" s="6" t="s">
        <v>54</v>
      </c>
      <c r="E34" s="11">
        <v>1.63E-4</v>
      </c>
      <c r="F34" s="1"/>
      <c r="G34" s="1"/>
      <c r="H34" s="1"/>
      <c r="I34" s="1"/>
      <c r="J34" s="1"/>
      <c r="K34" s="1"/>
      <c r="L34" s="1"/>
      <c r="M34" s="1"/>
      <c r="N34" s="18"/>
    </row>
    <row r="35" spans="2:14" ht="15.75" customHeight="1" x14ac:dyDescent="0.25">
      <c r="B35" s="20"/>
      <c r="C35" s="7" t="s">
        <v>60</v>
      </c>
      <c r="D35" s="8"/>
      <c r="E35" s="12">
        <v>0.107893</v>
      </c>
      <c r="F35" s="1"/>
      <c r="G35" s="1"/>
      <c r="H35" s="1"/>
      <c r="I35" s="1"/>
      <c r="J35" s="1"/>
      <c r="K35" s="1"/>
      <c r="L35" s="1"/>
      <c r="M35" s="1"/>
      <c r="N35" s="18"/>
    </row>
    <row r="36" spans="2:14" ht="15" customHeight="1" x14ac:dyDescent="0.25">
      <c r="B36" s="20"/>
      <c r="C36" s="5" t="s">
        <v>174</v>
      </c>
      <c r="D36" s="6" t="s">
        <v>54</v>
      </c>
      <c r="E36" s="11">
        <v>4.9249999999999997E-3</v>
      </c>
      <c r="F36" s="1"/>
      <c r="G36" s="1"/>
      <c r="H36" s="1"/>
      <c r="I36" s="1"/>
      <c r="J36" s="1"/>
      <c r="K36" s="1"/>
      <c r="L36" s="1"/>
      <c r="M36" s="1"/>
      <c r="N36" s="18"/>
    </row>
    <row r="37" spans="2:14" ht="15.75" customHeight="1" x14ac:dyDescent="0.25">
      <c r="B37" s="20"/>
      <c r="C37" s="32" t="s">
        <v>163</v>
      </c>
      <c r="D37" s="33" t="s">
        <v>54</v>
      </c>
      <c r="E37" s="34">
        <v>4.9220000000000002E-3</v>
      </c>
      <c r="F37" s="1"/>
      <c r="G37" s="1"/>
      <c r="H37" s="1"/>
      <c r="I37" s="1"/>
      <c r="J37" s="1"/>
      <c r="K37" s="1"/>
      <c r="L37" s="1"/>
      <c r="M37" s="1"/>
      <c r="N37" s="18"/>
    </row>
    <row r="38" spans="2:14" ht="15" customHeight="1" x14ac:dyDescent="0.25">
      <c r="B38" s="20"/>
      <c r="C38" s="32" t="s">
        <v>162</v>
      </c>
      <c r="D38" s="33" t="s">
        <v>54</v>
      </c>
      <c r="E38" s="34">
        <v>2.578E-3</v>
      </c>
      <c r="F38" s="1"/>
      <c r="G38" s="1"/>
      <c r="H38" s="1"/>
      <c r="I38" s="1"/>
      <c r="J38" s="1"/>
      <c r="K38" s="1"/>
      <c r="L38" s="1"/>
      <c r="M38" s="1"/>
      <c r="N38" s="18"/>
    </row>
    <row r="39" spans="2:14" ht="15.75" customHeight="1" x14ac:dyDescent="0.25">
      <c r="B39" s="20"/>
      <c r="C39" s="32" t="s">
        <v>176</v>
      </c>
      <c r="D39" s="33" t="s">
        <v>54</v>
      </c>
      <c r="E39" s="34">
        <v>2.4680000000000001E-3</v>
      </c>
      <c r="F39" s="1"/>
      <c r="G39" s="1"/>
      <c r="H39" s="1"/>
      <c r="I39" s="1"/>
      <c r="J39" s="1"/>
      <c r="K39" s="1"/>
      <c r="L39" s="1"/>
      <c r="M39" s="1"/>
      <c r="N39" s="18"/>
    </row>
    <row r="40" spans="2:14" ht="15" customHeight="1" x14ac:dyDescent="0.25">
      <c r="B40" s="20"/>
      <c r="C40" s="32" t="s">
        <v>161</v>
      </c>
      <c r="D40" s="33" t="s">
        <v>54</v>
      </c>
      <c r="E40" s="34">
        <v>8.5300000000000003E-4</v>
      </c>
      <c r="F40" s="1"/>
      <c r="G40" s="1"/>
      <c r="H40" s="1"/>
      <c r="I40" s="1"/>
      <c r="J40" s="1"/>
      <c r="K40" s="1"/>
      <c r="L40" s="1"/>
      <c r="M40" s="1"/>
      <c r="N40" s="18"/>
    </row>
    <row r="41" spans="2:14" ht="15" customHeight="1" x14ac:dyDescent="0.25">
      <c r="B41" s="20"/>
      <c r="C41" s="32" t="s">
        <v>168</v>
      </c>
      <c r="D41" s="33" t="s">
        <v>54</v>
      </c>
      <c r="E41" s="34">
        <v>7.4200000000000004E-4</v>
      </c>
      <c r="F41" s="1"/>
      <c r="G41" s="1"/>
      <c r="H41" s="1"/>
      <c r="I41" s="1"/>
      <c r="J41" s="1"/>
      <c r="K41" s="1"/>
      <c r="L41" s="1"/>
      <c r="M41" s="1"/>
      <c r="N41" s="18"/>
    </row>
    <row r="42" spans="2:14" ht="15.75" customHeight="1" x14ac:dyDescent="0.25">
      <c r="B42" s="20"/>
      <c r="C42" s="32" t="s">
        <v>169</v>
      </c>
      <c r="D42" s="33" t="s">
        <v>54</v>
      </c>
      <c r="E42" s="34">
        <v>4.3800000000000002E-4</v>
      </c>
      <c r="F42" s="1"/>
      <c r="G42" s="1"/>
      <c r="H42" s="1"/>
      <c r="I42" s="1"/>
      <c r="J42" s="1"/>
      <c r="K42" s="1"/>
      <c r="L42" s="1"/>
      <c r="M42" s="1"/>
      <c r="N42" s="18"/>
    </row>
    <row r="43" spans="2:14" ht="15" customHeight="1" x14ac:dyDescent="0.25">
      <c r="B43" s="20"/>
      <c r="C43" s="32" t="s">
        <v>164</v>
      </c>
      <c r="D43" s="33" t="s">
        <v>54</v>
      </c>
      <c r="E43" s="34">
        <v>3.8000000000000002E-4</v>
      </c>
      <c r="F43" s="1"/>
      <c r="G43" s="1"/>
      <c r="H43" s="1"/>
      <c r="I43" s="1"/>
      <c r="J43" s="1"/>
      <c r="K43" s="1"/>
      <c r="L43" s="1"/>
      <c r="M43" s="1"/>
      <c r="N43" s="18"/>
    </row>
    <row r="44" spans="2:14" ht="15.75" customHeight="1" x14ac:dyDescent="0.25">
      <c r="B44" s="20"/>
      <c r="C44" s="32" t="s">
        <v>175</v>
      </c>
      <c r="D44" s="33" t="s">
        <v>54</v>
      </c>
      <c r="E44" s="34">
        <v>2.7599999999999999E-4</v>
      </c>
      <c r="F44" s="1"/>
      <c r="G44" s="1"/>
      <c r="H44" s="1"/>
      <c r="I44" s="1"/>
      <c r="J44" s="1"/>
      <c r="K44" s="1"/>
      <c r="L44" s="1"/>
      <c r="M44" s="1"/>
      <c r="N44" s="18"/>
    </row>
    <row r="45" spans="2:14" ht="15" customHeight="1" x14ac:dyDescent="0.25">
      <c r="B45" s="20"/>
      <c r="C45" s="32" t="s">
        <v>177</v>
      </c>
      <c r="D45" s="33" t="s">
        <v>54</v>
      </c>
      <c r="E45" s="34">
        <v>2.5099999999999998E-4</v>
      </c>
      <c r="F45" s="1"/>
      <c r="G45" s="1"/>
      <c r="H45" s="1"/>
      <c r="I45" s="1"/>
      <c r="J45" s="1"/>
      <c r="K45" s="1"/>
      <c r="L45" s="1"/>
      <c r="M45" s="1"/>
      <c r="N45" s="18"/>
    </row>
    <row r="46" spans="2:14" ht="15" customHeight="1" x14ac:dyDescent="0.25">
      <c r="B46" s="20"/>
      <c r="C46" s="32" t="s">
        <v>172</v>
      </c>
      <c r="D46" s="33" t="s">
        <v>54</v>
      </c>
      <c r="E46" s="34">
        <v>2.32E-4</v>
      </c>
      <c r="F46" s="1"/>
      <c r="G46" s="1"/>
      <c r="H46" s="1"/>
      <c r="I46" s="1"/>
      <c r="J46" s="1"/>
      <c r="K46" s="1"/>
      <c r="L46" s="1"/>
      <c r="M46" s="1"/>
      <c r="N46" s="18"/>
    </row>
    <row r="47" spans="2:14" ht="15" customHeight="1" x14ac:dyDescent="0.25">
      <c r="B47" s="20"/>
      <c r="C47" s="32" t="s">
        <v>173</v>
      </c>
      <c r="D47" s="33" t="s">
        <v>54</v>
      </c>
      <c r="E47" s="34">
        <v>9.7999999999999997E-5</v>
      </c>
      <c r="F47" s="1"/>
      <c r="G47" s="1"/>
      <c r="H47" s="1"/>
      <c r="I47" s="1"/>
      <c r="J47" s="1"/>
      <c r="K47" s="1"/>
      <c r="L47" s="1"/>
      <c r="M47" s="1"/>
      <c r="N47" s="18"/>
    </row>
    <row r="48" spans="2:14" s="30" customFormat="1" ht="15" customHeight="1" x14ac:dyDescent="0.25">
      <c r="B48" s="36"/>
      <c r="C48" s="32" t="s">
        <v>165</v>
      </c>
      <c r="D48" s="33" t="s">
        <v>54</v>
      </c>
      <c r="E48" s="34">
        <v>9.6000000000000002E-5</v>
      </c>
      <c r="F48" s="31"/>
      <c r="G48" s="31"/>
      <c r="H48" s="31"/>
      <c r="I48" s="31"/>
      <c r="J48" s="31"/>
      <c r="K48" s="31"/>
      <c r="L48" s="31"/>
      <c r="M48" s="31"/>
      <c r="N48" s="35"/>
    </row>
    <row r="49" spans="2:14" s="30" customFormat="1" ht="15" customHeight="1" x14ac:dyDescent="0.25">
      <c r="B49" s="36"/>
      <c r="C49" s="32" t="s">
        <v>167</v>
      </c>
      <c r="D49" s="33" t="s">
        <v>54</v>
      </c>
      <c r="E49" s="34">
        <v>8.7000000000000001E-5</v>
      </c>
      <c r="F49" s="31"/>
      <c r="G49" s="31"/>
      <c r="H49" s="31"/>
      <c r="I49" s="31"/>
      <c r="J49" s="31"/>
      <c r="K49" s="31"/>
      <c r="L49" s="31"/>
      <c r="M49" s="31"/>
      <c r="N49" s="35"/>
    </row>
    <row r="50" spans="2:14" s="30" customFormat="1" ht="15" customHeight="1" x14ac:dyDescent="0.25">
      <c r="B50" s="36"/>
      <c r="C50" s="32" t="s">
        <v>166</v>
      </c>
      <c r="D50" s="33" t="s">
        <v>54</v>
      </c>
      <c r="E50" s="34">
        <v>8.0000000000000007E-5</v>
      </c>
      <c r="F50" s="31"/>
      <c r="G50" s="31"/>
      <c r="H50" s="31"/>
      <c r="I50" s="31"/>
      <c r="J50" s="31"/>
      <c r="K50" s="31"/>
      <c r="L50" s="31"/>
      <c r="M50" s="31"/>
      <c r="N50" s="35"/>
    </row>
    <row r="51" spans="2:14" s="30" customFormat="1" ht="15" customHeight="1" x14ac:dyDescent="0.25">
      <c r="B51" s="36"/>
      <c r="C51" s="32" t="s">
        <v>171</v>
      </c>
      <c r="D51" s="33" t="s">
        <v>54</v>
      </c>
      <c r="E51" s="34">
        <v>6.4999999999999994E-5</v>
      </c>
      <c r="F51" s="31"/>
      <c r="G51" s="31"/>
      <c r="H51" s="31"/>
      <c r="I51" s="31"/>
      <c r="J51" s="31"/>
      <c r="K51" s="31"/>
      <c r="L51" s="31"/>
      <c r="M51" s="31"/>
      <c r="N51" s="35"/>
    </row>
    <row r="52" spans="2:14" s="30" customFormat="1" ht="15" customHeight="1" x14ac:dyDescent="0.25">
      <c r="B52" s="36"/>
      <c r="C52" s="32" t="s">
        <v>170</v>
      </c>
      <c r="D52" s="33" t="s">
        <v>54</v>
      </c>
      <c r="E52" s="39">
        <v>4.1E-5</v>
      </c>
      <c r="F52" s="31"/>
      <c r="G52" s="31"/>
      <c r="H52" s="31"/>
      <c r="I52" s="31"/>
      <c r="J52" s="31"/>
      <c r="K52" s="31"/>
      <c r="L52" s="31"/>
      <c r="M52" s="31"/>
      <c r="N52" s="35"/>
    </row>
    <row r="53" spans="2:14" s="30" customFormat="1" ht="15" customHeight="1" x14ac:dyDescent="0.25">
      <c r="B53" s="36"/>
      <c r="C53" s="7" t="s">
        <v>61</v>
      </c>
      <c r="D53" s="8"/>
      <c r="E53" s="12">
        <v>1.8532E-2</v>
      </c>
      <c r="F53" s="31"/>
      <c r="G53" s="31"/>
      <c r="H53" s="31"/>
      <c r="I53" s="31"/>
      <c r="J53" s="31"/>
      <c r="K53" s="31"/>
      <c r="L53" s="31"/>
      <c r="M53" s="31"/>
      <c r="N53" s="35"/>
    </row>
    <row r="54" spans="2:14" s="30" customFormat="1" ht="15" customHeight="1" x14ac:dyDescent="0.25">
      <c r="B54" s="36"/>
      <c r="C54" s="5" t="s">
        <v>9</v>
      </c>
      <c r="D54" s="6"/>
      <c r="E54" s="11">
        <v>0.21176200000000001</v>
      </c>
      <c r="F54" s="31"/>
      <c r="G54" s="31"/>
      <c r="H54" s="31"/>
      <c r="I54" s="31"/>
      <c r="J54" s="31"/>
      <c r="K54" s="31"/>
      <c r="L54" s="31"/>
      <c r="M54" s="31"/>
      <c r="N54" s="35"/>
    </row>
    <row r="55" spans="2:14" s="30" customFormat="1" ht="15" customHeight="1" x14ac:dyDescent="0.25">
      <c r="B55" s="36"/>
      <c r="C55" s="7" t="s">
        <v>10</v>
      </c>
      <c r="D55" s="8"/>
      <c r="E55" s="12">
        <v>0.21176200000000001</v>
      </c>
      <c r="F55" s="31"/>
      <c r="G55" s="31"/>
      <c r="H55" s="31"/>
      <c r="I55" s="31"/>
      <c r="J55" s="31"/>
      <c r="K55" s="31"/>
      <c r="L55" s="31"/>
      <c r="M55" s="31"/>
      <c r="N55" s="35"/>
    </row>
    <row r="56" spans="2:14" s="30" customFormat="1" ht="15" customHeight="1" x14ac:dyDescent="0.25">
      <c r="B56" s="36"/>
      <c r="C56" s="5" t="s">
        <v>41</v>
      </c>
      <c r="D56" s="6" t="s">
        <v>30</v>
      </c>
      <c r="E56" s="11">
        <v>1.7090999999999999E-2</v>
      </c>
      <c r="F56" s="31"/>
      <c r="G56" s="31"/>
      <c r="H56" s="31"/>
      <c r="I56" s="31"/>
      <c r="J56" s="31"/>
      <c r="K56" s="31"/>
      <c r="L56" s="31"/>
      <c r="M56" s="31"/>
      <c r="N56" s="35"/>
    </row>
    <row r="57" spans="2:14" s="30" customFormat="1" ht="15" customHeight="1" x14ac:dyDescent="0.25">
      <c r="B57" s="36"/>
      <c r="C57" s="5" t="s">
        <v>151</v>
      </c>
      <c r="D57" s="6" t="s">
        <v>30</v>
      </c>
      <c r="E57" s="11">
        <v>7.9500000000000003E-4</v>
      </c>
      <c r="F57" s="31"/>
      <c r="G57" s="31"/>
      <c r="H57" s="31"/>
      <c r="I57" s="31"/>
      <c r="J57" s="31"/>
      <c r="K57" s="31"/>
      <c r="L57" s="31"/>
      <c r="M57" s="31"/>
      <c r="N57" s="35"/>
    </row>
    <row r="58" spans="2:14" ht="15" customHeight="1" x14ac:dyDescent="0.25">
      <c r="B58" s="20"/>
      <c r="C58" s="7" t="s">
        <v>62</v>
      </c>
      <c r="D58" s="8"/>
      <c r="E58" s="12">
        <v>1.7885999999999999E-2</v>
      </c>
      <c r="F58" s="1"/>
      <c r="G58" s="1"/>
      <c r="H58" s="1"/>
      <c r="I58" s="1"/>
      <c r="J58" s="1"/>
      <c r="K58" s="1"/>
      <c r="L58" s="1"/>
      <c r="M58" s="1"/>
      <c r="N58" s="18"/>
    </row>
    <row r="59" spans="2:14" ht="15" customHeight="1" x14ac:dyDescent="0.25">
      <c r="B59" s="20"/>
      <c r="C59" s="5"/>
      <c r="D59" s="6"/>
      <c r="E59" s="11"/>
      <c r="F59" s="1"/>
      <c r="G59" s="1"/>
      <c r="H59" s="1"/>
      <c r="I59" s="1"/>
      <c r="J59" s="1"/>
      <c r="K59" s="1"/>
      <c r="L59" s="1"/>
      <c r="M59" s="1"/>
      <c r="N59" s="18"/>
    </row>
    <row r="60" spans="2:14" ht="15" customHeight="1" x14ac:dyDescent="0.25">
      <c r="B60" s="20"/>
      <c r="C60" s="7" t="s">
        <v>11</v>
      </c>
      <c r="D60" s="8"/>
      <c r="E60" s="12">
        <v>3.3366E-2</v>
      </c>
      <c r="F60" s="1"/>
      <c r="G60" s="1"/>
      <c r="H60" s="1"/>
      <c r="I60" s="1"/>
      <c r="J60" s="1"/>
      <c r="K60" s="1"/>
      <c r="L60" s="1"/>
      <c r="M60" s="1"/>
      <c r="N60" s="18"/>
    </row>
    <row r="61" spans="2:14" ht="15" customHeight="1" x14ac:dyDescent="0.25">
      <c r="B61" s="20"/>
      <c r="C61" s="5"/>
      <c r="D61" s="6"/>
      <c r="E61" s="11"/>
      <c r="F61" s="1"/>
      <c r="G61" s="1"/>
      <c r="H61" s="1"/>
      <c r="I61" s="1"/>
      <c r="J61" s="1"/>
      <c r="K61" s="1"/>
      <c r="L61" s="1"/>
      <c r="M61" s="1"/>
      <c r="N61" s="18"/>
    </row>
    <row r="62" spans="2:14" ht="15" customHeight="1" x14ac:dyDescent="0.25">
      <c r="B62" s="20"/>
      <c r="C62" s="9" t="s">
        <v>12</v>
      </c>
      <c r="D62" s="10"/>
      <c r="E62" s="13">
        <v>1</v>
      </c>
      <c r="F62" s="1"/>
      <c r="G62" s="1"/>
      <c r="H62" s="1"/>
      <c r="I62" s="1"/>
      <c r="J62" s="1"/>
      <c r="K62" s="1"/>
      <c r="L62" s="1"/>
      <c r="M62" s="1"/>
      <c r="N62" s="18"/>
    </row>
    <row r="63" spans="2:14" ht="15" customHeight="1" x14ac:dyDescent="0.25">
      <c r="B63" s="20"/>
      <c r="C63" s="1"/>
      <c r="D63" s="1"/>
      <c r="E63" s="1"/>
      <c r="F63" s="1"/>
      <c r="G63" s="1"/>
      <c r="H63" s="1"/>
      <c r="I63" s="1"/>
      <c r="J63" s="1"/>
      <c r="K63" s="1"/>
      <c r="L63" s="1"/>
      <c r="M63" s="1"/>
      <c r="N63" s="18"/>
    </row>
    <row r="64" spans="2:14" ht="15" customHeight="1" thickBot="1" x14ac:dyDescent="0.3">
      <c r="B64" s="21"/>
      <c r="C64" s="22"/>
      <c r="D64" s="22"/>
      <c r="E64" s="22"/>
      <c r="F64" s="22"/>
      <c r="G64" s="22"/>
      <c r="H64" s="22"/>
      <c r="I64" s="22"/>
      <c r="J64" s="22"/>
      <c r="K64" s="22"/>
      <c r="L64" s="22"/>
      <c r="M64" s="22"/>
      <c r="N64" s="23"/>
    </row>
    <row r="65" spans="2:14" ht="15" customHeight="1" thickBot="1" x14ac:dyDescent="0.3"/>
    <row r="66" spans="2:14" ht="108" customHeight="1" thickBot="1" x14ac:dyDescent="0.3">
      <c r="B66" s="79" t="s">
        <v>160</v>
      </c>
      <c r="C66" s="80"/>
      <c r="D66" s="80"/>
      <c r="E66" s="80"/>
      <c r="F66" s="80"/>
      <c r="G66" s="80"/>
      <c r="H66" s="80"/>
      <c r="I66" s="80"/>
      <c r="J66" s="80"/>
      <c r="K66" s="80"/>
      <c r="L66" s="80"/>
      <c r="M66" s="80"/>
      <c r="N66" s="81"/>
    </row>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sheetData>
  <sortState ref="C36:E52">
    <sortCondition descending="1" ref="E36"/>
  </sortState>
  <mergeCells count="6">
    <mergeCell ref="B66:N66"/>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66770-1FED-445C-914E-2510453E2DF4}">
  <dimension ref="B1:N59"/>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152</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153</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24</v>
      </c>
      <c r="D8" s="6" t="s">
        <v>23</v>
      </c>
      <c r="E8" s="11">
        <v>0.11829099999999999</v>
      </c>
      <c r="F8" s="1"/>
      <c r="G8" s="24" t="s">
        <v>16</v>
      </c>
      <c r="H8" s="25">
        <v>1</v>
      </c>
      <c r="I8" s="1"/>
      <c r="J8" s="24" t="s">
        <v>13</v>
      </c>
      <c r="K8" s="24" t="s">
        <v>5</v>
      </c>
      <c r="L8" s="1"/>
      <c r="M8" s="1"/>
      <c r="N8" s="18"/>
    </row>
    <row r="9" spans="2:14" ht="15" customHeight="1" x14ac:dyDescent="0.25">
      <c r="B9" s="20"/>
      <c r="C9" s="5" t="s">
        <v>92</v>
      </c>
      <c r="D9" s="6" t="s">
        <v>23</v>
      </c>
      <c r="E9" s="11">
        <v>9.8784999999999998E-2</v>
      </c>
      <c r="F9" s="1"/>
      <c r="G9" s="1"/>
      <c r="H9" s="1"/>
      <c r="I9" s="1"/>
      <c r="J9" s="24" t="s">
        <v>11</v>
      </c>
      <c r="K9" s="29">
        <v>2.7039999999999998E-3</v>
      </c>
      <c r="L9" s="1"/>
      <c r="M9" s="1"/>
      <c r="N9" s="18"/>
    </row>
    <row r="10" spans="2:14" ht="15" customHeight="1" x14ac:dyDescent="0.25">
      <c r="B10" s="20"/>
      <c r="C10" s="5" t="s">
        <v>22</v>
      </c>
      <c r="D10" s="6" t="s">
        <v>23</v>
      </c>
      <c r="E10" s="11">
        <v>4.9464000000000001E-2</v>
      </c>
      <c r="F10" s="1"/>
      <c r="G10" s="1"/>
      <c r="H10" s="1"/>
      <c r="I10" s="1"/>
      <c r="J10" s="24" t="s">
        <v>14</v>
      </c>
      <c r="K10" s="29">
        <v>2.1971000000000001E-2</v>
      </c>
      <c r="L10" s="1"/>
      <c r="M10" s="1"/>
      <c r="N10" s="18"/>
    </row>
    <row r="11" spans="2:14" ht="15" customHeight="1" x14ac:dyDescent="0.25">
      <c r="B11" s="20"/>
      <c r="C11" s="5" t="s">
        <v>29</v>
      </c>
      <c r="D11" s="6" t="s">
        <v>23</v>
      </c>
      <c r="E11" s="11">
        <v>9.953E-3</v>
      </c>
      <c r="F11" s="1"/>
      <c r="G11" s="1"/>
      <c r="H11" s="1"/>
      <c r="I11" s="1"/>
      <c r="J11" s="24" t="s">
        <v>63</v>
      </c>
      <c r="K11" s="29">
        <v>0.27649299999999999</v>
      </c>
      <c r="L11" s="1"/>
      <c r="M11" s="1"/>
      <c r="N11" s="18"/>
    </row>
    <row r="12" spans="2:14" ht="15.75" customHeight="1" x14ac:dyDescent="0.25">
      <c r="B12" s="20"/>
      <c r="C12" s="7" t="s">
        <v>26</v>
      </c>
      <c r="D12" s="8"/>
      <c r="E12" s="12">
        <v>0.27649299999999999</v>
      </c>
      <c r="F12" s="1"/>
      <c r="G12" s="1"/>
      <c r="H12" s="1"/>
      <c r="I12" s="1"/>
      <c r="J12" s="24" t="s">
        <v>65</v>
      </c>
      <c r="K12" s="29">
        <v>0.476831</v>
      </c>
      <c r="L12" s="1"/>
      <c r="M12" s="1"/>
      <c r="N12" s="18"/>
    </row>
    <row r="13" spans="2:14" ht="15" customHeight="1" x14ac:dyDescent="0.25">
      <c r="B13" s="20"/>
      <c r="C13" s="5" t="s">
        <v>79</v>
      </c>
      <c r="D13" s="6" t="s">
        <v>23</v>
      </c>
      <c r="E13" s="11">
        <v>0.11892999999999999</v>
      </c>
      <c r="F13" s="1"/>
      <c r="G13" s="1"/>
      <c r="H13" s="1"/>
      <c r="I13" s="1"/>
      <c r="J13" s="24" t="s">
        <v>67</v>
      </c>
      <c r="K13" s="29">
        <v>1.1436E-2</v>
      </c>
      <c r="L13" s="1"/>
      <c r="M13" s="1"/>
      <c r="N13" s="18"/>
    </row>
    <row r="14" spans="2:14" ht="15" customHeight="1" x14ac:dyDescent="0.25">
      <c r="B14" s="20"/>
      <c r="C14" s="5" t="s">
        <v>93</v>
      </c>
      <c r="D14" s="6" t="s">
        <v>23</v>
      </c>
      <c r="E14" s="11">
        <v>9.8572999999999994E-2</v>
      </c>
      <c r="F14" s="1"/>
      <c r="G14" s="1"/>
      <c r="H14" s="1"/>
      <c r="I14" s="1"/>
      <c r="J14" s="24" t="s">
        <v>68</v>
      </c>
      <c r="K14" s="29">
        <v>0.20063300000000001</v>
      </c>
      <c r="L14" s="1"/>
      <c r="M14" s="1"/>
      <c r="N14" s="18"/>
    </row>
    <row r="15" spans="2:14" ht="15" customHeight="1" x14ac:dyDescent="0.25">
      <c r="B15" s="20"/>
      <c r="C15" s="5" t="s">
        <v>104</v>
      </c>
      <c r="D15" s="6" t="s">
        <v>23</v>
      </c>
      <c r="E15" s="11">
        <v>5.7796E-2</v>
      </c>
      <c r="F15" s="1"/>
      <c r="G15" s="1"/>
      <c r="H15" s="1"/>
      <c r="I15" s="1"/>
      <c r="J15" s="24" t="s">
        <v>105</v>
      </c>
      <c r="K15" s="29">
        <v>9.9319999999999999E-3</v>
      </c>
      <c r="L15" s="1"/>
      <c r="M15" s="1"/>
      <c r="N15" s="18"/>
    </row>
    <row r="16" spans="2:14" ht="15" customHeight="1" x14ac:dyDescent="0.25">
      <c r="B16" s="20"/>
      <c r="C16" s="5" t="s">
        <v>87</v>
      </c>
      <c r="D16" s="6" t="s">
        <v>23</v>
      </c>
      <c r="E16" s="11">
        <v>5.3444999999999999E-2</v>
      </c>
      <c r="F16" s="1"/>
      <c r="G16" s="1"/>
      <c r="H16" s="1"/>
      <c r="I16" s="1"/>
      <c r="J16" s="1"/>
      <c r="K16" s="1"/>
      <c r="L16" s="1"/>
      <c r="M16" s="1"/>
      <c r="N16" s="18"/>
    </row>
    <row r="17" spans="2:14" ht="15" customHeight="1" x14ac:dyDescent="0.25">
      <c r="B17" s="20"/>
      <c r="C17" s="5" t="s">
        <v>109</v>
      </c>
      <c r="D17" s="6" t="s">
        <v>23</v>
      </c>
      <c r="E17" s="11">
        <v>3.9703000000000002E-2</v>
      </c>
      <c r="F17" s="1"/>
      <c r="G17" s="1"/>
      <c r="H17" s="1"/>
      <c r="I17" s="1"/>
      <c r="J17" s="1"/>
      <c r="K17" s="1"/>
      <c r="L17" s="1"/>
      <c r="M17" s="1"/>
      <c r="N17" s="18"/>
    </row>
    <row r="18" spans="2:14" ht="15" customHeight="1" x14ac:dyDescent="0.25">
      <c r="B18" s="20"/>
      <c r="C18" s="5" t="s">
        <v>151</v>
      </c>
      <c r="D18" s="6" t="s">
        <v>23</v>
      </c>
      <c r="E18" s="11">
        <v>3.9697000000000003E-2</v>
      </c>
      <c r="F18" s="1"/>
      <c r="G18" s="1"/>
      <c r="H18" s="1"/>
      <c r="I18" s="1"/>
      <c r="J18" s="1"/>
      <c r="K18" s="1"/>
      <c r="L18" s="1"/>
      <c r="M18" s="1"/>
      <c r="N18" s="18"/>
    </row>
    <row r="19" spans="2:14" ht="15" customHeight="1" x14ac:dyDescent="0.25">
      <c r="B19" s="20"/>
      <c r="C19" s="5" t="s">
        <v>27</v>
      </c>
      <c r="D19" s="6" t="s">
        <v>23</v>
      </c>
      <c r="E19" s="11">
        <v>3.5024E-2</v>
      </c>
      <c r="F19" s="1"/>
      <c r="G19" s="1"/>
      <c r="H19" s="1"/>
      <c r="I19" s="1"/>
      <c r="J19" s="1"/>
      <c r="K19" s="1"/>
      <c r="L19" s="1"/>
      <c r="M19" s="1"/>
      <c r="N19" s="18"/>
    </row>
    <row r="20" spans="2:14" ht="15" customHeight="1" x14ac:dyDescent="0.25">
      <c r="B20" s="20"/>
      <c r="C20" s="5" t="s">
        <v>33</v>
      </c>
      <c r="D20" s="6" t="s">
        <v>23</v>
      </c>
      <c r="E20" s="11">
        <v>2.3873999999999999E-2</v>
      </c>
      <c r="F20" s="1"/>
      <c r="G20" s="1"/>
      <c r="H20" s="1"/>
      <c r="I20" s="1"/>
      <c r="J20" s="1"/>
      <c r="K20" s="1"/>
      <c r="L20" s="1"/>
      <c r="M20" s="1"/>
      <c r="N20" s="18"/>
    </row>
    <row r="21" spans="2:14" ht="15" customHeight="1" x14ac:dyDescent="0.25">
      <c r="B21" s="20"/>
      <c r="C21" s="5" t="s">
        <v>41</v>
      </c>
      <c r="D21" s="6" t="s">
        <v>23</v>
      </c>
      <c r="E21" s="11">
        <v>9.7890000000000008E-3</v>
      </c>
      <c r="F21" s="1"/>
      <c r="G21" s="1"/>
      <c r="H21" s="1"/>
      <c r="I21" s="1"/>
      <c r="J21" s="1"/>
      <c r="K21" s="1"/>
      <c r="L21" s="1"/>
      <c r="M21" s="1"/>
      <c r="N21" s="18"/>
    </row>
    <row r="22" spans="2:14" ht="15.75" customHeight="1" x14ac:dyDescent="0.25">
      <c r="B22" s="20"/>
      <c r="C22" s="7" t="s">
        <v>28</v>
      </c>
      <c r="D22" s="8"/>
      <c r="E22" s="12">
        <v>0.476831</v>
      </c>
      <c r="F22" s="1"/>
      <c r="G22" s="1"/>
      <c r="H22" s="1"/>
      <c r="I22" s="1"/>
      <c r="J22" s="1"/>
      <c r="K22" s="1"/>
      <c r="L22" s="1"/>
      <c r="M22" s="1"/>
      <c r="N22" s="18"/>
    </row>
    <row r="23" spans="2:14" ht="15" customHeight="1" x14ac:dyDescent="0.25">
      <c r="B23" s="20"/>
      <c r="C23" s="5" t="s">
        <v>154</v>
      </c>
      <c r="D23" s="6" t="s">
        <v>54</v>
      </c>
      <c r="E23" s="11">
        <v>9.9970000000000007E-3</v>
      </c>
      <c r="F23" s="1"/>
      <c r="G23" s="1"/>
      <c r="H23" s="1"/>
      <c r="I23" s="1"/>
      <c r="J23" s="1"/>
      <c r="K23" s="1"/>
      <c r="L23" s="1"/>
      <c r="M23" s="1"/>
      <c r="N23" s="18"/>
    </row>
    <row r="24" spans="2:14" ht="15" customHeight="1" x14ac:dyDescent="0.25">
      <c r="B24" s="20"/>
      <c r="C24" s="5" t="s">
        <v>155</v>
      </c>
      <c r="D24" s="6" t="s">
        <v>54</v>
      </c>
      <c r="E24" s="11">
        <v>1.439E-3</v>
      </c>
      <c r="F24" s="1"/>
      <c r="G24" s="87" t="s">
        <v>106</v>
      </c>
      <c r="H24" s="88"/>
      <c r="I24" s="88"/>
      <c r="J24" s="88"/>
      <c r="K24" s="88"/>
      <c r="L24" s="92">
        <v>106</v>
      </c>
      <c r="M24" s="27"/>
      <c r="N24" s="28"/>
    </row>
    <row r="25" spans="2:14" ht="15.75" customHeight="1" x14ac:dyDescent="0.25">
      <c r="B25" s="20"/>
      <c r="C25" s="7" t="s">
        <v>60</v>
      </c>
      <c r="D25" s="8"/>
      <c r="E25" s="12">
        <v>1.1436E-2</v>
      </c>
      <c r="F25" s="1"/>
      <c r="G25" s="1"/>
      <c r="H25" s="1"/>
      <c r="I25" s="1"/>
      <c r="J25" s="1"/>
      <c r="K25" s="1"/>
      <c r="L25" s="1"/>
      <c r="M25" s="1"/>
      <c r="N25" s="18"/>
    </row>
    <row r="26" spans="2:14" ht="15" customHeight="1" x14ac:dyDescent="0.25">
      <c r="B26" s="20"/>
      <c r="C26" s="5" t="s">
        <v>178</v>
      </c>
      <c r="D26" s="6" t="s">
        <v>54</v>
      </c>
      <c r="E26" s="11">
        <v>2.0185000000000002E-2</v>
      </c>
      <c r="F26" s="1"/>
      <c r="G26" s="87" t="s">
        <v>19</v>
      </c>
      <c r="H26" s="88"/>
      <c r="I26" s="88"/>
      <c r="J26" s="88"/>
      <c r="K26" s="88"/>
      <c r="L26" s="88"/>
      <c r="M26" s="88"/>
      <c r="N26" s="89"/>
    </row>
    <row r="27" spans="2:14" ht="15.75" customHeight="1" x14ac:dyDescent="0.25">
      <c r="B27" s="20"/>
      <c r="C27" s="32" t="s">
        <v>179</v>
      </c>
      <c r="D27" s="33" t="s">
        <v>54</v>
      </c>
      <c r="E27" s="34">
        <v>1.6281E-2</v>
      </c>
      <c r="F27" s="1"/>
      <c r="G27" s="1"/>
      <c r="H27" s="1"/>
      <c r="I27" s="1"/>
      <c r="J27" s="1"/>
      <c r="K27" s="1"/>
      <c r="L27" s="1"/>
      <c r="M27" s="1"/>
      <c r="N27" s="18"/>
    </row>
    <row r="28" spans="2:14" ht="15" customHeight="1" x14ac:dyDescent="0.25">
      <c r="B28" s="20"/>
      <c r="C28" s="32" t="s">
        <v>180</v>
      </c>
      <c r="D28" s="33" t="s">
        <v>54</v>
      </c>
      <c r="E28" s="34">
        <v>8.9823E-2</v>
      </c>
      <c r="F28" s="1"/>
      <c r="G28" s="1"/>
      <c r="H28" s="1"/>
      <c r="I28" s="1"/>
      <c r="J28" s="1"/>
      <c r="K28" s="1"/>
      <c r="L28" s="1"/>
      <c r="M28" s="1"/>
      <c r="N28" s="18"/>
    </row>
    <row r="29" spans="2:14" ht="15.75" customHeight="1" x14ac:dyDescent="0.25">
      <c r="B29" s="20"/>
      <c r="C29" s="32" t="s">
        <v>164</v>
      </c>
      <c r="D29" s="33" t="s">
        <v>54</v>
      </c>
      <c r="E29" s="34">
        <v>3.9940000000000002E-3</v>
      </c>
      <c r="F29" s="1"/>
      <c r="G29" s="1"/>
      <c r="H29" s="1"/>
      <c r="I29" s="1"/>
      <c r="J29" s="1"/>
      <c r="K29" s="1"/>
      <c r="L29" s="1"/>
      <c r="M29" s="1"/>
      <c r="N29" s="18"/>
    </row>
    <row r="30" spans="2:14" ht="15" customHeight="1" x14ac:dyDescent="0.25">
      <c r="B30" s="20"/>
      <c r="C30" s="32" t="s">
        <v>181</v>
      </c>
      <c r="D30" s="33" t="s">
        <v>54</v>
      </c>
      <c r="E30" s="34">
        <v>2.0200000000000001E-3</v>
      </c>
      <c r="F30" s="1"/>
      <c r="G30" s="1"/>
      <c r="H30" s="1"/>
      <c r="I30" s="1"/>
      <c r="J30" s="1"/>
      <c r="K30" s="1"/>
      <c r="L30" s="1"/>
      <c r="M30" s="1"/>
      <c r="N30" s="18"/>
    </row>
    <row r="31" spans="2:14" ht="15.75" customHeight="1" x14ac:dyDescent="0.25">
      <c r="B31" s="20"/>
      <c r="C31" s="32" t="s">
        <v>166</v>
      </c>
      <c r="D31" s="33" t="s">
        <v>54</v>
      </c>
      <c r="E31" s="34">
        <v>1.8240000000000001E-3</v>
      </c>
      <c r="F31" s="1"/>
      <c r="G31" s="1"/>
      <c r="H31" s="1"/>
      <c r="I31" s="1"/>
      <c r="J31" s="1"/>
      <c r="K31" s="1"/>
      <c r="L31" s="1"/>
      <c r="M31" s="1"/>
      <c r="N31" s="18"/>
    </row>
    <row r="32" spans="2:14" ht="15" customHeight="1" x14ac:dyDescent="0.25">
      <c r="B32" s="20"/>
      <c r="C32" s="32" t="s">
        <v>182</v>
      </c>
      <c r="D32" s="33" t="s">
        <v>54</v>
      </c>
      <c r="E32" s="34">
        <v>9.4600000000000001E-4</v>
      </c>
      <c r="F32" s="1"/>
      <c r="G32" s="1"/>
      <c r="H32" s="1"/>
      <c r="I32" s="1"/>
      <c r="J32" s="1"/>
      <c r="K32" s="1"/>
      <c r="L32" s="1"/>
      <c r="M32" s="1"/>
      <c r="N32" s="18"/>
    </row>
    <row r="33" spans="2:14" ht="15.75" customHeight="1" x14ac:dyDescent="0.25">
      <c r="B33" s="20"/>
      <c r="C33" s="32" t="s">
        <v>171</v>
      </c>
      <c r="D33" s="33" t="s">
        <v>54</v>
      </c>
      <c r="E33" s="34">
        <v>4.0679999999999996E-3</v>
      </c>
      <c r="F33" s="1"/>
      <c r="G33" s="1"/>
      <c r="H33" s="1"/>
      <c r="I33" s="1"/>
      <c r="J33" s="1"/>
      <c r="K33" s="1"/>
      <c r="L33" s="1"/>
      <c r="M33" s="1"/>
      <c r="N33" s="18"/>
    </row>
    <row r="34" spans="2:14" ht="15" customHeight="1" x14ac:dyDescent="0.25">
      <c r="B34" s="20"/>
      <c r="C34" s="32" t="s">
        <v>174</v>
      </c>
      <c r="D34" s="33" t="s">
        <v>54</v>
      </c>
      <c r="E34" s="34">
        <v>2.4569000000000001E-2</v>
      </c>
      <c r="F34" s="1"/>
      <c r="G34" s="1"/>
      <c r="H34" s="1"/>
      <c r="I34" s="1"/>
      <c r="J34" s="1"/>
      <c r="K34" s="1"/>
      <c r="L34" s="1"/>
      <c r="M34" s="1"/>
      <c r="N34" s="18"/>
    </row>
    <row r="35" spans="2:14" ht="15" customHeight="1" x14ac:dyDescent="0.25">
      <c r="B35" s="20"/>
      <c r="C35" s="32" t="s">
        <v>183</v>
      </c>
      <c r="D35" s="33" t="s">
        <v>54</v>
      </c>
      <c r="E35" s="34">
        <v>8.1899999999999994E-3</v>
      </c>
      <c r="F35" s="1"/>
      <c r="G35" s="1"/>
      <c r="H35" s="1"/>
      <c r="I35" s="1"/>
      <c r="J35" s="1"/>
      <c r="K35" s="1"/>
      <c r="L35" s="1"/>
      <c r="M35" s="1"/>
      <c r="N35" s="18"/>
    </row>
    <row r="36" spans="2:14" ht="15" customHeight="1" x14ac:dyDescent="0.25">
      <c r="B36" s="20"/>
      <c r="C36" s="32" t="s">
        <v>184</v>
      </c>
      <c r="D36" s="33" t="s">
        <v>54</v>
      </c>
      <c r="E36" s="34">
        <v>2.8733000000000002E-2</v>
      </c>
      <c r="F36" s="1"/>
      <c r="G36" s="1"/>
      <c r="H36" s="1"/>
      <c r="I36" s="1"/>
      <c r="J36" s="1"/>
      <c r="K36" s="1"/>
      <c r="L36" s="1"/>
      <c r="M36" s="1"/>
      <c r="N36" s="18"/>
    </row>
    <row r="37" spans="2:14" ht="15" customHeight="1" x14ac:dyDescent="0.25">
      <c r="B37" s="20"/>
      <c r="C37" s="7" t="s">
        <v>61</v>
      </c>
      <c r="D37" s="8"/>
      <c r="E37" s="12">
        <v>0.20063300000000001</v>
      </c>
      <c r="F37" s="1"/>
      <c r="G37" s="1"/>
      <c r="H37" s="1"/>
      <c r="I37" s="1"/>
      <c r="J37" s="1"/>
      <c r="K37" s="1"/>
      <c r="L37" s="1"/>
      <c r="M37" s="1"/>
      <c r="N37" s="18"/>
    </row>
    <row r="38" spans="2:14" ht="15" customHeight="1" x14ac:dyDescent="0.25">
      <c r="B38" s="20"/>
      <c r="C38" s="5" t="s">
        <v>100</v>
      </c>
      <c r="D38" s="6" t="s">
        <v>54</v>
      </c>
      <c r="E38" s="11">
        <v>9.9319999999999999E-3</v>
      </c>
      <c r="F38" s="1"/>
      <c r="G38" s="1"/>
      <c r="H38" s="1"/>
      <c r="I38" s="1"/>
      <c r="J38" s="1"/>
      <c r="K38" s="1"/>
      <c r="L38" s="1"/>
      <c r="M38" s="1"/>
      <c r="N38" s="18"/>
    </row>
    <row r="39" spans="2:14" ht="15" customHeight="1" x14ac:dyDescent="0.25">
      <c r="B39" s="20"/>
      <c r="C39" s="7" t="s">
        <v>103</v>
      </c>
      <c r="D39" s="8"/>
      <c r="E39" s="12">
        <v>9.9319999999999999E-3</v>
      </c>
      <c r="F39" s="1"/>
      <c r="G39" s="1"/>
      <c r="H39" s="1"/>
      <c r="I39" s="1"/>
      <c r="J39" s="1"/>
      <c r="K39" s="1"/>
      <c r="L39" s="1"/>
      <c r="M39" s="1"/>
      <c r="N39" s="18"/>
    </row>
    <row r="40" spans="2:14" ht="15" customHeight="1" x14ac:dyDescent="0.25">
      <c r="B40" s="20"/>
      <c r="C40" s="5" t="s">
        <v>9</v>
      </c>
      <c r="D40" s="6"/>
      <c r="E40" s="11">
        <v>2.1971000000000001E-2</v>
      </c>
      <c r="F40" s="1"/>
      <c r="G40" s="1"/>
      <c r="H40" s="1"/>
      <c r="I40" s="1"/>
      <c r="J40" s="1"/>
      <c r="K40" s="1"/>
      <c r="L40" s="1"/>
      <c r="M40" s="1"/>
      <c r="N40" s="18"/>
    </row>
    <row r="41" spans="2:14" ht="15" customHeight="1" x14ac:dyDescent="0.25">
      <c r="B41" s="20"/>
      <c r="C41" s="7" t="s">
        <v>10</v>
      </c>
      <c r="D41" s="8"/>
      <c r="E41" s="12">
        <v>2.1971000000000001E-2</v>
      </c>
      <c r="F41" s="1"/>
      <c r="G41" s="1"/>
      <c r="H41" s="1"/>
      <c r="I41" s="1"/>
      <c r="J41" s="1"/>
      <c r="K41" s="1"/>
      <c r="L41" s="1"/>
      <c r="M41" s="1"/>
      <c r="N41" s="18"/>
    </row>
    <row r="42" spans="2:14" ht="15" customHeight="1" x14ac:dyDescent="0.25">
      <c r="B42" s="20"/>
      <c r="C42" s="5"/>
      <c r="D42" s="6"/>
      <c r="E42" s="11"/>
      <c r="F42" s="1"/>
      <c r="G42" s="1"/>
      <c r="H42" s="1"/>
      <c r="I42" s="1"/>
      <c r="J42" s="1"/>
      <c r="K42" s="1"/>
      <c r="L42" s="1"/>
      <c r="M42" s="1"/>
      <c r="N42" s="18"/>
    </row>
    <row r="43" spans="2:14" ht="15" customHeight="1" x14ac:dyDescent="0.25">
      <c r="B43" s="20"/>
      <c r="C43" s="7" t="s">
        <v>11</v>
      </c>
      <c r="D43" s="8"/>
      <c r="E43" s="12">
        <v>2.7039999999999998E-3</v>
      </c>
      <c r="F43" s="1"/>
      <c r="G43" s="1"/>
      <c r="H43" s="1"/>
      <c r="I43" s="1"/>
      <c r="J43" s="1"/>
      <c r="K43" s="1"/>
      <c r="L43" s="1"/>
      <c r="M43" s="1"/>
      <c r="N43" s="18"/>
    </row>
    <row r="44" spans="2:14" ht="15" customHeight="1" x14ac:dyDescent="0.25">
      <c r="B44" s="20"/>
      <c r="C44" s="5"/>
      <c r="D44" s="6"/>
      <c r="E44" s="11"/>
      <c r="F44" s="1"/>
      <c r="G44" s="1"/>
      <c r="H44" s="1"/>
      <c r="I44" s="1"/>
      <c r="J44" s="1"/>
      <c r="K44" s="1"/>
      <c r="L44" s="1"/>
      <c r="M44" s="1"/>
      <c r="N44" s="18"/>
    </row>
    <row r="45" spans="2:14" ht="15" customHeight="1" x14ac:dyDescent="0.25">
      <c r="B45" s="20"/>
      <c r="C45" s="9" t="s">
        <v>12</v>
      </c>
      <c r="D45" s="10"/>
      <c r="E45" s="13">
        <v>1</v>
      </c>
      <c r="F45" s="1"/>
      <c r="G45" s="1"/>
      <c r="H45" s="1"/>
      <c r="I45" s="1"/>
      <c r="J45" s="1"/>
      <c r="K45" s="1"/>
      <c r="L45" s="1"/>
      <c r="M45" s="1"/>
      <c r="N45" s="18"/>
    </row>
    <row r="46" spans="2:14" ht="15" customHeight="1" x14ac:dyDescent="0.25">
      <c r="B46" s="20"/>
      <c r="F46" s="1"/>
      <c r="G46" s="1"/>
      <c r="H46" s="1"/>
      <c r="I46" s="1"/>
      <c r="J46" s="1"/>
      <c r="K46" s="1"/>
      <c r="L46" s="1"/>
      <c r="M46" s="1"/>
      <c r="N46" s="18"/>
    </row>
    <row r="47" spans="2:14" ht="15" customHeight="1" thickBot="1" x14ac:dyDescent="0.3">
      <c r="B47" s="21"/>
      <c r="C47" s="22"/>
      <c r="D47" s="22"/>
      <c r="E47" s="22"/>
      <c r="F47" s="22"/>
      <c r="G47" s="22"/>
      <c r="H47" s="22"/>
      <c r="I47" s="22"/>
      <c r="J47" s="22"/>
      <c r="K47" s="22"/>
      <c r="L47" s="22"/>
      <c r="M47" s="22"/>
      <c r="N47" s="23"/>
    </row>
    <row r="48" spans="2:14" ht="15" customHeight="1" thickBot="1" x14ac:dyDescent="0.3"/>
    <row r="49" spans="2:14" ht="110.25" customHeight="1" thickBot="1" x14ac:dyDescent="0.3">
      <c r="B49" s="79" t="s">
        <v>160</v>
      </c>
      <c r="C49" s="80"/>
      <c r="D49" s="80"/>
      <c r="E49" s="80"/>
      <c r="F49" s="80"/>
      <c r="G49" s="80"/>
      <c r="H49" s="80"/>
      <c r="I49" s="80"/>
      <c r="J49" s="80"/>
      <c r="K49" s="80"/>
      <c r="L49" s="80"/>
      <c r="M49" s="80"/>
      <c r="N49" s="81"/>
    </row>
    <row r="50" spans="2:14" ht="15" customHeight="1" x14ac:dyDescent="0.25"/>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row r="59" spans="2:14" ht="15" customHeight="1" x14ac:dyDescent="0.25"/>
  </sheetData>
  <mergeCells count="6">
    <mergeCell ref="B49:N49"/>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6166C-4BD9-48C5-B2D9-4B54E21A4A91}">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158</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159</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24</v>
      </c>
      <c r="D8" s="6" t="s">
        <v>23</v>
      </c>
      <c r="E8" s="11">
        <v>9.8137000000000002E-2</v>
      </c>
      <c r="F8" s="1"/>
      <c r="G8" s="24" t="s">
        <v>16</v>
      </c>
      <c r="H8" s="25">
        <v>1</v>
      </c>
      <c r="I8" s="1"/>
      <c r="J8" s="24" t="s">
        <v>13</v>
      </c>
      <c r="K8" s="24" t="s">
        <v>5</v>
      </c>
      <c r="L8" s="1"/>
      <c r="M8" s="1"/>
      <c r="N8" s="18"/>
    </row>
    <row r="9" spans="2:14" ht="15" customHeight="1" x14ac:dyDescent="0.25">
      <c r="B9" s="20"/>
      <c r="C9" s="5" t="s">
        <v>92</v>
      </c>
      <c r="D9" s="6" t="s">
        <v>23</v>
      </c>
      <c r="E9" s="11">
        <v>9.1955999999999996E-2</v>
      </c>
      <c r="F9" s="1"/>
      <c r="G9" s="1"/>
      <c r="H9" s="1"/>
      <c r="I9" s="1"/>
      <c r="J9" s="24" t="s">
        <v>11</v>
      </c>
      <c r="K9" s="29">
        <v>8.1759999999999992E-3</v>
      </c>
      <c r="L9" s="1"/>
      <c r="M9" s="1"/>
      <c r="N9" s="18"/>
    </row>
    <row r="10" spans="2:14" ht="15.75" customHeight="1" x14ac:dyDescent="0.25">
      <c r="B10" s="20"/>
      <c r="C10" s="7" t="s">
        <v>26</v>
      </c>
      <c r="D10" s="8"/>
      <c r="E10" s="12">
        <v>0.19009300000000001</v>
      </c>
      <c r="F10" s="1"/>
      <c r="G10" s="1"/>
      <c r="H10" s="1"/>
      <c r="I10" s="1"/>
      <c r="J10" s="24" t="s">
        <v>14</v>
      </c>
      <c r="K10" s="29">
        <v>0.19387499999999999</v>
      </c>
      <c r="L10" s="1"/>
      <c r="M10" s="1"/>
      <c r="N10" s="18"/>
    </row>
    <row r="11" spans="2:14" ht="15" customHeight="1" x14ac:dyDescent="0.25">
      <c r="B11" s="20"/>
      <c r="C11" s="5" t="s">
        <v>93</v>
      </c>
      <c r="D11" s="6" t="s">
        <v>23</v>
      </c>
      <c r="E11" s="11">
        <v>6.9083000000000006E-2</v>
      </c>
      <c r="F11" s="1"/>
      <c r="G11" s="1"/>
      <c r="H11" s="1"/>
      <c r="I11" s="1"/>
      <c r="J11" s="24" t="s">
        <v>63</v>
      </c>
      <c r="K11" s="29">
        <v>0.19009300000000001</v>
      </c>
      <c r="L11" s="1"/>
      <c r="M11" s="1"/>
      <c r="N11" s="18"/>
    </row>
    <row r="12" spans="2:14" ht="15" customHeight="1" x14ac:dyDescent="0.25">
      <c r="B12" s="20"/>
      <c r="C12" s="5" t="s">
        <v>87</v>
      </c>
      <c r="D12" s="6" t="s">
        <v>23</v>
      </c>
      <c r="E12" s="11">
        <v>4.2380000000000001E-2</v>
      </c>
      <c r="F12" s="1"/>
      <c r="G12" s="1"/>
      <c r="H12" s="1"/>
      <c r="I12" s="1"/>
      <c r="J12" s="24" t="s">
        <v>64</v>
      </c>
      <c r="K12" s="29">
        <v>0.33824100000000001</v>
      </c>
      <c r="L12" s="1"/>
      <c r="M12" s="1"/>
      <c r="N12" s="18"/>
    </row>
    <row r="13" spans="2:14" ht="15" customHeight="1" x14ac:dyDescent="0.25">
      <c r="B13" s="20"/>
      <c r="C13" s="5" t="s">
        <v>79</v>
      </c>
      <c r="D13" s="6" t="s">
        <v>23</v>
      </c>
      <c r="E13" s="11">
        <v>3.4460999999999999E-2</v>
      </c>
      <c r="F13" s="1"/>
      <c r="G13" s="1"/>
      <c r="H13" s="1"/>
      <c r="I13" s="1"/>
      <c r="J13" s="24" t="s">
        <v>65</v>
      </c>
      <c r="K13" s="29">
        <v>0.173704</v>
      </c>
      <c r="L13" s="1"/>
      <c r="M13" s="1"/>
      <c r="N13" s="18"/>
    </row>
    <row r="14" spans="2:14" ht="15" customHeight="1" x14ac:dyDescent="0.25">
      <c r="B14" s="20"/>
      <c r="C14" s="5" t="s">
        <v>33</v>
      </c>
      <c r="D14" s="6" t="s">
        <v>23</v>
      </c>
      <c r="E14" s="11">
        <v>2.7779999999999999E-2</v>
      </c>
      <c r="F14" s="1"/>
      <c r="G14" s="1"/>
      <c r="H14" s="1"/>
      <c r="I14" s="1"/>
      <c r="J14" s="24" t="s">
        <v>66</v>
      </c>
      <c r="K14" s="29">
        <v>2.3203999999999999E-2</v>
      </c>
      <c r="L14" s="1"/>
      <c r="M14" s="1"/>
      <c r="N14" s="18"/>
    </row>
    <row r="15" spans="2:14" ht="15.75" customHeight="1" x14ac:dyDescent="0.25">
      <c r="B15" s="20"/>
      <c r="C15" s="7" t="s">
        <v>28</v>
      </c>
      <c r="D15" s="8"/>
      <c r="E15" s="12">
        <v>0.173704</v>
      </c>
      <c r="F15" s="1"/>
      <c r="G15" s="1"/>
      <c r="H15" s="1"/>
      <c r="I15" s="1"/>
      <c r="J15" s="24" t="s">
        <v>68</v>
      </c>
      <c r="K15" s="29">
        <v>3.8113000000000001E-2</v>
      </c>
      <c r="L15" s="1"/>
      <c r="M15" s="1"/>
      <c r="N15" s="18"/>
    </row>
    <row r="16" spans="2:14" ht="15" customHeight="1" x14ac:dyDescent="0.25">
      <c r="B16" s="20"/>
      <c r="C16" s="5" t="s">
        <v>29</v>
      </c>
      <c r="D16" s="6" t="s">
        <v>30</v>
      </c>
      <c r="E16" s="11">
        <v>0.108199</v>
      </c>
      <c r="F16" s="1"/>
      <c r="G16" s="1"/>
      <c r="H16" s="1"/>
      <c r="I16" s="1"/>
      <c r="J16" s="24" t="s">
        <v>105</v>
      </c>
      <c r="K16" s="29">
        <v>5.7670000000000004E-3</v>
      </c>
      <c r="L16" s="1"/>
      <c r="M16" s="1"/>
      <c r="N16" s="18"/>
    </row>
    <row r="17" spans="2:14" ht="15" customHeight="1" x14ac:dyDescent="0.25">
      <c r="B17" s="20"/>
      <c r="C17" s="5" t="s">
        <v>27</v>
      </c>
      <c r="D17" s="6" t="s">
        <v>30</v>
      </c>
      <c r="E17" s="11">
        <v>7.7868000000000007E-2</v>
      </c>
      <c r="F17" s="1"/>
      <c r="G17" s="1"/>
      <c r="H17" s="1"/>
      <c r="I17" s="1"/>
      <c r="J17" s="24" t="s">
        <v>69</v>
      </c>
      <c r="K17" s="29">
        <v>2.8826999999999998E-2</v>
      </c>
      <c r="L17" s="1"/>
      <c r="M17" s="1"/>
      <c r="N17" s="18"/>
    </row>
    <row r="18" spans="2:14" ht="15" customHeight="1" x14ac:dyDescent="0.25">
      <c r="B18" s="20"/>
      <c r="C18" s="5" t="s">
        <v>41</v>
      </c>
      <c r="D18" s="6" t="s">
        <v>30</v>
      </c>
      <c r="E18" s="11">
        <v>4.9528999999999997E-2</v>
      </c>
      <c r="F18" s="1"/>
      <c r="G18" s="1"/>
      <c r="H18" s="1"/>
      <c r="I18" s="1"/>
      <c r="J18" s="1"/>
      <c r="K18" s="1"/>
      <c r="L18" s="1"/>
      <c r="M18" s="1"/>
      <c r="N18" s="18"/>
    </row>
    <row r="19" spans="2:14" ht="15" customHeight="1" x14ac:dyDescent="0.25">
      <c r="B19" s="20"/>
      <c r="C19" s="5" t="s">
        <v>32</v>
      </c>
      <c r="D19" s="6" t="s">
        <v>30</v>
      </c>
      <c r="E19" s="11">
        <v>4.598E-2</v>
      </c>
      <c r="F19" s="1"/>
      <c r="G19" s="1"/>
      <c r="H19" s="1"/>
      <c r="I19" s="1"/>
      <c r="J19" s="1"/>
      <c r="K19" s="1"/>
      <c r="L19" s="1"/>
      <c r="M19" s="1"/>
      <c r="N19" s="18"/>
    </row>
    <row r="20" spans="2:14" ht="15" customHeight="1" x14ac:dyDescent="0.25">
      <c r="B20" s="20"/>
      <c r="C20" s="5" t="s">
        <v>34</v>
      </c>
      <c r="D20" s="6" t="s">
        <v>30</v>
      </c>
      <c r="E20" s="11">
        <v>3.551E-2</v>
      </c>
      <c r="F20" s="1"/>
      <c r="G20" s="1"/>
      <c r="H20" s="1"/>
      <c r="I20" s="1"/>
      <c r="J20" s="1"/>
      <c r="K20" s="1"/>
      <c r="L20" s="1"/>
      <c r="M20" s="1"/>
      <c r="N20" s="18"/>
    </row>
    <row r="21" spans="2:14" ht="15" customHeight="1" x14ac:dyDescent="0.25">
      <c r="B21" s="20"/>
      <c r="C21" s="5" t="s">
        <v>42</v>
      </c>
      <c r="D21" s="6" t="s">
        <v>30</v>
      </c>
      <c r="E21" s="11">
        <v>1.1761000000000001E-2</v>
      </c>
      <c r="F21" s="1"/>
      <c r="G21" s="1"/>
      <c r="H21" s="1"/>
      <c r="I21" s="1"/>
      <c r="J21" s="1"/>
      <c r="K21" s="1"/>
      <c r="L21" s="1"/>
      <c r="M21" s="1"/>
      <c r="N21" s="18"/>
    </row>
    <row r="22" spans="2:14" ht="15" customHeight="1" x14ac:dyDescent="0.25">
      <c r="B22" s="20"/>
      <c r="C22" s="5" t="s">
        <v>35</v>
      </c>
      <c r="D22" s="6" t="s">
        <v>30</v>
      </c>
      <c r="E22" s="11">
        <v>5.9049999999999997E-3</v>
      </c>
      <c r="F22" s="1"/>
      <c r="G22" s="1"/>
      <c r="H22" s="1"/>
      <c r="I22" s="1"/>
      <c r="J22" s="1"/>
      <c r="K22" s="1"/>
      <c r="L22" s="1"/>
      <c r="M22" s="1"/>
      <c r="N22" s="18"/>
    </row>
    <row r="23" spans="2:14" ht="15" customHeight="1" x14ac:dyDescent="0.25">
      <c r="B23" s="20"/>
      <c r="C23" s="5" t="s">
        <v>79</v>
      </c>
      <c r="D23" s="6" t="s">
        <v>30</v>
      </c>
      <c r="E23" s="11">
        <v>3.4889999999999999E-3</v>
      </c>
      <c r="F23" s="1"/>
      <c r="G23" s="1"/>
      <c r="H23" s="1"/>
      <c r="I23" s="1"/>
      <c r="J23" s="1"/>
      <c r="K23" s="1"/>
      <c r="L23" s="1"/>
      <c r="M23" s="1"/>
      <c r="N23" s="18"/>
    </row>
    <row r="24" spans="2:14" ht="15.75" customHeight="1" x14ac:dyDescent="0.25">
      <c r="B24" s="20"/>
      <c r="C24" s="7" t="s">
        <v>50</v>
      </c>
      <c r="D24" s="8"/>
      <c r="E24" s="12">
        <v>0.33824100000000001</v>
      </c>
      <c r="F24" s="1"/>
      <c r="G24" s="87" t="s">
        <v>106</v>
      </c>
      <c r="H24" s="88"/>
      <c r="I24" s="88"/>
      <c r="J24" s="88"/>
      <c r="K24" s="88"/>
      <c r="L24" s="92">
        <v>168</v>
      </c>
      <c r="M24" s="27"/>
      <c r="N24" s="28"/>
    </row>
    <row r="25" spans="2:14" ht="15" customHeight="1" x14ac:dyDescent="0.25">
      <c r="B25" s="20"/>
      <c r="C25" s="5" t="s">
        <v>24</v>
      </c>
      <c r="D25" s="6" t="s">
        <v>23</v>
      </c>
      <c r="E25" s="11">
        <v>2.3203999999999999E-2</v>
      </c>
      <c r="F25" s="1"/>
      <c r="G25" s="1"/>
      <c r="H25" s="1"/>
      <c r="I25" s="1"/>
      <c r="J25" s="1"/>
      <c r="K25" s="1"/>
      <c r="L25" s="1"/>
      <c r="M25" s="1"/>
      <c r="N25" s="18"/>
    </row>
    <row r="26" spans="2:14" ht="15.75" customHeight="1" x14ac:dyDescent="0.25">
      <c r="B26" s="20"/>
      <c r="C26" s="7" t="s">
        <v>52</v>
      </c>
      <c r="D26" s="8"/>
      <c r="E26" s="12">
        <v>2.3203999999999999E-2</v>
      </c>
      <c r="F26" s="1"/>
      <c r="G26" s="87" t="s">
        <v>19</v>
      </c>
      <c r="H26" s="88"/>
      <c r="I26" s="88"/>
      <c r="J26" s="88"/>
      <c r="K26" s="88"/>
      <c r="L26" s="88"/>
      <c r="M26" s="88"/>
      <c r="N26" s="89"/>
    </row>
    <row r="27" spans="2:14" ht="15" customHeight="1" x14ac:dyDescent="0.25">
      <c r="B27" s="20"/>
      <c r="C27" s="5" t="s">
        <v>186</v>
      </c>
      <c r="D27" s="6" t="s">
        <v>54</v>
      </c>
      <c r="E27" s="11">
        <v>3.5739E-2</v>
      </c>
      <c r="F27" s="1"/>
      <c r="G27" s="1"/>
      <c r="H27" s="1"/>
      <c r="I27" s="1"/>
      <c r="J27" s="1"/>
      <c r="K27" s="1"/>
      <c r="L27" s="1"/>
      <c r="M27" s="1"/>
      <c r="N27" s="18"/>
    </row>
    <row r="28" spans="2:14" ht="15.75" customHeight="1" x14ac:dyDescent="0.25">
      <c r="B28" s="20"/>
      <c r="C28" s="32" t="s">
        <v>187</v>
      </c>
      <c r="D28" s="33" t="s">
        <v>54</v>
      </c>
      <c r="E28" s="34">
        <v>1.193E-3</v>
      </c>
      <c r="F28" s="1"/>
      <c r="G28" s="1"/>
      <c r="H28" s="1"/>
      <c r="I28" s="1"/>
      <c r="J28" s="1"/>
      <c r="K28" s="1"/>
      <c r="L28" s="1"/>
      <c r="M28" s="1"/>
      <c r="N28" s="18"/>
    </row>
    <row r="29" spans="2:14" ht="15" customHeight="1" x14ac:dyDescent="0.25">
      <c r="B29" s="20"/>
      <c r="C29" s="32" t="s">
        <v>185</v>
      </c>
      <c r="D29" s="33" t="s">
        <v>54</v>
      </c>
      <c r="E29" s="34">
        <v>1.181E-3</v>
      </c>
      <c r="F29" s="1"/>
      <c r="G29" s="1"/>
      <c r="H29" s="1"/>
      <c r="I29" s="1"/>
      <c r="J29" s="1"/>
      <c r="K29" s="1"/>
      <c r="L29" s="1"/>
      <c r="M29" s="1"/>
      <c r="N29" s="18"/>
    </row>
    <row r="30" spans="2:14" ht="15.75" customHeight="1" x14ac:dyDescent="0.25">
      <c r="B30" s="20"/>
      <c r="C30" s="7" t="s">
        <v>61</v>
      </c>
      <c r="D30" s="8"/>
      <c r="E30" s="12">
        <v>3.8113000000000001E-2</v>
      </c>
      <c r="F30" s="1"/>
      <c r="G30" s="1"/>
      <c r="H30" s="1"/>
      <c r="I30" s="1"/>
      <c r="J30" s="1"/>
      <c r="K30" s="1"/>
      <c r="L30" s="1"/>
      <c r="M30" s="1"/>
      <c r="N30" s="18"/>
    </row>
    <row r="31" spans="2:14" ht="15" customHeight="1" x14ac:dyDescent="0.25">
      <c r="B31" s="20"/>
      <c r="C31" s="5" t="s">
        <v>97</v>
      </c>
      <c r="D31" s="6" t="s">
        <v>54</v>
      </c>
      <c r="E31" s="11">
        <v>5.7670000000000004E-3</v>
      </c>
      <c r="F31" s="1"/>
      <c r="G31" s="1"/>
      <c r="H31" s="1"/>
      <c r="I31" s="1"/>
      <c r="J31" s="1"/>
      <c r="K31" s="1"/>
      <c r="L31" s="1"/>
      <c r="M31" s="1"/>
      <c r="N31" s="18"/>
    </row>
    <row r="32" spans="2:14" ht="15.75" customHeight="1" x14ac:dyDescent="0.25">
      <c r="B32" s="20"/>
      <c r="C32" s="7" t="s">
        <v>103</v>
      </c>
      <c r="D32" s="8"/>
      <c r="E32" s="12">
        <v>5.7670000000000004E-3</v>
      </c>
      <c r="F32" s="1"/>
      <c r="G32" s="1"/>
      <c r="H32" s="1"/>
      <c r="I32" s="1"/>
      <c r="J32" s="1"/>
      <c r="K32" s="1"/>
      <c r="L32" s="1"/>
      <c r="M32" s="1"/>
      <c r="N32" s="18"/>
    </row>
    <row r="33" spans="2:14" ht="15" customHeight="1" x14ac:dyDescent="0.25">
      <c r="B33" s="20"/>
      <c r="C33" s="5" t="s">
        <v>9</v>
      </c>
      <c r="D33" s="6"/>
      <c r="E33" s="11">
        <v>0.19387499999999999</v>
      </c>
      <c r="F33" s="1"/>
      <c r="G33" s="1"/>
      <c r="H33" s="1"/>
      <c r="I33" s="1"/>
      <c r="J33" s="1"/>
      <c r="K33" s="1"/>
      <c r="L33" s="1"/>
      <c r="M33" s="1"/>
      <c r="N33" s="18"/>
    </row>
    <row r="34" spans="2:14" ht="15.75" customHeight="1" x14ac:dyDescent="0.25">
      <c r="B34" s="20"/>
      <c r="C34" s="7" t="s">
        <v>10</v>
      </c>
      <c r="D34" s="8"/>
      <c r="E34" s="12">
        <v>0.19387499999999999</v>
      </c>
      <c r="F34" s="1"/>
      <c r="G34" s="1"/>
      <c r="H34" s="1"/>
      <c r="I34" s="1"/>
      <c r="J34" s="1"/>
      <c r="K34" s="1"/>
      <c r="L34" s="1"/>
      <c r="M34" s="1"/>
      <c r="N34" s="18"/>
    </row>
    <row r="35" spans="2:14" ht="15" customHeight="1" x14ac:dyDescent="0.25">
      <c r="B35" s="20"/>
      <c r="C35" s="5" t="s">
        <v>79</v>
      </c>
      <c r="D35" s="6" t="s">
        <v>30</v>
      </c>
      <c r="E35" s="11">
        <v>2.8826999999999998E-2</v>
      </c>
      <c r="F35" s="1"/>
      <c r="G35" s="1"/>
      <c r="H35" s="1"/>
      <c r="I35" s="1"/>
      <c r="J35" s="1"/>
      <c r="K35" s="1"/>
      <c r="L35" s="1"/>
      <c r="M35" s="1"/>
      <c r="N35" s="18"/>
    </row>
    <row r="36" spans="2:14" ht="15.75" customHeight="1" x14ac:dyDescent="0.25">
      <c r="B36" s="20"/>
      <c r="C36" s="7" t="s">
        <v>62</v>
      </c>
      <c r="D36" s="8"/>
      <c r="E36" s="12">
        <v>2.8826999999999998E-2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11</v>
      </c>
      <c r="D38" s="8"/>
      <c r="E38" s="12">
        <v>8.1759999999999992E-3</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12</v>
      </c>
      <c r="D40" s="10"/>
      <c r="E40" s="13">
        <v>1</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11.75" customHeight="1" thickBot="1" x14ac:dyDescent="0.3">
      <c r="B45" s="79" t="s">
        <v>160</v>
      </c>
      <c r="C45" s="80"/>
      <c r="D45" s="80"/>
      <c r="E45" s="80"/>
      <c r="F45" s="80"/>
      <c r="G45" s="80"/>
      <c r="H45" s="80"/>
      <c r="I45" s="80"/>
      <c r="J45" s="80"/>
      <c r="K45" s="80"/>
      <c r="L45" s="80"/>
      <c r="M45" s="80"/>
      <c r="N45" s="81"/>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sheetData>
  <sortState ref="C27:E29">
    <sortCondition descending="1" ref="E27"/>
  </sortState>
  <mergeCells count="6">
    <mergeCell ref="B45:N4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2D005B-5ADF-4F7B-B058-253C07F8E0C6}">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128</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129</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72</v>
      </c>
      <c r="D8" s="6" t="s">
        <v>54</v>
      </c>
      <c r="E8" s="11">
        <v>0.59663999999999995</v>
      </c>
      <c r="F8" s="1"/>
      <c r="G8" s="24" t="s">
        <v>16</v>
      </c>
      <c r="H8" s="25">
        <v>1</v>
      </c>
      <c r="I8" s="1"/>
      <c r="J8" s="24" t="s">
        <v>13</v>
      </c>
      <c r="K8" s="24" t="s">
        <v>5</v>
      </c>
      <c r="L8" s="1"/>
      <c r="M8" s="1"/>
      <c r="N8" s="18"/>
    </row>
    <row r="9" spans="2:14" ht="15" customHeight="1" x14ac:dyDescent="0.25">
      <c r="B9" s="20"/>
      <c r="C9" s="5" t="s">
        <v>74</v>
      </c>
      <c r="D9" s="6" t="s">
        <v>54</v>
      </c>
      <c r="E9" s="11">
        <v>0.23022200000000001</v>
      </c>
      <c r="F9" s="1"/>
      <c r="G9" s="1"/>
      <c r="H9" s="1"/>
      <c r="I9" s="1"/>
      <c r="J9" s="24" t="s">
        <v>11</v>
      </c>
      <c r="K9" s="29">
        <v>2.3663E-2</v>
      </c>
      <c r="L9" s="1"/>
      <c r="M9" s="1"/>
      <c r="N9" s="18"/>
    </row>
    <row r="10" spans="2:14" ht="15" customHeight="1" x14ac:dyDescent="0.25">
      <c r="B10" s="20"/>
      <c r="C10" s="5" t="s">
        <v>73</v>
      </c>
      <c r="D10" s="6" t="s">
        <v>54</v>
      </c>
      <c r="E10" s="11">
        <v>0.14940000000000001</v>
      </c>
      <c r="F10" s="1"/>
      <c r="G10" s="1"/>
      <c r="H10" s="1"/>
      <c r="I10" s="1"/>
      <c r="J10" s="24" t="s">
        <v>67</v>
      </c>
      <c r="K10" s="29">
        <v>0.97633700000000001</v>
      </c>
      <c r="L10" s="1"/>
      <c r="M10" s="1"/>
      <c r="N10" s="18"/>
    </row>
    <row r="11" spans="2:14" ht="15" customHeight="1" x14ac:dyDescent="0.25">
      <c r="B11" s="20"/>
      <c r="C11" s="5" t="s">
        <v>130</v>
      </c>
      <c r="D11" s="6" t="s">
        <v>54</v>
      </c>
      <c r="E11" s="39">
        <v>3.8000000000000002E-5</v>
      </c>
      <c r="F11" s="1"/>
      <c r="G11" s="1"/>
      <c r="H11" s="1"/>
      <c r="I11" s="1"/>
      <c r="J11" s="1"/>
      <c r="K11" s="1"/>
      <c r="L11" s="1"/>
      <c r="M11" s="1"/>
      <c r="N11" s="18"/>
    </row>
    <row r="12" spans="2:14" ht="15" customHeight="1" x14ac:dyDescent="0.25">
      <c r="B12" s="20"/>
      <c r="C12" s="5" t="s">
        <v>80</v>
      </c>
      <c r="D12" s="6" t="s">
        <v>54</v>
      </c>
      <c r="E12" s="39">
        <v>3.6999999999999998E-5</v>
      </c>
      <c r="F12" s="1"/>
      <c r="G12" s="1"/>
      <c r="H12" s="1"/>
      <c r="I12" s="1"/>
      <c r="J12" s="1"/>
      <c r="K12" s="1"/>
      <c r="L12" s="1"/>
      <c r="M12" s="1"/>
      <c r="N12" s="18"/>
    </row>
    <row r="13" spans="2:14" ht="15.75" customHeight="1" x14ac:dyDescent="0.25">
      <c r="B13" s="20"/>
      <c r="C13" s="7" t="s">
        <v>60</v>
      </c>
      <c r="D13" s="8"/>
      <c r="E13" s="12">
        <v>0.97633700000000001</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2.3663E-2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4.47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7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50460-2C02-4EEA-BDC5-952188401079}">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70</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71</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72</v>
      </c>
      <c r="D8" s="6" t="s">
        <v>54</v>
      </c>
      <c r="E8" s="11">
        <v>0.53650799999999998</v>
      </c>
      <c r="F8" s="1"/>
      <c r="G8" s="24" t="s">
        <v>16</v>
      </c>
      <c r="H8" s="25">
        <v>1</v>
      </c>
      <c r="I8" s="1"/>
      <c r="J8" s="24" t="s">
        <v>13</v>
      </c>
      <c r="K8" s="24" t="s">
        <v>5</v>
      </c>
      <c r="L8" s="1"/>
      <c r="M8" s="1"/>
      <c r="N8" s="18"/>
    </row>
    <row r="9" spans="2:14" ht="15" customHeight="1" x14ac:dyDescent="0.25">
      <c r="B9" s="20"/>
      <c r="C9" s="5" t="s">
        <v>73</v>
      </c>
      <c r="D9" s="6" t="s">
        <v>54</v>
      </c>
      <c r="E9" s="11">
        <v>0.196131</v>
      </c>
      <c r="F9" s="1"/>
      <c r="G9" s="1"/>
      <c r="H9" s="1"/>
      <c r="I9" s="1"/>
      <c r="J9" s="24" t="s">
        <v>11</v>
      </c>
      <c r="K9" s="29">
        <v>1.3724E-2</v>
      </c>
      <c r="L9" s="1"/>
      <c r="M9" s="1"/>
      <c r="N9" s="18"/>
    </row>
    <row r="10" spans="2:14" ht="15" customHeight="1" x14ac:dyDescent="0.25">
      <c r="B10" s="20"/>
      <c r="C10" s="5" t="s">
        <v>74</v>
      </c>
      <c r="D10" s="6" t="s">
        <v>54</v>
      </c>
      <c r="E10" s="11">
        <v>0.15707299999999999</v>
      </c>
      <c r="F10" s="1"/>
      <c r="G10" s="1"/>
      <c r="H10" s="1"/>
      <c r="I10" s="1"/>
      <c r="J10" s="24" t="s">
        <v>14</v>
      </c>
      <c r="K10" s="29">
        <v>2.591E-3</v>
      </c>
      <c r="L10" s="1"/>
      <c r="M10" s="1"/>
      <c r="N10" s="18"/>
    </row>
    <row r="11" spans="2:14" ht="15" customHeight="1" x14ac:dyDescent="0.25">
      <c r="B11" s="20"/>
      <c r="C11" s="5" t="s">
        <v>75</v>
      </c>
      <c r="D11" s="6" t="s">
        <v>54</v>
      </c>
      <c r="E11" s="11">
        <v>9.3330999999999997E-2</v>
      </c>
      <c r="F11" s="1"/>
      <c r="G11" s="1"/>
      <c r="H11" s="1"/>
      <c r="I11" s="1"/>
      <c r="J11" s="24" t="s">
        <v>67</v>
      </c>
      <c r="K11" s="29">
        <v>0.98368500000000003</v>
      </c>
      <c r="L11" s="1"/>
      <c r="M11" s="1"/>
      <c r="N11" s="18"/>
    </row>
    <row r="12" spans="2:14" ht="15" customHeight="1" x14ac:dyDescent="0.25">
      <c r="B12" s="20"/>
      <c r="C12" s="5" t="s">
        <v>76</v>
      </c>
      <c r="D12" s="6" t="s">
        <v>54</v>
      </c>
      <c r="E12" s="11">
        <v>6.4199999999999999E-4</v>
      </c>
      <c r="F12" s="1"/>
      <c r="G12" s="1"/>
      <c r="H12" s="1"/>
      <c r="I12" s="1"/>
      <c r="J12" s="1"/>
      <c r="K12" s="1"/>
      <c r="L12" s="1"/>
      <c r="M12" s="1"/>
      <c r="N12" s="18"/>
    </row>
    <row r="13" spans="2:14" ht="15.75" customHeight="1" x14ac:dyDescent="0.25">
      <c r="B13" s="20"/>
      <c r="C13" s="7" t="s">
        <v>60</v>
      </c>
      <c r="D13" s="8"/>
      <c r="E13" s="12">
        <v>0.98368500000000003</v>
      </c>
      <c r="F13" s="1"/>
      <c r="G13" s="1"/>
      <c r="H13" s="1"/>
      <c r="I13" s="1"/>
      <c r="J13" s="1"/>
      <c r="K13" s="1"/>
      <c r="L13" s="1"/>
      <c r="M13" s="1"/>
      <c r="N13" s="18"/>
    </row>
    <row r="14" spans="2:14" ht="15" customHeight="1" x14ac:dyDescent="0.25">
      <c r="B14" s="20"/>
      <c r="C14" s="5" t="s">
        <v>9</v>
      </c>
      <c r="D14" s="6"/>
      <c r="E14" s="11">
        <v>2.591E-3</v>
      </c>
      <c r="F14" s="1"/>
      <c r="G14" s="1"/>
      <c r="H14" s="1"/>
      <c r="I14" s="1"/>
      <c r="J14" s="1"/>
      <c r="K14" s="1"/>
      <c r="L14" s="1"/>
      <c r="M14" s="1"/>
      <c r="N14" s="18"/>
    </row>
    <row r="15" spans="2:14" ht="15.75" customHeight="1" x14ac:dyDescent="0.25">
      <c r="B15" s="20"/>
      <c r="C15" s="7" t="s">
        <v>10</v>
      </c>
      <c r="D15" s="8"/>
      <c r="E15" s="12">
        <v>2.591E-3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1.3724E-2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5</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11"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3EDB-E83B-4583-BD0C-16200AE2E66E}">
  <dimension ref="B1:N48"/>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77</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78</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79</v>
      </c>
      <c r="D8" s="6" t="s">
        <v>23</v>
      </c>
      <c r="E8" s="11">
        <v>2.801E-2</v>
      </c>
      <c r="F8" s="1"/>
      <c r="G8" s="24" t="s">
        <v>16</v>
      </c>
      <c r="H8" s="25">
        <v>1</v>
      </c>
      <c r="I8" s="1"/>
      <c r="J8" s="24" t="s">
        <v>13</v>
      </c>
      <c r="K8" s="24" t="s">
        <v>5</v>
      </c>
      <c r="L8" s="1"/>
      <c r="M8" s="1"/>
      <c r="N8" s="18"/>
    </row>
    <row r="9" spans="2:14" ht="15.75" customHeight="1" x14ac:dyDescent="0.25">
      <c r="B9" s="20"/>
      <c r="C9" s="7" t="s">
        <v>28</v>
      </c>
      <c r="D9" s="8"/>
      <c r="E9" s="12">
        <v>2.801E-2</v>
      </c>
      <c r="F9" s="1"/>
      <c r="G9" s="1"/>
      <c r="H9" s="1"/>
      <c r="I9" s="1"/>
      <c r="J9" s="24" t="s">
        <v>11</v>
      </c>
      <c r="K9" s="29">
        <v>3.3443000000000001E-2</v>
      </c>
      <c r="L9" s="1"/>
      <c r="M9" s="1"/>
      <c r="N9" s="18"/>
    </row>
    <row r="10" spans="2:14" ht="15" customHeight="1" x14ac:dyDescent="0.25">
      <c r="B10" s="20"/>
      <c r="C10" s="5" t="s">
        <v>32</v>
      </c>
      <c r="D10" s="6" t="s">
        <v>30</v>
      </c>
      <c r="E10" s="11">
        <v>1.9259999999999999E-2</v>
      </c>
      <c r="F10" s="1"/>
      <c r="G10" s="1"/>
      <c r="H10" s="1"/>
      <c r="I10" s="1"/>
      <c r="J10" s="24" t="s">
        <v>14</v>
      </c>
      <c r="K10" s="29">
        <v>2.2343999999999999E-2</v>
      </c>
      <c r="L10" s="1"/>
      <c r="M10" s="1"/>
      <c r="N10" s="18"/>
    </row>
    <row r="11" spans="2:14" ht="15" customHeight="1" x14ac:dyDescent="0.25">
      <c r="B11" s="20"/>
      <c r="C11" s="5" t="s">
        <v>27</v>
      </c>
      <c r="D11" s="6" t="s">
        <v>30</v>
      </c>
      <c r="E11" s="11">
        <v>1.908E-3</v>
      </c>
      <c r="F11" s="1"/>
      <c r="G11" s="1"/>
      <c r="H11" s="1"/>
      <c r="I11" s="1"/>
      <c r="J11" s="24" t="s">
        <v>64</v>
      </c>
      <c r="K11" s="29">
        <v>2.1167999999999999E-2</v>
      </c>
      <c r="L11" s="1"/>
      <c r="M11" s="1"/>
      <c r="N11" s="18"/>
    </row>
    <row r="12" spans="2:14" ht="15.75" customHeight="1" x14ac:dyDescent="0.25">
      <c r="B12" s="20"/>
      <c r="C12" s="7" t="s">
        <v>50</v>
      </c>
      <c r="D12" s="8"/>
      <c r="E12" s="12">
        <v>2.1167999999999999E-2</v>
      </c>
      <c r="F12" s="1"/>
      <c r="G12" s="1"/>
      <c r="H12" s="1"/>
      <c r="I12" s="1"/>
      <c r="J12" s="24" t="s">
        <v>65</v>
      </c>
      <c r="K12" s="29">
        <v>2.801E-2</v>
      </c>
      <c r="L12" s="1"/>
      <c r="M12" s="1"/>
      <c r="N12" s="18"/>
    </row>
    <row r="13" spans="2:14" ht="15" customHeight="1" x14ac:dyDescent="0.25">
      <c r="B13" s="20"/>
      <c r="C13" s="5" t="s">
        <v>72</v>
      </c>
      <c r="D13" s="6" t="s">
        <v>54</v>
      </c>
      <c r="E13" s="11">
        <v>0.54457699999999998</v>
      </c>
      <c r="F13" s="1"/>
      <c r="G13" s="1"/>
      <c r="H13" s="1"/>
      <c r="I13" s="1"/>
      <c r="J13" s="24" t="s">
        <v>67</v>
      </c>
      <c r="K13" s="29">
        <v>0.87089899999999998</v>
      </c>
      <c r="L13" s="1"/>
      <c r="M13" s="1"/>
      <c r="N13" s="18"/>
    </row>
    <row r="14" spans="2:14" ht="15" customHeight="1" x14ac:dyDescent="0.25">
      <c r="B14" s="20"/>
      <c r="C14" s="5" t="s">
        <v>73</v>
      </c>
      <c r="D14" s="6" t="s">
        <v>54</v>
      </c>
      <c r="E14" s="11">
        <v>0.21360599999999999</v>
      </c>
      <c r="F14" s="1"/>
      <c r="G14" s="1"/>
      <c r="H14" s="1"/>
      <c r="I14" s="1"/>
      <c r="J14" s="24" t="s">
        <v>84</v>
      </c>
      <c r="K14" s="29">
        <v>1.1221999999999999E-2</v>
      </c>
      <c r="L14" s="1"/>
      <c r="M14" s="1"/>
      <c r="N14" s="18"/>
    </row>
    <row r="15" spans="2:14" ht="15" customHeight="1" x14ac:dyDescent="0.25">
      <c r="B15" s="20"/>
      <c r="C15" s="5" t="s">
        <v>74</v>
      </c>
      <c r="D15" s="6" t="s">
        <v>54</v>
      </c>
      <c r="E15" s="11">
        <v>0.11112900000000001</v>
      </c>
      <c r="F15" s="1"/>
      <c r="G15" s="1"/>
      <c r="H15" s="1"/>
      <c r="I15" s="1"/>
      <c r="J15" s="24" t="s">
        <v>68</v>
      </c>
      <c r="K15" s="29">
        <v>1.2914E-2</v>
      </c>
      <c r="L15" s="1"/>
      <c r="M15" s="1"/>
      <c r="N15" s="18"/>
    </row>
    <row r="16" spans="2:14" ht="15" customHeight="1" x14ac:dyDescent="0.25">
      <c r="B16" s="20"/>
      <c r="C16" s="5" t="s">
        <v>80</v>
      </c>
      <c r="D16" s="6" t="s">
        <v>54</v>
      </c>
      <c r="E16" s="11">
        <v>1.542E-3</v>
      </c>
      <c r="F16" s="1"/>
      <c r="G16" s="1"/>
      <c r="H16" s="1"/>
      <c r="I16" s="1"/>
      <c r="J16" s="1"/>
      <c r="K16" s="1"/>
      <c r="L16" s="1"/>
      <c r="M16" s="1"/>
      <c r="N16" s="18"/>
    </row>
    <row r="17" spans="2:14" ht="15" customHeight="1" x14ac:dyDescent="0.25">
      <c r="B17" s="20"/>
      <c r="C17" s="5" t="s">
        <v>81</v>
      </c>
      <c r="D17" s="6" t="s">
        <v>54</v>
      </c>
      <c r="E17" s="39">
        <v>4.5000000000000003E-5</v>
      </c>
      <c r="F17" s="1"/>
      <c r="G17" s="1"/>
      <c r="H17" s="1"/>
      <c r="I17" s="1"/>
      <c r="J17" s="1"/>
      <c r="K17" s="1"/>
      <c r="L17" s="1"/>
      <c r="M17" s="1"/>
      <c r="N17" s="18"/>
    </row>
    <row r="18" spans="2:14" ht="15.75" customHeight="1" x14ac:dyDescent="0.25">
      <c r="B18" s="20"/>
      <c r="C18" s="7" t="s">
        <v>60</v>
      </c>
      <c r="D18" s="8"/>
      <c r="E18" s="12">
        <v>0.87089899999999998</v>
      </c>
      <c r="F18" s="1"/>
      <c r="G18" s="1"/>
      <c r="H18" s="1"/>
      <c r="I18" s="1"/>
      <c r="J18" s="1"/>
      <c r="K18" s="1"/>
      <c r="L18" s="1"/>
      <c r="M18" s="1"/>
      <c r="N18" s="18"/>
    </row>
    <row r="19" spans="2:14" ht="15" customHeight="1" x14ac:dyDescent="0.25">
      <c r="B19" s="20"/>
      <c r="C19" s="78" t="s">
        <v>228</v>
      </c>
      <c r="D19" s="6" t="s">
        <v>82</v>
      </c>
      <c r="E19" s="11">
        <v>1.1221999999999999E-2</v>
      </c>
      <c r="F19" s="1"/>
      <c r="G19" s="1"/>
      <c r="H19" s="1"/>
      <c r="I19" s="1"/>
      <c r="J19" s="1"/>
      <c r="K19" s="1"/>
      <c r="L19" s="1"/>
      <c r="M19" s="1"/>
      <c r="N19" s="18"/>
    </row>
    <row r="20" spans="2:14" ht="15.75" customHeight="1" x14ac:dyDescent="0.25">
      <c r="B20" s="20"/>
      <c r="C20" s="7" t="s">
        <v>83</v>
      </c>
      <c r="D20" s="8"/>
      <c r="E20" s="12">
        <v>1.1221999999999999E-2</v>
      </c>
      <c r="F20" s="1"/>
      <c r="G20" s="1"/>
      <c r="H20" s="1"/>
      <c r="I20" s="1"/>
      <c r="J20" s="1"/>
      <c r="K20" s="1"/>
      <c r="L20" s="1"/>
      <c r="M20" s="1"/>
      <c r="N20" s="18"/>
    </row>
    <row r="21" spans="2:14" ht="15" customHeight="1" x14ac:dyDescent="0.25">
      <c r="B21" s="20"/>
      <c r="C21" s="5" t="s">
        <v>190</v>
      </c>
      <c r="D21" s="6" t="s">
        <v>54</v>
      </c>
      <c r="E21" s="11">
        <v>6.058E-3</v>
      </c>
      <c r="F21" s="1"/>
      <c r="G21" s="1"/>
      <c r="H21" s="1"/>
      <c r="I21" s="1"/>
      <c r="J21" s="1"/>
      <c r="K21" s="1"/>
      <c r="L21" s="1"/>
      <c r="M21" s="1"/>
      <c r="N21" s="18"/>
    </row>
    <row r="22" spans="2:14" ht="15.75" customHeight="1" x14ac:dyDescent="0.25">
      <c r="B22" s="20"/>
      <c r="C22" s="32" t="s">
        <v>189</v>
      </c>
      <c r="D22" s="33" t="s">
        <v>54</v>
      </c>
      <c r="E22" s="34">
        <v>6.0540000000000004E-3</v>
      </c>
      <c r="F22" s="1"/>
      <c r="G22" s="1"/>
      <c r="H22" s="1"/>
      <c r="I22" s="1"/>
      <c r="J22" s="1"/>
      <c r="K22" s="1"/>
      <c r="L22" s="1"/>
      <c r="M22" s="1"/>
      <c r="N22" s="18"/>
    </row>
    <row r="23" spans="2:14" ht="15" customHeight="1" x14ac:dyDescent="0.25">
      <c r="B23" s="20"/>
      <c r="C23" s="32" t="s">
        <v>191</v>
      </c>
      <c r="D23" s="33" t="s">
        <v>54</v>
      </c>
      <c r="E23" s="34">
        <v>7.9199999999999995E-4</v>
      </c>
      <c r="F23" s="1"/>
      <c r="G23" s="1"/>
      <c r="H23" s="1"/>
      <c r="I23" s="1"/>
      <c r="J23" s="1"/>
      <c r="K23" s="1"/>
      <c r="L23" s="1"/>
      <c r="M23" s="1"/>
      <c r="N23" s="18"/>
    </row>
    <row r="24" spans="2:14" ht="15.75" customHeight="1" x14ac:dyDescent="0.25">
      <c r="B24" s="20"/>
      <c r="C24" s="32" t="s">
        <v>188</v>
      </c>
      <c r="D24" s="33" t="s">
        <v>54</v>
      </c>
      <c r="E24" s="39">
        <v>7.9999999999999996E-6</v>
      </c>
      <c r="F24" s="1"/>
      <c r="G24" s="87" t="s">
        <v>18</v>
      </c>
      <c r="H24" s="88"/>
      <c r="I24" s="88"/>
      <c r="J24" s="88"/>
      <c r="K24" s="88"/>
      <c r="L24" s="26">
        <v>4.12</v>
      </c>
      <c r="M24" s="27"/>
      <c r="N24" s="28"/>
    </row>
    <row r="25" spans="2:14" ht="15" customHeight="1" x14ac:dyDescent="0.25">
      <c r="B25" s="20"/>
      <c r="C25" s="32" t="s">
        <v>192</v>
      </c>
      <c r="D25" s="33" t="s">
        <v>54</v>
      </c>
      <c r="E25" s="40">
        <v>1.9999999999999999E-6</v>
      </c>
      <c r="F25" s="1"/>
      <c r="G25" s="1"/>
      <c r="H25" s="1"/>
      <c r="I25" s="1"/>
      <c r="J25" s="1"/>
      <c r="K25" s="1"/>
      <c r="L25" s="1"/>
      <c r="M25" s="1"/>
      <c r="N25" s="18"/>
    </row>
    <row r="26" spans="2:14" ht="15.75" customHeight="1" x14ac:dyDescent="0.25">
      <c r="B26" s="20"/>
      <c r="C26" s="7" t="s">
        <v>61</v>
      </c>
      <c r="D26" s="8"/>
      <c r="E26" s="12">
        <v>1.2914E-2</v>
      </c>
      <c r="F26" s="1"/>
      <c r="G26" s="87" t="s">
        <v>19</v>
      </c>
      <c r="H26" s="88"/>
      <c r="I26" s="88"/>
      <c r="J26" s="88"/>
      <c r="K26" s="88"/>
      <c r="L26" s="88"/>
      <c r="M26" s="88"/>
      <c r="N26" s="89"/>
    </row>
    <row r="27" spans="2:14" ht="15" customHeight="1" x14ac:dyDescent="0.25">
      <c r="B27" s="20"/>
      <c r="C27" s="5" t="s">
        <v>9</v>
      </c>
      <c r="D27" s="6"/>
      <c r="E27" s="11">
        <v>2.2343999999999999E-2</v>
      </c>
      <c r="F27" s="1"/>
      <c r="G27" s="1"/>
      <c r="H27" s="1"/>
      <c r="I27" s="1"/>
      <c r="J27" s="1"/>
      <c r="K27" s="1"/>
      <c r="L27" s="1"/>
      <c r="M27" s="1"/>
      <c r="N27" s="18"/>
    </row>
    <row r="28" spans="2:14" ht="15" customHeight="1" x14ac:dyDescent="0.25">
      <c r="B28" s="20"/>
      <c r="C28" s="7" t="s">
        <v>10</v>
      </c>
      <c r="D28" s="8"/>
      <c r="E28" s="12">
        <v>2.2343999999999999E-2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7" t="s">
        <v>11</v>
      </c>
      <c r="D30" s="8"/>
      <c r="E30" s="12">
        <v>3.3443000000000001E-2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F33" s="1"/>
      <c r="G33" s="1"/>
      <c r="H33" s="1"/>
      <c r="I33" s="1"/>
      <c r="J33" s="1"/>
      <c r="K33" s="1"/>
      <c r="L33" s="1"/>
      <c r="M33" s="1"/>
      <c r="N33" s="18"/>
    </row>
    <row r="34" spans="2:14" ht="15" customHeight="1" x14ac:dyDescent="0.25">
      <c r="B34" s="20"/>
      <c r="C34" s="77" t="s">
        <v>226</v>
      </c>
      <c r="F34" s="1"/>
      <c r="G34" s="1"/>
      <c r="H34" s="1"/>
      <c r="I34" s="1"/>
      <c r="J34" s="1"/>
      <c r="K34" s="1"/>
      <c r="L34" s="1"/>
      <c r="M34" s="1"/>
      <c r="N34" s="18"/>
    </row>
    <row r="35" spans="2:14" ht="15" customHeight="1" x14ac:dyDescent="0.25">
      <c r="B35" s="20"/>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08.75" customHeight="1" thickBot="1" x14ac:dyDescent="0.3">
      <c r="B45" s="79" t="s">
        <v>160</v>
      </c>
      <c r="C45" s="80"/>
      <c r="D45" s="80"/>
      <c r="E45" s="80"/>
      <c r="F45" s="80"/>
      <c r="G45" s="80"/>
      <c r="H45" s="80"/>
      <c r="I45" s="80"/>
      <c r="J45" s="80"/>
      <c r="K45" s="80"/>
      <c r="L45" s="80"/>
      <c r="M45" s="80"/>
      <c r="N45" s="81"/>
    </row>
    <row r="46" spans="2:14" ht="15" customHeight="1" x14ac:dyDescent="0.25"/>
    <row r="47" spans="2:14" ht="15" customHeight="1" x14ac:dyDescent="0.25"/>
    <row r="48" spans="2:14" ht="15" customHeight="1" x14ac:dyDescent="0.25"/>
  </sheetData>
  <sortState ref="C21:E25">
    <sortCondition descending="1" ref="E21"/>
  </sortState>
  <mergeCells count="6">
    <mergeCell ref="B45:N45"/>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51148-E853-4C49-8498-927BAADB91B7}">
  <dimension ref="B1:N6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67"/>
      <c r="C2" s="68"/>
      <c r="D2" s="68"/>
      <c r="E2" s="68"/>
      <c r="F2" s="68"/>
      <c r="G2" s="68"/>
      <c r="H2" s="68"/>
      <c r="I2" s="68"/>
      <c r="J2" s="68"/>
      <c r="K2" s="68"/>
      <c r="L2" s="68"/>
      <c r="M2" s="68"/>
      <c r="N2" s="69"/>
    </row>
    <row r="3" spans="2:14" ht="20.25" customHeight="1" x14ac:dyDescent="0.25">
      <c r="B3" s="70"/>
      <c r="C3" s="82" t="s">
        <v>85</v>
      </c>
      <c r="D3" s="83"/>
      <c r="E3" s="83"/>
      <c r="F3" s="83"/>
      <c r="G3" s="83"/>
      <c r="H3" s="83"/>
      <c r="I3" s="83"/>
      <c r="J3" s="83"/>
      <c r="K3" s="83"/>
      <c r="L3" s="83"/>
      <c r="M3" s="83"/>
      <c r="N3" s="90"/>
    </row>
    <row r="4" spans="2:14" ht="15.75" customHeight="1" x14ac:dyDescent="0.25">
      <c r="B4" s="70"/>
      <c r="C4" s="60"/>
      <c r="D4" s="47"/>
      <c r="E4" s="47"/>
      <c r="F4" s="47"/>
      <c r="G4" s="47"/>
      <c r="H4" s="47"/>
      <c r="I4" s="47"/>
      <c r="J4" s="47"/>
      <c r="K4" s="47"/>
      <c r="L4" s="47"/>
      <c r="M4" s="47"/>
      <c r="N4" s="71"/>
    </row>
    <row r="5" spans="2:14" ht="18" customHeight="1" x14ac:dyDescent="0.25">
      <c r="B5" s="70"/>
      <c r="C5" s="64" t="s">
        <v>1</v>
      </c>
      <c r="D5" s="85" t="s">
        <v>86</v>
      </c>
      <c r="E5" s="86"/>
      <c r="F5" s="47"/>
      <c r="G5" s="47"/>
      <c r="H5" s="47"/>
      <c r="I5" s="47"/>
      <c r="J5" s="47"/>
      <c r="K5" s="47"/>
      <c r="L5" s="47"/>
      <c r="M5" s="47"/>
      <c r="N5" s="71"/>
    </row>
    <row r="6" spans="2:14" ht="15" customHeight="1" x14ac:dyDescent="0.25">
      <c r="B6" s="70"/>
      <c r="C6" s="47"/>
      <c r="D6" s="47"/>
      <c r="E6" s="47"/>
      <c r="F6" s="47"/>
      <c r="G6" s="47"/>
      <c r="H6" s="47"/>
      <c r="I6" s="47"/>
      <c r="J6" s="47"/>
      <c r="K6" s="47"/>
      <c r="L6" s="47"/>
      <c r="M6" s="47"/>
      <c r="N6" s="71"/>
    </row>
    <row r="7" spans="2:14" ht="32.25" customHeight="1" x14ac:dyDescent="0.25">
      <c r="B7" s="70"/>
      <c r="C7" s="50" t="s">
        <v>3</v>
      </c>
      <c r="D7" s="49" t="s">
        <v>4</v>
      </c>
      <c r="E7" s="48" t="s">
        <v>5</v>
      </c>
      <c r="F7" s="47"/>
      <c r="G7" s="87" t="s">
        <v>17</v>
      </c>
      <c r="H7" s="88"/>
      <c r="I7" s="88"/>
      <c r="J7" s="88"/>
      <c r="K7" s="88"/>
      <c r="L7" s="88"/>
      <c r="M7" s="88"/>
      <c r="N7" s="91"/>
    </row>
    <row r="8" spans="2:14" ht="15" customHeight="1" x14ac:dyDescent="0.25">
      <c r="B8" s="70"/>
      <c r="C8" s="51" t="s">
        <v>24</v>
      </c>
      <c r="D8" s="52" t="s">
        <v>23</v>
      </c>
      <c r="E8" s="57">
        <v>1.7715000000000002E-2</v>
      </c>
      <c r="F8" s="47"/>
      <c r="G8" s="61" t="s">
        <v>16</v>
      </c>
      <c r="H8" s="62">
        <v>1</v>
      </c>
      <c r="I8" s="47"/>
      <c r="J8" s="61" t="s">
        <v>13</v>
      </c>
      <c r="K8" s="61" t="s">
        <v>5</v>
      </c>
      <c r="L8" s="47"/>
      <c r="M8" s="47"/>
      <c r="N8" s="71"/>
    </row>
    <row r="9" spans="2:14" ht="15.75" customHeight="1" x14ac:dyDescent="0.25">
      <c r="B9" s="70"/>
      <c r="C9" s="53" t="s">
        <v>26</v>
      </c>
      <c r="D9" s="54"/>
      <c r="E9" s="58">
        <v>1.7715000000000002E-2</v>
      </c>
      <c r="F9" s="47"/>
      <c r="G9" s="47"/>
      <c r="H9" s="47"/>
      <c r="I9" s="47"/>
      <c r="J9" s="61" t="s">
        <v>11</v>
      </c>
      <c r="K9" s="63">
        <v>2.2065999999999999E-2</v>
      </c>
      <c r="L9" s="47"/>
      <c r="M9" s="47"/>
      <c r="N9" s="71"/>
    </row>
    <row r="10" spans="2:14" ht="15" customHeight="1" x14ac:dyDescent="0.25">
      <c r="B10" s="70"/>
      <c r="C10" s="51" t="s">
        <v>79</v>
      </c>
      <c r="D10" s="52" t="s">
        <v>23</v>
      </c>
      <c r="E10" s="57">
        <v>3.656E-3</v>
      </c>
      <c r="F10" s="47"/>
      <c r="G10" s="47"/>
      <c r="H10" s="47"/>
      <c r="I10" s="47"/>
      <c r="J10" s="61" t="s">
        <v>14</v>
      </c>
      <c r="K10" s="63">
        <v>0.16523099999999999</v>
      </c>
      <c r="L10" s="47"/>
      <c r="M10" s="47"/>
      <c r="N10" s="71"/>
    </row>
    <row r="11" spans="2:14" ht="15" customHeight="1" x14ac:dyDescent="0.25">
      <c r="B11" s="70"/>
      <c r="C11" s="51" t="s">
        <v>87</v>
      </c>
      <c r="D11" s="52" t="s">
        <v>23</v>
      </c>
      <c r="E11" s="57">
        <v>1.8220000000000001E-3</v>
      </c>
      <c r="F11" s="47"/>
      <c r="G11" s="47"/>
      <c r="H11" s="47"/>
      <c r="I11" s="47"/>
      <c r="J11" s="61" t="s">
        <v>63</v>
      </c>
      <c r="K11" s="63">
        <v>1.7715000000000002E-2</v>
      </c>
      <c r="L11" s="47"/>
      <c r="M11" s="47"/>
      <c r="N11" s="71"/>
    </row>
    <row r="12" spans="2:14" ht="15.75" customHeight="1" x14ac:dyDescent="0.25">
      <c r="B12" s="70"/>
      <c r="C12" s="53" t="s">
        <v>28</v>
      </c>
      <c r="D12" s="54"/>
      <c r="E12" s="58">
        <v>5.4780000000000002E-3</v>
      </c>
      <c r="F12" s="47"/>
      <c r="G12" s="47"/>
      <c r="H12" s="47"/>
      <c r="I12" s="47"/>
      <c r="J12" s="61" t="s">
        <v>64</v>
      </c>
      <c r="K12" s="63">
        <v>0.26100899999999999</v>
      </c>
      <c r="L12" s="47"/>
      <c r="M12" s="47"/>
      <c r="N12" s="71"/>
    </row>
    <row r="13" spans="2:14" ht="15" customHeight="1" x14ac:dyDescent="0.25">
      <c r="B13" s="70"/>
      <c r="C13" s="51" t="s">
        <v>27</v>
      </c>
      <c r="D13" s="52" t="s">
        <v>30</v>
      </c>
      <c r="E13" s="57">
        <v>5.7294999999999999E-2</v>
      </c>
      <c r="F13" s="47"/>
      <c r="G13" s="47"/>
      <c r="H13" s="47"/>
      <c r="I13" s="47"/>
      <c r="J13" s="61" t="s">
        <v>65</v>
      </c>
      <c r="K13" s="63">
        <v>5.4780000000000002E-3</v>
      </c>
      <c r="L13" s="47"/>
      <c r="M13" s="47"/>
      <c r="N13" s="71"/>
    </row>
    <row r="14" spans="2:14" ht="15" customHeight="1" x14ac:dyDescent="0.25">
      <c r="B14" s="70"/>
      <c r="C14" s="51" t="s">
        <v>29</v>
      </c>
      <c r="D14" s="52" t="s">
        <v>30</v>
      </c>
      <c r="E14" s="57">
        <v>3.0672999999999999E-2</v>
      </c>
      <c r="F14" s="47"/>
      <c r="G14" s="47"/>
      <c r="H14" s="47"/>
      <c r="I14" s="47"/>
      <c r="J14" s="61" t="s">
        <v>67</v>
      </c>
      <c r="K14" s="63">
        <v>0.52389300000000005</v>
      </c>
      <c r="L14" s="47"/>
      <c r="M14" s="47"/>
      <c r="N14" s="71"/>
    </row>
    <row r="15" spans="2:14" ht="15" customHeight="1" x14ac:dyDescent="0.25">
      <c r="B15" s="70"/>
      <c r="C15" s="51" t="s">
        <v>32</v>
      </c>
      <c r="D15" s="52" t="s">
        <v>30</v>
      </c>
      <c r="E15" s="57">
        <v>2.7983000000000001E-2</v>
      </c>
      <c r="F15" s="47"/>
      <c r="G15" s="47"/>
      <c r="H15" s="47"/>
      <c r="I15" s="47"/>
      <c r="J15" s="61" t="s">
        <v>84</v>
      </c>
      <c r="K15" s="63">
        <v>4.6080000000000001E-3</v>
      </c>
      <c r="L15" s="47"/>
      <c r="M15" s="47"/>
      <c r="N15" s="71"/>
    </row>
    <row r="16" spans="2:14" ht="15" customHeight="1" x14ac:dyDescent="0.25">
      <c r="B16" s="70"/>
      <c r="C16" s="51" t="s">
        <v>34</v>
      </c>
      <c r="D16" s="52" t="s">
        <v>30</v>
      </c>
      <c r="E16" s="57">
        <v>2.2571999999999998E-2</v>
      </c>
      <c r="F16" s="47"/>
      <c r="G16" s="47"/>
      <c r="H16" s="47"/>
      <c r="I16" s="47"/>
      <c r="J16" s="47"/>
      <c r="K16" s="47"/>
      <c r="L16" s="47"/>
      <c r="M16" s="47"/>
      <c r="N16" s="71"/>
    </row>
    <row r="17" spans="2:14" ht="15" customHeight="1" x14ac:dyDescent="0.25">
      <c r="B17" s="70"/>
      <c r="C17" s="51" t="s">
        <v>46</v>
      </c>
      <c r="D17" s="52" t="s">
        <v>30</v>
      </c>
      <c r="E17" s="57">
        <v>2.1179E-2</v>
      </c>
      <c r="F17" s="47"/>
      <c r="G17" s="47"/>
      <c r="H17" s="47"/>
      <c r="I17" s="47"/>
      <c r="J17" s="47"/>
      <c r="K17" s="47"/>
      <c r="L17" s="47"/>
      <c r="M17" s="47"/>
      <c r="N17" s="71"/>
    </row>
    <row r="18" spans="2:14" ht="15" customHeight="1" x14ac:dyDescent="0.25">
      <c r="B18" s="70"/>
      <c r="C18" s="51" t="s">
        <v>42</v>
      </c>
      <c r="D18" s="52" t="s">
        <v>30</v>
      </c>
      <c r="E18" s="57">
        <v>2.0555E-2</v>
      </c>
      <c r="F18" s="47"/>
      <c r="G18" s="47"/>
      <c r="H18" s="47"/>
      <c r="I18" s="47"/>
      <c r="J18" s="47"/>
      <c r="K18" s="47"/>
      <c r="L18" s="47"/>
      <c r="M18" s="47"/>
      <c r="N18" s="71"/>
    </row>
    <row r="19" spans="2:14" ht="15" customHeight="1" x14ac:dyDescent="0.25">
      <c r="B19" s="70"/>
      <c r="C19" s="51" t="s">
        <v>39</v>
      </c>
      <c r="D19" s="52" t="s">
        <v>30</v>
      </c>
      <c r="E19" s="57">
        <v>2.0454E-2</v>
      </c>
      <c r="F19" s="47"/>
      <c r="G19" s="47"/>
      <c r="H19" s="47"/>
      <c r="I19" s="47"/>
      <c r="J19" s="47"/>
      <c r="K19" s="47"/>
      <c r="L19" s="47"/>
      <c r="M19" s="47"/>
      <c r="N19" s="71"/>
    </row>
    <row r="20" spans="2:14" ht="15" customHeight="1" x14ac:dyDescent="0.25">
      <c r="B20" s="70"/>
      <c r="C20" s="51" t="s">
        <v>44</v>
      </c>
      <c r="D20" s="52" t="s">
        <v>30</v>
      </c>
      <c r="E20" s="57">
        <v>1.7500000000000002E-2</v>
      </c>
      <c r="F20" s="47"/>
      <c r="G20" s="47"/>
      <c r="H20" s="47"/>
      <c r="I20" s="47"/>
      <c r="J20" s="47"/>
      <c r="K20" s="47"/>
      <c r="L20" s="47"/>
      <c r="M20" s="47"/>
      <c r="N20" s="71"/>
    </row>
    <row r="21" spans="2:14" ht="15" customHeight="1" x14ac:dyDescent="0.25">
      <c r="B21" s="70"/>
      <c r="C21" s="51" t="s">
        <v>36</v>
      </c>
      <c r="D21" s="52" t="s">
        <v>30</v>
      </c>
      <c r="E21" s="57">
        <v>1.1481E-2</v>
      </c>
      <c r="F21" s="47"/>
      <c r="G21" s="47"/>
      <c r="H21" s="47"/>
      <c r="I21" s="47"/>
      <c r="J21" s="47"/>
      <c r="K21" s="47"/>
      <c r="L21" s="47"/>
      <c r="M21" s="47"/>
      <c r="N21" s="71"/>
    </row>
    <row r="22" spans="2:14" ht="15" customHeight="1" x14ac:dyDescent="0.25">
      <c r="B22" s="70"/>
      <c r="C22" s="51" t="s">
        <v>35</v>
      </c>
      <c r="D22" s="52" t="s">
        <v>30</v>
      </c>
      <c r="E22" s="57">
        <v>1.111E-2</v>
      </c>
      <c r="F22" s="47"/>
      <c r="G22" s="47"/>
      <c r="H22" s="47"/>
      <c r="I22" s="47"/>
      <c r="J22" s="47"/>
      <c r="K22" s="47"/>
      <c r="L22" s="47"/>
      <c r="M22" s="47"/>
      <c r="N22" s="71"/>
    </row>
    <row r="23" spans="2:14" ht="15" customHeight="1" x14ac:dyDescent="0.25">
      <c r="B23" s="70"/>
      <c r="C23" s="51" t="s">
        <v>41</v>
      </c>
      <c r="D23" s="52" t="s">
        <v>30</v>
      </c>
      <c r="E23" s="57">
        <v>8.175E-3</v>
      </c>
      <c r="F23" s="47"/>
      <c r="G23" s="47"/>
      <c r="H23" s="47"/>
      <c r="I23" s="47"/>
      <c r="J23" s="47"/>
      <c r="K23" s="47"/>
      <c r="L23" s="47"/>
      <c r="M23" s="47"/>
      <c r="N23" s="71"/>
    </row>
    <row r="24" spans="2:14" ht="15" customHeight="1" x14ac:dyDescent="0.25">
      <c r="B24" s="70"/>
      <c r="C24" s="51" t="s">
        <v>38</v>
      </c>
      <c r="D24" s="52" t="s">
        <v>30</v>
      </c>
      <c r="E24" s="57">
        <v>7.9120000000000006E-3</v>
      </c>
      <c r="F24" s="47"/>
      <c r="G24" s="87" t="s">
        <v>18</v>
      </c>
      <c r="H24" s="88"/>
      <c r="I24" s="88"/>
      <c r="J24" s="88"/>
      <c r="K24" s="88"/>
      <c r="L24" s="65">
        <v>2.4700000000000002</v>
      </c>
      <c r="M24" s="66"/>
      <c r="N24" s="72"/>
    </row>
    <row r="25" spans="2:14" ht="15" customHeight="1" x14ac:dyDescent="0.25">
      <c r="B25" s="70"/>
      <c r="C25" s="51" t="s">
        <v>31</v>
      </c>
      <c r="D25" s="52" t="s">
        <v>30</v>
      </c>
      <c r="E25" s="57">
        <v>3.7429999999999998E-3</v>
      </c>
      <c r="F25" s="47"/>
      <c r="G25" s="47"/>
      <c r="H25" s="47"/>
      <c r="I25" s="47"/>
      <c r="J25" s="47"/>
      <c r="K25" s="47"/>
      <c r="L25" s="47"/>
      <c r="M25" s="47"/>
      <c r="N25" s="71"/>
    </row>
    <row r="26" spans="2:14" ht="15" customHeight="1" x14ac:dyDescent="0.25">
      <c r="B26" s="70"/>
      <c r="C26" s="51" t="s">
        <v>25</v>
      </c>
      <c r="D26" s="52" t="s">
        <v>30</v>
      </c>
      <c r="E26" s="57">
        <v>3.77E-4</v>
      </c>
      <c r="F26" s="47"/>
      <c r="G26" s="87" t="s">
        <v>19</v>
      </c>
      <c r="H26" s="88"/>
      <c r="I26" s="88"/>
      <c r="J26" s="88"/>
      <c r="K26" s="88"/>
      <c r="L26" s="88"/>
      <c r="M26" s="88"/>
      <c r="N26" s="91"/>
    </row>
    <row r="27" spans="2:14" ht="15.75" customHeight="1" x14ac:dyDescent="0.25">
      <c r="B27" s="70"/>
      <c r="C27" s="53" t="s">
        <v>50</v>
      </c>
      <c r="D27" s="54"/>
      <c r="E27" s="58">
        <v>0.26100899999999999</v>
      </c>
      <c r="F27" s="47"/>
      <c r="G27" s="47"/>
      <c r="H27" s="47"/>
      <c r="I27" s="47"/>
      <c r="J27" s="47"/>
      <c r="K27" s="47"/>
      <c r="L27" s="47"/>
      <c r="M27" s="47"/>
      <c r="N27" s="71"/>
    </row>
    <row r="28" spans="2:14" ht="15" customHeight="1" x14ac:dyDescent="0.25">
      <c r="B28" s="70"/>
      <c r="C28" s="51" t="s">
        <v>72</v>
      </c>
      <c r="D28" s="52" t="s">
        <v>54</v>
      </c>
      <c r="E28" s="57">
        <v>0.480574</v>
      </c>
      <c r="F28" s="47"/>
      <c r="G28" s="47"/>
      <c r="H28" s="47"/>
      <c r="I28" s="47"/>
      <c r="J28" s="47"/>
      <c r="K28" s="47"/>
      <c r="L28" s="47"/>
      <c r="M28" s="47"/>
      <c r="N28" s="71"/>
    </row>
    <row r="29" spans="2:14" ht="15" customHeight="1" x14ac:dyDescent="0.25">
      <c r="B29" s="70"/>
      <c r="C29" s="51" t="s">
        <v>88</v>
      </c>
      <c r="D29" s="52" t="s">
        <v>54</v>
      </c>
      <c r="E29" s="57">
        <v>3.1244999999999998E-2</v>
      </c>
      <c r="F29" s="47"/>
      <c r="G29" s="47"/>
      <c r="H29" s="47"/>
      <c r="I29" s="47"/>
      <c r="J29" s="47"/>
      <c r="K29" s="47"/>
      <c r="L29" s="47"/>
      <c r="M29" s="47"/>
      <c r="N29" s="71"/>
    </row>
    <row r="30" spans="2:14" ht="15" customHeight="1" x14ac:dyDescent="0.25">
      <c r="B30" s="70"/>
      <c r="C30" s="51" t="s">
        <v>73</v>
      </c>
      <c r="D30" s="52" t="s">
        <v>54</v>
      </c>
      <c r="E30" s="57">
        <v>1.1802999999999999E-2</v>
      </c>
      <c r="F30" s="47"/>
      <c r="G30" s="47"/>
      <c r="H30" s="47"/>
      <c r="I30" s="47"/>
      <c r="J30" s="47"/>
      <c r="K30" s="47"/>
      <c r="L30" s="47"/>
      <c r="M30" s="47"/>
      <c r="N30" s="71"/>
    </row>
    <row r="31" spans="2:14" ht="15" customHeight="1" x14ac:dyDescent="0.25">
      <c r="B31" s="70"/>
      <c r="C31" s="51" t="s">
        <v>89</v>
      </c>
      <c r="D31" s="52" t="s">
        <v>54</v>
      </c>
      <c r="E31" s="57">
        <v>1.9100000000000001E-4</v>
      </c>
      <c r="F31" s="47"/>
      <c r="G31" s="47"/>
      <c r="H31" s="47"/>
      <c r="I31" s="47"/>
      <c r="J31" s="47"/>
      <c r="K31" s="47"/>
      <c r="L31" s="47"/>
      <c r="M31" s="47"/>
      <c r="N31" s="71"/>
    </row>
    <row r="32" spans="2:14" ht="15" customHeight="1" x14ac:dyDescent="0.25">
      <c r="B32" s="70"/>
      <c r="C32" s="51" t="s">
        <v>81</v>
      </c>
      <c r="D32" s="52" t="s">
        <v>54</v>
      </c>
      <c r="E32" s="57">
        <v>8.0000000000000007E-5</v>
      </c>
      <c r="F32" s="47"/>
      <c r="G32" s="47"/>
      <c r="H32" s="47"/>
      <c r="I32" s="47"/>
      <c r="J32" s="47"/>
      <c r="K32" s="47"/>
      <c r="L32" s="47"/>
      <c r="M32" s="47"/>
      <c r="N32" s="71"/>
    </row>
    <row r="33" spans="2:14" ht="15.75" customHeight="1" x14ac:dyDescent="0.25">
      <c r="B33" s="70"/>
      <c r="C33" s="53" t="s">
        <v>60</v>
      </c>
      <c r="D33" s="54"/>
      <c r="E33" s="58">
        <v>0.52389300000000005</v>
      </c>
      <c r="F33" s="47"/>
      <c r="G33" s="47"/>
      <c r="H33" s="47"/>
      <c r="I33" s="47"/>
      <c r="J33" s="47"/>
      <c r="K33" s="47"/>
      <c r="L33" s="47"/>
      <c r="M33" s="47"/>
      <c r="N33" s="71"/>
    </row>
    <row r="34" spans="2:14" ht="15" customHeight="1" x14ac:dyDescent="0.25">
      <c r="B34" s="70"/>
      <c r="C34" s="51" t="s">
        <v>228</v>
      </c>
      <c r="D34" s="52" t="s">
        <v>82</v>
      </c>
      <c r="E34" s="57">
        <v>4.6080000000000001E-3</v>
      </c>
      <c r="F34" s="47"/>
      <c r="G34" s="47"/>
      <c r="H34" s="47"/>
      <c r="I34" s="47"/>
      <c r="J34" s="47"/>
      <c r="K34" s="47"/>
      <c r="L34" s="47"/>
      <c r="M34" s="47"/>
      <c r="N34" s="71"/>
    </row>
    <row r="35" spans="2:14" ht="15.75" customHeight="1" x14ac:dyDescent="0.25">
      <c r="B35" s="70"/>
      <c r="C35" s="53" t="s">
        <v>83</v>
      </c>
      <c r="D35" s="54"/>
      <c r="E35" s="58">
        <v>4.6080000000000001E-3</v>
      </c>
      <c r="F35" s="47"/>
      <c r="G35" s="47"/>
      <c r="H35" s="47"/>
      <c r="I35" s="47"/>
      <c r="J35" s="47"/>
      <c r="K35" s="47"/>
      <c r="L35" s="47"/>
      <c r="M35" s="47"/>
      <c r="N35" s="71"/>
    </row>
    <row r="36" spans="2:14" ht="15" customHeight="1" x14ac:dyDescent="0.25">
      <c r="B36" s="70"/>
      <c r="C36" s="51" t="s">
        <v>9</v>
      </c>
      <c r="D36" s="52"/>
      <c r="E36" s="57">
        <v>0.16523099999999999</v>
      </c>
      <c r="F36" s="47"/>
      <c r="G36" s="47"/>
      <c r="H36" s="47"/>
      <c r="I36" s="47"/>
      <c r="J36" s="47"/>
      <c r="K36" s="47"/>
      <c r="L36" s="47"/>
      <c r="M36" s="47"/>
      <c r="N36" s="71"/>
    </row>
    <row r="37" spans="2:14" ht="15.75" customHeight="1" x14ac:dyDescent="0.25">
      <c r="B37" s="70"/>
      <c r="C37" s="53" t="s">
        <v>10</v>
      </c>
      <c r="D37" s="54"/>
      <c r="E37" s="58">
        <v>0.16523099999999999</v>
      </c>
      <c r="F37" s="47"/>
      <c r="G37" s="47"/>
      <c r="H37" s="47"/>
      <c r="I37" s="47"/>
      <c r="J37" s="47"/>
      <c r="K37" s="47"/>
      <c r="L37" s="47"/>
      <c r="M37" s="47"/>
      <c r="N37" s="71"/>
    </row>
    <row r="38" spans="2:14" ht="15" customHeight="1" x14ac:dyDescent="0.25">
      <c r="B38" s="70"/>
      <c r="C38" s="51"/>
      <c r="D38" s="52"/>
      <c r="E38" s="57"/>
      <c r="F38" s="47"/>
      <c r="G38" s="47"/>
      <c r="H38" s="47"/>
      <c r="I38" s="47"/>
      <c r="J38" s="47"/>
      <c r="K38" s="47"/>
      <c r="L38" s="47"/>
      <c r="M38" s="47"/>
      <c r="N38" s="71"/>
    </row>
    <row r="39" spans="2:14" ht="15.75" customHeight="1" x14ac:dyDescent="0.25">
      <c r="B39" s="70"/>
      <c r="C39" s="53" t="s">
        <v>11</v>
      </c>
      <c r="D39" s="54"/>
      <c r="E39" s="58">
        <v>2.2065999999999999E-2</v>
      </c>
      <c r="F39" s="47"/>
      <c r="G39" s="47"/>
      <c r="H39" s="47"/>
      <c r="I39" s="47"/>
      <c r="J39" s="47"/>
      <c r="K39" s="47"/>
      <c r="L39" s="47"/>
      <c r="M39" s="47"/>
      <c r="N39" s="71"/>
    </row>
    <row r="40" spans="2:14" ht="15" customHeight="1" x14ac:dyDescent="0.25">
      <c r="B40" s="70"/>
      <c r="C40" s="51"/>
      <c r="D40" s="52"/>
      <c r="E40" s="57"/>
      <c r="F40" s="47"/>
      <c r="G40" s="47"/>
      <c r="H40" s="47"/>
      <c r="I40" s="47"/>
      <c r="J40" s="47"/>
      <c r="K40" s="47"/>
      <c r="L40" s="47"/>
      <c r="M40" s="47"/>
      <c r="N40" s="71"/>
    </row>
    <row r="41" spans="2:14" ht="15" customHeight="1" x14ac:dyDescent="0.25">
      <c r="B41" s="70"/>
      <c r="C41" s="55" t="s">
        <v>12</v>
      </c>
      <c r="D41" s="56"/>
      <c r="E41" s="59">
        <v>1</v>
      </c>
      <c r="F41" s="47"/>
      <c r="G41" s="47"/>
      <c r="H41" s="47"/>
      <c r="I41" s="47"/>
      <c r="J41" s="47"/>
      <c r="K41" s="47"/>
      <c r="L41" s="47"/>
      <c r="M41" s="47"/>
      <c r="N41" s="71"/>
    </row>
    <row r="42" spans="2:14" ht="15" customHeight="1" x14ac:dyDescent="0.25">
      <c r="B42" s="70"/>
      <c r="C42" s="47"/>
      <c r="D42" s="47"/>
      <c r="E42" s="47"/>
      <c r="F42" s="47"/>
      <c r="G42" s="47"/>
      <c r="H42" s="47"/>
      <c r="I42" s="47"/>
      <c r="J42" s="47"/>
      <c r="K42" s="47"/>
      <c r="L42" s="47"/>
      <c r="M42" s="47"/>
      <c r="N42" s="71"/>
    </row>
    <row r="43" spans="2:14" s="46" customFormat="1" ht="15" customHeight="1" x14ac:dyDescent="0.25">
      <c r="B43" s="70"/>
      <c r="C43" s="76" t="s">
        <v>226</v>
      </c>
      <c r="D43" s="47"/>
      <c r="E43" s="47"/>
      <c r="F43" s="47"/>
      <c r="G43" s="47"/>
      <c r="H43" s="47"/>
      <c r="I43" s="47"/>
      <c r="J43" s="47"/>
      <c r="K43" s="47"/>
      <c r="L43" s="47"/>
      <c r="M43" s="47"/>
      <c r="N43" s="71"/>
    </row>
    <row r="44" spans="2:14" s="46" customFormat="1" ht="15" customHeight="1" thickBot="1" x14ac:dyDescent="0.3">
      <c r="B44" s="73"/>
      <c r="C44" s="74"/>
      <c r="D44" s="74"/>
      <c r="E44" s="74"/>
      <c r="F44" s="74"/>
      <c r="G44" s="74"/>
      <c r="H44" s="74"/>
      <c r="I44" s="74"/>
      <c r="J44" s="74"/>
      <c r="K44" s="74"/>
      <c r="L44" s="74"/>
      <c r="M44" s="74"/>
      <c r="N44" s="75"/>
    </row>
    <row r="45" spans="2:14" ht="15" customHeight="1" x14ac:dyDescent="0.25">
      <c r="B45" s="47"/>
      <c r="C45" s="47"/>
      <c r="D45" s="47"/>
      <c r="E45" s="47"/>
      <c r="F45" s="47"/>
      <c r="G45" s="47"/>
      <c r="H45" s="47"/>
      <c r="I45" s="47"/>
      <c r="J45" s="47"/>
      <c r="K45" s="47"/>
      <c r="L45" s="47"/>
      <c r="M45" s="47"/>
      <c r="N45" s="47"/>
    </row>
    <row r="46" spans="2:14" ht="15" customHeight="1" thickBot="1" x14ac:dyDescent="0.3"/>
    <row r="47" spans="2:14" ht="114" customHeight="1" thickBot="1" x14ac:dyDescent="0.3">
      <c r="B47" s="79" t="s">
        <v>160</v>
      </c>
      <c r="C47" s="80"/>
      <c r="D47" s="80"/>
      <c r="E47" s="80"/>
      <c r="F47" s="80"/>
      <c r="G47" s="80"/>
      <c r="H47" s="80"/>
      <c r="I47" s="80"/>
      <c r="J47" s="80"/>
      <c r="K47" s="80"/>
      <c r="L47" s="80"/>
      <c r="M47" s="80"/>
      <c r="N47" s="81"/>
    </row>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row r="58" ht="15" customHeight="1" x14ac:dyDescent="0.25"/>
    <row r="59" ht="15" customHeight="1" x14ac:dyDescent="0.25"/>
    <row r="60" ht="15" customHeight="1" x14ac:dyDescent="0.25"/>
    <row r="61" ht="15" customHeight="1" x14ac:dyDescent="0.25"/>
    <row r="62" ht="15" customHeight="1" x14ac:dyDescent="0.25"/>
    <row r="63" ht="15" customHeight="1" x14ac:dyDescent="0.25"/>
  </sheetData>
  <mergeCells count="6">
    <mergeCell ref="B47:N47"/>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506E9-5D03-4BE0-9502-480D68CE437B}">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20</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21</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22</v>
      </c>
      <c r="D8" s="6" t="s">
        <v>23</v>
      </c>
      <c r="E8" s="11">
        <v>3.9752000000000003E-2</v>
      </c>
      <c r="F8" s="1"/>
      <c r="G8" s="24" t="s">
        <v>16</v>
      </c>
      <c r="H8" s="25">
        <v>1</v>
      </c>
      <c r="I8" s="1"/>
      <c r="J8" s="24" t="s">
        <v>13</v>
      </c>
      <c r="K8" s="24" t="s">
        <v>5</v>
      </c>
      <c r="L8" s="1"/>
      <c r="M8" s="1"/>
      <c r="N8" s="18"/>
    </row>
    <row r="9" spans="2:14" ht="15" customHeight="1" x14ac:dyDescent="0.25">
      <c r="B9" s="20"/>
      <c r="C9" s="5" t="s">
        <v>24</v>
      </c>
      <c r="D9" s="6" t="s">
        <v>23</v>
      </c>
      <c r="E9" s="11">
        <v>3.8341E-2</v>
      </c>
      <c r="F9" s="1"/>
      <c r="G9" s="1"/>
      <c r="H9" s="1"/>
      <c r="I9" s="1"/>
      <c r="J9" s="24" t="s">
        <v>11</v>
      </c>
      <c r="K9" s="29">
        <v>2.4851999999999999E-2</v>
      </c>
      <c r="L9" s="1"/>
      <c r="M9" s="1"/>
      <c r="N9" s="18"/>
    </row>
    <row r="10" spans="2:14" ht="15" customHeight="1" x14ac:dyDescent="0.25">
      <c r="B10" s="20"/>
      <c r="C10" s="5" t="s">
        <v>25</v>
      </c>
      <c r="D10" s="6" t="s">
        <v>23</v>
      </c>
      <c r="E10" s="11">
        <v>1.3213000000000001E-2</v>
      </c>
      <c r="F10" s="1"/>
      <c r="G10" s="1"/>
      <c r="H10" s="1"/>
      <c r="I10" s="1"/>
      <c r="J10" s="24" t="s">
        <v>14</v>
      </c>
      <c r="K10" s="29">
        <v>2.9988999999999998E-2</v>
      </c>
      <c r="L10" s="1"/>
      <c r="M10" s="1"/>
      <c r="N10" s="18"/>
    </row>
    <row r="11" spans="2:14" ht="15.75" customHeight="1" x14ac:dyDescent="0.25">
      <c r="B11" s="20"/>
      <c r="C11" s="7" t="s">
        <v>26</v>
      </c>
      <c r="D11" s="8"/>
      <c r="E11" s="12">
        <v>9.1305999999999998E-2</v>
      </c>
      <c r="F11" s="1"/>
      <c r="G11" s="1"/>
      <c r="H11" s="1"/>
      <c r="I11" s="1"/>
      <c r="J11" s="24" t="s">
        <v>63</v>
      </c>
      <c r="K11" s="29">
        <v>9.1305999999999998E-2</v>
      </c>
      <c r="L11" s="1"/>
      <c r="M11" s="1"/>
      <c r="N11" s="18"/>
    </row>
    <row r="12" spans="2:14" ht="15" customHeight="1" x14ac:dyDescent="0.25">
      <c r="B12" s="20"/>
      <c r="C12" s="5" t="s">
        <v>27</v>
      </c>
      <c r="D12" s="6" t="s">
        <v>23</v>
      </c>
      <c r="E12" s="11">
        <v>5.4070000000000003E-3</v>
      </c>
      <c r="F12" s="1"/>
      <c r="G12" s="1"/>
      <c r="H12" s="1"/>
      <c r="I12" s="1"/>
      <c r="J12" s="24" t="s">
        <v>64</v>
      </c>
      <c r="K12" s="29">
        <v>0.74284099999999997</v>
      </c>
      <c r="L12" s="1"/>
      <c r="M12" s="1"/>
      <c r="N12" s="18"/>
    </row>
    <row r="13" spans="2:14" ht="15.75" customHeight="1" x14ac:dyDescent="0.25">
      <c r="B13" s="20"/>
      <c r="C13" s="7" t="s">
        <v>28</v>
      </c>
      <c r="D13" s="8"/>
      <c r="E13" s="12">
        <v>5.4070000000000003E-3</v>
      </c>
      <c r="F13" s="1"/>
      <c r="G13" s="1"/>
      <c r="H13" s="1"/>
      <c r="I13" s="1"/>
      <c r="J13" s="24" t="s">
        <v>65</v>
      </c>
      <c r="K13" s="29">
        <v>5.4070000000000003E-3</v>
      </c>
      <c r="L13" s="1"/>
      <c r="M13" s="1"/>
      <c r="N13" s="18"/>
    </row>
    <row r="14" spans="2:14" ht="15" customHeight="1" x14ac:dyDescent="0.25">
      <c r="B14" s="20"/>
      <c r="C14" s="5" t="s">
        <v>29</v>
      </c>
      <c r="D14" s="6" t="s">
        <v>30</v>
      </c>
      <c r="E14" s="11">
        <v>0.107183</v>
      </c>
      <c r="F14" s="1"/>
      <c r="G14" s="1"/>
      <c r="H14" s="1"/>
      <c r="I14" s="1"/>
      <c r="J14" s="24" t="s">
        <v>66</v>
      </c>
      <c r="K14" s="29">
        <v>1.66E-3</v>
      </c>
      <c r="L14" s="1"/>
      <c r="M14" s="1"/>
      <c r="N14" s="18"/>
    </row>
    <row r="15" spans="2:14" ht="15" customHeight="1" x14ac:dyDescent="0.25">
      <c r="B15" s="20"/>
      <c r="C15" s="5" t="s">
        <v>27</v>
      </c>
      <c r="D15" s="6" t="s">
        <v>30</v>
      </c>
      <c r="E15" s="11">
        <v>7.5050000000000006E-2</v>
      </c>
      <c r="F15" s="1"/>
      <c r="G15" s="1"/>
      <c r="H15" s="1"/>
      <c r="I15" s="1"/>
      <c r="J15" s="24" t="s">
        <v>67</v>
      </c>
      <c r="K15" s="29">
        <v>8.1888000000000002E-2</v>
      </c>
      <c r="L15" s="1"/>
      <c r="M15" s="1"/>
      <c r="N15" s="18"/>
    </row>
    <row r="16" spans="2:14" ht="15" customHeight="1" x14ac:dyDescent="0.25">
      <c r="B16" s="20"/>
      <c r="C16" s="5" t="s">
        <v>31</v>
      </c>
      <c r="D16" s="6" t="s">
        <v>30</v>
      </c>
      <c r="E16" s="11">
        <v>6.4074000000000006E-2</v>
      </c>
      <c r="F16" s="1"/>
      <c r="G16" s="1"/>
      <c r="H16" s="1"/>
      <c r="I16" s="1"/>
      <c r="J16" s="24" t="s">
        <v>68</v>
      </c>
      <c r="K16" s="29">
        <v>2.1892000000000002E-2</v>
      </c>
      <c r="L16" s="1"/>
      <c r="M16" s="1"/>
      <c r="N16" s="18"/>
    </row>
    <row r="17" spans="2:14" ht="15" customHeight="1" x14ac:dyDescent="0.25">
      <c r="B17" s="20"/>
      <c r="C17" s="5" t="s">
        <v>32</v>
      </c>
      <c r="D17" s="6" t="s">
        <v>30</v>
      </c>
      <c r="E17" s="11">
        <v>6.2352999999999999E-2</v>
      </c>
      <c r="F17" s="1"/>
      <c r="G17" s="1"/>
      <c r="H17" s="1"/>
      <c r="I17" s="1"/>
      <c r="J17" s="24" t="s">
        <v>69</v>
      </c>
      <c r="K17" s="29">
        <v>1.65E-4</v>
      </c>
      <c r="L17" s="1"/>
      <c r="M17" s="1"/>
      <c r="N17" s="18"/>
    </row>
    <row r="18" spans="2:14" ht="15" customHeight="1" x14ac:dyDescent="0.25">
      <c r="B18" s="20"/>
      <c r="C18" s="5" t="s">
        <v>24</v>
      </c>
      <c r="D18" s="6" t="s">
        <v>30</v>
      </c>
      <c r="E18" s="11">
        <v>5.5592999999999997E-2</v>
      </c>
      <c r="F18" s="1"/>
      <c r="G18" s="1"/>
      <c r="H18" s="1"/>
      <c r="I18" s="1"/>
      <c r="J18" s="1"/>
      <c r="K18" s="1"/>
      <c r="L18" s="1"/>
      <c r="M18" s="1"/>
      <c r="N18" s="18"/>
    </row>
    <row r="19" spans="2:14" ht="15" customHeight="1" x14ac:dyDescent="0.25">
      <c r="B19" s="20"/>
      <c r="C19" s="5" t="s">
        <v>33</v>
      </c>
      <c r="D19" s="6" t="s">
        <v>30</v>
      </c>
      <c r="E19" s="11">
        <v>5.2193000000000003E-2</v>
      </c>
      <c r="F19" s="1"/>
      <c r="G19" s="1"/>
      <c r="H19" s="1"/>
      <c r="I19" s="1"/>
      <c r="J19" s="1"/>
      <c r="K19" s="1"/>
      <c r="L19" s="1"/>
      <c r="M19" s="1"/>
      <c r="N19" s="18"/>
    </row>
    <row r="20" spans="2:14" ht="15" customHeight="1" x14ac:dyDescent="0.25">
      <c r="B20" s="20"/>
      <c r="C20" s="5" t="s">
        <v>34</v>
      </c>
      <c r="D20" s="6" t="s">
        <v>30</v>
      </c>
      <c r="E20" s="11">
        <v>4.9779999999999998E-2</v>
      </c>
      <c r="F20" s="1"/>
      <c r="G20" s="1"/>
      <c r="H20" s="1"/>
      <c r="I20" s="1"/>
      <c r="J20" s="1"/>
      <c r="K20" s="1"/>
      <c r="L20" s="1"/>
      <c r="M20" s="1"/>
      <c r="N20" s="18"/>
    </row>
    <row r="21" spans="2:14" ht="15" customHeight="1" x14ac:dyDescent="0.25">
      <c r="B21" s="20"/>
      <c r="C21" s="5" t="s">
        <v>35</v>
      </c>
      <c r="D21" s="6" t="s">
        <v>30</v>
      </c>
      <c r="E21" s="11">
        <v>3.9168000000000001E-2</v>
      </c>
      <c r="F21" s="1"/>
      <c r="G21" s="1"/>
      <c r="H21" s="1"/>
      <c r="I21" s="1"/>
      <c r="J21" s="1"/>
      <c r="K21" s="1"/>
      <c r="L21" s="1"/>
      <c r="M21" s="1"/>
      <c r="N21" s="18"/>
    </row>
    <row r="22" spans="2:14" ht="15" customHeight="1" x14ac:dyDescent="0.25">
      <c r="B22" s="20"/>
      <c r="C22" s="5" t="s">
        <v>36</v>
      </c>
      <c r="D22" s="6" t="s">
        <v>30</v>
      </c>
      <c r="E22" s="11">
        <v>3.8144999999999998E-2</v>
      </c>
      <c r="F22" s="1"/>
      <c r="G22" s="1"/>
      <c r="H22" s="1"/>
      <c r="I22" s="1"/>
      <c r="J22" s="1"/>
      <c r="K22" s="1"/>
      <c r="L22" s="1"/>
      <c r="M22" s="1"/>
      <c r="N22" s="18"/>
    </row>
    <row r="23" spans="2:14" ht="15" customHeight="1" x14ac:dyDescent="0.25">
      <c r="B23" s="20"/>
      <c r="C23" s="5" t="s">
        <v>37</v>
      </c>
      <c r="D23" s="6" t="s">
        <v>30</v>
      </c>
      <c r="E23" s="11">
        <v>2.8795999999999999E-2</v>
      </c>
      <c r="F23" s="1"/>
      <c r="G23" s="1"/>
      <c r="H23" s="1"/>
      <c r="I23" s="1"/>
      <c r="J23" s="1"/>
      <c r="K23" s="1"/>
      <c r="L23" s="1"/>
      <c r="M23" s="1"/>
      <c r="N23" s="18"/>
    </row>
    <row r="24" spans="2:14" ht="15" customHeight="1" x14ac:dyDescent="0.25">
      <c r="B24" s="20"/>
      <c r="C24" s="5" t="s">
        <v>38</v>
      </c>
      <c r="D24" s="6" t="s">
        <v>30</v>
      </c>
      <c r="E24" s="11">
        <v>2.7698E-2</v>
      </c>
      <c r="F24" s="1"/>
      <c r="G24" s="87" t="s">
        <v>18</v>
      </c>
      <c r="H24" s="88"/>
      <c r="I24" s="88"/>
      <c r="J24" s="88"/>
      <c r="K24" s="88"/>
      <c r="L24" s="26">
        <v>1.1499999999999999</v>
      </c>
      <c r="M24" s="27"/>
      <c r="N24" s="28"/>
    </row>
    <row r="25" spans="2:14" ht="15" customHeight="1" x14ac:dyDescent="0.25">
      <c r="B25" s="20"/>
      <c r="C25" s="5" t="s">
        <v>25</v>
      </c>
      <c r="D25" s="6" t="s">
        <v>30</v>
      </c>
      <c r="E25" s="11">
        <v>2.7455E-2</v>
      </c>
      <c r="F25" s="1"/>
      <c r="G25" s="1"/>
      <c r="H25" s="1"/>
      <c r="I25" s="1"/>
      <c r="J25" s="1"/>
      <c r="K25" s="1"/>
      <c r="L25" s="1"/>
      <c r="M25" s="1"/>
      <c r="N25" s="18"/>
    </row>
    <row r="26" spans="2:14" ht="15" customHeight="1" x14ac:dyDescent="0.25">
      <c r="B26" s="20"/>
      <c r="C26" s="5" t="s">
        <v>39</v>
      </c>
      <c r="D26" s="6" t="s">
        <v>30</v>
      </c>
      <c r="E26" s="11">
        <v>1.9109000000000001E-2</v>
      </c>
      <c r="F26" s="1"/>
      <c r="G26" s="87" t="s">
        <v>19</v>
      </c>
      <c r="H26" s="88"/>
      <c r="I26" s="88"/>
      <c r="J26" s="88"/>
      <c r="K26" s="88"/>
      <c r="L26" s="88"/>
      <c r="M26" s="88"/>
      <c r="N26" s="89"/>
    </row>
    <row r="27" spans="2:14" ht="15" customHeight="1" x14ac:dyDescent="0.25">
      <c r="B27" s="20"/>
      <c r="C27" s="5" t="s">
        <v>40</v>
      </c>
      <c r="D27" s="6" t="s">
        <v>30</v>
      </c>
      <c r="E27" s="11">
        <v>1.6802999999999998E-2</v>
      </c>
      <c r="F27" s="1"/>
      <c r="G27" s="1"/>
      <c r="H27" s="1"/>
      <c r="I27" s="1"/>
      <c r="J27" s="1"/>
      <c r="K27" s="1"/>
      <c r="L27" s="1"/>
      <c r="M27" s="1"/>
      <c r="N27" s="18"/>
    </row>
    <row r="28" spans="2:14" ht="15" customHeight="1" x14ac:dyDescent="0.25">
      <c r="B28" s="20"/>
      <c r="C28" s="5" t="s">
        <v>41</v>
      </c>
      <c r="D28" s="6" t="s">
        <v>30</v>
      </c>
      <c r="E28" s="11">
        <v>1.5907999999999999E-2</v>
      </c>
      <c r="F28" s="1"/>
      <c r="G28" s="1"/>
      <c r="H28" s="1"/>
      <c r="I28" s="1"/>
      <c r="J28" s="1"/>
      <c r="K28" s="1"/>
      <c r="L28" s="1"/>
      <c r="M28" s="1"/>
      <c r="N28" s="18"/>
    </row>
    <row r="29" spans="2:14" ht="15" customHeight="1" x14ac:dyDescent="0.25">
      <c r="B29" s="20"/>
      <c r="C29" s="5" t="s">
        <v>42</v>
      </c>
      <c r="D29" s="6" t="s">
        <v>30</v>
      </c>
      <c r="E29" s="11">
        <v>1.4305E-2</v>
      </c>
      <c r="F29" s="1"/>
      <c r="G29" s="1"/>
      <c r="H29" s="1"/>
      <c r="I29" s="1"/>
      <c r="J29" s="1"/>
      <c r="K29" s="1"/>
      <c r="L29" s="1"/>
      <c r="M29" s="1"/>
      <c r="N29" s="18"/>
    </row>
    <row r="30" spans="2:14" ht="15" customHeight="1" x14ac:dyDescent="0.25">
      <c r="B30" s="20"/>
      <c r="C30" s="5" t="s">
        <v>43</v>
      </c>
      <c r="D30" s="6" t="s">
        <v>30</v>
      </c>
      <c r="E30" s="11">
        <v>1.2508999999999999E-2</v>
      </c>
      <c r="F30" s="1"/>
      <c r="G30" s="1"/>
      <c r="H30" s="1"/>
      <c r="I30" s="1"/>
      <c r="J30" s="1"/>
      <c r="K30" s="1"/>
      <c r="L30" s="1"/>
      <c r="M30" s="1"/>
      <c r="N30" s="18"/>
    </row>
    <row r="31" spans="2:14" ht="15" customHeight="1" x14ac:dyDescent="0.25">
      <c r="B31" s="20"/>
      <c r="C31" s="5" t="s">
        <v>44</v>
      </c>
      <c r="D31" s="6" t="s">
        <v>30</v>
      </c>
      <c r="E31" s="11">
        <v>1.2024999999999999E-2</v>
      </c>
      <c r="F31" s="1"/>
      <c r="G31" s="1"/>
      <c r="H31" s="1"/>
      <c r="I31" s="1"/>
      <c r="J31" s="1"/>
      <c r="K31" s="1"/>
      <c r="L31" s="1"/>
      <c r="M31" s="1"/>
      <c r="N31" s="18"/>
    </row>
    <row r="32" spans="2:14" ht="15" customHeight="1" x14ac:dyDescent="0.25">
      <c r="B32" s="20"/>
      <c r="C32" s="5" t="s">
        <v>45</v>
      </c>
      <c r="D32" s="6" t="s">
        <v>30</v>
      </c>
      <c r="E32" s="11">
        <v>9.1590000000000005E-3</v>
      </c>
      <c r="F32" s="1"/>
      <c r="G32" s="1"/>
      <c r="H32" s="1"/>
      <c r="I32" s="1"/>
      <c r="J32" s="1"/>
      <c r="K32" s="1"/>
      <c r="L32" s="1"/>
      <c r="M32" s="1"/>
      <c r="N32" s="18"/>
    </row>
    <row r="33" spans="2:14" ht="15" customHeight="1" x14ac:dyDescent="0.25">
      <c r="B33" s="20"/>
      <c r="C33" s="5" t="s">
        <v>46</v>
      </c>
      <c r="D33" s="6" t="s">
        <v>30</v>
      </c>
      <c r="E33" s="11">
        <v>8.5059999999999997E-3</v>
      </c>
      <c r="F33" s="1"/>
      <c r="G33" s="1"/>
      <c r="H33" s="1"/>
      <c r="I33" s="1"/>
      <c r="J33" s="1"/>
      <c r="K33" s="1"/>
      <c r="L33" s="1"/>
      <c r="M33" s="1"/>
      <c r="N33" s="18"/>
    </row>
    <row r="34" spans="2:14" ht="15" customHeight="1" x14ac:dyDescent="0.25">
      <c r="B34" s="20"/>
      <c r="C34" s="5" t="s">
        <v>47</v>
      </c>
      <c r="D34" s="6" t="s">
        <v>30</v>
      </c>
      <c r="E34" s="11">
        <v>4.0990000000000002E-3</v>
      </c>
      <c r="F34" s="1"/>
      <c r="G34" s="1"/>
      <c r="H34" s="1"/>
      <c r="I34" s="1"/>
      <c r="J34" s="1"/>
      <c r="K34" s="1"/>
      <c r="L34" s="1"/>
      <c r="M34" s="1"/>
      <c r="N34" s="18"/>
    </row>
    <row r="35" spans="2:14" ht="15" customHeight="1" x14ac:dyDescent="0.25">
      <c r="B35" s="20"/>
      <c r="C35" s="5" t="s">
        <v>48</v>
      </c>
      <c r="D35" s="6" t="s">
        <v>30</v>
      </c>
      <c r="E35" s="11">
        <v>2.8180000000000002E-3</v>
      </c>
      <c r="F35" s="1"/>
      <c r="G35" s="1"/>
      <c r="H35" s="1"/>
      <c r="I35" s="1"/>
      <c r="J35" s="1"/>
      <c r="K35" s="1"/>
      <c r="L35" s="1"/>
      <c r="M35" s="1"/>
      <c r="N35" s="18"/>
    </row>
    <row r="36" spans="2:14" ht="15" customHeight="1" x14ac:dyDescent="0.25">
      <c r="B36" s="20"/>
      <c r="C36" s="5" t="s">
        <v>49</v>
      </c>
      <c r="D36" s="6" t="s">
        <v>30</v>
      </c>
      <c r="E36" s="11">
        <v>1.12E-4</v>
      </c>
      <c r="F36" s="1"/>
      <c r="G36" s="1"/>
      <c r="H36" s="1"/>
      <c r="I36" s="1"/>
      <c r="J36" s="1"/>
      <c r="K36" s="1"/>
      <c r="L36" s="1"/>
      <c r="M36" s="1"/>
      <c r="N36" s="18"/>
    </row>
    <row r="37" spans="2:14" ht="15.75" customHeight="1" x14ac:dyDescent="0.25">
      <c r="B37" s="20"/>
      <c r="C37" s="7" t="s">
        <v>50</v>
      </c>
      <c r="D37" s="8"/>
      <c r="E37" s="12">
        <v>0.74284099999999997</v>
      </c>
      <c r="F37" s="1"/>
      <c r="G37" s="1"/>
      <c r="H37" s="1"/>
      <c r="I37" s="1"/>
      <c r="J37" s="1"/>
      <c r="K37" s="1"/>
      <c r="L37" s="1"/>
      <c r="M37" s="1"/>
      <c r="N37" s="18"/>
    </row>
    <row r="38" spans="2:14" ht="15" customHeight="1" x14ac:dyDescent="0.25">
      <c r="B38" s="20"/>
      <c r="C38" s="5" t="s">
        <v>51</v>
      </c>
      <c r="D38" s="6" t="s">
        <v>23</v>
      </c>
      <c r="E38" s="11">
        <v>1.66E-3</v>
      </c>
      <c r="F38" s="1"/>
      <c r="G38" s="1"/>
      <c r="H38" s="1"/>
      <c r="I38" s="1"/>
      <c r="J38" s="1"/>
      <c r="K38" s="1"/>
      <c r="L38" s="1"/>
      <c r="M38" s="1"/>
      <c r="N38" s="18"/>
    </row>
    <row r="39" spans="2:14" ht="15.75" customHeight="1" x14ac:dyDescent="0.25">
      <c r="B39" s="20"/>
      <c r="C39" s="7" t="s">
        <v>52</v>
      </c>
      <c r="D39" s="8"/>
      <c r="E39" s="12">
        <v>1.66E-3</v>
      </c>
      <c r="F39" s="1"/>
      <c r="G39" s="1"/>
      <c r="H39" s="1"/>
      <c r="I39" s="1"/>
      <c r="J39" s="1"/>
      <c r="K39" s="1"/>
      <c r="L39" s="1"/>
      <c r="M39" s="1"/>
      <c r="N39" s="18"/>
    </row>
    <row r="40" spans="2:14" ht="15" customHeight="1" x14ac:dyDescent="0.25">
      <c r="B40" s="20"/>
      <c r="C40" s="5" t="s">
        <v>53</v>
      </c>
      <c r="D40" s="6" t="s">
        <v>54</v>
      </c>
      <c r="E40" s="11">
        <v>3.3634999999999998E-2</v>
      </c>
      <c r="F40" s="1"/>
      <c r="G40" s="1"/>
      <c r="H40" s="1"/>
      <c r="I40" s="1"/>
      <c r="J40" s="1"/>
      <c r="K40" s="1"/>
      <c r="L40" s="1"/>
      <c r="M40" s="1"/>
      <c r="N40" s="18"/>
    </row>
    <row r="41" spans="2:14" ht="15" customHeight="1" x14ac:dyDescent="0.25">
      <c r="B41" s="20"/>
      <c r="C41" s="5" t="s">
        <v>55</v>
      </c>
      <c r="D41" s="6" t="s">
        <v>54</v>
      </c>
      <c r="E41" s="11">
        <v>2.4250000000000001E-2</v>
      </c>
      <c r="F41" s="1"/>
      <c r="G41" s="1"/>
      <c r="H41" s="1"/>
      <c r="I41" s="1"/>
      <c r="J41" s="1"/>
      <c r="K41" s="1"/>
      <c r="L41" s="1"/>
      <c r="M41" s="1"/>
      <c r="N41" s="18"/>
    </row>
    <row r="42" spans="2:14" ht="15" customHeight="1" x14ac:dyDescent="0.25">
      <c r="B42" s="20"/>
      <c r="C42" s="5" t="s">
        <v>56</v>
      </c>
      <c r="D42" s="6" t="s">
        <v>54</v>
      </c>
      <c r="E42" s="11">
        <v>1.4239999999999999E-2</v>
      </c>
      <c r="F42" s="1"/>
      <c r="G42" s="1"/>
      <c r="H42" s="1"/>
      <c r="I42" s="1"/>
      <c r="J42" s="1"/>
      <c r="K42" s="1"/>
      <c r="L42" s="1"/>
      <c r="M42" s="1"/>
      <c r="N42" s="18"/>
    </row>
    <row r="43" spans="2:14" ht="15" customHeight="1" x14ac:dyDescent="0.25">
      <c r="B43" s="20"/>
      <c r="C43" s="5" t="s">
        <v>57</v>
      </c>
      <c r="D43" s="6" t="s">
        <v>54</v>
      </c>
      <c r="E43" s="11">
        <v>6.6010000000000001E-3</v>
      </c>
      <c r="F43" s="1"/>
      <c r="G43" s="1"/>
      <c r="H43" s="1"/>
      <c r="I43" s="1"/>
      <c r="J43" s="1"/>
      <c r="K43" s="1"/>
      <c r="L43" s="1"/>
      <c r="M43" s="1"/>
      <c r="N43" s="18"/>
    </row>
    <row r="44" spans="2:14" ht="15" customHeight="1" x14ac:dyDescent="0.25">
      <c r="B44" s="20"/>
      <c r="C44" s="5" t="s">
        <v>58</v>
      </c>
      <c r="D44" s="6" t="s">
        <v>54</v>
      </c>
      <c r="E44" s="11">
        <v>2.029E-3</v>
      </c>
      <c r="F44" s="1"/>
      <c r="G44" s="1"/>
      <c r="H44" s="1"/>
      <c r="I44" s="1"/>
      <c r="J44" s="1"/>
      <c r="K44" s="1"/>
      <c r="L44" s="1"/>
      <c r="M44" s="1"/>
      <c r="N44" s="18"/>
    </row>
    <row r="45" spans="2:14" ht="15" customHeight="1" x14ac:dyDescent="0.25">
      <c r="B45" s="20"/>
      <c r="C45" s="5" t="s">
        <v>59</v>
      </c>
      <c r="D45" s="6" t="s">
        <v>54</v>
      </c>
      <c r="E45" s="11">
        <v>1.1329999999999999E-3</v>
      </c>
      <c r="F45" s="1"/>
      <c r="G45" s="1"/>
      <c r="H45" s="1"/>
      <c r="I45" s="1"/>
      <c r="J45" s="1"/>
      <c r="K45" s="1"/>
      <c r="L45" s="1"/>
      <c r="M45" s="1"/>
      <c r="N45" s="18"/>
    </row>
    <row r="46" spans="2:14" ht="15.75" customHeight="1" x14ac:dyDescent="0.25">
      <c r="B46" s="20"/>
      <c r="C46" s="7" t="s">
        <v>60</v>
      </c>
      <c r="D46" s="8"/>
      <c r="E46" s="12">
        <v>8.1888000000000002E-2</v>
      </c>
      <c r="F46" s="1"/>
      <c r="G46" s="1"/>
      <c r="H46" s="1"/>
      <c r="I46" s="1"/>
      <c r="J46" s="1"/>
      <c r="K46" s="1"/>
      <c r="L46" s="1"/>
      <c r="M46" s="1"/>
      <c r="N46" s="18"/>
    </row>
    <row r="47" spans="2:14" s="30" customFormat="1" ht="15" customHeight="1" x14ac:dyDescent="0.25">
      <c r="B47" s="36"/>
      <c r="C47" s="32" t="s">
        <v>193</v>
      </c>
      <c r="D47" s="33" t="s">
        <v>54</v>
      </c>
      <c r="E47" s="34">
        <v>2.9009999999999999E-3</v>
      </c>
      <c r="F47" s="31"/>
      <c r="G47" s="31"/>
      <c r="H47" s="31"/>
      <c r="I47" s="31"/>
      <c r="J47" s="31"/>
      <c r="K47" s="31"/>
      <c r="L47" s="31"/>
      <c r="M47" s="31"/>
      <c r="N47" s="35"/>
    </row>
    <row r="48" spans="2:14" s="30" customFormat="1" ht="15" customHeight="1" x14ac:dyDescent="0.25">
      <c r="B48" s="36"/>
      <c r="C48" s="32" t="s">
        <v>205</v>
      </c>
      <c r="D48" s="33" t="s">
        <v>54</v>
      </c>
      <c r="E48" s="34">
        <v>1.123E-2</v>
      </c>
      <c r="F48" s="31"/>
      <c r="G48" s="31"/>
      <c r="H48" s="31"/>
      <c r="I48" s="31"/>
      <c r="J48" s="31"/>
      <c r="K48" s="31"/>
      <c r="L48" s="31"/>
      <c r="M48" s="31"/>
      <c r="N48" s="35"/>
    </row>
    <row r="49" spans="2:14" s="30" customFormat="1" ht="15" customHeight="1" x14ac:dyDescent="0.25">
      <c r="B49" s="36"/>
      <c r="C49" s="32" t="s">
        <v>199</v>
      </c>
      <c r="D49" s="33" t="s">
        <v>54</v>
      </c>
      <c r="E49" s="34">
        <v>2.944E-3</v>
      </c>
      <c r="F49" s="31"/>
      <c r="G49" s="31"/>
      <c r="H49" s="31"/>
      <c r="I49" s="31"/>
      <c r="J49" s="31"/>
      <c r="K49" s="31"/>
      <c r="L49" s="31"/>
      <c r="M49" s="31"/>
      <c r="N49" s="35"/>
    </row>
    <row r="50" spans="2:14" s="30" customFormat="1" ht="15" customHeight="1" x14ac:dyDescent="0.25">
      <c r="B50" s="36"/>
      <c r="C50" s="32" t="s">
        <v>203</v>
      </c>
      <c r="D50" s="33" t="s">
        <v>54</v>
      </c>
      <c r="E50" s="34">
        <v>1.3829999999999999E-3</v>
      </c>
      <c r="F50" s="31"/>
      <c r="G50" s="31"/>
      <c r="H50" s="31"/>
      <c r="I50" s="31"/>
      <c r="J50" s="31"/>
      <c r="K50" s="31"/>
      <c r="L50" s="31"/>
      <c r="M50" s="31"/>
      <c r="N50" s="35"/>
    </row>
    <row r="51" spans="2:14" s="30" customFormat="1" ht="15" customHeight="1" x14ac:dyDescent="0.25">
      <c r="B51" s="36"/>
      <c r="C51" s="32" t="s">
        <v>204</v>
      </c>
      <c r="D51" s="33" t="s">
        <v>54</v>
      </c>
      <c r="E51" s="34">
        <v>8.3600000000000005E-4</v>
      </c>
      <c r="F51" s="31"/>
      <c r="G51" s="31"/>
      <c r="H51" s="31"/>
      <c r="I51" s="31"/>
      <c r="J51" s="31"/>
      <c r="K51" s="31"/>
      <c r="L51" s="31"/>
      <c r="M51" s="31"/>
      <c r="N51" s="35"/>
    </row>
    <row r="52" spans="2:14" s="30" customFormat="1" ht="15" customHeight="1" x14ac:dyDescent="0.25">
      <c r="B52" s="36"/>
      <c r="C52" s="32" t="s">
        <v>201</v>
      </c>
      <c r="D52" s="33" t="s">
        <v>54</v>
      </c>
      <c r="E52" s="34">
        <v>5.8100000000000003E-4</v>
      </c>
      <c r="F52" s="31"/>
      <c r="G52" s="31"/>
      <c r="H52" s="31"/>
      <c r="I52" s="31"/>
      <c r="J52" s="31"/>
      <c r="K52" s="31"/>
      <c r="L52" s="31"/>
      <c r="M52" s="31"/>
      <c r="N52" s="35"/>
    </row>
    <row r="53" spans="2:14" s="30" customFormat="1" ht="15" customHeight="1" x14ac:dyDescent="0.25">
      <c r="B53" s="36"/>
      <c r="C53" s="32" t="s">
        <v>195</v>
      </c>
      <c r="D53" s="33" t="s">
        <v>54</v>
      </c>
      <c r="E53" s="34">
        <v>5.7600000000000001E-4</v>
      </c>
      <c r="F53" s="31"/>
      <c r="G53" s="31"/>
      <c r="H53" s="31"/>
      <c r="I53" s="31"/>
      <c r="J53" s="31"/>
      <c r="K53" s="31"/>
      <c r="L53" s="31"/>
      <c r="M53" s="31"/>
      <c r="N53" s="35"/>
    </row>
    <row r="54" spans="2:14" s="30" customFormat="1" ht="15" customHeight="1" x14ac:dyDescent="0.25">
      <c r="B54" s="36"/>
      <c r="C54" s="32" t="s">
        <v>196</v>
      </c>
      <c r="D54" s="33" t="s">
        <v>54</v>
      </c>
      <c r="E54" s="34">
        <v>2.8699999999999998E-4</v>
      </c>
      <c r="F54" s="31"/>
      <c r="G54" s="31"/>
      <c r="H54" s="31"/>
      <c r="I54" s="31"/>
      <c r="J54" s="31"/>
      <c r="K54" s="31"/>
      <c r="L54" s="31"/>
      <c r="M54" s="31"/>
      <c r="N54" s="35"/>
    </row>
    <row r="55" spans="2:14" s="30" customFormat="1" ht="15" customHeight="1" x14ac:dyDescent="0.25">
      <c r="B55" s="36"/>
      <c r="C55" s="32" t="s">
        <v>197</v>
      </c>
      <c r="D55" s="33" t="s">
        <v>54</v>
      </c>
      <c r="E55" s="34">
        <v>2.8699999999999998E-4</v>
      </c>
      <c r="F55" s="31"/>
      <c r="G55" s="31"/>
      <c r="H55" s="31"/>
      <c r="I55" s="31"/>
      <c r="J55" s="31"/>
      <c r="K55" s="31"/>
      <c r="L55" s="31"/>
      <c r="M55" s="31"/>
      <c r="N55" s="35"/>
    </row>
    <row r="56" spans="2:14" s="30" customFormat="1" ht="15" customHeight="1" x14ac:dyDescent="0.25">
      <c r="B56" s="36"/>
      <c r="C56" s="32" t="s">
        <v>198</v>
      </c>
      <c r="D56" s="33" t="s">
        <v>54</v>
      </c>
      <c r="E56" s="34">
        <v>2.8699999999999998E-4</v>
      </c>
      <c r="F56" s="31"/>
      <c r="G56" s="31"/>
      <c r="H56" s="31"/>
      <c r="I56" s="31"/>
      <c r="J56" s="31"/>
      <c r="K56" s="31"/>
      <c r="L56" s="31"/>
      <c r="M56" s="31"/>
      <c r="N56" s="35"/>
    </row>
    <row r="57" spans="2:14" s="30" customFormat="1" ht="15" customHeight="1" x14ac:dyDescent="0.25">
      <c r="B57" s="36"/>
      <c r="C57" s="32" t="s">
        <v>194</v>
      </c>
      <c r="D57" s="33" t="s">
        <v>54</v>
      </c>
      <c r="E57" s="34">
        <v>2.8600000000000001E-4</v>
      </c>
      <c r="F57" s="31"/>
      <c r="G57" s="31"/>
      <c r="H57" s="31"/>
      <c r="I57" s="31"/>
      <c r="J57" s="31"/>
      <c r="K57" s="31"/>
      <c r="L57" s="31"/>
      <c r="M57" s="31"/>
      <c r="N57" s="35"/>
    </row>
    <row r="58" spans="2:14" s="30" customFormat="1" ht="15" customHeight="1" x14ac:dyDescent="0.25">
      <c r="B58" s="36"/>
      <c r="C58" s="32" t="s">
        <v>202</v>
      </c>
      <c r="D58" s="33" t="s">
        <v>54</v>
      </c>
      <c r="E58" s="34">
        <v>1.6699999999999999E-4</v>
      </c>
      <c r="F58" s="31"/>
      <c r="G58" s="31"/>
      <c r="H58" s="31"/>
      <c r="I58" s="31"/>
      <c r="J58" s="31"/>
      <c r="K58" s="31"/>
      <c r="L58" s="31"/>
      <c r="M58" s="31"/>
      <c r="N58" s="35"/>
    </row>
    <row r="59" spans="2:14" s="30" customFormat="1" ht="15" customHeight="1" x14ac:dyDescent="0.25">
      <c r="B59" s="36"/>
      <c r="C59" s="32" t="s">
        <v>200</v>
      </c>
      <c r="D59" s="33" t="s">
        <v>54</v>
      </c>
      <c r="E59" s="34">
        <v>1.27E-4</v>
      </c>
      <c r="F59" s="31"/>
      <c r="G59" s="31"/>
      <c r="H59" s="31"/>
      <c r="I59" s="31"/>
      <c r="J59" s="31"/>
      <c r="K59" s="31"/>
      <c r="L59" s="31"/>
      <c r="M59" s="31"/>
      <c r="N59" s="35"/>
    </row>
    <row r="60" spans="2:14" ht="15.75" customHeight="1" x14ac:dyDescent="0.25">
      <c r="B60" s="20"/>
      <c r="C60" s="7" t="s">
        <v>61</v>
      </c>
      <c r="D60" s="8"/>
      <c r="E60" s="12">
        <v>2.1892000000000002E-2</v>
      </c>
      <c r="F60" s="1"/>
      <c r="G60" s="1"/>
      <c r="H60" s="1"/>
      <c r="I60" s="1"/>
      <c r="J60" s="1"/>
      <c r="K60" s="1"/>
      <c r="L60" s="1"/>
      <c r="M60" s="1"/>
      <c r="N60" s="18"/>
    </row>
    <row r="61" spans="2:14" ht="15" customHeight="1" x14ac:dyDescent="0.25">
      <c r="B61" s="20"/>
      <c r="C61" s="5" t="s">
        <v>9</v>
      </c>
      <c r="D61" s="6"/>
      <c r="E61" s="11">
        <v>2.9988999999999998E-2</v>
      </c>
      <c r="F61" s="1"/>
      <c r="G61" s="1"/>
      <c r="H61" s="1"/>
      <c r="I61" s="1"/>
      <c r="J61" s="1"/>
      <c r="K61" s="1"/>
      <c r="L61" s="1"/>
      <c r="M61" s="1"/>
      <c r="N61" s="18"/>
    </row>
    <row r="62" spans="2:14" ht="15.75" customHeight="1" x14ac:dyDescent="0.25">
      <c r="B62" s="20"/>
      <c r="C62" s="7" t="s">
        <v>10</v>
      </c>
      <c r="D62" s="8"/>
      <c r="E62" s="12">
        <v>2.9988999999999998E-2</v>
      </c>
      <c r="F62" s="1"/>
      <c r="G62" s="1"/>
      <c r="H62" s="1"/>
      <c r="I62" s="1"/>
      <c r="J62" s="1"/>
      <c r="K62" s="1"/>
      <c r="L62" s="1"/>
      <c r="M62" s="1"/>
      <c r="N62" s="18"/>
    </row>
    <row r="63" spans="2:14" ht="15" customHeight="1" x14ac:dyDescent="0.25">
      <c r="B63" s="20"/>
      <c r="C63" s="5" t="s">
        <v>41</v>
      </c>
      <c r="D63" s="6" t="s">
        <v>30</v>
      </c>
      <c r="E63" s="11">
        <v>1.65E-4</v>
      </c>
      <c r="F63" s="1"/>
      <c r="G63" s="1"/>
      <c r="H63" s="1"/>
      <c r="I63" s="1"/>
      <c r="J63" s="1"/>
      <c r="K63" s="1"/>
      <c r="L63" s="1"/>
      <c r="M63" s="1"/>
      <c r="N63" s="18"/>
    </row>
    <row r="64" spans="2:14" ht="15.75" customHeight="1" x14ac:dyDescent="0.25">
      <c r="B64" s="20"/>
      <c r="C64" s="7" t="s">
        <v>62</v>
      </c>
      <c r="D64" s="8"/>
      <c r="E64" s="12">
        <v>1.65E-4</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75" customHeight="1" x14ac:dyDescent="0.25">
      <c r="B66" s="20"/>
      <c r="C66" s="7" t="s">
        <v>11</v>
      </c>
      <c r="D66" s="8"/>
      <c r="E66" s="12">
        <v>2.4851999999999999E-2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12</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x14ac:dyDescent="0.25"/>
    <row r="72" spans="2:14" ht="114"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8:E59">
    <sortCondition descending="1" ref="E47"/>
  </sortState>
  <mergeCells count="5">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4F84E-4ABF-4170-AF8C-B17939D6E713}">
  <dimension ref="B1:N92"/>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107</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108</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24</v>
      </c>
      <c r="D8" s="6" t="s">
        <v>23</v>
      </c>
      <c r="E8" s="11">
        <v>9.8469999999999999E-3</v>
      </c>
      <c r="F8" s="1"/>
      <c r="G8" s="24" t="s">
        <v>16</v>
      </c>
      <c r="H8" s="25">
        <v>1</v>
      </c>
      <c r="I8" s="1"/>
      <c r="J8" s="24" t="s">
        <v>13</v>
      </c>
      <c r="K8" s="24" t="s">
        <v>5</v>
      </c>
      <c r="L8" s="1"/>
      <c r="M8" s="1"/>
      <c r="N8" s="18"/>
    </row>
    <row r="9" spans="2:14" ht="15.75" customHeight="1" x14ac:dyDescent="0.25">
      <c r="B9" s="20"/>
      <c r="C9" s="7" t="s">
        <v>26</v>
      </c>
      <c r="D9" s="8"/>
      <c r="E9" s="12">
        <v>9.8469999999999999E-3</v>
      </c>
      <c r="F9" s="1"/>
      <c r="G9" s="1"/>
      <c r="H9" s="1"/>
      <c r="I9" s="1"/>
      <c r="J9" s="24" t="s">
        <v>11</v>
      </c>
      <c r="K9" s="29">
        <v>3.4453999999999999E-2</v>
      </c>
      <c r="L9" s="1"/>
      <c r="M9" s="1"/>
      <c r="N9" s="18"/>
    </row>
    <row r="10" spans="2:14" ht="15" customHeight="1" x14ac:dyDescent="0.25">
      <c r="B10" s="20"/>
      <c r="C10" s="5" t="s">
        <v>27</v>
      </c>
      <c r="D10" s="6" t="s">
        <v>23</v>
      </c>
      <c r="E10" s="11">
        <v>2.493E-3</v>
      </c>
      <c r="F10" s="1"/>
      <c r="G10" s="1"/>
      <c r="H10" s="1"/>
      <c r="I10" s="1"/>
      <c r="J10" s="24" t="s">
        <v>14</v>
      </c>
      <c r="K10" s="29">
        <v>2.8400000000000002E-4</v>
      </c>
      <c r="L10" s="1"/>
      <c r="M10" s="1"/>
      <c r="N10" s="18"/>
    </row>
    <row r="11" spans="2:14" ht="15.75" customHeight="1" x14ac:dyDescent="0.25">
      <c r="B11" s="20"/>
      <c r="C11" s="7" t="s">
        <v>28</v>
      </c>
      <c r="D11" s="8"/>
      <c r="E11" s="12">
        <v>2.493E-3</v>
      </c>
      <c r="F11" s="1"/>
      <c r="G11" s="1"/>
      <c r="H11" s="1"/>
      <c r="I11" s="1"/>
      <c r="J11" s="24" t="s">
        <v>63</v>
      </c>
      <c r="K11" s="29">
        <v>9.8469999999999999E-3</v>
      </c>
      <c r="L11" s="1"/>
      <c r="M11" s="1"/>
      <c r="N11" s="18"/>
    </row>
    <row r="12" spans="2:14" ht="15" customHeight="1" x14ac:dyDescent="0.25">
      <c r="B12" s="20"/>
      <c r="C12" s="5" t="s">
        <v>29</v>
      </c>
      <c r="D12" s="6" t="s">
        <v>30</v>
      </c>
      <c r="E12" s="11">
        <v>0.116104</v>
      </c>
      <c r="F12" s="1"/>
      <c r="G12" s="1"/>
      <c r="H12" s="1"/>
      <c r="I12" s="1"/>
      <c r="J12" s="24" t="s">
        <v>64</v>
      </c>
      <c r="K12" s="29">
        <v>0.70610099999999998</v>
      </c>
      <c r="L12" s="1"/>
      <c r="M12" s="1"/>
      <c r="N12" s="18"/>
    </row>
    <row r="13" spans="2:14" ht="15" customHeight="1" x14ac:dyDescent="0.25">
      <c r="B13" s="20"/>
      <c r="C13" s="5" t="s">
        <v>32</v>
      </c>
      <c r="D13" s="6" t="s">
        <v>30</v>
      </c>
      <c r="E13" s="11">
        <v>0.108337</v>
      </c>
      <c r="F13" s="1"/>
      <c r="G13" s="1"/>
      <c r="H13" s="1"/>
      <c r="I13" s="1"/>
      <c r="J13" s="24" t="s">
        <v>65</v>
      </c>
      <c r="K13" s="29">
        <v>2.493E-3</v>
      </c>
      <c r="L13" s="1"/>
      <c r="M13" s="1"/>
      <c r="N13" s="18"/>
    </row>
    <row r="14" spans="2:14" ht="15" customHeight="1" x14ac:dyDescent="0.25">
      <c r="B14" s="20"/>
      <c r="C14" s="5" t="s">
        <v>27</v>
      </c>
      <c r="D14" s="6" t="s">
        <v>30</v>
      </c>
      <c r="E14" s="11">
        <v>8.4045999999999996E-2</v>
      </c>
      <c r="F14" s="1"/>
      <c r="G14" s="1"/>
      <c r="H14" s="1"/>
      <c r="I14" s="1"/>
      <c r="J14" s="24" t="s">
        <v>67</v>
      </c>
      <c r="K14" s="29">
        <v>0.20849300000000001</v>
      </c>
      <c r="L14" s="1"/>
      <c r="M14" s="1"/>
      <c r="N14" s="18"/>
    </row>
    <row r="15" spans="2:14" ht="15" customHeight="1" x14ac:dyDescent="0.25">
      <c r="B15" s="20"/>
      <c r="C15" s="5" t="s">
        <v>42</v>
      </c>
      <c r="D15" s="6" t="s">
        <v>30</v>
      </c>
      <c r="E15" s="11">
        <v>7.3065000000000005E-2</v>
      </c>
      <c r="F15" s="1"/>
      <c r="G15" s="1"/>
      <c r="H15" s="1"/>
      <c r="I15" s="1"/>
      <c r="J15" s="24" t="s">
        <v>68</v>
      </c>
      <c r="K15" s="29">
        <v>3.823E-2</v>
      </c>
      <c r="L15" s="1"/>
      <c r="M15" s="1"/>
      <c r="N15" s="18"/>
    </row>
    <row r="16" spans="2:14" ht="15" customHeight="1" x14ac:dyDescent="0.25">
      <c r="B16" s="20"/>
      <c r="C16" s="5" t="s">
        <v>35</v>
      </c>
      <c r="D16" s="6" t="s">
        <v>30</v>
      </c>
      <c r="E16" s="11">
        <v>6.1218000000000002E-2</v>
      </c>
      <c r="F16" s="1"/>
      <c r="G16" s="1"/>
      <c r="H16" s="1"/>
      <c r="I16" s="1"/>
      <c r="J16" s="24" t="s">
        <v>69</v>
      </c>
      <c r="K16" s="29">
        <v>9.7999999999999997E-5</v>
      </c>
      <c r="L16" s="1"/>
      <c r="M16" s="1"/>
      <c r="N16" s="18"/>
    </row>
    <row r="17" spans="2:14" ht="15" customHeight="1" x14ac:dyDescent="0.25">
      <c r="B17" s="20"/>
      <c r="C17" s="5" t="s">
        <v>46</v>
      </c>
      <c r="D17" s="6" t="s">
        <v>30</v>
      </c>
      <c r="E17" s="11">
        <v>5.7911999999999998E-2</v>
      </c>
      <c r="F17" s="1"/>
      <c r="G17" s="1"/>
      <c r="H17" s="1"/>
      <c r="I17" s="1"/>
      <c r="J17" s="1"/>
      <c r="K17" s="1"/>
      <c r="L17" s="1"/>
      <c r="M17" s="1"/>
      <c r="N17" s="18"/>
    </row>
    <row r="18" spans="2:14" ht="15" customHeight="1" x14ac:dyDescent="0.25">
      <c r="B18" s="20"/>
      <c r="C18" s="5" t="s">
        <v>34</v>
      </c>
      <c r="D18" s="6" t="s">
        <v>30</v>
      </c>
      <c r="E18" s="11">
        <v>4.7203000000000002E-2</v>
      </c>
      <c r="F18" s="1"/>
      <c r="G18" s="1"/>
      <c r="H18" s="1"/>
      <c r="I18" s="1"/>
      <c r="J18" s="1"/>
      <c r="K18" s="1"/>
      <c r="L18" s="1"/>
      <c r="M18" s="1"/>
      <c r="N18" s="18"/>
    </row>
    <row r="19" spans="2:14" ht="15" customHeight="1" x14ac:dyDescent="0.25">
      <c r="B19" s="20"/>
      <c r="C19" s="5" t="s">
        <v>31</v>
      </c>
      <c r="D19" s="6" t="s">
        <v>30</v>
      </c>
      <c r="E19" s="11">
        <v>3.4772999999999998E-2</v>
      </c>
      <c r="F19" s="1"/>
      <c r="G19" s="1"/>
      <c r="H19" s="1"/>
      <c r="I19" s="1"/>
      <c r="J19" s="1"/>
      <c r="K19" s="1"/>
      <c r="L19" s="1"/>
      <c r="M19" s="1"/>
      <c r="N19" s="18"/>
    </row>
    <row r="20" spans="2:14" ht="15" customHeight="1" x14ac:dyDescent="0.25">
      <c r="B20" s="20"/>
      <c r="C20" s="5" t="s">
        <v>33</v>
      </c>
      <c r="D20" s="6" t="s">
        <v>30</v>
      </c>
      <c r="E20" s="11">
        <v>2.6485000000000002E-2</v>
      </c>
      <c r="F20" s="1"/>
      <c r="G20" s="1"/>
      <c r="H20" s="1"/>
      <c r="I20" s="1"/>
      <c r="J20" s="1"/>
      <c r="K20" s="1"/>
      <c r="L20" s="1"/>
      <c r="M20" s="1"/>
      <c r="N20" s="18"/>
    </row>
    <row r="21" spans="2:14" ht="15" customHeight="1" x14ac:dyDescent="0.25">
      <c r="B21" s="20"/>
      <c r="C21" s="5" t="s">
        <v>24</v>
      </c>
      <c r="D21" s="6" t="s">
        <v>30</v>
      </c>
      <c r="E21" s="11">
        <v>1.4938999999999999E-2</v>
      </c>
      <c r="F21" s="1"/>
      <c r="G21" s="1"/>
      <c r="H21" s="1"/>
      <c r="I21" s="1"/>
      <c r="J21" s="1"/>
      <c r="K21" s="1"/>
      <c r="L21" s="1"/>
      <c r="M21" s="1"/>
      <c r="N21" s="18"/>
    </row>
    <row r="22" spans="2:14" ht="15" customHeight="1" x14ac:dyDescent="0.25">
      <c r="B22" s="20"/>
      <c r="C22" s="5" t="s">
        <v>109</v>
      </c>
      <c r="D22" s="6" t="s">
        <v>30</v>
      </c>
      <c r="E22" s="11">
        <v>1.3840999999999999E-2</v>
      </c>
      <c r="F22" s="1"/>
      <c r="G22" s="1"/>
      <c r="H22" s="1"/>
      <c r="I22" s="1"/>
      <c r="J22" s="1"/>
      <c r="K22" s="1"/>
      <c r="L22" s="1"/>
      <c r="M22" s="1"/>
      <c r="N22" s="18"/>
    </row>
    <row r="23" spans="2:14" ht="15" customHeight="1" x14ac:dyDescent="0.25">
      <c r="B23" s="20"/>
      <c r="C23" s="5" t="s">
        <v>37</v>
      </c>
      <c r="D23" s="6" t="s">
        <v>30</v>
      </c>
      <c r="E23" s="11">
        <v>1.273E-2</v>
      </c>
      <c r="F23" s="1"/>
      <c r="G23" s="1"/>
      <c r="H23" s="1"/>
      <c r="I23" s="1"/>
      <c r="J23" s="1"/>
      <c r="K23" s="1"/>
      <c r="L23" s="1"/>
      <c r="M23" s="1"/>
      <c r="N23" s="18"/>
    </row>
    <row r="24" spans="2:14" ht="15" customHeight="1" x14ac:dyDescent="0.25">
      <c r="B24" s="20"/>
      <c r="C24" s="5" t="s">
        <v>43</v>
      </c>
      <c r="D24" s="6" t="s">
        <v>30</v>
      </c>
      <c r="E24" s="11">
        <v>1.2194999999999999E-2</v>
      </c>
      <c r="F24" s="1"/>
      <c r="G24" s="87" t="s">
        <v>18</v>
      </c>
      <c r="H24" s="88"/>
      <c r="I24" s="88"/>
      <c r="J24" s="88"/>
      <c r="K24" s="88"/>
      <c r="L24" s="26">
        <v>2.16</v>
      </c>
      <c r="M24" s="27"/>
      <c r="N24" s="28"/>
    </row>
    <row r="25" spans="2:14" ht="15" customHeight="1" x14ac:dyDescent="0.25">
      <c r="B25" s="20"/>
      <c r="C25" s="5" t="s">
        <v>110</v>
      </c>
      <c r="D25" s="6" t="s">
        <v>30</v>
      </c>
      <c r="E25" s="11">
        <v>1.0404E-2</v>
      </c>
      <c r="F25" s="1"/>
      <c r="G25" s="1"/>
      <c r="H25" s="1"/>
      <c r="I25" s="1"/>
      <c r="J25" s="1"/>
      <c r="K25" s="1"/>
      <c r="L25" s="1"/>
      <c r="M25" s="1"/>
      <c r="N25" s="18"/>
    </row>
    <row r="26" spans="2:14" ht="15" customHeight="1" x14ac:dyDescent="0.25">
      <c r="B26" s="20"/>
      <c r="C26" s="5" t="s">
        <v>25</v>
      </c>
      <c r="D26" s="6" t="s">
        <v>30</v>
      </c>
      <c r="E26" s="11">
        <v>8.6990000000000001E-3</v>
      </c>
      <c r="F26" s="1"/>
      <c r="G26" s="87" t="s">
        <v>19</v>
      </c>
      <c r="H26" s="88"/>
      <c r="I26" s="88"/>
      <c r="J26" s="88"/>
      <c r="K26" s="88"/>
      <c r="L26" s="88"/>
      <c r="M26" s="88"/>
      <c r="N26" s="89"/>
    </row>
    <row r="27" spans="2:14" ht="15" customHeight="1" x14ac:dyDescent="0.25">
      <c r="B27" s="20"/>
      <c r="C27" s="5" t="s">
        <v>36</v>
      </c>
      <c r="D27" s="6" t="s">
        <v>30</v>
      </c>
      <c r="E27" s="11">
        <v>6.1749999999999999E-3</v>
      </c>
      <c r="F27" s="1"/>
      <c r="G27" s="1"/>
      <c r="H27" s="1"/>
      <c r="I27" s="1"/>
      <c r="J27" s="1"/>
      <c r="K27" s="1"/>
      <c r="L27" s="1"/>
      <c r="M27" s="1"/>
      <c r="N27" s="18"/>
    </row>
    <row r="28" spans="2:14" ht="15" customHeight="1" x14ac:dyDescent="0.25">
      <c r="B28" s="20"/>
      <c r="C28" s="5" t="s">
        <v>47</v>
      </c>
      <c r="D28" s="6" t="s">
        <v>30</v>
      </c>
      <c r="E28" s="11">
        <v>5.0379999999999999E-3</v>
      </c>
      <c r="F28" s="1"/>
      <c r="G28" s="1"/>
      <c r="H28" s="1"/>
      <c r="I28" s="1"/>
      <c r="J28" s="1"/>
      <c r="K28" s="1"/>
      <c r="L28" s="1"/>
      <c r="M28" s="1"/>
      <c r="N28" s="18"/>
    </row>
    <row r="29" spans="2:14" ht="15" customHeight="1" x14ac:dyDescent="0.25">
      <c r="B29" s="20"/>
      <c r="C29" s="5" t="s">
        <v>41</v>
      </c>
      <c r="D29" s="6" t="s">
        <v>30</v>
      </c>
      <c r="E29" s="11">
        <v>4.8809999999999999E-3</v>
      </c>
      <c r="F29" s="1"/>
      <c r="G29" s="1"/>
      <c r="H29" s="1"/>
      <c r="I29" s="1"/>
      <c r="J29" s="1"/>
      <c r="K29" s="1"/>
      <c r="L29" s="1"/>
      <c r="M29" s="1"/>
      <c r="N29" s="18"/>
    </row>
    <row r="30" spans="2:14" ht="15" customHeight="1" x14ac:dyDescent="0.25">
      <c r="B30" s="20"/>
      <c r="C30" s="5" t="s">
        <v>39</v>
      </c>
      <c r="D30" s="6" t="s">
        <v>30</v>
      </c>
      <c r="E30" s="11">
        <v>4.45E-3</v>
      </c>
      <c r="F30" s="1"/>
      <c r="G30" s="1"/>
      <c r="H30" s="1"/>
      <c r="I30" s="1"/>
      <c r="J30" s="1"/>
      <c r="K30" s="1"/>
      <c r="L30" s="1"/>
      <c r="M30" s="1"/>
      <c r="N30" s="18"/>
    </row>
    <row r="31" spans="2:14" ht="15" customHeight="1" x14ac:dyDescent="0.25">
      <c r="B31" s="20"/>
      <c r="C31" s="5" t="s">
        <v>44</v>
      </c>
      <c r="D31" s="6" t="s">
        <v>30</v>
      </c>
      <c r="E31" s="11">
        <v>1.5590000000000001E-3</v>
      </c>
      <c r="F31" s="1"/>
      <c r="G31" s="1"/>
      <c r="H31" s="1"/>
      <c r="I31" s="1"/>
      <c r="J31" s="1"/>
      <c r="K31" s="1"/>
      <c r="L31" s="1"/>
      <c r="M31" s="1"/>
      <c r="N31" s="18"/>
    </row>
    <row r="32" spans="2:14" ht="15" customHeight="1" x14ac:dyDescent="0.25">
      <c r="B32" s="20"/>
      <c r="C32" s="5" t="s">
        <v>111</v>
      </c>
      <c r="D32" s="6" t="s">
        <v>30</v>
      </c>
      <c r="E32" s="11">
        <v>1.2780000000000001E-3</v>
      </c>
      <c r="F32" s="1"/>
      <c r="G32" s="1"/>
      <c r="H32" s="1"/>
      <c r="I32" s="1"/>
      <c r="J32" s="1"/>
      <c r="K32" s="1"/>
      <c r="L32" s="1"/>
      <c r="M32" s="1"/>
      <c r="N32" s="18"/>
    </row>
    <row r="33" spans="2:14" ht="15" customHeight="1" x14ac:dyDescent="0.25">
      <c r="B33" s="20"/>
      <c r="C33" s="5" t="s">
        <v>38</v>
      </c>
      <c r="D33" s="6" t="s">
        <v>30</v>
      </c>
      <c r="E33" s="11">
        <v>7.6900000000000004E-4</v>
      </c>
      <c r="F33" s="1"/>
      <c r="G33" s="1"/>
      <c r="H33" s="1"/>
      <c r="I33" s="1"/>
      <c r="J33" s="1"/>
      <c r="K33" s="1"/>
      <c r="L33" s="1"/>
      <c r="M33" s="1"/>
      <c r="N33" s="18"/>
    </row>
    <row r="34" spans="2:14" ht="15.75" customHeight="1" x14ac:dyDescent="0.25">
      <c r="B34" s="20"/>
      <c r="C34" s="7" t="s">
        <v>50</v>
      </c>
      <c r="D34" s="8"/>
      <c r="E34" s="12">
        <v>0.70610099999999998</v>
      </c>
      <c r="F34" s="1"/>
      <c r="G34" s="1"/>
      <c r="H34" s="1"/>
      <c r="I34" s="1"/>
      <c r="J34" s="1"/>
      <c r="K34" s="1"/>
      <c r="L34" s="1"/>
      <c r="M34" s="1"/>
      <c r="N34" s="18"/>
    </row>
    <row r="35" spans="2:14" ht="15" customHeight="1" x14ac:dyDescent="0.25">
      <c r="B35" s="20"/>
      <c r="C35" s="5" t="s">
        <v>112</v>
      </c>
      <c r="D35" s="6" t="s">
        <v>54</v>
      </c>
      <c r="E35" s="11">
        <v>0.18054400000000001</v>
      </c>
      <c r="F35" s="1"/>
      <c r="G35" s="1"/>
      <c r="H35" s="1"/>
      <c r="I35" s="1"/>
      <c r="J35" s="1"/>
      <c r="K35" s="1"/>
      <c r="L35" s="1"/>
      <c r="M35" s="1"/>
      <c r="N35" s="18"/>
    </row>
    <row r="36" spans="2:14" ht="15" customHeight="1" x14ac:dyDescent="0.25">
      <c r="B36" s="20"/>
      <c r="C36" s="5" t="s">
        <v>55</v>
      </c>
      <c r="D36" s="6" t="s">
        <v>54</v>
      </c>
      <c r="E36" s="11">
        <v>2.7681999999999998E-2</v>
      </c>
      <c r="F36" s="1"/>
      <c r="G36" s="1"/>
      <c r="H36" s="1"/>
      <c r="I36" s="1"/>
      <c r="J36" s="1"/>
      <c r="K36" s="1"/>
      <c r="L36" s="1"/>
      <c r="M36" s="1"/>
      <c r="N36" s="18"/>
    </row>
    <row r="37" spans="2:14" ht="15" customHeight="1" x14ac:dyDescent="0.25">
      <c r="B37" s="20"/>
      <c r="C37" s="5" t="s">
        <v>58</v>
      </c>
      <c r="D37" s="6" t="s">
        <v>54</v>
      </c>
      <c r="E37" s="11">
        <v>2.6699999999999998E-4</v>
      </c>
      <c r="F37" s="1"/>
      <c r="G37" s="1"/>
      <c r="H37" s="1"/>
      <c r="I37" s="1"/>
      <c r="J37" s="1"/>
      <c r="K37" s="1"/>
      <c r="L37" s="1"/>
      <c r="M37" s="1"/>
      <c r="N37" s="18"/>
    </row>
    <row r="38" spans="2:14" ht="15.75" customHeight="1" x14ac:dyDescent="0.25">
      <c r="B38" s="20"/>
      <c r="C38" s="7" t="s">
        <v>60</v>
      </c>
      <c r="D38" s="8"/>
      <c r="E38" s="12">
        <v>0.20849300000000001</v>
      </c>
      <c r="F38" s="1"/>
      <c r="G38" s="1"/>
      <c r="H38" s="1"/>
      <c r="I38" s="1"/>
      <c r="J38" s="1"/>
      <c r="K38" s="1"/>
      <c r="L38" s="1"/>
      <c r="M38" s="1"/>
      <c r="N38" s="18"/>
    </row>
    <row r="39" spans="2:14" ht="15" customHeight="1" x14ac:dyDescent="0.25">
      <c r="B39" s="20"/>
      <c r="C39" s="5" t="s">
        <v>193</v>
      </c>
      <c r="D39" s="6" t="s">
        <v>54</v>
      </c>
      <c r="E39" s="34">
        <v>3.444E-3</v>
      </c>
      <c r="F39" s="1"/>
      <c r="G39" s="1"/>
      <c r="H39" s="1"/>
      <c r="I39" s="1"/>
      <c r="J39" s="1"/>
      <c r="K39" s="1"/>
      <c r="L39" s="1"/>
      <c r="M39" s="1"/>
      <c r="N39" s="18"/>
    </row>
    <row r="40" spans="2:14" ht="15.75" customHeight="1" x14ac:dyDescent="0.25">
      <c r="B40" s="20"/>
      <c r="C40" s="32" t="s">
        <v>207</v>
      </c>
      <c r="D40" s="33" t="s">
        <v>54</v>
      </c>
      <c r="E40" s="34">
        <v>7.5979999999999997E-3</v>
      </c>
      <c r="F40" s="1"/>
      <c r="G40" s="1"/>
      <c r="H40" s="1"/>
      <c r="I40" s="1"/>
      <c r="J40" s="1"/>
      <c r="K40" s="1"/>
      <c r="L40" s="1"/>
      <c r="M40" s="1"/>
      <c r="N40" s="18"/>
    </row>
    <row r="41" spans="2:14" ht="15" customHeight="1" x14ac:dyDescent="0.25">
      <c r="B41" s="20"/>
      <c r="C41" s="32" t="s">
        <v>219</v>
      </c>
      <c r="D41" s="33" t="s">
        <v>54</v>
      </c>
      <c r="E41" s="34">
        <v>3.666E-3</v>
      </c>
      <c r="F41" s="1"/>
      <c r="G41" s="1"/>
      <c r="H41" s="1"/>
      <c r="I41" s="1"/>
      <c r="J41" s="1"/>
      <c r="K41" s="1"/>
      <c r="L41" s="1"/>
      <c r="M41" s="1"/>
      <c r="N41" s="18"/>
    </row>
    <row r="42" spans="2:14" ht="15.75" customHeight="1" x14ac:dyDescent="0.25">
      <c r="B42" s="20"/>
      <c r="C42" s="32" t="s">
        <v>217</v>
      </c>
      <c r="D42" s="33" t="s">
        <v>54</v>
      </c>
      <c r="E42" s="34">
        <v>2.745E-3</v>
      </c>
      <c r="F42" s="1"/>
      <c r="G42" s="1"/>
      <c r="H42" s="1"/>
      <c r="I42" s="1"/>
      <c r="J42" s="1"/>
      <c r="K42" s="1"/>
      <c r="L42" s="1"/>
      <c r="M42" s="1"/>
      <c r="N42" s="18"/>
    </row>
    <row r="43" spans="2:14" ht="15" customHeight="1" x14ac:dyDescent="0.25">
      <c r="B43" s="20"/>
      <c r="C43" s="32" t="s">
        <v>199</v>
      </c>
      <c r="D43" s="33" t="s">
        <v>54</v>
      </c>
      <c r="E43" s="34">
        <v>2.715E-3</v>
      </c>
      <c r="F43" s="1"/>
      <c r="G43" s="1"/>
      <c r="H43" s="1"/>
      <c r="I43" s="1"/>
      <c r="J43" s="1"/>
      <c r="K43" s="1"/>
      <c r="L43" s="1"/>
      <c r="M43" s="1"/>
      <c r="N43" s="18"/>
    </row>
    <row r="44" spans="2:14" ht="15.75" customHeight="1" x14ac:dyDescent="0.25">
      <c r="B44" s="20"/>
      <c r="C44" s="32" t="s">
        <v>223</v>
      </c>
      <c r="D44" s="33" t="s">
        <v>54</v>
      </c>
      <c r="E44" s="34">
        <v>2.5579999999999999E-3</v>
      </c>
      <c r="F44" s="1"/>
      <c r="G44" s="1"/>
      <c r="H44" s="1"/>
      <c r="I44" s="1"/>
      <c r="J44" s="1"/>
      <c r="K44" s="1"/>
      <c r="L44" s="1"/>
      <c r="M44" s="1"/>
      <c r="N44" s="18"/>
    </row>
    <row r="45" spans="2:14" ht="15" customHeight="1" x14ac:dyDescent="0.25">
      <c r="B45" s="20"/>
      <c r="C45" s="32" t="s">
        <v>220</v>
      </c>
      <c r="D45" s="33" t="s">
        <v>54</v>
      </c>
      <c r="E45" s="34">
        <v>2.1919999999999999E-3</v>
      </c>
      <c r="F45" s="1"/>
      <c r="G45" s="1"/>
      <c r="H45" s="1"/>
      <c r="I45" s="1"/>
      <c r="J45" s="1"/>
      <c r="K45" s="1"/>
      <c r="L45" s="1"/>
      <c r="M45" s="1"/>
      <c r="N45" s="18"/>
    </row>
    <row r="46" spans="2:14" ht="15.75" customHeight="1" x14ac:dyDescent="0.25">
      <c r="B46" s="20"/>
      <c r="C46" s="32" t="s">
        <v>213</v>
      </c>
      <c r="D46" s="33" t="s">
        <v>54</v>
      </c>
      <c r="E46" s="34">
        <v>1.9350000000000001E-3</v>
      </c>
      <c r="F46" s="1"/>
      <c r="G46" s="1"/>
      <c r="H46" s="1"/>
      <c r="I46" s="1"/>
      <c r="J46" s="1"/>
      <c r="K46" s="1"/>
      <c r="L46" s="1"/>
      <c r="M46" s="1"/>
      <c r="N46" s="18"/>
    </row>
    <row r="47" spans="2:14" ht="15" customHeight="1" x14ac:dyDescent="0.25">
      <c r="B47" s="20"/>
      <c r="C47" s="32" t="s">
        <v>209</v>
      </c>
      <c r="D47" s="33" t="s">
        <v>54</v>
      </c>
      <c r="E47" s="34">
        <v>1.931E-3</v>
      </c>
      <c r="F47" s="1"/>
      <c r="G47" s="1"/>
      <c r="H47" s="1"/>
      <c r="I47" s="1"/>
      <c r="J47" s="1"/>
      <c r="K47" s="1"/>
      <c r="L47" s="1"/>
      <c r="M47" s="1"/>
      <c r="N47" s="18"/>
    </row>
    <row r="48" spans="2:14" ht="15" customHeight="1" x14ac:dyDescent="0.25">
      <c r="B48" s="20"/>
      <c r="C48" s="32" t="s">
        <v>210</v>
      </c>
      <c r="D48" s="33" t="s">
        <v>54</v>
      </c>
      <c r="E48" s="34">
        <v>1.6559999999999999E-3</v>
      </c>
      <c r="F48" s="1"/>
      <c r="G48" s="1"/>
      <c r="H48" s="1"/>
      <c r="I48" s="1"/>
      <c r="J48" s="1"/>
      <c r="K48" s="1"/>
      <c r="L48" s="1"/>
      <c r="M48" s="1"/>
      <c r="N48" s="18"/>
    </row>
    <row r="49" spans="2:14" ht="15" customHeight="1" x14ac:dyDescent="0.25">
      <c r="B49" s="20"/>
      <c r="C49" s="32" t="s">
        <v>211</v>
      </c>
      <c r="D49" s="33" t="s">
        <v>54</v>
      </c>
      <c r="E49" s="34">
        <v>1.3860000000000001E-3</v>
      </c>
      <c r="F49" s="1"/>
      <c r="G49" s="1"/>
      <c r="H49" s="1"/>
      <c r="I49" s="1"/>
      <c r="J49" s="1"/>
      <c r="K49" s="1"/>
      <c r="L49" s="1"/>
      <c r="M49" s="1"/>
      <c r="N49" s="18"/>
    </row>
    <row r="50" spans="2:14" s="30" customFormat="1" ht="15" customHeight="1" x14ac:dyDescent="0.25">
      <c r="B50" s="36"/>
      <c r="C50" s="32" t="s">
        <v>216</v>
      </c>
      <c r="D50" s="33" t="s">
        <v>54</v>
      </c>
      <c r="E50" s="34">
        <v>1.3760000000000001E-3</v>
      </c>
      <c r="F50" s="31"/>
      <c r="G50" s="31"/>
      <c r="H50" s="31"/>
      <c r="I50" s="31"/>
      <c r="J50" s="31"/>
      <c r="K50" s="31"/>
      <c r="L50" s="31"/>
      <c r="M50" s="31"/>
      <c r="N50" s="35"/>
    </row>
    <row r="51" spans="2:14" s="30" customFormat="1" ht="15" customHeight="1" x14ac:dyDescent="0.25">
      <c r="B51" s="36"/>
      <c r="C51" s="32" t="s">
        <v>222</v>
      </c>
      <c r="D51" s="33" t="s">
        <v>54</v>
      </c>
      <c r="E51" s="34">
        <v>1.2819999999999999E-3</v>
      </c>
      <c r="F51" s="31"/>
      <c r="G51" s="31"/>
      <c r="H51" s="31"/>
      <c r="I51" s="31"/>
      <c r="J51" s="31"/>
      <c r="K51" s="31"/>
      <c r="L51" s="31"/>
      <c r="M51" s="31"/>
      <c r="N51" s="35"/>
    </row>
    <row r="52" spans="2:14" s="30" customFormat="1" ht="15" customHeight="1" x14ac:dyDescent="0.25">
      <c r="B52" s="36"/>
      <c r="C52" s="32" t="s">
        <v>218</v>
      </c>
      <c r="D52" s="33" t="s">
        <v>54</v>
      </c>
      <c r="E52" s="34">
        <v>1.106E-3</v>
      </c>
      <c r="F52" s="31"/>
      <c r="G52" s="31"/>
      <c r="H52" s="31"/>
      <c r="I52" s="31"/>
      <c r="J52" s="31"/>
      <c r="K52" s="31"/>
      <c r="L52" s="31"/>
      <c r="M52" s="31"/>
      <c r="N52" s="35"/>
    </row>
    <row r="53" spans="2:14" s="30" customFormat="1" ht="15" customHeight="1" x14ac:dyDescent="0.25">
      <c r="B53" s="36"/>
      <c r="C53" s="32" t="s">
        <v>206</v>
      </c>
      <c r="D53" s="33" t="s">
        <v>54</v>
      </c>
      <c r="E53" s="34">
        <v>8.1499999999999997E-4</v>
      </c>
      <c r="F53" s="31"/>
      <c r="G53" s="31"/>
      <c r="H53" s="31"/>
      <c r="I53" s="31"/>
      <c r="J53" s="31"/>
      <c r="K53" s="31"/>
      <c r="L53" s="31"/>
      <c r="M53" s="31"/>
      <c r="N53" s="35"/>
    </row>
    <row r="54" spans="2:14" s="30" customFormat="1" ht="15" customHeight="1" x14ac:dyDescent="0.25">
      <c r="B54" s="36"/>
      <c r="C54" s="32" t="s">
        <v>212</v>
      </c>
      <c r="D54" s="33" t="s">
        <v>54</v>
      </c>
      <c r="E54" s="34">
        <v>5.5400000000000002E-4</v>
      </c>
      <c r="F54" s="31"/>
      <c r="G54" s="31"/>
      <c r="H54" s="31"/>
      <c r="I54" s="31"/>
      <c r="J54" s="31"/>
      <c r="K54" s="31"/>
      <c r="L54" s="31"/>
      <c r="M54" s="31"/>
      <c r="N54" s="35"/>
    </row>
    <row r="55" spans="2:14" s="30" customFormat="1" ht="15" customHeight="1" x14ac:dyDescent="0.25">
      <c r="B55" s="36"/>
      <c r="C55" s="32" t="s">
        <v>215</v>
      </c>
      <c r="D55" s="33" t="s">
        <v>54</v>
      </c>
      <c r="E55" s="34">
        <v>5.4699999999999996E-4</v>
      </c>
      <c r="F55" s="31"/>
      <c r="G55" s="31"/>
      <c r="H55" s="31"/>
      <c r="I55" s="31"/>
      <c r="J55" s="31"/>
      <c r="K55" s="31"/>
      <c r="L55" s="31"/>
      <c r="M55" s="31"/>
      <c r="N55" s="35"/>
    </row>
    <row r="56" spans="2:14" s="30" customFormat="1" ht="15" customHeight="1" x14ac:dyDescent="0.25">
      <c r="B56" s="36"/>
      <c r="C56" s="32" t="s">
        <v>214</v>
      </c>
      <c r="D56" s="33" t="s">
        <v>54</v>
      </c>
      <c r="E56" s="34">
        <v>2.7599999999999999E-4</v>
      </c>
      <c r="F56" s="31"/>
      <c r="G56" s="31"/>
      <c r="H56" s="31"/>
      <c r="I56" s="31"/>
      <c r="J56" s="31"/>
      <c r="K56" s="31"/>
      <c r="L56" s="31"/>
      <c r="M56" s="31"/>
      <c r="N56" s="35"/>
    </row>
    <row r="57" spans="2:14" s="30" customFormat="1" ht="15" customHeight="1" x14ac:dyDescent="0.25">
      <c r="B57" s="36"/>
      <c r="C57" s="32" t="s">
        <v>208</v>
      </c>
      <c r="D57" s="33" t="s">
        <v>54</v>
      </c>
      <c r="E57" s="34">
        <v>2.7500000000000002E-4</v>
      </c>
      <c r="F57" s="31"/>
      <c r="G57" s="31"/>
      <c r="H57" s="31"/>
      <c r="I57" s="31"/>
      <c r="J57" s="31"/>
      <c r="K57" s="31"/>
      <c r="L57" s="31"/>
      <c r="M57" s="31"/>
      <c r="N57" s="35"/>
    </row>
    <row r="58" spans="2:14" s="30" customFormat="1" ht="15" customHeight="1" x14ac:dyDescent="0.25">
      <c r="B58" s="36"/>
      <c r="C58" s="32" t="s">
        <v>221</v>
      </c>
      <c r="D58" s="33" t="s">
        <v>54</v>
      </c>
      <c r="E58" s="34">
        <v>1.2799999999999999E-4</v>
      </c>
      <c r="F58" s="31"/>
      <c r="G58" s="31"/>
      <c r="H58" s="31"/>
      <c r="I58" s="31"/>
      <c r="J58" s="31"/>
      <c r="K58" s="31"/>
      <c r="L58" s="31"/>
      <c r="M58" s="31"/>
      <c r="N58" s="35"/>
    </row>
    <row r="59" spans="2:14" s="30" customFormat="1" ht="15" customHeight="1" x14ac:dyDescent="0.25">
      <c r="B59" s="36"/>
      <c r="C59" s="32" t="s">
        <v>224</v>
      </c>
      <c r="D59" s="33" t="s">
        <v>54</v>
      </c>
      <c r="E59" s="39">
        <v>4.5000000000000003E-5</v>
      </c>
      <c r="F59" s="31"/>
      <c r="G59" s="31"/>
      <c r="H59" s="31"/>
      <c r="I59" s="31"/>
      <c r="J59" s="31"/>
      <c r="K59" s="31"/>
      <c r="L59" s="31"/>
      <c r="M59" s="31"/>
      <c r="N59" s="35"/>
    </row>
    <row r="60" spans="2:14" s="30" customFormat="1" ht="15" customHeight="1" x14ac:dyDescent="0.25">
      <c r="B60" s="36"/>
      <c r="C60" s="7" t="s">
        <v>61</v>
      </c>
      <c r="D60" s="8"/>
      <c r="E60" s="12">
        <v>3.823E-2</v>
      </c>
      <c r="F60" s="31"/>
      <c r="G60" s="31"/>
      <c r="H60" s="31"/>
      <c r="I60" s="31"/>
      <c r="J60" s="31"/>
      <c r="K60" s="31"/>
      <c r="L60" s="31"/>
      <c r="M60" s="31"/>
      <c r="N60" s="35"/>
    </row>
    <row r="61" spans="2:14" s="30" customFormat="1" ht="15" customHeight="1" x14ac:dyDescent="0.25">
      <c r="B61" s="36"/>
      <c r="C61" s="5" t="s">
        <v>9</v>
      </c>
      <c r="D61" s="6"/>
      <c r="E61" s="11">
        <v>2.8400000000000002E-4</v>
      </c>
      <c r="F61" s="31"/>
      <c r="G61" s="31"/>
      <c r="H61" s="31"/>
      <c r="I61" s="31"/>
      <c r="J61" s="31"/>
      <c r="K61" s="31"/>
      <c r="L61" s="31"/>
      <c r="M61" s="31"/>
      <c r="N61" s="35"/>
    </row>
    <row r="62" spans="2:14" s="30" customFormat="1" ht="15" customHeight="1" x14ac:dyDescent="0.25">
      <c r="B62" s="36"/>
      <c r="C62" s="7" t="s">
        <v>10</v>
      </c>
      <c r="D62" s="8"/>
      <c r="E62" s="12">
        <v>2.8400000000000002E-4</v>
      </c>
      <c r="F62" s="31"/>
      <c r="G62" s="31"/>
      <c r="H62" s="31"/>
      <c r="I62" s="31"/>
      <c r="J62" s="31"/>
      <c r="K62" s="31"/>
      <c r="L62" s="31"/>
      <c r="M62" s="31"/>
      <c r="N62" s="35"/>
    </row>
    <row r="63" spans="2:14" s="30" customFormat="1" ht="15" customHeight="1" x14ac:dyDescent="0.25">
      <c r="B63" s="36"/>
      <c r="C63" s="5" t="s">
        <v>34</v>
      </c>
      <c r="D63" s="6" t="s">
        <v>30</v>
      </c>
      <c r="E63" s="11">
        <v>9.7999999999999997E-5</v>
      </c>
      <c r="F63" s="31"/>
      <c r="G63" s="31"/>
      <c r="H63" s="31"/>
      <c r="I63" s="31"/>
      <c r="J63" s="31"/>
      <c r="K63" s="31"/>
      <c r="L63" s="31"/>
      <c r="M63" s="31"/>
      <c r="N63" s="35"/>
    </row>
    <row r="64" spans="2:14" ht="15" customHeight="1" x14ac:dyDescent="0.25">
      <c r="B64" s="20"/>
      <c r="C64" s="7" t="s">
        <v>62</v>
      </c>
      <c r="D64" s="8"/>
      <c r="E64" s="12">
        <v>9.7999999999999997E-5</v>
      </c>
      <c r="F64" s="1"/>
      <c r="G64" s="1"/>
      <c r="H64" s="1"/>
      <c r="I64" s="1"/>
      <c r="J64" s="1"/>
      <c r="K64" s="1"/>
      <c r="L64" s="1"/>
      <c r="M64" s="1"/>
      <c r="N64" s="18"/>
    </row>
    <row r="65" spans="2:14" ht="15" customHeight="1" x14ac:dyDescent="0.25">
      <c r="B65" s="20"/>
      <c r="C65" s="5"/>
      <c r="D65" s="6"/>
      <c r="E65" s="11"/>
      <c r="F65" s="1"/>
      <c r="G65" s="1"/>
      <c r="H65" s="1"/>
      <c r="I65" s="1"/>
      <c r="J65" s="1"/>
      <c r="K65" s="1"/>
      <c r="L65" s="1"/>
      <c r="M65" s="1"/>
      <c r="N65" s="18"/>
    </row>
    <row r="66" spans="2:14" ht="15" customHeight="1" x14ac:dyDescent="0.25">
      <c r="B66" s="20"/>
      <c r="C66" s="7" t="s">
        <v>11</v>
      </c>
      <c r="D66" s="8"/>
      <c r="E66" s="12">
        <v>3.4453999999999999E-2</v>
      </c>
      <c r="F66" s="1"/>
      <c r="G66" s="1"/>
      <c r="H66" s="1"/>
      <c r="I66" s="1"/>
      <c r="J66" s="1"/>
      <c r="K66" s="1"/>
      <c r="L66" s="1"/>
      <c r="M66" s="1"/>
      <c r="N66" s="18"/>
    </row>
    <row r="67" spans="2:14" ht="15" customHeight="1" x14ac:dyDescent="0.25">
      <c r="B67" s="20"/>
      <c r="C67" s="5"/>
      <c r="D67" s="6"/>
      <c r="E67" s="11"/>
      <c r="F67" s="1"/>
      <c r="G67" s="1"/>
      <c r="H67" s="1"/>
      <c r="I67" s="1"/>
      <c r="J67" s="1"/>
      <c r="K67" s="1"/>
      <c r="L67" s="1"/>
      <c r="M67" s="1"/>
      <c r="N67" s="18"/>
    </row>
    <row r="68" spans="2:14" ht="15" customHeight="1" x14ac:dyDescent="0.25">
      <c r="B68" s="20"/>
      <c r="C68" s="9" t="s">
        <v>12</v>
      </c>
      <c r="D68" s="10"/>
      <c r="E68" s="13">
        <v>1</v>
      </c>
      <c r="F68" s="1"/>
      <c r="G68" s="1"/>
      <c r="H68" s="1"/>
      <c r="I68" s="1"/>
      <c r="J68" s="1"/>
      <c r="K68" s="1"/>
      <c r="L68" s="1"/>
      <c r="M68" s="1"/>
      <c r="N68" s="18"/>
    </row>
    <row r="69" spans="2:14" ht="15" customHeight="1" x14ac:dyDescent="0.25">
      <c r="B69" s="20"/>
      <c r="C69" s="1"/>
      <c r="D69" s="1"/>
      <c r="E69" s="1"/>
      <c r="F69" s="1"/>
      <c r="G69" s="1"/>
      <c r="H69" s="1"/>
      <c r="I69" s="1"/>
      <c r="J69" s="1"/>
      <c r="K69" s="1"/>
      <c r="L69" s="1"/>
      <c r="M69" s="1"/>
      <c r="N69" s="18"/>
    </row>
    <row r="70" spans="2:14" ht="15" customHeight="1" thickBot="1" x14ac:dyDescent="0.3">
      <c r="B70" s="21"/>
      <c r="C70" s="22"/>
      <c r="D70" s="22"/>
      <c r="E70" s="22"/>
      <c r="F70" s="22"/>
      <c r="G70" s="22"/>
      <c r="H70" s="22"/>
      <c r="I70" s="22"/>
      <c r="J70" s="22"/>
      <c r="K70" s="22"/>
      <c r="L70" s="22"/>
      <c r="M70" s="22"/>
      <c r="N70" s="23"/>
    </row>
    <row r="71" spans="2:14" ht="15" customHeight="1" thickBot="1" x14ac:dyDescent="0.3"/>
    <row r="72" spans="2:14" ht="103.5" customHeight="1" thickBot="1" x14ac:dyDescent="0.3">
      <c r="B72" s="79" t="s">
        <v>160</v>
      </c>
      <c r="C72" s="80"/>
      <c r="D72" s="80"/>
      <c r="E72" s="80"/>
      <c r="F72" s="80"/>
      <c r="G72" s="80"/>
      <c r="H72" s="80"/>
      <c r="I72" s="80"/>
      <c r="J72" s="80"/>
      <c r="K72" s="80"/>
      <c r="L72" s="80"/>
      <c r="M72" s="80"/>
      <c r="N72" s="81"/>
    </row>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row r="89" ht="15" customHeight="1" x14ac:dyDescent="0.25"/>
    <row r="90" ht="15" customHeight="1" x14ac:dyDescent="0.25"/>
    <row r="91" ht="15" customHeight="1" x14ac:dyDescent="0.25"/>
    <row r="92" ht="15" customHeight="1" x14ac:dyDescent="0.25"/>
  </sheetData>
  <sortState ref="C40:E59">
    <sortCondition descending="1" ref="E39"/>
  </sortState>
  <mergeCells count="6">
    <mergeCell ref="B72:N72"/>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13B16B-D7B3-4E19-B3BD-80B3CB8F5FD1}">
  <dimension ref="B1:N57"/>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131</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132</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24</v>
      </c>
      <c r="D8" s="6" t="s">
        <v>23</v>
      </c>
      <c r="E8" s="11">
        <v>1.5415999999999999E-2</v>
      </c>
      <c r="F8" s="1"/>
      <c r="G8" s="24" t="s">
        <v>16</v>
      </c>
      <c r="H8" s="63">
        <f>100%-H9</f>
        <v>0.96345700000000001</v>
      </c>
      <c r="I8" s="1"/>
      <c r="J8" s="24" t="s">
        <v>13</v>
      </c>
      <c r="K8" s="24" t="s">
        <v>5</v>
      </c>
      <c r="L8" s="1"/>
      <c r="M8" s="1"/>
      <c r="N8" s="18"/>
    </row>
    <row r="9" spans="2:14" ht="15.75" customHeight="1" x14ac:dyDescent="0.25">
      <c r="B9" s="20"/>
      <c r="C9" s="7" t="s">
        <v>26</v>
      </c>
      <c r="D9" s="8"/>
      <c r="E9" s="12">
        <v>1.5415999999999999E-2</v>
      </c>
      <c r="F9" s="1"/>
      <c r="G9" s="24" t="s">
        <v>125</v>
      </c>
      <c r="H9" s="29">
        <v>3.6542999999999999E-2</v>
      </c>
      <c r="I9" s="1"/>
      <c r="J9" s="24" t="s">
        <v>11</v>
      </c>
      <c r="K9" s="29">
        <v>3.9101999999999998E-2</v>
      </c>
      <c r="L9" s="1"/>
      <c r="M9" s="1"/>
      <c r="N9" s="18"/>
    </row>
    <row r="10" spans="2:14" ht="15" customHeight="1" x14ac:dyDescent="0.25">
      <c r="B10" s="20"/>
      <c r="C10" s="5" t="s">
        <v>79</v>
      </c>
      <c r="D10" s="6" t="s">
        <v>23</v>
      </c>
      <c r="E10" s="11">
        <v>0.103199</v>
      </c>
      <c r="F10" s="1"/>
      <c r="G10" s="1"/>
      <c r="H10" s="1"/>
      <c r="I10" s="1"/>
      <c r="J10" s="24" t="s">
        <v>14</v>
      </c>
      <c r="K10" s="29">
        <v>0.20245099999999999</v>
      </c>
      <c r="L10" s="1"/>
      <c r="M10" s="1"/>
      <c r="N10" s="18"/>
    </row>
    <row r="11" spans="2:14" ht="15" customHeight="1" x14ac:dyDescent="0.25">
      <c r="B11" s="20"/>
      <c r="C11" s="5" t="s">
        <v>87</v>
      </c>
      <c r="D11" s="6" t="s">
        <v>23</v>
      </c>
      <c r="E11" s="11">
        <v>7.7336000000000002E-2</v>
      </c>
      <c r="F11" s="1"/>
      <c r="G11" s="1"/>
      <c r="H11" s="1"/>
      <c r="I11" s="1"/>
      <c r="J11" s="24" t="s">
        <v>63</v>
      </c>
      <c r="K11" s="29">
        <v>1.5415999999999999E-2</v>
      </c>
      <c r="L11" s="1"/>
      <c r="M11" s="1"/>
      <c r="N11" s="18"/>
    </row>
    <row r="12" spans="2:14" ht="15.75" customHeight="1" x14ac:dyDescent="0.25">
      <c r="B12" s="20"/>
      <c r="C12" s="7" t="s">
        <v>28</v>
      </c>
      <c r="D12" s="8"/>
      <c r="E12" s="12">
        <v>0.180535</v>
      </c>
      <c r="F12" s="1"/>
      <c r="G12" s="1"/>
      <c r="H12" s="1"/>
      <c r="I12" s="1"/>
      <c r="J12" s="24" t="s">
        <v>64</v>
      </c>
      <c r="K12" s="29">
        <v>0.36130699999999999</v>
      </c>
      <c r="L12" s="1"/>
      <c r="M12" s="1"/>
      <c r="N12" s="18"/>
    </row>
    <row r="13" spans="2:14" ht="15" customHeight="1" x14ac:dyDescent="0.25">
      <c r="B13" s="20"/>
      <c r="C13" s="5" t="s">
        <v>27</v>
      </c>
      <c r="D13" s="6" t="s">
        <v>30</v>
      </c>
      <c r="E13" s="11">
        <v>8.8974999999999999E-2</v>
      </c>
      <c r="F13" s="1"/>
      <c r="G13" s="1"/>
      <c r="H13" s="1"/>
      <c r="I13" s="1"/>
      <c r="J13" s="24" t="s">
        <v>65</v>
      </c>
      <c r="K13" s="29">
        <v>0.180535</v>
      </c>
      <c r="L13" s="1"/>
      <c r="M13" s="1"/>
      <c r="N13" s="18"/>
    </row>
    <row r="14" spans="2:14" ht="15" customHeight="1" x14ac:dyDescent="0.25">
      <c r="B14" s="20"/>
      <c r="C14" s="5" t="s">
        <v>32</v>
      </c>
      <c r="D14" s="6" t="s">
        <v>30</v>
      </c>
      <c r="E14" s="11">
        <v>8.4189E-2</v>
      </c>
      <c r="F14" s="1"/>
      <c r="G14" s="1"/>
      <c r="H14" s="1"/>
      <c r="I14" s="1"/>
      <c r="J14" s="24" t="s">
        <v>66</v>
      </c>
      <c r="K14" s="29">
        <v>8.8139999999999996E-2</v>
      </c>
      <c r="L14" s="1"/>
      <c r="M14" s="1"/>
      <c r="N14" s="18"/>
    </row>
    <row r="15" spans="2:14" ht="15" customHeight="1" x14ac:dyDescent="0.25">
      <c r="B15" s="20"/>
      <c r="C15" s="5" t="s">
        <v>118</v>
      </c>
      <c r="D15" s="6" t="s">
        <v>30</v>
      </c>
      <c r="E15" s="11">
        <v>5.0797000000000002E-2</v>
      </c>
      <c r="F15" s="1"/>
      <c r="G15" s="1"/>
      <c r="H15" s="1"/>
      <c r="I15" s="1"/>
      <c r="J15" s="24" t="s">
        <v>67</v>
      </c>
      <c r="K15" s="29">
        <v>0.112984</v>
      </c>
      <c r="L15" s="1"/>
      <c r="M15" s="1"/>
      <c r="N15" s="18"/>
    </row>
    <row r="16" spans="2:14" ht="15" customHeight="1" x14ac:dyDescent="0.25">
      <c r="B16" s="20"/>
      <c r="C16" s="5" t="s">
        <v>133</v>
      </c>
      <c r="D16" s="6" t="s">
        <v>30</v>
      </c>
      <c r="E16" s="11">
        <v>3.2132000000000001E-2</v>
      </c>
      <c r="F16" s="1"/>
      <c r="G16" s="1"/>
      <c r="H16" s="1"/>
      <c r="I16" s="1"/>
      <c r="J16" s="24"/>
      <c r="K16" s="29"/>
      <c r="L16" s="1"/>
      <c r="M16" s="1"/>
      <c r="N16" s="18"/>
    </row>
    <row r="17" spans="2:14" ht="15" customHeight="1" x14ac:dyDescent="0.25">
      <c r="B17" s="20"/>
      <c r="C17" s="5" t="s">
        <v>29</v>
      </c>
      <c r="D17" s="6" t="s">
        <v>30</v>
      </c>
      <c r="E17" s="11">
        <v>3.1203000000000002E-2</v>
      </c>
      <c r="F17" s="1"/>
      <c r="G17" s="1"/>
      <c r="H17" s="1"/>
      <c r="I17" s="1"/>
      <c r="J17" s="1"/>
      <c r="K17" s="1"/>
      <c r="L17" s="1"/>
      <c r="M17" s="1"/>
      <c r="N17" s="18"/>
    </row>
    <row r="18" spans="2:14" ht="15" customHeight="1" x14ac:dyDescent="0.25">
      <c r="B18" s="20"/>
      <c r="C18" s="5" t="s">
        <v>116</v>
      </c>
      <c r="D18" s="6" t="s">
        <v>117</v>
      </c>
      <c r="E18" s="11">
        <v>2.5975000000000002E-2</v>
      </c>
      <c r="F18" s="1"/>
      <c r="G18" s="1"/>
      <c r="H18" s="1"/>
      <c r="I18" s="1"/>
      <c r="J18" s="1"/>
      <c r="K18" s="1"/>
      <c r="L18" s="1"/>
      <c r="M18" s="1"/>
      <c r="N18" s="18"/>
    </row>
    <row r="19" spans="2:14" ht="15" customHeight="1" x14ac:dyDescent="0.25">
      <c r="B19" s="20"/>
      <c r="C19" s="5" t="s">
        <v>134</v>
      </c>
      <c r="D19" s="6" t="s">
        <v>30</v>
      </c>
      <c r="E19" s="11">
        <v>2.1635000000000001E-2</v>
      </c>
      <c r="F19" s="1"/>
      <c r="G19" s="1"/>
      <c r="H19" s="1"/>
      <c r="I19" s="1"/>
      <c r="J19" s="1"/>
      <c r="K19" s="1"/>
      <c r="L19" s="1"/>
      <c r="M19" s="1"/>
      <c r="N19" s="18"/>
    </row>
    <row r="20" spans="2:14" ht="15" customHeight="1" x14ac:dyDescent="0.25">
      <c r="B20" s="20"/>
      <c r="C20" s="5" t="s">
        <v>46</v>
      </c>
      <c r="D20" s="6" t="s">
        <v>30</v>
      </c>
      <c r="E20" s="11">
        <v>1.0629E-2</v>
      </c>
      <c r="F20" s="1"/>
      <c r="G20" s="1"/>
      <c r="H20" s="1"/>
      <c r="I20" s="1"/>
      <c r="J20" s="1"/>
      <c r="K20" s="1"/>
      <c r="L20" s="1"/>
      <c r="M20" s="1"/>
      <c r="N20" s="18"/>
    </row>
    <row r="21" spans="2:14" ht="15" customHeight="1" x14ac:dyDescent="0.25">
      <c r="B21" s="20"/>
      <c r="C21" s="5" t="s">
        <v>120</v>
      </c>
      <c r="D21" s="6" t="s">
        <v>117</v>
      </c>
      <c r="E21" s="11">
        <v>1.0567999999999999E-2</v>
      </c>
      <c r="F21" s="1"/>
      <c r="G21" s="1"/>
      <c r="H21" s="1"/>
      <c r="I21" s="1"/>
      <c r="J21" s="1"/>
      <c r="K21" s="1"/>
      <c r="L21" s="1"/>
      <c r="M21" s="1"/>
      <c r="N21" s="18"/>
    </row>
    <row r="22" spans="2:14" ht="15" customHeight="1" x14ac:dyDescent="0.25">
      <c r="B22" s="20"/>
      <c r="C22" s="5" t="s">
        <v>35</v>
      </c>
      <c r="D22" s="6" t="s">
        <v>30</v>
      </c>
      <c r="E22" s="11">
        <v>5.2040000000000003E-3</v>
      </c>
      <c r="F22" s="1"/>
      <c r="G22" s="1"/>
      <c r="H22" s="1"/>
      <c r="I22" s="1"/>
      <c r="J22" s="1"/>
      <c r="K22" s="1"/>
      <c r="L22" s="1"/>
      <c r="M22" s="1"/>
      <c r="N22" s="18"/>
    </row>
    <row r="23" spans="2:14" ht="15.75" customHeight="1" x14ac:dyDescent="0.25">
      <c r="B23" s="20"/>
      <c r="C23" s="7" t="s">
        <v>50</v>
      </c>
      <c r="D23" s="8"/>
      <c r="E23" s="12">
        <v>0.36130699999999999</v>
      </c>
      <c r="F23" s="1"/>
      <c r="G23" s="1"/>
      <c r="H23" s="1"/>
      <c r="I23" s="1"/>
      <c r="J23" s="1"/>
      <c r="K23" s="1"/>
      <c r="L23" s="1"/>
      <c r="M23" s="1"/>
      <c r="N23" s="18"/>
    </row>
    <row r="24" spans="2:14" ht="15" customHeight="1" x14ac:dyDescent="0.25">
      <c r="B24" s="20"/>
      <c r="C24" s="5" t="s">
        <v>51</v>
      </c>
      <c r="D24" s="6" t="s">
        <v>23</v>
      </c>
      <c r="E24" s="11">
        <v>7.2578000000000004E-2</v>
      </c>
      <c r="F24" s="1"/>
      <c r="G24" s="87" t="s">
        <v>18</v>
      </c>
      <c r="H24" s="88"/>
      <c r="I24" s="88"/>
      <c r="J24" s="88"/>
      <c r="K24" s="88"/>
      <c r="L24" s="26">
        <v>1.1399999999999999</v>
      </c>
      <c r="M24" s="27"/>
      <c r="N24" s="28"/>
    </row>
    <row r="25" spans="2:14" ht="15" customHeight="1" x14ac:dyDescent="0.25">
      <c r="B25" s="20"/>
      <c r="C25" s="5" t="s">
        <v>24</v>
      </c>
      <c r="D25" s="6" t="s">
        <v>23</v>
      </c>
      <c r="E25" s="11">
        <v>1.5561999999999999E-2</v>
      </c>
      <c r="F25" s="1"/>
      <c r="G25" s="1"/>
      <c r="H25" s="1"/>
      <c r="I25" s="1"/>
      <c r="J25" s="1"/>
      <c r="K25" s="1"/>
      <c r="L25" s="1"/>
      <c r="M25" s="1"/>
      <c r="N25" s="18"/>
    </row>
    <row r="26" spans="2:14" ht="15.75" customHeight="1" x14ac:dyDescent="0.25">
      <c r="B26" s="20"/>
      <c r="C26" s="7" t="s">
        <v>52</v>
      </c>
      <c r="D26" s="8"/>
      <c r="E26" s="12">
        <v>8.8139999999999996E-2</v>
      </c>
      <c r="F26" s="1"/>
      <c r="G26" s="87" t="s">
        <v>19</v>
      </c>
      <c r="H26" s="88"/>
      <c r="I26" s="88"/>
      <c r="J26" s="88"/>
      <c r="K26" s="88"/>
      <c r="L26" s="88"/>
      <c r="M26" s="88"/>
      <c r="N26" s="89"/>
    </row>
    <row r="27" spans="2:14" ht="15" customHeight="1" x14ac:dyDescent="0.25">
      <c r="B27" s="20"/>
      <c r="C27" s="5" t="s">
        <v>72</v>
      </c>
      <c r="D27" s="6" t="s">
        <v>54</v>
      </c>
      <c r="E27" s="11">
        <v>0.112984</v>
      </c>
      <c r="F27" s="1"/>
      <c r="G27" s="1"/>
      <c r="H27" s="1"/>
      <c r="I27" s="1"/>
      <c r="J27" s="1"/>
      <c r="K27" s="1"/>
      <c r="L27" s="1"/>
      <c r="M27" s="1"/>
      <c r="N27" s="18"/>
    </row>
    <row r="28" spans="2:14" ht="15.75" customHeight="1" x14ac:dyDescent="0.25">
      <c r="B28" s="20"/>
      <c r="C28" s="7" t="s">
        <v>60</v>
      </c>
      <c r="D28" s="8"/>
      <c r="E28" s="12">
        <v>0.112984</v>
      </c>
      <c r="F28" s="1"/>
      <c r="G28" s="1"/>
      <c r="H28" s="1"/>
      <c r="I28" s="1"/>
      <c r="J28" s="1"/>
      <c r="K28" s="1"/>
      <c r="L28" s="1"/>
      <c r="M28" s="1"/>
      <c r="N28" s="18"/>
    </row>
    <row r="29" spans="2:14" ht="15" customHeight="1" x14ac:dyDescent="0.25">
      <c r="B29" s="20"/>
      <c r="C29" s="5" t="s">
        <v>9</v>
      </c>
      <c r="D29" s="6"/>
      <c r="E29" s="11">
        <v>0.20245099999999999</v>
      </c>
      <c r="F29" s="1"/>
      <c r="G29" s="1"/>
      <c r="H29" s="1"/>
      <c r="I29" s="1"/>
      <c r="J29" s="1"/>
      <c r="K29" s="1"/>
      <c r="L29" s="1"/>
      <c r="M29" s="1"/>
      <c r="N29" s="18"/>
    </row>
    <row r="30" spans="2:14" ht="15.75" customHeight="1" x14ac:dyDescent="0.25">
      <c r="B30" s="20"/>
      <c r="C30" s="7" t="s">
        <v>10</v>
      </c>
      <c r="D30" s="8"/>
      <c r="E30" s="12">
        <v>0.20245099999999999</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11</v>
      </c>
      <c r="D32" s="8"/>
      <c r="E32" s="12">
        <v>3.9101999999999998E-2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9" t="s">
        <v>12</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37" t="s">
        <v>135</v>
      </c>
      <c r="D36" s="37"/>
      <c r="E36" s="38">
        <v>0.46158700000000003</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x14ac:dyDescent="0.25">
      <c r="B43" s="20"/>
      <c r="C43" s="1"/>
      <c r="D43" s="1"/>
      <c r="E43" s="1"/>
      <c r="F43" s="1"/>
      <c r="G43" s="1"/>
      <c r="H43" s="1"/>
      <c r="I43" s="1"/>
      <c r="J43" s="1"/>
      <c r="K43" s="1"/>
      <c r="L43" s="1"/>
      <c r="M43" s="1"/>
      <c r="N43" s="18"/>
    </row>
    <row r="44" spans="2:14" ht="15" customHeight="1" thickBot="1" x14ac:dyDescent="0.3">
      <c r="B44" s="21"/>
      <c r="C44" s="22"/>
      <c r="D44" s="22"/>
      <c r="E44" s="22"/>
      <c r="F44" s="22"/>
      <c r="G44" s="22"/>
      <c r="H44" s="22"/>
      <c r="I44" s="22"/>
      <c r="J44" s="22"/>
      <c r="K44" s="22"/>
      <c r="L44" s="22"/>
      <c r="M44" s="22"/>
      <c r="N44" s="23"/>
    </row>
    <row r="45" spans="2:14" ht="15" customHeight="1" thickBot="1" x14ac:dyDescent="0.3"/>
    <row r="46" spans="2:14" ht="122.25" customHeight="1" thickBot="1" x14ac:dyDescent="0.3">
      <c r="B46" s="79" t="s">
        <v>160</v>
      </c>
      <c r="C46" s="80"/>
      <c r="D46" s="80"/>
      <c r="E46" s="80"/>
      <c r="F46" s="80"/>
      <c r="G46" s="80"/>
      <c r="H46" s="80"/>
      <c r="I46" s="80"/>
      <c r="J46" s="80"/>
      <c r="K46" s="80"/>
      <c r="L46" s="80"/>
      <c r="M46" s="80"/>
      <c r="N46" s="81"/>
    </row>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row r="53" ht="15" customHeight="1" x14ac:dyDescent="0.25"/>
    <row r="54" ht="15" customHeight="1" x14ac:dyDescent="0.25"/>
    <row r="55" ht="15" customHeight="1" x14ac:dyDescent="0.25"/>
    <row r="56" ht="15" customHeight="1" x14ac:dyDescent="0.25"/>
    <row r="57" ht="15" customHeight="1" x14ac:dyDescent="0.25"/>
  </sheetData>
  <mergeCells count="6">
    <mergeCell ref="B46:N46"/>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6D767-F12B-4469-AF94-7394A5934683}">
  <dimension ref="B1:N52"/>
  <sheetViews>
    <sheetView showGridLines="0" zoomScale="75" zoomScaleNormal="75" workbookViewId="0"/>
  </sheetViews>
  <sheetFormatPr defaultRowHeight="15" x14ac:dyDescent="0.25"/>
  <cols>
    <col min="1" max="1" width="2.85546875" customWidth="1"/>
    <col min="2" max="2" width="3.85546875" customWidth="1"/>
    <col min="3" max="3" width="56.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113</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114</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44" t="s">
        <v>229</v>
      </c>
      <c r="D8" s="6" t="s">
        <v>115</v>
      </c>
      <c r="E8" s="11">
        <v>5.9935000000000002E-2</v>
      </c>
      <c r="F8" s="1"/>
      <c r="G8" s="24" t="s">
        <v>16</v>
      </c>
      <c r="H8" s="29">
        <f>73.6303%-E8</f>
        <v>0.67636800000000008</v>
      </c>
      <c r="I8" s="1"/>
      <c r="J8" s="24" t="s">
        <v>13</v>
      </c>
      <c r="K8" s="24" t="s">
        <v>5</v>
      </c>
      <c r="L8" s="1"/>
      <c r="M8" s="1"/>
      <c r="N8" s="18"/>
    </row>
    <row r="9" spans="2:14" ht="15" customHeight="1" x14ac:dyDescent="0.25">
      <c r="B9" s="20"/>
      <c r="C9" s="5" t="s">
        <v>116</v>
      </c>
      <c r="D9" s="6" t="s">
        <v>117</v>
      </c>
      <c r="E9" s="11">
        <v>5.9437999999999998E-2</v>
      </c>
      <c r="F9" s="1"/>
      <c r="G9" s="24" t="s">
        <v>125</v>
      </c>
      <c r="H9" s="29">
        <v>0.186026</v>
      </c>
      <c r="I9" s="1"/>
      <c r="J9" s="24" t="s">
        <v>11</v>
      </c>
      <c r="K9" s="29">
        <v>1.6754999999999999E-2</v>
      </c>
      <c r="L9" s="1"/>
      <c r="M9" s="1"/>
      <c r="N9" s="18"/>
    </row>
    <row r="10" spans="2:14" ht="15" customHeight="1" x14ac:dyDescent="0.25">
      <c r="B10" s="20"/>
      <c r="C10" s="5" t="s">
        <v>42</v>
      </c>
      <c r="D10" s="6" t="s">
        <v>30</v>
      </c>
      <c r="E10" s="11">
        <v>5.9083999999999998E-2</v>
      </c>
      <c r="F10" s="1"/>
      <c r="G10" s="24" t="s">
        <v>126</v>
      </c>
      <c r="H10" s="29">
        <f>4.7678%+E8</f>
        <v>0.10761300000000001</v>
      </c>
      <c r="I10" s="1"/>
      <c r="J10" s="24" t="s">
        <v>14</v>
      </c>
      <c r="K10" s="29">
        <v>0.26314700000000002</v>
      </c>
      <c r="L10" s="1"/>
      <c r="M10" s="1"/>
      <c r="N10" s="18"/>
    </row>
    <row r="11" spans="2:14" ht="15" customHeight="1" x14ac:dyDescent="0.25">
      <c r="B11" s="20"/>
      <c r="C11" s="5" t="s">
        <v>118</v>
      </c>
      <c r="D11" s="6" t="s">
        <v>30</v>
      </c>
      <c r="E11" s="11">
        <v>5.8118999999999997E-2</v>
      </c>
      <c r="F11" s="1"/>
      <c r="G11" s="24" t="s">
        <v>127</v>
      </c>
      <c r="H11" s="29">
        <v>2.9992999999999999E-2</v>
      </c>
      <c r="I11" s="1"/>
      <c r="J11" s="24" t="s">
        <v>64</v>
      </c>
      <c r="K11" s="29">
        <v>0.51632</v>
      </c>
      <c r="L11" s="1"/>
      <c r="M11" s="1"/>
      <c r="N11" s="18"/>
    </row>
    <row r="12" spans="2:14" ht="15" customHeight="1" x14ac:dyDescent="0.25">
      <c r="B12" s="20"/>
      <c r="C12" s="5" t="s">
        <v>38</v>
      </c>
      <c r="D12" s="6" t="s">
        <v>30</v>
      </c>
      <c r="E12" s="11">
        <v>5.6536000000000003E-2</v>
      </c>
      <c r="F12" s="1"/>
      <c r="G12" s="1"/>
      <c r="H12" s="1"/>
      <c r="I12" s="1"/>
      <c r="J12" s="24" t="s">
        <v>67</v>
      </c>
      <c r="K12" s="29">
        <v>0.133686</v>
      </c>
      <c r="L12" s="1"/>
      <c r="M12" s="1"/>
      <c r="N12" s="18"/>
    </row>
    <row r="13" spans="2:14" ht="15" customHeight="1" x14ac:dyDescent="0.25">
      <c r="B13" s="20"/>
      <c r="C13" s="5" t="s">
        <v>119</v>
      </c>
      <c r="D13" s="6" t="s">
        <v>117</v>
      </c>
      <c r="E13" s="11">
        <v>5.4511999999999998E-2</v>
      </c>
      <c r="F13" s="1"/>
      <c r="G13" s="1"/>
      <c r="H13" s="1"/>
      <c r="I13" s="1"/>
      <c r="J13" s="24" t="s">
        <v>84</v>
      </c>
      <c r="K13" s="29">
        <v>7.0092000000000002E-2</v>
      </c>
      <c r="L13" s="1"/>
      <c r="M13" s="1"/>
      <c r="N13" s="18"/>
    </row>
    <row r="14" spans="2:14" ht="15" customHeight="1" x14ac:dyDescent="0.25">
      <c r="B14" s="20"/>
      <c r="C14" s="5" t="s">
        <v>120</v>
      </c>
      <c r="D14" s="6" t="s">
        <v>117</v>
      </c>
      <c r="E14" s="11">
        <v>4.8363000000000003E-2</v>
      </c>
      <c r="F14" s="1"/>
      <c r="G14" s="1"/>
      <c r="H14" s="1"/>
      <c r="I14" s="1"/>
      <c r="J14" s="1"/>
      <c r="K14" s="1"/>
      <c r="L14" s="1"/>
      <c r="M14" s="1"/>
      <c r="N14" s="18"/>
    </row>
    <row r="15" spans="2:14" ht="15" customHeight="1" x14ac:dyDescent="0.25">
      <c r="B15" s="20"/>
      <c r="C15" s="45" t="s">
        <v>230</v>
      </c>
      <c r="D15" s="6" t="s">
        <v>121</v>
      </c>
      <c r="E15" s="11">
        <v>4.1519E-2</v>
      </c>
      <c r="F15" s="1"/>
      <c r="G15" s="1"/>
      <c r="H15" s="1"/>
      <c r="I15" s="1"/>
      <c r="J15" s="1"/>
      <c r="K15" s="1"/>
      <c r="L15" s="1"/>
      <c r="M15" s="1"/>
      <c r="N15" s="18"/>
    </row>
    <row r="16" spans="2:14" ht="15" customHeight="1" x14ac:dyDescent="0.25">
      <c r="B16" s="20"/>
      <c r="C16" s="5" t="s">
        <v>122</v>
      </c>
      <c r="D16" s="6" t="s">
        <v>123</v>
      </c>
      <c r="E16" s="11">
        <v>2.9992999999999999E-2</v>
      </c>
      <c r="F16" s="1"/>
      <c r="G16" s="1"/>
      <c r="H16" s="1"/>
      <c r="I16" s="1"/>
      <c r="J16" s="1"/>
      <c r="K16" s="1"/>
      <c r="L16" s="1"/>
      <c r="M16" s="1"/>
      <c r="N16" s="18"/>
    </row>
    <row r="17" spans="2:14" ht="15" customHeight="1" x14ac:dyDescent="0.25">
      <c r="B17" s="20"/>
      <c r="C17" s="51" t="s">
        <v>231</v>
      </c>
      <c r="D17" s="6" t="s">
        <v>117</v>
      </c>
      <c r="E17" s="11">
        <v>2.3713000000000001E-2</v>
      </c>
      <c r="F17" s="1"/>
      <c r="G17" s="1"/>
      <c r="H17" s="1"/>
      <c r="I17" s="1"/>
      <c r="J17" s="1"/>
      <c r="K17" s="1"/>
      <c r="L17" s="1"/>
      <c r="M17" s="1"/>
      <c r="N17" s="18"/>
    </row>
    <row r="18" spans="2:14" ht="15" customHeight="1" x14ac:dyDescent="0.25">
      <c r="B18" s="20"/>
      <c r="C18" s="5" t="s">
        <v>31</v>
      </c>
      <c r="D18" s="6" t="s">
        <v>30</v>
      </c>
      <c r="E18" s="11">
        <v>1.2668E-2</v>
      </c>
      <c r="F18" s="1"/>
      <c r="G18" s="1"/>
      <c r="H18" s="1"/>
      <c r="I18" s="1"/>
      <c r="J18" s="1"/>
      <c r="K18" s="1"/>
      <c r="L18" s="1"/>
      <c r="M18" s="1"/>
      <c r="N18" s="18"/>
    </row>
    <row r="19" spans="2:14" ht="15" customHeight="1" x14ac:dyDescent="0.25">
      <c r="B19" s="20"/>
      <c r="C19" s="5" t="s">
        <v>27</v>
      </c>
      <c r="D19" s="6" t="s">
        <v>30</v>
      </c>
      <c r="E19" s="11">
        <v>6.2810000000000001E-3</v>
      </c>
      <c r="F19" s="1"/>
      <c r="G19" s="1"/>
      <c r="H19" s="1"/>
      <c r="I19" s="1"/>
      <c r="J19" s="1"/>
      <c r="K19" s="1"/>
      <c r="L19" s="1"/>
      <c r="M19" s="1"/>
      <c r="N19" s="18"/>
    </row>
    <row r="20" spans="2:14" ht="15" customHeight="1" x14ac:dyDescent="0.25">
      <c r="B20" s="20"/>
      <c r="C20" s="5" t="s">
        <v>124</v>
      </c>
      <c r="D20" s="6" t="s">
        <v>121</v>
      </c>
      <c r="E20" s="11">
        <v>6.1590000000000004E-3</v>
      </c>
      <c r="F20" s="1"/>
      <c r="G20" s="1"/>
      <c r="H20" s="1"/>
      <c r="I20" s="1"/>
      <c r="J20" s="1"/>
      <c r="K20" s="1"/>
      <c r="L20" s="1"/>
      <c r="M20" s="1"/>
      <c r="N20" s="18"/>
    </row>
    <row r="21" spans="2:14" ht="15.75" customHeight="1" x14ac:dyDescent="0.25">
      <c r="B21" s="20"/>
      <c r="C21" s="7" t="s">
        <v>50</v>
      </c>
      <c r="D21" s="8"/>
      <c r="E21" s="12">
        <v>0.51632</v>
      </c>
      <c r="F21" s="1"/>
      <c r="G21" s="1"/>
      <c r="H21" s="1"/>
      <c r="I21" s="1"/>
      <c r="J21" s="1"/>
      <c r="K21" s="1"/>
      <c r="L21" s="1"/>
      <c r="M21" s="1"/>
      <c r="N21" s="18"/>
    </row>
    <row r="22" spans="2:14" ht="15" customHeight="1" x14ac:dyDescent="0.25">
      <c r="B22" s="20"/>
      <c r="C22" s="5" t="s">
        <v>80</v>
      </c>
      <c r="D22" s="6" t="s">
        <v>54</v>
      </c>
      <c r="E22" s="11">
        <v>0.12195599999999999</v>
      </c>
      <c r="F22" s="1"/>
      <c r="G22" s="1"/>
      <c r="H22" s="1"/>
      <c r="I22" s="1"/>
      <c r="J22" s="1"/>
      <c r="K22" s="1"/>
      <c r="L22" s="1"/>
      <c r="M22" s="1"/>
      <c r="N22" s="18"/>
    </row>
    <row r="23" spans="2:14" ht="15" customHeight="1" x14ac:dyDescent="0.25">
      <c r="B23" s="20"/>
      <c r="C23" s="5" t="s">
        <v>112</v>
      </c>
      <c r="D23" s="6" t="s">
        <v>54</v>
      </c>
      <c r="E23" s="11">
        <v>1.1730000000000001E-2</v>
      </c>
      <c r="F23" s="1"/>
      <c r="G23" s="1"/>
      <c r="H23" s="1"/>
      <c r="I23" s="1"/>
      <c r="J23" s="1"/>
      <c r="K23" s="1"/>
      <c r="L23" s="1"/>
      <c r="M23" s="1"/>
      <c r="N23" s="18"/>
    </row>
    <row r="24" spans="2:14" ht="15.75" customHeight="1" x14ac:dyDescent="0.25">
      <c r="B24" s="20"/>
      <c r="C24" s="7" t="s">
        <v>60</v>
      </c>
      <c r="D24" s="8"/>
      <c r="E24" s="12">
        <v>0.133686</v>
      </c>
      <c r="F24" s="1"/>
      <c r="G24" s="87" t="s">
        <v>18</v>
      </c>
      <c r="H24" s="88"/>
      <c r="I24" s="88"/>
      <c r="J24" s="88"/>
      <c r="K24" s="88"/>
      <c r="L24" s="26">
        <v>2.96</v>
      </c>
      <c r="M24" s="27"/>
      <c r="N24" s="28"/>
    </row>
    <row r="25" spans="2:14" ht="15" customHeight="1" x14ac:dyDescent="0.25">
      <c r="B25" s="20"/>
      <c r="C25" s="43" t="s">
        <v>228</v>
      </c>
      <c r="D25" s="6" t="s">
        <v>82</v>
      </c>
      <c r="E25" s="11">
        <v>7.0092000000000002E-2</v>
      </c>
      <c r="F25" s="1"/>
      <c r="G25" s="1"/>
      <c r="H25" s="1"/>
      <c r="I25" s="1"/>
      <c r="J25" s="1"/>
      <c r="K25" s="1"/>
      <c r="L25" s="1"/>
      <c r="M25" s="1"/>
      <c r="N25" s="18"/>
    </row>
    <row r="26" spans="2:14" ht="15.75" customHeight="1" x14ac:dyDescent="0.25">
      <c r="B26" s="20"/>
      <c r="C26" s="7" t="s">
        <v>83</v>
      </c>
      <c r="D26" s="8"/>
      <c r="E26" s="12">
        <v>7.0092000000000002E-2</v>
      </c>
      <c r="F26" s="1"/>
      <c r="G26" s="87" t="s">
        <v>19</v>
      </c>
      <c r="H26" s="88"/>
      <c r="I26" s="88"/>
      <c r="J26" s="88"/>
      <c r="K26" s="88"/>
      <c r="L26" s="88"/>
      <c r="M26" s="88"/>
      <c r="N26" s="89"/>
    </row>
    <row r="27" spans="2:14" ht="15" customHeight="1" x14ac:dyDescent="0.25">
      <c r="B27" s="20"/>
      <c r="C27" s="5" t="s">
        <v>9</v>
      </c>
      <c r="D27" s="6"/>
      <c r="E27" s="11">
        <v>0.26314700000000002</v>
      </c>
      <c r="F27" s="1"/>
      <c r="G27" s="1"/>
      <c r="H27" s="1"/>
      <c r="I27" s="1"/>
      <c r="J27" s="1"/>
      <c r="K27" s="1"/>
      <c r="L27" s="1"/>
      <c r="M27" s="1"/>
      <c r="N27" s="18"/>
    </row>
    <row r="28" spans="2:14" ht="15.75" customHeight="1" x14ac:dyDescent="0.25">
      <c r="B28" s="20"/>
      <c r="C28" s="7" t="s">
        <v>10</v>
      </c>
      <c r="D28" s="8"/>
      <c r="E28" s="12">
        <v>0.26314700000000002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75" customHeight="1" x14ac:dyDescent="0.25">
      <c r="B30" s="20"/>
      <c r="C30" s="7" t="s">
        <v>11</v>
      </c>
      <c r="D30" s="8"/>
      <c r="E30" s="12">
        <v>1.6754999999999999E-2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 customHeight="1" x14ac:dyDescent="0.25">
      <c r="B32" s="20"/>
      <c r="C32" s="9" t="s">
        <v>12</v>
      </c>
      <c r="D32" s="10"/>
      <c r="E32" s="13">
        <v>1</v>
      </c>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41" t="s">
        <v>225</v>
      </c>
      <c r="D34" s="1"/>
      <c r="E34" s="1"/>
      <c r="F34" s="1"/>
      <c r="G34" s="1"/>
      <c r="H34" s="1"/>
      <c r="I34" s="1"/>
      <c r="J34" s="1"/>
      <c r="K34" s="1"/>
      <c r="L34" s="1"/>
      <c r="M34" s="1"/>
      <c r="N34" s="18"/>
    </row>
    <row r="35" spans="2:14" ht="15" customHeight="1" x14ac:dyDescent="0.25">
      <c r="B35" s="20"/>
      <c r="C35" s="41" t="s">
        <v>226</v>
      </c>
      <c r="D35" s="1"/>
      <c r="E35" s="1"/>
      <c r="F35" s="1"/>
      <c r="G35" s="1"/>
      <c r="H35" s="1"/>
      <c r="I35" s="1"/>
      <c r="J35" s="1"/>
      <c r="K35" s="1"/>
      <c r="L35" s="1"/>
      <c r="M35" s="1"/>
      <c r="N35" s="18"/>
    </row>
    <row r="36" spans="2:14" ht="15" customHeight="1" x14ac:dyDescent="0.25">
      <c r="B36" s="20"/>
      <c r="C36" s="42" t="s">
        <v>227</v>
      </c>
      <c r="D36" s="1"/>
      <c r="E36" s="1"/>
      <c r="F36" s="1"/>
      <c r="G36" s="1"/>
      <c r="H36" s="1"/>
      <c r="I36" s="1"/>
      <c r="J36" s="1"/>
      <c r="K36" s="1"/>
      <c r="L36" s="1"/>
      <c r="M36" s="1"/>
      <c r="N36" s="18"/>
    </row>
    <row r="37" spans="2:14" ht="15" customHeight="1" x14ac:dyDescent="0.25">
      <c r="B37" s="20"/>
      <c r="C37" s="4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23.75" customHeight="1" thickBot="1" x14ac:dyDescent="0.3">
      <c r="B45" s="79" t="s">
        <v>160</v>
      </c>
      <c r="C45" s="80"/>
      <c r="D45" s="80"/>
      <c r="E45" s="80"/>
      <c r="F45" s="80"/>
      <c r="G45" s="80"/>
      <c r="H45" s="80"/>
      <c r="I45" s="80"/>
      <c r="J45" s="80"/>
      <c r="K45" s="80"/>
      <c r="L45" s="80"/>
      <c r="M45" s="80"/>
      <c r="N45" s="81"/>
    </row>
    <row r="46" spans="2:14" ht="15" customHeight="1" x14ac:dyDescent="0.25"/>
    <row r="47" spans="2:14" ht="15" customHeight="1" x14ac:dyDescent="0.25"/>
    <row r="48" spans="2:14" ht="15" customHeight="1" x14ac:dyDescent="0.25"/>
    <row r="49" ht="15" customHeight="1" x14ac:dyDescent="0.25"/>
    <row r="50" ht="15" customHeight="1" x14ac:dyDescent="0.25"/>
    <row r="51" ht="15" customHeight="1" x14ac:dyDescent="0.25"/>
    <row r="52" ht="15" customHeight="1" x14ac:dyDescent="0.25"/>
  </sheetData>
  <mergeCells count="6">
    <mergeCell ref="B45:N45"/>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518A6-9224-44EE-832C-C5A1441B6CBB}">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141</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142</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72</v>
      </c>
      <c r="D8" s="6" t="s">
        <v>54</v>
      </c>
      <c r="E8" s="11">
        <v>0.60528700000000002</v>
      </c>
      <c r="F8" s="1"/>
      <c r="G8" s="24" t="s">
        <v>16</v>
      </c>
      <c r="H8" s="25">
        <v>1</v>
      </c>
      <c r="I8" s="1"/>
      <c r="J8" s="24" t="s">
        <v>13</v>
      </c>
      <c r="K8" s="24" t="s">
        <v>5</v>
      </c>
      <c r="L8" s="1"/>
      <c r="M8" s="1"/>
      <c r="N8" s="18"/>
    </row>
    <row r="9" spans="2:14" ht="15" customHeight="1" x14ac:dyDescent="0.25">
      <c r="B9" s="20"/>
      <c r="C9" s="5" t="s">
        <v>74</v>
      </c>
      <c r="D9" s="6" t="s">
        <v>54</v>
      </c>
      <c r="E9" s="11">
        <v>0.229299</v>
      </c>
      <c r="F9" s="1"/>
      <c r="G9" s="1"/>
      <c r="H9" s="1"/>
      <c r="I9" s="1"/>
      <c r="J9" s="24" t="s">
        <v>11</v>
      </c>
      <c r="K9" s="29">
        <v>1.6029999999999999E-2</v>
      </c>
      <c r="L9" s="1"/>
      <c r="M9" s="1"/>
      <c r="N9" s="18"/>
    </row>
    <row r="10" spans="2:14" ht="15" customHeight="1" x14ac:dyDescent="0.25">
      <c r="B10" s="20"/>
      <c r="C10" s="5" t="s">
        <v>73</v>
      </c>
      <c r="D10" s="6" t="s">
        <v>54</v>
      </c>
      <c r="E10" s="11">
        <v>0.148618</v>
      </c>
      <c r="F10" s="1"/>
      <c r="G10" s="1"/>
      <c r="H10" s="1"/>
      <c r="I10" s="1"/>
      <c r="J10" s="24" t="s">
        <v>14</v>
      </c>
      <c r="K10" s="29">
        <v>7.2099999999999996E-4</v>
      </c>
      <c r="L10" s="1"/>
      <c r="M10" s="1"/>
      <c r="N10" s="18"/>
    </row>
    <row r="11" spans="2:14" ht="15" customHeight="1" x14ac:dyDescent="0.25">
      <c r="B11" s="20"/>
      <c r="C11" s="5" t="s">
        <v>80</v>
      </c>
      <c r="D11" s="6" t="s">
        <v>54</v>
      </c>
      <c r="E11" s="11">
        <v>4.5000000000000003E-5</v>
      </c>
      <c r="F11" s="1"/>
      <c r="G11" s="1"/>
      <c r="H11" s="1"/>
      <c r="I11" s="1"/>
      <c r="J11" s="24" t="s">
        <v>67</v>
      </c>
      <c r="K11" s="29">
        <v>0.98324900000000004</v>
      </c>
      <c r="L11" s="1"/>
      <c r="M11" s="1"/>
      <c r="N11" s="18"/>
    </row>
    <row r="12" spans="2:14" ht="15.75" customHeight="1" x14ac:dyDescent="0.25">
      <c r="B12" s="20"/>
      <c r="C12" s="7" t="s">
        <v>60</v>
      </c>
      <c r="D12" s="8"/>
      <c r="E12" s="12">
        <v>0.98324900000000004</v>
      </c>
      <c r="F12" s="1"/>
      <c r="G12" s="1"/>
      <c r="H12" s="1"/>
      <c r="I12" s="1"/>
      <c r="J12" s="1"/>
      <c r="K12" s="1"/>
      <c r="L12" s="1"/>
      <c r="M12" s="1"/>
      <c r="N12" s="18"/>
    </row>
    <row r="13" spans="2:14" ht="15" customHeight="1" x14ac:dyDescent="0.25">
      <c r="B13" s="20"/>
      <c r="C13" s="5" t="s">
        <v>9</v>
      </c>
      <c r="D13" s="6"/>
      <c r="E13" s="11">
        <v>7.2099999999999996E-4</v>
      </c>
      <c r="F13" s="1"/>
      <c r="G13" s="1"/>
      <c r="H13" s="1"/>
      <c r="I13" s="1"/>
      <c r="J13" s="1"/>
      <c r="K13" s="1"/>
      <c r="L13" s="1"/>
      <c r="M13" s="1"/>
      <c r="N13" s="18"/>
    </row>
    <row r="14" spans="2:14" ht="15.75" customHeight="1" x14ac:dyDescent="0.25">
      <c r="B14" s="20"/>
      <c r="C14" s="7" t="s">
        <v>10</v>
      </c>
      <c r="D14" s="8"/>
      <c r="E14" s="12">
        <v>7.2099999999999996E-4</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11</v>
      </c>
      <c r="D16" s="8"/>
      <c r="E16" s="12">
        <v>1.6029999999999999E-2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12</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4.49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07.2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E125E-6CC7-4A51-92CB-C3DD418D14F1}">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143</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144</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145</v>
      </c>
      <c r="D8" s="6" t="s">
        <v>54</v>
      </c>
      <c r="E8" s="11">
        <v>0.51929999999999998</v>
      </c>
      <c r="F8" s="1"/>
      <c r="G8" s="24" t="s">
        <v>16</v>
      </c>
      <c r="H8" s="25">
        <v>1</v>
      </c>
      <c r="I8" s="1"/>
      <c r="J8" s="24" t="s">
        <v>13</v>
      </c>
      <c r="K8" s="24" t="s">
        <v>5</v>
      </c>
      <c r="L8" s="1"/>
      <c r="M8" s="1"/>
      <c r="N8" s="18"/>
    </row>
    <row r="9" spans="2:14" ht="15" customHeight="1" x14ac:dyDescent="0.25">
      <c r="B9" s="20"/>
      <c r="C9" s="5" t="s">
        <v>75</v>
      </c>
      <c r="D9" s="6" t="s">
        <v>54</v>
      </c>
      <c r="E9" s="11">
        <v>0.34532800000000002</v>
      </c>
      <c r="F9" s="1"/>
      <c r="G9" s="1"/>
      <c r="H9" s="1"/>
      <c r="I9" s="1"/>
      <c r="J9" s="24" t="s">
        <v>11</v>
      </c>
      <c r="K9" s="29">
        <v>7.0629999999999998E-3</v>
      </c>
      <c r="L9" s="1"/>
      <c r="M9" s="1"/>
      <c r="N9" s="18"/>
    </row>
    <row r="10" spans="2:14" ht="15" customHeight="1" x14ac:dyDescent="0.25">
      <c r="B10" s="20"/>
      <c r="C10" s="5" t="s">
        <v>80</v>
      </c>
      <c r="D10" s="6" t="s">
        <v>54</v>
      </c>
      <c r="E10" s="11">
        <v>6.2650999999999998E-2</v>
      </c>
      <c r="F10" s="1"/>
      <c r="G10" s="1"/>
      <c r="H10" s="1"/>
      <c r="I10" s="1"/>
      <c r="J10" s="24" t="s">
        <v>14</v>
      </c>
      <c r="K10" s="29">
        <v>1.3506000000000001E-2</v>
      </c>
      <c r="L10" s="1"/>
      <c r="M10" s="1"/>
      <c r="N10" s="18"/>
    </row>
    <row r="11" spans="2:14" ht="15" customHeight="1" x14ac:dyDescent="0.25">
      <c r="B11" s="20"/>
      <c r="C11" s="5" t="s">
        <v>81</v>
      </c>
      <c r="D11" s="6" t="s">
        <v>54</v>
      </c>
      <c r="E11" s="11">
        <v>2.8093E-2</v>
      </c>
      <c r="F11" s="1"/>
      <c r="G11" s="1"/>
      <c r="H11" s="1"/>
      <c r="I11" s="1"/>
      <c r="J11" s="24" t="s">
        <v>67</v>
      </c>
      <c r="K11" s="29">
        <v>0.97943100000000005</v>
      </c>
      <c r="L11" s="1"/>
      <c r="M11" s="1"/>
      <c r="N11" s="18"/>
    </row>
    <row r="12" spans="2:14" ht="15" customHeight="1" x14ac:dyDescent="0.25">
      <c r="B12" s="20"/>
      <c r="C12" s="5" t="s">
        <v>73</v>
      </c>
      <c r="D12" s="6" t="s">
        <v>54</v>
      </c>
      <c r="E12" s="11">
        <v>2.4059000000000001E-2</v>
      </c>
      <c r="F12" s="1"/>
      <c r="G12" s="1"/>
      <c r="H12" s="1"/>
      <c r="I12" s="1"/>
      <c r="J12" s="1"/>
      <c r="K12" s="1"/>
      <c r="L12" s="1"/>
      <c r="M12" s="1"/>
      <c r="N12" s="18"/>
    </row>
    <row r="13" spans="2:14" ht="15.75" customHeight="1" x14ac:dyDescent="0.25">
      <c r="B13" s="20"/>
      <c r="C13" s="7" t="s">
        <v>60</v>
      </c>
      <c r="D13" s="8"/>
      <c r="E13" s="12">
        <v>0.97943100000000005</v>
      </c>
      <c r="F13" s="1"/>
      <c r="G13" s="1"/>
      <c r="H13" s="1"/>
      <c r="I13" s="1"/>
      <c r="J13" s="1"/>
      <c r="K13" s="1"/>
      <c r="L13" s="1"/>
      <c r="M13" s="1"/>
      <c r="N13" s="18"/>
    </row>
    <row r="14" spans="2:14" ht="15" customHeight="1" x14ac:dyDescent="0.25">
      <c r="B14" s="20"/>
      <c r="C14" s="5" t="s">
        <v>9</v>
      </c>
      <c r="D14" s="6"/>
      <c r="E14" s="11">
        <v>1.3506000000000001E-2</v>
      </c>
      <c r="F14" s="1"/>
      <c r="G14" s="1"/>
      <c r="H14" s="1"/>
      <c r="I14" s="1"/>
      <c r="J14" s="1"/>
      <c r="K14" s="1"/>
      <c r="L14" s="1"/>
      <c r="M14" s="1"/>
      <c r="N14" s="18"/>
    </row>
    <row r="15" spans="2:14" ht="15.75" customHeight="1" x14ac:dyDescent="0.25">
      <c r="B15" s="20"/>
      <c r="C15" s="7" t="s">
        <v>10</v>
      </c>
      <c r="D15" s="8"/>
      <c r="E15" s="12">
        <v>1.3506000000000001E-2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11</v>
      </c>
      <c r="D17" s="8"/>
      <c r="E17" s="12">
        <v>7.0629999999999998E-3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12</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11.2</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6.7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51410-1AE4-45D5-A59F-891E8ADF5B86}">
  <dimension ref="B1:N45"/>
  <sheetViews>
    <sheetView showGridLines="0" zoomScale="75" zoomScaleNormal="75" workbookViewId="0">
      <selection activeCell="G26" sqref="G26:N26"/>
    </sheetView>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136</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137</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73</v>
      </c>
      <c r="D8" s="6" t="s">
        <v>54</v>
      </c>
      <c r="E8" s="11">
        <v>0.569137</v>
      </c>
      <c r="F8" s="1"/>
      <c r="G8" s="24" t="s">
        <v>16</v>
      </c>
      <c r="H8" s="25">
        <v>1</v>
      </c>
      <c r="I8" s="1"/>
      <c r="J8" s="24" t="s">
        <v>13</v>
      </c>
      <c r="K8" s="24" t="s">
        <v>5</v>
      </c>
      <c r="L8" s="1"/>
      <c r="M8" s="1"/>
      <c r="N8" s="18"/>
    </row>
    <row r="9" spans="2:14" ht="15" customHeight="1" x14ac:dyDescent="0.25">
      <c r="B9" s="20"/>
      <c r="C9" s="5" t="s">
        <v>81</v>
      </c>
      <c r="D9" s="6" t="s">
        <v>54</v>
      </c>
      <c r="E9" s="11">
        <v>0.37152099999999999</v>
      </c>
      <c r="F9" s="1"/>
      <c r="G9" s="1"/>
      <c r="H9" s="1"/>
      <c r="I9" s="1"/>
      <c r="J9" s="24" t="s">
        <v>11</v>
      </c>
      <c r="K9" s="29">
        <v>2.0181000000000001E-2</v>
      </c>
      <c r="L9" s="1"/>
      <c r="M9" s="1"/>
      <c r="N9" s="18"/>
    </row>
    <row r="10" spans="2:14" ht="15.75" customHeight="1" x14ac:dyDescent="0.25">
      <c r="B10" s="20"/>
      <c r="C10" s="7" t="s">
        <v>60</v>
      </c>
      <c r="D10" s="8"/>
      <c r="E10" s="12">
        <v>0.94065799999999999</v>
      </c>
      <c r="F10" s="1"/>
      <c r="G10" s="1"/>
      <c r="H10" s="1"/>
      <c r="I10" s="1"/>
      <c r="J10" s="24" t="s">
        <v>14</v>
      </c>
      <c r="K10" s="29">
        <v>2.1475000000000001E-2</v>
      </c>
      <c r="L10" s="1"/>
      <c r="M10" s="1"/>
      <c r="N10" s="18"/>
    </row>
    <row r="11" spans="2:14" ht="15" customHeight="1" x14ac:dyDescent="0.25">
      <c r="B11" s="20"/>
      <c r="C11" s="5" t="s">
        <v>138</v>
      </c>
      <c r="D11" s="6" t="s">
        <v>54</v>
      </c>
      <c r="E11" s="11">
        <v>5.8999999999999999E-3</v>
      </c>
      <c r="F11" s="1"/>
      <c r="G11" s="1"/>
      <c r="H11" s="1"/>
      <c r="I11" s="1"/>
      <c r="J11" s="24" t="s">
        <v>67</v>
      </c>
      <c r="K11" s="29">
        <v>0.94065799999999999</v>
      </c>
      <c r="L11" s="1"/>
      <c r="M11" s="1"/>
      <c r="N11" s="18"/>
    </row>
    <row r="12" spans="2:14" ht="15" customHeight="1" x14ac:dyDescent="0.25">
      <c r="B12" s="20"/>
      <c r="C12" s="5" t="s">
        <v>99</v>
      </c>
      <c r="D12" s="6" t="s">
        <v>54</v>
      </c>
      <c r="E12" s="11">
        <v>5.8950000000000001E-3</v>
      </c>
      <c r="F12" s="1"/>
      <c r="G12" s="1"/>
      <c r="H12" s="1"/>
      <c r="I12" s="1"/>
      <c r="J12" s="24" t="s">
        <v>105</v>
      </c>
      <c r="K12" s="29">
        <v>1.7686E-2</v>
      </c>
      <c r="L12" s="1"/>
      <c r="M12" s="1"/>
      <c r="N12" s="18"/>
    </row>
    <row r="13" spans="2:14" ht="15" customHeight="1" x14ac:dyDescent="0.25">
      <c r="B13" s="20"/>
      <c r="C13" s="5" t="s">
        <v>98</v>
      </c>
      <c r="D13" s="6" t="s">
        <v>54</v>
      </c>
      <c r="E13" s="11">
        <v>5.8910000000000004E-3</v>
      </c>
      <c r="F13" s="1"/>
      <c r="G13" s="1"/>
      <c r="H13" s="1"/>
      <c r="I13" s="1"/>
      <c r="J13" s="1"/>
      <c r="K13" s="1"/>
      <c r="L13" s="1"/>
      <c r="M13" s="1"/>
      <c r="N13" s="18"/>
    </row>
    <row r="14" spans="2:14" ht="15.75" customHeight="1" x14ac:dyDescent="0.25">
      <c r="B14" s="20"/>
      <c r="C14" s="7" t="s">
        <v>103</v>
      </c>
      <c r="D14" s="8"/>
      <c r="E14" s="12">
        <v>1.7686E-2</v>
      </c>
      <c r="F14" s="1"/>
      <c r="G14" s="1"/>
      <c r="H14" s="1"/>
      <c r="I14" s="1"/>
      <c r="J14" s="1"/>
      <c r="K14" s="1"/>
      <c r="L14" s="1"/>
      <c r="M14" s="1"/>
      <c r="N14" s="18"/>
    </row>
    <row r="15" spans="2:14" ht="15" customHeight="1" x14ac:dyDescent="0.25">
      <c r="B15" s="20"/>
      <c r="C15" s="5" t="s">
        <v>9</v>
      </c>
      <c r="D15" s="6"/>
      <c r="E15" s="11">
        <v>2.1475000000000001E-2</v>
      </c>
      <c r="F15" s="1"/>
      <c r="G15" s="1"/>
      <c r="H15" s="1"/>
      <c r="I15" s="1"/>
      <c r="J15" s="1"/>
      <c r="K15" s="1"/>
      <c r="L15" s="1"/>
      <c r="M15" s="1"/>
      <c r="N15" s="18"/>
    </row>
    <row r="16" spans="2:14" ht="15.75" customHeight="1" x14ac:dyDescent="0.25">
      <c r="B16" s="20"/>
      <c r="C16" s="7" t="s">
        <v>10</v>
      </c>
      <c r="D16" s="8"/>
      <c r="E16" s="12">
        <v>2.1475000000000001E-2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2.0181000000000001E-2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4.99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0.7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DBAB79-B1F7-487E-8EFE-5EBF09825F81}">
  <dimension ref="B1:N45"/>
  <sheetViews>
    <sheetView showGridLines="0" zoomScale="75" zoomScaleNormal="75" workbookViewId="0"/>
  </sheetViews>
  <sheetFormatPr defaultRowHeight="15" x14ac:dyDescent="0.25"/>
  <cols>
    <col min="1" max="1" width="2.85546875" customWidth="1"/>
    <col min="2" max="2" width="3.85546875" customWidth="1"/>
    <col min="3" max="3" width="52.71093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139</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140</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80</v>
      </c>
      <c r="D8" s="6" t="s">
        <v>54</v>
      </c>
      <c r="E8" s="11">
        <v>0.68079800000000001</v>
      </c>
      <c r="F8" s="1"/>
      <c r="G8" s="24" t="s">
        <v>16</v>
      </c>
      <c r="H8" s="25">
        <v>1</v>
      </c>
      <c r="I8" s="1"/>
      <c r="J8" s="24" t="s">
        <v>13</v>
      </c>
      <c r="K8" s="24" t="s">
        <v>5</v>
      </c>
      <c r="L8" s="1"/>
      <c r="M8" s="1"/>
      <c r="N8" s="18"/>
    </row>
    <row r="9" spans="2:14" ht="15" customHeight="1" x14ac:dyDescent="0.25">
      <c r="B9" s="20"/>
      <c r="C9" s="5" t="s">
        <v>89</v>
      </c>
      <c r="D9" s="6" t="s">
        <v>54</v>
      </c>
      <c r="E9" s="11">
        <v>0.24879200000000001</v>
      </c>
      <c r="F9" s="1"/>
      <c r="G9" s="1"/>
      <c r="H9" s="1"/>
      <c r="I9" s="1"/>
      <c r="J9" s="24" t="s">
        <v>11</v>
      </c>
      <c r="K9" s="29">
        <v>7.3460000000000001E-3</v>
      </c>
      <c r="L9" s="1"/>
      <c r="M9" s="1"/>
      <c r="N9" s="18"/>
    </row>
    <row r="10" spans="2:14" ht="15.75" customHeight="1" x14ac:dyDescent="0.25">
      <c r="B10" s="20"/>
      <c r="C10" s="7" t="s">
        <v>60</v>
      </c>
      <c r="D10" s="8"/>
      <c r="E10" s="12">
        <v>0.92959000000000003</v>
      </c>
      <c r="F10" s="1"/>
      <c r="G10" s="1"/>
      <c r="H10" s="1"/>
      <c r="I10" s="1"/>
      <c r="J10" s="24" t="s">
        <v>14</v>
      </c>
      <c r="K10" s="29">
        <v>4.5206999999999997E-2</v>
      </c>
      <c r="L10" s="1"/>
      <c r="M10" s="1"/>
      <c r="N10" s="18"/>
    </row>
    <row r="11" spans="2:14" ht="15" customHeight="1" x14ac:dyDescent="0.25">
      <c r="B11" s="20"/>
      <c r="C11" s="5" t="s">
        <v>138</v>
      </c>
      <c r="D11" s="6" t="s">
        <v>54</v>
      </c>
      <c r="E11" s="11">
        <v>5.9569999999999996E-3</v>
      </c>
      <c r="F11" s="1"/>
      <c r="G11" s="1"/>
      <c r="H11" s="1"/>
      <c r="I11" s="1"/>
      <c r="J11" s="24" t="s">
        <v>67</v>
      </c>
      <c r="K11" s="29">
        <v>0.92959000000000003</v>
      </c>
      <c r="L11" s="1"/>
      <c r="M11" s="1"/>
      <c r="N11" s="18"/>
    </row>
    <row r="12" spans="2:14" ht="15" customHeight="1" x14ac:dyDescent="0.25">
      <c r="B12" s="20"/>
      <c r="C12" s="5" t="s">
        <v>99</v>
      </c>
      <c r="D12" s="6" t="s">
        <v>54</v>
      </c>
      <c r="E12" s="11">
        <v>5.9519999999999998E-3</v>
      </c>
      <c r="F12" s="1"/>
      <c r="G12" s="1"/>
      <c r="H12" s="1"/>
      <c r="I12" s="1"/>
      <c r="J12" s="24" t="s">
        <v>105</v>
      </c>
      <c r="K12" s="29">
        <v>1.7857000000000001E-2</v>
      </c>
      <c r="L12" s="1"/>
      <c r="M12" s="1"/>
      <c r="N12" s="18"/>
    </row>
    <row r="13" spans="2:14" ht="15" customHeight="1" x14ac:dyDescent="0.25">
      <c r="B13" s="20"/>
      <c r="C13" s="5" t="s">
        <v>98</v>
      </c>
      <c r="D13" s="6" t="s">
        <v>54</v>
      </c>
      <c r="E13" s="11">
        <v>5.9480000000000002E-3</v>
      </c>
      <c r="F13" s="1"/>
      <c r="G13" s="1"/>
      <c r="H13" s="1"/>
      <c r="I13" s="1"/>
      <c r="J13" s="1"/>
      <c r="K13" s="1"/>
      <c r="L13" s="1"/>
      <c r="M13" s="1"/>
      <c r="N13" s="18"/>
    </row>
    <row r="14" spans="2:14" ht="15.75" customHeight="1" x14ac:dyDescent="0.25">
      <c r="B14" s="20"/>
      <c r="C14" s="7" t="s">
        <v>103</v>
      </c>
      <c r="D14" s="8"/>
      <c r="E14" s="12">
        <v>1.7857000000000001E-2</v>
      </c>
      <c r="F14" s="1"/>
      <c r="G14" s="1"/>
      <c r="H14" s="1"/>
      <c r="I14" s="1"/>
      <c r="J14" s="1"/>
      <c r="K14" s="1"/>
      <c r="L14" s="1"/>
      <c r="M14" s="1"/>
      <c r="N14" s="18"/>
    </row>
    <row r="15" spans="2:14" ht="15" customHeight="1" x14ac:dyDescent="0.25">
      <c r="B15" s="20"/>
      <c r="C15" s="5" t="s">
        <v>9</v>
      </c>
      <c r="D15" s="6"/>
      <c r="E15" s="11">
        <v>4.5206999999999997E-2</v>
      </c>
      <c r="F15" s="1"/>
      <c r="G15" s="1"/>
      <c r="H15" s="1"/>
      <c r="I15" s="1"/>
      <c r="J15" s="1"/>
      <c r="K15" s="1"/>
      <c r="L15" s="1"/>
      <c r="M15" s="1"/>
      <c r="N15" s="18"/>
    </row>
    <row r="16" spans="2:14" ht="15.75" customHeight="1" x14ac:dyDescent="0.25">
      <c r="B16" s="20"/>
      <c r="C16" s="7" t="s">
        <v>10</v>
      </c>
      <c r="D16" s="8"/>
      <c r="E16" s="12">
        <v>4.5206999999999997E-2</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11</v>
      </c>
      <c r="D18" s="8"/>
      <c r="E18" s="12">
        <v>7.3460000000000001E-3</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12</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5.51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5" spans="2:14" ht="126" customHeight="1" x14ac:dyDescent="0.25"/>
  </sheetData>
  <mergeCells count="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A08BB4-9F0C-4864-A2F1-9B6C18BA4645}">
  <dimension ref="B1:N45"/>
  <sheetViews>
    <sheetView showGridLines="0" zoomScale="75" zoomScaleNormal="75" workbookViewId="0"/>
  </sheetViews>
  <sheetFormatPr defaultRowHeight="15" x14ac:dyDescent="0.25"/>
  <cols>
    <col min="1" max="1" width="2.85546875" customWidth="1"/>
    <col min="2" max="2" width="3.85546875" customWidth="1"/>
    <col min="3" max="3" width="59"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2" t="s">
        <v>0</v>
      </c>
      <c r="D3" s="83"/>
      <c r="E3" s="83"/>
      <c r="F3" s="83"/>
      <c r="G3" s="83"/>
      <c r="H3" s="83"/>
      <c r="I3" s="83"/>
      <c r="J3" s="83"/>
      <c r="K3" s="83"/>
      <c r="L3" s="83"/>
      <c r="M3" s="83"/>
      <c r="N3" s="84"/>
    </row>
    <row r="4" spans="2:14" ht="15.75" customHeight="1" x14ac:dyDescent="0.25">
      <c r="B4" s="20"/>
      <c r="C4" s="14"/>
      <c r="D4" s="1"/>
      <c r="E4" s="1"/>
      <c r="F4" s="1"/>
      <c r="G4" s="1"/>
      <c r="H4" s="1"/>
      <c r="I4" s="1"/>
      <c r="J4" s="1"/>
      <c r="K4" s="1"/>
      <c r="L4" s="1"/>
      <c r="M4" s="1"/>
      <c r="N4" s="18"/>
    </row>
    <row r="5" spans="2:14" ht="18" customHeight="1" x14ac:dyDescent="0.25">
      <c r="B5" s="20"/>
      <c r="C5" s="15" t="s">
        <v>1</v>
      </c>
      <c r="D5" s="85" t="s">
        <v>2</v>
      </c>
      <c r="E5" s="86"/>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3</v>
      </c>
      <c r="D7" s="3" t="s">
        <v>4</v>
      </c>
      <c r="E7" s="2" t="s">
        <v>5</v>
      </c>
      <c r="F7" s="1"/>
      <c r="G7" s="87" t="s">
        <v>17</v>
      </c>
      <c r="H7" s="88"/>
      <c r="I7" s="88"/>
      <c r="J7" s="88"/>
      <c r="K7" s="88"/>
      <c r="L7" s="88"/>
      <c r="M7" s="88"/>
      <c r="N7" s="89"/>
    </row>
    <row r="8" spans="2:14" ht="15" customHeight="1" x14ac:dyDescent="0.25">
      <c r="B8" s="20"/>
      <c r="C8" s="5" t="s">
        <v>233</v>
      </c>
      <c r="D8" s="6"/>
      <c r="E8" s="11">
        <v>0.62285900000000005</v>
      </c>
      <c r="F8" s="1"/>
      <c r="G8" s="24" t="s">
        <v>16</v>
      </c>
      <c r="H8" s="25">
        <v>1</v>
      </c>
      <c r="I8" s="1"/>
      <c r="J8" s="24" t="s">
        <v>13</v>
      </c>
      <c r="K8" s="24" t="s">
        <v>5</v>
      </c>
      <c r="L8" s="1"/>
      <c r="M8" s="1"/>
      <c r="N8" s="18"/>
    </row>
    <row r="9" spans="2:14" ht="15" customHeight="1" x14ac:dyDescent="0.25">
      <c r="B9" s="20"/>
      <c r="C9" s="5" t="s">
        <v>6</v>
      </c>
      <c r="D9" s="6"/>
      <c r="E9" s="11">
        <v>0.31093300000000001</v>
      </c>
      <c r="F9" s="1"/>
      <c r="G9" s="1"/>
      <c r="H9" s="1"/>
      <c r="I9" s="1"/>
      <c r="J9" s="24" t="s">
        <v>11</v>
      </c>
      <c r="K9" s="29">
        <v>-1.6180000000000001E-3</v>
      </c>
      <c r="L9" s="1"/>
      <c r="M9" s="1"/>
      <c r="N9" s="18"/>
    </row>
    <row r="10" spans="2:14" ht="15" customHeight="1" x14ac:dyDescent="0.25">
      <c r="B10" s="20"/>
      <c r="C10" s="5" t="s">
        <v>7</v>
      </c>
      <c r="D10" s="6"/>
      <c r="E10" s="11">
        <v>6.6830000000000001E-2</v>
      </c>
      <c r="F10" s="1"/>
      <c r="G10" s="1"/>
      <c r="H10" s="1"/>
      <c r="I10" s="1"/>
      <c r="J10" s="24" t="s">
        <v>14</v>
      </c>
      <c r="K10" s="29">
        <v>9.9599999999999992E-4</v>
      </c>
      <c r="L10" s="1"/>
      <c r="M10" s="1"/>
      <c r="N10" s="18"/>
    </row>
    <row r="11" spans="2:14" ht="15.75" customHeight="1" x14ac:dyDescent="0.25">
      <c r="B11" s="20"/>
      <c r="C11" s="7" t="s">
        <v>8</v>
      </c>
      <c r="D11" s="8"/>
      <c r="E11" s="12">
        <v>1.0006200000000001</v>
      </c>
      <c r="F11" s="1"/>
      <c r="G11" s="1"/>
      <c r="H11" s="1"/>
      <c r="I11" s="1"/>
      <c r="J11" s="24" t="s">
        <v>15</v>
      </c>
      <c r="K11" s="29">
        <v>1.0006200000000001</v>
      </c>
      <c r="L11" s="1"/>
      <c r="M11" s="1"/>
      <c r="N11" s="18"/>
    </row>
    <row r="12" spans="2:14" ht="15" customHeight="1" x14ac:dyDescent="0.25">
      <c r="B12" s="20"/>
      <c r="C12" s="5" t="s">
        <v>9</v>
      </c>
      <c r="D12" s="6"/>
      <c r="E12" s="11">
        <v>9.9599999999999992E-4</v>
      </c>
      <c r="F12" s="1"/>
      <c r="G12" s="1"/>
      <c r="H12" s="1"/>
      <c r="I12" s="1"/>
      <c r="J12" s="1"/>
      <c r="K12" s="1"/>
      <c r="L12" s="1"/>
      <c r="M12" s="1"/>
      <c r="N12" s="18"/>
    </row>
    <row r="13" spans="2:14" ht="15.75" customHeight="1" x14ac:dyDescent="0.25">
      <c r="B13" s="20"/>
      <c r="C13" s="7" t="s">
        <v>10</v>
      </c>
      <c r="D13" s="8"/>
      <c r="E13" s="12">
        <v>9.9599999999999992E-4</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11</v>
      </c>
      <c r="D15" s="8"/>
      <c r="E15" s="12">
        <v>-1.6180000000000001E-3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12</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7" t="s">
        <v>18</v>
      </c>
      <c r="H24" s="88"/>
      <c r="I24" s="88"/>
      <c r="J24" s="88"/>
      <c r="K24" s="88"/>
      <c r="L24" s="26">
        <v>1.63</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7" t="s">
        <v>19</v>
      </c>
      <c r="H26" s="88"/>
      <c r="I26" s="88"/>
      <c r="J26" s="88"/>
      <c r="K26" s="88"/>
      <c r="L26" s="88"/>
      <c r="M26" s="88"/>
      <c r="N26" s="89"/>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4.25" customHeight="1" thickBot="1" x14ac:dyDescent="0.3">
      <c r="B45" s="79" t="s">
        <v>160</v>
      </c>
      <c r="C45" s="80"/>
      <c r="D45" s="80"/>
      <c r="E45" s="80"/>
      <c r="F45" s="80"/>
      <c r="G45" s="80"/>
      <c r="H45" s="80"/>
      <c r="I45" s="80"/>
      <c r="J45" s="80"/>
      <c r="K45" s="80"/>
      <c r="L45" s="80"/>
      <c r="M45" s="80"/>
      <c r="N45" s="81"/>
    </row>
  </sheetData>
  <mergeCells count="6">
    <mergeCell ref="B45:N45"/>
    <mergeCell ref="C3:N3"/>
    <mergeCell ref="D5:E5"/>
    <mergeCell ref="G7:N7"/>
    <mergeCell ref="G24:K24"/>
    <mergeCell ref="G26:N26"/>
  </mergeCells>
  <pageMargins left="0.7" right="0.7" top="0.75" bottom="0.75" header="0.3" footer="0.3"/>
  <pageSetup orientation="portrait"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IDFC OF</vt:lpstr>
      <vt:lpstr>IDFC CF</vt:lpstr>
      <vt:lpstr>IDFC LDF</vt:lpstr>
      <vt:lpstr>IDFC MMF</vt:lpstr>
      <vt:lpstr>IDFC USTF</vt:lpstr>
      <vt:lpstr>IDFC DBF</vt:lpstr>
      <vt:lpstr>IDFC BOND IP</vt:lpstr>
      <vt:lpstr>IDFC BOND MT</vt:lpstr>
      <vt:lpstr>IDFC BOND ST</vt:lpstr>
      <vt:lpstr>IDFC BPDF</vt:lpstr>
      <vt:lpstr>IDFC-CBF</vt:lpstr>
      <vt:lpstr>IDFC FRF</vt:lpstr>
      <vt:lpstr>IDFC CRF</vt:lpstr>
      <vt:lpstr>IDFC GSF-IP</vt:lpstr>
      <vt:lpstr>IDFC GSF - CMP</vt:lpstr>
      <vt:lpstr>IDFC-GIF2027</vt:lpstr>
      <vt:lpstr>IDFC-GIF2028</vt:lpstr>
      <vt:lpstr>IDFC ASBF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IDFCMF Products2</dc:creator>
  <cp:lastModifiedBy>IDFCMF Products2</cp:lastModifiedBy>
  <dcterms:created xsi:type="dcterms:W3CDTF">2022-02-01T03:23:16Z</dcterms:created>
  <dcterms:modified xsi:type="dcterms:W3CDTF">2022-02-02T09:32:09Z</dcterms:modified>
</cp:coreProperties>
</file>